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Statistik 2025\Data Statistik 18 Nop 2025\2025\"/>
    </mc:Choice>
  </mc:AlternateContent>
  <xr:revisionPtr revIDLastSave="0" documentId="13_ncr:1_{A4B6FAB8-3324-4AC4-8A5B-16D771E4CC5A}" xr6:coauthVersionLast="47" xr6:coauthVersionMax="47" xr10:uidLastSave="{00000000-0000-0000-0000-000000000000}"/>
  <bookViews>
    <workbookView xWindow="-108" yWindow="-108" windowWidth="23256" windowHeight="12456" tabRatio="576" activeTab="2" xr2:uid="{EFC307CB-09EF-4354-95A2-A065F70AD632}"/>
  </bookViews>
  <sheets>
    <sheet name="Daftar Isi" sheetId="31" r:id="rId1"/>
    <sheet name="Unit Usaha" sheetId="30" r:id="rId2"/>
    <sheet name="Kapasitas" sheetId="10" r:id="rId3"/>
    <sheet name="Biaya" sheetId="11" r:id="rId4"/>
    <sheet name="Hasil (Kg)" sheetId="12" r:id="rId5"/>
    <sheet name="Hasil (Rp)" sheetId="13" r:id="rId6"/>
    <sheet name="NT" sheetId="14" r:id="rId7"/>
    <sheet name="BB" sheetId="15" r:id="rId8"/>
    <sheet name="Asal BB" sheetId="16" r:id="rId9"/>
    <sheet name="Jenis Ikan" sheetId="17" r:id="rId10"/>
    <sheet name="Pemasaran" sheetId="18" r:id="rId11"/>
    <sheet name="Tujuan Pemasaran" sheetId="19" r:id="rId12"/>
    <sheet name="Lahan" sheetId="40" r:id="rId13"/>
    <sheet name="Bangunan" sheetId="41" r:id="rId14"/>
    <sheet name="Modal" sheetId="42" r:id="rId15"/>
    <sheet name="DNT (L)" sheetId="43" r:id="rId16"/>
    <sheet name="DNT (P)" sheetId="44" r:id="rId17"/>
    <sheet name="DNTT (L)" sheetId="45" r:id="rId18"/>
    <sheet name="DNTT (P)" sheetId="46" r:id="rId19"/>
    <sheet name="K (L)" sheetId="47" r:id="rId20"/>
    <sheet name="K (P)" sheetId="48" r:id="rId21"/>
    <sheet name="Sertifikat Produk" sheetId="49" r:id="rId22"/>
    <sheet name="Ijin Usaha" sheetId="50" r:id="rId23"/>
    <sheet name="Sertifikat LB" sheetId="51" r:id="rId24"/>
    <sheet name="Gloss" sheetId="37" r:id="rId25"/>
  </sheets>
  <definedNames>
    <definedName name="_xlnm.Print_Area" localSheetId="8">'Asal BB'!$AH$1:$EH$42</definedName>
    <definedName name="_xlnm.Print_Area" localSheetId="13">Bangunan!$A$1:$V$42</definedName>
    <definedName name="_xlnm.Print_Area" localSheetId="7">BB!$A$1:$EH$42</definedName>
    <definedName name="_xlnm.Print_Area" localSheetId="3">Biaya!$A$1:$EH$42</definedName>
    <definedName name="_xlnm.Print_Area" localSheetId="0">'Daftar Isi'!$A$1:$B$218</definedName>
    <definedName name="_xlnm.Print_Area" localSheetId="15">'DNT (L)'!$A$1:$V$42</definedName>
    <definedName name="_xlnm.Print_Area" localSheetId="16">'DNT (P)'!$A$1:$V$42</definedName>
    <definedName name="_xlnm.Print_Area" localSheetId="17">'DNTT (L)'!$A$1:$V$42</definedName>
    <definedName name="_xlnm.Print_Area" localSheetId="18">'DNTT (P)'!$A$1:$V$42</definedName>
    <definedName name="_xlnm.Print_Area" localSheetId="4">'Hasil (Kg)'!$A$1:$EH$42</definedName>
    <definedName name="_xlnm.Print_Area" localSheetId="5">'Hasil (Rp)'!$A$1:$EH$42</definedName>
    <definedName name="_xlnm.Print_Area" localSheetId="22">'Ijin Usaha'!$A$1:$L$73</definedName>
    <definedName name="_xlnm.Print_Area" localSheetId="9">'Jenis Ikan'!$A$133:$N$805</definedName>
    <definedName name="_xlnm.Print_Area" localSheetId="19">'K (L)'!$A$1:$V$42</definedName>
    <definedName name="_xlnm.Print_Area" localSheetId="20">'K (P)'!$A$1:$V$42</definedName>
    <definedName name="_xlnm.Print_Area" localSheetId="2">Kapasitas!$A$1:$EH$42</definedName>
    <definedName name="_xlnm.Print_Area" localSheetId="12">Lahan!$A$1:$V$42</definedName>
    <definedName name="_xlnm.Print_Area" localSheetId="14">Modal!$A$1:$V$42</definedName>
    <definedName name="_xlnm.Print_Area" localSheetId="6">NT!$A$1:$EH$42</definedName>
    <definedName name="_xlnm.Print_Area" localSheetId="10">Pemasaran!$A$1:$EH$42</definedName>
    <definedName name="_xlnm.Print_Area" localSheetId="23">'Sertifikat LB'!$A$1:$D$73</definedName>
    <definedName name="_xlnm.Print_Area" localSheetId="21">'Sertifikat Produk'!$A$1:$I$71</definedName>
    <definedName name="_xlnm.Print_Area" localSheetId="11">'Tujuan Pemasaran'!$AH$1:$EH$42</definedName>
    <definedName name="_xlnm.Print_Area" localSheetId="1">'Unit Usaha'!$A$1:$EH$42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6" i="51" l="1"/>
  <c r="H97" i="51"/>
  <c r="H98" i="51"/>
  <c r="H95" i="51"/>
  <c r="H81" i="51"/>
  <c r="H82" i="51"/>
  <c r="H83" i="51"/>
  <c r="H84" i="51"/>
  <c r="H85" i="51"/>
  <c r="H86" i="51"/>
  <c r="H87" i="51"/>
  <c r="H88" i="51"/>
  <c r="H89" i="51"/>
  <c r="H90" i="51"/>
  <c r="H91" i="51"/>
  <c r="H80" i="51"/>
  <c r="H77" i="51"/>
  <c r="H99" i="51"/>
  <c r="P105" i="50"/>
  <c r="P108" i="50" s="1"/>
  <c r="P106" i="50"/>
  <c r="P107" i="50"/>
  <c r="P104" i="50"/>
  <c r="P86" i="50"/>
  <c r="P90" i="50"/>
  <c r="P91" i="50"/>
  <c r="P92" i="50"/>
  <c r="P93" i="50"/>
  <c r="P94" i="50"/>
  <c r="P95" i="50"/>
  <c r="P96" i="50"/>
  <c r="P97" i="50"/>
  <c r="P98" i="50"/>
  <c r="P99" i="50"/>
  <c r="P100" i="50"/>
  <c r="P89" i="50"/>
  <c r="M74" i="49"/>
  <c r="M75" i="49"/>
  <c r="M76" i="49"/>
  <c r="M73" i="49"/>
  <c r="M59" i="49"/>
  <c r="M60" i="49"/>
  <c r="M61" i="49"/>
  <c r="M62" i="49"/>
  <c r="M63" i="49"/>
  <c r="M64" i="49"/>
  <c r="M65" i="49"/>
  <c r="M66" i="49"/>
  <c r="M67" i="49"/>
  <c r="M68" i="49"/>
  <c r="M69" i="49"/>
  <c r="M58" i="49"/>
  <c r="M70" i="49" s="1"/>
  <c r="M55" i="49"/>
  <c r="K43" i="49"/>
  <c r="C149" i="43"/>
  <c r="C148" i="43"/>
  <c r="C147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05" i="43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3" i="40"/>
  <c r="C124" i="40"/>
  <c r="C125" i="40"/>
  <c r="C126" i="40"/>
  <c r="C127" i="40"/>
  <c r="C128" i="40"/>
  <c r="C129" i="40"/>
  <c r="C130" i="40"/>
  <c r="C131" i="40"/>
  <c r="C132" i="40"/>
  <c r="C133" i="40"/>
  <c r="C134" i="40"/>
  <c r="C135" i="40"/>
  <c r="C136" i="40"/>
  <c r="C137" i="40"/>
  <c r="C138" i="40"/>
  <c r="C139" i="40"/>
  <c r="C140" i="40"/>
  <c r="C141" i="40"/>
  <c r="C142" i="40"/>
  <c r="C143" i="40"/>
  <c r="C144" i="40"/>
  <c r="C106" i="40"/>
  <c r="C99" i="40"/>
  <c r="C100" i="40"/>
  <c r="C101" i="40"/>
  <c r="C102" i="40"/>
  <c r="C98" i="40"/>
  <c r="C83" i="40"/>
  <c r="C84" i="40"/>
  <c r="C85" i="40"/>
  <c r="C86" i="40"/>
  <c r="C87" i="40"/>
  <c r="C88" i="40"/>
  <c r="C89" i="40"/>
  <c r="C90" i="40"/>
  <c r="C91" i="40"/>
  <c r="C92" i="40"/>
  <c r="C93" i="40"/>
  <c r="C94" i="40"/>
  <c r="C82" i="40"/>
  <c r="H92" i="51" l="1"/>
  <c r="P101" i="50"/>
  <c r="M77" i="49"/>
  <c r="C72" i="48" l="1"/>
  <c r="C71" i="48"/>
  <c r="C70" i="48"/>
  <c r="C69" i="48"/>
  <c r="C68" i="48"/>
  <c r="D72" i="48" s="1"/>
  <c r="C64" i="48"/>
  <c r="C63" i="48"/>
  <c r="C62" i="48"/>
  <c r="C61" i="48"/>
  <c r="C60" i="48"/>
  <c r="C59" i="48"/>
  <c r="C58" i="48"/>
  <c r="C57" i="48"/>
  <c r="C56" i="48"/>
  <c r="C55" i="48"/>
  <c r="C54" i="48"/>
  <c r="C53" i="48"/>
  <c r="C52" i="48"/>
  <c r="D64" i="48" s="1"/>
  <c r="C72" i="47"/>
  <c r="C71" i="47"/>
  <c r="C70" i="47"/>
  <c r="C69" i="47"/>
  <c r="C68" i="47"/>
  <c r="D72" i="47" s="1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D64" i="47" s="1"/>
  <c r="D72" i="46"/>
  <c r="C72" i="46"/>
  <c r="C71" i="46"/>
  <c r="C70" i="46"/>
  <c r="C69" i="46"/>
  <c r="C68" i="46"/>
  <c r="C64" i="46"/>
  <c r="C63" i="46"/>
  <c r="C62" i="46"/>
  <c r="C61" i="46"/>
  <c r="C60" i="46"/>
  <c r="C59" i="46"/>
  <c r="C58" i="46"/>
  <c r="C57" i="46"/>
  <c r="C56" i="46"/>
  <c r="C55" i="46"/>
  <c r="C54" i="46"/>
  <c r="C53" i="46"/>
  <c r="C52" i="46"/>
  <c r="D64" i="46" s="1"/>
  <c r="C72" i="45"/>
  <c r="C71" i="45"/>
  <c r="C70" i="45"/>
  <c r="C69" i="45"/>
  <c r="C68" i="45"/>
  <c r="D72" i="45" s="1"/>
  <c r="C64" i="45"/>
  <c r="C63" i="45"/>
  <c r="C62" i="45"/>
  <c r="C61" i="45"/>
  <c r="C60" i="45"/>
  <c r="C59" i="45"/>
  <c r="C58" i="45"/>
  <c r="C57" i="45"/>
  <c r="C56" i="45"/>
  <c r="C55" i="45"/>
  <c r="C54" i="45"/>
  <c r="C53" i="45"/>
  <c r="C52" i="45"/>
  <c r="D64" i="45" s="1"/>
  <c r="C72" i="44"/>
  <c r="C71" i="44"/>
  <c r="C70" i="44"/>
  <c r="C69" i="44"/>
  <c r="C68" i="44"/>
  <c r="D72" i="44" s="1"/>
  <c r="C64" i="44"/>
  <c r="C63" i="44"/>
  <c r="C62" i="44"/>
  <c r="C61" i="44"/>
  <c r="C60" i="44"/>
  <c r="C59" i="44"/>
  <c r="C58" i="44"/>
  <c r="C57" i="44"/>
  <c r="C56" i="44"/>
  <c r="C55" i="44"/>
  <c r="C54" i="44"/>
  <c r="C53" i="44"/>
  <c r="C52" i="44"/>
  <c r="D64" i="44" s="1"/>
  <c r="C72" i="43"/>
  <c r="C101" i="43" s="1"/>
  <c r="C71" i="43"/>
  <c r="C100" i="43" s="1"/>
  <c r="C70" i="43"/>
  <c r="C99" i="43" s="1"/>
  <c r="C69" i="43"/>
  <c r="C98" i="43" s="1"/>
  <c r="C68" i="43"/>
  <c r="C64" i="43"/>
  <c r="C93" i="43" s="1"/>
  <c r="C63" i="43"/>
  <c r="C92" i="43" s="1"/>
  <c r="C62" i="43"/>
  <c r="C91" i="43" s="1"/>
  <c r="C61" i="43"/>
  <c r="C90" i="43" s="1"/>
  <c r="C60" i="43"/>
  <c r="C89" i="43" s="1"/>
  <c r="C59" i="43"/>
  <c r="C88" i="43" s="1"/>
  <c r="C58" i="43"/>
  <c r="C87" i="43" s="1"/>
  <c r="C57" i="43"/>
  <c r="C86" i="43" s="1"/>
  <c r="C56" i="43"/>
  <c r="C85" i="43" s="1"/>
  <c r="C55" i="43"/>
  <c r="C84" i="43" s="1"/>
  <c r="C54" i="43"/>
  <c r="C83" i="43" s="1"/>
  <c r="C53" i="43"/>
  <c r="C82" i="43" s="1"/>
  <c r="C52" i="43"/>
  <c r="C72" i="42"/>
  <c r="C71" i="42"/>
  <c r="C70" i="42"/>
  <c r="C69" i="42"/>
  <c r="D72" i="42" s="1"/>
  <c r="C68" i="42"/>
  <c r="C64" i="42"/>
  <c r="C63" i="42"/>
  <c r="C62" i="42"/>
  <c r="C61" i="42"/>
  <c r="C60" i="42"/>
  <c r="C59" i="42"/>
  <c r="C58" i="42"/>
  <c r="C57" i="42"/>
  <c r="C56" i="42"/>
  <c r="C55" i="42"/>
  <c r="C54" i="42"/>
  <c r="C53" i="42"/>
  <c r="C52" i="42"/>
  <c r="D64" i="42" s="1"/>
  <c r="C72" i="41"/>
  <c r="C71" i="41"/>
  <c r="C70" i="41"/>
  <c r="C69" i="41"/>
  <c r="C68" i="41"/>
  <c r="D72" i="41" s="1"/>
  <c r="C64" i="41"/>
  <c r="C63" i="41"/>
  <c r="C62" i="41"/>
  <c r="C61" i="41"/>
  <c r="C60" i="41"/>
  <c r="C59" i="41"/>
  <c r="C58" i="41"/>
  <c r="C57" i="41"/>
  <c r="C56" i="41"/>
  <c r="C55" i="41"/>
  <c r="C54" i="41"/>
  <c r="C53" i="41"/>
  <c r="C52" i="41"/>
  <c r="D64" i="41" s="1"/>
  <c r="C72" i="40"/>
  <c r="C71" i="40"/>
  <c r="C70" i="40"/>
  <c r="C69" i="40"/>
  <c r="C68" i="40"/>
  <c r="C64" i="40"/>
  <c r="C63" i="40"/>
  <c r="C62" i="40"/>
  <c r="C61" i="40"/>
  <c r="C60" i="40"/>
  <c r="C59" i="40"/>
  <c r="C58" i="40"/>
  <c r="C57" i="40"/>
  <c r="C56" i="40"/>
  <c r="C55" i="40"/>
  <c r="C54" i="40"/>
  <c r="C53" i="40"/>
  <c r="C52" i="40"/>
  <c r="R166" i="17"/>
  <c r="R165" i="17"/>
  <c r="R164" i="17"/>
  <c r="R163" i="17"/>
  <c r="R162" i="17"/>
  <c r="R161" i="17"/>
  <c r="R160" i="17"/>
  <c r="R159" i="17"/>
  <c r="R158" i="17"/>
  <c r="R157" i="17"/>
  <c r="R156" i="17"/>
  <c r="R155" i="17"/>
  <c r="AJ51" i="19"/>
  <c r="AJ50" i="19"/>
  <c r="AJ49" i="19"/>
  <c r="AJ48" i="19"/>
  <c r="AK51" i="19" s="1"/>
  <c r="AJ47" i="19"/>
  <c r="AK51" i="16"/>
  <c r="AJ51" i="16"/>
  <c r="AJ50" i="16"/>
  <c r="AJ49" i="16"/>
  <c r="AJ48" i="16"/>
  <c r="AJ47" i="16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130" i="18" s="1"/>
  <c r="C88" i="18"/>
  <c r="C87" i="18"/>
  <c r="C86" i="18"/>
  <c r="C85" i="18"/>
  <c r="D88" i="18" s="1"/>
  <c r="C84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D80" i="18" s="1"/>
  <c r="C68" i="18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130" i="15" s="1"/>
  <c r="D88" i="15"/>
  <c r="C88" i="15"/>
  <c r="C87" i="15"/>
  <c r="C86" i="15"/>
  <c r="C85" i="15"/>
  <c r="C84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D80" i="15" s="1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130" i="14" s="1"/>
  <c r="D88" i="14"/>
  <c r="C88" i="14"/>
  <c r="C87" i="14"/>
  <c r="C86" i="14"/>
  <c r="C85" i="14"/>
  <c r="C84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D80" i="14" s="1"/>
  <c r="C68" i="14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130" i="13" s="1"/>
  <c r="D88" i="13"/>
  <c r="C88" i="13"/>
  <c r="C87" i="13"/>
  <c r="C86" i="13"/>
  <c r="C85" i="13"/>
  <c r="C84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D80" i="13" s="1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130" i="12" s="1"/>
  <c r="D88" i="12"/>
  <c r="C88" i="12"/>
  <c r="C87" i="12"/>
  <c r="C86" i="12"/>
  <c r="C85" i="12"/>
  <c r="C84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D80" i="12" s="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130" i="11" s="1"/>
  <c r="D88" i="11"/>
  <c r="C88" i="11"/>
  <c r="C87" i="11"/>
  <c r="C86" i="11"/>
  <c r="C85" i="11"/>
  <c r="C84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D80" i="11" s="1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130" i="10" s="1"/>
  <c r="C93" i="10"/>
  <c r="C92" i="10"/>
  <c r="C88" i="10"/>
  <c r="C87" i="10"/>
  <c r="C86" i="10"/>
  <c r="C85" i="10"/>
  <c r="D88" i="10" s="1"/>
  <c r="C84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D80" i="10" s="1"/>
  <c r="C68" i="10"/>
  <c r="A217" i="31"/>
  <c r="A218" i="31"/>
  <c r="A216" i="31"/>
  <c r="A214" i="31"/>
  <c r="A215" i="31"/>
  <c r="A213" i="31"/>
  <c r="A211" i="31"/>
  <c r="A212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D64" i="43" l="1"/>
  <c r="C81" i="43"/>
  <c r="D72" i="43"/>
  <c r="C97" i="43"/>
  <c r="S166" i="17"/>
  <c r="D72" i="40"/>
  <c r="D64" i="40"/>
  <c r="M5" i="16"/>
  <c r="AE5" i="16" s="1"/>
  <c r="M8" i="16"/>
  <c r="AE8" i="16" s="1"/>
  <c r="M12" i="16"/>
  <c r="AE12" i="16" s="1"/>
  <c r="M16" i="16"/>
  <c r="AE16" i="16" s="1"/>
  <c r="M17" i="16"/>
  <c r="AE17" i="16" s="1"/>
  <c r="M20" i="16"/>
  <c r="AE20" i="16" s="1"/>
  <c r="M21" i="16"/>
  <c r="AE21" i="16" s="1"/>
  <c r="M24" i="16"/>
  <c r="AE24" i="16" s="1"/>
  <c r="M28" i="16"/>
  <c r="AE28" i="16" s="1"/>
  <c r="M32" i="16"/>
  <c r="AE32" i="16" s="1"/>
  <c r="M33" i="16"/>
  <c r="AE33" i="16" s="1"/>
  <c r="M36" i="16"/>
  <c r="AE36" i="16" s="1"/>
  <c r="M37" i="16"/>
  <c r="AE37" i="16" s="1"/>
  <c r="M40" i="16"/>
  <c r="AE40" i="16" s="1"/>
  <c r="M41" i="16"/>
  <c r="AE41" i="16" s="1"/>
  <c r="M39" i="16"/>
  <c r="AE39" i="16" s="1"/>
  <c r="M38" i="16"/>
  <c r="AE38" i="16" s="1"/>
  <c r="M35" i="16"/>
  <c r="AE35" i="16" s="1"/>
  <c r="M34" i="16"/>
  <c r="AE34" i="16" s="1"/>
  <c r="M31" i="16"/>
  <c r="AE31" i="16" s="1"/>
  <c r="M30" i="16"/>
  <c r="AE30" i="16" s="1"/>
  <c r="M29" i="16"/>
  <c r="AE29" i="16" s="1"/>
  <c r="M27" i="16"/>
  <c r="AE27" i="16" s="1"/>
  <c r="M26" i="16"/>
  <c r="AE26" i="16" s="1"/>
  <c r="M25" i="16"/>
  <c r="AE25" i="16" s="1"/>
  <c r="M23" i="16"/>
  <c r="AE23" i="16" s="1"/>
  <c r="M22" i="16"/>
  <c r="AE22" i="16" s="1"/>
  <c r="M19" i="16"/>
  <c r="AE19" i="16" s="1"/>
  <c r="M18" i="16"/>
  <c r="AE18" i="16" s="1"/>
  <c r="M15" i="16"/>
  <c r="AE15" i="16" s="1"/>
  <c r="M14" i="16"/>
  <c r="AE14" i="16" s="1"/>
  <c r="M13" i="16"/>
  <c r="AE13" i="16" s="1"/>
  <c r="M11" i="16"/>
  <c r="AE11" i="16" s="1"/>
  <c r="M10" i="16"/>
  <c r="AE10" i="16" s="1"/>
  <c r="M9" i="16"/>
  <c r="AE9" i="16" s="1"/>
  <c r="M7" i="16"/>
  <c r="AE7" i="16" s="1"/>
  <c r="M6" i="16"/>
  <c r="AE6" i="16" s="1"/>
  <c r="M4" i="16"/>
  <c r="AX5" i="16"/>
  <c r="AY5" i="16"/>
  <c r="AZ5" i="16"/>
  <c r="BA5" i="16"/>
  <c r="N5" i="16"/>
  <c r="AF5" i="16" s="1"/>
  <c r="AX6" i="16"/>
  <c r="AY6" i="16"/>
  <c r="AZ6" i="16"/>
  <c r="BA6" i="16"/>
  <c r="N6" i="16"/>
  <c r="AF6" i="16" s="1"/>
  <c r="AX7" i="16"/>
  <c r="AZ7" i="16"/>
  <c r="BA7" i="16"/>
  <c r="N7" i="16"/>
  <c r="AF7" i="16" s="1"/>
  <c r="AY8" i="16"/>
  <c r="AZ8" i="16"/>
  <c r="BA8" i="16"/>
  <c r="N8" i="16"/>
  <c r="AF8" i="16" s="1"/>
  <c r="AX9" i="16"/>
  <c r="AY9" i="16"/>
  <c r="AZ9" i="16"/>
  <c r="N9" i="16"/>
  <c r="AF9" i="16" s="1"/>
  <c r="AX10" i="16"/>
  <c r="AY10" i="16"/>
  <c r="BA10" i="16"/>
  <c r="N10" i="16"/>
  <c r="AF10" i="16" s="1"/>
  <c r="AX11" i="16"/>
  <c r="AZ11" i="16"/>
  <c r="BA11" i="16"/>
  <c r="N11" i="16"/>
  <c r="AF11" i="16" s="1"/>
  <c r="AY12" i="16"/>
  <c r="AZ12" i="16"/>
  <c r="BA12" i="16"/>
  <c r="N12" i="16"/>
  <c r="AF12" i="16" s="1"/>
  <c r="AX13" i="16"/>
  <c r="AY13" i="16"/>
  <c r="AZ13" i="16"/>
  <c r="BA13" i="16"/>
  <c r="N13" i="16"/>
  <c r="AF13" i="16" s="1"/>
  <c r="AX14" i="16"/>
  <c r="AY14" i="16"/>
  <c r="BA14" i="16"/>
  <c r="N14" i="16"/>
  <c r="AF14" i="16" s="1"/>
  <c r="AX15" i="16"/>
  <c r="AY15" i="16"/>
  <c r="AZ15" i="16"/>
  <c r="BA15" i="16"/>
  <c r="N15" i="16"/>
  <c r="AF15" i="16" s="1"/>
  <c r="AY16" i="16"/>
  <c r="AZ16" i="16"/>
  <c r="BA16" i="16"/>
  <c r="N16" i="16"/>
  <c r="AF16" i="16" s="1"/>
  <c r="AX17" i="16"/>
  <c r="AY17" i="16"/>
  <c r="AZ17" i="16"/>
  <c r="N17" i="16"/>
  <c r="AF17" i="16" s="1"/>
  <c r="AX18" i="16"/>
  <c r="AY18" i="16"/>
  <c r="BA18" i="16"/>
  <c r="N18" i="16"/>
  <c r="AF18" i="16" s="1"/>
  <c r="AX19" i="16"/>
  <c r="AZ19" i="16"/>
  <c r="BA19" i="16"/>
  <c r="N19" i="16"/>
  <c r="AF19" i="16" s="1"/>
  <c r="AY20" i="16"/>
  <c r="AZ20" i="16"/>
  <c r="BA20" i="16"/>
  <c r="N20" i="16"/>
  <c r="AF20" i="16" s="1"/>
  <c r="AX21" i="16"/>
  <c r="AY21" i="16"/>
  <c r="AZ21" i="16"/>
  <c r="N21" i="16"/>
  <c r="AF21" i="16" s="1"/>
  <c r="AX22" i="16"/>
  <c r="AY22" i="16"/>
  <c r="BA22" i="16"/>
  <c r="N22" i="16"/>
  <c r="AF22" i="16" s="1"/>
  <c r="AX23" i="16"/>
  <c r="AY23" i="16"/>
  <c r="AZ23" i="16"/>
  <c r="BA23" i="16"/>
  <c r="N23" i="16"/>
  <c r="AF23" i="16" s="1"/>
  <c r="AX24" i="16"/>
  <c r="AY24" i="16"/>
  <c r="AZ24" i="16"/>
  <c r="BA24" i="16"/>
  <c r="N24" i="16"/>
  <c r="AF24" i="16" s="1"/>
  <c r="AX25" i="16"/>
  <c r="AY25" i="16"/>
  <c r="AZ25" i="16"/>
  <c r="BA25" i="16"/>
  <c r="N25" i="16"/>
  <c r="AF25" i="16" s="1"/>
  <c r="AX26" i="16"/>
  <c r="AY26" i="16"/>
  <c r="BA26" i="16"/>
  <c r="N26" i="16"/>
  <c r="AF26" i="16" s="1"/>
  <c r="AX27" i="16"/>
  <c r="AZ27" i="16"/>
  <c r="BA27" i="16"/>
  <c r="N27" i="16"/>
  <c r="AF27" i="16" s="1"/>
  <c r="AX28" i="16"/>
  <c r="AY28" i="16"/>
  <c r="AZ28" i="16"/>
  <c r="BA28" i="16"/>
  <c r="N28" i="16"/>
  <c r="AF28" i="16" s="1"/>
  <c r="AX29" i="16"/>
  <c r="AY29" i="16"/>
  <c r="AZ29" i="16"/>
  <c r="BA29" i="16"/>
  <c r="N29" i="16"/>
  <c r="AF29" i="16" s="1"/>
  <c r="AX30" i="16"/>
  <c r="AY30" i="16"/>
  <c r="BA30" i="16"/>
  <c r="N30" i="16"/>
  <c r="AF30" i="16" s="1"/>
  <c r="AX31" i="16"/>
  <c r="AZ31" i="16"/>
  <c r="BA31" i="16"/>
  <c r="N31" i="16"/>
  <c r="AF31" i="16" s="1"/>
  <c r="AY32" i="16"/>
  <c r="AZ32" i="16"/>
  <c r="BA32" i="16"/>
  <c r="N32" i="16"/>
  <c r="AF32" i="16" s="1"/>
  <c r="AX33" i="16"/>
  <c r="AY33" i="16"/>
  <c r="AZ33" i="16"/>
  <c r="N33" i="16"/>
  <c r="AF33" i="16" s="1"/>
  <c r="AX34" i="16"/>
  <c r="AY34" i="16"/>
  <c r="BA34" i="16"/>
  <c r="N34" i="16"/>
  <c r="AF34" i="16" s="1"/>
  <c r="AX35" i="16"/>
  <c r="AZ35" i="16"/>
  <c r="BA35" i="16"/>
  <c r="N35" i="16"/>
  <c r="AF35" i="16" s="1"/>
  <c r="AY36" i="16"/>
  <c r="AZ36" i="16"/>
  <c r="BA36" i="16"/>
  <c r="N36" i="16"/>
  <c r="AF36" i="16" s="1"/>
  <c r="AX37" i="16"/>
  <c r="AY37" i="16"/>
  <c r="AZ37" i="16"/>
  <c r="N37" i="16"/>
  <c r="AF37" i="16" s="1"/>
  <c r="AX38" i="16"/>
  <c r="AY38" i="16"/>
  <c r="BA38" i="16"/>
  <c r="N38" i="16"/>
  <c r="AF38" i="16" s="1"/>
  <c r="AX39" i="16"/>
  <c r="AZ39" i="16"/>
  <c r="BA39" i="16"/>
  <c r="N39" i="16"/>
  <c r="AF39" i="16" s="1"/>
  <c r="AY40" i="16"/>
  <c r="AZ40" i="16"/>
  <c r="BA40" i="16"/>
  <c r="N40" i="16"/>
  <c r="AF40" i="16" s="1"/>
  <c r="AX41" i="16"/>
  <c r="AY41" i="16"/>
  <c r="AZ41" i="16"/>
  <c r="N41" i="16"/>
  <c r="AF41" i="16" s="1"/>
  <c r="AY4" i="16"/>
  <c r="AZ4" i="16"/>
  <c r="BA4" i="16"/>
  <c r="AX4" i="16"/>
  <c r="J5" i="16"/>
  <c r="Y5" i="16" s="1"/>
  <c r="J6" i="16"/>
  <c r="Y6" i="16" s="1"/>
  <c r="J7" i="16"/>
  <c r="Y7" i="16" s="1"/>
  <c r="J8" i="16"/>
  <c r="Y8" i="16" s="1"/>
  <c r="J9" i="16"/>
  <c r="Y9" i="16" s="1"/>
  <c r="J10" i="16"/>
  <c r="Y10" i="16" s="1"/>
  <c r="J11" i="16"/>
  <c r="Y11" i="16" s="1"/>
  <c r="J12" i="16"/>
  <c r="Y12" i="16" s="1"/>
  <c r="J13" i="16"/>
  <c r="Y13" i="16" s="1"/>
  <c r="J14" i="16"/>
  <c r="Y14" i="16" s="1"/>
  <c r="J15" i="16"/>
  <c r="Y15" i="16" s="1"/>
  <c r="J16" i="16"/>
  <c r="Y16" i="16" s="1"/>
  <c r="J17" i="16"/>
  <c r="Y17" i="16" s="1"/>
  <c r="J18" i="16"/>
  <c r="Y18" i="16" s="1"/>
  <c r="J19" i="16"/>
  <c r="Y19" i="16" s="1"/>
  <c r="J20" i="16"/>
  <c r="Y20" i="16" s="1"/>
  <c r="J21" i="16"/>
  <c r="Y21" i="16" s="1"/>
  <c r="J22" i="16"/>
  <c r="Y22" i="16" s="1"/>
  <c r="J23" i="16"/>
  <c r="Y23" i="16" s="1"/>
  <c r="J24" i="16"/>
  <c r="Y24" i="16" s="1"/>
  <c r="J25" i="16"/>
  <c r="Y25" i="16" s="1"/>
  <c r="J26" i="16"/>
  <c r="Y26" i="16" s="1"/>
  <c r="J27" i="16"/>
  <c r="Y27" i="16" s="1"/>
  <c r="J28" i="16"/>
  <c r="Y28" i="16" s="1"/>
  <c r="J29" i="16"/>
  <c r="Y29" i="16" s="1"/>
  <c r="J30" i="16"/>
  <c r="Y30" i="16" s="1"/>
  <c r="J31" i="16"/>
  <c r="Y31" i="16" s="1"/>
  <c r="J32" i="16"/>
  <c r="Y32" i="16" s="1"/>
  <c r="J33" i="16"/>
  <c r="Y33" i="16" s="1"/>
  <c r="J34" i="16"/>
  <c r="Y34" i="16" s="1"/>
  <c r="J35" i="16"/>
  <c r="Y35" i="16" s="1"/>
  <c r="J36" i="16"/>
  <c r="Y36" i="16" s="1"/>
  <c r="J37" i="16"/>
  <c r="Y37" i="16" s="1"/>
  <c r="J38" i="16"/>
  <c r="Y38" i="16" s="1"/>
  <c r="J39" i="16"/>
  <c r="Y39" i="16" s="1"/>
  <c r="J40" i="16"/>
  <c r="Y40" i="16" s="1"/>
  <c r="J41" i="16"/>
  <c r="Y41" i="16" s="1"/>
  <c r="J4" i="16"/>
  <c r="K5" i="16"/>
  <c r="Z5" i="16" s="1"/>
  <c r="K6" i="16"/>
  <c r="Z6" i="16" s="1"/>
  <c r="K7" i="16"/>
  <c r="Z7" i="16" s="1"/>
  <c r="K8" i="16"/>
  <c r="Z8" i="16" s="1"/>
  <c r="K9" i="16"/>
  <c r="Z9" i="16" s="1"/>
  <c r="K10" i="16"/>
  <c r="Z10" i="16" s="1"/>
  <c r="K11" i="16"/>
  <c r="Z11" i="16" s="1"/>
  <c r="K12" i="16"/>
  <c r="Z12" i="16" s="1"/>
  <c r="K13" i="16"/>
  <c r="Z13" i="16" s="1"/>
  <c r="K14" i="16"/>
  <c r="Z14" i="16" s="1"/>
  <c r="K15" i="16"/>
  <c r="Z15" i="16" s="1"/>
  <c r="K16" i="16"/>
  <c r="Z16" i="16" s="1"/>
  <c r="K17" i="16"/>
  <c r="Z17" i="16" s="1"/>
  <c r="K18" i="16"/>
  <c r="Z18" i="16" s="1"/>
  <c r="K19" i="16"/>
  <c r="Z19" i="16" s="1"/>
  <c r="K20" i="16"/>
  <c r="Z20" i="16" s="1"/>
  <c r="K21" i="16"/>
  <c r="Z21" i="16" s="1"/>
  <c r="K22" i="16"/>
  <c r="Z22" i="16" s="1"/>
  <c r="K23" i="16"/>
  <c r="Z23" i="16" s="1"/>
  <c r="K24" i="16"/>
  <c r="Z24" i="16" s="1"/>
  <c r="K25" i="16"/>
  <c r="Z25" i="16" s="1"/>
  <c r="K26" i="16"/>
  <c r="Z26" i="16" s="1"/>
  <c r="K27" i="16"/>
  <c r="Z27" i="16" s="1"/>
  <c r="K28" i="16"/>
  <c r="Z28" i="16" s="1"/>
  <c r="K29" i="16"/>
  <c r="Z29" i="16" s="1"/>
  <c r="K30" i="16"/>
  <c r="Z30" i="16" s="1"/>
  <c r="K31" i="16"/>
  <c r="Z31" i="16" s="1"/>
  <c r="K32" i="16"/>
  <c r="Z32" i="16" s="1"/>
  <c r="K33" i="16"/>
  <c r="Z33" i="16" s="1"/>
  <c r="K34" i="16"/>
  <c r="Z34" i="16" s="1"/>
  <c r="K35" i="16"/>
  <c r="Z35" i="16" s="1"/>
  <c r="K36" i="16"/>
  <c r="Z36" i="16" s="1"/>
  <c r="K37" i="16"/>
  <c r="Z37" i="16" s="1"/>
  <c r="K38" i="16"/>
  <c r="Z38" i="16" s="1"/>
  <c r="K39" i="16"/>
  <c r="Z39" i="16" s="1"/>
  <c r="K40" i="16"/>
  <c r="Z40" i="16" s="1"/>
  <c r="K41" i="16"/>
  <c r="Z41" i="16" s="1"/>
  <c r="K4" i="16"/>
  <c r="I5" i="16"/>
  <c r="X5" i="16" s="1"/>
  <c r="I6" i="16"/>
  <c r="X6" i="16" s="1"/>
  <c r="I7" i="16"/>
  <c r="X7" i="16" s="1"/>
  <c r="I8" i="16"/>
  <c r="X8" i="16" s="1"/>
  <c r="I9" i="16"/>
  <c r="X9" i="16" s="1"/>
  <c r="I10" i="16"/>
  <c r="X10" i="16" s="1"/>
  <c r="I11" i="16"/>
  <c r="X11" i="16" s="1"/>
  <c r="I12" i="16"/>
  <c r="X12" i="16" s="1"/>
  <c r="I13" i="16"/>
  <c r="X13" i="16" s="1"/>
  <c r="I14" i="16"/>
  <c r="X14" i="16" s="1"/>
  <c r="I15" i="16"/>
  <c r="X15" i="16" s="1"/>
  <c r="I16" i="16"/>
  <c r="X16" i="16" s="1"/>
  <c r="I17" i="16"/>
  <c r="X17" i="16" s="1"/>
  <c r="I18" i="16"/>
  <c r="X18" i="16" s="1"/>
  <c r="I19" i="16"/>
  <c r="X19" i="16" s="1"/>
  <c r="I20" i="16"/>
  <c r="X20" i="16" s="1"/>
  <c r="I21" i="16"/>
  <c r="X21" i="16" s="1"/>
  <c r="I22" i="16"/>
  <c r="X22" i="16" s="1"/>
  <c r="I23" i="16"/>
  <c r="X23" i="16" s="1"/>
  <c r="I24" i="16"/>
  <c r="X24" i="16" s="1"/>
  <c r="I25" i="16"/>
  <c r="X25" i="16" s="1"/>
  <c r="I26" i="16"/>
  <c r="X26" i="16" s="1"/>
  <c r="I27" i="16"/>
  <c r="X27" i="16" s="1"/>
  <c r="I28" i="16"/>
  <c r="X28" i="16" s="1"/>
  <c r="I29" i="16"/>
  <c r="X29" i="16" s="1"/>
  <c r="I30" i="16"/>
  <c r="X30" i="16" s="1"/>
  <c r="I31" i="16"/>
  <c r="X31" i="16" s="1"/>
  <c r="I32" i="16"/>
  <c r="X32" i="16" s="1"/>
  <c r="I33" i="16"/>
  <c r="X33" i="16" s="1"/>
  <c r="I34" i="16"/>
  <c r="X34" i="16" s="1"/>
  <c r="I35" i="16"/>
  <c r="X35" i="16" s="1"/>
  <c r="I36" i="16"/>
  <c r="X36" i="16" s="1"/>
  <c r="I37" i="16"/>
  <c r="X37" i="16" s="1"/>
  <c r="I38" i="16"/>
  <c r="X38" i="16" s="1"/>
  <c r="I39" i="16"/>
  <c r="X39" i="16" s="1"/>
  <c r="I40" i="16"/>
  <c r="X40" i="16" s="1"/>
  <c r="I41" i="16"/>
  <c r="X41" i="16" s="1"/>
  <c r="I4" i="16"/>
  <c r="H5" i="16"/>
  <c r="W5" i="16" s="1"/>
  <c r="H6" i="16"/>
  <c r="W6" i="16" s="1"/>
  <c r="H7" i="16"/>
  <c r="W7" i="16" s="1"/>
  <c r="H8" i="16"/>
  <c r="W8" i="16" s="1"/>
  <c r="H9" i="16"/>
  <c r="W9" i="16" s="1"/>
  <c r="H10" i="16"/>
  <c r="W10" i="16" s="1"/>
  <c r="H11" i="16"/>
  <c r="W11" i="16" s="1"/>
  <c r="H12" i="16"/>
  <c r="W12" i="16" s="1"/>
  <c r="H13" i="16"/>
  <c r="W13" i="16" s="1"/>
  <c r="H14" i="16"/>
  <c r="W14" i="16" s="1"/>
  <c r="H15" i="16"/>
  <c r="W15" i="16" s="1"/>
  <c r="H16" i="16"/>
  <c r="W16" i="16" s="1"/>
  <c r="H17" i="16"/>
  <c r="W17" i="16" s="1"/>
  <c r="H18" i="16"/>
  <c r="W18" i="16" s="1"/>
  <c r="H19" i="16"/>
  <c r="W19" i="16" s="1"/>
  <c r="H20" i="16"/>
  <c r="W20" i="16" s="1"/>
  <c r="H21" i="16"/>
  <c r="W21" i="16" s="1"/>
  <c r="H22" i="16"/>
  <c r="W22" i="16" s="1"/>
  <c r="H23" i="16"/>
  <c r="W23" i="16" s="1"/>
  <c r="H24" i="16"/>
  <c r="W24" i="16" s="1"/>
  <c r="H25" i="16"/>
  <c r="W25" i="16" s="1"/>
  <c r="H26" i="16"/>
  <c r="W26" i="16" s="1"/>
  <c r="H27" i="16"/>
  <c r="W27" i="16" s="1"/>
  <c r="H28" i="16"/>
  <c r="W28" i="16" s="1"/>
  <c r="H29" i="16"/>
  <c r="W29" i="16" s="1"/>
  <c r="H30" i="16"/>
  <c r="W30" i="16" s="1"/>
  <c r="H31" i="16"/>
  <c r="W31" i="16" s="1"/>
  <c r="H32" i="16"/>
  <c r="W32" i="16" s="1"/>
  <c r="H33" i="16"/>
  <c r="W33" i="16" s="1"/>
  <c r="H34" i="16"/>
  <c r="W34" i="16" s="1"/>
  <c r="H35" i="16"/>
  <c r="W35" i="16" s="1"/>
  <c r="H36" i="16"/>
  <c r="W36" i="16" s="1"/>
  <c r="H37" i="16"/>
  <c r="W37" i="16" s="1"/>
  <c r="H38" i="16"/>
  <c r="W38" i="16" s="1"/>
  <c r="H39" i="16"/>
  <c r="W39" i="16" s="1"/>
  <c r="H40" i="16"/>
  <c r="W40" i="16" s="1"/>
  <c r="H41" i="16"/>
  <c r="W41" i="16" s="1"/>
  <c r="H4" i="16"/>
  <c r="W4" i="16" s="1"/>
  <c r="G5" i="16"/>
  <c r="V5" i="16" s="1"/>
  <c r="G6" i="16"/>
  <c r="V6" i="16" s="1"/>
  <c r="G7" i="16"/>
  <c r="V7" i="16" s="1"/>
  <c r="G8" i="16"/>
  <c r="V8" i="16" s="1"/>
  <c r="G9" i="16"/>
  <c r="V9" i="16" s="1"/>
  <c r="G10" i="16"/>
  <c r="V10" i="16" s="1"/>
  <c r="G11" i="16"/>
  <c r="V11" i="16" s="1"/>
  <c r="G12" i="16"/>
  <c r="V12" i="16" s="1"/>
  <c r="G13" i="16"/>
  <c r="V13" i="16" s="1"/>
  <c r="G14" i="16"/>
  <c r="V14" i="16" s="1"/>
  <c r="G15" i="16"/>
  <c r="V15" i="16" s="1"/>
  <c r="G16" i="16"/>
  <c r="V16" i="16" s="1"/>
  <c r="G17" i="16"/>
  <c r="V17" i="16" s="1"/>
  <c r="G18" i="16"/>
  <c r="V18" i="16" s="1"/>
  <c r="G19" i="16"/>
  <c r="V19" i="16" s="1"/>
  <c r="G20" i="16"/>
  <c r="V20" i="16" s="1"/>
  <c r="G21" i="16"/>
  <c r="V21" i="16" s="1"/>
  <c r="G22" i="16"/>
  <c r="V22" i="16" s="1"/>
  <c r="G23" i="16"/>
  <c r="V23" i="16" s="1"/>
  <c r="G24" i="16"/>
  <c r="V24" i="16" s="1"/>
  <c r="G25" i="16"/>
  <c r="V25" i="16" s="1"/>
  <c r="G26" i="16"/>
  <c r="V26" i="16" s="1"/>
  <c r="G27" i="16"/>
  <c r="V27" i="16" s="1"/>
  <c r="G28" i="16"/>
  <c r="V28" i="16" s="1"/>
  <c r="G29" i="16"/>
  <c r="V29" i="16" s="1"/>
  <c r="G30" i="16"/>
  <c r="V30" i="16" s="1"/>
  <c r="G31" i="16"/>
  <c r="V31" i="16" s="1"/>
  <c r="G32" i="16"/>
  <c r="V32" i="16" s="1"/>
  <c r="G33" i="16"/>
  <c r="V33" i="16" s="1"/>
  <c r="G34" i="16"/>
  <c r="V34" i="16" s="1"/>
  <c r="G35" i="16"/>
  <c r="V35" i="16" s="1"/>
  <c r="G36" i="16"/>
  <c r="V36" i="16" s="1"/>
  <c r="G37" i="16"/>
  <c r="V37" i="16" s="1"/>
  <c r="G38" i="16"/>
  <c r="V38" i="16" s="1"/>
  <c r="G39" i="16"/>
  <c r="V39" i="16" s="1"/>
  <c r="G40" i="16"/>
  <c r="V40" i="16" s="1"/>
  <c r="G41" i="16"/>
  <c r="V41" i="16" s="1"/>
  <c r="G4" i="16"/>
  <c r="F5" i="16"/>
  <c r="U5" i="16" s="1"/>
  <c r="F6" i="16"/>
  <c r="U6" i="16" s="1"/>
  <c r="F7" i="16"/>
  <c r="U7" i="16" s="1"/>
  <c r="F8" i="16"/>
  <c r="U8" i="16" s="1"/>
  <c r="F9" i="16"/>
  <c r="U9" i="16" s="1"/>
  <c r="F10" i="16"/>
  <c r="U10" i="16" s="1"/>
  <c r="F11" i="16"/>
  <c r="U11" i="16" s="1"/>
  <c r="F12" i="16"/>
  <c r="U12" i="16" s="1"/>
  <c r="F13" i="16"/>
  <c r="U13" i="16" s="1"/>
  <c r="F14" i="16"/>
  <c r="U14" i="16" s="1"/>
  <c r="F15" i="16"/>
  <c r="U15" i="16" s="1"/>
  <c r="F16" i="16"/>
  <c r="U16" i="16" s="1"/>
  <c r="F17" i="16"/>
  <c r="U17" i="16" s="1"/>
  <c r="F18" i="16"/>
  <c r="U18" i="16" s="1"/>
  <c r="F19" i="16"/>
  <c r="U19" i="16" s="1"/>
  <c r="F20" i="16"/>
  <c r="U20" i="16" s="1"/>
  <c r="F21" i="16"/>
  <c r="U21" i="16" s="1"/>
  <c r="F22" i="16"/>
  <c r="U22" i="16" s="1"/>
  <c r="F23" i="16"/>
  <c r="U23" i="16" s="1"/>
  <c r="F24" i="16"/>
  <c r="U24" i="16" s="1"/>
  <c r="F25" i="16"/>
  <c r="U25" i="16" s="1"/>
  <c r="F26" i="16"/>
  <c r="U26" i="16" s="1"/>
  <c r="F27" i="16"/>
  <c r="U27" i="16" s="1"/>
  <c r="F28" i="16"/>
  <c r="U28" i="16" s="1"/>
  <c r="F29" i="16"/>
  <c r="U29" i="16" s="1"/>
  <c r="F30" i="16"/>
  <c r="U30" i="16" s="1"/>
  <c r="F31" i="16"/>
  <c r="U31" i="16" s="1"/>
  <c r="F32" i="16"/>
  <c r="U32" i="16" s="1"/>
  <c r="F33" i="16"/>
  <c r="U33" i="16" s="1"/>
  <c r="F34" i="16"/>
  <c r="U34" i="16" s="1"/>
  <c r="F35" i="16"/>
  <c r="U35" i="16" s="1"/>
  <c r="F36" i="16"/>
  <c r="U36" i="16" s="1"/>
  <c r="F37" i="16"/>
  <c r="U37" i="16" s="1"/>
  <c r="F38" i="16"/>
  <c r="U38" i="16" s="1"/>
  <c r="F39" i="16"/>
  <c r="U39" i="16" s="1"/>
  <c r="F40" i="16"/>
  <c r="U40" i="16" s="1"/>
  <c r="F41" i="16"/>
  <c r="U41" i="16" s="1"/>
  <c r="F4" i="16"/>
  <c r="E5" i="16"/>
  <c r="T5" i="16" s="1"/>
  <c r="E6" i="16"/>
  <c r="T6" i="16" s="1"/>
  <c r="E7" i="16"/>
  <c r="T7" i="16" s="1"/>
  <c r="E8" i="16"/>
  <c r="T8" i="16" s="1"/>
  <c r="E9" i="16"/>
  <c r="T9" i="16" s="1"/>
  <c r="E10" i="16"/>
  <c r="T10" i="16" s="1"/>
  <c r="E11" i="16"/>
  <c r="T11" i="16" s="1"/>
  <c r="E12" i="16"/>
  <c r="T12" i="16" s="1"/>
  <c r="E13" i="16"/>
  <c r="T13" i="16" s="1"/>
  <c r="E14" i="16"/>
  <c r="T14" i="16" s="1"/>
  <c r="E15" i="16"/>
  <c r="T15" i="16" s="1"/>
  <c r="E16" i="16"/>
  <c r="T16" i="16" s="1"/>
  <c r="E17" i="16"/>
  <c r="T17" i="16" s="1"/>
  <c r="E18" i="16"/>
  <c r="T18" i="16" s="1"/>
  <c r="E19" i="16"/>
  <c r="T19" i="16" s="1"/>
  <c r="E20" i="16"/>
  <c r="T20" i="16" s="1"/>
  <c r="E21" i="16"/>
  <c r="T21" i="16" s="1"/>
  <c r="E22" i="16"/>
  <c r="T22" i="16" s="1"/>
  <c r="E23" i="16"/>
  <c r="T23" i="16" s="1"/>
  <c r="E24" i="16"/>
  <c r="T24" i="16" s="1"/>
  <c r="E25" i="16"/>
  <c r="T25" i="16" s="1"/>
  <c r="E26" i="16"/>
  <c r="T26" i="16" s="1"/>
  <c r="E27" i="16"/>
  <c r="T27" i="16" s="1"/>
  <c r="E28" i="16"/>
  <c r="T28" i="16" s="1"/>
  <c r="E29" i="16"/>
  <c r="T29" i="16" s="1"/>
  <c r="E30" i="16"/>
  <c r="T30" i="16" s="1"/>
  <c r="E31" i="16"/>
  <c r="T31" i="16" s="1"/>
  <c r="E32" i="16"/>
  <c r="T32" i="16" s="1"/>
  <c r="E33" i="16"/>
  <c r="T33" i="16" s="1"/>
  <c r="E34" i="16"/>
  <c r="T34" i="16" s="1"/>
  <c r="E35" i="16"/>
  <c r="T35" i="16" s="1"/>
  <c r="E36" i="16"/>
  <c r="T36" i="16" s="1"/>
  <c r="E37" i="16"/>
  <c r="T37" i="16" s="1"/>
  <c r="E38" i="16"/>
  <c r="T38" i="16" s="1"/>
  <c r="E39" i="16"/>
  <c r="T39" i="16" s="1"/>
  <c r="E40" i="16"/>
  <c r="T40" i="16" s="1"/>
  <c r="E41" i="16"/>
  <c r="T41" i="16" s="1"/>
  <c r="E4" i="16"/>
  <c r="D5" i="16"/>
  <c r="S5" i="16" s="1"/>
  <c r="D6" i="16"/>
  <c r="S6" i="16" s="1"/>
  <c r="D7" i="16"/>
  <c r="S7" i="16" s="1"/>
  <c r="D8" i="16"/>
  <c r="S8" i="16" s="1"/>
  <c r="D9" i="16"/>
  <c r="S9" i="16" s="1"/>
  <c r="D10" i="16"/>
  <c r="S10" i="16" s="1"/>
  <c r="D11" i="16"/>
  <c r="S11" i="16" s="1"/>
  <c r="D12" i="16"/>
  <c r="S12" i="16" s="1"/>
  <c r="D13" i="16"/>
  <c r="S13" i="16" s="1"/>
  <c r="D14" i="16"/>
  <c r="S14" i="16" s="1"/>
  <c r="D15" i="16"/>
  <c r="S15" i="16" s="1"/>
  <c r="D16" i="16"/>
  <c r="S16" i="16" s="1"/>
  <c r="D17" i="16"/>
  <c r="S17" i="16" s="1"/>
  <c r="D18" i="16"/>
  <c r="S18" i="16" s="1"/>
  <c r="D19" i="16"/>
  <c r="S19" i="16" s="1"/>
  <c r="D20" i="16"/>
  <c r="S20" i="16" s="1"/>
  <c r="D21" i="16"/>
  <c r="S21" i="16" s="1"/>
  <c r="D22" i="16"/>
  <c r="S22" i="16" s="1"/>
  <c r="D23" i="16"/>
  <c r="S23" i="16" s="1"/>
  <c r="D24" i="16"/>
  <c r="S24" i="16" s="1"/>
  <c r="D25" i="16"/>
  <c r="S25" i="16" s="1"/>
  <c r="D26" i="16"/>
  <c r="S26" i="16" s="1"/>
  <c r="D27" i="16"/>
  <c r="S27" i="16" s="1"/>
  <c r="D28" i="16"/>
  <c r="S28" i="16" s="1"/>
  <c r="D29" i="16"/>
  <c r="S29" i="16" s="1"/>
  <c r="D30" i="16"/>
  <c r="S30" i="16" s="1"/>
  <c r="D31" i="16"/>
  <c r="S31" i="16" s="1"/>
  <c r="D32" i="16"/>
  <c r="S32" i="16" s="1"/>
  <c r="D33" i="16"/>
  <c r="S33" i="16" s="1"/>
  <c r="D34" i="16"/>
  <c r="S34" i="16" s="1"/>
  <c r="D35" i="16"/>
  <c r="S35" i="16" s="1"/>
  <c r="D36" i="16"/>
  <c r="S36" i="16" s="1"/>
  <c r="D37" i="16"/>
  <c r="S37" i="16" s="1"/>
  <c r="D38" i="16"/>
  <c r="S38" i="16" s="1"/>
  <c r="D39" i="16"/>
  <c r="S39" i="16" s="1"/>
  <c r="D40" i="16"/>
  <c r="S40" i="16" s="1"/>
  <c r="D41" i="16"/>
  <c r="S41" i="16" s="1"/>
  <c r="D4" i="16"/>
  <c r="S4" i="16" s="1"/>
  <c r="C5" i="16"/>
  <c r="C6" i="16"/>
  <c r="R6" i="16" s="1"/>
  <c r="C7" i="16"/>
  <c r="C8" i="16"/>
  <c r="R8" i="16" s="1"/>
  <c r="C9" i="16"/>
  <c r="R9" i="16" s="1"/>
  <c r="C10" i="16"/>
  <c r="R10" i="16" s="1"/>
  <c r="C11" i="16"/>
  <c r="R11" i="16" s="1"/>
  <c r="C12" i="16"/>
  <c r="R12" i="16" s="1"/>
  <c r="C13" i="16"/>
  <c r="R13" i="16" s="1"/>
  <c r="C14" i="16"/>
  <c r="R14" i="16" s="1"/>
  <c r="C15" i="16"/>
  <c r="C16" i="16"/>
  <c r="R16" i="16" s="1"/>
  <c r="C17" i="16"/>
  <c r="R17" i="16" s="1"/>
  <c r="C18" i="16"/>
  <c r="R18" i="16" s="1"/>
  <c r="C19" i="16"/>
  <c r="C20" i="16"/>
  <c r="R20" i="16" s="1"/>
  <c r="C21" i="16"/>
  <c r="R21" i="16" s="1"/>
  <c r="C22" i="16"/>
  <c r="R22" i="16" s="1"/>
  <c r="C23" i="16"/>
  <c r="R23" i="16" s="1"/>
  <c r="C24" i="16"/>
  <c r="R24" i="16" s="1"/>
  <c r="C25" i="16"/>
  <c r="C26" i="16"/>
  <c r="R26" i="16" s="1"/>
  <c r="C27" i="16"/>
  <c r="R27" i="16" s="1"/>
  <c r="C28" i="16"/>
  <c r="R28" i="16" s="1"/>
  <c r="C29" i="16"/>
  <c r="R29" i="16" s="1"/>
  <c r="C30" i="16"/>
  <c r="R30" i="16" s="1"/>
  <c r="C31" i="16"/>
  <c r="R31" i="16" s="1"/>
  <c r="C32" i="16"/>
  <c r="R32" i="16" s="1"/>
  <c r="C33" i="16"/>
  <c r="R33" i="16" s="1"/>
  <c r="C34" i="16"/>
  <c r="R34" i="16" s="1"/>
  <c r="C35" i="16"/>
  <c r="R35" i="16" s="1"/>
  <c r="C36" i="16"/>
  <c r="R36" i="16" s="1"/>
  <c r="C37" i="16"/>
  <c r="R37" i="16" s="1"/>
  <c r="C38" i="16"/>
  <c r="R38" i="16" s="1"/>
  <c r="C39" i="16"/>
  <c r="R39" i="16" s="1"/>
  <c r="C40" i="16"/>
  <c r="R40" i="16" s="1"/>
  <c r="C41" i="16"/>
  <c r="R41" i="16" s="1"/>
  <c r="C4" i="16"/>
  <c r="J41" i="15"/>
  <c r="D41" i="15"/>
  <c r="C41" i="15"/>
  <c r="J40" i="15"/>
  <c r="D40" i="15"/>
  <c r="C40" i="15"/>
  <c r="J39" i="15"/>
  <c r="D39" i="15"/>
  <c r="C39" i="15"/>
  <c r="J38" i="15"/>
  <c r="D38" i="15"/>
  <c r="C38" i="15"/>
  <c r="J37" i="15"/>
  <c r="D37" i="15"/>
  <c r="C37" i="15"/>
  <c r="J36" i="15"/>
  <c r="D36" i="15"/>
  <c r="C36" i="15"/>
  <c r="J35" i="15"/>
  <c r="D35" i="15"/>
  <c r="C35" i="15"/>
  <c r="J34" i="15"/>
  <c r="D34" i="15"/>
  <c r="C34" i="15"/>
  <c r="J33" i="15"/>
  <c r="D33" i="15"/>
  <c r="C33" i="15"/>
  <c r="J32" i="15"/>
  <c r="D32" i="15"/>
  <c r="C32" i="15"/>
  <c r="J31" i="15"/>
  <c r="D31" i="15"/>
  <c r="C31" i="15"/>
  <c r="J30" i="15"/>
  <c r="D30" i="15"/>
  <c r="C30" i="15"/>
  <c r="J29" i="15"/>
  <c r="D29" i="15"/>
  <c r="C29" i="15"/>
  <c r="J28" i="15"/>
  <c r="D28" i="15"/>
  <c r="C28" i="15"/>
  <c r="J27" i="15"/>
  <c r="D27" i="15"/>
  <c r="C27" i="15"/>
  <c r="J26" i="15"/>
  <c r="D26" i="15"/>
  <c r="C26" i="15"/>
  <c r="J25" i="15"/>
  <c r="D25" i="15"/>
  <c r="C25" i="15"/>
  <c r="J24" i="15"/>
  <c r="D24" i="15"/>
  <c r="C24" i="15"/>
  <c r="E24" i="15" s="1"/>
  <c r="J23" i="15"/>
  <c r="D23" i="15"/>
  <c r="C23" i="15"/>
  <c r="J22" i="15"/>
  <c r="D22" i="15"/>
  <c r="C22" i="15"/>
  <c r="J21" i="15"/>
  <c r="D21" i="15"/>
  <c r="C21" i="15"/>
  <c r="J20" i="15"/>
  <c r="D20" i="15"/>
  <c r="C20" i="15"/>
  <c r="J19" i="15"/>
  <c r="D19" i="15"/>
  <c r="C19" i="15"/>
  <c r="J18" i="15"/>
  <c r="D18" i="15"/>
  <c r="C18" i="15"/>
  <c r="J17" i="15"/>
  <c r="D17" i="15"/>
  <c r="C17" i="15"/>
  <c r="E17" i="15" s="1"/>
  <c r="J16" i="15"/>
  <c r="D16" i="15"/>
  <c r="C16" i="15"/>
  <c r="E16" i="15" s="1"/>
  <c r="J15" i="15"/>
  <c r="D15" i="15"/>
  <c r="C15" i="15"/>
  <c r="J14" i="15"/>
  <c r="D14" i="15"/>
  <c r="C14" i="15"/>
  <c r="J13" i="15"/>
  <c r="D13" i="15"/>
  <c r="C13" i="15"/>
  <c r="J12" i="15"/>
  <c r="D12" i="15"/>
  <c r="C12" i="15"/>
  <c r="J11" i="15"/>
  <c r="D11" i="15"/>
  <c r="C11" i="15"/>
  <c r="J10" i="15"/>
  <c r="D10" i="15"/>
  <c r="C10" i="15"/>
  <c r="E10" i="15" s="1"/>
  <c r="J9" i="15"/>
  <c r="D9" i="15"/>
  <c r="C9" i="15"/>
  <c r="E9" i="15" s="1"/>
  <c r="J8" i="15"/>
  <c r="D8" i="15"/>
  <c r="C8" i="15"/>
  <c r="J7" i="15"/>
  <c r="D7" i="15"/>
  <c r="C7" i="15"/>
  <c r="E7" i="15" s="1"/>
  <c r="J6" i="15"/>
  <c r="D6" i="15"/>
  <c r="C6" i="15"/>
  <c r="J5" i="15"/>
  <c r="D5" i="15"/>
  <c r="C5" i="15"/>
  <c r="D4" i="15"/>
  <c r="C4" i="15"/>
  <c r="D41" i="13"/>
  <c r="D40" i="13"/>
  <c r="D39" i="13"/>
  <c r="C39" i="13"/>
  <c r="D38" i="13"/>
  <c r="C38" i="13"/>
  <c r="D35" i="13"/>
  <c r="C35" i="13"/>
  <c r="J34" i="13"/>
  <c r="C34" i="13"/>
  <c r="D33" i="13"/>
  <c r="D32" i="13"/>
  <c r="J31" i="13"/>
  <c r="C31" i="13"/>
  <c r="J30" i="13"/>
  <c r="D29" i="13"/>
  <c r="C29" i="13"/>
  <c r="C24" i="13"/>
  <c r="C20" i="13"/>
  <c r="D19" i="13"/>
  <c r="J13" i="13"/>
  <c r="C12" i="13"/>
  <c r="J41" i="12"/>
  <c r="D41" i="12"/>
  <c r="C41" i="12"/>
  <c r="J40" i="12"/>
  <c r="D40" i="12"/>
  <c r="C40" i="12"/>
  <c r="J39" i="12"/>
  <c r="D39" i="12"/>
  <c r="C39" i="12"/>
  <c r="J38" i="12"/>
  <c r="D38" i="12"/>
  <c r="C38" i="12"/>
  <c r="J37" i="12"/>
  <c r="D37" i="12"/>
  <c r="C37" i="12"/>
  <c r="J36" i="12"/>
  <c r="D36" i="12"/>
  <c r="C36" i="12"/>
  <c r="J35" i="12"/>
  <c r="D35" i="12"/>
  <c r="C35" i="12"/>
  <c r="J34" i="12"/>
  <c r="D34" i="12"/>
  <c r="C34" i="12"/>
  <c r="J33" i="12"/>
  <c r="D33" i="12"/>
  <c r="C33" i="12"/>
  <c r="J32" i="12"/>
  <c r="D32" i="12"/>
  <c r="C32" i="12"/>
  <c r="J31" i="12"/>
  <c r="D31" i="12"/>
  <c r="C31" i="12"/>
  <c r="J30" i="12"/>
  <c r="D30" i="12"/>
  <c r="C30" i="12"/>
  <c r="J29" i="12"/>
  <c r="D29" i="12"/>
  <c r="C29" i="12"/>
  <c r="J28" i="12"/>
  <c r="D28" i="12"/>
  <c r="C28" i="12"/>
  <c r="J27" i="12"/>
  <c r="D27" i="12"/>
  <c r="C27" i="12"/>
  <c r="E27" i="12" s="1"/>
  <c r="J26" i="12"/>
  <c r="D26" i="12"/>
  <c r="C26" i="12"/>
  <c r="J25" i="12"/>
  <c r="D25" i="12"/>
  <c r="C25" i="12"/>
  <c r="J24" i="12"/>
  <c r="D24" i="12"/>
  <c r="C24" i="12"/>
  <c r="J23" i="12"/>
  <c r="D23" i="12"/>
  <c r="C23" i="12"/>
  <c r="E23" i="12" s="1"/>
  <c r="J22" i="12"/>
  <c r="D22" i="12"/>
  <c r="C22" i="12"/>
  <c r="J21" i="12"/>
  <c r="D21" i="12"/>
  <c r="C21" i="12"/>
  <c r="J20" i="12"/>
  <c r="D20" i="12"/>
  <c r="C20" i="12"/>
  <c r="J19" i="12"/>
  <c r="D19" i="12"/>
  <c r="C19" i="12"/>
  <c r="J18" i="12"/>
  <c r="D18" i="12"/>
  <c r="C18" i="12"/>
  <c r="J17" i="12"/>
  <c r="D17" i="12"/>
  <c r="C17" i="12"/>
  <c r="J16" i="12"/>
  <c r="D16" i="12"/>
  <c r="C16" i="12"/>
  <c r="J15" i="12"/>
  <c r="D15" i="12"/>
  <c r="C15" i="12"/>
  <c r="E15" i="12" s="1"/>
  <c r="J14" i="12"/>
  <c r="D14" i="12"/>
  <c r="C14" i="12"/>
  <c r="J13" i="12"/>
  <c r="D13" i="12"/>
  <c r="C13" i="12"/>
  <c r="J12" i="12"/>
  <c r="D12" i="12"/>
  <c r="C12" i="12"/>
  <c r="J11" i="12"/>
  <c r="E11" i="12"/>
  <c r="D11" i="12"/>
  <c r="C11" i="12"/>
  <c r="J10" i="12"/>
  <c r="D10" i="12"/>
  <c r="C10" i="12"/>
  <c r="J9" i="12"/>
  <c r="D9" i="12"/>
  <c r="C9" i="12"/>
  <c r="J8" i="12"/>
  <c r="D8" i="12"/>
  <c r="C8" i="12"/>
  <c r="J7" i="12"/>
  <c r="D7" i="12"/>
  <c r="C7" i="12"/>
  <c r="E7" i="12" s="1"/>
  <c r="J6" i="12"/>
  <c r="D6" i="12"/>
  <c r="C6" i="12"/>
  <c r="E6" i="12" s="1"/>
  <c r="J5" i="12"/>
  <c r="D5" i="12"/>
  <c r="C5" i="12"/>
  <c r="D4" i="12"/>
  <c r="C4" i="12"/>
  <c r="BF42" i="14"/>
  <c r="J41" i="11"/>
  <c r="D41" i="11"/>
  <c r="C41" i="11"/>
  <c r="J40" i="11"/>
  <c r="D40" i="11"/>
  <c r="C40" i="11"/>
  <c r="BH40" i="14"/>
  <c r="J39" i="11"/>
  <c r="D39" i="11"/>
  <c r="C39" i="11"/>
  <c r="BE39" i="14"/>
  <c r="J38" i="11"/>
  <c r="D38" i="11"/>
  <c r="C38" i="11"/>
  <c r="J37" i="11"/>
  <c r="D37" i="11"/>
  <c r="C37" i="11"/>
  <c r="J36" i="11"/>
  <c r="D36" i="11"/>
  <c r="C36" i="11"/>
  <c r="J35" i="11"/>
  <c r="BP35" i="14"/>
  <c r="D35" i="14" s="1"/>
  <c r="S35" i="14" s="1"/>
  <c r="BI35" i="14"/>
  <c r="C35" i="14" s="1"/>
  <c r="R35" i="14" s="1"/>
  <c r="J34" i="11"/>
  <c r="D34" i="11"/>
  <c r="C34" i="11"/>
  <c r="BF34" i="14"/>
  <c r="J33" i="11"/>
  <c r="D33" i="11"/>
  <c r="C33" i="11"/>
  <c r="J32" i="11"/>
  <c r="D32" i="11"/>
  <c r="C32" i="11"/>
  <c r="BH32" i="14"/>
  <c r="J31" i="11"/>
  <c r="D31" i="11"/>
  <c r="C31" i="11"/>
  <c r="BE31" i="14"/>
  <c r="J30" i="11"/>
  <c r="D30" i="11"/>
  <c r="C30" i="11"/>
  <c r="J29" i="11"/>
  <c r="D29" i="11"/>
  <c r="C29" i="11"/>
  <c r="J28" i="11"/>
  <c r="D28" i="11"/>
  <c r="C28" i="11"/>
  <c r="J27" i="11"/>
  <c r="D27" i="11"/>
  <c r="C27" i="11"/>
  <c r="J26" i="11"/>
  <c r="D26" i="11"/>
  <c r="C26" i="11"/>
  <c r="E26" i="11" s="1"/>
  <c r="J25" i="11"/>
  <c r="D25" i="11"/>
  <c r="C25" i="11"/>
  <c r="J24" i="11"/>
  <c r="E24" i="11"/>
  <c r="D24" i="11"/>
  <c r="C24" i="11"/>
  <c r="J23" i="11"/>
  <c r="D23" i="11"/>
  <c r="C23" i="11"/>
  <c r="J22" i="11"/>
  <c r="D22" i="11"/>
  <c r="C22" i="11"/>
  <c r="J21" i="11"/>
  <c r="D21" i="11"/>
  <c r="C21" i="11"/>
  <c r="J20" i="11"/>
  <c r="D20" i="11"/>
  <c r="C20" i="11"/>
  <c r="E20" i="11" s="1"/>
  <c r="J19" i="11"/>
  <c r="D19" i="11"/>
  <c r="C19" i="11"/>
  <c r="J18" i="11"/>
  <c r="D18" i="11"/>
  <c r="C18" i="11"/>
  <c r="J17" i="11"/>
  <c r="D17" i="11"/>
  <c r="C17" i="11"/>
  <c r="J16" i="11"/>
  <c r="D16" i="11"/>
  <c r="C16" i="11"/>
  <c r="E16" i="11" s="1"/>
  <c r="J15" i="11"/>
  <c r="D15" i="11"/>
  <c r="C15" i="11"/>
  <c r="E15" i="11" s="1"/>
  <c r="J14" i="11"/>
  <c r="D14" i="11"/>
  <c r="C14" i="11"/>
  <c r="J13" i="11"/>
  <c r="D13" i="11"/>
  <c r="C13" i="11"/>
  <c r="E13" i="11" s="1"/>
  <c r="J12" i="11"/>
  <c r="D12" i="11"/>
  <c r="C12" i="11"/>
  <c r="J11" i="11"/>
  <c r="D11" i="11"/>
  <c r="C11" i="11"/>
  <c r="J10" i="11"/>
  <c r="D10" i="11"/>
  <c r="C10" i="11"/>
  <c r="J9" i="11"/>
  <c r="D9" i="11"/>
  <c r="C9" i="11"/>
  <c r="J8" i="11"/>
  <c r="D8" i="11"/>
  <c r="C8" i="11"/>
  <c r="E8" i="11" s="1"/>
  <c r="J7" i="11"/>
  <c r="D7" i="11"/>
  <c r="C7" i="11"/>
  <c r="J6" i="11"/>
  <c r="D6" i="11"/>
  <c r="C6" i="11"/>
  <c r="J5" i="11"/>
  <c r="D5" i="11"/>
  <c r="C5" i="11"/>
  <c r="J4" i="11"/>
  <c r="D4" i="11"/>
  <c r="C4" i="11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E32" i="10" s="1"/>
  <c r="C33" i="10"/>
  <c r="C34" i="10"/>
  <c r="C35" i="10"/>
  <c r="C36" i="10"/>
  <c r="C37" i="10"/>
  <c r="C38" i="10"/>
  <c r="C39" i="10"/>
  <c r="C40" i="10"/>
  <c r="C41" i="10"/>
  <c r="C4" i="10"/>
  <c r="Q143" i="17"/>
  <c r="A150" i="31" s="1"/>
  <c r="Q142" i="17"/>
  <c r="A149" i="31" s="1"/>
  <c r="B61" i="19"/>
  <c r="A191" i="31" s="1"/>
  <c r="B60" i="19"/>
  <c r="A190" i="31" s="1"/>
  <c r="B59" i="19"/>
  <c r="A189" i="31" s="1"/>
  <c r="B58" i="19"/>
  <c r="A188" i="31" s="1"/>
  <c r="B57" i="19"/>
  <c r="A187" i="31" s="1"/>
  <c r="B56" i="19"/>
  <c r="A186" i="31" s="1"/>
  <c r="B55" i="19"/>
  <c r="A185" i="31" s="1"/>
  <c r="B54" i="19"/>
  <c r="A184" i="31" s="1"/>
  <c r="B53" i="19"/>
  <c r="A183" i="31" s="1"/>
  <c r="B52" i="19"/>
  <c r="A182" i="31" s="1"/>
  <c r="B51" i="19"/>
  <c r="A181" i="31" s="1"/>
  <c r="B50" i="19"/>
  <c r="A180" i="31" s="1"/>
  <c r="B49" i="19"/>
  <c r="A179" i="31" s="1"/>
  <c r="B48" i="19"/>
  <c r="A178" i="31" s="1"/>
  <c r="B47" i="19"/>
  <c r="A177" i="31" s="1"/>
  <c r="Q151" i="17"/>
  <c r="A158" i="31" s="1"/>
  <c r="Q150" i="17"/>
  <c r="A157" i="31" s="1"/>
  <c r="Q149" i="17"/>
  <c r="A156" i="31" s="1"/>
  <c r="Q148" i="17"/>
  <c r="A155" i="31" s="1"/>
  <c r="Q147" i="17"/>
  <c r="A154" i="31" s="1"/>
  <c r="Q146" i="17"/>
  <c r="A153" i="31" s="1"/>
  <c r="Q145" i="17"/>
  <c r="A152" i="31" s="1"/>
  <c r="Q144" i="17"/>
  <c r="A151" i="31" s="1"/>
  <c r="Q141" i="17"/>
  <c r="A148" i="31" s="1"/>
  <c r="Q140" i="17"/>
  <c r="A147" i="31" s="1"/>
  <c r="Q139" i="17"/>
  <c r="A146" i="31" s="1"/>
  <c r="Q138" i="17"/>
  <c r="A145" i="31" s="1"/>
  <c r="Q137" i="17"/>
  <c r="A144" i="31" s="1"/>
  <c r="B64" i="18"/>
  <c r="A176" i="31" s="1"/>
  <c r="B63" i="18"/>
  <c r="A175" i="31" s="1"/>
  <c r="B62" i="18"/>
  <c r="A174" i="31" s="1"/>
  <c r="B61" i="18"/>
  <c r="A173" i="31" s="1"/>
  <c r="B60" i="18"/>
  <c r="A172" i="31" s="1"/>
  <c r="B59" i="18"/>
  <c r="A171" i="31" s="1"/>
  <c r="B58" i="18"/>
  <c r="A170" i="31" s="1"/>
  <c r="B57" i="18"/>
  <c r="A169" i="31" s="1"/>
  <c r="B56" i="18"/>
  <c r="A168" i="31" s="1"/>
  <c r="B55" i="18"/>
  <c r="A167" i="31" s="1"/>
  <c r="B54" i="18"/>
  <c r="A166" i="31" s="1"/>
  <c r="B53" i="18"/>
  <c r="A165" i="31" s="1"/>
  <c r="B52" i="18"/>
  <c r="A164" i="31" s="1"/>
  <c r="B51" i="18"/>
  <c r="A163" i="31" s="1"/>
  <c r="B50" i="18"/>
  <c r="A162" i="31" s="1"/>
  <c r="B49" i="18"/>
  <c r="A161" i="31" s="1"/>
  <c r="B48" i="18"/>
  <c r="A160" i="31" s="1"/>
  <c r="B47" i="18"/>
  <c r="A159" i="31" s="1"/>
  <c r="B64" i="16"/>
  <c r="A143" i="31" s="1"/>
  <c r="B63" i="16"/>
  <c r="A142" i="31" s="1"/>
  <c r="B62" i="16"/>
  <c r="A141" i="31" s="1"/>
  <c r="B61" i="16"/>
  <c r="A140" i="31" s="1"/>
  <c r="B60" i="16"/>
  <c r="A139" i="31" s="1"/>
  <c r="B59" i="16"/>
  <c r="A138" i="31" s="1"/>
  <c r="B58" i="16"/>
  <c r="A137" i="31" s="1"/>
  <c r="B57" i="16"/>
  <c r="A136" i="31" s="1"/>
  <c r="B56" i="16"/>
  <c r="A135" i="31" s="1"/>
  <c r="B55" i="16"/>
  <c r="A134" i="31" s="1"/>
  <c r="B54" i="16"/>
  <c r="A133" i="31" s="1"/>
  <c r="B53" i="16"/>
  <c r="A132" i="31" s="1"/>
  <c r="B52" i="16"/>
  <c r="A131" i="31" s="1"/>
  <c r="B51" i="16"/>
  <c r="A130" i="31" s="1"/>
  <c r="B50" i="16"/>
  <c r="A129" i="31" s="1"/>
  <c r="B49" i="16"/>
  <c r="B48" i="16"/>
  <c r="B47" i="16"/>
  <c r="B64" i="15"/>
  <c r="A128" i="31" s="1"/>
  <c r="B63" i="15"/>
  <c r="A127" i="31" s="1"/>
  <c r="B62" i="15"/>
  <c r="A126" i="31" s="1"/>
  <c r="B61" i="15"/>
  <c r="A125" i="31" s="1"/>
  <c r="B60" i="15"/>
  <c r="A124" i="31" s="1"/>
  <c r="B59" i="15"/>
  <c r="A123" i="31" s="1"/>
  <c r="B58" i="15"/>
  <c r="A122" i="31" s="1"/>
  <c r="B57" i="15"/>
  <c r="A121" i="31" s="1"/>
  <c r="B56" i="15"/>
  <c r="A120" i="31" s="1"/>
  <c r="B55" i="15"/>
  <c r="A119" i="31" s="1"/>
  <c r="B54" i="15"/>
  <c r="A118" i="31" s="1"/>
  <c r="B53" i="15"/>
  <c r="A117" i="31" s="1"/>
  <c r="B52" i="15"/>
  <c r="A116" i="31" s="1"/>
  <c r="B51" i="15"/>
  <c r="A115" i="31" s="1"/>
  <c r="B50" i="15"/>
  <c r="A114" i="31" s="1"/>
  <c r="B49" i="15"/>
  <c r="A113" i="31" s="1"/>
  <c r="B48" i="15"/>
  <c r="A112" i="31" s="1"/>
  <c r="B47" i="15"/>
  <c r="A111" i="31" s="1"/>
  <c r="B64" i="14"/>
  <c r="A110" i="31" s="1"/>
  <c r="B63" i="14"/>
  <c r="A109" i="31" s="1"/>
  <c r="B62" i="14"/>
  <c r="A108" i="31" s="1"/>
  <c r="B61" i="14"/>
  <c r="A107" i="31" s="1"/>
  <c r="B60" i="14"/>
  <c r="A106" i="31" s="1"/>
  <c r="B59" i="14"/>
  <c r="A105" i="31" s="1"/>
  <c r="B58" i="14"/>
  <c r="A104" i="31" s="1"/>
  <c r="B57" i="14"/>
  <c r="A103" i="31" s="1"/>
  <c r="B56" i="14"/>
  <c r="A102" i="31" s="1"/>
  <c r="B55" i="14"/>
  <c r="A101" i="31" s="1"/>
  <c r="B54" i="14"/>
  <c r="A100" i="31" s="1"/>
  <c r="B53" i="14"/>
  <c r="A99" i="31" s="1"/>
  <c r="B52" i="14"/>
  <c r="A98" i="31" s="1"/>
  <c r="B51" i="14"/>
  <c r="A97" i="31" s="1"/>
  <c r="B50" i="14"/>
  <c r="A96" i="31" s="1"/>
  <c r="B49" i="14"/>
  <c r="A95" i="31" s="1"/>
  <c r="B48" i="14"/>
  <c r="A94" i="31" s="1"/>
  <c r="B47" i="14"/>
  <c r="A93" i="31" s="1"/>
  <c r="B64" i="13"/>
  <c r="A92" i="31" s="1"/>
  <c r="B63" i="13"/>
  <c r="A91" i="31" s="1"/>
  <c r="B62" i="13"/>
  <c r="A90" i="31" s="1"/>
  <c r="B61" i="13"/>
  <c r="A89" i="31" s="1"/>
  <c r="B60" i="13"/>
  <c r="A88" i="31" s="1"/>
  <c r="B59" i="13"/>
  <c r="A87" i="31" s="1"/>
  <c r="B58" i="13"/>
  <c r="A86" i="31" s="1"/>
  <c r="B57" i="13"/>
  <c r="A85" i="31" s="1"/>
  <c r="B56" i="13"/>
  <c r="A84" i="31" s="1"/>
  <c r="B55" i="13"/>
  <c r="A83" i="31" s="1"/>
  <c r="B54" i="13"/>
  <c r="A82" i="31" s="1"/>
  <c r="B53" i="13"/>
  <c r="A81" i="31" s="1"/>
  <c r="B52" i="13"/>
  <c r="A80" i="31" s="1"/>
  <c r="B51" i="13"/>
  <c r="A79" i="31" s="1"/>
  <c r="B50" i="13"/>
  <c r="A78" i="31" s="1"/>
  <c r="B49" i="13"/>
  <c r="A77" i="31" s="1"/>
  <c r="B48" i="13"/>
  <c r="A76" i="31" s="1"/>
  <c r="B47" i="13"/>
  <c r="A75" i="31" s="1"/>
  <c r="B64" i="12"/>
  <c r="A74" i="31" s="1"/>
  <c r="B63" i="12"/>
  <c r="A73" i="31" s="1"/>
  <c r="B62" i="12"/>
  <c r="A72" i="31" s="1"/>
  <c r="B61" i="12"/>
  <c r="A71" i="31" s="1"/>
  <c r="B60" i="12"/>
  <c r="A70" i="31" s="1"/>
  <c r="B59" i="12"/>
  <c r="A69" i="31" s="1"/>
  <c r="B58" i="12"/>
  <c r="A68" i="31" s="1"/>
  <c r="B57" i="12"/>
  <c r="A67" i="31" s="1"/>
  <c r="B56" i="12"/>
  <c r="A66" i="31" s="1"/>
  <c r="B55" i="12"/>
  <c r="A65" i="31" s="1"/>
  <c r="B54" i="12"/>
  <c r="A64" i="31" s="1"/>
  <c r="B53" i="12"/>
  <c r="A63" i="31" s="1"/>
  <c r="B52" i="12"/>
  <c r="A62" i="31" s="1"/>
  <c r="B51" i="12"/>
  <c r="A61" i="31" s="1"/>
  <c r="B50" i="12"/>
  <c r="A60" i="31" s="1"/>
  <c r="B49" i="12"/>
  <c r="A59" i="31" s="1"/>
  <c r="B48" i="12"/>
  <c r="A58" i="31" s="1"/>
  <c r="B47" i="12"/>
  <c r="A57" i="31" s="1"/>
  <c r="B64" i="11"/>
  <c r="A56" i="31" s="1"/>
  <c r="B63" i="11"/>
  <c r="A55" i="31" s="1"/>
  <c r="B62" i="11"/>
  <c r="A54" i="31" s="1"/>
  <c r="B61" i="11"/>
  <c r="A53" i="31" s="1"/>
  <c r="B60" i="11"/>
  <c r="A52" i="31" s="1"/>
  <c r="B59" i="11"/>
  <c r="A51" i="31" s="1"/>
  <c r="B58" i="11"/>
  <c r="A50" i="31" s="1"/>
  <c r="B57" i="11"/>
  <c r="A49" i="31" s="1"/>
  <c r="B56" i="11"/>
  <c r="A48" i="31" s="1"/>
  <c r="B55" i="11"/>
  <c r="A47" i="31" s="1"/>
  <c r="B54" i="11"/>
  <c r="A46" i="31" s="1"/>
  <c r="B53" i="11"/>
  <c r="A45" i="31" s="1"/>
  <c r="B52" i="11"/>
  <c r="A44" i="31" s="1"/>
  <c r="B51" i="11"/>
  <c r="A43" i="31" s="1"/>
  <c r="B50" i="11"/>
  <c r="A42" i="31" s="1"/>
  <c r="B49" i="11"/>
  <c r="A41" i="31" s="1"/>
  <c r="B48" i="11"/>
  <c r="A40" i="31" s="1"/>
  <c r="B47" i="11"/>
  <c r="A39" i="31" s="1"/>
  <c r="B64" i="10"/>
  <c r="A38" i="31" s="1"/>
  <c r="B63" i="10"/>
  <c r="A37" i="31" s="1"/>
  <c r="B62" i="10"/>
  <c r="A36" i="31" s="1"/>
  <c r="B61" i="10"/>
  <c r="A35" i="31" s="1"/>
  <c r="B60" i="10"/>
  <c r="A34" i="31" s="1"/>
  <c r="B59" i="10"/>
  <c r="A33" i="31" s="1"/>
  <c r="B58" i="10"/>
  <c r="A32" i="31" s="1"/>
  <c r="B57" i="10"/>
  <c r="A31" i="31" s="1"/>
  <c r="B56" i="10"/>
  <c r="A30" i="31" s="1"/>
  <c r="B55" i="10"/>
  <c r="A29" i="31" s="1"/>
  <c r="B54" i="10"/>
  <c r="A28" i="31" s="1"/>
  <c r="B53" i="10"/>
  <c r="A27" i="31" s="1"/>
  <c r="B52" i="10"/>
  <c r="A26" i="31" s="1"/>
  <c r="B51" i="10"/>
  <c r="A25" i="31" s="1"/>
  <c r="B50" i="10"/>
  <c r="A24" i="31" s="1"/>
  <c r="B49" i="10"/>
  <c r="A23" i="31" s="1"/>
  <c r="B48" i="10"/>
  <c r="A22" i="31" s="1"/>
  <c r="B47" i="10"/>
  <c r="A21" i="31" s="1"/>
  <c r="B64" i="30"/>
  <c r="A20" i="31" s="1"/>
  <c r="B63" i="30"/>
  <c r="A19" i="31" s="1"/>
  <c r="B62" i="30"/>
  <c r="A18" i="31" s="1"/>
  <c r="B61" i="30"/>
  <c r="A17" i="31" s="1"/>
  <c r="B60" i="30"/>
  <c r="A16" i="31" s="1"/>
  <c r="B59" i="30"/>
  <c r="A15" i="31" s="1"/>
  <c r="B58" i="30"/>
  <c r="A14" i="31" s="1"/>
  <c r="B57" i="30"/>
  <c r="A13" i="31" s="1"/>
  <c r="B56" i="30"/>
  <c r="A12" i="31" s="1"/>
  <c r="B55" i="30"/>
  <c r="A11" i="31" s="1"/>
  <c r="B54" i="30"/>
  <c r="A10" i="31" s="1"/>
  <c r="B53" i="30"/>
  <c r="A9" i="31" s="1"/>
  <c r="B52" i="30"/>
  <c r="A8" i="31" s="1"/>
  <c r="B51" i="30"/>
  <c r="A7" i="31" s="1"/>
  <c r="B50" i="30"/>
  <c r="A6" i="31" s="1"/>
  <c r="B49" i="30"/>
  <c r="A5" i="31" s="1"/>
  <c r="B48" i="30"/>
  <c r="A4" i="31" s="1"/>
  <c r="B47" i="30"/>
  <c r="A3" i="31" s="1"/>
  <c r="N4" i="16" l="1"/>
  <c r="J4" i="15"/>
  <c r="J4" i="12"/>
  <c r="T9" i="15"/>
  <c r="T17" i="15"/>
  <c r="T10" i="15"/>
  <c r="T16" i="15"/>
  <c r="T24" i="15"/>
  <c r="T7" i="15"/>
  <c r="S5" i="15"/>
  <c r="S6" i="15"/>
  <c r="S11" i="15"/>
  <c r="S12" i="15"/>
  <c r="S13" i="15"/>
  <c r="S22" i="15"/>
  <c r="S36" i="15"/>
  <c r="S38" i="15"/>
  <c r="S40" i="15"/>
  <c r="S7" i="15"/>
  <c r="S8" i="15"/>
  <c r="S37" i="15"/>
  <c r="S41" i="15"/>
  <c r="S9" i="15"/>
  <c r="S10" i="15"/>
  <c r="S14" i="15"/>
  <c r="S15" i="15"/>
  <c r="S16" i="15"/>
  <c r="S17" i="15"/>
  <c r="S18" i="15"/>
  <c r="S19" i="15"/>
  <c r="S20" i="15"/>
  <c r="S21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9" i="15"/>
  <c r="R4" i="15"/>
  <c r="R5" i="15"/>
  <c r="H5" i="15" s="1"/>
  <c r="E5" i="15"/>
  <c r="Y5" i="15"/>
  <c r="R6" i="15"/>
  <c r="H6" i="15" s="1"/>
  <c r="E6" i="15"/>
  <c r="Y6" i="15"/>
  <c r="Y7" i="15"/>
  <c r="R8" i="15"/>
  <c r="H8" i="15" s="1"/>
  <c r="E8" i="15"/>
  <c r="Y8" i="15"/>
  <c r="Y9" i="15"/>
  <c r="Y10" i="15"/>
  <c r="R11" i="15"/>
  <c r="H11" i="15" s="1"/>
  <c r="E11" i="15"/>
  <c r="Y11" i="15"/>
  <c r="R12" i="15"/>
  <c r="H12" i="15" s="1"/>
  <c r="E12" i="15"/>
  <c r="Y12" i="15"/>
  <c r="R13" i="15"/>
  <c r="H13" i="15" s="1"/>
  <c r="E13" i="15"/>
  <c r="Y13" i="15"/>
  <c r="R14" i="15"/>
  <c r="H14" i="15" s="1"/>
  <c r="E14" i="15"/>
  <c r="Y14" i="15"/>
  <c r="R15" i="15"/>
  <c r="H15" i="15" s="1"/>
  <c r="E15" i="15"/>
  <c r="Y15" i="15"/>
  <c r="Y16" i="15"/>
  <c r="Y17" i="15"/>
  <c r="R18" i="15"/>
  <c r="H18" i="15" s="1"/>
  <c r="E18" i="15"/>
  <c r="Y18" i="15"/>
  <c r="R19" i="15"/>
  <c r="H19" i="15" s="1"/>
  <c r="E19" i="15"/>
  <c r="Y19" i="15"/>
  <c r="R20" i="15"/>
  <c r="H20" i="15" s="1"/>
  <c r="E20" i="15"/>
  <c r="Y20" i="15"/>
  <c r="R21" i="15"/>
  <c r="H21" i="15" s="1"/>
  <c r="E21" i="15"/>
  <c r="Y21" i="15"/>
  <c r="R22" i="15"/>
  <c r="H22" i="15" s="1"/>
  <c r="E22" i="15"/>
  <c r="Y22" i="15"/>
  <c r="R23" i="15"/>
  <c r="H23" i="15" s="1"/>
  <c r="E23" i="15"/>
  <c r="Y23" i="15"/>
  <c r="Y24" i="15"/>
  <c r="R25" i="15"/>
  <c r="H25" i="15" s="1"/>
  <c r="E25" i="15"/>
  <c r="Y25" i="15"/>
  <c r="R26" i="15"/>
  <c r="H26" i="15" s="1"/>
  <c r="E26" i="15"/>
  <c r="Y26" i="15"/>
  <c r="R27" i="15"/>
  <c r="H27" i="15" s="1"/>
  <c r="E27" i="15"/>
  <c r="Y27" i="15"/>
  <c r="R28" i="15"/>
  <c r="H28" i="15" s="1"/>
  <c r="E28" i="15"/>
  <c r="Y28" i="15"/>
  <c r="R29" i="15"/>
  <c r="H29" i="15" s="1"/>
  <c r="E29" i="15"/>
  <c r="Y29" i="15"/>
  <c r="R30" i="15"/>
  <c r="H30" i="15" s="1"/>
  <c r="E30" i="15"/>
  <c r="Y30" i="15"/>
  <c r="R31" i="15"/>
  <c r="H31" i="15" s="1"/>
  <c r="E31" i="15"/>
  <c r="Y31" i="15"/>
  <c r="R32" i="15"/>
  <c r="H32" i="15" s="1"/>
  <c r="E32" i="15"/>
  <c r="Y32" i="15"/>
  <c r="R33" i="15"/>
  <c r="H33" i="15" s="1"/>
  <c r="E33" i="15"/>
  <c r="Y33" i="15"/>
  <c r="R34" i="15"/>
  <c r="H34" i="15" s="1"/>
  <c r="E34" i="15"/>
  <c r="Y34" i="15"/>
  <c r="R35" i="15"/>
  <c r="H35" i="15" s="1"/>
  <c r="E35" i="15"/>
  <c r="Y35" i="15"/>
  <c r="R36" i="15"/>
  <c r="H36" i="15" s="1"/>
  <c r="E36" i="15"/>
  <c r="Y36" i="15"/>
  <c r="R37" i="15"/>
  <c r="H37" i="15" s="1"/>
  <c r="E37" i="15"/>
  <c r="Y37" i="15"/>
  <c r="R38" i="15"/>
  <c r="H38" i="15" s="1"/>
  <c r="E38" i="15"/>
  <c r="Y38" i="15"/>
  <c r="R39" i="15"/>
  <c r="H39" i="15" s="1"/>
  <c r="E39" i="15"/>
  <c r="Y39" i="15"/>
  <c r="R40" i="15"/>
  <c r="H40" i="15" s="1"/>
  <c r="E40" i="15"/>
  <c r="Y40" i="15"/>
  <c r="R41" i="15"/>
  <c r="H41" i="15" s="1"/>
  <c r="E41" i="15"/>
  <c r="Y41" i="15"/>
  <c r="R20" i="13"/>
  <c r="Y13" i="13"/>
  <c r="Y31" i="13"/>
  <c r="S33" i="13"/>
  <c r="Y34" i="13"/>
  <c r="R38" i="13"/>
  <c r="H38" i="13" s="1"/>
  <c r="R39" i="13"/>
  <c r="H39" i="13" s="1"/>
  <c r="S40" i="13"/>
  <c r="S29" i="13"/>
  <c r="S41" i="13"/>
  <c r="S32" i="13"/>
  <c r="R35" i="13"/>
  <c r="H35" i="13" s="1"/>
  <c r="S38" i="13"/>
  <c r="S39" i="13"/>
  <c r="R31" i="13"/>
  <c r="R34" i="13"/>
  <c r="R12" i="13"/>
  <c r="S19" i="13"/>
  <c r="R24" i="13"/>
  <c r="R29" i="13"/>
  <c r="Y30" i="13"/>
  <c r="S35" i="13"/>
  <c r="T7" i="12"/>
  <c r="T6" i="12"/>
  <c r="T15" i="12"/>
  <c r="T23" i="12"/>
  <c r="T27" i="12"/>
  <c r="S5" i="12"/>
  <c r="S6" i="12"/>
  <c r="S7" i="12"/>
  <c r="S8" i="12"/>
  <c r="R9" i="12"/>
  <c r="H9" i="12" s="1"/>
  <c r="E9" i="12"/>
  <c r="S17" i="12"/>
  <c r="Y18" i="12"/>
  <c r="Y22" i="12"/>
  <c r="Y23" i="12"/>
  <c r="Y24" i="12"/>
  <c r="Y28" i="12"/>
  <c r="S9" i="12"/>
  <c r="R10" i="12"/>
  <c r="H10" i="12" s="1"/>
  <c r="E10" i="12"/>
  <c r="Y10" i="12"/>
  <c r="S18" i="12"/>
  <c r="R19" i="12"/>
  <c r="H19" i="12" s="1"/>
  <c r="E19" i="12"/>
  <c r="Y19" i="12"/>
  <c r="S22" i="12"/>
  <c r="S23" i="12"/>
  <c r="S24" i="12"/>
  <c r="R25" i="12"/>
  <c r="H25" i="12" s="1"/>
  <c r="E25" i="12"/>
  <c r="Y25" i="12"/>
  <c r="S28" i="12"/>
  <c r="R29" i="12"/>
  <c r="H29" i="12" s="1"/>
  <c r="E29" i="12"/>
  <c r="Y29" i="12"/>
  <c r="R30" i="12"/>
  <c r="H30" i="12" s="1"/>
  <c r="E30" i="12"/>
  <c r="Y30" i="12"/>
  <c r="R31" i="12"/>
  <c r="H31" i="12" s="1"/>
  <c r="E31" i="12"/>
  <c r="Y31" i="12"/>
  <c r="S34" i="12"/>
  <c r="R35" i="12"/>
  <c r="H35" i="12" s="1"/>
  <c r="E35" i="12"/>
  <c r="Y35" i="12"/>
  <c r="S38" i="12"/>
  <c r="R39" i="12"/>
  <c r="H39" i="12" s="1"/>
  <c r="E39" i="12"/>
  <c r="Y39" i="12"/>
  <c r="R40" i="12"/>
  <c r="H40" i="12" s="1"/>
  <c r="E40" i="12"/>
  <c r="Y40" i="12"/>
  <c r="Y9" i="12"/>
  <c r="S15" i="12"/>
  <c r="R18" i="12"/>
  <c r="H18" i="12" s="1"/>
  <c r="E18" i="12"/>
  <c r="S21" i="12"/>
  <c r="R22" i="12"/>
  <c r="H22" i="12" s="1"/>
  <c r="E22" i="12"/>
  <c r="S27" i="12"/>
  <c r="S33" i="12"/>
  <c r="R34" i="12"/>
  <c r="H34" i="12" s="1"/>
  <c r="E34" i="12"/>
  <c r="Y34" i="12"/>
  <c r="Y38" i="12"/>
  <c r="S10" i="12"/>
  <c r="Y11" i="12"/>
  <c r="R12" i="12"/>
  <c r="H12" i="12" s="1"/>
  <c r="E12" i="12"/>
  <c r="Y12" i="12"/>
  <c r="R13" i="12"/>
  <c r="H13" i="12" s="1"/>
  <c r="E13" i="12"/>
  <c r="Y13" i="12"/>
  <c r="R14" i="12"/>
  <c r="H14" i="12" s="1"/>
  <c r="E14" i="12"/>
  <c r="Y14" i="12"/>
  <c r="S19" i="12"/>
  <c r="R20" i="12"/>
  <c r="H20" i="12" s="1"/>
  <c r="E20" i="12"/>
  <c r="Y20" i="12"/>
  <c r="S25" i="12"/>
  <c r="R26" i="12"/>
  <c r="H26" i="12" s="1"/>
  <c r="E26" i="12"/>
  <c r="Y26" i="12"/>
  <c r="S29" i="12"/>
  <c r="S30" i="12"/>
  <c r="S31" i="12"/>
  <c r="R32" i="12"/>
  <c r="H32" i="12" s="1"/>
  <c r="E32" i="12"/>
  <c r="Y32" i="12"/>
  <c r="S35" i="12"/>
  <c r="R36" i="12"/>
  <c r="H36" i="12" s="1"/>
  <c r="E36" i="12"/>
  <c r="Y36" i="12"/>
  <c r="S39" i="12"/>
  <c r="S40" i="12"/>
  <c r="R41" i="12"/>
  <c r="H41" i="12" s="1"/>
  <c r="E41" i="12"/>
  <c r="Y41" i="12"/>
  <c r="T11" i="12"/>
  <c r="S16" i="12"/>
  <c r="R24" i="12"/>
  <c r="H24" i="12" s="1"/>
  <c r="E24" i="12"/>
  <c r="R28" i="12"/>
  <c r="H28" i="12" s="1"/>
  <c r="E28" i="12"/>
  <c r="S37" i="12"/>
  <c r="R38" i="12"/>
  <c r="H38" i="12" s="1"/>
  <c r="E38" i="12"/>
  <c r="Y4" i="12"/>
  <c r="R5" i="12"/>
  <c r="H5" i="12" s="1"/>
  <c r="E5" i="12"/>
  <c r="Y5" i="12"/>
  <c r="Y6" i="12"/>
  <c r="Y7" i="12"/>
  <c r="R8" i="12"/>
  <c r="H8" i="12" s="1"/>
  <c r="E8" i="12"/>
  <c r="Y8" i="12"/>
  <c r="S11" i="12"/>
  <c r="S12" i="12"/>
  <c r="S13" i="12"/>
  <c r="S14" i="12"/>
  <c r="Y15" i="12"/>
  <c r="R16" i="12"/>
  <c r="H16" i="12" s="1"/>
  <c r="E16" i="12"/>
  <c r="Y16" i="12"/>
  <c r="R17" i="12"/>
  <c r="H17" i="12" s="1"/>
  <c r="E17" i="12"/>
  <c r="Y17" i="12"/>
  <c r="S20" i="12"/>
  <c r="R21" i="12"/>
  <c r="H21" i="12" s="1"/>
  <c r="E21" i="12"/>
  <c r="Y21" i="12"/>
  <c r="S26" i="12"/>
  <c r="Y27" i="12"/>
  <c r="S32" i="12"/>
  <c r="R33" i="12"/>
  <c r="H33" i="12" s="1"/>
  <c r="E33" i="12"/>
  <c r="Y33" i="12"/>
  <c r="S36" i="12"/>
  <c r="R37" i="12"/>
  <c r="H37" i="12" s="1"/>
  <c r="E37" i="12"/>
  <c r="Y37" i="12"/>
  <c r="S41" i="12"/>
  <c r="T13" i="11"/>
  <c r="T26" i="11"/>
  <c r="T8" i="11"/>
  <c r="T16" i="11"/>
  <c r="T20" i="11"/>
  <c r="T15" i="11"/>
  <c r="R7" i="11"/>
  <c r="H7" i="11" s="1"/>
  <c r="E7" i="11"/>
  <c r="Y38" i="11"/>
  <c r="R40" i="11"/>
  <c r="H40" i="11" s="1"/>
  <c r="E40" i="11"/>
  <c r="Y4" i="11"/>
  <c r="S7" i="11"/>
  <c r="S8" i="11"/>
  <c r="R9" i="11"/>
  <c r="H9" i="11" s="1"/>
  <c r="E9" i="11"/>
  <c r="Y9" i="11"/>
  <c r="R10" i="11"/>
  <c r="H10" i="11" s="1"/>
  <c r="E10" i="11"/>
  <c r="Y10" i="11"/>
  <c r="R11" i="11"/>
  <c r="H11" i="11" s="1"/>
  <c r="E11" i="11"/>
  <c r="Y11" i="11"/>
  <c r="R12" i="11"/>
  <c r="H12" i="11" s="1"/>
  <c r="E12" i="11"/>
  <c r="Y12" i="11"/>
  <c r="Y13" i="11"/>
  <c r="R14" i="11"/>
  <c r="H14" i="11" s="1"/>
  <c r="E14" i="11"/>
  <c r="Y14" i="11"/>
  <c r="Y15" i="11"/>
  <c r="Y16" i="11"/>
  <c r="R17" i="11"/>
  <c r="H17" i="11" s="1"/>
  <c r="E17" i="11"/>
  <c r="Y17" i="11"/>
  <c r="R18" i="11"/>
  <c r="H18" i="11" s="1"/>
  <c r="E18" i="11"/>
  <c r="Y18" i="11"/>
  <c r="R19" i="11"/>
  <c r="H19" i="11" s="1"/>
  <c r="E19" i="11"/>
  <c r="Y19" i="11"/>
  <c r="Y20" i="11"/>
  <c r="R21" i="11"/>
  <c r="H21" i="11" s="1"/>
  <c r="E21" i="11"/>
  <c r="Y21" i="11"/>
  <c r="R22" i="11"/>
  <c r="H22" i="11" s="1"/>
  <c r="E22" i="11"/>
  <c r="Y22" i="11"/>
  <c r="R23" i="11"/>
  <c r="H23" i="11" s="1"/>
  <c r="E23" i="11"/>
  <c r="Y23" i="11"/>
  <c r="S26" i="11"/>
  <c r="R27" i="11"/>
  <c r="H27" i="11" s="1"/>
  <c r="E27" i="11"/>
  <c r="Y27" i="11"/>
  <c r="S32" i="11"/>
  <c r="S33" i="11"/>
  <c r="R34" i="11"/>
  <c r="H34" i="11" s="1"/>
  <c r="E34" i="11"/>
  <c r="Y34" i="11"/>
  <c r="S38" i="11"/>
  <c r="S40" i="11"/>
  <c r="R41" i="11"/>
  <c r="H41" i="11" s="1"/>
  <c r="E41" i="11"/>
  <c r="Y41" i="11"/>
  <c r="Y7" i="11"/>
  <c r="T24" i="11"/>
  <c r="S25" i="11"/>
  <c r="Y26" i="11"/>
  <c r="R32" i="11"/>
  <c r="H32" i="11" s="1"/>
  <c r="E32" i="11"/>
  <c r="R33" i="11"/>
  <c r="H33" i="11" s="1"/>
  <c r="E33" i="11"/>
  <c r="Y33" i="11"/>
  <c r="S37" i="11"/>
  <c r="R38" i="11"/>
  <c r="H38" i="11" s="1"/>
  <c r="E38" i="11"/>
  <c r="Y40" i="11"/>
  <c r="R5" i="11"/>
  <c r="H5" i="11" s="1"/>
  <c r="E5" i="11"/>
  <c r="Y5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Y24" i="11"/>
  <c r="S27" i="11"/>
  <c r="R28" i="11"/>
  <c r="H28" i="11" s="1"/>
  <c r="E28" i="11"/>
  <c r="Y28" i="11"/>
  <c r="R29" i="11"/>
  <c r="H29" i="11" s="1"/>
  <c r="E29" i="11"/>
  <c r="Y29" i="11"/>
  <c r="R30" i="11"/>
  <c r="H30" i="11" s="1"/>
  <c r="E30" i="11"/>
  <c r="Y30" i="11"/>
  <c r="S34" i="11"/>
  <c r="Y35" i="11"/>
  <c r="R36" i="11"/>
  <c r="H36" i="11" s="1"/>
  <c r="E36" i="11"/>
  <c r="Y36" i="11"/>
  <c r="R39" i="11"/>
  <c r="H39" i="11" s="1"/>
  <c r="E39" i="11"/>
  <c r="Y39" i="11"/>
  <c r="S41" i="11"/>
  <c r="S6" i="11"/>
  <c r="Y8" i="11"/>
  <c r="S31" i="11"/>
  <c r="Y32" i="11"/>
  <c r="S5" i="11"/>
  <c r="R6" i="11"/>
  <c r="H6" i="11" s="1"/>
  <c r="E6" i="11"/>
  <c r="Y6" i="11"/>
  <c r="S24" i="11"/>
  <c r="R25" i="11"/>
  <c r="H25" i="11" s="1"/>
  <c r="E25" i="11"/>
  <c r="Y25" i="11"/>
  <c r="S28" i="11"/>
  <c r="S29" i="11"/>
  <c r="S30" i="11"/>
  <c r="R31" i="11"/>
  <c r="H31" i="11" s="1"/>
  <c r="E31" i="11"/>
  <c r="Y31" i="11"/>
  <c r="S36" i="11"/>
  <c r="R37" i="11"/>
  <c r="H37" i="11" s="1"/>
  <c r="E37" i="11"/>
  <c r="Y37" i="11"/>
  <c r="S39" i="11"/>
  <c r="E30" i="10"/>
  <c r="E26" i="10"/>
  <c r="E22" i="10"/>
  <c r="E18" i="10"/>
  <c r="T18" i="10" s="1"/>
  <c r="E14" i="10"/>
  <c r="E10" i="10"/>
  <c r="E29" i="10"/>
  <c r="E17" i="10"/>
  <c r="E13" i="10"/>
  <c r="E39" i="10"/>
  <c r="T39" i="10" s="1"/>
  <c r="E19" i="10"/>
  <c r="E15" i="10"/>
  <c r="E7" i="10"/>
  <c r="R36" i="10"/>
  <c r="E36" i="10"/>
  <c r="R33" i="10"/>
  <c r="E33" i="10"/>
  <c r="R27" i="10"/>
  <c r="S34" i="10"/>
  <c r="R20" i="10"/>
  <c r="E20" i="10"/>
  <c r="E11" i="10"/>
  <c r="R40" i="10"/>
  <c r="S22" i="10"/>
  <c r="S10" i="10"/>
  <c r="Y40" i="10"/>
  <c r="Y32" i="10"/>
  <c r="Y24" i="10"/>
  <c r="Y8" i="10"/>
  <c r="R41" i="10"/>
  <c r="E41" i="10"/>
  <c r="R37" i="10"/>
  <c r="E37" i="10"/>
  <c r="R34" i="10"/>
  <c r="E34" i="10"/>
  <c r="R31" i="10"/>
  <c r="R24" i="10"/>
  <c r="E24" i="10"/>
  <c r="R21" i="10"/>
  <c r="E21" i="10"/>
  <c r="R8" i="10"/>
  <c r="E8" i="10"/>
  <c r="R5" i="10"/>
  <c r="E5" i="10"/>
  <c r="S41" i="10"/>
  <c r="S37" i="10"/>
  <c r="S33" i="10"/>
  <c r="S29" i="10"/>
  <c r="S25" i="10"/>
  <c r="S21" i="10"/>
  <c r="S17" i="10"/>
  <c r="S13" i="10"/>
  <c r="S9" i="10"/>
  <c r="S5" i="10"/>
  <c r="Y39" i="10"/>
  <c r="Y35" i="10"/>
  <c r="Y31" i="10"/>
  <c r="Y27" i="10"/>
  <c r="Y23" i="10"/>
  <c r="Y19" i="10"/>
  <c r="Y15" i="10"/>
  <c r="Y11" i="10"/>
  <c r="Y7" i="10"/>
  <c r="S38" i="10"/>
  <c r="S26" i="10"/>
  <c r="S14" i="10"/>
  <c r="Y28" i="10"/>
  <c r="Y16" i="10"/>
  <c r="R38" i="10"/>
  <c r="E38" i="10"/>
  <c r="R35" i="10"/>
  <c r="R28" i="10"/>
  <c r="E28" i="10"/>
  <c r="R25" i="10"/>
  <c r="E25" i="10"/>
  <c r="R12" i="10"/>
  <c r="E12" i="10"/>
  <c r="R9" i="10"/>
  <c r="E9" i="10"/>
  <c r="R6" i="10"/>
  <c r="E6" i="10"/>
  <c r="S40" i="10"/>
  <c r="S36" i="10"/>
  <c r="S32" i="10"/>
  <c r="S28" i="10"/>
  <c r="S24" i="10"/>
  <c r="S20" i="10"/>
  <c r="S16" i="10"/>
  <c r="S12" i="10"/>
  <c r="S8" i="10"/>
  <c r="Y38" i="10"/>
  <c r="Y34" i="10"/>
  <c r="Y30" i="10"/>
  <c r="Y26" i="10"/>
  <c r="Y22" i="10"/>
  <c r="Y18" i="10"/>
  <c r="Y14" i="10"/>
  <c r="Y10" i="10"/>
  <c r="Y6" i="10"/>
  <c r="S30" i="10"/>
  <c r="S18" i="10"/>
  <c r="S6" i="10"/>
  <c r="T32" i="10"/>
  <c r="Y36" i="10"/>
  <c r="Y20" i="10"/>
  <c r="Y12" i="10"/>
  <c r="R23" i="10"/>
  <c r="R16" i="10"/>
  <c r="E16" i="10"/>
  <c r="S39" i="10"/>
  <c r="S35" i="10"/>
  <c r="S31" i="10"/>
  <c r="S27" i="10"/>
  <c r="S23" i="10"/>
  <c r="S19" i="10"/>
  <c r="S15" i="10"/>
  <c r="S11" i="10"/>
  <c r="S7" i="10"/>
  <c r="Y41" i="10"/>
  <c r="Y37" i="10"/>
  <c r="Y33" i="10"/>
  <c r="Y29" i="10"/>
  <c r="Y25" i="10"/>
  <c r="Y21" i="10"/>
  <c r="Y17" i="10"/>
  <c r="Y13" i="10"/>
  <c r="Y9" i="10"/>
  <c r="Y5" i="10"/>
  <c r="AG23" i="16"/>
  <c r="AG19" i="16"/>
  <c r="AG38" i="16"/>
  <c r="AG30" i="16"/>
  <c r="AG12" i="16"/>
  <c r="BB24" i="16"/>
  <c r="AG27" i="16"/>
  <c r="R32" i="10"/>
  <c r="R19" i="10"/>
  <c r="R15" i="10"/>
  <c r="R11" i="10"/>
  <c r="R7" i="10"/>
  <c r="R13" i="11"/>
  <c r="H13" i="11" s="1"/>
  <c r="R15" i="11"/>
  <c r="R20" i="11"/>
  <c r="H20" i="11" s="1"/>
  <c r="R24" i="11"/>
  <c r="H24" i="11" s="1"/>
  <c r="R26" i="11"/>
  <c r="H26" i="11" s="1"/>
  <c r="R7" i="12"/>
  <c r="R11" i="12"/>
  <c r="H11" i="12" s="1"/>
  <c r="R15" i="12"/>
  <c r="H15" i="12" s="1"/>
  <c r="R30" i="10"/>
  <c r="R26" i="10"/>
  <c r="R22" i="10"/>
  <c r="R29" i="10"/>
  <c r="R17" i="10"/>
  <c r="R13" i="10"/>
  <c r="D35" i="11"/>
  <c r="BE4" i="14"/>
  <c r="BE5" i="14"/>
  <c r="BI17" i="14"/>
  <c r="C17" i="14" s="1"/>
  <c r="R17" i="14" s="1"/>
  <c r="BE21" i="14"/>
  <c r="BL7" i="14"/>
  <c r="BG11" i="14"/>
  <c r="BM26" i="14"/>
  <c r="C35" i="11"/>
  <c r="R6" i="12"/>
  <c r="H6" i="12" s="1"/>
  <c r="R23" i="12"/>
  <c r="H23" i="12" s="1"/>
  <c r="R27" i="12"/>
  <c r="H27" i="12" s="1"/>
  <c r="BN13" i="14"/>
  <c r="BF4" i="14"/>
  <c r="BL4" i="14"/>
  <c r="BP4" i="14"/>
  <c r="D4" i="14" s="1"/>
  <c r="D4" i="13"/>
  <c r="DD4" i="14"/>
  <c r="DJ4" i="14"/>
  <c r="EF4" i="14"/>
  <c r="BF5" i="14"/>
  <c r="BL5" i="14"/>
  <c r="BP5" i="14"/>
  <c r="D5" i="14" s="1"/>
  <c r="S5" i="14" s="1"/>
  <c r="D5" i="13"/>
  <c r="DD5" i="14"/>
  <c r="DJ5" i="14"/>
  <c r="EF5" i="14"/>
  <c r="BF6" i="14"/>
  <c r="BL6" i="14"/>
  <c r="BP6" i="14"/>
  <c r="D6" i="14" s="1"/>
  <c r="S6" i="14" s="1"/>
  <c r="D6" i="13"/>
  <c r="DD6" i="14"/>
  <c r="DJ6" i="14"/>
  <c r="EF6" i="14"/>
  <c r="BF7" i="14"/>
  <c r="BP7" i="14"/>
  <c r="D7" i="14" s="1"/>
  <c r="S7" i="14" s="1"/>
  <c r="DD7" i="14"/>
  <c r="DJ7" i="14"/>
  <c r="EF7" i="14"/>
  <c r="BL8" i="14"/>
  <c r="BP8" i="14"/>
  <c r="D8" i="14" s="1"/>
  <c r="S8" i="14" s="1"/>
  <c r="D8" i="13"/>
  <c r="DD8" i="14"/>
  <c r="DJ8" i="14"/>
  <c r="EF8" i="14"/>
  <c r="BF9" i="14"/>
  <c r="BL9" i="14"/>
  <c r="BP9" i="14"/>
  <c r="D9" i="14" s="1"/>
  <c r="S9" i="14" s="1"/>
  <c r="D9" i="13"/>
  <c r="DD9" i="14"/>
  <c r="DJ9" i="14"/>
  <c r="EF9" i="14"/>
  <c r="BF10" i="14"/>
  <c r="BL10" i="14"/>
  <c r="BP10" i="14"/>
  <c r="D10" i="14" s="1"/>
  <c r="S10" i="14" s="1"/>
  <c r="D10" i="13"/>
  <c r="DD10" i="14"/>
  <c r="DJ10" i="14"/>
  <c r="EF10" i="14"/>
  <c r="BF11" i="14"/>
  <c r="BL11" i="14"/>
  <c r="D11" i="13"/>
  <c r="BP11" i="14"/>
  <c r="D11" i="14" s="1"/>
  <c r="S11" i="14" s="1"/>
  <c r="DD11" i="14"/>
  <c r="DJ11" i="14"/>
  <c r="EF11" i="14"/>
  <c r="BF12" i="14"/>
  <c r="BL12" i="14"/>
  <c r="BP12" i="14"/>
  <c r="D12" i="14" s="1"/>
  <c r="S12" i="14" s="1"/>
  <c r="D12" i="13"/>
  <c r="CN12" i="14"/>
  <c r="CR12" i="14"/>
  <c r="H12" i="14" s="1"/>
  <c r="W12" i="14" s="1"/>
  <c r="H12" i="13"/>
  <c r="DD12" i="14"/>
  <c r="DJ12" i="14"/>
  <c r="EF12" i="14"/>
  <c r="BF13" i="14"/>
  <c r="BL13" i="14"/>
  <c r="BP13" i="14"/>
  <c r="D13" i="14" s="1"/>
  <c r="S13" i="14" s="1"/>
  <c r="D13" i="13"/>
  <c r="CB13" i="14"/>
  <c r="DD13" i="14"/>
  <c r="DJ13" i="14"/>
  <c r="EF13" i="14"/>
  <c r="BF14" i="14"/>
  <c r="BL14" i="14"/>
  <c r="BP14" i="14"/>
  <c r="D14" i="14" s="1"/>
  <c r="S14" i="14" s="1"/>
  <c r="D14" i="13"/>
  <c r="DD14" i="14"/>
  <c r="DJ14" i="14"/>
  <c r="EF14" i="14"/>
  <c r="BF15" i="14"/>
  <c r="BL15" i="14"/>
  <c r="D15" i="13"/>
  <c r="BP15" i="14"/>
  <c r="D15" i="14" s="1"/>
  <c r="S15" i="14" s="1"/>
  <c r="DD15" i="14"/>
  <c r="DJ15" i="14"/>
  <c r="EF15" i="14"/>
  <c r="BF16" i="14"/>
  <c r="BL16" i="14"/>
  <c r="BP16" i="14"/>
  <c r="D16" i="14" s="1"/>
  <c r="S16" i="14" s="1"/>
  <c r="D16" i="13"/>
  <c r="DD16" i="14"/>
  <c r="DJ16" i="14"/>
  <c r="EF16" i="14"/>
  <c r="BF17" i="14"/>
  <c r="BL17" i="14"/>
  <c r="BP17" i="14"/>
  <c r="D17" i="14" s="1"/>
  <c r="S17" i="14" s="1"/>
  <c r="D17" i="13"/>
  <c r="DD17" i="14"/>
  <c r="DJ17" i="14"/>
  <c r="EF17" i="14"/>
  <c r="BF18" i="14"/>
  <c r="BL18" i="14"/>
  <c r="D18" i="13"/>
  <c r="BP18" i="14"/>
  <c r="D18" i="14" s="1"/>
  <c r="S18" i="14" s="1"/>
  <c r="DD18" i="14"/>
  <c r="DJ18" i="14"/>
  <c r="EF18" i="14"/>
  <c r="BF19" i="14"/>
  <c r="BL19" i="14"/>
  <c r="DD19" i="14"/>
  <c r="DJ19" i="14"/>
  <c r="EF19" i="14"/>
  <c r="BF20" i="14"/>
  <c r="BL20" i="14"/>
  <c r="BP20" i="14"/>
  <c r="D20" i="14" s="1"/>
  <c r="S20" i="14" s="1"/>
  <c r="D20" i="13"/>
  <c r="CN20" i="14"/>
  <c r="CR20" i="14"/>
  <c r="H20" i="14" s="1"/>
  <c r="W20" i="14" s="1"/>
  <c r="H20" i="13"/>
  <c r="DD20" i="14"/>
  <c r="DJ20" i="14"/>
  <c r="EF20" i="14"/>
  <c r="BF21" i="14"/>
  <c r="BL21" i="14"/>
  <c r="BP21" i="14"/>
  <c r="D21" i="14" s="1"/>
  <c r="S21" i="14" s="1"/>
  <c r="D21" i="13"/>
  <c r="DD21" i="14"/>
  <c r="DJ21" i="14"/>
  <c r="EF21" i="14"/>
  <c r="BF22" i="14"/>
  <c r="BL22" i="14"/>
  <c r="BP22" i="14"/>
  <c r="D22" i="14" s="1"/>
  <c r="S22" i="14" s="1"/>
  <c r="DD22" i="14"/>
  <c r="DJ22" i="14"/>
  <c r="EF22" i="14"/>
  <c r="BF23" i="14"/>
  <c r="BL23" i="14"/>
  <c r="BP23" i="14"/>
  <c r="D23" i="14" s="1"/>
  <c r="S23" i="14" s="1"/>
  <c r="D23" i="13"/>
  <c r="DD23" i="14"/>
  <c r="DJ23" i="14"/>
  <c r="EF23" i="14"/>
  <c r="BL24" i="14"/>
  <c r="BP24" i="14"/>
  <c r="D24" i="14" s="1"/>
  <c r="S24" i="14" s="1"/>
  <c r="D24" i="13"/>
  <c r="CN24" i="14"/>
  <c r="CR24" i="14"/>
  <c r="H24" i="14" s="1"/>
  <c r="W24" i="14" s="1"/>
  <c r="H24" i="13"/>
  <c r="DD24" i="14"/>
  <c r="DJ24" i="14"/>
  <c r="EF24" i="14"/>
  <c r="BF25" i="14"/>
  <c r="BL25" i="14"/>
  <c r="BP25" i="14"/>
  <c r="D25" i="14" s="1"/>
  <c r="S25" i="14" s="1"/>
  <c r="D25" i="13"/>
  <c r="DD25" i="14"/>
  <c r="DJ25" i="14"/>
  <c r="EF25" i="14"/>
  <c r="BF26" i="14"/>
  <c r="BL26" i="14"/>
  <c r="D26" i="13"/>
  <c r="BP26" i="14"/>
  <c r="D26" i="14" s="1"/>
  <c r="S26" i="14" s="1"/>
  <c r="DD26" i="14"/>
  <c r="DJ26" i="14"/>
  <c r="EF26" i="14"/>
  <c r="BF27" i="14"/>
  <c r="BL27" i="14"/>
  <c r="BP27" i="14"/>
  <c r="D27" i="14" s="1"/>
  <c r="S27" i="14" s="1"/>
  <c r="DD27" i="14"/>
  <c r="DJ27" i="14"/>
  <c r="EF27" i="14"/>
  <c r="BF28" i="14"/>
  <c r="BL28" i="14"/>
  <c r="BP28" i="14"/>
  <c r="D28" i="14" s="1"/>
  <c r="S28" i="14" s="1"/>
  <c r="D28" i="13"/>
  <c r="DD28" i="14"/>
  <c r="DJ28" i="14"/>
  <c r="BF29" i="14"/>
  <c r="BF30" i="14"/>
  <c r="CB31" i="14"/>
  <c r="BF37" i="14"/>
  <c r="BF38" i="14"/>
  <c r="BL39" i="14"/>
  <c r="BF41" i="14"/>
  <c r="D7" i="13"/>
  <c r="BF24" i="14"/>
  <c r="BG4" i="14"/>
  <c r="BM4" i="14"/>
  <c r="BG5" i="14"/>
  <c r="BM5" i="14"/>
  <c r="BG6" i="14"/>
  <c r="BM6" i="14"/>
  <c r="BG7" i="14"/>
  <c r="BM7" i="14"/>
  <c r="BG8" i="14"/>
  <c r="BM8" i="14"/>
  <c r="BG9" i="14"/>
  <c r="BM9" i="14"/>
  <c r="BG10" i="14"/>
  <c r="BM10" i="14"/>
  <c r="BM11" i="14"/>
  <c r="BG12" i="14"/>
  <c r="BM12" i="14"/>
  <c r="BS12" i="14"/>
  <c r="E12" i="13"/>
  <c r="BW12" i="14"/>
  <c r="E12" i="14" s="1"/>
  <c r="T12" i="14" s="1"/>
  <c r="BG13" i="14"/>
  <c r="BM13" i="14"/>
  <c r="BG14" i="14"/>
  <c r="BM14" i="14"/>
  <c r="BG15" i="14"/>
  <c r="BM15" i="14"/>
  <c r="BG16" i="14"/>
  <c r="BM16" i="14"/>
  <c r="BG17" i="14"/>
  <c r="BM17" i="14"/>
  <c r="BG18" i="14"/>
  <c r="BM18" i="14"/>
  <c r="BG19" i="14"/>
  <c r="BM19" i="14"/>
  <c r="CO19" i="14"/>
  <c r="BG20" i="14"/>
  <c r="BM20" i="14"/>
  <c r="BS20" i="14"/>
  <c r="BW20" i="14"/>
  <c r="E20" i="14" s="1"/>
  <c r="T20" i="14" s="1"/>
  <c r="E20" i="13"/>
  <c r="BG21" i="14"/>
  <c r="BM21" i="14"/>
  <c r="BG22" i="14"/>
  <c r="BM22" i="14"/>
  <c r="BG23" i="14"/>
  <c r="BM23" i="14"/>
  <c r="BG24" i="14"/>
  <c r="BM24" i="14"/>
  <c r="BS24" i="14"/>
  <c r="BW24" i="14"/>
  <c r="E24" i="14" s="1"/>
  <c r="T24" i="14" s="1"/>
  <c r="E24" i="13"/>
  <c r="BG25" i="14"/>
  <c r="BM25" i="14"/>
  <c r="BG26" i="14"/>
  <c r="BM27" i="14"/>
  <c r="BG28" i="14"/>
  <c r="BM28" i="14"/>
  <c r="BM29" i="14"/>
  <c r="BS29" i="14"/>
  <c r="BW29" i="14"/>
  <c r="E29" i="14" s="1"/>
  <c r="T29" i="14" s="1"/>
  <c r="E29" i="13"/>
  <c r="CO29" i="14"/>
  <c r="BG30" i="14"/>
  <c r="BM30" i="14"/>
  <c r="BG31" i="14"/>
  <c r="BM31" i="14"/>
  <c r="BS31" i="14"/>
  <c r="BW31" i="14"/>
  <c r="E31" i="14" s="1"/>
  <c r="T31" i="14" s="1"/>
  <c r="E31" i="13"/>
  <c r="BG32" i="14"/>
  <c r="BM32" i="14"/>
  <c r="CO32" i="14"/>
  <c r="BG33" i="14"/>
  <c r="BM33" i="14"/>
  <c r="CO33" i="14"/>
  <c r="BG34" i="14"/>
  <c r="BM34" i="14"/>
  <c r="BS34" i="14"/>
  <c r="BW34" i="14"/>
  <c r="E34" i="14" s="1"/>
  <c r="T34" i="14" s="1"/>
  <c r="E34" i="13"/>
  <c r="BG35" i="14"/>
  <c r="BM35" i="14"/>
  <c r="E35" i="13"/>
  <c r="BG36" i="14"/>
  <c r="BM36" i="14"/>
  <c r="BM37" i="14"/>
  <c r="BG38" i="14"/>
  <c r="BM38" i="14"/>
  <c r="BS38" i="14"/>
  <c r="BW38" i="14"/>
  <c r="E38" i="14" s="1"/>
  <c r="T38" i="14" s="1"/>
  <c r="E38" i="13"/>
  <c r="CO38" i="14"/>
  <c r="BG39" i="14"/>
  <c r="BM39" i="14"/>
  <c r="BS39" i="14"/>
  <c r="BW39" i="14"/>
  <c r="E39" i="14" s="1"/>
  <c r="T39" i="14" s="1"/>
  <c r="E39" i="13"/>
  <c r="CO39" i="14"/>
  <c r="BG40" i="14"/>
  <c r="BM40" i="14"/>
  <c r="CO40" i="14"/>
  <c r="BG41" i="14"/>
  <c r="BM41" i="14"/>
  <c r="CO41" i="14"/>
  <c r="BG42" i="14"/>
  <c r="BM42" i="14"/>
  <c r="C17" i="13"/>
  <c r="D27" i="13"/>
  <c r="BG37" i="14"/>
  <c r="BF8" i="14"/>
  <c r="BP19" i="14"/>
  <c r="D19" i="14" s="1"/>
  <c r="S19" i="14" s="1"/>
  <c r="BH4" i="14"/>
  <c r="BN4" i="14"/>
  <c r="BT4" i="14"/>
  <c r="CJ4" i="14"/>
  <c r="BH5" i="14"/>
  <c r="BN5" i="14"/>
  <c r="CJ5" i="14"/>
  <c r="BH6" i="14"/>
  <c r="BN6" i="14"/>
  <c r="CJ6" i="14"/>
  <c r="BH7" i="14"/>
  <c r="BN7" i="14"/>
  <c r="CJ7" i="14"/>
  <c r="BH8" i="14"/>
  <c r="BN8" i="14"/>
  <c r="CJ8" i="14"/>
  <c r="BH9" i="14"/>
  <c r="BN9" i="14"/>
  <c r="CJ9" i="14"/>
  <c r="BH10" i="14"/>
  <c r="BN10" i="14"/>
  <c r="CJ10" i="14"/>
  <c r="BH11" i="14"/>
  <c r="BN11" i="14"/>
  <c r="CJ11" i="14"/>
  <c r="BH12" i="14"/>
  <c r="BN12" i="14"/>
  <c r="CJ12" i="14"/>
  <c r="BH13" i="14"/>
  <c r="CJ13" i="14"/>
  <c r="BN14" i="14"/>
  <c r="CJ14" i="14"/>
  <c r="BH15" i="14"/>
  <c r="BN15" i="14"/>
  <c r="CJ15" i="14"/>
  <c r="BH16" i="14"/>
  <c r="BN16" i="14"/>
  <c r="CJ16" i="14"/>
  <c r="BH17" i="14"/>
  <c r="BN17" i="14"/>
  <c r="CJ17" i="14"/>
  <c r="BH18" i="14"/>
  <c r="BN18" i="14"/>
  <c r="CJ18" i="14"/>
  <c r="BH19" i="14"/>
  <c r="BN19" i="14"/>
  <c r="BT19" i="14"/>
  <c r="CJ19" i="14"/>
  <c r="BH20" i="14"/>
  <c r="BN20" i="14"/>
  <c r="CJ20" i="14"/>
  <c r="BH21" i="14"/>
  <c r="BN21" i="14"/>
  <c r="CJ21" i="14"/>
  <c r="BH22" i="14"/>
  <c r="BN22" i="14"/>
  <c r="CJ22" i="14"/>
  <c r="BH23" i="14"/>
  <c r="BN23" i="14"/>
  <c r="CJ23" i="14"/>
  <c r="BH24" i="14"/>
  <c r="BN24" i="14"/>
  <c r="CJ24" i="14"/>
  <c r="BH25" i="14"/>
  <c r="BN25" i="14"/>
  <c r="CJ25" i="14"/>
  <c r="BH26" i="14"/>
  <c r="BN26" i="14"/>
  <c r="CJ26" i="14"/>
  <c r="BH27" i="14"/>
  <c r="BN27" i="14"/>
  <c r="CJ27" i="14"/>
  <c r="BH28" i="14"/>
  <c r="BN28" i="14"/>
  <c r="CJ28" i="14"/>
  <c r="BN29" i="14"/>
  <c r="BH36" i="14"/>
  <c r="BG29" i="14"/>
  <c r="C4" i="13"/>
  <c r="BI4" i="14"/>
  <c r="C4" i="14" s="1"/>
  <c r="R4" i="14" s="1"/>
  <c r="BO4" i="14"/>
  <c r="DC4" i="14"/>
  <c r="DI4" i="14"/>
  <c r="DM4" i="14"/>
  <c r="J4" i="14" s="1"/>
  <c r="Y4" i="14" s="1"/>
  <c r="J4" i="13"/>
  <c r="DS4" i="14"/>
  <c r="EE4" i="14"/>
  <c r="BI5" i="14"/>
  <c r="C5" i="14" s="1"/>
  <c r="R5" i="14" s="1"/>
  <c r="C5" i="13"/>
  <c r="BO5" i="14"/>
  <c r="DC5" i="14"/>
  <c r="DI5" i="14"/>
  <c r="DM5" i="14"/>
  <c r="J5" i="14" s="1"/>
  <c r="Y5" i="14" s="1"/>
  <c r="J5" i="13"/>
  <c r="DS5" i="14"/>
  <c r="EE5" i="14"/>
  <c r="BE6" i="14"/>
  <c r="BI6" i="14"/>
  <c r="C6" i="14" s="1"/>
  <c r="R6" i="14" s="1"/>
  <c r="C6" i="13"/>
  <c r="BO6" i="14"/>
  <c r="DC6" i="14"/>
  <c r="DI6" i="14"/>
  <c r="DM6" i="14"/>
  <c r="J6" i="14" s="1"/>
  <c r="Y6" i="14" s="1"/>
  <c r="J6" i="13"/>
  <c r="DS6" i="14"/>
  <c r="EE6" i="14"/>
  <c r="BE7" i="14"/>
  <c r="BI7" i="14"/>
  <c r="C7" i="14" s="1"/>
  <c r="R7" i="14" s="1"/>
  <c r="C7" i="13"/>
  <c r="BO7" i="14"/>
  <c r="DC7" i="14"/>
  <c r="DI7" i="14"/>
  <c r="DM7" i="14"/>
  <c r="J7" i="14" s="1"/>
  <c r="Y7" i="14" s="1"/>
  <c r="J7" i="13"/>
  <c r="DS7" i="14"/>
  <c r="EE7" i="14"/>
  <c r="BE8" i="14"/>
  <c r="BI8" i="14"/>
  <c r="C8" i="14" s="1"/>
  <c r="R8" i="14" s="1"/>
  <c r="BO8" i="14"/>
  <c r="DC8" i="14"/>
  <c r="DI8" i="14"/>
  <c r="DM8" i="14"/>
  <c r="J8" i="14" s="1"/>
  <c r="Y8" i="14" s="1"/>
  <c r="J8" i="13"/>
  <c r="DS8" i="14"/>
  <c r="EE8" i="14"/>
  <c r="BE9" i="14"/>
  <c r="C9" i="13"/>
  <c r="BI9" i="14"/>
  <c r="C9" i="14" s="1"/>
  <c r="R9" i="14" s="1"/>
  <c r="BO9" i="14"/>
  <c r="DC9" i="14"/>
  <c r="DI9" i="14"/>
  <c r="DM9" i="14"/>
  <c r="J9" i="14" s="1"/>
  <c r="Y9" i="14" s="1"/>
  <c r="J9" i="13"/>
  <c r="DS9" i="14"/>
  <c r="EE9" i="14"/>
  <c r="BE10" i="14"/>
  <c r="C10" i="13"/>
  <c r="BI10" i="14"/>
  <c r="C10" i="14" s="1"/>
  <c r="R10" i="14" s="1"/>
  <c r="BO10" i="14"/>
  <c r="DC10" i="14"/>
  <c r="DI10" i="14"/>
  <c r="DM10" i="14"/>
  <c r="J10" i="14" s="1"/>
  <c r="Y10" i="14" s="1"/>
  <c r="J10" i="13"/>
  <c r="DS10" i="14"/>
  <c r="EE10" i="14"/>
  <c r="BE11" i="14"/>
  <c r="BI11" i="14"/>
  <c r="C11" i="14" s="1"/>
  <c r="R11" i="14" s="1"/>
  <c r="C11" i="13"/>
  <c r="BO11" i="14"/>
  <c r="DC11" i="14"/>
  <c r="DI11" i="14"/>
  <c r="DM11" i="14"/>
  <c r="J11" i="14" s="1"/>
  <c r="Y11" i="14" s="1"/>
  <c r="J11" i="13"/>
  <c r="DS11" i="14"/>
  <c r="EE11" i="14"/>
  <c r="BE12" i="14"/>
  <c r="BI12" i="14"/>
  <c r="C12" i="14" s="1"/>
  <c r="R12" i="14" s="1"/>
  <c r="BO12" i="14"/>
  <c r="DC12" i="14"/>
  <c r="DI12" i="14"/>
  <c r="DM12" i="14"/>
  <c r="J12" i="14" s="1"/>
  <c r="Y12" i="14" s="1"/>
  <c r="J12" i="13"/>
  <c r="DS12" i="14"/>
  <c r="EE12" i="14"/>
  <c r="BE13" i="14"/>
  <c r="BI13" i="14"/>
  <c r="C13" i="14" s="1"/>
  <c r="R13" i="14" s="1"/>
  <c r="C13" i="13"/>
  <c r="BO13" i="14"/>
  <c r="CW13" i="14"/>
  <c r="DC13" i="14"/>
  <c r="DI13" i="14"/>
  <c r="DM13" i="14"/>
  <c r="J13" i="14" s="1"/>
  <c r="Y13" i="14" s="1"/>
  <c r="DS13" i="14"/>
  <c r="EE13" i="14"/>
  <c r="BE14" i="14"/>
  <c r="BI14" i="14"/>
  <c r="C14" i="14" s="1"/>
  <c r="R14" i="14" s="1"/>
  <c r="C14" i="13"/>
  <c r="BO14" i="14"/>
  <c r="DC14" i="14"/>
  <c r="DI14" i="14"/>
  <c r="DM14" i="14"/>
  <c r="J14" i="14" s="1"/>
  <c r="Y14" i="14" s="1"/>
  <c r="J14" i="13"/>
  <c r="DS14" i="14"/>
  <c r="EE14" i="14"/>
  <c r="BE15" i="14"/>
  <c r="BI15" i="14"/>
  <c r="C15" i="14" s="1"/>
  <c r="R15" i="14" s="1"/>
  <c r="C15" i="13"/>
  <c r="BO15" i="14"/>
  <c r="DC15" i="14"/>
  <c r="DI15" i="14"/>
  <c r="DM15" i="14"/>
  <c r="J15" i="14" s="1"/>
  <c r="Y15" i="14" s="1"/>
  <c r="J15" i="13"/>
  <c r="DS15" i="14"/>
  <c r="EE15" i="14"/>
  <c r="BE16" i="14"/>
  <c r="BI16" i="14"/>
  <c r="C16" i="14" s="1"/>
  <c r="R16" i="14" s="1"/>
  <c r="C16" i="13"/>
  <c r="BO16" i="14"/>
  <c r="DC16" i="14"/>
  <c r="DI16" i="14"/>
  <c r="DM16" i="14"/>
  <c r="J16" i="14" s="1"/>
  <c r="Y16" i="14" s="1"/>
  <c r="J16" i="13"/>
  <c r="DS16" i="14"/>
  <c r="EE16" i="14"/>
  <c r="BE17" i="14"/>
  <c r="BO17" i="14"/>
  <c r="DC17" i="14"/>
  <c r="DI17" i="14"/>
  <c r="DM17" i="14"/>
  <c r="J17" i="14" s="1"/>
  <c r="Y17" i="14" s="1"/>
  <c r="J17" i="13"/>
  <c r="DS17" i="14"/>
  <c r="EE17" i="14"/>
  <c r="BE18" i="14"/>
  <c r="C18" i="13"/>
  <c r="BI18" i="14"/>
  <c r="C18" i="14" s="1"/>
  <c r="BO18" i="14"/>
  <c r="DC18" i="14"/>
  <c r="DI18" i="14"/>
  <c r="DM18" i="14"/>
  <c r="J18" i="14" s="1"/>
  <c r="Y18" i="14" s="1"/>
  <c r="J18" i="13"/>
  <c r="DS18" i="14"/>
  <c r="EE18" i="14"/>
  <c r="BE19" i="14"/>
  <c r="BI19" i="14"/>
  <c r="C19" i="14" s="1"/>
  <c r="R19" i="14" s="1"/>
  <c r="C19" i="13"/>
  <c r="BO19" i="14"/>
  <c r="DC19" i="14"/>
  <c r="DI19" i="14"/>
  <c r="DM19" i="14"/>
  <c r="J19" i="14" s="1"/>
  <c r="Y19" i="14" s="1"/>
  <c r="J19" i="13"/>
  <c r="DS19" i="14"/>
  <c r="EE19" i="14"/>
  <c r="BE20" i="14"/>
  <c r="BI20" i="14"/>
  <c r="C20" i="14" s="1"/>
  <c r="R20" i="14" s="1"/>
  <c r="BO20" i="14"/>
  <c r="DC20" i="14"/>
  <c r="DI20" i="14"/>
  <c r="DM20" i="14"/>
  <c r="J20" i="14" s="1"/>
  <c r="Y20" i="14" s="1"/>
  <c r="J20" i="13"/>
  <c r="DS20" i="14"/>
  <c r="EE20" i="14"/>
  <c r="C21" i="13"/>
  <c r="BI21" i="14"/>
  <c r="C21" i="14" s="1"/>
  <c r="R21" i="14" s="1"/>
  <c r="BO21" i="14"/>
  <c r="DC21" i="14"/>
  <c r="DI21" i="14"/>
  <c r="DM21" i="14"/>
  <c r="J21" i="14" s="1"/>
  <c r="Y21" i="14" s="1"/>
  <c r="J21" i="13"/>
  <c r="DS21" i="14"/>
  <c r="EE21" i="14"/>
  <c r="BE22" i="14"/>
  <c r="BI22" i="14"/>
  <c r="C22" i="14" s="1"/>
  <c r="C22" i="13"/>
  <c r="BO22" i="14"/>
  <c r="DC22" i="14"/>
  <c r="DI22" i="14"/>
  <c r="DM22" i="14"/>
  <c r="J22" i="14" s="1"/>
  <c r="Y22" i="14" s="1"/>
  <c r="J22" i="13"/>
  <c r="DS22" i="14"/>
  <c r="EE22" i="14"/>
  <c r="BE23" i="14"/>
  <c r="BI23" i="14"/>
  <c r="C23" i="14" s="1"/>
  <c r="R23" i="14" s="1"/>
  <c r="C23" i="13"/>
  <c r="BO23" i="14"/>
  <c r="DC23" i="14"/>
  <c r="DI23" i="14"/>
  <c r="DM23" i="14"/>
  <c r="J23" i="14" s="1"/>
  <c r="Y23" i="14" s="1"/>
  <c r="J23" i="13"/>
  <c r="DS23" i="14"/>
  <c r="EE23" i="14"/>
  <c r="BE24" i="14"/>
  <c r="BI24" i="14"/>
  <c r="C24" i="14" s="1"/>
  <c r="R24" i="14" s="1"/>
  <c r="BO24" i="14"/>
  <c r="DC24" i="14"/>
  <c r="DI24" i="14"/>
  <c r="DM24" i="14"/>
  <c r="J24" i="14" s="1"/>
  <c r="Y24" i="14" s="1"/>
  <c r="J24" i="13"/>
  <c r="DS24" i="14"/>
  <c r="EE24" i="14"/>
  <c r="BE25" i="14"/>
  <c r="BI25" i="14"/>
  <c r="C25" i="14" s="1"/>
  <c r="C25" i="13"/>
  <c r="BO25" i="14"/>
  <c r="DC25" i="14"/>
  <c r="DI25" i="14"/>
  <c r="DM25" i="14"/>
  <c r="J25" i="14" s="1"/>
  <c r="Y25" i="14" s="1"/>
  <c r="J25" i="13"/>
  <c r="DS25" i="14"/>
  <c r="EE25" i="14"/>
  <c r="BE26" i="14"/>
  <c r="C26" i="13"/>
  <c r="BI26" i="14"/>
  <c r="C26" i="14" s="1"/>
  <c r="R26" i="14" s="1"/>
  <c r="BO26" i="14"/>
  <c r="DC26" i="14"/>
  <c r="DI26" i="14"/>
  <c r="DM26" i="14"/>
  <c r="J26" i="14" s="1"/>
  <c r="Y26" i="14" s="1"/>
  <c r="J26" i="13"/>
  <c r="DS26" i="14"/>
  <c r="EE26" i="14"/>
  <c r="BE27" i="14"/>
  <c r="BI27" i="14"/>
  <c r="C27" i="14" s="1"/>
  <c r="R27" i="14" s="1"/>
  <c r="C27" i="13"/>
  <c r="BW27" i="14" s="1"/>
  <c r="E27" i="14" s="1"/>
  <c r="T27" i="14" s="1"/>
  <c r="BO27" i="14"/>
  <c r="DC27" i="14"/>
  <c r="DI27" i="14"/>
  <c r="DM27" i="14"/>
  <c r="J27" i="14" s="1"/>
  <c r="Y27" i="14" s="1"/>
  <c r="J27" i="13"/>
  <c r="DS27" i="14"/>
  <c r="EE27" i="14"/>
  <c r="BE28" i="14"/>
  <c r="BI28" i="14"/>
  <c r="C28" i="14" s="1"/>
  <c r="R28" i="14" s="1"/>
  <c r="C28" i="13"/>
  <c r="BO28" i="14"/>
  <c r="DC28" i="14"/>
  <c r="BI30" i="14"/>
  <c r="C30" i="14" s="1"/>
  <c r="R30" i="14" s="1"/>
  <c r="BO32" i="14"/>
  <c r="BE34" i="14"/>
  <c r="BE35" i="14"/>
  <c r="BE42" i="14"/>
  <c r="BI42" i="14"/>
  <c r="C8" i="13"/>
  <c r="D22" i="13"/>
  <c r="BG27" i="14"/>
  <c r="BH14" i="14"/>
  <c r="BH29" i="14"/>
  <c r="BT29" i="14"/>
  <c r="CJ29" i="14"/>
  <c r="BH30" i="14"/>
  <c r="BN30" i="14"/>
  <c r="CJ30" i="14"/>
  <c r="BN31" i="14"/>
  <c r="CJ31" i="14"/>
  <c r="BN32" i="14"/>
  <c r="BT32" i="14"/>
  <c r="CJ32" i="14"/>
  <c r="BH33" i="14"/>
  <c r="BN33" i="14"/>
  <c r="BT33" i="14"/>
  <c r="CJ33" i="14"/>
  <c r="BH34" i="14"/>
  <c r="BN34" i="14"/>
  <c r="CJ34" i="14"/>
  <c r="BN35" i="14"/>
  <c r="CJ35" i="14"/>
  <c r="BN36" i="14"/>
  <c r="CJ36" i="14"/>
  <c r="BH37" i="14"/>
  <c r="BN37" i="14"/>
  <c r="CJ37" i="14"/>
  <c r="BH38" i="14"/>
  <c r="BN38" i="14"/>
  <c r="BT38" i="14"/>
  <c r="CJ38" i="14"/>
  <c r="BN39" i="14"/>
  <c r="BT39" i="14"/>
  <c r="CJ39" i="14"/>
  <c r="BN40" i="14"/>
  <c r="BT40" i="14"/>
  <c r="CJ40" i="14"/>
  <c r="BH41" i="14"/>
  <c r="BN41" i="14"/>
  <c r="BT41" i="14"/>
  <c r="CJ41" i="14"/>
  <c r="BH42" i="14"/>
  <c r="BN42" i="14"/>
  <c r="BT42" i="14"/>
  <c r="CJ42" i="14"/>
  <c r="C30" i="13"/>
  <c r="BI38" i="14"/>
  <c r="C38" i="14" s="1"/>
  <c r="R38" i="14" s="1"/>
  <c r="BH35" i="14"/>
  <c r="DI28" i="14"/>
  <c r="DM28" i="14"/>
  <c r="J28" i="14" s="1"/>
  <c r="Y28" i="14" s="1"/>
  <c r="J28" i="13"/>
  <c r="DS28" i="14"/>
  <c r="EE28" i="14"/>
  <c r="BE29" i="14"/>
  <c r="BI29" i="14"/>
  <c r="C29" i="14" s="1"/>
  <c r="R29" i="14" s="1"/>
  <c r="BO29" i="14"/>
  <c r="DC29" i="14"/>
  <c r="DI29" i="14"/>
  <c r="DM29" i="14"/>
  <c r="J29" i="14" s="1"/>
  <c r="Y29" i="14" s="1"/>
  <c r="J29" i="13"/>
  <c r="DS29" i="14"/>
  <c r="EE29" i="14"/>
  <c r="BO30" i="14"/>
  <c r="CW30" i="14"/>
  <c r="DC30" i="14"/>
  <c r="DI30" i="14"/>
  <c r="DM30" i="14"/>
  <c r="J30" i="14" s="1"/>
  <c r="Y30" i="14" s="1"/>
  <c r="DS30" i="14"/>
  <c r="EE30" i="14"/>
  <c r="BO31" i="14"/>
  <c r="CW31" i="14"/>
  <c r="DC31" i="14"/>
  <c r="DI31" i="14"/>
  <c r="DM31" i="14"/>
  <c r="J31" i="14" s="1"/>
  <c r="Y31" i="14" s="1"/>
  <c r="DS31" i="14"/>
  <c r="EE31" i="14"/>
  <c r="BE32" i="14"/>
  <c r="BI32" i="14"/>
  <c r="C32" i="14" s="1"/>
  <c r="R32" i="14" s="1"/>
  <c r="C32" i="13"/>
  <c r="DC32" i="14"/>
  <c r="DI32" i="14"/>
  <c r="DM32" i="14"/>
  <c r="J32" i="14" s="1"/>
  <c r="Y32" i="14" s="1"/>
  <c r="J32" i="13"/>
  <c r="DS32" i="14"/>
  <c r="EE32" i="14"/>
  <c r="BE33" i="14"/>
  <c r="C33" i="13"/>
  <c r="BI33" i="14"/>
  <c r="C33" i="14" s="1"/>
  <c r="R33" i="14" s="1"/>
  <c r="BO33" i="14"/>
  <c r="DC33" i="14"/>
  <c r="DI33" i="14"/>
  <c r="DM33" i="14"/>
  <c r="J33" i="14" s="1"/>
  <c r="Y33" i="14" s="1"/>
  <c r="J33" i="13"/>
  <c r="DS33" i="14"/>
  <c r="EE33" i="14"/>
  <c r="BO34" i="14"/>
  <c r="CW34" i="14"/>
  <c r="DC34" i="14"/>
  <c r="DI34" i="14"/>
  <c r="DM34" i="14"/>
  <c r="J34" i="14" s="1"/>
  <c r="Y34" i="14" s="1"/>
  <c r="DS34" i="14"/>
  <c r="EE34" i="14"/>
  <c r="BO35" i="14"/>
  <c r="DC35" i="14"/>
  <c r="DI35" i="14"/>
  <c r="DM35" i="14"/>
  <c r="J35" i="14" s="1"/>
  <c r="Y35" i="14" s="1"/>
  <c r="J35" i="13"/>
  <c r="DS35" i="14"/>
  <c r="EE35" i="14"/>
  <c r="BE36" i="14"/>
  <c r="BI36" i="14"/>
  <c r="C36" i="14" s="1"/>
  <c r="R36" i="14" s="1"/>
  <c r="BO36" i="14"/>
  <c r="DC36" i="14"/>
  <c r="DI36" i="14"/>
  <c r="DM36" i="14"/>
  <c r="J36" i="14" s="1"/>
  <c r="Y36" i="14" s="1"/>
  <c r="J36" i="13"/>
  <c r="DS36" i="14"/>
  <c r="EE36" i="14"/>
  <c r="BE37" i="14"/>
  <c r="BI37" i="14"/>
  <c r="C37" i="14" s="1"/>
  <c r="R37" i="14" s="1"/>
  <c r="C37" i="13"/>
  <c r="BO37" i="14"/>
  <c r="DC37" i="14"/>
  <c r="DI37" i="14"/>
  <c r="DM37" i="14"/>
  <c r="J37" i="14" s="1"/>
  <c r="Y37" i="14" s="1"/>
  <c r="DS37" i="14"/>
  <c r="EE37" i="14"/>
  <c r="BO38" i="14"/>
  <c r="DC38" i="14"/>
  <c r="DI38" i="14"/>
  <c r="DM38" i="14"/>
  <c r="J38" i="14" s="1"/>
  <c r="Y38" i="14" s="1"/>
  <c r="J38" i="13"/>
  <c r="DS38" i="14"/>
  <c r="EE38" i="14"/>
  <c r="BO39" i="14"/>
  <c r="DC39" i="14"/>
  <c r="DI39" i="14"/>
  <c r="DM39" i="14"/>
  <c r="J39" i="14" s="1"/>
  <c r="Y39" i="14" s="1"/>
  <c r="J39" i="13"/>
  <c r="DS39" i="14"/>
  <c r="EE39" i="14"/>
  <c r="BE40" i="14"/>
  <c r="BI40" i="14"/>
  <c r="C40" i="14" s="1"/>
  <c r="R40" i="14" s="1"/>
  <c r="C40" i="13"/>
  <c r="BO40" i="14"/>
  <c r="DC40" i="14"/>
  <c r="DI40" i="14"/>
  <c r="DM40" i="14"/>
  <c r="J40" i="14" s="1"/>
  <c r="Y40" i="14" s="1"/>
  <c r="J40" i="13"/>
  <c r="DS40" i="14"/>
  <c r="EE40" i="14"/>
  <c r="BE41" i="14"/>
  <c r="C41" i="13"/>
  <c r="BI41" i="14"/>
  <c r="C41" i="14" s="1"/>
  <c r="R41" i="14" s="1"/>
  <c r="BO41" i="14"/>
  <c r="DC41" i="14"/>
  <c r="DI41" i="14"/>
  <c r="DM41" i="14"/>
  <c r="J41" i="14" s="1"/>
  <c r="Y41" i="14" s="1"/>
  <c r="J41" i="13"/>
  <c r="DS41" i="14"/>
  <c r="EE41" i="14"/>
  <c r="BO42" i="14"/>
  <c r="C36" i="13"/>
  <c r="BI39" i="14"/>
  <c r="C39" i="14" s="1"/>
  <c r="R39" i="14" s="1"/>
  <c r="BI31" i="14"/>
  <c r="C31" i="14" s="1"/>
  <c r="R31" i="14" s="1"/>
  <c r="EF28" i="14"/>
  <c r="BL29" i="14"/>
  <c r="BP29" i="14"/>
  <c r="D29" i="14" s="1"/>
  <c r="S29" i="14" s="1"/>
  <c r="CN29" i="14"/>
  <c r="CR29" i="14"/>
  <c r="H29" i="14" s="1"/>
  <c r="W29" i="14" s="1"/>
  <c r="DD29" i="14"/>
  <c r="DJ29" i="14"/>
  <c r="EF29" i="14"/>
  <c r="BL30" i="14"/>
  <c r="BP30" i="14"/>
  <c r="D30" i="14" s="1"/>
  <c r="S30" i="14" s="1"/>
  <c r="D30" i="13"/>
  <c r="CB30" i="14"/>
  <c r="DD30" i="14"/>
  <c r="DJ30" i="14"/>
  <c r="EF30" i="14"/>
  <c r="BF31" i="14"/>
  <c r="BL31" i="14"/>
  <c r="BP31" i="14"/>
  <c r="D31" i="14" s="1"/>
  <c r="S31" i="14" s="1"/>
  <c r="D31" i="13"/>
  <c r="CN31" i="14"/>
  <c r="CR31" i="14"/>
  <c r="H31" i="14" s="1"/>
  <c r="W31" i="14" s="1"/>
  <c r="H31" i="13"/>
  <c r="DD31" i="14"/>
  <c r="DJ31" i="14"/>
  <c r="EF31" i="14"/>
  <c r="BF32" i="14"/>
  <c r="BL32" i="14"/>
  <c r="BP32" i="14"/>
  <c r="D32" i="14" s="1"/>
  <c r="S32" i="14" s="1"/>
  <c r="DD32" i="14"/>
  <c r="DJ32" i="14"/>
  <c r="EF32" i="14"/>
  <c r="BL33" i="14"/>
  <c r="BP33" i="14"/>
  <c r="D33" i="14" s="1"/>
  <c r="S33" i="14" s="1"/>
  <c r="DD33" i="14"/>
  <c r="DJ33" i="14"/>
  <c r="EF33" i="14"/>
  <c r="BL34" i="14"/>
  <c r="BP34" i="14"/>
  <c r="D34" i="14" s="1"/>
  <c r="S34" i="14" s="1"/>
  <c r="D34" i="13"/>
  <c r="CB34" i="14"/>
  <c r="CN34" i="14"/>
  <c r="CR34" i="14"/>
  <c r="H34" i="14" s="1"/>
  <c r="W34" i="14" s="1"/>
  <c r="H34" i="13"/>
  <c r="DD34" i="14"/>
  <c r="DJ34" i="14"/>
  <c r="EF34" i="14"/>
  <c r="BF35" i="14"/>
  <c r="BL35" i="14"/>
  <c r="DD35" i="14"/>
  <c r="DJ35" i="14"/>
  <c r="EF35" i="14"/>
  <c r="BF36" i="14"/>
  <c r="BL36" i="14"/>
  <c r="BP36" i="14"/>
  <c r="D36" i="14" s="1"/>
  <c r="S36" i="14" s="1"/>
  <c r="DD36" i="14"/>
  <c r="DJ36" i="14"/>
  <c r="EF36" i="14"/>
  <c r="BL37" i="14"/>
  <c r="BP37" i="14"/>
  <c r="D37" i="14" s="1"/>
  <c r="S37" i="14" s="1"/>
  <c r="D37" i="13"/>
  <c r="DD37" i="14"/>
  <c r="DJ37" i="14"/>
  <c r="EF37" i="14"/>
  <c r="BL38" i="14"/>
  <c r="BP38" i="14"/>
  <c r="D38" i="14" s="1"/>
  <c r="S38" i="14" s="1"/>
  <c r="CN38" i="14"/>
  <c r="CR38" i="14"/>
  <c r="H38" i="14" s="1"/>
  <c r="W38" i="14" s="1"/>
  <c r="DD38" i="14"/>
  <c r="DJ38" i="14"/>
  <c r="EF38" i="14"/>
  <c r="BF39" i="14"/>
  <c r="BP39" i="14"/>
  <c r="D39" i="14" s="1"/>
  <c r="S39" i="14" s="1"/>
  <c r="CN39" i="14"/>
  <c r="CR39" i="14"/>
  <c r="H39" i="14" s="1"/>
  <c r="W39" i="14" s="1"/>
  <c r="DD39" i="14"/>
  <c r="DJ39" i="14"/>
  <c r="EF39" i="14"/>
  <c r="BF40" i="14"/>
  <c r="BL40" i="14"/>
  <c r="BP40" i="14"/>
  <c r="D40" i="14" s="1"/>
  <c r="S40" i="14" s="1"/>
  <c r="DD40" i="14"/>
  <c r="DJ40" i="14"/>
  <c r="EF40" i="14"/>
  <c r="BL41" i="14"/>
  <c r="BP41" i="14"/>
  <c r="D41" i="14" s="1"/>
  <c r="S41" i="14" s="1"/>
  <c r="DD41" i="14"/>
  <c r="DJ41" i="14"/>
  <c r="EF41" i="14"/>
  <c r="BL42" i="14"/>
  <c r="BP42" i="14"/>
  <c r="H29" i="13"/>
  <c r="D36" i="13"/>
  <c r="J37" i="13"/>
  <c r="BH39" i="14"/>
  <c r="BE38" i="14"/>
  <c r="BI34" i="14"/>
  <c r="C34" i="14" s="1"/>
  <c r="R34" i="14" s="1"/>
  <c r="BF33" i="14"/>
  <c r="BH31" i="14"/>
  <c r="BE30" i="14"/>
  <c r="DC42" i="14"/>
  <c r="DI42" i="14"/>
  <c r="DM42" i="14"/>
  <c r="DS42" i="14"/>
  <c r="EE42" i="14"/>
  <c r="DD42" i="14"/>
  <c r="DJ42" i="14"/>
  <c r="EF42" i="14"/>
  <c r="R15" i="16"/>
  <c r="W42" i="16"/>
  <c r="AG7" i="16"/>
  <c r="AG14" i="16"/>
  <c r="R25" i="16"/>
  <c r="AG15" i="16"/>
  <c r="E42" i="16"/>
  <c r="I42" i="16"/>
  <c r="AG9" i="16"/>
  <c r="AG29" i="16"/>
  <c r="AG5" i="16"/>
  <c r="AG11" i="16"/>
  <c r="R19" i="16"/>
  <c r="AG6" i="16"/>
  <c r="AG10" i="16"/>
  <c r="AG13" i="16"/>
  <c r="AG17" i="16"/>
  <c r="AG18" i="16"/>
  <c r="AG21" i="16"/>
  <c r="AG22" i="16"/>
  <c r="AG36" i="16"/>
  <c r="AG34" i="16"/>
  <c r="BA41" i="16"/>
  <c r="AX40" i="16"/>
  <c r="BB40" i="16" s="1"/>
  <c r="AY39" i="16"/>
  <c r="BB39" i="16" s="1"/>
  <c r="AZ38" i="16"/>
  <c r="BA37" i="16"/>
  <c r="AX36" i="16"/>
  <c r="BB36" i="16" s="1"/>
  <c r="AY35" i="16"/>
  <c r="BB35" i="16" s="1"/>
  <c r="AZ34" i="16"/>
  <c r="BA33" i="16"/>
  <c r="AX32" i="16"/>
  <c r="BB32" i="16" s="1"/>
  <c r="AY31" i="16"/>
  <c r="BB31" i="16" s="1"/>
  <c r="AZ30" i="16"/>
  <c r="AG28" i="16"/>
  <c r="AY27" i="16"/>
  <c r="BB27" i="16" s="1"/>
  <c r="AZ26" i="16"/>
  <c r="AZ22" i="16"/>
  <c r="BA21" i="16"/>
  <c r="AG20" i="16"/>
  <c r="AX20" i="16"/>
  <c r="BB20" i="16" s="1"/>
  <c r="AY19" i="16"/>
  <c r="AZ18" i="16"/>
  <c r="BA17" i="16"/>
  <c r="AG16" i="16"/>
  <c r="AX16" i="16"/>
  <c r="AZ14" i="16"/>
  <c r="AX12" i="16"/>
  <c r="BB12" i="16" s="1"/>
  <c r="AY11" i="16"/>
  <c r="BB11" i="16" s="1"/>
  <c r="AZ10" i="16"/>
  <c r="BA9" i="16"/>
  <c r="AX8" i="16"/>
  <c r="BB8" i="16" s="1"/>
  <c r="AY7" i="16"/>
  <c r="R7" i="15"/>
  <c r="R10" i="15"/>
  <c r="R16" i="15"/>
  <c r="H16" i="15" s="1"/>
  <c r="R17" i="15"/>
  <c r="R24" i="15"/>
  <c r="M42" i="16"/>
  <c r="BB5" i="16"/>
  <c r="BB13" i="16"/>
  <c r="BB25" i="16"/>
  <c r="BB29" i="16"/>
  <c r="AG32" i="16"/>
  <c r="BB34" i="16"/>
  <c r="BB10" i="16"/>
  <c r="BB19" i="16"/>
  <c r="BB21" i="16"/>
  <c r="BB37" i="16"/>
  <c r="BB38" i="16"/>
  <c r="AG40" i="16"/>
  <c r="BB6" i="16"/>
  <c r="AG25" i="16"/>
  <c r="BB9" i="16"/>
  <c r="BB15" i="16"/>
  <c r="BB23" i="16"/>
  <c r="S42" i="16"/>
  <c r="AG8" i="16"/>
  <c r="BB22" i="16"/>
  <c r="AG39" i="16"/>
  <c r="F42" i="16"/>
  <c r="J42" i="16"/>
  <c r="N42" i="16"/>
  <c r="T4" i="16"/>
  <c r="T42" i="16" s="1"/>
  <c r="X4" i="16"/>
  <c r="X42" i="16" s="1"/>
  <c r="R5" i="16"/>
  <c r="R7" i="16"/>
  <c r="BB14" i="16"/>
  <c r="BB18" i="16"/>
  <c r="C42" i="16"/>
  <c r="G42" i="16"/>
  <c r="K42" i="16"/>
  <c r="U4" i="16"/>
  <c r="U42" i="16" s="1"/>
  <c r="Y4" i="16"/>
  <c r="Y42" i="16" s="1"/>
  <c r="AE4" i="16"/>
  <c r="AG26" i="16"/>
  <c r="D42" i="16"/>
  <c r="H42" i="16"/>
  <c r="R4" i="16"/>
  <c r="V4" i="16"/>
  <c r="V42" i="16" s="1"/>
  <c r="Z4" i="16"/>
  <c r="Z42" i="16" s="1"/>
  <c r="AF4" i="16"/>
  <c r="AF42" i="16" s="1"/>
  <c r="BB4" i="16"/>
  <c r="BB16" i="16"/>
  <c r="AG24" i="16"/>
  <c r="AG31" i="16"/>
  <c r="AG37" i="16"/>
  <c r="AG41" i="16"/>
  <c r="BB41" i="16"/>
  <c r="BB28" i="16"/>
  <c r="BB30" i="16"/>
  <c r="AG33" i="16"/>
  <c r="BB33" i="16"/>
  <c r="AG35" i="16"/>
  <c r="R9" i="15"/>
  <c r="J42" i="15"/>
  <c r="Y4" i="15"/>
  <c r="D42" i="15"/>
  <c r="S4" i="15"/>
  <c r="C42" i="15"/>
  <c r="S4" i="14"/>
  <c r="R4" i="13"/>
  <c r="S4" i="13"/>
  <c r="J42" i="12"/>
  <c r="C42" i="12"/>
  <c r="D42" i="12"/>
  <c r="S4" i="12"/>
  <c r="R4" i="12"/>
  <c r="C42" i="11"/>
  <c r="R4" i="11"/>
  <c r="R16" i="11"/>
  <c r="D42" i="11"/>
  <c r="R8" i="11"/>
  <c r="S4" i="11"/>
  <c r="J42" i="11"/>
  <c r="R10" i="10"/>
  <c r="J42" i="10"/>
  <c r="C42" i="10"/>
  <c r="R4" i="10"/>
  <c r="Y4" i="10"/>
  <c r="D42" i="10"/>
  <c r="R14" i="10"/>
  <c r="R18" i="10"/>
  <c r="R39" i="10"/>
  <c r="S4" i="10"/>
  <c r="C236" i="17"/>
  <c r="D236" i="17"/>
  <c r="E236" i="17"/>
  <c r="F236" i="17"/>
  <c r="G236" i="17"/>
  <c r="H236" i="17"/>
  <c r="I236" i="17"/>
  <c r="J236" i="17"/>
  <c r="K236" i="17"/>
  <c r="L236" i="17"/>
  <c r="M236" i="17"/>
  <c r="C231" i="17"/>
  <c r="D231" i="17"/>
  <c r="E231" i="17"/>
  <c r="F231" i="17"/>
  <c r="G231" i="17"/>
  <c r="H231" i="17"/>
  <c r="I231" i="17"/>
  <c r="J231" i="17"/>
  <c r="K231" i="17"/>
  <c r="L231" i="17"/>
  <c r="M231" i="17"/>
  <c r="C248" i="17"/>
  <c r="D248" i="17"/>
  <c r="E248" i="17"/>
  <c r="F248" i="17"/>
  <c r="G248" i="17"/>
  <c r="H248" i="17"/>
  <c r="I248" i="17"/>
  <c r="J248" i="17"/>
  <c r="K248" i="17"/>
  <c r="L248" i="17"/>
  <c r="M248" i="17"/>
  <c r="C237" i="17"/>
  <c r="D237" i="17"/>
  <c r="E237" i="17"/>
  <c r="F237" i="17"/>
  <c r="G237" i="17"/>
  <c r="H237" i="17"/>
  <c r="I237" i="17"/>
  <c r="J237" i="17"/>
  <c r="K237" i="17"/>
  <c r="L237" i="17"/>
  <c r="M237" i="17"/>
  <c r="C251" i="17"/>
  <c r="D251" i="17"/>
  <c r="E251" i="17"/>
  <c r="F251" i="17"/>
  <c r="G251" i="17"/>
  <c r="H251" i="17"/>
  <c r="I251" i="17"/>
  <c r="J251" i="17"/>
  <c r="K251" i="17"/>
  <c r="L251" i="17"/>
  <c r="M251" i="17"/>
  <c r="C235" i="17"/>
  <c r="D235" i="17"/>
  <c r="E235" i="17"/>
  <c r="F235" i="17"/>
  <c r="G235" i="17"/>
  <c r="H235" i="17"/>
  <c r="I235" i="17"/>
  <c r="J235" i="17"/>
  <c r="K235" i="17"/>
  <c r="L235" i="17"/>
  <c r="M235" i="17"/>
  <c r="C243" i="17"/>
  <c r="D243" i="17"/>
  <c r="E243" i="17"/>
  <c r="F243" i="17"/>
  <c r="G243" i="17"/>
  <c r="H243" i="17"/>
  <c r="I243" i="17"/>
  <c r="J243" i="17"/>
  <c r="K243" i="17"/>
  <c r="L243" i="17"/>
  <c r="M243" i="17"/>
  <c r="C232" i="17"/>
  <c r="D232" i="17"/>
  <c r="E232" i="17"/>
  <c r="F232" i="17"/>
  <c r="G232" i="17"/>
  <c r="H232" i="17"/>
  <c r="I232" i="17"/>
  <c r="J232" i="17"/>
  <c r="K232" i="17"/>
  <c r="L232" i="17"/>
  <c r="M232" i="17"/>
  <c r="C250" i="17"/>
  <c r="D250" i="17"/>
  <c r="E250" i="17"/>
  <c r="F250" i="17"/>
  <c r="G250" i="17"/>
  <c r="H250" i="17"/>
  <c r="I250" i="17"/>
  <c r="J250" i="17"/>
  <c r="K250" i="17"/>
  <c r="L250" i="17"/>
  <c r="M250" i="17"/>
  <c r="C234" i="17"/>
  <c r="D234" i="17"/>
  <c r="E234" i="17"/>
  <c r="F234" i="17"/>
  <c r="G234" i="17"/>
  <c r="H234" i="17"/>
  <c r="I234" i="17"/>
  <c r="J234" i="17"/>
  <c r="K234" i="17"/>
  <c r="L234" i="17"/>
  <c r="M234" i="17"/>
  <c r="C245" i="17"/>
  <c r="D245" i="17"/>
  <c r="E245" i="17"/>
  <c r="F245" i="17"/>
  <c r="G245" i="17"/>
  <c r="H245" i="17"/>
  <c r="I245" i="17"/>
  <c r="J245" i="17"/>
  <c r="K245" i="17"/>
  <c r="L245" i="17"/>
  <c r="M245" i="17"/>
  <c r="C246" i="17"/>
  <c r="D246" i="17"/>
  <c r="E246" i="17"/>
  <c r="F246" i="17"/>
  <c r="G246" i="17"/>
  <c r="H246" i="17"/>
  <c r="I246" i="17"/>
  <c r="J246" i="17"/>
  <c r="K246" i="17"/>
  <c r="L246" i="17"/>
  <c r="M246" i="17"/>
  <c r="C233" i="17"/>
  <c r="D233" i="17"/>
  <c r="E233" i="17"/>
  <c r="F233" i="17"/>
  <c r="G233" i="17"/>
  <c r="H233" i="17"/>
  <c r="I233" i="17"/>
  <c r="J233" i="17"/>
  <c r="K233" i="17"/>
  <c r="L233" i="17"/>
  <c r="M233" i="17"/>
  <c r="C242" i="17"/>
  <c r="D242" i="17"/>
  <c r="E242" i="17"/>
  <c r="F242" i="17"/>
  <c r="G242" i="17"/>
  <c r="H242" i="17"/>
  <c r="I242" i="17"/>
  <c r="J242" i="17"/>
  <c r="K242" i="17"/>
  <c r="L242" i="17"/>
  <c r="M242" i="17"/>
  <c r="C244" i="17"/>
  <c r="D244" i="17"/>
  <c r="E244" i="17"/>
  <c r="F244" i="17"/>
  <c r="G244" i="17"/>
  <c r="H244" i="17"/>
  <c r="I244" i="17"/>
  <c r="J244" i="17"/>
  <c r="K244" i="17"/>
  <c r="L244" i="17"/>
  <c r="M244" i="17"/>
  <c r="C247" i="17"/>
  <c r="D247" i="17"/>
  <c r="E247" i="17"/>
  <c r="F247" i="17"/>
  <c r="G247" i="17"/>
  <c r="H247" i="17"/>
  <c r="I247" i="17"/>
  <c r="J247" i="17"/>
  <c r="K247" i="17"/>
  <c r="L247" i="17"/>
  <c r="M247" i="17"/>
  <c r="C227" i="17"/>
  <c r="D227" i="17"/>
  <c r="E227" i="17"/>
  <c r="F227" i="17"/>
  <c r="G227" i="17"/>
  <c r="H227" i="17"/>
  <c r="I227" i="17"/>
  <c r="J227" i="17"/>
  <c r="K227" i="17"/>
  <c r="L227" i="17"/>
  <c r="M227" i="17"/>
  <c r="C254" i="17"/>
  <c r="D254" i="17"/>
  <c r="E254" i="17"/>
  <c r="F254" i="17"/>
  <c r="G254" i="17"/>
  <c r="H254" i="17"/>
  <c r="I254" i="17"/>
  <c r="J254" i="17"/>
  <c r="K254" i="17"/>
  <c r="L254" i="17"/>
  <c r="M254" i="17"/>
  <c r="C240" i="17"/>
  <c r="D240" i="17"/>
  <c r="E240" i="17"/>
  <c r="F240" i="17"/>
  <c r="G240" i="17"/>
  <c r="H240" i="17"/>
  <c r="I240" i="17"/>
  <c r="J240" i="17"/>
  <c r="K240" i="17"/>
  <c r="L240" i="17"/>
  <c r="M240" i="17"/>
  <c r="C228" i="17"/>
  <c r="D228" i="17"/>
  <c r="E228" i="17"/>
  <c r="F228" i="17"/>
  <c r="G228" i="17"/>
  <c r="H228" i="17"/>
  <c r="I228" i="17"/>
  <c r="J228" i="17"/>
  <c r="K228" i="17"/>
  <c r="L228" i="17"/>
  <c r="M228" i="17"/>
  <c r="C239" i="17"/>
  <c r="D239" i="17"/>
  <c r="E239" i="17"/>
  <c r="F239" i="17"/>
  <c r="G239" i="17"/>
  <c r="H239" i="17"/>
  <c r="I239" i="17"/>
  <c r="J239" i="17"/>
  <c r="K239" i="17"/>
  <c r="L239" i="17"/>
  <c r="M239" i="17"/>
  <c r="C253" i="17"/>
  <c r="D253" i="17"/>
  <c r="E253" i="17"/>
  <c r="F253" i="17"/>
  <c r="G253" i="17"/>
  <c r="H253" i="17"/>
  <c r="I253" i="17"/>
  <c r="J253" i="17"/>
  <c r="K253" i="17"/>
  <c r="L253" i="17"/>
  <c r="M253" i="17"/>
  <c r="C241" i="17"/>
  <c r="D241" i="17"/>
  <c r="E241" i="17"/>
  <c r="F241" i="17"/>
  <c r="G241" i="17"/>
  <c r="H241" i="17"/>
  <c r="I241" i="17"/>
  <c r="J241" i="17"/>
  <c r="K241" i="17"/>
  <c r="L241" i="17"/>
  <c r="M241" i="17"/>
  <c r="C238" i="17"/>
  <c r="D238" i="17"/>
  <c r="E238" i="17"/>
  <c r="F238" i="17"/>
  <c r="G238" i="17"/>
  <c r="H238" i="17"/>
  <c r="I238" i="17"/>
  <c r="J238" i="17"/>
  <c r="K238" i="17"/>
  <c r="L238" i="17"/>
  <c r="M238" i="17"/>
  <c r="C255" i="17"/>
  <c r="D255" i="17"/>
  <c r="E255" i="17"/>
  <c r="F255" i="17"/>
  <c r="G255" i="17"/>
  <c r="H255" i="17"/>
  <c r="I255" i="17"/>
  <c r="J255" i="17"/>
  <c r="K255" i="17"/>
  <c r="L255" i="17"/>
  <c r="M255" i="17"/>
  <c r="C229" i="17"/>
  <c r="D229" i="17"/>
  <c r="E229" i="17"/>
  <c r="F229" i="17"/>
  <c r="G229" i="17"/>
  <c r="H229" i="17"/>
  <c r="I229" i="17"/>
  <c r="J229" i="17"/>
  <c r="K229" i="17"/>
  <c r="L229" i="17"/>
  <c r="M229" i="17"/>
  <c r="C249" i="17"/>
  <c r="D249" i="17"/>
  <c r="E249" i="17"/>
  <c r="F249" i="17"/>
  <c r="G249" i="17"/>
  <c r="H249" i="17"/>
  <c r="I249" i="17"/>
  <c r="J249" i="17"/>
  <c r="K249" i="17"/>
  <c r="L249" i="17"/>
  <c r="M249" i="17"/>
  <c r="C230" i="17"/>
  <c r="D230" i="17"/>
  <c r="E230" i="17"/>
  <c r="F230" i="17"/>
  <c r="G230" i="17"/>
  <c r="H230" i="17"/>
  <c r="I230" i="17"/>
  <c r="J230" i="17"/>
  <c r="K230" i="17"/>
  <c r="L230" i="17"/>
  <c r="M230" i="17"/>
  <c r="C264" i="17"/>
  <c r="D264" i="17"/>
  <c r="E264" i="17"/>
  <c r="F264" i="17"/>
  <c r="G264" i="17"/>
  <c r="H264" i="17"/>
  <c r="I264" i="17"/>
  <c r="J264" i="17"/>
  <c r="K264" i="17"/>
  <c r="L264" i="17"/>
  <c r="M264" i="17"/>
  <c r="C257" i="17"/>
  <c r="D257" i="17"/>
  <c r="E257" i="17"/>
  <c r="F257" i="17"/>
  <c r="G257" i="17"/>
  <c r="H257" i="17"/>
  <c r="I257" i="17"/>
  <c r="J257" i="17"/>
  <c r="K257" i="17"/>
  <c r="L257" i="17"/>
  <c r="M257" i="17"/>
  <c r="C256" i="17"/>
  <c r="D256" i="17"/>
  <c r="E256" i="17"/>
  <c r="F256" i="17"/>
  <c r="G256" i="17"/>
  <c r="H256" i="17"/>
  <c r="I256" i="17"/>
  <c r="J256" i="17"/>
  <c r="K256" i="17"/>
  <c r="L256" i="17"/>
  <c r="M256" i="17"/>
  <c r="C262" i="17"/>
  <c r="D262" i="17"/>
  <c r="E262" i="17"/>
  <c r="F262" i="17"/>
  <c r="G262" i="17"/>
  <c r="H262" i="17"/>
  <c r="I262" i="17"/>
  <c r="J262" i="17"/>
  <c r="K262" i="17"/>
  <c r="L262" i="17"/>
  <c r="M262" i="17"/>
  <c r="C258" i="17"/>
  <c r="D258" i="17"/>
  <c r="E258" i="17"/>
  <c r="F258" i="17"/>
  <c r="G258" i="17"/>
  <c r="H258" i="17"/>
  <c r="I258" i="17"/>
  <c r="J258" i="17"/>
  <c r="K258" i="17"/>
  <c r="L258" i="17"/>
  <c r="M258" i="17"/>
  <c r="C261" i="17"/>
  <c r="D261" i="17"/>
  <c r="E261" i="17"/>
  <c r="F261" i="17"/>
  <c r="G261" i="17"/>
  <c r="H261" i="17"/>
  <c r="I261" i="17"/>
  <c r="J261" i="17"/>
  <c r="K261" i="17"/>
  <c r="L261" i="17"/>
  <c r="M261" i="17"/>
  <c r="C260" i="17"/>
  <c r="D260" i="17"/>
  <c r="E260" i="17"/>
  <c r="F260" i="17"/>
  <c r="G260" i="17"/>
  <c r="H260" i="17"/>
  <c r="I260" i="17"/>
  <c r="J260" i="17"/>
  <c r="K260" i="17"/>
  <c r="L260" i="17"/>
  <c r="M260" i="17"/>
  <c r="C259" i="17"/>
  <c r="D259" i="17"/>
  <c r="E259" i="17"/>
  <c r="F259" i="17"/>
  <c r="G259" i="17"/>
  <c r="H259" i="17"/>
  <c r="I259" i="17"/>
  <c r="J259" i="17"/>
  <c r="K259" i="17"/>
  <c r="L259" i="17"/>
  <c r="M259" i="17"/>
  <c r="C263" i="17"/>
  <c r="D263" i="17"/>
  <c r="E263" i="17"/>
  <c r="F263" i="17"/>
  <c r="G263" i="17"/>
  <c r="H263" i="17"/>
  <c r="I263" i="17"/>
  <c r="J263" i="17"/>
  <c r="K263" i="17"/>
  <c r="L263" i="17"/>
  <c r="M263" i="17"/>
  <c r="D252" i="17"/>
  <c r="E252" i="17"/>
  <c r="F252" i="17"/>
  <c r="G252" i="17"/>
  <c r="H252" i="17"/>
  <c r="I252" i="17"/>
  <c r="J252" i="17"/>
  <c r="K252" i="17"/>
  <c r="L252" i="17"/>
  <c r="M252" i="17"/>
  <c r="C252" i="17"/>
  <c r="C191" i="17"/>
  <c r="D191" i="17"/>
  <c r="E191" i="17"/>
  <c r="F191" i="17"/>
  <c r="G191" i="17"/>
  <c r="H191" i="17"/>
  <c r="I191" i="17"/>
  <c r="J191" i="17"/>
  <c r="K191" i="17"/>
  <c r="L191" i="17"/>
  <c r="M191" i="17"/>
  <c r="C186" i="17"/>
  <c r="D186" i="17"/>
  <c r="E186" i="17"/>
  <c r="F186" i="17"/>
  <c r="G186" i="17"/>
  <c r="H186" i="17"/>
  <c r="I186" i="17"/>
  <c r="J186" i="17"/>
  <c r="K186" i="17"/>
  <c r="L186" i="17"/>
  <c r="M186" i="17"/>
  <c r="C203" i="17"/>
  <c r="D203" i="17"/>
  <c r="E203" i="17"/>
  <c r="F203" i="17"/>
  <c r="G203" i="17"/>
  <c r="H203" i="17"/>
  <c r="I203" i="17"/>
  <c r="J203" i="17"/>
  <c r="K203" i="17"/>
  <c r="L203" i="17"/>
  <c r="M203" i="17"/>
  <c r="C192" i="17"/>
  <c r="D192" i="17"/>
  <c r="E192" i="17"/>
  <c r="F192" i="17"/>
  <c r="G192" i="17"/>
  <c r="H192" i="17"/>
  <c r="I192" i="17"/>
  <c r="J192" i="17"/>
  <c r="K192" i="17"/>
  <c r="L192" i="17"/>
  <c r="M192" i="17"/>
  <c r="C206" i="17"/>
  <c r="D206" i="17"/>
  <c r="E206" i="17"/>
  <c r="F206" i="17"/>
  <c r="G206" i="17"/>
  <c r="H206" i="17"/>
  <c r="I206" i="17"/>
  <c r="J206" i="17"/>
  <c r="K206" i="17"/>
  <c r="L206" i="17"/>
  <c r="M206" i="17"/>
  <c r="C190" i="17"/>
  <c r="D190" i="17"/>
  <c r="E190" i="17"/>
  <c r="F190" i="17"/>
  <c r="G190" i="17"/>
  <c r="H190" i="17"/>
  <c r="I190" i="17"/>
  <c r="J190" i="17"/>
  <c r="K190" i="17"/>
  <c r="L190" i="17"/>
  <c r="M190" i="17"/>
  <c r="C198" i="17"/>
  <c r="D198" i="17"/>
  <c r="E198" i="17"/>
  <c r="F198" i="17"/>
  <c r="G198" i="17"/>
  <c r="H198" i="17"/>
  <c r="I198" i="17"/>
  <c r="J198" i="17"/>
  <c r="K198" i="17"/>
  <c r="L198" i="17"/>
  <c r="M198" i="17"/>
  <c r="C187" i="17"/>
  <c r="D187" i="17"/>
  <c r="E187" i="17"/>
  <c r="F187" i="17"/>
  <c r="G187" i="17"/>
  <c r="H187" i="17"/>
  <c r="I187" i="17"/>
  <c r="J187" i="17"/>
  <c r="K187" i="17"/>
  <c r="L187" i="17"/>
  <c r="M187" i="17"/>
  <c r="C205" i="17"/>
  <c r="D205" i="17"/>
  <c r="E205" i="17"/>
  <c r="F205" i="17"/>
  <c r="G205" i="17"/>
  <c r="H205" i="17"/>
  <c r="I205" i="17"/>
  <c r="J205" i="17"/>
  <c r="K205" i="17"/>
  <c r="L205" i="17"/>
  <c r="M205" i="17"/>
  <c r="C189" i="17"/>
  <c r="D189" i="17"/>
  <c r="E189" i="17"/>
  <c r="F189" i="17"/>
  <c r="G189" i="17"/>
  <c r="H189" i="17"/>
  <c r="I189" i="17"/>
  <c r="J189" i="17"/>
  <c r="K189" i="17"/>
  <c r="L189" i="17"/>
  <c r="M189" i="17"/>
  <c r="C200" i="17"/>
  <c r="D200" i="17"/>
  <c r="E200" i="17"/>
  <c r="F200" i="17"/>
  <c r="G200" i="17"/>
  <c r="H200" i="17"/>
  <c r="I200" i="17"/>
  <c r="J200" i="17"/>
  <c r="K200" i="17"/>
  <c r="L200" i="17"/>
  <c r="M200" i="17"/>
  <c r="C201" i="17"/>
  <c r="D201" i="17"/>
  <c r="E201" i="17"/>
  <c r="F201" i="17"/>
  <c r="G201" i="17"/>
  <c r="H201" i="17"/>
  <c r="I201" i="17"/>
  <c r="J201" i="17"/>
  <c r="K201" i="17"/>
  <c r="L201" i="17"/>
  <c r="M201" i="17"/>
  <c r="C188" i="17"/>
  <c r="D188" i="17"/>
  <c r="E188" i="17"/>
  <c r="F188" i="17"/>
  <c r="G188" i="17"/>
  <c r="H188" i="17"/>
  <c r="I188" i="17"/>
  <c r="J188" i="17"/>
  <c r="K188" i="17"/>
  <c r="L188" i="17"/>
  <c r="M188" i="17"/>
  <c r="C197" i="17"/>
  <c r="D197" i="17"/>
  <c r="E197" i="17"/>
  <c r="F197" i="17"/>
  <c r="G197" i="17"/>
  <c r="H197" i="17"/>
  <c r="I197" i="17"/>
  <c r="J197" i="17"/>
  <c r="K197" i="17"/>
  <c r="L197" i="17"/>
  <c r="M197" i="17"/>
  <c r="C199" i="17"/>
  <c r="D199" i="17"/>
  <c r="E199" i="17"/>
  <c r="F199" i="17"/>
  <c r="G199" i="17"/>
  <c r="H199" i="17"/>
  <c r="I199" i="17"/>
  <c r="J199" i="17"/>
  <c r="K199" i="17"/>
  <c r="L199" i="17"/>
  <c r="M199" i="17"/>
  <c r="C202" i="17"/>
  <c r="D202" i="17"/>
  <c r="E202" i="17"/>
  <c r="F202" i="17"/>
  <c r="G202" i="17"/>
  <c r="H202" i="17"/>
  <c r="I202" i="17"/>
  <c r="J202" i="17"/>
  <c r="K202" i="17"/>
  <c r="L202" i="17"/>
  <c r="M202" i="17"/>
  <c r="C182" i="17"/>
  <c r="D182" i="17"/>
  <c r="E182" i="17"/>
  <c r="F182" i="17"/>
  <c r="G182" i="17"/>
  <c r="H182" i="17"/>
  <c r="I182" i="17"/>
  <c r="J182" i="17"/>
  <c r="K182" i="17"/>
  <c r="L182" i="17"/>
  <c r="M182" i="17"/>
  <c r="C209" i="17"/>
  <c r="D209" i="17"/>
  <c r="E209" i="17"/>
  <c r="F209" i="17"/>
  <c r="G209" i="17"/>
  <c r="H209" i="17"/>
  <c r="I209" i="17"/>
  <c r="J209" i="17"/>
  <c r="K209" i="17"/>
  <c r="L209" i="17"/>
  <c r="M209" i="17"/>
  <c r="C195" i="17"/>
  <c r="D195" i="17"/>
  <c r="E195" i="17"/>
  <c r="F195" i="17"/>
  <c r="G195" i="17"/>
  <c r="H195" i="17"/>
  <c r="I195" i="17"/>
  <c r="J195" i="17"/>
  <c r="K195" i="17"/>
  <c r="L195" i="17"/>
  <c r="M195" i="17"/>
  <c r="C183" i="17"/>
  <c r="D183" i="17"/>
  <c r="E183" i="17"/>
  <c r="F183" i="17"/>
  <c r="G183" i="17"/>
  <c r="H183" i="17"/>
  <c r="I183" i="17"/>
  <c r="J183" i="17"/>
  <c r="K183" i="17"/>
  <c r="L183" i="17"/>
  <c r="M183" i="17"/>
  <c r="C194" i="17"/>
  <c r="D194" i="17"/>
  <c r="E194" i="17"/>
  <c r="F194" i="17"/>
  <c r="G194" i="17"/>
  <c r="H194" i="17"/>
  <c r="I194" i="17"/>
  <c r="J194" i="17"/>
  <c r="K194" i="17"/>
  <c r="L194" i="17"/>
  <c r="M194" i="17"/>
  <c r="C208" i="17"/>
  <c r="D208" i="17"/>
  <c r="E208" i="17"/>
  <c r="F208" i="17"/>
  <c r="G208" i="17"/>
  <c r="H208" i="17"/>
  <c r="I208" i="17"/>
  <c r="J208" i="17"/>
  <c r="K208" i="17"/>
  <c r="L208" i="17"/>
  <c r="M208" i="17"/>
  <c r="C196" i="17"/>
  <c r="D196" i="17"/>
  <c r="E196" i="17"/>
  <c r="F196" i="17"/>
  <c r="G196" i="17"/>
  <c r="H196" i="17"/>
  <c r="I196" i="17"/>
  <c r="J196" i="17"/>
  <c r="K196" i="17"/>
  <c r="L196" i="17"/>
  <c r="M196" i="17"/>
  <c r="C193" i="17"/>
  <c r="D193" i="17"/>
  <c r="E193" i="17"/>
  <c r="F193" i="17"/>
  <c r="G193" i="17"/>
  <c r="H193" i="17"/>
  <c r="I193" i="17"/>
  <c r="J193" i="17"/>
  <c r="K193" i="17"/>
  <c r="L193" i="17"/>
  <c r="M193" i="17"/>
  <c r="C210" i="17"/>
  <c r="D210" i="17"/>
  <c r="E210" i="17"/>
  <c r="F210" i="17"/>
  <c r="G210" i="17"/>
  <c r="H210" i="17"/>
  <c r="I210" i="17"/>
  <c r="J210" i="17"/>
  <c r="K210" i="17"/>
  <c r="L210" i="17"/>
  <c r="M210" i="17"/>
  <c r="C184" i="17"/>
  <c r="D184" i="17"/>
  <c r="E184" i="17"/>
  <c r="F184" i="17"/>
  <c r="G184" i="17"/>
  <c r="H184" i="17"/>
  <c r="I184" i="17"/>
  <c r="J184" i="17"/>
  <c r="K184" i="17"/>
  <c r="L184" i="17"/>
  <c r="M184" i="17"/>
  <c r="C204" i="17"/>
  <c r="D204" i="17"/>
  <c r="E204" i="17"/>
  <c r="F204" i="17"/>
  <c r="G204" i="17"/>
  <c r="H204" i="17"/>
  <c r="I204" i="17"/>
  <c r="J204" i="17"/>
  <c r="K204" i="17"/>
  <c r="L204" i="17"/>
  <c r="M204" i="17"/>
  <c r="C185" i="17"/>
  <c r="D185" i="17"/>
  <c r="E185" i="17"/>
  <c r="F185" i="17"/>
  <c r="G185" i="17"/>
  <c r="H185" i="17"/>
  <c r="I185" i="17"/>
  <c r="J185" i="17"/>
  <c r="K185" i="17"/>
  <c r="L185" i="17"/>
  <c r="M185" i="17"/>
  <c r="C219" i="17"/>
  <c r="D219" i="17"/>
  <c r="E219" i="17"/>
  <c r="F219" i="17"/>
  <c r="G219" i="17"/>
  <c r="H219" i="17"/>
  <c r="I219" i="17"/>
  <c r="J219" i="17"/>
  <c r="K219" i="17"/>
  <c r="L219" i="17"/>
  <c r="M219" i="17"/>
  <c r="C212" i="17"/>
  <c r="D212" i="17"/>
  <c r="E212" i="17"/>
  <c r="F212" i="17"/>
  <c r="G212" i="17"/>
  <c r="H212" i="17"/>
  <c r="I212" i="17"/>
  <c r="J212" i="17"/>
  <c r="K212" i="17"/>
  <c r="L212" i="17"/>
  <c r="M212" i="17"/>
  <c r="C211" i="17"/>
  <c r="D211" i="17"/>
  <c r="E211" i="17"/>
  <c r="F211" i="17"/>
  <c r="G211" i="17"/>
  <c r="H211" i="17"/>
  <c r="I211" i="17"/>
  <c r="J211" i="17"/>
  <c r="K211" i="17"/>
  <c r="L211" i="17"/>
  <c r="M211" i="17"/>
  <c r="C217" i="17"/>
  <c r="D217" i="17"/>
  <c r="E217" i="17"/>
  <c r="F217" i="17"/>
  <c r="G217" i="17"/>
  <c r="H217" i="17"/>
  <c r="I217" i="17"/>
  <c r="J217" i="17"/>
  <c r="K217" i="17"/>
  <c r="L217" i="17"/>
  <c r="M217" i="17"/>
  <c r="C213" i="17"/>
  <c r="D213" i="17"/>
  <c r="E213" i="17"/>
  <c r="F213" i="17"/>
  <c r="G213" i="17"/>
  <c r="H213" i="17"/>
  <c r="I213" i="17"/>
  <c r="J213" i="17"/>
  <c r="K213" i="17"/>
  <c r="L213" i="17"/>
  <c r="M213" i="17"/>
  <c r="C216" i="17"/>
  <c r="D216" i="17"/>
  <c r="E216" i="17"/>
  <c r="F216" i="17"/>
  <c r="G216" i="17"/>
  <c r="H216" i="17"/>
  <c r="I216" i="17"/>
  <c r="J216" i="17"/>
  <c r="K216" i="17"/>
  <c r="L216" i="17"/>
  <c r="M216" i="17"/>
  <c r="C215" i="17"/>
  <c r="D215" i="17"/>
  <c r="E215" i="17"/>
  <c r="F215" i="17"/>
  <c r="G215" i="17"/>
  <c r="H215" i="17"/>
  <c r="I215" i="17"/>
  <c r="J215" i="17"/>
  <c r="K215" i="17"/>
  <c r="L215" i="17"/>
  <c r="M215" i="17"/>
  <c r="C214" i="17"/>
  <c r="D214" i="17"/>
  <c r="E214" i="17"/>
  <c r="F214" i="17"/>
  <c r="G214" i="17"/>
  <c r="H214" i="17"/>
  <c r="I214" i="17"/>
  <c r="J214" i="17"/>
  <c r="K214" i="17"/>
  <c r="L214" i="17"/>
  <c r="M214" i="17"/>
  <c r="C218" i="17"/>
  <c r="D218" i="17"/>
  <c r="E218" i="17"/>
  <c r="F218" i="17"/>
  <c r="G218" i="17"/>
  <c r="H218" i="17"/>
  <c r="I218" i="17"/>
  <c r="J218" i="17"/>
  <c r="K218" i="17"/>
  <c r="L218" i="17"/>
  <c r="M218" i="17"/>
  <c r="D207" i="17"/>
  <c r="E207" i="17"/>
  <c r="F207" i="17"/>
  <c r="G207" i="17"/>
  <c r="H207" i="17"/>
  <c r="I207" i="17"/>
  <c r="J207" i="17"/>
  <c r="K207" i="17"/>
  <c r="L207" i="17"/>
  <c r="M207" i="17"/>
  <c r="C207" i="17"/>
  <c r="J42" i="13" l="1"/>
  <c r="Y42" i="12"/>
  <c r="S42" i="14"/>
  <c r="AZ42" i="16"/>
  <c r="G41" i="15"/>
  <c r="V41" i="15" s="1"/>
  <c r="G36" i="15"/>
  <c r="V36" i="15" s="1"/>
  <c r="G13" i="15"/>
  <c r="V13" i="15" s="1"/>
  <c r="Y42" i="15"/>
  <c r="G12" i="15"/>
  <c r="V12" i="15" s="1"/>
  <c r="G14" i="15"/>
  <c r="V14" i="15" s="1"/>
  <c r="G23" i="15"/>
  <c r="V23" i="15" s="1"/>
  <c r="H9" i="15"/>
  <c r="G5" i="15"/>
  <c r="V5" i="15" s="1"/>
  <c r="G16" i="15"/>
  <c r="V16" i="15" s="1"/>
  <c r="H24" i="15"/>
  <c r="G38" i="15"/>
  <c r="V38" i="15" s="1"/>
  <c r="G31" i="15"/>
  <c r="V31" i="15" s="1"/>
  <c r="G34" i="15"/>
  <c r="V34" i="15" s="1"/>
  <c r="G20" i="15"/>
  <c r="V20" i="15" s="1"/>
  <c r="G27" i="15"/>
  <c r="V27" i="15" s="1"/>
  <c r="G19" i="15"/>
  <c r="V19" i="15" s="1"/>
  <c r="G39" i="15"/>
  <c r="V39" i="15" s="1"/>
  <c r="G35" i="15"/>
  <c r="V35" i="15" s="1"/>
  <c r="G29" i="15"/>
  <c r="V29" i="15" s="1"/>
  <c r="S42" i="15"/>
  <c r="G30" i="15"/>
  <c r="V30" i="15" s="1"/>
  <c r="G22" i="15"/>
  <c r="V22" i="15" s="1"/>
  <c r="G15" i="15"/>
  <c r="V15" i="15" s="1"/>
  <c r="G21" i="15"/>
  <c r="V21" i="15" s="1"/>
  <c r="G6" i="15"/>
  <c r="V6" i="15" s="1"/>
  <c r="G25" i="15"/>
  <c r="V25" i="15" s="1"/>
  <c r="W16" i="15"/>
  <c r="I16" i="15" s="1"/>
  <c r="H7" i="15"/>
  <c r="G33" i="15"/>
  <c r="V33" i="15" s="1"/>
  <c r="T23" i="15"/>
  <c r="T22" i="15"/>
  <c r="T21" i="15"/>
  <c r="T20" i="15"/>
  <c r="T19" i="15"/>
  <c r="T18" i="15"/>
  <c r="T15" i="15"/>
  <c r="T14" i="15"/>
  <c r="T13" i="15"/>
  <c r="T12" i="15"/>
  <c r="T11" i="15"/>
  <c r="T8" i="15"/>
  <c r="G11" i="15"/>
  <c r="V11" i="15" s="1"/>
  <c r="G26" i="15"/>
  <c r="V26" i="15" s="1"/>
  <c r="W23" i="15"/>
  <c r="I23" i="15" s="1"/>
  <c r="W22" i="15"/>
  <c r="I22" i="15" s="1"/>
  <c r="W21" i="15"/>
  <c r="I21" i="15" s="1"/>
  <c r="W20" i="15"/>
  <c r="I20" i="15" s="1"/>
  <c r="W19" i="15"/>
  <c r="I19" i="15" s="1"/>
  <c r="W18" i="15"/>
  <c r="I18" i="15" s="1"/>
  <c r="W15" i="15"/>
  <c r="I15" i="15" s="1"/>
  <c r="W14" i="15"/>
  <c r="I14" i="15" s="1"/>
  <c r="W13" i="15"/>
  <c r="I13" i="15" s="1"/>
  <c r="W12" i="15"/>
  <c r="I12" i="15" s="1"/>
  <c r="W11" i="15"/>
  <c r="I11" i="15" s="1"/>
  <c r="W8" i="15"/>
  <c r="I8" i="15" s="1"/>
  <c r="G18" i="15"/>
  <c r="V18" i="15" s="1"/>
  <c r="H17" i="15"/>
  <c r="H10" i="15"/>
  <c r="G32" i="15"/>
  <c r="V32" i="15" s="1"/>
  <c r="T41" i="15"/>
  <c r="T40" i="15"/>
  <c r="T39" i="15"/>
  <c r="T38" i="15"/>
  <c r="T37" i="15"/>
  <c r="T36" i="15"/>
  <c r="T35" i="15"/>
  <c r="T34" i="15"/>
  <c r="T33" i="15"/>
  <c r="T32" i="15"/>
  <c r="T31" i="15"/>
  <c r="T30" i="15"/>
  <c r="T29" i="15"/>
  <c r="T28" i="15"/>
  <c r="T27" i="15"/>
  <c r="T26" i="15"/>
  <c r="T25" i="15"/>
  <c r="T6" i="15"/>
  <c r="T5" i="15"/>
  <c r="G28" i="15"/>
  <c r="V28" i="15" s="1"/>
  <c r="G40" i="15"/>
  <c r="V40" i="15" s="1"/>
  <c r="G37" i="15"/>
  <c r="V37" i="15" s="1"/>
  <c r="G8" i="15"/>
  <c r="V8" i="15" s="1"/>
  <c r="W41" i="15"/>
  <c r="I41" i="15" s="1"/>
  <c r="W40" i="15"/>
  <c r="I40" i="15" s="1"/>
  <c r="W39" i="15"/>
  <c r="I39" i="15" s="1"/>
  <c r="W38" i="15"/>
  <c r="I38" i="15" s="1"/>
  <c r="W37" i="15"/>
  <c r="I37" i="15" s="1"/>
  <c r="W36" i="15"/>
  <c r="I36" i="15" s="1"/>
  <c r="W35" i="15"/>
  <c r="I35" i="15" s="1"/>
  <c r="W34" i="15"/>
  <c r="I34" i="15" s="1"/>
  <c r="W33" i="15"/>
  <c r="I33" i="15" s="1"/>
  <c r="W32" i="15"/>
  <c r="I32" i="15" s="1"/>
  <c r="W31" i="15"/>
  <c r="I31" i="15" s="1"/>
  <c r="W30" i="15"/>
  <c r="I30" i="15" s="1"/>
  <c r="W29" i="15"/>
  <c r="I29" i="15" s="1"/>
  <c r="W28" i="15"/>
  <c r="I28" i="15" s="1"/>
  <c r="W27" i="15"/>
  <c r="I27" i="15" s="1"/>
  <c r="W26" i="15"/>
  <c r="I26" i="15" s="1"/>
  <c r="W25" i="15"/>
  <c r="I25" i="15" s="1"/>
  <c r="W6" i="15"/>
  <c r="I6" i="15" s="1"/>
  <c r="W5" i="15"/>
  <c r="I5" i="15" s="1"/>
  <c r="G31" i="13"/>
  <c r="V31" i="13" s="1"/>
  <c r="G35" i="13"/>
  <c r="V35" i="13" s="1"/>
  <c r="G34" i="13"/>
  <c r="V34" i="13" s="1"/>
  <c r="G38" i="13"/>
  <c r="V38" i="13" s="1"/>
  <c r="R36" i="13"/>
  <c r="Y41" i="13"/>
  <c r="CW41" i="14" s="1"/>
  <c r="CB41" i="14"/>
  <c r="R41" i="13"/>
  <c r="Y40" i="13"/>
  <c r="CW40" i="14" s="1"/>
  <c r="CB40" i="14"/>
  <c r="Y32" i="13"/>
  <c r="CW32" i="14" s="1"/>
  <c r="CB32" i="14"/>
  <c r="R30" i="13"/>
  <c r="EH38" i="14"/>
  <c r="M38" i="14" s="1"/>
  <c r="AE38" i="14" s="1"/>
  <c r="S22" i="13"/>
  <c r="CO22" i="14" s="1"/>
  <c r="R8" i="13"/>
  <c r="H8" i="13" s="1"/>
  <c r="Y24" i="13"/>
  <c r="CW24" i="14" s="1"/>
  <c r="CB24" i="14"/>
  <c r="Y19" i="13"/>
  <c r="CW19" i="14" s="1"/>
  <c r="CB19" i="14"/>
  <c r="Y15" i="13"/>
  <c r="CW15" i="14" s="1"/>
  <c r="CB15" i="14"/>
  <c r="R15" i="13"/>
  <c r="Y10" i="13"/>
  <c r="CW10" i="14" s="1"/>
  <c r="CB10" i="14"/>
  <c r="R10" i="13"/>
  <c r="R7" i="13"/>
  <c r="Y5" i="13"/>
  <c r="CW5" i="14" s="1"/>
  <c r="CB5" i="14"/>
  <c r="Y4" i="13"/>
  <c r="T39" i="13"/>
  <c r="E27" i="13"/>
  <c r="S36" i="13"/>
  <c r="CO36" i="14" s="1"/>
  <c r="S31" i="13"/>
  <c r="S30" i="13"/>
  <c r="CO30" i="14" s="1"/>
  <c r="Y39" i="13"/>
  <c r="CB39" i="14"/>
  <c r="Y36" i="13"/>
  <c r="CW36" i="14" s="1"/>
  <c r="CB36" i="14"/>
  <c r="Y35" i="13"/>
  <c r="CW35" i="14" s="1"/>
  <c r="CB35" i="14"/>
  <c r="Y28" i="13"/>
  <c r="CW28" i="14" s="1"/>
  <c r="CB28" i="14"/>
  <c r="ED38" i="14"/>
  <c r="R28" i="13"/>
  <c r="Y26" i="13"/>
  <c r="CW26" i="14" s="1"/>
  <c r="CB26" i="14"/>
  <c r="BS25" i="14"/>
  <c r="R23" i="13"/>
  <c r="Y21" i="13"/>
  <c r="CW21" i="14" s="1"/>
  <c r="CB21" i="14"/>
  <c r="R21" i="13"/>
  <c r="Y18" i="13"/>
  <c r="CW18" i="14" s="1"/>
  <c r="CB18" i="14"/>
  <c r="R18" i="13"/>
  <c r="R14" i="13"/>
  <c r="Y7" i="13"/>
  <c r="CW7" i="14" s="1"/>
  <c r="CB7" i="14"/>
  <c r="R6" i="13"/>
  <c r="T34" i="13"/>
  <c r="Y37" i="13"/>
  <c r="CW37" i="14" s="1"/>
  <c r="CB37" i="14"/>
  <c r="S37" i="13"/>
  <c r="CO37" i="14" s="1"/>
  <c r="W31" i="13"/>
  <c r="I31" i="13" s="1"/>
  <c r="R32" i="13"/>
  <c r="Y29" i="13"/>
  <c r="CW29" i="14" s="1"/>
  <c r="CB29" i="14"/>
  <c r="R26" i="13"/>
  <c r="Y23" i="13"/>
  <c r="CW23" i="14" s="1"/>
  <c r="CB23" i="14"/>
  <c r="R22" i="13"/>
  <c r="Y20" i="13"/>
  <c r="CW20" i="14" s="1"/>
  <c r="CB20" i="14"/>
  <c r="R16" i="13"/>
  <c r="H16" i="13" s="1"/>
  <c r="Y12" i="13"/>
  <c r="CW12" i="14" s="1"/>
  <c r="CB12" i="14"/>
  <c r="BS11" i="14"/>
  <c r="Y9" i="13"/>
  <c r="CW9" i="14" s="1"/>
  <c r="CB9" i="14"/>
  <c r="R9" i="13"/>
  <c r="Y6" i="13"/>
  <c r="CW6" i="14" s="1"/>
  <c r="CB6" i="14"/>
  <c r="R5" i="13"/>
  <c r="T38" i="13"/>
  <c r="T35" i="13"/>
  <c r="T31" i="13"/>
  <c r="T29" i="13"/>
  <c r="BS27" i="14"/>
  <c r="W29" i="13"/>
  <c r="W34" i="13"/>
  <c r="I34" i="13" s="1"/>
  <c r="S34" i="13"/>
  <c r="R40" i="13"/>
  <c r="Y38" i="13"/>
  <c r="CW38" i="14" s="1"/>
  <c r="CB38" i="14"/>
  <c r="R37" i="13"/>
  <c r="Y33" i="13"/>
  <c r="CW33" i="14" s="1"/>
  <c r="CB33" i="14"/>
  <c r="R33" i="13"/>
  <c r="Y27" i="13"/>
  <c r="CW27" i="14" s="1"/>
  <c r="CB27" i="14"/>
  <c r="Y25" i="13"/>
  <c r="CW25" i="14" s="1"/>
  <c r="CB25" i="14"/>
  <c r="Y22" i="13"/>
  <c r="CW22" i="14" s="1"/>
  <c r="CB22" i="14"/>
  <c r="BS19" i="14"/>
  <c r="Y17" i="13"/>
  <c r="CW17" i="14" s="1"/>
  <c r="CB17" i="14"/>
  <c r="Y16" i="13"/>
  <c r="CW16" i="14" s="1"/>
  <c r="CB16" i="14"/>
  <c r="Y14" i="13"/>
  <c r="CW14" i="14" s="1"/>
  <c r="CB14" i="14"/>
  <c r="R13" i="13"/>
  <c r="Y11" i="13"/>
  <c r="CW11" i="14" s="1"/>
  <c r="CB11" i="14"/>
  <c r="Y8" i="13"/>
  <c r="CW8" i="14" s="1"/>
  <c r="CB8" i="14"/>
  <c r="BS42" i="14"/>
  <c r="BS4" i="14"/>
  <c r="S27" i="13"/>
  <c r="CO27" i="14" s="1"/>
  <c r="BS17" i="14"/>
  <c r="T20" i="13"/>
  <c r="CP20" i="14" s="1"/>
  <c r="S7" i="13"/>
  <c r="CO7" i="14" s="1"/>
  <c r="W20" i="13"/>
  <c r="I20" i="13" s="1"/>
  <c r="S20" i="13"/>
  <c r="CO20" i="14" s="1"/>
  <c r="S15" i="13"/>
  <c r="CO15" i="14" s="1"/>
  <c r="W12" i="13"/>
  <c r="I12" i="13" s="1"/>
  <c r="S12" i="13"/>
  <c r="CO12" i="14" s="1"/>
  <c r="S6" i="13"/>
  <c r="CO6" i="14" s="1"/>
  <c r="S26" i="13"/>
  <c r="CO26" i="14" s="1"/>
  <c r="S25" i="13"/>
  <c r="CO25" i="14" s="1"/>
  <c r="S14" i="13"/>
  <c r="CO14" i="14" s="1"/>
  <c r="S9" i="13"/>
  <c r="CO9" i="14" s="1"/>
  <c r="S8" i="13"/>
  <c r="CO8" i="14" s="1"/>
  <c r="S5" i="13"/>
  <c r="CO5" i="14" s="1"/>
  <c r="W35" i="13"/>
  <c r="I35" i="13" s="1"/>
  <c r="W38" i="13"/>
  <c r="I38" i="13" s="1"/>
  <c r="T12" i="13"/>
  <c r="S28" i="13"/>
  <c r="CO28" i="14" s="1"/>
  <c r="S23" i="13"/>
  <c r="CO23" i="14" s="1"/>
  <c r="S18" i="13"/>
  <c r="CO18" i="14" s="1"/>
  <c r="T24" i="13"/>
  <c r="CP24" i="14" s="1"/>
  <c r="W24" i="13"/>
  <c r="I24" i="13" s="1"/>
  <c r="S24" i="13"/>
  <c r="CO24" i="14" s="1"/>
  <c r="S21" i="13"/>
  <c r="CO21" i="14" s="1"/>
  <c r="S17" i="13"/>
  <c r="CO17" i="14" s="1"/>
  <c r="S16" i="13"/>
  <c r="CO16" i="14" s="1"/>
  <c r="S13" i="13"/>
  <c r="CO13" i="14" s="1"/>
  <c r="S11" i="13"/>
  <c r="CO11" i="14" s="1"/>
  <c r="S10" i="13"/>
  <c r="CO10" i="14" s="1"/>
  <c r="W39" i="13"/>
  <c r="I39" i="13" s="1"/>
  <c r="G23" i="12"/>
  <c r="V23" i="12" s="1"/>
  <c r="G11" i="12"/>
  <c r="V11" i="12" s="1"/>
  <c r="G10" i="12"/>
  <c r="V10" i="12" s="1"/>
  <c r="G30" i="12"/>
  <c r="V30" i="12" s="1"/>
  <c r="G18" i="12"/>
  <c r="V18" i="12" s="1"/>
  <c r="G13" i="12"/>
  <c r="V13" i="12" s="1"/>
  <c r="G27" i="12"/>
  <c r="V27" i="12" s="1"/>
  <c r="G38" i="12"/>
  <c r="V38" i="12" s="1"/>
  <c r="G39" i="12"/>
  <c r="V39" i="12" s="1"/>
  <c r="G33" i="12"/>
  <c r="V33" i="12" s="1"/>
  <c r="G29" i="12"/>
  <c r="V29" i="12" s="1"/>
  <c r="G35" i="12"/>
  <c r="V35" i="12" s="1"/>
  <c r="G31" i="12"/>
  <c r="V31" i="12" s="1"/>
  <c r="G25" i="12"/>
  <c r="V25" i="12" s="1"/>
  <c r="G34" i="12"/>
  <c r="V34" i="12" s="1"/>
  <c r="G26" i="12"/>
  <c r="V26" i="12" s="1"/>
  <c r="G15" i="12"/>
  <c r="V15" i="12" s="1"/>
  <c r="G6" i="12"/>
  <c r="V6" i="12" s="1"/>
  <c r="G37" i="12"/>
  <c r="V37" i="12" s="1"/>
  <c r="G32" i="12"/>
  <c r="V32" i="12" s="1"/>
  <c r="G41" i="12"/>
  <c r="V41" i="12" s="1"/>
  <c r="G20" i="12"/>
  <c r="V20" i="12" s="1"/>
  <c r="S42" i="12"/>
  <c r="G21" i="12"/>
  <c r="V21" i="12" s="1"/>
  <c r="G17" i="12"/>
  <c r="V17" i="12" s="1"/>
  <c r="G9" i="12"/>
  <c r="V9" i="12" s="1"/>
  <c r="G8" i="12"/>
  <c r="V8" i="12" s="1"/>
  <c r="G28" i="12"/>
  <c r="V28" i="12" s="1"/>
  <c r="G22" i="12"/>
  <c r="V22" i="12" s="1"/>
  <c r="G5" i="12"/>
  <c r="V5" i="12" s="1"/>
  <c r="T33" i="12"/>
  <c r="T17" i="12"/>
  <c r="T16" i="12"/>
  <c r="T38" i="12"/>
  <c r="T28" i="12"/>
  <c r="T32" i="12"/>
  <c r="T20" i="12"/>
  <c r="T34" i="12"/>
  <c r="T35" i="12"/>
  <c r="T25" i="12"/>
  <c r="T10" i="12"/>
  <c r="T9" i="12"/>
  <c r="G40" i="12"/>
  <c r="V40" i="12" s="1"/>
  <c r="W23" i="12"/>
  <c r="I23" i="12" s="1"/>
  <c r="G19" i="12"/>
  <c r="V19" i="12" s="1"/>
  <c r="G14" i="12"/>
  <c r="V14" i="12" s="1"/>
  <c r="W33" i="12"/>
  <c r="I33" i="12" s="1"/>
  <c r="W17" i="12"/>
  <c r="I17" i="12" s="1"/>
  <c r="W16" i="12"/>
  <c r="I16" i="12" s="1"/>
  <c r="W38" i="12"/>
  <c r="I38" i="12" s="1"/>
  <c r="W28" i="12"/>
  <c r="I28" i="12" s="1"/>
  <c r="W32" i="12"/>
  <c r="I32" i="12" s="1"/>
  <c r="W20" i="12"/>
  <c r="I20" i="12" s="1"/>
  <c r="W34" i="12"/>
  <c r="I34" i="12" s="1"/>
  <c r="W35" i="12"/>
  <c r="I35" i="12" s="1"/>
  <c r="W25" i="12"/>
  <c r="I25" i="12" s="1"/>
  <c r="W10" i="12"/>
  <c r="I10" i="12" s="1"/>
  <c r="W9" i="12"/>
  <c r="I9" i="12" s="1"/>
  <c r="G36" i="12"/>
  <c r="V36" i="12" s="1"/>
  <c r="W27" i="12"/>
  <c r="I27" i="12" s="1"/>
  <c r="G24" i="12"/>
  <c r="V24" i="12" s="1"/>
  <c r="W6" i="12"/>
  <c r="I6" i="12" s="1"/>
  <c r="W11" i="12"/>
  <c r="I11" i="12" s="1"/>
  <c r="H7" i="12"/>
  <c r="T37" i="12"/>
  <c r="T21" i="12"/>
  <c r="T8" i="12"/>
  <c r="T5" i="12"/>
  <c r="E4" i="12"/>
  <c r="T24" i="12"/>
  <c r="T41" i="12"/>
  <c r="T36" i="12"/>
  <c r="T26" i="12"/>
  <c r="T14" i="12"/>
  <c r="T13" i="12"/>
  <c r="T12" i="12"/>
  <c r="T22" i="12"/>
  <c r="T18" i="12"/>
  <c r="T40" i="12"/>
  <c r="T39" i="12"/>
  <c r="T31" i="12"/>
  <c r="T30" i="12"/>
  <c r="T29" i="12"/>
  <c r="T19" i="12"/>
  <c r="G16" i="12"/>
  <c r="V16" i="12" s="1"/>
  <c r="G12" i="12"/>
  <c r="V12" i="12" s="1"/>
  <c r="W15" i="12"/>
  <c r="I15" i="12" s="1"/>
  <c r="W37" i="12"/>
  <c r="I37" i="12" s="1"/>
  <c r="W21" i="12"/>
  <c r="I21" i="12" s="1"/>
  <c r="W8" i="12"/>
  <c r="I8" i="12" s="1"/>
  <c r="W5" i="12"/>
  <c r="I5" i="12" s="1"/>
  <c r="W24" i="12"/>
  <c r="I24" i="12" s="1"/>
  <c r="W41" i="12"/>
  <c r="I41" i="12" s="1"/>
  <c r="W36" i="12"/>
  <c r="I36" i="12" s="1"/>
  <c r="W26" i="12"/>
  <c r="I26" i="12" s="1"/>
  <c r="W14" i="12"/>
  <c r="I14" i="12" s="1"/>
  <c r="W13" i="12"/>
  <c r="I13" i="12" s="1"/>
  <c r="W12" i="12"/>
  <c r="I12" i="12" s="1"/>
  <c r="W22" i="12"/>
  <c r="I22" i="12" s="1"/>
  <c r="W18" i="12"/>
  <c r="I18" i="12" s="1"/>
  <c r="W40" i="12"/>
  <c r="I40" i="12" s="1"/>
  <c r="W39" i="12"/>
  <c r="I39" i="12" s="1"/>
  <c r="W31" i="12"/>
  <c r="I31" i="12" s="1"/>
  <c r="W30" i="12"/>
  <c r="I30" i="12" s="1"/>
  <c r="W29" i="12"/>
  <c r="I29" i="12" s="1"/>
  <c r="W19" i="12"/>
  <c r="I19" i="12" s="1"/>
  <c r="ED34" i="14"/>
  <c r="CI42" i="14"/>
  <c r="CI4" i="14"/>
  <c r="CN42" i="14"/>
  <c r="CN4" i="14"/>
  <c r="ED31" i="14"/>
  <c r="ED24" i="14"/>
  <c r="S35" i="11"/>
  <c r="CO35" i="14" s="1"/>
  <c r="W13" i="11"/>
  <c r="W26" i="11"/>
  <c r="W24" i="11"/>
  <c r="W20" i="11"/>
  <c r="R35" i="11"/>
  <c r="T31" i="11"/>
  <c r="T6" i="11"/>
  <c r="T39" i="11"/>
  <c r="T36" i="11"/>
  <c r="T30" i="11"/>
  <c r="T29" i="11"/>
  <c r="T28" i="11"/>
  <c r="T33" i="11"/>
  <c r="T23" i="11"/>
  <c r="T22" i="11"/>
  <c r="T21" i="11"/>
  <c r="T12" i="11"/>
  <c r="T11" i="11"/>
  <c r="T10" i="11"/>
  <c r="T9" i="11"/>
  <c r="E4" i="11"/>
  <c r="W31" i="11"/>
  <c r="W6" i="11"/>
  <c r="W39" i="11"/>
  <c r="W36" i="11"/>
  <c r="W30" i="11"/>
  <c r="W29" i="11"/>
  <c r="W28" i="11"/>
  <c r="W33" i="11"/>
  <c r="W23" i="11"/>
  <c r="W22" i="11"/>
  <c r="W21" i="11"/>
  <c r="W12" i="11"/>
  <c r="W11" i="11"/>
  <c r="W10" i="11"/>
  <c r="W9" i="11"/>
  <c r="T37" i="11"/>
  <c r="T25" i="11"/>
  <c r="T5" i="11"/>
  <c r="T38" i="11"/>
  <c r="CP38" i="14" s="1"/>
  <c r="T32" i="11"/>
  <c r="T41" i="11"/>
  <c r="T34" i="11"/>
  <c r="T27" i="11"/>
  <c r="T19" i="11"/>
  <c r="T18" i="11"/>
  <c r="T17" i="11"/>
  <c r="T14" i="11"/>
  <c r="T40" i="11"/>
  <c r="T7" i="11"/>
  <c r="W37" i="11"/>
  <c r="W25" i="11"/>
  <c r="W5" i="11"/>
  <c r="W38" i="11"/>
  <c r="W32" i="11"/>
  <c r="W41" i="11"/>
  <c r="W34" i="11"/>
  <c r="W27" i="11"/>
  <c r="W19" i="11"/>
  <c r="W18" i="11"/>
  <c r="W17" i="11"/>
  <c r="W14" i="11"/>
  <c r="Y42" i="11"/>
  <c r="W40" i="11"/>
  <c r="W7" i="11"/>
  <c r="T7" i="10"/>
  <c r="T14" i="10"/>
  <c r="T26" i="10"/>
  <c r="T29" i="10"/>
  <c r="T30" i="10"/>
  <c r="T13" i="10"/>
  <c r="T19" i="10"/>
  <c r="T22" i="10"/>
  <c r="H29" i="10"/>
  <c r="H22" i="10"/>
  <c r="W22" i="10" s="1"/>
  <c r="H16" i="10"/>
  <c r="H6" i="10"/>
  <c r="W6" i="10" s="1"/>
  <c r="H12" i="10"/>
  <c r="H28" i="10"/>
  <c r="H31" i="10"/>
  <c r="H37" i="10"/>
  <c r="W37" i="10" s="1"/>
  <c r="T17" i="10"/>
  <c r="H33" i="10"/>
  <c r="H26" i="10"/>
  <c r="H23" i="10"/>
  <c r="W23" i="10" s="1"/>
  <c r="H35" i="10"/>
  <c r="H5" i="10"/>
  <c r="W5" i="10" s="1"/>
  <c r="H21" i="10"/>
  <c r="T15" i="10"/>
  <c r="T10" i="10"/>
  <c r="H27" i="10"/>
  <c r="H13" i="10"/>
  <c r="H7" i="10"/>
  <c r="H9" i="10"/>
  <c r="H25" i="10"/>
  <c r="H34" i="10"/>
  <c r="H41" i="10"/>
  <c r="H20" i="10"/>
  <c r="H36" i="10"/>
  <c r="H17" i="10"/>
  <c r="H32" i="10"/>
  <c r="H38" i="10"/>
  <c r="H8" i="10"/>
  <c r="H24" i="10"/>
  <c r="H40" i="10"/>
  <c r="F40" i="10" s="1"/>
  <c r="H14" i="10"/>
  <c r="Y42" i="10"/>
  <c r="S42" i="10"/>
  <c r="H39" i="10"/>
  <c r="H18" i="10"/>
  <c r="H10" i="10"/>
  <c r="H11" i="10"/>
  <c r="W9" i="10"/>
  <c r="T8" i="10"/>
  <c r="T24" i="10"/>
  <c r="T34" i="10"/>
  <c r="T36" i="10"/>
  <c r="H30" i="10"/>
  <c r="H19" i="10"/>
  <c r="E23" i="10"/>
  <c r="T6" i="10"/>
  <c r="T12" i="10"/>
  <c r="T28" i="10"/>
  <c r="T38" i="10"/>
  <c r="T5" i="10"/>
  <c r="W8" i="10"/>
  <c r="T41" i="10"/>
  <c r="W13" i="10"/>
  <c r="F23" i="10"/>
  <c r="W28" i="10"/>
  <c r="T21" i="10"/>
  <c r="E31" i="10"/>
  <c r="T37" i="10"/>
  <c r="T11" i="10"/>
  <c r="E27" i="10"/>
  <c r="T33" i="10"/>
  <c r="H15" i="10"/>
  <c r="T16" i="10"/>
  <c r="T9" i="10"/>
  <c r="T25" i="10"/>
  <c r="E35" i="10"/>
  <c r="E4" i="10"/>
  <c r="E40" i="10"/>
  <c r="T20" i="10"/>
  <c r="W33" i="10"/>
  <c r="D42" i="13"/>
  <c r="D42" i="14"/>
  <c r="C42" i="14"/>
  <c r="Y42" i="14"/>
  <c r="J42" i="14"/>
  <c r="R42" i="15"/>
  <c r="BB26" i="16"/>
  <c r="BB7" i="16"/>
  <c r="AX42" i="16"/>
  <c r="AY42" i="16"/>
  <c r="R19" i="13"/>
  <c r="R11" i="13"/>
  <c r="R25" i="13"/>
  <c r="BA42" i="16"/>
  <c r="R25" i="14"/>
  <c r="R17" i="13"/>
  <c r="BB17" i="16"/>
  <c r="R27" i="13"/>
  <c r="R22" i="14"/>
  <c r="R18" i="14"/>
  <c r="C42" i="13"/>
  <c r="R42" i="16"/>
  <c r="AE42" i="16"/>
  <c r="AG4" i="16"/>
  <c r="AG42" i="16" s="1"/>
  <c r="BB43" i="16" s="1"/>
  <c r="R42" i="12"/>
  <c r="R42" i="11"/>
  <c r="R42" i="10"/>
  <c r="M220" i="17"/>
  <c r="I220" i="17"/>
  <c r="E220" i="17"/>
  <c r="N213" i="17"/>
  <c r="N219" i="17"/>
  <c r="K265" i="17"/>
  <c r="G265" i="17"/>
  <c r="N260" i="17"/>
  <c r="N256" i="17"/>
  <c r="N249" i="17"/>
  <c r="N241" i="17"/>
  <c r="N243" i="17"/>
  <c r="N245" i="17"/>
  <c r="N244" i="17"/>
  <c r="N182" i="17"/>
  <c r="N188" i="17"/>
  <c r="N206" i="17"/>
  <c r="N240" i="17"/>
  <c r="D220" i="17"/>
  <c r="N216" i="17"/>
  <c r="N208" i="17"/>
  <c r="N209" i="17"/>
  <c r="N190" i="17"/>
  <c r="N218" i="17"/>
  <c r="N194" i="17"/>
  <c r="N205" i="17"/>
  <c r="N191" i="17"/>
  <c r="N248" i="17"/>
  <c r="L220" i="17"/>
  <c r="C265" i="17"/>
  <c r="F265" i="17"/>
  <c r="N259" i="17"/>
  <c r="N230" i="17"/>
  <c r="N238" i="17"/>
  <c r="N247" i="17"/>
  <c r="N246" i="17"/>
  <c r="N232" i="17"/>
  <c r="N237" i="17"/>
  <c r="K220" i="17"/>
  <c r="G220" i="17"/>
  <c r="N215" i="17"/>
  <c r="N211" i="17"/>
  <c r="N204" i="17"/>
  <c r="N196" i="17"/>
  <c r="N195" i="17"/>
  <c r="N199" i="17"/>
  <c r="N200" i="17"/>
  <c r="N198" i="17"/>
  <c r="N203" i="17"/>
  <c r="M265" i="17"/>
  <c r="I265" i="17"/>
  <c r="E265" i="17"/>
  <c r="N263" i="17"/>
  <c r="N258" i="17"/>
  <c r="N264" i="17"/>
  <c r="N255" i="17"/>
  <c r="N239" i="17"/>
  <c r="N227" i="17"/>
  <c r="N233" i="17"/>
  <c r="N250" i="17"/>
  <c r="N251" i="17"/>
  <c r="N236" i="17"/>
  <c r="N210" i="17"/>
  <c r="H220" i="17"/>
  <c r="N212" i="17"/>
  <c r="N184" i="17"/>
  <c r="N197" i="17"/>
  <c r="N189" i="17"/>
  <c r="N186" i="17"/>
  <c r="J265" i="17"/>
  <c r="N262" i="17"/>
  <c r="N228" i="17"/>
  <c r="C220" i="17"/>
  <c r="J220" i="17"/>
  <c r="F220" i="17"/>
  <c r="N214" i="17"/>
  <c r="N217" i="17"/>
  <c r="N185" i="17"/>
  <c r="N193" i="17"/>
  <c r="N183" i="17"/>
  <c r="N202" i="17"/>
  <c r="N201" i="17"/>
  <c r="N187" i="17"/>
  <c r="N192" i="17"/>
  <c r="L265" i="17"/>
  <c r="H265" i="17"/>
  <c r="D265" i="17"/>
  <c r="N261" i="17"/>
  <c r="N257" i="17"/>
  <c r="N229" i="17"/>
  <c r="N253" i="17"/>
  <c r="N254" i="17"/>
  <c r="N242" i="17"/>
  <c r="N234" i="17"/>
  <c r="N235" i="17"/>
  <c r="N231" i="17"/>
  <c r="N252" i="17"/>
  <c r="N207" i="17"/>
  <c r="R42" i="13" l="1"/>
  <c r="S42" i="13"/>
  <c r="F6" i="15"/>
  <c r="F26" i="15"/>
  <c r="F28" i="15"/>
  <c r="F30" i="15"/>
  <c r="F32" i="15"/>
  <c r="F34" i="15"/>
  <c r="F36" i="15"/>
  <c r="F38" i="15"/>
  <c r="F40" i="15"/>
  <c r="W10" i="15"/>
  <c r="I10" i="15" s="1"/>
  <c r="F8" i="15"/>
  <c r="F12" i="15"/>
  <c r="F14" i="15"/>
  <c r="F18" i="15"/>
  <c r="F20" i="15"/>
  <c r="F22" i="15"/>
  <c r="E4" i="15"/>
  <c r="W7" i="15"/>
  <c r="I7" i="15" s="1"/>
  <c r="W9" i="15"/>
  <c r="I9" i="15" s="1"/>
  <c r="X6" i="15"/>
  <c r="X26" i="15"/>
  <c r="X28" i="15"/>
  <c r="X30" i="15"/>
  <c r="X32" i="15"/>
  <c r="X34" i="15"/>
  <c r="X36" i="15"/>
  <c r="X38" i="15"/>
  <c r="X40" i="15"/>
  <c r="G10" i="15"/>
  <c r="V10" i="15" s="1"/>
  <c r="X8" i="15"/>
  <c r="X12" i="15"/>
  <c r="X14" i="15"/>
  <c r="X18" i="15"/>
  <c r="X20" i="15"/>
  <c r="X22" i="15"/>
  <c r="G7" i="15"/>
  <c r="V7" i="15" s="1"/>
  <c r="G9" i="15"/>
  <c r="V9" i="15" s="1"/>
  <c r="F5" i="15"/>
  <c r="F25" i="15"/>
  <c r="F27" i="15"/>
  <c r="F29" i="15"/>
  <c r="F31" i="15"/>
  <c r="F33" i="15"/>
  <c r="F35" i="15"/>
  <c r="F37" i="15"/>
  <c r="F39" i="15"/>
  <c r="F41" i="15"/>
  <c r="W17" i="15"/>
  <c r="I17" i="15" s="1"/>
  <c r="H4" i="15"/>
  <c r="F11" i="15"/>
  <c r="F13" i="15"/>
  <c r="F15" i="15"/>
  <c r="F19" i="15"/>
  <c r="F21" i="15"/>
  <c r="F23" i="15"/>
  <c r="F16" i="15"/>
  <c r="W24" i="15"/>
  <c r="I24" i="15" s="1"/>
  <c r="X5" i="15"/>
  <c r="X25" i="15"/>
  <c r="X27" i="15"/>
  <c r="X29" i="15"/>
  <c r="X31" i="15"/>
  <c r="X33" i="15"/>
  <c r="X35" i="15"/>
  <c r="X37" i="15"/>
  <c r="X39" i="15"/>
  <c r="X41" i="15"/>
  <c r="G17" i="15"/>
  <c r="V17" i="15" s="1"/>
  <c r="X11" i="15"/>
  <c r="X13" i="15"/>
  <c r="X15" i="15"/>
  <c r="X19" i="15"/>
  <c r="X21" i="15"/>
  <c r="X23" i="15"/>
  <c r="X16" i="15"/>
  <c r="G24" i="15"/>
  <c r="V24" i="15" s="1"/>
  <c r="CO34" i="14"/>
  <c r="CO31" i="14"/>
  <c r="G14" i="13"/>
  <c r="V14" i="13" s="1"/>
  <c r="G6" i="13"/>
  <c r="V6" i="13" s="1"/>
  <c r="ED6" i="14"/>
  <c r="ED5" i="14"/>
  <c r="BT10" i="14"/>
  <c r="BT13" i="14"/>
  <c r="BT17" i="14"/>
  <c r="BT24" i="14"/>
  <c r="BU24" i="14"/>
  <c r="BT23" i="14"/>
  <c r="F35" i="13"/>
  <c r="X12" i="13"/>
  <c r="BW17" i="14"/>
  <c r="E17" i="14" s="1"/>
  <c r="T17" i="14" s="1"/>
  <c r="E17" i="13"/>
  <c r="BW42" i="14"/>
  <c r="BW4" i="14"/>
  <c r="E4" i="14" s="1"/>
  <c r="T4" i="14" s="1"/>
  <c r="E4" i="13"/>
  <c r="BT34" i="14"/>
  <c r="F29" i="13"/>
  <c r="CN5" i="14"/>
  <c r="CN9" i="14"/>
  <c r="BW11" i="14"/>
  <c r="E11" i="14" s="1"/>
  <c r="T11" i="14" s="1"/>
  <c r="E11" i="13"/>
  <c r="W16" i="13"/>
  <c r="I16" i="13" s="1"/>
  <c r="F16" i="13"/>
  <c r="CN6" i="14"/>
  <c r="CN14" i="14"/>
  <c r="BW25" i="14"/>
  <c r="E25" i="14" s="1"/>
  <c r="T25" i="14" s="1"/>
  <c r="E25" i="13"/>
  <c r="CN28" i="14"/>
  <c r="BT31" i="14"/>
  <c r="T27" i="13"/>
  <c r="Y42" i="13"/>
  <c r="BS41" i="14"/>
  <c r="BS36" i="14"/>
  <c r="G5" i="13"/>
  <c r="V5" i="13" s="1"/>
  <c r="ED28" i="14"/>
  <c r="G8" i="13"/>
  <c r="V8" i="13" s="1"/>
  <c r="G16" i="13"/>
  <c r="V16" i="13" s="1"/>
  <c r="ED12" i="14"/>
  <c r="ED20" i="14"/>
  <c r="X35" i="13"/>
  <c r="BT8" i="14"/>
  <c r="BT14" i="14"/>
  <c r="BT26" i="14"/>
  <c r="BT12" i="14"/>
  <c r="BT15" i="14"/>
  <c r="F20" i="13"/>
  <c r="BU20" i="14"/>
  <c r="BT27" i="14"/>
  <c r="I29" i="13"/>
  <c r="F31" i="13"/>
  <c r="BS18" i="14"/>
  <c r="BS21" i="14"/>
  <c r="BS23" i="14"/>
  <c r="CW39" i="14"/>
  <c r="BS10" i="14"/>
  <c r="BS15" i="14"/>
  <c r="BS8" i="14"/>
  <c r="G12" i="13"/>
  <c r="V12" i="13" s="1"/>
  <c r="ED40" i="14"/>
  <c r="G24" i="13"/>
  <c r="V24" i="13" s="1"/>
  <c r="ED14" i="14"/>
  <c r="F39" i="13"/>
  <c r="BT11" i="14"/>
  <c r="BT16" i="14"/>
  <c r="BT21" i="14"/>
  <c r="F24" i="13"/>
  <c r="BT18" i="14"/>
  <c r="BT28" i="14"/>
  <c r="F38" i="13"/>
  <c r="X20" i="13"/>
  <c r="BS13" i="14"/>
  <c r="BS33" i="14"/>
  <c r="BS37" i="14"/>
  <c r="BS40" i="14"/>
  <c r="F34" i="13"/>
  <c r="X31" i="13"/>
  <c r="CN21" i="14"/>
  <c r="BT30" i="14"/>
  <c r="BT36" i="14"/>
  <c r="H15" i="13"/>
  <c r="W8" i="13"/>
  <c r="I8" i="13" s="1"/>
  <c r="F8" i="13"/>
  <c r="BS30" i="14"/>
  <c r="G20" i="13"/>
  <c r="V20" i="13" s="1"/>
  <c r="X39" i="13"/>
  <c r="X24" i="13"/>
  <c r="X38" i="13"/>
  <c r="BT5" i="14"/>
  <c r="BT9" i="14"/>
  <c r="BT25" i="14"/>
  <c r="BT6" i="14"/>
  <c r="F12" i="13"/>
  <c r="BT20" i="14"/>
  <c r="BT7" i="14"/>
  <c r="BW19" i="14"/>
  <c r="E19" i="14" s="1"/>
  <c r="T19" i="14" s="1"/>
  <c r="E19" i="13"/>
  <c r="CN37" i="14"/>
  <c r="CN40" i="14"/>
  <c r="X34" i="13"/>
  <c r="BS5" i="14"/>
  <c r="BS9" i="14"/>
  <c r="BS16" i="14"/>
  <c r="BS22" i="14"/>
  <c r="BS26" i="14"/>
  <c r="BS32" i="14"/>
  <c r="BT37" i="14"/>
  <c r="H4" i="13"/>
  <c r="BS6" i="14"/>
  <c r="BS14" i="14"/>
  <c r="BS28" i="14"/>
  <c r="CB42" i="14"/>
  <c r="CB4" i="14"/>
  <c r="BS7" i="14"/>
  <c r="BT22" i="14"/>
  <c r="F19" i="12"/>
  <c r="F30" i="12"/>
  <c r="F39" i="12"/>
  <c r="F18" i="12"/>
  <c r="F12" i="12"/>
  <c r="F14" i="12"/>
  <c r="F36" i="12"/>
  <c r="F24" i="12"/>
  <c r="F8" i="12"/>
  <c r="F37" i="12"/>
  <c r="W7" i="12"/>
  <c r="I7" i="12" s="1"/>
  <c r="F6" i="12"/>
  <c r="F27" i="12"/>
  <c r="F9" i="12"/>
  <c r="F25" i="12"/>
  <c r="F34" i="12"/>
  <c r="F32" i="12"/>
  <c r="F38" i="12"/>
  <c r="F17" i="12"/>
  <c r="F23" i="12"/>
  <c r="X19" i="12"/>
  <c r="X30" i="12"/>
  <c r="X39" i="12"/>
  <c r="X18" i="12"/>
  <c r="X12" i="12"/>
  <c r="X14" i="12"/>
  <c r="X36" i="12"/>
  <c r="X24" i="12"/>
  <c r="X8" i="12"/>
  <c r="X37" i="12"/>
  <c r="G7" i="12"/>
  <c r="V7" i="12" s="1"/>
  <c r="X6" i="12"/>
  <c r="X27" i="12"/>
  <c r="X9" i="12"/>
  <c r="X25" i="12"/>
  <c r="X34" i="12"/>
  <c r="X32" i="12"/>
  <c r="X38" i="12"/>
  <c r="X17" i="12"/>
  <c r="X23" i="12"/>
  <c r="F29" i="12"/>
  <c r="F31" i="12"/>
  <c r="F40" i="12"/>
  <c r="F22" i="12"/>
  <c r="F13" i="12"/>
  <c r="F26" i="12"/>
  <c r="F41" i="12"/>
  <c r="F5" i="12"/>
  <c r="F21" i="12"/>
  <c r="F15" i="12"/>
  <c r="E42" i="12"/>
  <c r="T4" i="12"/>
  <c r="F11" i="12"/>
  <c r="F10" i="12"/>
  <c r="F35" i="12"/>
  <c r="F20" i="12"/>
  <c r="F28" i="12"/>
  <c r="F16" i="12"/>
  <c r="F33" i="12"/>
  <c r="H4" i="12"/>
  <c r="X29" i="12"/>
  <c r="X31" i="12"/>
  <c r="X40" i="12"/>
  <c r="X22" i="12"/>
  <c r="X13" i="12"/>
  <c r="X26" i="12"/>
  <c r="X41" i="12"/>
  <c r="X5" i="12"/>
  <c r="X21" i="12"/>
  <c r="X15" i="12"/>
  <c r="X11" i="12"/>
  <c r="X10" i="12"/>
  <c r="X35" i="12"/>
  <c r="X20" i="12"/>
  <c r="X28" i="12"/>
  <c r="X16" i="12"/>
  <c r="X33" i="12"/>
  <c r="CP27" i="14"/>
  <c r="CP12" i="14"/>
  <c r="S42" i="11"/>
  <c r="CP34" i="14"/>
  <c r="CP39" i="14"/>
  <c r="CP29" i="14"/>
  <c r="CP31" i="14"/>
  <c r="CW42" i="14"/>
  <c r="CW4" i="14"/>
  <c r="BZ34" i="14"/>
  <c r="BU34" i="14"/>
  <c r="BZ12" i="14"/>
  <c r="BZ29" i="14"/>
  <c r="T4" i="11"/>
  <c r="BU12" i="14"/>
  <c r="BU29" i="14"/>
  <c r="ED15" i="14"/>
  <c r="BZ20" i="14"/>
  <c r="M17" i="11"/>
  <c r="M12" i="11"/>
  <c r="EH12" i="14"/>
  <c r="M12" i="14" s="1"/>
  <c r="AE12" i="14" s="1"/>
  <c r="M26" i="11"/>
  <c r="M32" i="11"/>
  <c r="M14" i="11"/>
  <c r="EH14" i="14"/>
  <c r="M14" i="14" s="1"/>
  <c r="AE14" i="14" s="1"/>
  <c r="M24" i="11"/>
  <c r="EH24" i="14"/>
  <c r="M24" i="14" s="1"/>
  <c r="AE24" i="14" s="1"/>
  <c r="M41" i="11"/>
  <c r="M33" i="11"/>
  <c r="CR42" i="14"/>
  <c r="H4" i="11"/>
  <c r="CR4" i="14"/>
  <c r="H4" i="14" s="1"/>
  <c r="CO42" i="14"/>
  <c r="CO4" i="14"/>
  <c r="CU34" i="14"/>
  <c r="CU12" i="14"/>
  <c r="CU29" i="14"/>
  <c r="BS35" i="14"/>
  <c r="CU20" i="14"/>
  <c r="CN8" i="14"/>
  <c r="CN16" i="14"/>
  <c r="M23" i="11"/>
  <c r="M27" i="11"/>
  <c r="M5" i="11"/>
  <c r="EH5" i="14"/>
  <c r="M5" i="14" s="1"/>
  <c r="AE5" i="14" s="1"/>
  <c r="M21" i="11"/>
  <c r="M34" i="11"/>
  <c r="EH34" i="14"/>
  <c r="M34" i="14" s="1"/>
  <c r="AE34" i="14" s="1"/>
  <c r="BZ38" i="14"/>
  <c r="BU27" i="14"/>
  <c r="BU38" i="14"/>
  <c r="BZ39" i="14"/>
  <c r="BZ31" i="14"/>
  <c r="BU39" i="14"/>
  <c r="BU31" i="14"/>
  <c r="BZ24" i="14"/>
  <c r="CG38" i="14"/>
  <c r="M6" i="11"/>
  <c r="EH6" i="14"/>
  <c r="M6" i="14" s="1"/>
  <c r="AE6" i="14" s="1"/>
  <c r="ED8" i="14"/>
  <c r="M18" i="11"/>
  <c r="M11" i="11"/>
  <c r="ED16" i="14"/>
  <c r="M37" i="11"/>
  <c r="M31" i="11"/>
  <c r="EH31" i="14"/>
  <c r="M31" i="14" s="1"/>
  <c r="AE31" i="14" s="1"/>
  <c r="M25" i="11"/>
  <c r="CU38" i="14"/>
  <c r="CU39" i="14"/>
  <c r="CU31" i="14"/>
  <c r="CN15" i="14"/>
  <c r="CU24" i="14"/>
  <c r="BT35" i="14"/>
  <c r="M19" i="11"/>
  <c r="M20" i="11"/>
  <c r="EH20" i="14"/>
  <c r="M20" i="14" s="1"/>
  <c r="AE20" i="14" s="1"/>
  <c r="M22" i="11"/>
  <c r="M9" i="11"/>
  <c r="M36" i="11"/>
  <c r="M29" i="11"/>
  <c r="W40" i="10"/>
  <c r="W17" i="10"/>
  <c r="W7" i="10"/>
  <c r="W26" i="10"/>
  <c r="W16" i="10"/>
  <c r="W38" i="10"/>
  <c r="W25" i="10"/>
  <c r="F35" i="10"/>
  <c r="U35" i="10" s="1"/>
  <c r="W35" i="10"/>
  <c r="W12" i="10"/>
  <c r="W24" i="10"/>
  <c r="W41" i="10"/>
  <c r="W21" i="10"/>
  <c r="F31" i="10"/>
  <c r="W31" i="10"/>
  <c r="F36" i="10"/>
  <c r="W36" i="10"/>
  <c r="F27" i="10"/>
  <c r="W27" i="10"/>
  <c r="W29" i="10"/>
  <c r="W32" i="10"/>
  <c r="I28" i="10"/>
  <c r="I23" i="10"/>
  <c r="I13" i="10"/>
  <c r="W34" i="10"/>
  <c r="W20" i="10"/>
  <c r="I33" i="10"/>
  <c r="I9" i="10"/>
  <c r="I37" i="10"/>
  <c r="I5" i="10"/>
  <c r="I6" i="10"/>
  <c r="I8" i="10"/>
  <c r="I40" i="10"/>
  <c r="I22" i="10"/>
  <c r="F33" i="10"/>
  <c r="F37" i="10"/>
  <c r="F21" i="10"/>
  <c r="T31" i="10"/>
  <c r="F34" i="10"/>
  <c r="F8" i="10"/>
  <c r="T23" i="10"/>
  <c r="W19" i="10"/>
  <c r="W30" i="10"/>
  <c r="W18" i="10"/>
  <c r="W39" i="10"/>
  <c r="W14" i="10"/>
  <c r="F32" i="10"/>
  <c r="W15" i="10"/>
  <c r="F38" i="10"/>
  <c r="F12" i="10"/>
  <c r="U23" i="10"/>
  <c r="F26" i="10"/>
  <c r="F13" i="10"/>
  <c r="U40" i="10"/>
  <c r="F9" i="10"/>
  <c r="W11" i="10"/>
  <c r="F17" i="10"/>
  <c r="W10" i="10"/>
  <c r="U27" i="10"/>
  <c r="T40" i="10"/>
  <c r="T35" i="10"/>
  <c r="F24" i="10"/>
  <c r="F7" i="10"/>
  <c r="H4" i="10"/>
  <c r="T4" i="10"/>
  <c r="E42" i="10"/>
  <c r="T27" i="10"/>
  <c r="F41" i="10"/>
  <c r="F5" i="10"/>
  <c r="F28" i="10"/>
  <c r="F6" i="10"/>
  <c r="F29" i="10"/>
  <c r="F20" i="10"/>
  <c r="F25" i="10"/>
  <c r="F16" i="10"/>
  <c r="F22" i="10"/>
  <c r="BB42" i="16"/>
  <c r="R42" i="14"/>
  <c r="N220" i="17"/>
  <c r="N265" i="17"/>
  <c r="X24" i="15" l="1"/>
  <c r="U16" i="15"/>
  <c r="U23" i="15"/>
  <c r="U19" i="15"/>
  <c r="U13" i="15"/>
  <c r="F9" i="15"/>
  <c r="F7" i="15"/>
  <c r="T4" i="15"/>
  <c r="E42" i="15"/>
  <c r="F17" i="15"/>
  <c r="U41" i="15"/>
  <c r="U37" i="15"/>
  <c r="U33" i="15"/>
  <c r="U29" i="15"/>
  <c r="U25" i="15"/>
  <c r="X9" i="15"/>
  <c r="X7" i="15"/>
  <c r="U20" i="15"/>
  <c r="U14" i="15"/>
  <c r="U8" i="15"/>
  <c r="U38" i="15"/>
  <c r="U34" i="15"/>
  <c r="U30" i="15"/>
  <c r="U26" i="15"/>
  <c r="U21" i="15"/>
  <c r="U15" i="15"/>
  <c r="U11" i="15"/>
  <c r="X17" i="15"/>
  <c r="F10" i="15"/>
  <c r="F24" i="15"/>
  <c r="W4" i="15"/>
  <c r="H42" i="15"/>
  <c r="U39" i="15"/>
  <c r="U35" i="15"/>
  <c r="U31" i="15"/>
  <c r="U27" i="15"/>
  <c r="U5" i="15"/>
  <c r="U22" i="15"/>
  <c r="U18" i="15"/>
  <c r="U12" i="15"/>
  <c r="X10" i="15"/>
  <c r="U40" i="15"/>
  <c r="U36" i="15"/>
  <c r="U32" i="15"/>
  <c r="U28" i="15"/>
  <c r="U6" i="15"/>
  <c r="CN30" i="14"/>
  <c r="BW32" i="14"/>
  <c r="E32" i="14" s="1"/>
  <c r="T32" i="14" s="1"/>
  <c r="E32" i="13"/>
  <c r="E9" i="13"/>
  <c r="BW9" i="14"/>
  <c r="E9" i="14" s="1"/>
  <c r="T9" i="14" s="1"/>
  <c r="ED33" i="14"/>
  <c r="ED13" i="14"/>
  <c r="CN19" i="14"/>
  <c r="X8" i="13"/>
  <c r="CN10" i="14"/>
  <c r="H21" i="13"/>
  <c r="CR21" i="14"/>
  <c r="H21" i="14" s="1"/>
  <c r="W21" i="14" s="1"/>
  <c r="E37" i="13"/>
  <c r="BW37" i="14"/>
  <c r="E37" i="14" s="1"/>
  <c r="T37" i="14" s="1"/>
  <c r="U24" i="13"/>
  <c r="U39" i="13"/>
  <c r="CN36" i="14"/>
  <c r="E10" i="13"/>
  <c r="BW10" i="14"/>
  <c r="E10" i="14" s="1"/>
  <c r="T10" i="14" s="1"/>
  <c r="BW18" i="14"/>
  <c r="E18" i="14" s="1"/>
  <c r="T18" i="14" s="1"/>
  <c r="E18" i="13"/>
  <c r="CN25" i="14"/>
  <c r="E36" i="13"/>
  <c r="BW36" i="14"/>
  <c r="E36" i="14" s="1"/>
  <c r="T36" i="14" s="1"/>
  <c r="ED7" i="14"/>
  <c r="ED32" i="14"/>
  <c r="ED22" i="14"/>
  <c r="T11" i="13"/>
  <c r="ED30" i="14"/>
  <c r="BW6" i="14"/>
  <c r="E6" i="14" s="1"/>
  <c r="T6" i="14" s="1"/>
  <c r="E6" i="13"/>
  <c r="BW16" i="14"/>
  <c r="E16" i="14" s="1"/>
  <c r="T16" i="14" s="1"/>
  <c r="E16" i="13"/>
  <c r="H40" i="13"/>
  <c r="CR40" i="14"/>
  <c r="H40" i="14" s="1"/>
  <c r="W40" i="14" s="1"/>
  <c r="CN33" i="14"/>
  <c r="CN13" i="14"/>
  <c r="ED19" i="14"/>
  <c r="G15" i="13"/>
  <c r="V15" i="13" s="1"/>
  <c r="CN23" i="14"/>
  <c r="ED18" i="14"/>
  <c r="BW40" i="14"/>
  <c r="E40" i="14" s="1"/>
  <c r="T40" i="14" s="1"/>
  <c r="E40" i="13"/>
  <c r="ED36" i="14"/>
  <c r="BW15" i="14"/>
  <c r="E15" i="14" s="1"/>
  <c r="T15" i="14" s="1"/>
  <c r="E15" i="13"/>
  <c r="BW21" i="14"/>
  <c r="E21" i="14" s="1"/>
  <c r="T21" i="14" s="1"/>
  <c r="E21" i="13"/>
  <c r="U20" i="13"/>
  <c r="EH28" i="14"/>
  <c r="M28" i="14" s="1"/>
  <c r="AE28" i="14" s="1"/>
  <c r="M28" i="13"/>
  <c r="ED25" i="14"/>
  <c r="CN7" i="14"/>
  <c r="CR28" i="14"/>
  <c r="H28" i="14" s="1"/>
  <c r="W28" i="14" s="1"/>
  <c r="H28" i="13"/>
  <c r="CR14" i="14"/>
  <c r="H14" i="14" s="1"/>
  <c r="W14" i="14" s="1"/>
  <c r="H14" i="13"/>
  <c r="CN32" i="14"/>
  <c r="CN22" i="14"/>
  <c r="CR5" i="14"/>
  <c r="H5" i="14" s="1"/>
  <c r="W5" i="14" s="1"/>
  <c r="H5" i="13"/>
  <c r="T17" i="13"/>
  <c r="BW7" i="14"/>
  <c r="E7" i="14" s="1"/>
  <c r="T7" i="14" s="1"/>
  <c r="E7" i="13"/>
  <c r="BW14" i="14"/>
  <c r="E14" i="14" s="1"/>
  <c r="T14" i="14" s="1"/>
  <c r="E14" i="13"/>
  <c r="W4" i="13"/>
  <c r="E22" i="13"/>
  <c r="BW22" i="14"/>
  <c r="E22" i="14" s="1"/>
  <c r="T22" i="14" s="1"/>
  <c r="T19" i="13"/>
  <c r="BW30" i="14"/>
  <c r="E30" i="14" s="1"/>
  <c r="T30" i="14" s="1"/>
  <c r="E30" i="13"/>
  <c r="W15" i="13"/>
  <c r="I15" i="13" s="1"/>
  <c r="ED23" i="14"/>
  <c r="CN18" i="14"/>
  <c r="U34" i="13"/>
  <c r="E13" i="13"/>
  <c r="BW13" i="14"/>
  <c r="E13" i="14" s="1"/>
  <c r="T13" i="14" s="1"/>
  <c r="U38" i="13"/>
  <c r="M4" i="13"/>
  <c r="ED41" i="14"/>
  <c r="BW8" i="14"/>
  <c r="E8" i="14" s="1"/>
  <c r="T8" i="14" s="1"/>
  <c r="E8" i="13"/>
  <c r="BW23" i="14"/>
  <c r="E23" i="14" s="1"/>
  <c r="T23" i="14" s="1"/>
  <c r="E23" i="13"/>
  <c r="X29" i="13"/>
  <c r="CN11" i="14"/>
  <c r="CN17" i="14"/>
  <c r="T25" i="13"/>
  <c r="CN26" i="14"/>
  <c r="U16" i="13"/>
  <c r="T4" i="13"/>
  <c r="U35" i="13"/>
  <c r="CN27" i="14"/>
  <c r="BW28" i="14"/>
  <c r="E28" i="14" s="1"/>
  <c r="T28" i="14" s="1"/>
  <c r="E28" i="13"/>
  <c r="BW26" i="14"/>
  <c r="E26" i="14" s="1"/>
  <c r="T26" i="14" s="1"/>
  <c r="E26" i="13"/>
  <c r="E5" i="13"/>
  <c r="BW5" i="14"/>
  <c r="E5" i="14" s="1"/>
  <c r="T5" i="14" s="1"/>
  <c r="CR37" i="14"/>
  <c r="H37" i="14" s="1"/>
  <c r="W37" i="14" s="1"/>
  <c r="H37" i="13"/>
  <c r="U12" i="13"/>
  <c r="U8" i="13"/>
  <c r="ED10" i="14"/>
  <c r="E33" i="13"/>
  <c r="BW33" i="14"/>
  <c r="E33" i="14" s="1"/>
  <c r="T33" i="14" s="1"/>
  <c r="EH40" i="14"/>
  <c r="M40" i="14" s="1"/>
  <c r="AE40" i="14" s="1"/>
  <c r="M40" i="13"/>
  <c r="CN41" i="14"/>
  <c r="ED39" i="14"/>
  <c r="U31" i="13"/>
  <c r="ED29" i="14"/>
  <c r="ED11" i="14"/>
  <c r="ED17" i="14"/>
  <c r="BW41" i="14"/>
  <c r="E41" i="14" s="1"/>
  <c r="T41" i="14" s="1"/>
  <c r="E41" i="13"/>
  <c r="CR6" i="14"/>
  <c r="H6" i="14" s="1"/>
  <c r="W6" i="14" s="1"/>
  <c r="H6" i="13"/>
  <c r="ED26" i="14"/>
  <c r="X16" i="13"/>
  <c r="CR9" i="14"/>
  <c r="H9" i="14" s="1"/>
  <c r="W9" i="14" s="1"/>
  <c r="H9" i="13"/>
  <c r="U29" i="13"/>
  <c r="ED27" i="14"/>
  <c r="H42" i="12"/>
  <c r="W4" i="12"/>
  <c r="T42" i="12"/>
  <c r="F7" i="12"/>
  <c r="U33" i="12"/>
  <c r="U28" i="12"/>
  <c r="U35" i="12"/>
  <c r="U11" i="12"/>
  <c r="U21" i="12"/>
  <c r="U41" i="12"/>
  <c r="U13" i="12"/>
  <c r="U40" i="12"/>
  <c r="U29" i="12"/>
  <c r="U17" i="12"/>
  <c r="U32" i="12"/>
  <c r="U25" i="12"/>
  <c r="U27" i="12"/>
  <c r="X7" i="12"/>
  <c r="U37" i="12"/>
  <c r="U24" i="12"/>
  <c r="U14" i="12"/>
  <c r="U18" i="12"/>
  <c r="U30" i="12"/>
  <c r="U16" i="12"/>
  <c r="U20" i="12"/>
  <c r="U10" i="12"/>
  <c r="U15" i="12"/>
  <c r="U5" i="12"/>
  <c r="U26" i="12"/>
  <c r="U22" i="12"/>
  <c r="U31" i="12"/>
  <c r="U23" i="12"/>
  <c r="U38" i="12"/>
  <c r="U34" i="12"/>
  <c r="U9" i="12"/>
  <c r="U6" i="12"/>
  <c r="U8" i="12"/>
  <c r="U36" i="12"/>
  <c r="U12" i="12"/>
  <c r="U39" i="12"/>
  <c r="U19" i="12"/>
  <c r="I9" i="11"/>
  <c r="CN35" i="14"/>
  <c r="F39" i="11"/>
  <c r="CD39" i="14"/>
  <c r="F39" i="14" s="1"/>
  <c r="F21" i="11"/>
  <c r="F27" i="11"/>
  <c r="G40" i="11"/>
  <c r="V40" i="11" s="1"/>
  <c r="I6" i="11"/>
  <c r="I29" i="11"/>
  <c r="CY29" i="14"/>
  <c r="I29" i="14" s="1"/>
  <c r="X29" i="14" s="1"/>
  <c r="I22" i="11"/>
  <c r="I10" i="11"/>
  <c r="I5" i="11"/>
  <c r="I34" i="11"/>
  <c r="CY34" i="14"/>
  <c r="I34" i="14" s="1"/>
  <c r="X34" i="14" s="1"/>
  <c r="I17" i="11"/>
  <c r="F13" i="11"/>
  <c r="M15" i="11"/>
  <c r="EH15" i="14"/>
  <c r="M15" i="14" s="1"/>
  <c r="AE15" i="14" s="1"/>
  <c r="BU4" i="14"/>
  <c r="F6" i="11"/>
  <c r="F22" i="11"/>
  <c r="F34" i="11"/>
  <c r="CD34" i="14"/>
  <c r="F34" i="14" s="1"/>
  <c r="I27" i="11"/>
  <c r="AE29" i="11"/>
  <c r="AE9" i="11"/>
  <c r="AE20" i="11"/>
  <c r="I24" i="11"/>
  <c r="CY24" i="14"/>
  <c r="I24" i="14" s="1"/>
  <c r="X24" i="14" s="1"/>
  <c r="G28" i="11"/>
  <c r="V28" i="11" s="1"/>
  <c r="I31" i="11"/>
  <c r="CY31" i="14"/>
  <c r="I31" i="14" s="1"/>
  <c r="X31" i="14" s="1"/>
  <c r="I30" i="11"/>
  <c r="I23" i="11"/>
  <c r="I11" i="11"/>
  <c r="I25" i="11"/>
  <c r="I41" i="11"/>
  <c r="I18" i="11"/>
  <c r="I40" i="11"/>
  <c r="AE31" i="11"/>
  <c r="M16" i="11"/>
  <c r="EH16" i="14"/>
  <c r="M16" i="14" s="1"/>
  <c r="AE16" i="14" s="1"/>
  <c r="AE18" i="11"/>
  <c r="AE6" i="11"/>
  <c r="G38" i="11"/>
  <c r="V38" i="11" s="1"/>
  <c r="CK38" i="14"/>
  <c r="G38" i="14" s="1"/>
  <c r="V38" i="14" s="1"/>
  <c r="F31" i="11"/>
  <c r="CD31" i="14"/>
  <c r="F31" i="14" s="1"/>
  <c r="F23" i="11"/>
  <c r="F41" i="11"/>
  <c r="F40" i="11"/>
  <c r="AE34" i="11"/>
  <c r="AE5" i="11"/>
  <c r="AE23" i="11"/>
  <c r="H8" i="11"/>
  <c r="CR8" i="14"/>
  <c r="H8" i="14" s="1"/>
  <c r="W8" i="14" s="1"/>
  <c r="I13" i="11"/>
  <c r="G7" i="11"/>
  <c r="V7" i="11" s="1"/>
  <c r="W4" i="14"/>
  <c r="AE33" i="11"/>
  <c r="AE24" i="11"/>
  <c r="AE32" i="11"/>
  <c r="AE12" i="11"/>
  <c r="F33" i="11"/>
  <c r="F32" i="11"/>
  <c r="I28" i="11"/>
  <c r="F24" i="11"/>
  <c r="CD24" i="14"/>
  <c r="F24" i="14" s="1"/>
  <c r="F28" i="11"/>
  <c r="F9" i="11"/>
  <c r="F38" i="11"/>
  <c r="CD38" i="14"/>
  <c r="F38" i="14" s="1"/>
  <c r="F14" i="11"/>
  <c r="ED42" i="14"/>
  <c r="ED4" i="14"/>
  <c r="E35" i="11"/>
  <c r="BW35" i="14"/>
  <c r="E35" i="14" s="1"/>
  <c r="G10" i="11"/>
  <c r="V10" i="11" s="1"/>
  <c r="I36" i="11"/>
  <c r="I33" i="11"/>
  <c r="I12" i="11"/>
  <c r="CY12" i="14"/>
  <c r="I12" i="14" s="1"/>
  <c r="X12" i="14" s="1"/>
  <c r="I37" i="11"/>
  <c r="I32" i="11"/>
  <c r="I19" i="11"/>
  <c r="I7" i="11"/>
  <c r="W4" i="11"/>
  <c r="F20" i="11"/>
  <c r="CD20" i="14"/>
  <c r="F20" i="14" s="1"/>
  <c r="F29" i="11"/>
  <c r="CD29" i="14"/>
  <c r="F29" i="14" s="1"/>
  <c r="F10" i="11"/>
  <c r="F5" i="11"/>
  <c r="F17" i="11"/>
  <c r="AE36" i="11"/>
  <c r="AE22" i="11"/>
  <c r="AE19" i="11"/>
  <c r="G30" i="11"/>
  <c r="V30" i="11" s="1"/>
  <c r="G13" i="11"/>
  <c r="V13" i="11" s="1"/>
  <c r="H15" i="11"/>
  <c r="CR15" i="14"/>
  <c r="H15" i="14" s="1"/>
  <c r="W15" i="14" s="1"/>
  <c r="I39" i="11"/>
  <c r="CY39" i="14"/>
  <c r="I39" i="14" s="1"/>
  <c r="X39" i="14" s="1"/>
  <c r="I21" i="11"/>
  <c r="I38" i="11"/>
  <c r="CY38" i="14"/>
  <c r="I38" i="14" s="1"/>
  <c r="X38" i="14" s="1"/>
  <c r="I14" i="11"/>
  <c r="AE25" i="11"/>
  <c r="AE37" i="11"/>
  <c r="AE11" i="11"/>
  <c r="M8" i="11"/>
  <c r="EH8" i="14"/>
  <c r="M8" i="14" s="1"/>
  <c r="AE8" i="14" s="1"/>
  <c r="ED35" i="14"/>
  <c r="F30" i="11"/>
  <c r="F11" i="11"/>
  <c r="F25" i="11"/>
  <c r="F18" i="11"/>
  <c r="AE21" i="11"/>
  <c r="AE27" i="11"/>
  <c r="H16" i="11"/>
  <c r="CR16" i="14"/>
  <c r="H16" i="14" s="1"/>
  <c r="W16" i="14" s="1"/>
  <c r="G39" i="11"/>
  <c r="V39" i="11" s="1"/>
  <c r="I26" i="11"/>
  <c r="I20" i="11"/>
  <c r="CY20" i="14"/>
  <c r="I20" i="14" s="1"/>
  <c r="X20" i="14" s="1"/>
  <c r="AE41" i="11"/>
  <c r="AE14" i="11"/>
  <c r="AE26" i="11"/>
  <c r="AE17" i="11"/>
  <c r="F26" i="11"/>
  <c r="F36" i="11"/>
  <c r="F12" i="11"/>
  <c r="CD12" i="14"/>
  <c r="F12" i="14" s="1"/>
  <c r="F37" i="11"/>
  <c r="F19" i="11"/>
  <c r="F7" i="11"/>
  <c r="X22" i="10"/>
  <c r="X5" i="10"/>
  <c r="X28" i="10"/>
  <c r="X40" i="10"/>
  <c r="X37" i="10"/>
  <c r="X8" i="10"/>
  <c r="X9" i="10"/>
  <c r="X13" i="10"/>
  <c r="X6" i="10"/>
  <c r="X33" i="10"/>
  <c r="X23" i="10"/>
  <c r="I19" i="10"/>
  <c r="I11" i="10"/>
  <c r="I39" i="10"/>
  <c r="U31" i="10"/>
  <c r="I27" i="10"/>
  <c r="I31" i="10"/>
  <c r="I41" i="10"/>
  <c r="I12" i="10"/>
  <c r="I25" i="10"/>
  <c r="I16" i="10"/>
  <c r="I7" i="10"/>
  <c r="I18" i="10"/>
  <c r="X18" i="10" s="1"/>
  <c r="I20" i="10"/>
  <c r="I32" i="10"/>
  <c r="I10" i="10"/>
  <c r="I15" i="10"/>
  <c r="X15" i="10" s="1"/>
  <c r="I30" i="10"/>
  <c r="I34" i="10"/>
  <c r="I29" i="10"/>
  <c r="I36" i="10"/>
  <c r="I21" i="10"/>
  <c r="I24" i="10"/>
  <c r="I35" i="10"/>
  <c r="I38" i="10"/>
  <c r="I26" i="10"/>
  <c r="I17" i="10"/>
  <c r="I14" i="10"/>
  <c r="U5" i="10"/>
  <c r="U29" i="10"/>
  <c r="U28" i="10"/>
  <c r="U24" i="10"/>
  <c r="U17" i="10"/>
  <c r="U9" i="10"/>
  <c r="U34" i="10"/>
  <c r="U22" i="10"/>
  <c r="U25" i="10"/>
  <c r="U20" i="10"/>
  <c r="U41" i="10"/>
  <c r="W4" i="10"/>
  <c r="H42" i="10"/>
  <c r="F10" i="10"/>
  <c r="F11" i="10"/>
  <c r="U36" i="10"/>
  <c r="U26" i="10"/>
  <c r="U12" i="10"/>
  <c r="F39" i="10"/>
  <c r="F30" i="10"/>
  <c r="U37" i="10"/>
  <c r="U32" i="10"/>
  <c r="U8" i="10"/>
  <c r="U6" i="10"/>
  <c r="U16" i="10"/>
  <c r="T42" i="10"/>
  <c r="U7" i="10"/>
  <c r="U13" i="10"/>
  <c r="U38" i="10"/>
  <c r="F15" i="10"/>
  <c r="F14" i="10"/>
  <c r="F18" i="10"/>
  <c r="F19" i="10"/>
  <c r="U21" i="10"/>
  <c r="U33" i="10"/>
  <c r="E42" i="13" l="1"/>
  <c r="U24" i="15"/>
  <c r="T42" i="15"/>
  <c r="U10" i="15"/>
  <c r="U17" i="15"/>
  <c r="W42" i="15"/>
  <c r="U7" i="15"/>
  <c r="U9" i="15"/>
  <c r="M4" i="15"/>
  <c r="CP19" i="14"/>
  <c r="CP25" i="14"/>
  <c r="CP11" i="14"/>
  <c r="CP17" i="14"/>
  <c r="M11" i="13"/>
  <c r="EH11" i="14"/>
  <c r="M11" i="14" s="1"/>
  <c r="AE11" i="14" s="1"/>
  <c r="M29" i="13"/>
  <c r="EH29" i="14"/>
  <c r="M29" i="14" s="1"/>
  <c r="AE29" i="14" s="1"/>
  <c r="M39" i="13"/>
  <c r="EH39" i="14"/>
  <c r="M39" i="14" s="1"/>
  <c r="AE39" i="14" s="1"/>
  <c r="T33" i="13"/>
  <c r="H27" i="13"/>
  <c r="CR27" i="14"/>
  <c r="H27" i="14" s="1"/>
  <c r="W27" i="14" s="1"/>
  <c r="M41" i="13"/>
  <c r="EH41" i="14"/>
  <c r="M41" i="14" s="1"/>
  <c r="AE41" i="14" s="1"/>
  <c r="M23" i="13"/>
  <c r="EH23" i="14"/>
  <c r="M23" i="14" s="1"/>
  <c r="AE23" i="14" s="1"/>
  <c r="T22" i="13"/>
  <c r="T14" i="13"/>
  <c r="H22" i="13"/>
  <c r="CR22" i="14"/>
  <c r="H22" i="14" s="1"/>
  <c r="W22" i="14" s="1"/>
  <c r="CR7" i="14"/>
  <c r="H7" i="14" s="1"/>
  <c r="W7" i="14" s="1"/>
  <c r="H7" i="13"/>
  <c r="T15" i="13"/>
  <c r="T6" i="13"/>
  <c r="BU11" i="14"/>
  <c r="EH7" i="14"/>
  <c r="M7" i="14" s="1"/>
  <c r="AE7" i="14" s="1"/>
  <c r="M7" i="13"/>
  <c r="CR25" i="14"/>
  <c r="H25" i="14" s="1"/>
  <c r="W25" i="14" s="1"/>
  <c r="H25" i="13"/>
  <c r="T32" i="13"/>
  <c r="W9" i="13"/>
  <c r="T41" i="13"/>
  <c r="K24" i="13"/>
  <c r="T28" i="13"/>
  <c r="BU42" i="14"/>
  <c r="CR26" i="14"/>
  <c r="H26" i="14" s="1"/>
  <c r="W26" i="14" s="1"/>
  <c r="H26" i="13"/>
  <c r="H17" i="13"/>
  <c r="CR17" i="14"/>
  <c r="H17" i="14" s="1"/>
  <c r="W17" i="14" s="1"/>
  <c r="T8" i="13"/>
  <c r="AE4" i="13"/>
  <c r="F15" i="13"/>
  <c r="BU19" i="14"/>
  <c r="W5" i="13"/>
  <c r="W28" i="13"/>
  <c r="T21" i="13"/>
  <c r="CP21" i="14" s="1"/>
  <c r="K12" i="13"/>
  <c r="M18" i="13"/>
  <c r="EH18" i="14"/>
  <c r="M18" i="14" s="1"/>
  <c r="AE18" i="14" s="1"/>
  <c r="H13" i="13"/>
  <c r="CR13" i="14"/>
  <c r="H13" i="14" s="1"/>
  <c r="W13" i="14" s="1"/>
  <c r="W40" i="13"/>
  <c r="M32" i="13"/>
  <c r="EH32" i="14"/>
  <c r="M32" i="14" s="1"/>
  <c r="AE32" i="14" s="1"/>
  <c r="H36" i="13"/>
  <c r="CR36" i="14"/>
  <c r="H36" i="14" s="1"/>
  <c r="W36" i="14" s="1"/>
  <c r="W21" i="13"/>
  <c r="M33" i="13"/>
  <c r="EH33" i="14"/>
  <c r="M33" i="14" s="1"/>
  <c r="AE33" i="14" s="1"/>
  <c r="M27" i="13"/>
  <c r="EH27" i="14"/>
  <c r="M27" i="14" s="1"/>
  <c r="AE27" i="14" s="1"/>
  <c r="M26" i="13"/>
  <c r="EH26" i="14"/>
  <c r="M26" i="14" s="1"/>
  <c r="AE26" i="14" s="1"/>
  <c r="M17" i="13"/>
  <c r="EH17" i="14"/>
  <c r="M17" i="14" s="1"/>
  <c r="AE17" i="14" s="1"/>
  <c r="H41" i="13"/>
  <c r="CR41" i="14"/>
  <c r="H41" i="14" s="1"/>
  <c r="W41" i="14" s="1"/>
  <c r="EH10" i="14"/>
  <c r="M10" i="14" s="1"/>
  <c r="AE10" i="14" s="1"/>
  <c r="M10" i="13"/>
  <c r="T5" i="13"/>
  <c r="BU25" i="14"/>
  <c r="T13" i="13"/>
  <c r="CR18" i="14"/>
  <c r="H18" i="14" s="1"/>
  <c r="W18" i="14" s="1"/>
  <c r="H18" i="13"/>
  <c r="X15" i="13"/>
  <c r="T7" i="13"/>
  <c r="H32" i="13"/>
  <c r="CR32" i="14"/>
  <c r="H32" i="14" s="1"/>
  <c r="W32" i="14" s="1"/>
  <c r="M25" i="13"/>
  <c r="EH25" i="14"/>
  <c r="M25" i="14" s="1"/>
  <c r="AE25" i="14" s="1"/>
  <c r="K16" i="13"/>
  <c r="T40" i="13"/>
  <c r="T16" i="13"/>
  <c r="T36" i="13"/>
  <c r="T10" i="13"/>
  <c r="W6" i="13"/>
  <c r="AE40" i="13"/>
  <c r="W37" i="13"/>
  <c r="T26" i="13"/>
  <c r="CR11" i="14"/>
  <c r="H11" i="14" s="1"/>
  <c r="W11" i="14" s="1"/>
  <c r="H11" i="13"/>
  <c r="T23" i="13"/>
  <c r="T30" i="13"/>
  <c r="BU17" i="14"/>
  <c r="W14" i="13"/>
  <c r="AE28" i="13"/>
  <c r="M36" i="13"/>
  <c r="EH36" i="14"/>
  <c r="M36" i="14" s="1"/>
  <c r="AE36" i="14" s="1"/>
  <c r="CR23" i="14"/>
  <c r="H23" i="14" s="1"/>
  <c r="W23" i="14" s="1"/>
  <c r="H23" i="13"/>
  <c r="M19" i="13"/>
  <c r="EH19" i="14"/>
  <c r="M19" i="14" s="1"/>
  <c r="AE19" i="14" s="1"/>
  <c r="H33" i="13"/>
  <c r="CR33" i="14"/>
  <c r="H33" i="14" s="1"/>
  <c r="W33" i="14" s="1"/>
  <c r="EH30" i="14"/>
  <c r="M30" i="14" s="1"/>
  <c r="AE30" i="14" s="1"/>
  <c r="M30" i="13"/>
  <c r="M22" i="13"/>
  <c r="EH22" i="14"/>
  <c r="M22" i="14" s="1"/>
  <c r="AE22" i="14" s="1"/>
  <c r="T18" i="13"/>
  <c r="T37" i="13"/>
  <c r="CP37" i="14" s="1"/>
  <c r="CR10" i="14"/>
  <c r="H10" i="14" s="1"/>
  <c r="W10" i="14" s="1"/>
  <c r="H10" i="13"/>
  <c r="CR19" i="14"/>
  <c r="H19" i="14" s="1"/>
  <c r="W19" i="14" s="1"/>
  <c r="H19" i="13"/>
  <c r="EH13" i="14"/>
  <c r="M13" i="14" s="1"/>
  <c r="AE13" i="14" s="1"/>
  <c r="M13" i="13"/>
  <c r="T9" i="13"/>
  <c r="CP9" i="14" s="1"/>
  <c r="CR30" i="14"/>
  <c r="H30" i="14" s="1"/>
  <c r="W30" i="14" s="1"/>
  <c r="H30" i="13"/>
  <c r="M4" i="12"/>
  <c r="U7" i="12"/>
  <c r="W42" i="12"/>
  <c r="U12" i="14"/>
  <c r="U34" i="14"/>
  <c r="U20" i="14"/>
  <c r="T35" i="14"/>
  <c r="E42" i="14"/>
  <c r="U24" i="14"/>
  <c r="U31" i="14"/>
  <c r="U39" i="14"/>
  <c r="E42" i="11"/>
  <c r="U29" i="14"/>
  <c r="U38" i="14"/>
  <c r="U25" i="11"/>
  <c r="U18" i="11"/>
  <c r="U30" i="11"/>
  <c r="BZ42" i="14"/>
  <c r="BZ4" i="14"/>
  <c r="U14" i="11"/>
  <c r="U28" i="11"/>
  <c r="K28" i="11"/>
  <c r="CG5" i="14"/>
  <c r="U41" i="11"/>
  <c r="K10" i="11"/>
  <c r="EG6" i="14"/>
  <c r="AE16" i="11"/>
  <c r="X40" i="11"/>
  <c r="X41" i="11"/>
  <c r="X11" i="11"/>
  <c r="X30" i="11"/>
  <c r="CG20" i="14"/>
  <c r="H35" i="11"/>
  <c r="H42" i="11" s="1"/>
  <c r="CR35" i="14"/>
  <c r="H35" i="14" s="1"/>
  <c r="W35" i="14" s="1"/>
  <c r="U37" i="11"/>
  <c r="K13" i="11"/>
  <c r="U19" i="11"/>
  <c r="U36" i="11"/>
  <c r="U12" i="11"/>
  <c r="CP42" i="14"/>
  <c r="CP4" i="14"/>
  <c r="U26" i="11"/>
  <c r="X26" i="11"/>
  <c r="W16" i="11"/>
  <c r="U11" i="11"/>
  <c r="AE8" i="11"/>
  <c r="X14" i="11"/>
  <c r="X21" i="11"/>
  <c r="W15" i="11"/>
  <c r="U5" i="11"/>
  <c r="U20" i="11"/>
  <c r="X19" i="11"/>
  <c r="X37" i="11"/>
  <c r="X33" i="11"/>
  <c r="EH42" i="14"/>
  <c r="M4" i="11"/>
  <c r="EH4" i="14"/>
  <c r="M4" i="14" s="1"/>
  <c r="U9" i="11"/>
  <c r="K7" i="11"/>
  <c r="X28" i="11"/>
  <c r="U32" i="11"/>
  <c r="U33" i="11"/>
  <c r="W8" i="11"/>
  <c r="EG5" i="14"/>
  <c r="U40" i="11"/>
  <c r="CG31" i="14"/>
  <c r="EG20" i="14"/>
  <c r="U6" i="11"/>
  <c r="U13" i="11"/>
  <c r="X17" i="11"/>
  <c r="X5" i="11"/>
  <c r="X22" i="11"/>
  <c r="X6" i="11"/>
  <c r="U7" i="11"/>
  <c r="CG14" i="14"/>
  <c r="U17" i="11"/>
  <c r="U29" i="11"/>
  <c r="CG12" i="14"/>
  <c r="CG24" i="14"/>
  <c r="CG34" i="14"/>
  <c r="U31" i="11"/>
  <c r="EG31" i="14"/>
  <c r="X18" i="11"/>
  <c r="X25" i="11"/>
  <c r="X23" i="11"/>
  <c r="X31" i="11"/>
  <c r="CV31" i="14" s="1"/>
  <c r="X24" i="11"/>
  <c r="CV24" i="14" s="1"/>
  <c r="U34" i="11"/>
  <c r="U22" i="11"/>
  <c r="AE15" i="11"/>
  <c r="U21" i="11"/>
  <c r="U39" i="11"/>
  <c r="EG14" i="14"/>
  <c r="X20" i="11"/>
  <c r="CV20" i="14" s="1"/>
  <c r="M35" i="11"/>
  <c r="EH35" i="14"/>
  <c r="M35" i="14" s="1"/>
  <c r="AE35" i="14" s="1"/>
  <c r="X38" i="11"/>
  <c r="CV38" i="14" s="1"/>
  <c r="X39" i="11"/>
  <c r="CV39" i="14" s="1"/>
  <c r="U10" i="11"/>
  <c r="X7" i="11"/>
  <c r="X32" i="11"/>
  <c r="X12" i="11"/>
  <c r="CV12" i="14" s="1"/>
  <c r="X36" i="11"/>
  <c r="T35" i="11"/>
  <c r="U38" i="11"/>
  <c r="U24" i="11"/>
  <c r="K39" i="11"/>
  <c r="EG12" i="14"/>
  <c r="EG24" i="14"/>
  <c r="X13" i="11"/>
  <c r="EG34" i="14"/>
  <c r="U23" i="11"/>
  <c r="CG6" i="14"/>
  <c r="X27" i="11"/>
  <c r="K30" i="11"/>
  <c r="X34" i="11"/>
  <c r="CV34" i="14" s="1"/>
  <c r="X10" i="11"/>
  <c r="X29" i="11"/>
  <c r="CV29" i="14" s="1"/>
  <c r="U27" i="11"/>
  <c r="X9" i="11"/>
  <c r="X17" i="10"/>
  <c r="X35" i="10"/>
  <c r="X10" i="10"/>
  <c r="X41" i="10"/>
  <c r="X26" i="10"/>
  <c r="X30" i="10"/>
  <c r="X25" i="10"/>
  <c r="X39" i="10"/>
  <c r="X29" i="10"/>
  <c r="X7" i="10"/>
  <c r="X11" i="10"/>
  <c r="X14" i="10"/>
  <c r="X21" i="10"/>
  <c r="X20" i="10"/>
  <c r="X27" i="10"/>
  <c r="X19" i="10"/>
  <c r="X38" i="10"/>
  <c r="X24" i="10"/>
  <c r="X36" i="10"/>
  <c r="X34" i="10"/>
  <c r="X32" i="10"/>
  <c r="X16" i="10"/>
  <c r="X12" i="10"/>
  <c r="X31" i="10"/>
  <c r="U15" i="10"/>
  <c r="U19" i="10"/>
  <c r="U30" i="10"/>
  <c r="U18" i="10"/>
  <c r="U11" i="10"/>
  <c r="U14" i="10"/>
  <c r="U39" i="10"/>
  <c r="U10" i="10"/>
  <c r="W42" i="10"/>
  <c r="W42" i="14" l="1"/>
  <c r="AE4" i="15"/>
  <c r="F4" i="15"/>
  <c r="H42" i="13"/>
  <c r="CP18" i="14"/>
  <c r="CP30" i="14"/>
  <c r="CP26" i="14"/>
  <c r="CP40" i="14"/>
  <c r="CP5" i="14"/>
  <c r="CP32" i="14"/>
  <c r="T42" i="13"/>
  <c r="CP23" i="14"/>
  <c r="CP10" i="14"/>
  <c r="CP8" i="14"/>
  <c r="CP41" i="14"/>
  <c r="CP36" i="14"/>
  <c r="CP7" i="14"/>
  <c r="CP13" i="14"/>
  <c r="CP6" i="14"/>
  <c r="CP14" i="14"/>
  <c r="CP16" i="14"/>
  <c r="CP28" i="14"/>
  <c r="CP15" i="14"/>
  <c r="CP22" i="14"/>
  <c r="CP33" i="14"/>
  <c r="BU9" i="14"/>
  <c r="W19" i="13"/>
  <c r="BU37" i="14"/>
  <c r="AE19" i="13"/>
  <c r="AE36" i="13"/>
  <c r="BZ14" i="14"/>
  <c r="I4" i="13"/>
  <c r="W11" i="13"/>
  <c r="BZ37" i="14"/>
  <c r="CU6" i="14"/>
  <c r="BU10" i="14"/>
  <c r="AE25" i="13"/>
  <c r="BU13" i="14"/>
  <c r="AE26" i="13"/>
  <c r="BZ40" i="14"/>
  <c r="BZ28" i="14"/>
  <c r="BU28" i="14"/>
  <c r="Z24" i="13"/>
  <c r="BZ9" i="14"/>
  <c r="W22" i="13"/>
  <c r="AE23" i="13"/>
  <c r="BU33" i="14"/>
  <c r="W23" i="13"/>
  <c r="CU14" i="14"/>
  <c r="CU37" i="14"/>
  <c r="CG40" i="14"/>
  <c r="BU16" i="14"/>
  <c r="BU5" i="14"/>
  <c r="AE33" i="13"/>
  <c r="W36" i="13"/>
  <c r="CU40" i="14"/>
  <c r="Z12" i="13"/>
  <c r="CU28" i="14"/>
  <c r="CU9" i="14"/>
  <c r="BU32" i="14"/>
  <c r="W25" i="13"/>
  <c r="BU15" i="14"/>
  <c r="W7" i="13"/>
  <c r="BU22" i="14"/>
  <c r="AE29" i="13"/>
  <c r="W30" i="13"/>
  <c r="AE13" i="13"/>
  <c r="W10" i="13"/>
  <c r="AE22" i="13"/>
  <c r="W33" i="13"/>
  <c r="CG28" i="14"/>
  <c r="BU30" i="14"/>
  <c r="BU23" i="14"/>
  <c r="BU26" i="14"/>
  <c r="Z16" i="13"/>
  <c r="W32" i="13"/>
  <c r="F4" i="13"/>
  <c r="W18" i="13"/>
  <c r="W41" i="13"/>
  <c r="AE17" i="13"/>
  <c r="BZ21" i="14"/>
  <c r="BU21" i="14"/>
  <c r="BZ5" i="14"/>
  <c r="W17" i="13"/>
  <c r="BU41" i="14"/>
  <c r="AE41" i="13"/>
  <c r="BU18" i="14"/>
  <c r="AE30" i="13"/>
  <c r="EG28" i="14"/>
  <c r="BZ6" i="14"/>
  <c r="BU36" i="14"/>
  <c r="BU40" i="14"/>
  <c r="BU7" i="14"/>
  <c r="AE10" i="13"/>
  <c r="AE27" i="13"/>
  <c r="CU21" i="14"/>
  <c r="AE32" i="13"/>
  <c r="W13" i="13"/>
  <c r="AE18" i="13"/>
  <c r="CU5" i="14"/>
  <c r="U15" i="13"/>
  <c r="BU8" i="14"/>
  <c r="W26" i="13"/>
  <c r="AE7" i="13"/>
  <c r="BU6" i="14"/>
  <c r="BU14" i="14"/>
  <c r="W27" i="13"/>
  <c r="AE39" i="13"/>
  <c r="AE11" i="13"/>
  <c r="F4" i="12"/>
  <c r="AE4" i="12"/>
  <c r="CQ24" i="14"/>
  <c r="CQ31" i="14"/>
  <c r="CQ20" i="14"/>
  <c r="CQ12" i="14"/>
  <c r="CQ38" i="14"/>
  <c r="CQ39" i="14"/>
  <c r="CQ34" i="14"/>
  <c r="CQ29" i="14"/>
  <c r="T42" i="14"/>
  <c r="CP35" i="14"/>
  <c r="T42" i="11"/>
  <c r="H42" i="14"/>
  <c r="BV34" i="14"/>
  <c r="CA29" i="14"/>
  <c r="CA34" i="14"/>
  <c r="DB24" i="14"/>
  <c r="BV38" i="14"/>
  <c r="CA39" i="14"/>
  <c r="CA20" i="14"/>
  <c r="CA24" i="14"/>
  <c r="G24" i="11"/>
  <c r="CK24" i="14"/>
  <c r="G24" i="14" s="1"/>
  <c r="BV29" i="14"/>
  <c r="G25" i="11"/>
  <c r="G17" i="11"/>
  <c r="G18" i="11"/>
  <c r="BV20" i="14"/>
  <c r="BZ16" i="14"/>
  <c r="G29" i="11"/>
  <c r="CG16" i="14"/>
  <c r="G32" i="11"/>
  <c r="G37" i="11"/>
  <c r="Z30" i="11"/>
  <c r="G6" i="11"/>
  <c r="CK6" i="14"/>
  <c r="G6" i="14" s="1"/>
  <c r="G9" i="11"/>
  <c r="Z39" i="11"/>
  <c r="AE35" i="11"/>
  <c r="G23" i="11"/>
  <c r="G19" i="11"/>
  <c r="G14" i="11"/>
  <c r="CK14" i="14"/>
  <c r="G14" i="14" s="1"/>
  <c r="DB20" i="14"/>
  <c r="G31" i="11"/>
  <c r="CK31" i="14"/>
  <c r="G31" i="14" s="1"/>
  <c r="BZ8" i="14"/>
  <c r="AE4" i="14"/>
  <c r="CU16" i="14"/>
  <c r="Z13" i="11"/>
  <c r="W35" i="11"/>
  <c r="W42" i="11" s="1"/>
  <c r="EG16" i="14"/>
  <c r="Z10" i="11"/>
  <c r="G33" i="11"/>
  <c r="CD42" i="14"/>
  <c r="F4" i="11"/>
  <c r="CD4" i="14"/>
  <c r="F4" i="14" s="1"/>
  <c r="G22" i="11"/>
  <c r="G26" i="11"/>
  <c r="EG15" i="14"/>
  <c r="DB34" i="14"/>
  <c r="DB12" i="14"/>
  <c r="BV24" i="14"/>
  <c r="BU35" i="14"/>
  <c r="CA12" i="14"/>
  <c r="CA38" i="14"/>
  <c r="DB14" i="14"/>
  <c r="BV39" i="14"/>
  <c r="CG15" i="14"/>
  <c r="CA31" i="14"/>
  <c r="DB31" i="14"/>
  <c r="BV31" i="14"/>
  <c r="G34" i="11"/>
  <c r="CK34" i="14"/>
  <c r="G34" i="14" s="1"/>
  <c r="G36" i="11"/>
  <c r="G27" i="11"/>
  <c r="CU8" i="14"/>
  <c r="Z7" i="11"/>
  <c r="AE4" i="11"/>
  <c r="BZ15" i="14"/>
  <c r="CG8" i="14"/>
  <c r="BV12" i="14"/>
  <c r="DB6" i="14"/>
  <c r="G5" i="11"/>
  <c r="CK5" i="14"/>
  <c r="G5" i="14" s="1"/>
  <c r="Z28" i="11"/>
  <c r="G41" i="11"/>
  <c r="G12" i="11"/>
  <c r="CK12" i="14"/>
  <c r="G12" i="14" s="1"/>
  <c r="G11" i="11"/>
  <c r="DB5" i="14"/>
  <c r="CU42" i="14"/>
  <c r="CU4" i="14"/>
  <c r="CU15" i="14"/>
  <c r="EG8" i="14"/>
  <c r="G20" i="11"/>
  <c r="CK20" i="14"/>
  <c r="G20" i="14" s="1"/>
  <c r="G21" i="11"/>
  <c r="F4" i="10"/>
  <c r="AS29" i="16"/>
  <c r="AL29" i="16" s="1"/>
  <c r="AT18" i="16"/>
  <c r="AM18" i="16" s="1"/>
  <c r="AS15" i="16"/>
  <c r="AL15" i="16" s="1"/>
  <c r="AR36" i="16"/>
  <c r="AK36" i="16" s="1"/>
  <c r="AT15" i="16"/>
  <c r="AM15" i="16" s="1"/>
  <c r="AT8" i="16"/>
  <c r="AM8" i="16" s="1"/>
  <c r="AT30" i="16"/>
  <c r="AM30" i="16" s="1"/>
  <c r="AS36" i="16"/>
  <c r="AL36" i="16" s="1"/>
  <c r="AS30" i="16"/>
  <c r="AL30" i="16" s="1"/>
  <c r="AR32" i="16"/>
  <c r="AK32" i="16" s="1"/>
  <c r="AR6" i="16"/>
  <c r="AK6" i="16" s="1"/>
  <c r="AT28" i="16"/>
  <c r="AM28" i="16" s="1"/>
  <c r="AR29" i="16"/>
  <c r="AK29" i="16" s="1"/>
  <c r="AT16" i="16"/>
  <c r="AM16" i="16" s="1"/>
  <c r="AT10" i="16"/>
  <c r="AM10" i="16" s="1"/>
  <c r="AS16" i="16"/>
  <c r="AL16" i="16" s="1"/>
  <c r="AS39" i="16"/>
  <c r="AL39" i="16" s="1"/>
  <c r="AT19" i="16"/>
  <c r="AM19" i="16" s="1"/>
  <c r="AT32" i="16"/>
  <c r="AM32" i="16" s="1"/>
  <c r="AT33" i="16"/>
  <c r="AM33" i="16" s="1"/>
  <c r="AS33" i="16"/>
  <c r="AL33" i="16" s="1"/>
  <c r="AS17" i="16"/>
  <c r="AL17" i="16" s="1"/>
  <c r="AT6" i="16"/>
  <c r="AM6" i="16" s="1"/>
  <c r="AS28" i="16"/>
  <c r="AL28" i="16" s="1"/>
  <c r="AS6" i="16"/>
  <c r="AL6" i="16" s="1"/>
  <c r="AT11" i="16"/>
  <c r="AM11" i="16" s="1"/>
  <c r="AS37" i="16"/>
  <c r="AL37" i="16" s="1"/>
  <c r="AS31" i="16"/>
  <c r="AL31" i="16" s="1"/>
  <c r="I4" i="15" l="1"/>
  <c r="U4" i="15"/>
  <c r="F42" i="15"/>
  <c r="CG11" i="14"/>
  <c r="BZ27" i="14"/>
  <c r="BZ26" i="14"/>
  <c r="CG18" i="14"/>
  <c r="CG32" i="14"/>
  <c r="CG27" i="14"/>
  <c r="F6" i="13"/>
  <c r="CD6" i="14"/>
  <c r="F6" i="14" s="1"/>
  <c r="U6" i="14" s="1"/>
  <c r="EG30" i="14"/>
  <c r="EG41" i="14"/>
  <c r="CU17" i="14"/>
  <c r="F21" i="13"/>
  <c r="CD21" i="14"/>
  <c r="F21" i="14" s="1"/>
  <c r="U21" i="14" s="1"/>
  <c r="CU41" i="14"/>
  <c r="CU33" i="14"/>
  <c r="CU10" i="14"/>
  <c r="CU30" i="14"/>
  <c r="EG29" i="14"/>
  <c r="CU7" i="14"/>
  <c r="CU25" i="14"/>
  <c r="I9" i="13"/>
  <c r="CY9" i="14"/>
  <c r="I9" i="14" s="1"/>
  <c r="X9" i="14" s="1"/>
  <c r="I28" i="13"/>
  <c r="CY28" i="14"/>
  <c r="I28" i="14" s="1"/>
  <c r="X28" i="14" s="1"/>
  <c r="CU36" i="14"/>
  <c r="G40" i="13"/>
  <c r="V40" i="13" s="1"/>
  <c r="CK40" i="14"/>
  <c r="G40" i="14" s="1"/>
  <c r="V40" i="14" s="1"/>
  <c r="I14" i="13"/>
  <c r="CY14" i="14"/>
  <c r="I14" i="14" s="1"/>
  <c r="X14" i="14" s="1"/>
  <c r="CG23" i="14"/>
  <c r="F40" i="13"/>
  <c r="CD40" i="14"/>
  <c r="F40" i="14" s="1"/>
  <c r="U40" i="14" s="1"/>
  <c r="CU11" i="14"/>
  <c r="CG19" i="14"/>
  <c r="BZ19" i="14"/>
  <c r="EG39" i="14"/>
  <c r="EG11" i="14"/>
  <c r="CU27" i="14"/>
  <c r="CU26" i="14"/>
  <c r="EG18" i="14"/>
  <c r="EG32" i="14"/>
  <c r="EG27" i="14"/>
  <c r="DB28" i="14"/>
  <c r="CG17" i="14"/>
  <c r="BZ18" i="14"/>
  <c r="BZ32" i="14"/>
  <c r="CG22" i="14"/>
  <c r="CG13" i="14"/>
  <c r="G4" i="13"/>
  <c r="CG33" i="14"/>
  <c r="BZ23" i="14"/>
  <c r="EG23" i="14"/>
  <c r="F28" i="13"/>
  <c r="CD28" i="14"/>
  <c r="F28" i="14" s="1"/>
  <c r="U28" i="14" s="1"/>
  <c r="CG26" i="14"/>
  <c r="X4" i="13"/>
  <c r="F14" i="13"/>
  <c r="CD14" i="14"/>
  <c r="F14" i="14" s="1"/>
  <c r="U14" i="14" s="1"/>
  <c r="EG19" i="14"/>
  <c r="CU19" i="14"/>
  <c r="CG39" i="14"/>
  <c r="CG7" i="14"/>
  <c r="BZ13" i="14"/>
  <c r="CG10" i="14"/>
  <c r="EG17" i="14"/>
  <c r="CU18" i="14"/>
  <c r="CU32" i="14"/>
  <c r="G28" i="13"/>
  <c r="V28" i="13" s="1"/>
  <c r="CK28" i="14"/>
  <c r="G28" i="14" s="1"/>
  <c r="V28" i="14" s="1"/>
  <c r="EG22" i="14"/>
  <c r="EG13" i="14"/>
  <c r="I40" i="13"/>
  <c r="CY40" i="14"/>
  <c r="I40" i="14" s="1"/>
  <c r="X40" i="14" s="1"/>
  <c r="EG33" i="14"/>
  <c r="I37" i="13"/>
  <c r="CY37" i="14"/>
  <c r="I37" i="14" s="1"/>
  <c r="X37" i="14" s="1"/>
  <c r="W42" i="13"/>
  <c r="BZ22" i="14"/>
  <c r="F9" i="13"/>
  <c r="CD9" i="14"/>
  <c r="F9" i="14" s="1"/>
  <c r="U9" i="14" s="1"/>
  <c r="EG26" i="14"/>
  <c r="CG25" i="14"/>
  <c r="F37" i="13"/>
  <c r="CD37" i="14"/>
  <c r="F37" i="14" s="1"/>
  <c r="U37" i="14" s="1"/>
  <c r="CG36" i="14"/>
  <c r="EG7" i="14"/>
  <c r="I5" i="13"/>
  <c r="CY5" i="14"/>
  <c r="I5" i="14" s="1"/>
  <c r="X5" i="14" s="1"/>
  <c r="CU13" i="14"/>
  <c r="I21" i="13"/>
  <c r="CY21" i="14"/>
  <c r="I21" i="14" s="1"/>
  <c r="X21" i="14" s="1"/>
  <c r="EG10" i="14"/>
  <c r="CG30" i="14"/>
  <c r="CG41" i="14"/>
  <c r="BZ17" i="14"/>
  <c r="F5" i="13"/>
  <c r="CD5" i="14"/>
  <c r="F5" i="14" s="1"/>
  <c r="U5" i="14" s="1"/>
  <c r="BZ41" i="14"/>
  <c r="U4" i="13"/>
  <c r="BZ33" i="14"/>
  <c r="BZ10" i="14"/>
  <c r="BZ30" i="14"/>
  <c r="CG29" i="14"/>
  <c r="BZ7" i="14"/>
  <c r="BZ25" i="14"/>
  <c r="BZ36" i="14"/>
  <c r="CU22" i="14"/>
  <c r="EG25" i="14"/>
  <c r="I6" i="13"/>
  <c r="CY6" i="14"/>
  <c r="I6" i="14" s="1"/>
  <c r="X6" i="14" s="1"/>
  <c r="BZ11" i="14"/>
  <c r="EG36" i="14"/>
  <c r="U4" i="12"/>
  <c r="F42" i="12"/>
  <c r="I4" i="12"/>
  <c r="V34" i="14"/>
  <c r="V19" i="11"/>
  <c r="V17" i="11"/>
  <c r="V21" i="11"/>
  <c r="V20" i="11"/>
  <c r="V11" i="11"/>
  <c r="V5" i="14"/>
  <c r="V34" i="11"/>
  <c r="V22" i="11"/>
  <c r="V14" i="14"/>
  <c r="V9" i="11"/>
  <c r="V32" i="11"/>
  <c r="V24" i="11"/>
  <c r="V27" i="11"/>
  <c r="V12" i="14"/>
  <c r="V41" i="11"/>
  <c r="V5" i="11"/>
  <c r="V36" i="11"/>
  <c r="V26" i="11"/>
  <c r="V31" i="14"/>
  <c r="V14" i="11"/>
  <c r="V23" i="11"/>
  <c r="V6" i="14"/>
  <c r="V29" i="11"/>
  <c r="V18" i="11"/>
  <c r="V25" i="11"/>
  <c r="V20" i="14"/>
  <c r="V24" i="14"/>
  <c r="V12" i="11"/>
  <c r="V33" i="11"/>
  <c r="V31" i="11"/>
  <c r="V6" i="11"/>
  <c r="V37" i="11"/>
  <c r="G8" i="11"/>
  <c r="V8" i="11" s="1"/>
  <c r="CK8" i="14"/>
  <c r="G8" i="14" s="1"/>
  <c r="V8" i="14" s="1"/>
  <c r="I8" i="11"/>
  <c r="CY8" i="14"/>
  <c r="I8" i="14" s="1"/>
  <c r="X8" i="14" s="1"/>
  <c r="K9" i="11"/>
  <c r="U4" i="14"/>
  <c r="K32" i="11"/>
  <c r="K41" i="11"/>
  <c r="CY42" i="14"/>
  <c r="I4" i="11"/>
  <c r="CY4" i="14"/>
  <c r="I4" i="14" s="1"/>
  <c r="K33" i="11"/>
  <c r="I15" i="11"/>
  <c r="CY15" i="14"/>
  <c r="I15" i="14" s="1"/>
  <c r="X15" i="14" s="1"/>
  <c r="K29" i="11"/>
  <c r="K6" i="11"/>
  <c r="DF6" i="14"/>
  <c r="K6" i="14" s="1"/>
  <c r="Z6" i="14" s="1"/>
  <c r="F15" i="11"/>
  <c r="CD15" i="14"/>
  <c r="F15" i="14" s="1"/>
  <c r="G15" i="11"/>
  <c r="V15" i="11" s="1"/>
  <c r="CK15" i="14"/>
  <c r="G15" i="14" s="1"/>
  <c r="V15" i="14" s="1"/>
  <c r="K14" i="11"/>
  <c r="DF14" i="14"/>
  <c r="K14" i="14" s="1"/>
  <c r="Z14" i="14" s="1"/>
  <c r="K11" i="11"/>
  <c r="K19" i="11"/>
  <c r="DB15" i="14"/>
  <c r="U4" i="11"/>
  <c r="BZ35" i="14"/>
  <c r="K20" i="11"/>
  <c r="DF20" i="14"/>
  <c r="K20" i="14" s="1"/>
  <c r="Z20" i="14" s="1"/>
  <c r="CG35" i="14"/>
  <c r="K18" i="11"/>
  <c r="K23" i="11"/>
  <c r="DB8" i="14"/>
  <c r="K5" i="11"/>
  <c r="DF5" i="14"/>
  <c r="K5" i="14" s="1"/>
  <c r="Z5" i="14" s="1"/>
  <c r="K21" i="11"/>
  <c r="K31" i="11"/>
  <c r="DF31" i="14"/>
  <c r="K31" i="14" s="1"/>
  <c r="Z31" i="14" s="1"/>
  <c r="DB16" i="14"/>
  <c r="CU35" i="14"/>
  <c r="I16" i="11"/>
  <c r="CY16" i="14"/>
  <c r="I16" i="14" s="1"/>
  <c r="X16" i="14" s="1"/>
  <c r="EG35" i="14"/>
  <c r="G16" i="11"/>
  <c r="V16" i="11" s="1"/>
  <c r="CK16" i="14"/>
  <c r="G16" i="14" s="1"/>
  <c r="V16" i="14" s="1"/>
  <c r="CG42" i="14"/>
  <c r="CG4" i="14"/>
  <c r="K27" i="11"/>
  <c r="K12" i="11"/>
  <c r="DF12" i="14"/>
  <c r="K12" i="14" s="1"/>
  <c r="Z12" i="14" s="1"/>
  <c r="K34" i="11"/>
  <c r="DF34" i="14"/>
  <c r="K34" i="14" s="1"/>
  <c r="Z34" i="14" s="1"/>
  <c r="F8" i="11"/>
  <c r="CD8" i="14"/>
  <c r="F8" i="14" s="1"/>
  <c r="F16" i="11"/>
  <c r="CD16" i="14"/>
  <c r="F16" i="14" s="1"/>
  <c r="K37" i="11"/>
  <c r="K22" i="11"/>
  <c r="K17" i="11"/>
  <c r="K25" i="11"/>
  <c r="K24" i="11"/>
  <c r="DF24" i="14"/>
  <c r="K24" i="14" s="1"/>
  <c r="Z24" i="14" s="1"/>
  <c r="I4" i="10"/>
  <c r="U4" i="10"/>
  <c r="F42" i="10"/>
  <c r="AR34" i="16"/>
  <c r="AK34" i="16" s="1"/>
  <c r="AQ23" i="16"/>
  <c r="AR38" i="16"/>
  <c r="AK38" i="16" s="1"/>
  <c r="AQ25" i="16"/>
  <c r="AR14" i="16"/>
  <c r="AK14" i="16" s="1"/>
  <c r="AR20" i="16"/>
  <c r="AK20" i="16" s="1"/>
  <c r="AR22" i="16"/>
  <c r="AK22" i="16" s="1"/>
  <c r="AT22" i="16"/>
  <c r="AR12" i="16"/>
  <c r="AK12" i="16" s="1"/>
  <c r="AR9" i="16"/>
  <c r="AK9" i="16" s="1"/>
  <c r="AR27" i="16"/>
  <c r="AK27" i="16" s="1"/>
  <c r="AQ28" i="16"/>
  <c r="AS21" i="16"/>
  <c r="AL21" i="16" s="1"/>
  <c r="AR13" i="16"/>
  <c r="AK13" i="16" s="1"/>
  <c r="AT7" i="16"/>
  <c r="AM7" i="16" s="1"/>
  <c r="AT24" i="16"/>
  <c r="AM24" i="16" s="1"/>
  <c r="AQ15" i="16"/>
  <c r="AQ16" i="16"/>
  <c r="AS25" i="16"/>
  <c r="AL25" i="16" s="1"/>
  <c r="AS34" i="16"/>
  <c r="AL34" i="16" s="1"/>
  <c r="AS24" i="16"/>
  <c r="AL24" i="16" s="1"/>
  <c r="AS13" i="16"/>
  <c r="AL13" i="16" s="1"/>
  <c r="AR5" i="16"/>
  <c r="AK5" i="16" s="1"/>
  <c r="AR30" i="16"/>
  <c r="AK30" i="16" s="1"/>
  <c r="AR7" i="16"/>
  <c r="AK7" i="16" s="1"/>
  <c r="AR8" i="16"/>
  <c r="AQ24" i="16"/>
  <c r="AR11" i="16"/>
  <c r="AK11" i="16" s="1"/>
  <c r="AR41" i="16"/>
  <c r="AK41" i="16" s="1"/>
  <c r="AS38" i="16"/>
  <c r="AL38" i="16" s="1"/>
  <c r="AR17" i="16"/>
  <c r="AK17" i="16" s="1"/>
  <c r="AR25" i="16"/>
  <c r="AK25" i="16" s="1"/>
  <c r="AQ27" i="16"/>
  <c r="AS26" i="16"/>
  <c r="AL26" i="16" s="1"/>
  <c r="AR39" i="16"/>
  <c r="AK39" i="16" s="1"/>
  <c r="AR10" i="16"/>
  <c r="AK10" i="16" s="1"/>
  <c r="AS10" i="16"/>
  <c r="AL10" i="16" s="1"/>
  <c r="AQ13" i="16"/>
  <c r="AT9" i="16"/>
  <c r="AM9" i="16" s="1"/>
  <c r="AS11" i="16"/>
  <c r="AL11" i="16" s="1"/>
  <c r="AT14" i="16"/>
  <c r="AM14" i="16" s="1"/>
  <c r="AS41" i="16"/>
  <c r="AL41" i="16" s="1"/>
  <c r="AR26" i="16"/>
  <c r="AK26" i="16" s="1"/>
  <c r="AR21" i="16"/>
  <c r="AK21" i="16" s="1"/>
  <c r="L30" i="16"/>
  <c r="AQ30" i="16"/>
  <c r="AR23" i="16"/>
  <c r="AK23" i="16" s="1"/>
  <c r="AQ8" i="16"/>
  <c r="AJ8" i="16" s="1"/>
  <c r="AT23" i="16"/>
  <c r="AM23" i="16" s="1"/>
  <c r="AS19" i="16"/>
  <c r="AL19" i="16" s="1"/>
  <c r="AR19" i="16"/>
  <c r="AK19" i="16" s="1"/>
  <c r="AT25" i="16"/>
  <c r="AM25" i="16" s="1"/>
  <c r="AS7" i="16"/>
  <c r="AL7" i="16" s="1"/>
  <c r="AT26" i="16"/>
  <c r="AM26" i="16" s="1"/>
  <c r="AT31" i="16"/>
  <c r="AM31" i="16" s="1"/>
  <c r="AQ32" i="16"/>
  <c r="AS27" i="16"/>
  <c r="AL27" i="16" s="1"/>
  <c r="AT21" i="16"/>
  <c r="AM21" i="16" s="1"/>
  <c r="AR18" i="16"/>
  <c r="AK18" i="16" s="1"/>
  <c r="AS18" i="16"/>
  <c r="AL18" i="16" s="1"/>
  <c r="AT5" i="16"/>
  <c r="AM5" i="16" s="1"/>
  <c r="AT17" i="16"/>
  <c r="AM17" i="16" s="1"/>
  <c r="AT13" i="16"/>
  <c r="AM13" i="16" s="1"/>
  <c r="AT20" i="16"/>
  <c r="AM20" i="16" s="1"/>
  <c r="AR24" i="16"/>
  <c r="AK24" i="16" s="1"/>
  <c r="L7" i="16"/>
  <c r="AQ7" i="16"/>
  <c r="AQ5" i="16"/>
  <c r="AR31" i="16"/>
  <c r="AK31" i="16" s="1"/>
  <c r="L21" i="16"/>
  <c r="AQ21" i="16"/>
  <c r="AQ9" i="16"/>
  <c r="AR37" i="16"/>
  <c r="AK37" i="16" s="1"/>
  <c r="L26" i="16"/>
  <c r="AQ26" i="16"/>
  <c r="AS22" i="16"/>
  <c r="AL22" i="16" s="1"/>
  <c r="AS12" i="16"/>
  <c r="AL12" i="16" s="1"/>
  <c r="AT38" i="16"/>
  <c r="AM38" i="16" s="1"/>
  <c r="AR33" i="16"/>
  <c r="AK33" i="16" s="1"/>
  <c r="AR28" i="16"/>
  <c r="AK28" i="16" s="1"/>
  <c r="AS23" i="16"/>
  <c r="AL23" i="16" s="1"/>
  <c r="AS32" i="16"/>
  <c r="AL32" i="16" s="1"/>
  <c r="AS5" i="16"/>
  <c r="AL5" i="16" s="1"/>
  <c r="AT37" i="16"/>
  <c r="AM37" i="16" s="1"/>
  <c r="AQ29" i="16"/>
  <c r="L6" i="16"/>
  <c r="AQ6" i="16"/>
  <c r="AR15" i="16"/>
  <c r="AK15" i="16" s="1"/>
  <c r="AR16" i="16"/>
  <c r="AK16" i="16" s="1"/>
  <c r="AS14" i="16"/>
  <c r="AL14" i="16" s="1"/>
  <c r="AS20" i="16"/>
  <c r="AL20" i="16" s="1"/>
  <c r="AS9" i="16"/>
  <c r="AL9" i="16" s="1"/>
  <c r="AT12" i="16"/>
  <c r="AM12" i="16" s="1"/>
  <c r="AT29" i="16"/>
  <c r="AM29" i="16" s="1"/>
  <c r="AT36" i="16"/>
  <c r="AM36" i="16" s="1"/>
  <c r="AS8" i="16"/>
  <c r="AL8" i="16" s="1"/>
  <c r="AT34" i="16"/>
  <c r="AM34" i="16" s="1"/>
  <c r="AT27" i="16"/>
  <c r="AM27" i="16" s="1"/>
  <c r="AT39" i="16"/>
  <c r="AM39" i="16" s="1"/>
  <c r="AT41" i="16"/>
  <c r="AM41" i="16" s="1"/>
  <c r="U42" i="15" l="1"/>
  <c r="G4" i="15"/>
  <c r="I42" i="15"/>
  <c r="X4" i="15"/>
  <c r="F30" i="13"/>
  <c r="CD30" i="14"/>
  <c r="F30" i="14" s="1"/>
  <c r="U30" i="14" s="1"/>
  <c r="I22" i="13"/>
  <c r="CY22" i="14"/>
  <c r="I22" i="14" s="1"/>
  <c r="X22" i="14" s="1"/>
  <c r="G29" i="13"/>
  <c r="CK29" i="14"/>
  <c r="G29" i="14" s="1"/>
  <c r="V29" i="14" s="1"/>
  <c r="F41" i="13"/>
  <c r="CD41" i="14"/>
  <c r="F41" i="14" s="1"/>
  <c r="U41" i="14" s="1"/>
  <c r="F22" i="13"/>
  <c r="CD22" i="14"/>
  <c r="F22" i="14" s="1"/>
  <c r="U22" i="14" s="1"/>
  <c r="X37" i="13"/>
  <c r="CV37" i="14" s="1"/>
  <c r="X40" i="13"/>
  <c r="CV40" i="14" s="1"/>
  <c r="DB22" i="14"/>
  <c r="I32" i="13"/>
  <c r="CY32" i="14"/>
  <c r="I32" i="14" s="1"/>
  <c r="X32" i="14" s="1"/>
  <c r="G10" i="13"/>
  <c r="V10" i="13" s="1"/>
  <c r="CK10" i="14"/>
  <c r="G10" i="14" s="1"/>
  <c r="V10" i="14" s="1"/>
  <c r="G39" i="13"/>
  <c r="CK39" i="14"/>
  <c r="G39" i="14" s="1"/>
  <c r="V39" i="14" s="1"/>
  <c r="G33" i="13"/>
  <c r="V33" i="13" s="1"/>
  <c r="CK33" i="14"/>
  <c r="G33" i="14" s="1"/>
  <c r="V33" i="14" s="1"/>
  <c r="F32" i="13"/>
  <c r="CD32" i="14"/>
  <c r="F32" i="14" s="1"/>
  <c r="U32" i="14" s="1"/>
  <c r="DB27" i="14"/>
  <c r="DB18" i="14"/>
  <c r="G19" i="13"/>
  <c r="V19" i="13" s="1"/>
  <c r="CK19" i="14"/>
  <c r="G19" i="14" s="1"/>
  <c r="V19" i="14" s="1"/>
  <c r="U40" i="13"/>
  <c r="X14" i="13"/>
  <c r="CV14" i="14" s="1"/>
  <c r="I36" i="13"/>
  <c r="CY36" i="14"/>
  <c r="I36" i="14" s="1"/>
  <c r="X36" i="14" s="1"/>
  <c r="X9" i="13"/>
  <c r="I7" i="13"/>
  <c r="CY7" i="14"/>
  <c r="I7" i="14" s="1"/>
  <c r="X7" i="14" s="1"/>
  <c r="I30" i="13"/>
  <c r="CY30" i="14"/>
  <c r="I30" i="14" s="1"/>
  <c r="X30" i="14" s="1"/>
  <c r="I33" i="13"/>
  <c r="CY33" i="14"/>
  <c r="I33" i="14" s="1"/>
  <c r="X33" i="14" s="1"/>
  <c r="U21" i="13"/>
  <c r="CQ21" i="14" s="1"/>
  <c r="U6" i="13"/>
  <c r="G32" i="13"/>
  <c r="V32" i="13" s="1"/>
  <c r="CK32" i="14"/>
  <c r="G32" i="14" s="1"/>
  <c r="V32" i="14" s="1"/>
  <c r="F36" i="13"/>
  <c r="CD36" i="14"/>
  <c r="F36" i="14" s="1"/>
  <c r="U36" i="14" s="1"/>
  <c r="X6" i="13"/>
  <c r="CV6" i="14" s="1"/>
  <c r="F7" i="13"/>
  <c r="CD7" i="14"/>
  <c r="F7" i="14" s="1"/>
  <c r="U7" i="14" s="1"/>
  <c r="F33" i="13"/>
  <c r="CD33" i="14"/>
  <c r="F33" i="14" s="1"/>
  <c r="U33" i="14" s="1"/>
  <c r="F17" i="13"/>
  <c r="CD17" i="14"/>
  <c r="F17" i="14" s="1"/>
  <c r="U17" i="14" s="1"/>
  <c r="G30" i="13"/>
  <c r="V30" i="13" s="1"/>
  <c r="CK30" i="14"/>
  <c r="G30" i="14" s="1"/>
  <c r="V30" i="14" s="1"/>
  <c r="X21" i="13"/>
  <c r="CV21" i="14" s="1"/>
  <c r="X5" i="13"/>
  <c r="CV5" i="14" s="1"/>
  <c r="G36" i="13"/>
  <c r="V36" i="13" s="1"/>
  <c r="CK36" i="14"/>
  <c r="G36" i="14" s="1"/>
  <c r="V36" i="14" s="1"/>
  <c r="G25" i="13"/>
  <c r="V25" i="13" s="1"/>
  <c r="CK25" i="14"/>
  <c r="G25" i="14" s="1"/>
  <c r="V25" i="14" s="1"/>
  <c r="U9" i="13"/>
  <c r="CQ9" i="14" s="1"/>
  <c r="CU23" i="14"/>
  <c r="G7" i="13"/>
  <c r="V7" i="13" s="1"/>
  <c r="CK7" i="14"/>
  <c r="G7" i="14" s="1"/>
  <c r="V7" i="14" s="1"/>
  <c r="U28" i="13"/>
  <c r="G13" i="13"/>
  <c r="V13" i="13" s="1"/>
  <c r="CK13" i="14"/>
  <c r="G13" i="14" s="1"/>
  <c r="V13" i="14" s="1"/>
  <c r="G17" i="13"/>
  <c r="V17" i="13" s="1"/>
  <c r="CK17" i="14"/>
  <c r="G17" i="14" s="1"/>
  <c r="V17" i="14" s="1"/>
  <c r="I27" i="13"/>
  <c r="CY27" i="14"/>
  <c r="I27" i="14" s="1"/>
  <c r="X27" i="14" s="1"/>
  <c r="DB30" i="14"/>
  <c r="F27" i="13"/>
  <c r="CD27" i="14"/>
  <c r="F27" i="14" s="1"/>
  <c r="U27" i="14" s="1"/>
  <c r="DB25" i="14"/>
  <c r="F25" i="13"/>
  <c r="CD25" i="14"/>
  <c r="F25" i="14" s="1"/>
  <c r="U25" i="14" s="1"/>
  <c r="F10" i="13"/>
  <c r="CD10" i="14"/>
  <c r="F10" i="14" s="1"/>
  <c r="U10" i="14" s="1"/>
  <c r="U5" i="13"/>
  <c r="DB33" i="14"/>
  <c r="DB13" i="14"/>
  <c r="I18" i="13"/>
  <c r="CY18" i="14"/>
  <c r="I18" i="14" s="1"/>
  <c r="X18" i="14" s="1"/>
  <c r="I19" i="13"/>
  <c r="CY19" i="14"/>
  <c r="I19" i="14" s="1"/>
  <c r="X19" i="14" s="1"/>
  <c r="U14" i="13"/>
  <c r="F23" i="13"/>
  <c r="CD23" i="14"/>
  <c r="F23" i="14" s="1"/>
  <c r="U23" i="14" s="1"/>
  <c r="V4" i="13"/>
  <c r="DB39" i="14"/>
  <c r="F19" i="13"/>
  <c r="CD19" i="14"/>
  <c r="F19" i="14" s="1"/>
  <c r="U19" i="14" s="1"/>
  <c r="I11" i="13"/>
  <c r="CY11" i="14"/>
  <c r="I11" i="14" s="1"/>
  <c r="X11" i="14" s="1"/>
  <c r="G23" i="13"/>
  <c r="V23" i="13" s="1"/>
  <c r="CK23" i="14"/>
  <c r="G23" i="14" s="1"/>
  <c r="V23" i="14" s="1"/>
  <c r="X28" i="13"/>
  <c r="CV28" i="14" s="1"/>
  <c r="I25" i="13"/>
  <c r="CY25" i="14"/>
  <c r="I25" i="14" s="1"/>
  <c r="X25" i="14" s="1"/>
  <c r="DB29" i="14"/>
  <c r="I10" i="13"/>
  <c r="CY10" i="14"/>
  <c r="I10" i="14" s="1"/>
  <c r="X10" i="14" s="1"/>
  <c r="I41" i="13"/>
  <c r="CY41" i="14"/>
  <c r="I41" i="14" s="1"/>
  <c r="X41" i="14" s="1"/>
  <c r="I17" i="13"/>
  <c r="CY17" i="14"/>
  <c r="I17" i="14" s="1"/>
  <c r="X17" i="14" s="1"/>
  <c r="G27" i="13"/>
  <c r="V27" i="13" s="1"/>
  <c r="CK27" i="14"/>
  <c r="G27" i="14" s="1"/>
  <c r="V27" i="14" s="1"/>
  <c r="G18" i="13"/>
  <c r="V18" i="13" s="1"/>
  <c r="CK18" i="14"/>
  <c r="G18" i="14" s="1"/>
  <c r="V18" i="14" s="1"/>
  <c r="F26" i="13"/>
  <c r="CD26" i="14"/>
  <c r="F26" i="14" s="1"/>
  <c r="U26" i="14" s="1"/>
  <c r="F11" i="13"/>
  <c r="CD11" i="14"/>
  <c r="F11" i="14" s="1"/>
  <c r="U11" i="14" s="1"/>
  <c r="G41" i="13"/>
  <c r="V41" i="13" s="1"/>
  <c r="CK41" i="14"/>
  <c r="G41" i="14" s="1"/>
  <c r="V41" i="14" s="1"/>
  <c r="DB10" i="14"/>
  <c r="I13" i="13"/>
  <c r="CY13" i="14"/>
  <c r="I13" i="14" s="1"/>
  <c r="X13" i="14" s="1"/>
  <c r="DB7" i="14"/>
  <c r="U37" i="13"/>
  <c r="CQ37" i="14" s="1"/>
  <c r="DB17" i="14"/>
  <c r="F13" i="13"/>
  <c r="CD13" i="14"/>
  <c r="F13" i="14" s="1"/>
  <c r="U13" i="14" s="1"/>
  <c r="DB19" i="14"/>
  <c r="G26" i="13"/>
  <c r="V26" i="13" s="1"/>
  <c r="CK26" i="14"/>
  <c r="G26" i="14" s="1"/>
  <c r="V26" i="14" s="1"/>
  <c r="DB23" i="14"/>
  <c r="G22" i="13"/>
  <c r="V22" i="13" s="1"/>
  <c r="CK22" i="14"/>
  <c r="G22" i="14" s="1"/>
  <c r="V22" i="14" s="1"/>
  <c r="F18" i="13"/>
  <c r="CD18" i="14"/>
  <c r="F18" i="14" s="1"/>
  <c r="U18" i="14" s="1"/>
  <c r="K28" i="13"/>
  <c r="DF28" i="14"/>
  <c r="K28" i="14" s="1"/>
  <c r="Z28" i="14" s="1"/>
  <c r="DB32" i="14"/>
  <c r="I26" i="13"/>
  <c r="CY26" i="14"/>
  <c r="I26" i="14" s="1"/>
  <c r="X26" i="14" s="1"/>
  <c r="DB11" i="14"/>
  <c r="DB41" i="14"/>
  <c r="G11" i="13"/>
  <c r="V11" i="13" s="1"/>
  <c r="CK11" i="14"/>
  <c r="G11" i="14" s="1"/>
  <c r="V11" i="14" s="1"/>
  <c r="X4" i="12"/>
  <c r="I42" i="12"/>
  <c r="U42" i="12"/>
  <c r="G4" i="12"/>
  <c r="U8" i="14"/>
  <c r="U15" i="14"/>
  <c r="U16" i="14"/>
  <c r="Z25" i="11"/>
  <c r="X16" i="11"/>
  <c r="CV16" i="14" s="1"/>
  <c r="K16" i="11"/>
  <c r="DF16" i="14"/>
  <c r="K16" i="14" s="1"/>
  <c r="Z16" i="14" s="1"/>
  <c r="Z23" i="11"/>
  <c r="G35" i="11"/>
  <c r="V35" i="11" s="1"/>
  <c r="CK35" i="14"/>
  <c r="G35" i="14" s="1"/>
  <c r="V35" i="14" s="1"/>
  <c r="F35" i="11"/>
  <c r="F42" i="11" s="1"/>
  <c r="CD35" i="14"/>
  <c r="F35" i="14" s="1"/>
  <c r="Z19" i="11"/>
  <c r="Z14" i="11"/>
  <c r="CX14" i="14" s="1"/>
  <c r="Z37" i="11"/>
  <c r="Z24" i="11"/>
  <c r="CX24" i="14" s="1"/>
  <c r="Z22" i="11"/>
  <c r="U16" i="11"/>
  <c r="U8" i="11"/>
  <c r="Z34" i="11"/>
  <c r="CX34" i="14" s="1"/>
  <c r="Z27" i="11"/>
  <c r="Z21" i="11"/>
  <c r="K8" i="11"/>
  <c r="DF8" i="14"/>
  <c r="K8" i="14" s="1"/>
  <c r="Z8" i="14" s="1"/>
  <c r="K15" i="11"/>
  <c r="DF15" i="14"/>
  <c r="K15" i="14" s="1"/>
  <c r="Z15" i="14" s="1"/>
  <c r="Z29" i="11"/>
  <c r="X15" i="11"/>
  <c r="CV15" i="14" s="1"/>
  <c r="X4" i="14"/>
  <c r="Z41" i="11"/>
  <c r="Z9" i="11"/>
  <c r="EG42" i="14"/>
  <c r="EG4" i="14"/>
  <c r="Z17" i="11"/>
  <c r="CK42" i="14"/>
  <c r="G4" i="11"/>
  <c r="CK4" i="14"/>
  <c r="G4" i="14" s="1"/>
  <c r="DB35" i="14"/>
  <c r="I35" i="11"/>
  <c r="I42" i="11" s="1"/>
  <c r="CY35" i="14"/>
  <c r="I35" i="14" s="1"/>
  <c r="X35" i="14" s="1"/>
  <c r="Z31" i="11"/>
  <c r="CX31" i="14" s="1"/>
  <c r="Z18" i="11"/>
  <c r="BV42" i="14"/>
  <c r="BV4" i="14"/>
  <c r="Z11" i="11"/>
  <c r="U15" i="11"/>
  <c r="X4" i="11"/>
  <c r="Z32" i="11"/>
  <c r="X8" i="11"/>
  <c r="CV8" i="14" s="1"/>
  <c r="Z12" i="11"/>
  <c r="CX12" i="14" s="1"/>
  <c r="Z5" i="11"/>
  <c r="CX5" i="14" s="1"/>
  <c r="Z20" i="11"/>
  <c r="CX20" i="14" s="1"/>
  <c r="Z6" i="11"/>
  <c r="CX6" i="14" s="1"/>
  <c r="Z33" i="11"/>
  <c r="U42" i="10"/>
  <c r="X4" i="10"/>
  <c r="I42" i="10"/>
  <c r="AS4" i="16"/>
  <c r="AQ40" i="16"/>
  <c r="L29" i="16"/>
  <c r="L33" i="16"/>
  <c r="AQ33" i="16"/>
  <c r="AJ9" i="16"/>
  <c r="AN9" i="16" s="1"/>
  <c r="AU9" i="16"/>
  <c r="AQ31" i="16"/>
  <c r="L31" i="16"/>
  <c r="L5" i="16"/>
  <c r="L19" i="16"/>
  <c r="AQ19" i="16"/>
  <c r="L8" i="16"/>
  <c r="AA30" i="16"/>
  <c r="AB30" i="16" s="1"/>
  <c r="O30" i="16"/>
  <c r="L13" i="16"/>
  <c r="AJ27" i="16"/>
  <c r="AN27" i="16" s="1"/>
  <c r="AU27" i="16"/>
  <c r="L17" i="16"/>
  <c r="AQ17" i="16"/>
  <c r="AU8" i="16"/>
  <c r="AK8" i="16"/>
  <c r="AJ16" i="16"/>
  <c r="AN16" i="16" s="1"/>
  <c r="AU16" i="16"/>
  <c r="AU28" i="16"/>
  <c r="AJ28" i="16"/>
  <c r="AN28" i="16" s="1"/>
  <c r="L14" i="16"/>
  <c r="AQ14" i="16"/>
  <c r="L25" i="16"/>
  <c r="AU23" i="16"/>
  <c r="AJ23" i="16"/>
  <c r="AN23" i="16" s="1"/>
  <c r="AJ29" i="16"/>
  <c r="AN29" i="16" s="1"/>
  <c r="AU29" i="16"/>
  <c r="AS40" i="16"/>
  <c r="AL40" i="16" s="1"/>
  <c r="AR40" i="16"/>
  <c r="AK40" i="16" s="1"/>
  <c r="AT40" i="16"/>
  <c r="AM40" i="16" s="1"/>
  <c r="L9" i="16"/>
  <c r="AJ7" i="16"/>
  <c r="AN7" i="16" s="1"/>
  <c r="AU7" i="16"/>
  <c r="AU32" i="16"/>
  <c r="AJ32" i="16"/>
  <c r="AN32" i="16" s="1"/>
  <c r="AN8" i="16"/>
  <c r="AJ13" i="16"/>
  <c r="AN13" i="16" s="1"/>
  <c r="AU13" i="16"/>
  <c r="L27" i="16"/>
  <c r="L11" i="16"/>
  <c r="AQ11" i="16"/>
  <c r="L16" i="16"/>
  <c r="L28" i="16"/>
  <c r="L12" i="16"/>
  <c r="AQ12" i="16"/>
  <c r="L20" i="16"/>
  <c r="AQ20" i="16"/>
  <c r="L23" i="16"/>
  <c r="AT35" i="16"/>
  <c r="AM35" i="16" s="1"/>
  <c r="AS35" i="16"/>
  <c r="AL35" i="16" s="1"/>
  <c r="AR35" i="16"/>
  <c r="AK35" i="16" s="1"/>
  <c r="L36" i="16"/>
  <c r="AQ36" i="16"/>
  <c r="AJ6" i="16"/>
  <c r="AN6" i="16" s="1"/>
  <c r="AU6" i="16"/>
  <c r="AJ26" i="16"/>
  <c r="AN26" i="16" s="1"/>
  <c r="AU26" i="16"/>
  <c r="L37" i="16"/>
  <c r="AQ37" i="16"/>
  <c r="AJ21" i="16"/>
  <c r="AN21" i="16" s="1"/>
  <c r="AU21" i="16"/>
  <c r="AA7" i="16"/>
  <c r="AB7" i="16" s="1"/>
  <c r="O7" i="16"/>
  <c r="AQ18" i="16"/>
  <c r="L18" i="16"/>
  <c r="L32" i="16"/>
  <c r="L10" i="16"/>
  <c r="AQ10" i="16"/>
  <c r="L39" i="16"/>
  <c r="AQ39" i="16"/>
  <c r="L41" i="16"/>
  <c r="AQ41" i="16"/>
  <c r="L24" i="16"/>
  <c r="L15" i="16"/>
  <c r="L22" i="16"/>
  <c r="AQ22" i="16"/>
  <c r="AJ22" i="16" s="1"/>
  <c r="L38" i="16"/>
  <c r="AQ38" i="16"/>
  <c r="AQ34" i="16"/>
  <c r="L34" i="16"/>
  <c r="AA6" i="16"/>
  <c r="AB6" i="16" s="1"/>
  <c r="O6" i="16"/>
  <c r="AA26" i="16"/>
  <c r="AB26" i="16" s="1"/>
  <c r="O26" i="16"/>
  <c r="AA21" i="16"/>
  <c r="AB21" i="16" s="1"/>
  <c r="O21" i="16"/>
  <c r="AJ5" i="16"/>
  <c r="AN5" i="16" s="1"/>
  <c r="AU5" i="16"/>
  <c r="AU30" i="16"/>
  <c r="AJ30" i="16"/>
  <c r="AN30" i="16" s="1"/>
  <c r="AJ24" i="16"/>
  <c r="AN24" i="16" s="1"/>
  <c r="AU24" i="16"/>
  <c r="AU15" i="16"/>
  <c r="AJ15" i="16"/>
  <c r="AN15" i="16" s="1"/>
  <c r="AM22" i="16"/>
  <c r="AJ25" i="16"/>
  <c r="AN25" i="16" s="1"/>
  <c r="AU25" i="16"/>
  <c r="AN22" i="16" l="1"/>
  <c r="V4" i="15"/>
  <c r="G42" i="15"/>
  <c r="X42" i="15"/>
  <c r="CQ28" i="14"/>
  <c r="F42" i="13"/>
  <c r="CQ14" i="14"/>
  <c r="CQ5" i="14"/>
  <c r="V39" i="13"/>
  <c r="CQ6" i="14"/>
  <c r="CQ40" i="14"/>
  <c r="V29" i="13"/>
  <c r="K23" i="13"/>
  <c r="DF23" i="14"/>
  <c r="K23" i="14" s="1"/>
  <c r="Z23" i="14" s="1"/>
  <c r="I23" i="13"/>
  <c r="I42" i="13" s="1"/>
  <c r="CY23" i="14"/>
  <c r="I23" i="14" s="1"/>
  <c r="X23" i="14" s="1"/>
  <c r="X42" i="14" s="1"/>
  <c r="U32" i="13"/>
  <c r="BV9" i="14"/>
  <c r="CA21" i="14"/>
  <c r="BV21" i="14"/>
  <c r="CA9" i="14"/>
  <c r="CA14" i="14"/>
  <c r="CA40" i="14"/>
  <c r="K32" i="13"/>
  <c r="DF32" i="14"/>
  <c r="K32" i="14" s="1"/>
  <c r="Z32" i="14" s="1"/>
  <c r="K19" i="13"/>
  <c r="DF19" i="14"/>
  <c r="K19" i="14" s="1"/>
  <c r="Z19" i="14" s="1"/>
  <c r="K7" i="13"/>
  <c r="DF7" i="14"/>
  <c r="K7" i="14" s="1"/>
  <c r="Z7" i="14" s="1"/>
  <c r="U11" i="13"/>
  <c r="X17" i="13"/>
  <c r="CV17" i="14" s="1"/>
  <c r="X25" i="13"/>
  <c r="CV25" i="14" s="1"/>
  <c r="U19" i="13"/>
  <c r="BV14" i="14"/>
  <c r="X18" i="13"/>
  <c r="CV18" i="14" s="1"/>
  <c r="BV5" i="14"/>
  <c r="K25" i="13"/>
  <c r="DF25" i="14"/>
  <c r="K25" i="14" s="1"/>
  <c r="Z25" i="14" s="1"/>
  <c r="K22" i="13"/>
  <c r="DF22" i="14"/>
  <c r="K22" i="14" s="1"/>
  <c r="Z22" i="14" s="1"/>
  <c r="BV37" i="14"/>
  <c r="U25" i="13"/>
  <c r="K41" i="13"/>
  <c r="DF41" i="14"/>
  <c r="K41" i="14" s="1"/>
  <c r="Z41" i="14" s="1"/>
  <c r="X26" i="13"/>
  <c r="CV26" i="14" s="1"/>
  <c r="Z28" i="13"/>
  <c r="CX28" i="14" s="1"/>
  <c r="CC28" i="14"/>
  <c r="U13" i="13"/>
  <c r="X13" i="13"/>
  <c r="CV13" i="14" s="1"/>
  <c r="U26" i="13"/>
  <c r="X41" i="13"/>
  <c r="CV41" i="14" s="1"/>
  <c r="K29" i="13"/>
  <c r="DF29" i="14"/>
  <c r="K29" i="14" s="1"/>
  <c r="Z29" i="14" s="1"/>
  <c r="X11" i="13"/>
  <c r="CV11" i="14" s="1"/>
  <c r="K39" i="13"/>
  <c r="DF39" i="14"/>
  <c r="K39" i="14" s="1"/>
  <c r="Z39" i="14" s="1"/>
  <c r="K13" i="13"/>
  <c r="DF13" i="14"/>
  <c r="K13" i="14" s="1"/>
  <c r="Z13" i="14" s="1"/>
  <c r="U27" i="13"/>
  <c r="X27" i="13"/>
  <c r="CV27" i="14" s="1"/>
  <c r="U17" i="13"/>
  <c r="U7" i="13"/>
  <c r="U36" i="13"/>
  <c r="X30" i="13"/>
  <c r="CV30" i="14" s="1"/>
  <c r="CV9" i="14"/>
  <c r="K27" i="13"/>
  <c r="DF27" i="14"/>
  <c r="K27" i="14" s="1"/>
  <c r="Z27" i="14" s="1"/>
  <c r="X32" i="13"/>
  <c r="CV32" i="14" s="1"/>
  <c r="U22" i="13"/>
  <c r="X22" i="13"/>
  <c r="CV22" i="14" s="1"/>
  <c r="U30" i="13"/>
  <c r="K11" i="13"/>
  <c r="DF11" i="14"/>
  <c r="K11" i="14" s="1"/>
  <c r="Z11" i="14" s="1"/>
  <c r="U18" i="13"/>
  <c r="K17" i="13"/>
  <c r="DF17" i="14"/>
  <c r="K17" i="14" s="1"/>
  <c r="Z17" i="14" s="1"/>
  <c r="K10" i="13"/>
  <c r="DF10" i="14"/>
  <c r="K10" i="14" s="1"/>
  <c r="Z10" i="14" s="1"/>
  <c r="X10" i="13"/>
  <c r="CV10" i="14" s="1"/>
  <c r="K33" i="13"/>
  <c r="DF33" i="14"/>
  <c r="K33" i="14" s="1"/>
  <c r="Z33" i="14" s="1"/>
  <c r="K30" i="13"/>
  <c r="DF30" i="14"/>
  <c r="K30" i="14" s="1"/>
  <c r="Z30" i="14" s="1"/>
  <c r="U33" i="13"/>
  <c r="X33" i="13"/>
  <c r="CV33" i="14" s="1"/>
  <c r="X7" i="13"/>
  <c r="CV7" i="14" s="1"/>
  <c r="X36" i="13"/>
  <c r="CV36" i="14" s="1"/>
  <c r="CA28" i="14"/>
  <c r="K4" i="13"/>
  <c r="U23" i="13"/>
  <c r="X19" i="13"/>
  <c r="CV19" i="14" s="1"/>
  <c r="U10" i="13"/>
  <c r="BV28" i="14"/>
  <c r="CA5" i="14"/>
  <c r="CA6" i="14"/>
  <c r="BV6" i="14"/>
  <c r="BV40" i="14"/>
  <c r="CA37" i="14"/>
  <c r="K18" i="13"/>
  <c r="DF18" i="14"/>
  <c r="K18" i="14" s="1"/>
  <c r="Z18" i="14" s="1"/>
  <c r="U41" i="13"/>
  <c r="X42" i="12"/>
  <c r="G42" i="12"/>
  <c r="V4" i="12"/>
  <c r="CQ15" i="14"/>
  <c r="CQ8" i="14"/>
  <c r="CQ16" i="14"/>
  <c r="I42" i="14"/>
  <c r="U35" i="14"/>
  <c r="F42" i="14"/>
  <c r="BV15" i="14"/>
  <c r="V4" i="14"/>
  <c r="Z8" i="11"/>
  <c r="CX8" i="14" s="1"/>
  <c r="CC8" i="14"/>
  <c r="BV8" i="14"/>
  <c r="CC20" i="14"/>
  <c r="CA42" i="14"/>
  <c r="CA4" i="14"/>
  <c r="CQ42" i="14"/>
  <c r="CQ4" i="14"/>
  <c r="CC5" i="14"/>
  <c r="CA8" i="14"/>
  <c r="X35" i="11"/>
  <c r="CV35" i="14" s="1"/>
  <c r="V4" i="11"/>
  <c r="G42" i="11"/>
  <c r="CA15" i="14"/>
  <c r="Z16" i="11"/>
  <c r="CX16" i="14" s="1"/>
  <c r="CC16" i="14"/>
  <c r="CC12" i="14"/>
  <c r="CC6" i="14"/>
  <c r="X42" i="11"/>
  <c r="CC31" i="14"/>
  <c r="Z15" i="11"/>
  <c r="CX15" i="14" s="1"/>
  <c r="CC15" i="14"/>
  <c r="CC34" i="14"/>
  <c r="BV16" i="14"/>
  <c r="CC24" i="14"/>
  <c r="CC14" i="14"/>
  <c r="CA16" i="14"/>
  <c r="K35" i="11"/>
  <c r="DF35" i="14"/>
  <c r="K35" i="14" s="1"/>
  <c r="Z35" i="14" s="1"/>
  <c r="DB42" i="14"/>
  <c r="DB4" i="14"/>
  <c r="U35" i="11"/>
  <c r="X42" i="10"/>
  <c r="AJ38" i="16"/>
  <c r="AN38" i="16" s="1"/>
  <c r="AU38" i="16"/>
  <c r="AA15" i="16"/>
  <c r="AB15" i="16" s="1"/>
  <c r="O15" i="16"/>
  <c r="AA41" i="16"/>
  <c r="AB41" i="16" s="1"/>
  <c r="O41" i="16"/>
  <c r="AA10" i="16"/>
  <c r="AB10" i="16" s="1"/>
  <c r="O10" i="16"/>
  <c r="AJ36" i="16"/>
  <c r="AN36" i="16" s="1"/>
  <c r="AU36" i="16"/>
  <c r="AA20" i="16"/>
  <c r="AB20" i="16" s="1"/>
  <c r="O20" i="16"/>
  <c r="AA16" i="16"/>
  <c r="AB16" i="16" s="1"/>
  <c r="O16" i="16"/>
  <c r="AA5" i="16"/>
  <c r="AB5" i="16" s="1"/>
  <c r="O5" i="16"/>
  <c r="AU40" i="16"/>
  <c r="AJ40" i="16"/>
  <c r="AN40" i="16" s="1"/>
  <c r="AA38" i="16"/>
  <c r="AB38" i="16" s="1"/>
  <c r="O38" i="16"/>
  <c r="AJ39" i="16"/>
  <c r="AN39" i="16" s="1"/>
  <c r="AU39" i="16"/>
  <c r="AA32" i="16"/>
  <c r="AB32" i="16" s="1"/>
  <c r="O32" i="16"/>
  <c r="AJ37" i="16"/>
  <c r="AN37" i="16" s="1"/>
  <c r="AU37" i="16"/>
  <c r="AA36" i="16"/>
  <c r="AB36" i="16" s="1"/>
  <c r="O36" i="16"/>
  <c r="AA23" i="16"/>
  <c r="AB23" i="16" s="1"/>
  <c r="O23" i="16"/>
  <c r="AU12" i="16"/>
  <c r="AJ12" i="16"/>
  <c r="AN12" i="16" s="1"/>
  <c r="AJ11" i="16"/>
  <c r="AN11" i="16" s="1"/>
  <c r="AU11" i="16"/>
  <c r="AQ4" i="16"/>
  <c r="AA25" i="16"/>
  <c r="AB25" i="16" s="1"/>
  <c r="O25" i="16"/>
  <c r="AA8" i="16"/>
  <c r="AB8" i="16" s="1"/>
  <c r="O8" i="16"/>
  <c r="AA31" i="16"/>
  <c r="AB31" i="16" s="1"/>
  <c r="O31" i="16"/>
  <c r="AJ33" i="16"/>
  <c r="AN33" i="16" s="1"/>
  <c r="AU33" i="16"/>
  <c r="L40" i="16"/>
  <c r="AR4" i="16"/>
  <c r="AA34" i="16"/>
  <c r="AB34" i="16" s="1"/>
  <c r="O34" i="16"/>
  <c r="AA24" i="16"/>
  <c r="AB24" i="16" s="1"/>
  <c r="O24" i="16"/>
  <c r="AA39" i="16"/>
  <c r="AB39" i="16" s="1"/>
  <c r="O39" i="16"/>
  <c r="AA18" i="16"/>
  <c r="AB18" i="16" s="1"/>
  <c r="O18" i="16"/>
  <c r="L35" i="16"/>
  <c r="AQ35" i="16"/>
  <c r="AA37" i="16"/>
  <c r="AB37" i="16" s="1"/>
  <c r="O37" i="16"/>
  <c r="AT4" i="16"/>
  <c r="AA12" i="16"/>
  <c r="AB12" i="16" s="1"/>
  <c r="O12" i="16"/>
  <c r="AA11" i="16"/>
  <c r="AB11" i="16" s="1"/>
  <c r="O11" i="16"/>
  <c r="AJ14" i="16"/>
  <c r="AN14" i="16" s="1"/>
  <c r="AU14" i="16"/>
  <c r="AU17" i="16"/>
  <c r="AJ17" i="16"/>
  <c r="AN17" i="16" s="1"/>
  <c r="AA13" i="16"/>
  <c r="AB13" i="16" s="1"/>
  <c r="O13" i="16"/>
  <c r="AJ19" i="16"/>
  <c r="AN19" i="16" s="1"/>
  <c r="AU19" i="16"/>
  <c r="AJ31" i="16"/>
  <c r="AN31" i="16" s="1"/>
  <c r="AU31" i="16"/>
  <c r="AA33" i="16"/>
  <c r="AB33" i="16" s="1"/>
  <c r="O33" i="16"/>
  <c r="AU22" i="16"/>
  <c r="AJ34" i="16"/>
  <c r="AN34" i="16" s="1"/>
  <c r="AU34" i="16"/>
  <c r="AA22" i="16"/>
  <c r="AB22" i="16" s="1"/>
  <c r="O22" i="16"/>
  <c r="AJ41" i="16"/>
  <c r="AN41" i="16" s="1"/>
  <c r="AU41" i="16"/>
  <c r="AJ10" i="16"/>
  <c r="AN10" i="16" s="1"/>
  <c r="AU10" i="16"/>
  <c r="AJ18" i="16"/>
  <c r="AN18" i="16" s="1"/>
  <c r="AU18" i="16"/>
  <c r="AU20" i="16"/>
  <c r="AJ20" i="16"/>
  <c r="AN20" i="16" s="1"/>
  <c r="AA28" i="16"/>
  <c r="AB28" i="16" s="1"/>
  <c r="O28" i="16"/>
  <c r="AA27" i="16"/>
  <c r="AB27" i="16" s="1"/>
  <c r="O27" i="16"/>
  <c r="AA9" i="16"/>
  <c r="AB9" i="16" s="1"/>
  <c r="O9" i="16"/>
  <c r="AA14" i="16"/>
  <c r="AB14" i="16" s="1"/>
  <c r="O14" i="16"/>
  <c r="AA17" i="16"/>
  <c r="AB17" i="16" s="1"/>
  <c r="O17" i="16"/>
  <c r="AA19" i="16"/>
  <c r="AB19" i="16" s="1"/>
  <c r="O19" i="16"/>
  <c r="AA29" i="16"/>
  <c r="AB29" i="16" s="1"/>
  <c r="O29" i="16"/>
  <c r="AL4" i="16"/>
  <c r="AL42" i="16" s="1"/>
  <c r="AS42" i="16"/>
  <c r="V42" i="15" l="1"/>
  <c r="K4" i="15"/>
  <c r="CQ23" i="14"/>
  <c r="CQ18" i="14"/>
  <c r="CQ36" i="14"/>
  <c r="CQ27" i="14"/>
  <c r="CQ41" i="14"/>
  <c r="CQ22" i="14"/>
  <c r="CQ7" i="14"/>
  <c r="CQ26" i="14"/>
  <c r="CQ25" i="14"/>
  <c r="CQ11" i="14"/>
  <c r="CQ10" i="14"/>
  <c r="CQ17" i="14"/>
  <c r="CQ19" i="14"/>
  <c r="CQ32" i="14"/>
  <c r="CQ30" i="14"/>
  <c r="CQ13" i="14"/>
  <c r="Z30" i="13"/>
  <c r="CX30" i="14" s="1"/>
  <c r="CC30" i="14"/>
  <c r="Z17" i="13"/>
  <c r="CX17" i="14" s="1"/>
  <c r="CC17" i="14"/>
  <c r="Z11" i="13"/>
  <c r="CX11" i="14" s="1"/>
  <c r="CC11" i="14"/>
  <c r="CA22" i="14"/>
  <c r="BV36" i="14"/>
  <c r="BV17" i="14"/>
  <c r="BV27" i="14"/>
  <c r="BV26" i="14"/>
  <c r="BV13" i="14"/>
  <c r="CA26" i="14"/>
  <c r="BV25" i="14"/>
  <c r="CA25" i="14"/>
  <c r="BV11" i="14"/>
  <c r="BV18" i="14"/>
  <c r="ED9" i="14"/>
  <c r="Z39" i="13"/>
  <c r="CX39" i="14" s="1"/>
  <c r="Z29" i="13"/>
  <c r="CX29" i="14" s="1"/>
  <c r="Z22" i="13"/>
  <c r="CX22" i="14" s="1"/>
  <c r="CC22" i="14"/>
  <c r="Z19" i="13"/>
  <c r="CX19" i="14" s="1"/>
  <c r="CC19" i="14"/>
  <c r="X23" i="13"/>
  <c r="CV23" i="14" s="1"/>
  <c r="Z18" i="13"/>
  <c r="CX18" i="14" s="1"/>
  <c r="CC18" i="14"/>
  <c r="CA32" i="14"/>
  <c r="BV41" i="14"/>
  <c r="BV10" i="14"/>
  <c r="BV23" i="14"/>
  <c r="CA7" i="14"/>
  <c r="BV33" i="14"/>
  <c r="Z4" i="13"/>
  <c r="U42" i="13"/>
  <c r="CQ33" i="14"/>
  <c r="Z33" i="13"/>
  <c r="CX33" i="14" s="1"/>
  <c r="CC33" i="14"/>
  <c r="Z10" i="13"/>
  <c r="CX10" i="14" s="1"/>
  <c r="CC10" i="14"/>
  <c r="BV30" i="14"/>
  <c r="BV22" i="14"/>
  <c r="CA30" i="14"/>
  <c r="BV7" i="14"/>
  <c r="CA27" i="14"/>
  <c r="CA11" i="14"/>
  <c r="CA41" i="14"/>
  <c r="CA13" i="14"/>
  <c r="CA18" i="14"/>
  <c r="BV19" i="14"/>
  <c r="CA17" i="14"/>
  <c r="BV32" i="14"/>
  <c r="CA19" i="14"/>
  <c r="CA36" i="14"/>
  <c r="CA33" i="14"/>
  <c r="CA10" i="14"/>
  <c r="Z27" i="13"/>
  <c r="CX27" i="14" s="1"/>
  <c r="CC27" i="14"/>
  <c r="Z13" i="13"/>
  <c r="CX13" i="14" s="1"/>
  <c r="CC13" i="14"/>
  <c r="Z41" i="13"/>
  <c r="CX41" i="14" s="1"/>
  <c r="CC41" i="14"/>
  <c r="Z25" i="13"/>
  <c r="CX25" i="14" s="1"/>
  <c r="CC25" i="14"/>
  <c r="Z7" i="13"/>
  <c r="CX7" i="14" s="1"/>
  <c r="CC7" i="14"/>
  <c r="Z32" i="13"/>
  <c r="CX32" i="14" s="1"/>
  <c r="CC32" i="14"/>
  <c r="Z23" i="13"/>
  <c r="CX23" i="14" s="1"/>
  <c r="CC23" i="14"/>
  <c r="V42" i="12"/>
  <c r="K4" i="12"/>
  <c r="U42" i="14"/>
  <c r="CQ35" i="14"/>
  <c r="U42" i="11"/>
  <c r="V42" i="11"/>
  <c r="BV35" i="14"/>
  <c r="DF42" i="14"/>
  <c r="K4" i="11"/>
  <c r="DF4" i="14"/>
  <c r="K4" i="14" s="1"/>
  <c r="CA35" i="14"/>
  <c r="Z35" i="11"/>
  <c r="CX35" i="14" s="1"/>
  <c r="CC35" i="14"/>
  <c r="CV42" i="14"/>
  <c r="CV4" i="14"/>
  <c r="AU4" i="16"/>
  <c r="AJ4" i="16"/>
  <c r="AQ42" i="16"/>
  <c r="AK4" i="16"/>
  <c r="AK42" i="16" s="1"/>
  <c r="AR42" i="16"/>
  <c r="AM4" i="16"/>
  <c r="AM42" i="16" s="1"/>
  <c r="AT42" i="16"/>
  <c r="AJ35" i="16"/>
  <c r="AN35" i="16" s="1"/>
  <c r="AU35" i="16"/>
  <c r="AA40" i="16"/>
  <c r="AB40" i="16" s="1"/>
  <c r="O40" i="16"/>
  <c r="AA35" i="16"/>
  <c r="AB35" i="16" s="1"/>
  <c r="O35" i="16"/>
  <c r="L4" i="16"/>
  <c r="Z4" i="15" l="1"/>
  <c r="X42" i="13"/>
  <c r="CA23" i="14"/>
  <c r="CC39" i="14"/>
  <c r="CC29" i="14"/>
  <c r="M9" i="13"/>
  <c r="EH9" i="14"/>
  <c r="M9" i="14" s="1"/>
  <c r="Z4" i="12"/>
  <c r="Z4" i="11"/>
  <c r="Z4" i="14"/>
  <c r="AJ42" i="16"/>
  <c r="AN4" i="16"/>
  <c r="AN42" i="16" s="1"/>
  <c r="AU42" i="16"/>
  <c r="AA4" i="16"/>
  <c r="O4" i="16"/>
  <c r="O42" i="16" s="1"/>
  <c r="AN43" i="16" s="1"/>
  <c r="L42" i="16"/>
  <c r="AE9" i="14" l="1"/>
  <c r="AE9" i="13"/>
  <c r="CC42" i="14"/>
  <c r="CC4" i="14"/>
  <c r="AB4" i="16"/>
  <c r="AB42" i="16" s="1"/>
  <c r="AA42" i="16"/>
  <c r="CG9" i="14" l="1"/>
  <c r="EG9" i="14"/>
  <c r="CX42" i="14"/>
  <c r="CX4" i="14"/>
  <c r="AU43" i="16"/>
  <c r="O43" i="16"/>
  <c r="DB9" i="14" l="1"/>
  <c r="G9" i="13"/>
  <c r="CK9" i="14"/>
  <c r="G9" i="14" s="1"/>
  <c r="D4" i="30"/>
  <c r="V9" i="14" l="1"/>
  <c r="V9" i="13"/>
  <c r="K9" i="13"/>
  <c r="DF9" i="14"/>
  <c r="K9" i="14" s="1"/>
  <c r="Z9" i="14" s="1"/>
  <c r="S4" i="30"/>
  <c r="Z9" i="13" l="1"/>
  <c r="CX9" i="14" s="1"/>
  <c r="J36" i="30"/>
  <c r="D36" i="30"/>
  <c r="D33" i="30"/>
  <c r="J32" i="30"/>
  <c r="J34" i="30"/>
  <c r="C35" i="30"/>
  <c r="D32" i="30"/>
  <c r="C34" i="30"/>
  <c r="J35" i="30"/>
  <c r="J33" i="30"/>
  <c r="D35" i="30"/>
  <c r="C32" i="30"/>
  <c r="D34" i="30"/>
  <c r="C33" i="30"/>
  <c r="CC9" i="14" l="1"/>
  <c r="E33" i="30"/>
  <c r="S35" i="30"/>
  <c r="E35" i="30"/>
  <c r="Y34" i="30"/>
  <c r="S36" i="30"/>
  <c r="Y33" i="30"/>
  <c r="E34" i="30"/>
  <c r="S32" i="30"/>
  <c r="Y32" i="30"/>
  <c r="S34" i="30"/>
  <c r="E32" i="30"/>
  <c r="Y35" i="30"/>
  <c r="S33" i="30"/>
  <c r="Y36" i="30"/>
  <c r="R35" i="30"/>
  <c r="R33" i="30"/>
  <c r="R34" i="30"/>
  <c r="R32" i="30"/>
  <c r="H33" i="30" l="1"/>
  <c r="H32" i="30"/>
  <c r="H34" i="30"/>
  <c r="H35" i="30"/>
  <c r="T32" i="30"/>
  <c r="T34" i="30"/>
  <c r="T35" i="30"/>
  <c r="T33" i="30"/>
  <c r="G35" i="30" l="1"/>
  <c r="V35" i="30" s="1"/>
  <c r="W34" i="30"/>
  <c r="I34" i="30" s="1"/>
  <c r="W32" i="30"/>
  <c r="I32" i="30" s="1"/>
  <c r="G34" i="30"/>
  <c r="V34" i="30" s="1"/>
  <c r="G32" i="30"/>
  <c r="V32" i="30" s="1"/>
  <c r="W33" i="30"/>
  <c r="I33" i="30" s="1"/>
  <c r="W35" i="30"/>
  <c r="I35" i="30" s="1"/>
  <c r="G33" i="30"/>
  <c r="V33" i="30" s="1"/>
  <c r="D28" i="30"/>
  <c r="J11" i="30"/>
  <c r="J21" i="30"/>
  <c r="J39" i="30"/>
  <c r="J18" i="30"/>
  <c r="J16" i="30"/>
  <c r="J13" i="30"/>
  <c r="J29" i="30"/>
  <c r="D13" i="30"/>
  <c r="D29" i="30"/>
  <c r="D27" i="30"/>
  <c r="D14" i="30"/>
  <c r="D17" i="30"/>
  <c r="D20" i="30"/>
  <c r="D30" i="30"/>
  <c r="D10" i="30"/>
  <c r="D39" i="30"/>
  <c r="C19" i="30"/>
  <c r="C10" i="30"/>
  <c r="C22" i="30"/>
  <c r="C30" i="30"/>
  <c r="C28" i="30"/>
  <c r="J9" i="30"/>
  <c r="J25" i="30"/>
  <c r="J28" i="30"/>
  <c r="D7" i="30"/>
  <c r="D31" i="30"/>
  <c r="D8" i="30"/>
  <c r="C26" i="30"/>
  <c r="C9" i="30"/>
  <c r="C6" i="30"/>
  <c r="J17" i="30"/>
  <c r="C27" i="30"/>
  <c r="J10" i="30"/>
  <c r="J26" i="30"/>
  <c r="J20" i="30"/>
  <c r="J38" i="30"/>
  <c r="D6" i="30"/>
  <c r="D5" i="30"/>
  <c r="D11" i="30"/>
  <c r="J14" i="30"/>
  <c r="J8" i="30"/>
  <c r="J24" i="30"/>
  <c r="J27" i="30"/>
  <c r="J7" i="30"/>
  <c r="J4" i="30"/>
  <c r="D21" i="30"/>
  <c r="C5" i="30"/>
  <c r="C25" i="30"/>
  <c r="C31" i="30"/>
  <c r="C14" i="30"/>
  <c r="C38" i="30"/>
  <c r="J5" i="30"/>
  <c r="J12" i="30"/>
  <c r="J15" i="30"/>
  <c r="J31" i="30"/>
  <c r="J23" i="30"/>
  <c r="J41" i="30"/>
  <c r="J30" i="30"/>
  <c r="J19" i="30"/>
  <c r="D22" i="30"/>
  <c r="D25" i="30"/>
  <c r="D40" i="30"/>
  <c r="D9" i="30"/>
  <c r="D37" i="30"/>
  <c r="D23" i="30"/>
  <c r="D38" i="30"/>
  <c r="C21" i="30"/>
  <c r="C8" i="30"/>
  <c r="C18" i="30"/>
  <c r="C24" i="30"/>
  <c r="C29" i="30"/>
  <c r="C20" i="30"/>
  <c r="C37" i="30"/>
  <c r="C16" i="30"/>
  <c r="C40" i="30"/>
  <c r="C7" i="30"/>
  <c r="J6" i="30"/>
  <c r="J22" i="30"/>
  <c r="J40" i="30"/>
  <c r="J37" i="30"/>
  <c r="D15" i="30"/>
  <c r="D16" i="30"/>
  <c r="D26" i="30"/>
  <c r="D18" i="30"/>
  <c r="D24" i="30"/>
  <c r="D12" i="30"/>
  <c r="D41" i="30"/>
  <c r="D19" i="30"/>
  <c r="C39" i="30"/>
  <c r="C15" i="30"/>
  <c r="C12" i="30"/>
  <c r="C23" i="30"/>
  <c r="C36" i="30"/>
  <c r="C41" i="30"/>
  <c r="C11" i="30"/>
  <c r="C13" i="30"/>
  <c r="C17" i="30"/>
  <c r="E17" i="30" l="1"/>
  <c r="E36" i="30"/>
  <c r="E39" i="30"/>
  <c r="S24" i="30"/>
  <c r="S15" i="30"/>
  <c r="Y6" i="30"/>
  <c r="E37" i="30"/>
  <c r="E18" i="30"/>
  <c r="S25" i="30"/>
  <c r="Y19" i="30"/>
  <c r="Y31" i="30"/>
  <c r="E38" i="30"/>
  <c r="E5" i="30"/>
  <c r="Y27" i="30"/>
  <c r="S11" i="30"/>
  <c r="Y38" i="30"/>
  <c r="E27" i="30"/>
  <c r="Y17" i="30"/>
  <c r="S8" i="30"/>
  <c r="Y9" i="30"/>
  <c r="E10" i="30"/>
  <c r="S30" i="30"/>
  <c r="S27" i="30"/>
  <c r="Y29" i="30"/>
  <c r="Y39" i="30"/>
  <c r="F32" i="30"/>
  <c r="E13" i="30"/>
  <c r="E23" i="30"/>
  <c r="S19" i="30"/>
  <c r="S18" i="30"/>
  <c r="Y37" i="30"/>
  <c r="E20" i="30"/>
  <c r="E8" i="30"/>
  <c r="S37" i="30"/>
  <c r="S22" i="30"/>
  <c r="Y30" i="30"/>
  <c r="Y15" i="30"/>
  <c r="E14" i="30"/>
  <c r="S21" i="30"/>
  <c r="Y24" i="30"/>
  <c r="S5" i="30"/>
  <c r="Y20" i="30"/>
  <c r="E6" i="30"/>
  <c r="S31" i="30"/>
  <c r="E28" i="30"/>
  <c r="E19" i="30"/>
  <c r="S20" i="30"/>
  <c r="S29" i="30"/>
  <c r="Y13" i="30"/>
  <c r="Y21" i="30"/>
  <c r="X32" i="30"/>
  <c r="E11" i="30"/>
  <c r="E12" i="30"/>
  <c r="S41" i="30"/>
  <c r="S26" i="30"/>
  <c r="Y40" i="30"/>
  <c r="E40" i="30"/>
  <c r="E29" i="30"/>
  <c r="E21" i="30"/>
  <c r="S9" i="30"/>
  <c r="Y41" i="30"/>
  <c r="Y12" i="30"/>
  <c r="E31" i="30"/>
  <c r="Y8" i="30"/>
  <c r="S6" i="30"/>
  <c r="Y26" i="30"/>
  <c r="E9" i="30"/>
  <c r="S7" i="30"/>
  <c r="Y28" i="30"/>
  <c r="E30" i="30"/>
  <c r="S39" i="30"/>
  <c r="S17" i="30"/>
  <c r="S13" i="30"/>
  <c r="Y16" i="30"/>
  <c r="Y11" i="30"/>
  <c r="F35" i="30"/>
  <c r="F33" i="30"/>
  <c r="F34" i="30"/>
  <c r="E41" i="30"/>
  <c r="E15" i="30"/>
  <c r="S12" i="30"/>
  <c r="S16" i="30"/>
  <c r="Y22" i="30"/>
  <c r="E16" i="30"/>
  <c r="E24" i="30"/>
  <c r="S38" i="30"/>
  <c r="S40" i="30"/>
  <c r="Y23" i="30"/>
  <c r="Y5" i="30"/>
  <c r="E25" i="30"/>
  <c r="Y7" i="30"/>
  <c r="Y14" i="30"/>
  <c r="Y10" i="30"/>
  <c r="E26" i="30"/>
  <c r="Y25" i="30"/>
  <c r="E22" i="30"/>
  <c r="S10" i="30"/>
  <c r="S14" i="30"/>
  <c r="Y18" i="30"/>
  <c r="S28" i="30"/>
  <c r="X35" i="30"/>
  <c r="X33" i="30"/>
  <c r="X34" i="30"/>
  <c r="Y4" i="30"/>
  <c r="J42" i="30"/>
  <c r="C75" i="30" s="1"/>
  <c r="S23" i="30"/>
  <c r="D42" i="30"/>
  <c r="C69" i="30" s="1"/>
  <c r="R12" i="30"/>
  <c r="R7" i="30"/>
  <c r="H7" i="30" s="1"/>
  <c r="R20" i="30"/>
  <c r="R8" i="30"/>
  <c r="H8" i="30" s="1"/>
  <c r="R14" i="30"/>
  <c r="R28" i="30"/>
  <c r="R19" i="30"/>
  <c r="C4" i="30"/>
  <c r="R41" i="30"/>
  <c r="R15" i="30"/>
  <c r="R40" i="30"/>
  <c r="R29" i="30"/>
  <c r="R21" i="30"/>
  <c r="R31" i="30"/>
  <c r="R6" i="30"/>
  <c r="R30" i="30"/>
  <c r="R36" i="30"/>
  <c r="R16" i="30"/>
  <c r="H16" i="30" s="1"/>
  <c r="R24" i="30"/>
  <c r="R25" i="30"/>
  <c r="R27" i="30"/>
  <c r="R9" i="30"/>
  <c r="R22" i="30"/>
  <c r="R17" i="30"/>
  <c r="H17" i="30" s="1"/>
  <c r="R39" i="30"/>
  <c r="R13" i="30"/>
  <c r="R23" i="30"/>
  <c r="H23" i="30" s="1"/>
  <c r="R37" i="30"/>
  <c r="R18" i="30"/>
  <c r="H18" i="30" s="1"/>
  <c r="R38" i="30"/>
  <c r="R5" i="30"/>
  <c r="R26" i="30"/>
  <c r="R10" i="30"/>
  <c r="H10" i="30" s="1"/>
  <c r="R11" i="30"/>
  <c r="H11" i="30" s="1"/>
  <c r="H29" i="30"/>
  <c r="H37" i="30" l="1"/>
  <c r="W17" i="30"/>
  <c r="I17" i="30" s="1"/>
  <c r="H9" i="30"/>
  <c r="H25" i="30"/>
  <c r="H6" i="30"/>
  <c r="W11" i="30"/>
  <c r="I11" i="30" s="1"/>
  <c r="H26" i="30"/>
  <c r="H13" i="30"/>
  <c r="H36" i="30"/>
  <c r="H15" i="30"/>
  <c r="H20" i="30"/>
  <c r="T24" i="30"/>
  <c r="T41" i="30"/>
  <c r="U33" i="30"/>
  <c r="T9" i="30"/>
  <c r="T31" i="30"/>
  <c r="T21" i="30"/>
  <c r="T40" i="30"/>
  <c r="T12" i="30"/>
  <c r="T28" i="30"/>
  <c r="T6" i="30"/>
  <c r="T8" i="30"/>
  <c r="T23" i="30"/>
  <c r="U32" i="30"/>
  <c r="T38" i="30"/>
  <c r="W29" i="30"/>
  <c r="I29" i="30" s="1"/>
  <c r="H38" i="30"/>
  <c r="H22" i="30"/>
  <c r="H27" i="30"/>
  <c r="H24" i="30"/>
  <c r="H30" i="30"/>
  <c r="H31" i="30"/>
  <c r="H19" i="30"/>
  <c r="H14" i="30"/>
  <c r="W7" i="30"/>
  <c r="I7" i="30" s="1"/>
  <c r="S42" i="30"/>
  <c r="T18" i="30"/>
  <c r="T36" i="30"/>
  <c r="H5" i="30"/>
  <c r="W18" i="30"/>
  <c r="I18" i="30" s="1"/>
  <c r="W23" i="30"/>
  <c r="I23" i="30" s="1"/>
  <c r="H39" i="30"/>
  <c r="W16" i="30"/>
  <c r="I16" i="30" s="1"/>
  <c r="H21" i="30"/>
  <c r="H40" i="30"/>
  <c r="H41" i="30"/>
  <c r="W8" i="30"/>
  <c r="I8" i="30" s="1"/>
  <c r="T22" i="30"/>
  <c r="T26" i="30"/>
  <c r="T25" i="30"/>
  <c r="T16" i="30"/>
  <c r="T15" i="30"/>
  <c r="U34" i="30"/>
  <c r="U35" i="30"/>
  <c r="T30" i="30"/>
  <c r="T29" i="30"/>
  <c r="T11" i="30"/>
  <c r="T19" i="30"/>
  <c r="T14" i="30"/>
  <c r="T20" i="30"/>
  <c r="T13" i="30"/>
  <c r="T10" i="30"/>
  <c r="T27" i="30"/>
  <c r="T5" i="30"/>
  <c r="W10" i="30"/>
  <c r="I10" i="30" s="1"/>
  <c r="C42" i="30"/>
  <c r="C68" i="30" s="1"/>
  <c r="H28" i="30"/>
  <c r="H12" i="30"/>
  <c r="Y42" i="30"/>
  <c r="T37" i="30"/>
  <c r="T39" i="30"/>
  <c r="T17" i="30"/>
  <c r="M30" i="30"/>
  <c r="E7" i="30"/>
  <c r="R4" i="30"/>
  <c r="X10" i="30" l="1"/>
  <c r="G11" i="30"/>
  <c r="V11" i="30" s="1"/>
  <c r="G18" i="30"/>
  <c r="V18" i="30" s="1"/>
  <c r="G17" i="30"/>
  <c r="V17" i="30" s="1"/>
  <c r="G29" i="30"/>
  <c r="V29" i="30" s="1"/>
  <c r="G30" i="30"/>
  <c r="V30" i="30" s="1"/>
  <c r="W12" i="30"/>
  <c r="I12" i="30" s="1"/>
  <c r="G41" i="30"/>
  <c r="V41" i="30" s="1"/>
  <c r="G21" i="30"/>
  <c r="V21" i="30" s="1"/>
  <c r="G39" i="30"/>
  <c r="V39" i="30" s="1"/>
  <c r="X18" i="30"/>
  <c r="G14" i="30"/>
  <c r="V14" i="30" s="1"/>
  <c r="G31" i="30"/>
  <c r="V31" i="30" s="1"/>
  <c r="G24" i="30"/>
  <c r="V24" i="30" s="1"/>
  <c r="G22" i="30"/>
  <c r="V22" i="30" s="1"/>
  <c r="X29" i="30"/>
  <c r="W15" i="30"/>
  <c r="I15" i="30" s="1"/>
  <c r="W13" i="30"/>
  <c r="I13" i="30" s="1"/>
  <c r="F11" i="30"/>
  <c r="W25" i="30"/>
  <c r="I25" i="30" s="1"/>
  <c r="F17" i="30"/>
  <c r="G10" i="30"/>
  <c r="V10" i="30" s="1"/>
  <c r="G23" i="30"/>
  <c r="V23" i="30" s="1"/>
  <c r="G12" i="30"/>
  <c r="V12" i="30" s="1"/>
  <c r="F8" i="30"/>
  <c r="W40" i="30"/>
  <c r="I40" i="30" s="1"/>
  <c r="F16" i="30"/>
  <c r="F23" i="30"/>
  <c r="W5" i="30"/>
  <c r="I5" i="30" s="1"/>
  <c r="F7" i="30"/>
  <c r="W19" i="30"/>
  <c r="I19" i="30" s="1"/>
  <c r="W30" i="30"/>
  <c r="I30" i="30" s="1"/>
  <c r="W27" i="30"/>
  <c r="I27" i="30" s="1"/>
  <c r="W38" i="30"/>
  <c r="I38" i="30" s="1"/>
  <c r="G15" i="30"/>
  <c r="V15" i="30" s="1"/>
  <c r="G13" i="30"/>
  <c r="V13" i="30" s="1"/>
  <c r="X11" i="30"/>
  <c r="G25" i="30"/>
  <c r="V25" i="30" s="1"/>
  <c r="X17" i="30"/>
  <c r="G16" i="30"/>
  <c r="V16" i="30" s="1"/>
  <c r="W28" i="30"/>
  <c r="I28" i="30" s="1"/>
  <c r="F10" i="30"/>
  <c r="X8" i="30"/>
  <c r="G40" i="30"/>
  <c r="V40" i="30" s="1"/>
  <c r="X16" i="30"/>
  <c r="X23" i="30"/>
  <c r="G5" i="30"/>
  <c r="V5" i="30" s="1"/>
  <c r="X7" i="30"/>
  <c r="G19" i="30"/>
  <c r="V19" i="30" s="1"/>
  <c r="G27" i="30"/>
  <c r="V27" i="30" s="1"/>
  <c r="G38" i="30"/>
  <c r="V38" i="30" s="1"/>
  <c r="W20" i="30"/>
  <c r="I20" i="30" s="1"/>
  <c r="W36" i="30"/>
  <c r="I36" i="30" s="1"/>
  <c r="W26" i="30"/>
  <c r="I26" i="30" s="1"/>
  <c r="W6" i="30"/>
  <c r="I6" i="30" s="1"/>
  <c r="W9" i="30"/>
  <c r="I9" i="30" s="1"/>
  <c r="W37" i="30"/>
  <c r="I37" i="30" s="1"/>
  <c r="G28" i="30"/>
  <c r="V28" i="30" s="1"/>
  <c r="W41" i="30"/>
  <c r="I41" i="30" s="1"/>
  <c r="W21" i="30"/>
  <c r="I21" i="30" s="1"/>
  <c r="W39" i="30"/>
  <c r="I39" i="30" s="1"/>
  <c r="F18" i="30"/>
  <c r="W14" i="30"/>
  <c r="I14" i="30" s="1"/>
  <c r="W31" i="30"/>
  <c r="I31" i="30" s="1"/>
  <c r="W24" i="30"/>
  <c r="I24" i="30" s="1"/>
  <c r="W22" i="30"/>
  <c r="I22" i="30" s="1"/>
  <c r="F29" i="30"/>
  <c r="G20" i="30"/>
  <c r="V20" i="30" s="1"/>
  <c r="G36" i="30"/>
  <c r="V36" i="30" s="1"/>
  <c r="G26" i="30"/>
  <c r="V26" i="30" s="1"/>
  <c r="G6" i="30"/>
  <c r="V6" i="30" s="1"/>
  <c r="G9" i="30"/>
  <c r="V9" i="30" s="1"/>
  <c r="G37" i="30"/>
  <c r="V37" i="30" s="1"/>
  <c r="AE30" i="30"/>
  <c r="T7" i="30"/>
  <c r="R42" i="30"/>
  <c r="F24" i="30" l="1"/>
  <c r="X21" i="30"/>
  <c r="F37" i="30"/>
  <c r="F6" i="30"/>
  <c r="U29" i="30"/>
  <c r="X24" i="30"/>
  <c r="X14" i="30"/>
  <c r="F39" i="30"/>
  <c r="F41" i="30"/>
  <c r="X37" i="30"/>
  <c r="X6" i="30"/>
  <c r="X36" i="30"/>
  <c r="F27" i="30"/>
  <c r="F19" i="30"/>
  <c r="U23" i="30"/>
  <c r="X40" i="30"/>
  <c r="F15" i="30"/>
  <c r="E4" i="30"/>
  <c r="F22" i="30"/>
  <c r="F31" i="30"/>
  <c r="X39" i="30"/>
  <c r="X41" i="30"/>
  <c r="F9" i="30"/>
  <c r="F26" i="30"/>
  <c r="F20" i="30"/>
  <c r="U10" i="30"/>
  <c r="X27" i="30"/>
  <c r="X19" i="30"/>
  <c r="F5" i="30"/>
  <c r="U17" i="30"/>
  <c r="U11" i="30"/>
  <c r="X15" i="30"/>
  <c r="X22" i="30"/>
  <c r="X31" i="30"/>
  <c r="F21" i="30"/>
  <c r="X9" i="30"/>
  <c r="X26" i="30"/>
  <c r="X20" i="30"/>
  <c r="F28" i="30"/>
  <c r="F38" i="30"/>
  <c r="F30" i="30"/>
  <c r="X5" i="30"/>
  <c r="U16" i="30"/>
  <c r="U8" i="30"/>
  <c r="H4" i="30"/>
  <c r="F25" i="30"/>
  <c r="F13" i="30"/>
  <c r="F12" i="30"/>
  <c r="F14" i="30"/>
  <c r="U18" i="30"/>
  <c r="F36" i="30"/>
  <c r="X28" i="30"/>
  <c r="X38" i="30"/>
  <c r="X30" i="30"/>
  <c r="U7" i="30"/>
  <c r="F40" i="30"/>
  <c r="X25" i="30"/>
  <c r="X13" i="30"/>
  <c r="X12" i="30"/>
  <c r="K23" i="30" l="1"/>
  <c r="U14" i="30"/>
  <c r="U40" i="30"/>
  <c r="W4" i="30"/>
  <c r="H42" i="30"/>
  <c r="C73" i="30" s="1"/>
  <c r="T4" i="30"/>
  <c r="E42" i="30"/>
  <c r="C70" i="30" s="1"/>
  <c r="K17" i="30"/>
  <c r="U13" i="30"/>
  <c r="U30" i="30"/>
  <c r="U28" i="30"/>
  <c r="U21" i="30"/>
  <c r="U20" i="30"/>
  <c r="U9" i="30"/>
  <c r="U22" i="30"/>
  <c r="K18" i="30"/>
  <c r="U15" i="30"/>
  <c r="U27" i="30"/>
  <c r="U41" i="30"/>
  <c r="U37" i="30"/>
  <c r="U24" i="30"/>
  <c r="U36" i="30"/>
  <c r="K11" i="30"/>
  <c r="K29" i="30"/>
  <c r="K16" i="30"/>
  <c r="U12" i="30"/>
  <c r="U25" i="30"/>
  <c r="U38" i="30"/>
  <c r="K10" i="30"/>
  <c r="U5" i="30"/>
  <c r="U26" i="30"/>
  <c r="U31" i="30"/>
  <c r="U19" i="30"/>
  <c r="U39" i="30"/>
  <c r="U6" i="30"/>
  <c r="Z16" i="30" l="1"/>
  <c r="M4" i="30"/>
  <c r="G8" i="30"/>
  <c r="Z11" i="30"/>
  <c r="Z18" i="30"/>
  <c r="Z17" i="30"/>
  <c r="W42" i="30"/>
  <c r="G7" i="30"/>
  <c r="T42" i="30"/>
  <c r="Z10" i="30"/>
  <c r="Z29" i="30"/>
  <c r="Z23" i="30"/>
  <c r="V8" i="30" l="1"/>
  <c r="V7" i="30"/>
  <c r="AE4" i="30"/>
  <c r="F4" i="30"/>
  <c r="U4" i="30" l="1"/>
  <c r="F42" i="30"/>
  <c r="C71" i="30" s="1"/>
  <c r="I4" i="30"/>
  <c r="U42" i="30" l="1"/>
  <c r="G4" i="30"/>
  <c r="X4" i="30"/>
  <c r="I42" i="30"/>
  <c r="C74" i="30" s="1"/>
  <c r="X42" i="30" l="1"/>
  <c r="V4" i="30"/>
  <c r="G42" i="30"/>
  <c r="C72" i="30" s="1"/>
  <c r="V42" i="30" l="1"/>
  <c r="K4" i="30"/>
  <c r="Z4" i="30" l="1"/>
  <c r="D5" i="19" l="1"/>
  <c r="S5" i="19" l="1"/>
  <c r="D14" i="19"/>
  <c r="D7" i="19"/>
  <c r="D19" i="19"/>
  <c r="C32" i="19"/>
  <c r="D28" i="19"/>
  <c r="D20" i="19"/>
  <c r="C26" i="19"/>
  <c r="D8" i="19"/>
  <c r="C11" i="19"/>
  <c r="D27" i="19"/>
  <c r="D23" i="19"/>
  <c r="D29" i="19"/>
  <c r="D36" i="19"/>
  <c r="D6" i="19"/>
  <c r="D37" i="19"/>
  <c r="C36" i="19"/>
  <c r="D13" i="19"/>
  <c r="D10" i="19"/>
  <c r="D18" i="19"/>
  <c r="D25" i="19"/>
  <c r="C18" i="19"/>
  <c r="C12" i="19"/>
  <c r="C27" i="19"/>
  <c r="D34" i="19"/>
  <c r="C16" i="19"/>
  <c r="C30" i="19"/>
  <c r="D11" i="19"/>
  <c r="C28" i="19"/>
  <c r="R36" i="19" l="1"/>
  <c r="E36" i="19"/>
  <c r="S37" i="19"/>
  <c r="R11" i="19"/>
  <c r="S8" i="19"/>
  <c r="S14" i="19"/>
  <c r="R28" i="19"/>
  <c r="E28" i="19"/>
  <c r="R30" i="19"/>
  <c r="E30" i="19"/>
  <c r="R18" i="19"/>
  <c r="E18" i="19"/>
  <c r="S10" i="19"/>
  <c r="S13" i="19"/>
  <c r="S6" i="19"/>
  <c r="S29" i="19"/>
  <c r="S23" i="19"/>
  <c r="S28" i="19"/>
  <c r="R32" i="19"/>
  <c r="E32" i="19"/>
  <c r="R16" i="19"/>
  <c r="S34" i="19"/>
  <c r="R12" i="19"/>
  <c r="S25" i="19"/>
  <c r="S27" i="19"/>
  <c r="S19" i="19"/>
  <c r="S11" i="19"/>
  <c r="R27" i="19"/>
  <c r="E27" i="19"/>
  <c r="S18" i="19"/>
  <c r="S36" i="19"/>
  <c r="R26" i="19"/>
  <c r="E26" i="19"/>
  <c r="S20" i="19"/>
  <c r="S7" i="19"/>
  <c r="D38" i="19"/>
  <c r="C35" i="19"/>
  <c r="C7" i="19"/>
  <c r="D22" i="19"/>
  <c r="C40" i="19"/>
  <c r="C10" i="19"/>
  <c r="D31" i="19"/>
  <c r="H12" i="19"/>
  <c r="H16" i="19"/>
  <c r="D15" i="19"/>
  <c r="C25" i="19"/>
  <c r="E12" i="19"/>
  <c r="D40" i="19"/>
  <c r="D9" i="19"/>
  <c r="C24" i="19"/>
  <c r="C39" i="19"/>
  <c r="C13" i="19"/>
  <c r="D39" i="19"/>
  <c r="C41" i="19"/>
  <c r="C23" i="19"/>
  <c r="C21" i="19"/>
  <c r="D35" i="19"/>
  <c r="C20" i="19"/>
  <c r="D33" i="19"/>
  <c r="C9" i="19"/>
  <c r="C14" i="19"/>
  <c r="D17" i="19"/>
  <c r="D30" i="19"/>
  <c r="C29" i="19"/>
  <c r="H28" i="19"/>
  <c r="D21" i="19"/>
  <c r="C19" i="19"/>
  <c r="D26" i="19"/>
  <c r="C15" i="19"/>
  <c r="C37" i="19"/>
  <c r="C33" i="19"/>
  <c r="D32" i="19"/>
  <c r="E11" i="19"/>
  <c r="D24" i="19"/>
  <c r="H11" i="19"/>
  <c r="C8" i="19"/>
  <c r="H26" i="19"/>
  <c r="H18" i="19"/>
  <c r="D12" i="19"/>
  <c r="D41" i="19"/>
  <c r="H30" i="19"/>
  <c r="C31" i="19"/>
  <c r="H27" i="19"/>
  <c r="C5" i="19"/>
  <c r="E16" i="19"/>
  <c r="D4" i="19"/>
  <c r="D16" i="19"/>
  <c r="H32" i="19"/>
  <c r="C6" i="19"/>
  <c r="C17" i="19"/>
  <c r="C4" i="19"/>
  <c r="H36" i="19"/>
  <c r="C22" i="19"/>
  <c r="C38" i="19"/>
  <c r="C34" i="19"/>
  <c r="R5" i="19" l="1"/>
  <c r="H5" i="19" s="1"/>
  <c r="E5" i="19"/>
  <c r="R34" i="19"/>
  <c r="H34" i="19" s="1"/>
  <c r="E34" i="19"/>
  <c r="R22" i="19"/>
  <c r="H22" i="19" s="1"/>
  <c r="E22" i="19"/>
  <c r="W36" i="19"/>
  <c r="F36" i="19"/>
  <c r="R38" i="19"/>
  <c r="H38" i="19" s="1"/>
  <c r="E38" i="19"/>
  <c r="R17" i="19"/>
  <c r="H17" i="19" s="1"/>
  <c r="E17" i="19"/>
  <c r="T16" i="19"/>
  <c r="R31" i="19"/>
  <c r="H31" i="19" s="1"/>
  <c r="E31" i="19"/>
  <c r="W28" i="19"/>
  <c r="F28" i="19"/>
  <c r="R14" i="19"/>
  <c r="H14" i="19" s="1"/>
  <c r="E14" i="19"/>
  <c r="R23" i="19"/>
  <c r="H23" i="19" s="1"/>
  <c r="E23" i="19"/>
  <c r="R41" i="19"/>
  <c r="H41" i="19" s="1"/>
  <c r="E41" i="19"/>
  <c r="S40" i="19"/>
  <c r="S15" i="19"/>
  <c r="W12" i="19"/>
  <c r="F12" i="19"/>
  <c r="R10" i="19"/>
  <c r="H10" i="19" s="1"/>
  <c r="E10" i="19"/>
  <c r="T26" i="19"/>
  <c r="T18" i="19"/>
  <c r="T28" i="19"/>
  <c r="R8" i="19"/>
  <c r="H8" i="19" s="1"/>
  <c r="E8" i="19"/>
  <c r="R33" i="19"/>
  <c r="H33" i="19" s="1"/>
  <c r="E33" i="19"/>
  <c r="S21" i="19"/>
  <c r="S30" i="19"/>
  <c r="R9" i="19"/>
  <c r="H9" i="19" s="1"/>
  <c r="E9" i="19"/>
  <c r="S33" i="19"/>
  <c r="S35" i="19"/>
  <c r="R13" i="19"/>
  <c r="H13" i="19" s="1"/>
  <c r="E13" i="19"/>
  <c r="R25" i="19"/>
  <c r="H25" i="19" s="1"/>
  <c r="E25" i="19"/>
  <c r="W16" i="19"/>
  <c r="F16" i="19"/>
  <c r="R40" i="19"/>
  <c r="H40" i="19" s="1"/>
  <c r="E40" i="19"/>
  <c r="W32" i="19"/>
  <c r="F32" i="19"/>
  <c r="W30" i="19"/>
  <c r="F30" i="19"/>
  <c r="R6" i="19"/>
  <c r="H6" i="19" s="1"/>
  <c r="E6" i="19"/>
  <c r="S16" i="19"/>
  <c r="W27" i="19"/>
  <c r="F27" i="19"/>
  <c r="S12" i="19"/>
  <c r="W18" i="19"/>
  <c r="F18" i="19"/>
  <c r="T11" i="19"/>
  <c r="R37" i="19"/>
  <c r="H37" i="19" s="1"/>
  <c r="E37" i="19"/>
  <c r="S26" i="19"/>
  <c r="R20" i="19"/>
  <c r="H20" i="19" s="1"/>
  <c r="E20" i="19"/>
  <c r="R21" i="19"/>
  <c r="H21" i="19" s="1"/>
  <c r="E21" i="19"/>
  <c r="R24" i="19"/>
  <c r="H24" i="19" s="1"/>
  <c r="E24" i="19"/>
  <c r="S31" i="19"/>
  <c r="R7" i="19"/>
  <c r="H7" i="19" s="1"/>
  <c r="E7" i="19"/>
  <c r="S38" i="19"/>
  <c r="T27" i="19"/>
  <c r="T32" i="19"/>
  <c r="T30" i="19"/>
  <c r="T36" i="19"/>
  <c r="S41" i="19"/>
  <c r="W26" i="19"/>
  <c r="F26" i="19"/>
  <c r="W11" i="19"/>
  <c r="F11" i="19"/>
  <c r="S24" i="19"/>
  <c r="S32" i="19"/>
  <c r="R15" i="19"/>
  <c r="H15" i="19" s="1"/>
  <c r="E15" i="19"/>
  <c r="R19" i="19"/>
  <c r="H19" i="19" s="1"/>
  <c r="E19" i="19"/>
  <c r="R29" i="19"/>
  <c r="H29" i="19" s="1"/>
  <c r="E29" i="19"/>
  <c r="S17" i="19"/>
  <c r="S39" i="19"/>
  <c r="R39" i="19"/>
  <c r="H39" i="19" s="1"/>
  <c r="E39" i="19"/>
  <c r="S9" i="19"/>
  <c r="T12" i="19"/>
  <c r="S22" i="19"/>
  <c r="R35" i="19"/>
  <c r="H35" i="19" s="1"/>
  <c r="E35" i="19"/>
  <c r="S4" i="19"/>
  <c r="D42" i="19"/>
  <c r="R4" i="19"/>
  <c r="C42" i="19"/>
  <c r="W19" i="19" l="1"/>
  <c r="F19" i="19"/>
  <c r="R42" i="19"/>
  <c r="W15" i="19"/>
  <c r="F15" i="19"/>
  <c r="W21" i="19"/>
  <c r="F21" i="19"/>
  <c r="S42" i="19"/>
  <c r="T35" i="19"/>
  <c r="T39" i="19"/>
  <c r="T19" i="19"/>
  <c r="U11" i="19"/>
  <c r="T7" i="19"/>
  <c r="T24" i="19"/>
  <c r="T20" i="19"/>
  <c r="T37" i="19"/>
  <c r="U18" i="19"/>
  <c r="U27" i="19"/>
  <c r="T6" i="19"/>
  <c r="U32" i="19"/>
  <c r="U16" i="19"/>
  <c r="T13" i="19"/>
  <c r="T33" i="19"/>
  <c r="U12" i="19"/>
  <c r="T23" i="19"/>
  <c r="U28" i="19"/>
  <c r="E4" i="19"/>
  <c r="U36" i="19"/>
  <c r="T34" i="19"/>
  <c r="W39" i="19"/>
  <c r="F39" i="19"/>
  <c r="W7" i="19"/>
  <c r="F7" i="19"/>
  <c r="W24" i="19"/>
  <c r="F24" i="19"/>
  <c r="W20" i="19"/>
  <c r="F20" i="19"/>
  <c r="W37" i="19"/>
  <c r="F37" i="19"/>
  <c r="W6" i="19"/>
  <c r="F6" i="19"/>
  <c r="W13" i="19"/>
  <c r="F13" i="19"/>
  <c r="W33" i="19"/>
  <c r="F33" i="19"/>
  <c r="W23" i="19"/>
  <c r="F23" i="19"/>
  <c r="W34" i="19"/>
  <c r="F34" i="19"/>
  <c r="W35" i="19"/>
  <c r="F35" i="19"/>
  <c r="T29" i="19"/>
  <c r="T15" i="19"/>
  <c r="U26" i="19"/>
  <c r="T21" i="19"/>
  <c r="U30" i="19"/>
  <c r="T40" i="19"/>
  <c r="T25" i="19"/>
  <c r="T9" i="19"/>
  <c r="T8" i="19"/>
  <c r="T10" i="19"/>
  <c r="T41" i="19"/>
  <c r="T14" i="19"/>
  <c r="T31" i="19"/>
  <c r="T17" i="19"/>
  <c r="T38" i="19"/>
  <c r="T22" i="19"/>
  <c r="T5" i="19"/>
  <c r="W29" i="19"/>
  <c r="F29" i="19"/>
  <c r="W40" i="19"/>
  <c r="F40" i="19"/>
  <c r="W25" i="19"/>
  <c r="F25" i="19"/>
  <c r="W9" i="19"/>
  <c r="F9" i="19"/>
  <c r="W8" i="19"/>
  <c r="F8" i="19"/>
  <c r="W10" i="19"/>
  <c r="F10" i="19"/>
  <c r="W41" i="19"/>
  <c r="F41" i="19"/>
  <c r="W14" i="19"/>
  <c r="F14" i="19"/>
  <c r="W31" i="19"/>
  <c r="F31" i="19"/>
  <c r="W17" i="19"/>
  <c r="F17" i="19"/>
  <c r="W38" i="19"/>
  <c r="F38" i="19"/>
  <c r="W22" i="19"/>
  <c r="F22" i="19"/>
  <c r="W5" i="19"/>
  <c r="F5" i="19"/>
  <c r="U22" i="19" l="1"/>
  <c r="U17" i="19"/>
  <c r="U14" i="19"/>
  <c r="U10" i="19"/>
  <c r="U9" i="19"/>
  <c r="U40" i="19"/>
  <c r="U34" i="19"/>
  <c r="U33" i="19"/>
  <c r="U6" i="19"/>
  <c r="U20" i="19"/>
  <c r="U7" i="19"/>
  <c r="T4" i="19"/>
  <c r="E42" i="19"/>
  <c r="U21" i="19"/>
  <c r="U5" i="19"/>
  <c r="U38" i="19"/>
  <c r="U31" i="19"/>
  <c r="U41" i="19"/>
  <c r="U8" i="19"/>
  <c r="U25" i="19"/>
  <c r="U29" i="19"/>
  <c r="U35" i="19"/>
  <c r="U23" i="19"/>
  <c r="U13" i="19"/>
  <c r="U37" i="19"/>
  <c r="U24" i="19"/>
  <c r="U39" i="19"/>
  <c r="U15" i="19"/>
  <c r="U19" i="19"/>
  <c r="J36" i="18"/>
  <c r="J27" i="18"/>
  <c r="J28" i="18"/>
  <c r="J16" i="18"/>
  <c r="J18" i="18"/>
  <c r="J17" i="18"/>
  <c r="J30" i="18"/>
  <c r="J13" i="18"/>
  <c r="D34" i="18"/>
  <c r="D36" i="18"/>
  <c r="D28" i="18"/>
  <c r="C28" i="18"/>
  <c r="D20" i="18"/>
  <c r="D14" i="18"/>
  <c r="C36" i="18"/>
  <c r="C26" i="18"/>
  <c r="C30" i="18"/>
  <c r="J31" i="18"/>
  <c r="J29" i="18"/>
  <c r="J11" i="18"/>
  <c r="D10" i="18"/>
  <c r="D6" i="18"/>
  <c r="D19" i="18"/>
  <c r="D37" i="18"/>
  <c r="D13" i="18"/>
  <c r="C18" i="18"/>
  <c r="C32" i="18"/>
  <c r="D25" i="18"/>
  <c r="J35" i="18"/>
  <c r="D27" i="18"/>
  <c r="D23" i="18"/>
  <c r="D18" i="18"/>
  <c r="D11" i="18"/>
  <c r="D39" i="18"/>
  <c r="J38" i="18"/>
  <c r="J12" i="18"/>
  <c r="J14" i="18"/>
  <c r="C11" i="18"/>
  <c r="C12" i="18"/>
  <c r="C16" i="18"/>
  <c r="C27" i="18"/>
  <c r="D29" i="18"/>
  <c r="J6" i="18"/>
  <c r="J8" i="18"/>
  <c r="J10" i="18"/>
  <c r="J37" i="18"/>
  <c r="J15" i="18"/>
  <c r="D7" i="18"/>
  <c r="T42" i="19" l="1"/>
  <c r="H4" i="19"/>
  <c r="R16" i="18"/>
  <c r="H16" i="18" s="1"/>
  <c r="S39" i="18"/>
  <c r="S11" i="18"/>
  <c r="S27" i="18"/>
  <c r="R18" i="18"/>
  <c r="H18" i="18" s="1"/>
  <c r="S37" i="18"/>
  <c r="S14" i="18"/>
  <c r="S36" i="18"/>
  <c r="R12" i="18"/>
  <c r="H12" i="18" s="1"/>
  <c r="S18" i="18"/>
  <c r="S19" i="18"/>
  <c r="R30" i="18"/>
  <c r="H30" i="18" s="1"/>
  <c r="S20" i="18"/>
  <c r="S34" i="18"/>
  <c r="S7" i="18"/>
  <c r="R11" i="18"/>
  <c r="H11" i="18" s="1"/>
  <c r="S6" i="18"/>
  <c r="R26" i="18"/>
  <c r="H26" i="18" s="1"/>
  <c r="R28" i="18"/>
  <c r="H28" i="18" s="1"/>
  <c r="S29" i="18"/>
  <c r="R27" i="18"/>
  <c r="H27" i="18" s="1"/>
  <c r="S23" i="18"/>
  <c r="S25" i="18"/>
  <c r="R32" i="18"/>
  <c r="H32" i="18" s="1"/>
  <c r="S13" i="18"/>
  <c r="S10" i="18"/>
  <c r="R36" i="18"/>
  <c r="H36" i="18" s="1"/>
  <c r="S28" i="18"/>
  <c r="I24" i="19"/>
  <c r="I18" i="19"/>
  <c r="Y8" i="18"/>
  <c r="Y14" i="18"/>
  <c r="Y35" i="18"/>
  <c r="Y31" i="18"/>
  <c r="Y18" i="18"/>
  <c r="Y36" i="18"/>
  <c r="Y6" i="18"/>
  <c r="Y12" i="18"/>
  <c r="Y13" i="18"/>
  <c r="Y16" i="18"/>
  <c r="Y37" i="18"/>
  <c r="Y11" i="18"/>
  <c r="Y30" i="18"/>
  <c r="Y28" i="18"/>
  <c r="Y15" i="18"/>
  <c r="Y10" i="18"/>
  <c r="Y38" i="18"/>
  <c r="Y29" i="18"/>
  <c r="Y17" i="18"/>
  <c r="Y27" i="18"/>
  <c r="I16" i="19"/>
  <c r="I27" i="19"/>
  <c r="I7" i="19"/>
  <c r="I12" i="19"/>
  <c r="I26" i="19"/>
  <c r="I11" i="19"/>
  <c r="I28" i="19"/>
  <c r="I25" i="19"/>
  <c r="J33" i="18"/>
  <c r="J24" i="18"/>
  <c r="J22" i="18"/>
  <c r="J41" i="18"/>
  <c r="J19" i="18"/>
  <c r="J23" i="18"/>
  <c r="J34" i="18"/>
  <c r="J40" i="18"/>
  <c r="J21" i="18"/>
  <c r="E32" i="18"/>
  <c r="E26" i="18"/>
  <c r="D8" i="18"/>
  <c r="D33" i="18"/>
  <c r="D15" i="18"/>
  <c r="D41" i="18"/>
  <c r="D22" i="18"/>
  <c r="D40" i="18"/>
  <c r="D38" i="18"/>
  <c r="D9" i="18"/>
  <c r="D31" i="18"/>
  <c r="D17" i="18"/>
  <c r="D26" i="18"/>
  <c r="D24" i="18"/>
  <c r="D32" i="18"/>
  <c r="D35" i="18"/>
  <c r="D12" i="18"/>
  <c r="D21" i="18"/>
  <c r="C33" i="18"/>
  <c r="C40" i="18"/>
  <c r="C24" i="18"/>
  <c r="C19" i="18"/>
  <c r="C13" i="18"/>
  <c r="C5" i="18"/>
  <c r="C10" i="18"/>
  <c r="C38" i="18"/>
  <c r="C22" i="18"/>
  <c r="C7" i="18"/>
  <c r="C8" i="18"/>
  <c r="C29" i="18"/>
  <c r="C34" i="18"/>
  <c r="C37" i="18"/>
  <c r="C15" i="18"/>
  <c r="C20" i="18"/>
  <c r="C21" i="18"/>
  <c r="C39" i="18"/>
  <c r="C9" i="18"/>
  <c r="C14" i="18"/>
  <c r="C6" i="18"/>
  <c r="C31" i="18"/>
  <c r="C23" i="18"/>
  <c r="C17" i="18"/>
  <c r="C41" i="18"/>
  <c r="C35" i="18"/>
  <c r="C25" i="18"/>
  <c r="J4" i="18"/>
  <c r="C4" i="18"/>
  <c r="D5" i="18"/>
  <c r="J5" i="18"/>
  <c r="D4" i="18"/>
  <c r="X26" i="19" l="1"/>
  <c r="X16" i="19"/>
  <c r="H42" i="19"/>
  <c r="W4" i="19"/>
  <c r="X25" i="19"/>
  <c r="X12" i="19"/>
  <c r="X28" i="19"/>
  <c r="X7" i="19"/>
  <c r="X18" i="19"/>
  <c r="X11" i="19"/>
  <c r="X27" i="19"/>
  <c r="X24" i="19"/>
  <c r="R23" i="18"/>
  <c r="H23" i="18" s="1"/>
  <c r="R10" i="18"/>
  <c r="H10" i="18" s="1"/>
  <c r="S26" i="18"/>
  <c r="S15" i="18"/>
  <c r="T26" i="18"/>
  <c r="S5" i="18"/>
  <c r="R35" i="18"/>
  <c r="H35" i="18" s="1"/>
  <c r="R31" i="18"/>
  <c r="H31" i="18" s="1"/>
  <c r="R39" i="18"/>
  <c r="H39" i="18" s="1"/>
  <c r="R37" i="18"/>
  <c r="H37" i="18" s="1"/>
  <c r="R7" i="18"/>
  <c r="H7" i="18" s="1"/>
  <c r="R5" i="18"/>
  <c r="H5" i="18" s="1"/>
  <c r="R40" i="18"/>
  <c r="H40" i="18" s="1"/>
  <c r="S35" i="18"/>
  <c r="S17" i="18"/>
  <c r="S40" i="18"/>
  <c r="S33" i="18"/>
  <c r="T32" i="18"/>
  <c r="E11" i="18"/>
  <c r="E30" i="18"/>
  <c r="R9" i="18"/>
  <c r="H9" i="18" s="1"/>
  <c r="S12" i="18"/>
  <c r="R21" i="18"/>
  <c r="H21" i="18" s="1"/>
  <c r="R13" i="18"/>
  <c r="H13" i="18" s="1"/>
  <c r="S31" i="18"/>
  <c r="W32" i="18"/>
  <c r="I32" i="18" s="1"/>
  <c r="W26" i="18"/>
  <c r="I26" i="18" s="1"/>
  <c r="W11" i="18"/>
  <c r="I11" i="18" s="1"/>
  <c r="F11" i="18"/>
  <c r="W30" i="18"/>
  <c r="I30" i="18" s="1"/>
  <c r="F30" i="18"/>
  <c r="R25" i="18"/>
  <c r="H25" i="18" s="1"/>
  <c r="R15" i="18"/>
  <c r="H15" i="18" s="1"/>
  <c r="R24" i="18"/>
  <c r="H24" i="18" s="1"/>
  <c r="S38" i="18"/>
  <c r="R41" i="18"/>
  <c r="H41" i="18" s="1"/>
  <c r="R6" i="18"/>
  <c r="H6" i="18" s="1"/>
  <c r="R34" i="18"/>
  <c r="H34" i="18" s="1"/>
  <c r="R22" i="18"/>
  <c r="H22" i="18" s="1"/>
  <c r="R33" i="18"/>
  <c r="H33" i="18" s="1"/>
  <c r="S32" i="18"/>
  <c r="S22" i="18"/>
  <c r="S8" i="18"/>
  <c r="R17" i="18"/>
  <c r="H17" i="18" s="1"/>
  <c r="R14" i="18"/>
  <c r="H14" i="18" s="1"/>
  <c r="R20" i="18"/>
  <c r="H20" i="18" s="1"/>
  <c r="R29" i="18"/>
  <c r="H29" i="18" s="1"/>
  <c r="R38" i="18"/>
  <c r="H38" i="18" s="1"/>
  <c r="R19" i="18"/>
  <c r="H19" i="18" s="1"/>
  <c r="S21" i="18"/>
  <c r="S24" i="18"/>
  <c r="S9" i="18"/>
  <c r="S41" i="18"/>
  <c r="E36" i="18"/>
  <c r="E27" i="18"/>
  <c r="E28" i="18"/>
  <c r="E12" i="18"/>
  <c r="E18" i="18"/>
  <c r="E16" i="18"/>
  <c r="R8" i="18"/>
  <c r="H8" i="18" s="1"/>
  <c r="W36" i="18"/>
  <c r="I36" i="18" s="1"/>
  <c r="F36" i="18"/>
  <c r="W27" i="18"/>
  <c r="I27" i="18" s="1"/>
  <c r="F27" i="18"/>
  <c r="W28" i="18"/>
  <c r="I28" i="18" s="1"/>
  <c r="F28" i="18"/>
  <c r="W12" i="18"/>
  <c r="I12" i="18" s="1"/>
  <c r="F12" i="18"/>
  <c r="W18" i="18"/>
  <c r="I18" i="18" s="1"/>
  <c r="F18" i="18"/>
  <c r="W16" i="18"/>
  <c r="I16" i="18" s="1"/>
  <c r="F16" i="18"/>
  <c r="I20" i="19"/>
  <c r="I15" i="19"/>
  <c r="I8" i="19"/>
  <c r="I23" i="19"/>
  <c r="I19" i="19"/>
  <c r="I21" i="19"/>
  <c r="I10" i="19"/>
  <c r="I34" i="19"/>
  <c r="E4" i="18"/>
  <c r="D16" i="18"/>
  <c r="D30" i="18"/>
  <c r="S4" i="18"/>
  <c r="R4" i="18"/>
  <c r="C42" i="18"/>
  <c r="Y5" i="18"/>
  <c r="Y34" i="18"/>
  <c r="Y19" i="18"/>
  <c r="Y22" i="18"/>
  <c r="Y24" i="18"/>
  <c r="J9" i="18"/>
  <c r="J20" i="18"/>
  <c r="J32" i="18"/>
  <c r="J26" i="18"/>
  <c r="J17" i="19"/>
  <c r="J13" i="19"/>
  <c r="Y4" i="18"/>
  <c r="Y21" i="18"/>
  <c r="Y23" i="18"/>
  <c r="Y41" i="18"/>
  <c r="Y33" i="18"/>
  <c r="J12" i="19"/>
  <c r="J27" i="19"/>
  <c r="J14" i="19"/>
  <c r="Y40" i="18"/>
  <c r="J25" i="18"/>
  <c r="J39" i="18"/>
  <c r="J7" i="18"/>
  <c r="J36" i="19"/>
  <c r="J31" i="19"/>
  <c r="I39" i="19"/>
  <c r="I30" i="19"/>
  <c r="I37" i="19"/>
  <c r="I22" i="19"/>
  <c r="I29" i="19"/>
  <c r="I31" i="19"/>
  <c r="I9" i="19"/>
  <c r="I6" i="19"/>
  <c r="I38" i="19"/>
  <c r="I33" i="19"/>
  <c r="I17" i="19"/>
  <c r="I32" i="19"/>
  <c r="I40" i="19"/>
  <c r="I35" i="19"/>
  <c r="I41" i="19"/>
  <c r="X35" i="19" l="1"/>
  <c r="X31" i="19"/>
  <c r="X40" i="19"/>
  <c r="X29" i="19"/>
  <c r="X39" i="19"/>
  <c r="X32" i="19"/>
  <c r="X6" i="19"/>
  <c r="X22" i="19"/>
  <c r="X41" i="19"/>
  <c r="X17" i="19"/>
  <c r="X9" i="19"/>
  <c r="X37" i="19"/>
  <c r="X21" i="19"/>
  <c r="X8" i="19"/>
  <c r="X20" i="19"/>
  <c r="X30" i="19"/>
  <c r="X19" i="19"/>
  <c r="W42" i="19"/>
  <c r="X33" i="19"/>
  <c r="X38" i="19"/>
  <c r="X34" i="19"/>
  <c r="X10" i="19"/>
  <c r="X23" i="19"/>
  <c r="X15" i="19"/>
  <c r="G10" i="18"/>
  <c r="V10" i="18" s="1"/>
  <c r="G14" i="18"/>
  <c r="V14" i="18" s="1"/>
  <c r="G8" i="18"/>
  <c r="V8" i="18" s="1"/>
  <c r="D42" i="18"/>
  <c r="G27" i="18"/>
  <c r="V27" i="18" s="1"/>
  <c r="R42" i="18"/>
  <c r="G37" i="18"/>
  <c r="V37" i="18" s="1"/>
  <c r="G35" i="18"/>
  <c r="V35" i="18" s="1"/>
  <c r="G31" i="18"/>
  <c r="V31" i="18" s="1"/>
  <c r="G18" i="18"/>
  <c r="G36" i="18"/>
  <c r="X18" i="18"/>
  <c r="X28" i="18"/>
  <c r="X36" i="18"/>
  <c r="T16" i="18"/>
  <c r="T28" i="18"/>
  <c r="W19" i="18"/>
  <c r="I19" i="18" s="1"/>
  <c r="F19" i="18"/>
  <c r="W29" i="18"/>
  <c r="I29" i="18" s="1"/>
  <c r="F29" i="18"/>
  <c r="W14" i="18"/>
  <c r="I14" i="18" s="1"/>
  <c r="F14" i="18"/>
  <c r="W22" i="18"/>
  <c r="I22" i="18" s="1"/>
  <c r="F22" i="18"/>
  <c r="W6" i="18"/>
  <c r="I6" i="18" s="1"/>
  <c r="F6" i="18"/>
  <c r="E24" i="18"/>
  <c r="E25" i="18"/>
  <c r="U11" i="18"/>
  <c r="F32" i="18"/>
  <c r="E13" i="18"/>
  <c r="T30" i="18"/>
  <c r="E5" i="18"/>
  <c r="E37" i="18"/>
  <c r="E31" i="18"/>
  <c r="E10" i="18"/>
  <c r="G15" i="18"/>
  <c r="V15" i="18" s="1"/>
  <c r="G6" i="18"/>
  <c r="V6" i="18" s="1"/>
  <c r="G38" i="18"/>
  <c r="V38" i="18" s="1"/>
  <c r="G13" i="18"/>
  <c r="V13" i="18" s="1"/>
  <c r="G11" i="18"/>
  <c r="U16" i="18"/>
  <c r="U12" i="18"/>
  <c r="U27" i="18"/>
  <c r="E8" i="18"/>
  <c r="E38" i="18"/>
  <c r="E20" i="18"/>
  <c r="E17" i="18"/>
  <c r="E33" i="18"/>
  <c r="E34" i="18"/>
  <c r="E41" i="18"/>
  <c r="W24" i="18"/>
  <c r="I24" i="18" s="1"/>
  <c r="F24" i="18"/>
  <c r="W25" i="18"/>
  <c r="I25" i="18" s="1"/>
  <c r="F25" i="18"/>
  <c r="X11" i="18"/>
  <c r="X32" i="18"/>
  <c r="W13" i="18"/>
  <c r="I13" i="18" s="1"/>
  <c r="F13" i="18"/>
  <c r="W5" i="18"/>
  <c r="I5" i="18" s="1"/>
  <c r="F5" i="18"/>
  <c r="W37" i="18"/>
  <c r="I37" i="18" s="1"/>
  <c r="F37" i="18"/>
  <c r="W31" i="18"/>
  <c r="I31" i="18" s="1"/>
  <c r="F31" i="18"/>
  <c r="W10" i="18"/>
  <c r="I10" i="18" s="1"/>
  <c r="F10" i="18"/>
  <c r="G29" i="18"/>
  <c r="V29" i="18" s="1"/>
  <c r="G17" i="18"/>
  <c r="V17" i="18" s="1"/>
  <c r="G12" i="18"/>
  <c r="X16" i="18"/>
  <c r="X12" i="18"/>
  <c r="X27" i="18"/>
  <c r="W8" i="18"/>
  <c r="I8" i="18" s="1"/>
  <c r="F8" i="18"/>
  <c r="T12" i="18"/>
  <c r="T27" i="18"/>
  <c r="T36" i="18"/>
  <c r="W38" i="18"/>
  <c r="I38" i="18" s="1"/>
  <c r="F38" i="18"/>
  <c r="W20" i="18"/>
  <c r="I20" i="18" s="1"/>
  <c r="F20" i="18"/>
  <c r="W17" i="18"/>
  <c r="I17" i="18" s="1"/>
  <c r="F17" i="18"/>
  <c r="W33" i="18"/>
  <c r="I33" i="18" s="1"/>
  <c r="F33" i="18"/>
  <c r="W34" i="18"/>
  <c r="I34" i="18" s="1"/>
  <c r="F34" i="18"/>
  <c r="W41" i="18"/>
  <c r="I41" i="18" s="1"/>
  <c r="F41" i="18"/>
  <c r="E15" i="18"/>
  <c r="U30" i="18"/>
  <c r="F26" i="18"/>
  <c r="E21" i="18"/>
  <c r="E9" i="18"/>
  <c r="E40" i="18"/>
  <c r="E7" i="18"/>
  <c r="E39" i="18"/>
  <c r="E35" i="18"/>
  <c r="E23" i="18"/>
  <c r="G28" i="18"/>
  <c r="V28" i="18" s="1"/>
  <c r="U18" i="18"/>
  <c r="U28" i="18"/>
  <c r="U36" i="18"/>
  <c r="T18" i="18"/>
  <c r="E19" i="18"/>
  <c r="E29" i="18"/>
  <c r="E14" i="18"/>
  <c r="E22" i="18"/>
  <c r="E6" i="18"/>
  <c r="W15" i="18"/>
  <c r="I15" i="18" s="1"/>
  <c r="F15" i="18"/>
  <c r="X30" i="18"/>
  <c r="X26" i="18"/>
  <c r="W21" i="18"/>
  <c r="I21" i="18" s="1"/>
  <c r="F21" i="18"/>
  <c r="W9" i="18"/>
  <c r="I9" i="18" s="1"/>
  <c r="F9" i="18"/>
  <c r="T11" i="18"/>
  <c r="W40" i="18"/>
  <c r="I40" i="18" s="1"/>
  <c r="F40" i="18"/>
  <c r="W7" i="18"/>
  <c r="I7" i="18" s="1"/>
  <c r="F7" i="18"/>
  <c r="W39" i="18"/>
  <c r="I39" i="18" s="1"/>
  <c r="F39" i="18"/>
  <c r="W35" i="18"/>
  <c r="I35" i="18" s="1"/>
  <c r="F35" i="18"/>
  <c r="W23" i="18"/>
  <c r="I23" i="18" s="1"/>
  <c r="F23" i="18"/>
  <c r="I13" i="19"/>
  <c r="I36" i="19"/>
  <c r="I14" i="19"/>
  <c r="T4" i="18"/>
  <c r="S16" i="18"/>
  <c r="S30" i="18"/>
  <c r="J42" i="18"/>
  <c r="J22" i="19"/>
  <c r="Y14" i="19"/>
  <c r="Y12" i="19"/>
  <c r="Y13" i="19"/>
  <c r="Y32" i="18"/>
  <c r="Y9" i="18"/>
  <c r="J30" i="19"/>
  <c r="J32" i="19"/>
  <c r="J40" i="19"/>
  <c r="Y36" i="19"/>
  <c r="Y39" i="18"/>
  <c r="J33" i="19"/>
  <c r="J41" i="19"/>
  <c r="J38" i="19"/>
  <c r="J18" i="19"/>
  <c r="Y31" i="19"/>
  <c r="J29" i="19"/>
  <c r="J39" i="19"/>
  <c r="Y27" i="19"/>
  <c r="Y17" i="19"/>
  <c r="J37" i="19"/>
  <c r="Y26" i="18"/>
  <c r="Y20" i="18"/>
  <c r="J35" i="19"/>
  <c r="J9" i="19"/>
  <c r="Y7" i="18"/>
  <c r="Y25" i="18"/>
  <c r="J6" i="19"/>
  <c r="I5" i="19"/>
  <c r="X5" i="19" l="1"/>
  <c r="X14" i="19"/>
  <c r="F4" i="19"/>
  <c r="X36" i="19"/>
  <c r="X13" i="19"/>
  <c r="V11" i="18"/>
  <c r="E42" i="18"/>
  <c r="V18" i="18"/>
  <c r="V12" i="18"/>
  <c r="V36" i="18"/>
  <c r="X35" i="18"/>
  <c r="X21" i="18"/>
  <c r="T6" i="18"/>
  <c r="T9" i="18"/>
  <c r="X41" i="18"/>
  <c r="X33" i="18"/>
  <c r="U23" i="18"/>
  <c r="U39" i="18"/>
  <c r="U40" i="18"/>
  <c r="U9" i="18"/>
  <c r="U15" i="18"/>
  <c r="T23" i="18"/>
  <c r="T35" i="18"/>
  <c r="T7" i="18"/>
  <c r="U26" i="18"/>
  <c r="T15" i="18"/>
  <c r="U34" i="18"/>
  <c r="U17" i="18"/>
  <c r="U38" i="18"/>
  <c r="G21" i="18"/>
  <c r="V21" i="18" s="1"/>
  <c r="X31" i="18"/>
  <c r="X5" i="18"/>
  <c r="X25" i="18"/>
  <c r="T41" i="18"/>
  <c r="T33" i="18"/>
  <c r="T10" i="18"/>
  <c r="T31" i="18"/>
  <c r="T5" i="18"/>
  <c r="T13" i="18"/>
  <c r="T24" i="18"/>
  <c r="X22" i="18"/>
  <c r="X29" i="18"/>
  <c r="X23" i="18"/>
  <c r="X9" i="18"/>
  <c r="T14" i="18"/>
  <c r="T21" i="18"/>
  <c r="X34" i="18"/>
  <c r="X17" i="18"/>
  <c r="X38" i="18"/>
  <c r="U8" i="18"/>
  <c r="U10" i="18"/>
  <c r="U37" i="18"/>
  <c r="U13" i="18"/>
  <c r="U24" i="18"/>
  <c r="T20" i="18"/>
  <c r="U6" i="18"/>
  <c r="U14" i="18"/>
  <c r="U19" i="18"/>
  <c r="G5" i="18"/>
  <c r="V5" i="18" s="1"/>
  <c r="X39" i="18"/>
  <c r="X40" i="18"/>
  <c r="X15" i="18"/>
  <c r="T22" i="18"/>
  <c r="T19" i="18"/>
  <c r="U35" i="18"/>
  <c r="U7" i="18"/>
  <c r="U21" i="18"/>
  <c r="T39" i="18"/>
  <c r="T40" i="18"/>
  <c r="U41" i="18"/>
  <c r="U33" i="18"/>
  <c r="U20" i="18"/>
  <c r="X8" i="18"/>
  <c r="X10" i="18"/>
  <c r="X37" i="18"/>
  <c r="X13" i="18"/>
  <c r="X24" i="18"/>
  <c r="T34" i="18"/>
  <c r="T8" i="18"/>
  <c r="T37" i="18"/>
  <c r="U32" i="18"/>
  <c r="T25" i="18"/>
  <c r="X6" i="18"/>
  <c r="X14" i="18"/>
  <c r="X19" i="18"/>
  <c r="X7" i="18"/>
  <c r="T29" i="18"/>
  <c r="X20" i="18"/>
  <c r="U31" i="18"/>
  <c r="U5" i="18"/>
  <c r="U25" i="18"/>
  <c r="T17" i="18"/>
  <c r="T38" i="18"/>
  <c r="U22" i="18"/>
  <c r="U29" i="18"/>
  <c r="G24" i="18"/>
  <c r="V24" i="18" s="1"/>
  <c r="S42" i="18"/>
  <c r="Y37" i="19"/>
  <c r="J20" i="19"/>
  <c r="Y29" i="19"/>
  <c r="J19" i="19"/>
  <c r="J16" i="19"/>
  <c r="J34" i="19"/>
  <c r="J8" i="19"/>
  <c r="Y32" i="19"/>
  <c r="J10" i="19"/>
  <c r="J28" i="19"/>
  <c r="J7" i="19"/>
  <c r="J15" i="19"/>
  <c r="Y6" i="19"/>
  <c r="Y35" i="19"/>
  <c r="Y42" i="18"/>
  <c r="J24" i="19"/>
  <c r="J5" i="19"/>
  <c r="Y9" i="19"/>
  <c r="Y39" i="19"/>
  <c r="Y38" i="19"/>
  <c r="Y41" i="19"/>
  <c r="Y40" i="19"/>
  <c r="Y30" i="19"/>
  <c r="J25" i="19"/>
  <c r="Y22" i="19"/>
  <c r="J26" i="19"/>
  <c r="J11" i="19"/>
  <c r="J21" i="19"/>
  <c r="J23" i="19"/>
  <c r="Y18" i="19"/>
  <c r="Y33" i="19"/>
  <c r="I4" i="19" l="1"/>
  <c r="F42" i="19"/>
  <c r="U4" i="19"/>
  <c r="T42" i="18"/>
  <c r="G40" i="18"/>
  <c r="K36" i="18"/>
  <c r="K11" i="18"/>
  <c r="G34" i="18"/>
  <c r="G33" i="18"/>
  <c r="G19" i="18"/>
  <c r="G41" i="18"/>
  <c r="K18" i="18"/>
  <c r="G23" i="18"/>
  <c r="K6" i="18"/>
  <c r="G22" i="18"/>
  <c r="K29" i="18"/>
  <c r="H4" i="18"/>
  <c r="Y5" i="19"/>
  <c r="Y28" i="19"/>
  <c r="Y10" i="19"/>
  <c r="Y8" i="19"/>
  <c r="Y34" i="19"/>
  <c r="Y19" i="19"/>
  <c r="Y23" i="19"/>
  <c r="Y11" i="19"/>
  <c r="Y25" i="19"/>
  <c r="Y7" i="19"/>
  <c r="Y20" i="19"/>
  <c r="Y16" i="19"/>
  <c r="Y21" i="19"/>
  <c r="Y26" i="19"/>
  <c r="J4" i="19"/>
  <c r="Y24" i="19"/>
  <c r="Y15" i="19"/>
  <c r="G17" i="19" l="1"/>
  <c r="G36" i="19"/>
  <c r="G31" i="19"/>
  <c r="X4" i="19"/>
  <c r="I42" i="19"/>
  <c r="G12" i="19"/>
  <c r="G13" i="19"/>
  <c r="G27" i="19"/>
  <c r="U42" i="19"/>
  <c r="G14" i="19"/>
  <c r="V23" i="18"/>
  <c r="V22" i="18"/>
  <c r="V40" i="18"/>
  <c r="V33" i="18"/>
  <c r="V41" i="18"/>
  <c r="V19" i="18"/>
  <c r="V34" i="18"/>
  <c r="Z29" i="18"/>
  <c r="G32" i="18"/>
  <c r="G7" i="18"/>
  <c r="Z6" i="18"/>
  <c r="Z11" i="18"/>
  <c r="K24" i="18"/>
  <c r="Z18" i="18"/>
  <c r="G9" i="18"/>
  <c r="G30" i="18"/>
  <c r="G20" i="18"/>
  <c r="K21" i="18"/>
  <c r="G25" i="18"/>
  <c r="W4" i="18"/>
  <c r="H42" i="18"/>
  <c r="G39" i="18"/>
  <c r="K5" i="18"/>
  <c r="Z36" i="18"/>
  <c r="M4" i="18"/>
  <c r="G26" i="18"/>
  <c r="G16" i="18"/>
  <c r="Y4" i="19"/>
  <c r="J42" i="19"/>
  <c r="V27" i="19" l="1"/>
  <c r="V13" i="19"/>
  <c r="V31" i="19"/>
  <c r="V14" i="19"/>
  <c r="V12" i="19"/>
  <c r="V17" i="19"/>
  <c r="V36" i="19"/>
  <c r="G32" i="19"/>
  <c r="G35" i="19"/>
  <c r="G30" i="19"/>
  <c r="G29" i="19"/>
  <c r="X42" i="19"/>
  <c r="G9" i="19"/>
  <c r="G18" i="19"/>
  <c r="G37" i="19"/>
  <c r="G6" i="19"/>
  <c r="G39" i="19"/>
  <c r="G22" i="19"/>
  <c r="G41" i="19"/>
  <c r="G33" i="19"/>
  <c r="G40" i="19"/>
  <c r="G38" i="19"/>
  <c r="V26" i="18"/>
  <c r="V39" i="18"/>
  <c r="V25" i="18"/>
  <c r="V9" i="18"/>
  <c r="V16" i="18"/>
  <c r="V30" i="18"/>
  <c r="V7" i="18"/>
  <c r="V20" i="18"/>
  <c r="V32" i="18"/>
  <c r="AE4" i="18"/>
  <c r="Z5" i="18"/>
  <c r="Z21" i="18"/>
  <c r="Z24" i="18"/>
  <c r="W42" i="18"/>
  <c r="Y42" i="19"/>
  <c r="V40" i="19" l="1"/>
  <c r="V9" i="19"/>
  <c r="V33" i="19"/>
  <c r="V6" i="19"/>
  <c r="V32" i="19"/>
  <c r="V39" i="19"/>
  <c r="V35" i="19"/>
  <c r="V41" i="19"/>
  <c r="V37" i="19"/>
  <c r="V29" i="19"/>
  <c r="V38" i="19"/>
  <c r="V22" i="19"/>
  <c r="V18" i="19"/>
  <c r="V30" i="19"/>
  <c r="G7" i="19"/>
  <c r="G10" i="19"/>
  <c r="G11" i="19"/>
  <c r="G26" i="19"/>
  <c r="G21" i="19"/>
  <c r="G8" i="19"/>
  <c r="G16" i="19"/>
  <c r="G34" i="19"/>
  <c r="G20" i="19"/>
  <c r="G28" i="19"/>
  <c r="G23" i="19"/>
  <c r="G15" i="19"/>
  <c r="G24" i="19"/>
  <c r="G25" i="19"/>
  <c r="G5" i="19"/>
  <c r="G19" i="19"/>
  <c r="F4" i="18"/>
  <c r="V19" i="19" l="1"/>
  <c r="V26" i="19"/>
  <c r="V5" i="19"/>
  <c r="V23" i="19"/>
  <c r="V16" i="19"/>
  <c r="V11" i="19"/>
  <c r="V34" i="19"/>
  <c r="V25" i="19"/>
  <c r="V28" i="19"/>
  <c r="V8" i="19"/>
  <c r="V10" i="19"/>
  <c r="V15" i="19"/>
  <c r="V24" i="19"/>
  <c r="V20" i="19"/>
  <c r="V21" i="19"/>
  <c r="V7" i="19"/>
  <c r="G4" i="18"/>
  <c r="F42" i="18"/>
  <c r="U4" i="18"/>
  <c r="I4" i="18"/>
  <c r="M4" i="19" l="1"/>
  <c r="U42" i="18"/>
  <c r="G42" i="18"/>
  <c r="V4" i="18"/>
  <c r="V42" i="18" s="1"/>
  <c r="I42" i="18"/>
  <c r="X4" i="18"/>
  <c r="AE4" i="19" l="1"/>
  <c r="X42" i="18"/>
  <c r="K4" i="18"/>
  <c r="Z4" i="18" l="1"/>
  <c r="G4" i="19" l="1"/>
  <c r="G42" i="19" l="1"/>
  <c r="V4" i="19"/>
  <c r="V42" i="19" l="1"/>
  <c r="K4" i="19"/>
  <c r="Z4" i="19" l="1"/>
  <c r="L8" i="30" l="1"/>
  <c r="AA8" i="30" s="1"/>
  <c r="L16" i="30"/>
  <c r="L4" i="30"/>
  <c r="L5" i="30"/>
  <c r="AA5" i="30" s="1"/>
  <c r="L25" i="30"/>
  <c r="AA25" i="30" s="1"/>
  <c r="L28" i="30"/>
  <c r="AA28" i="30" s="1"/>
  <c r="L39" i="30"/>
  <c r="AA39" i="30" s="1"/>
  <c r="L31" i="30"/>
  <c r="AA31" i="30" s="1"/>
  <c r="L15" i="30"/>
  <c r="AA15" i="30" s="1"/>
  <c r="L19" i="30"/>
  <c r="AA19" i="30" s="1"/>
  <c r="L27" i="30"/>
  <c r="AA27" i="30" s="1"/>
  <c r="L20" i="30"/>
  <c r="AA20" i="30" s="1"/>
  <c r="L14" i="30"/>
  <c r="AA14" i="30" s="1"/>
  <c r="L38" i="30"/>
  <c r="AA38" i="30" s="1"/>
  <c r="L22" i="30"/>
  <c r="AA22" i="30" s="1"/>
  <c r="L9" i="30"/>
  <c r="AA9" i="30" s="1"/>
  <c r="L13" i="30"/>
  <c r="AA13" i="30" s="1"/>
  <c r="L37" i="30"/>
  <c r="AA37" i="30" s="1"/>
  <c r="L41" i="30"/>
  <c r="AA41" i="30" s="1"/>
  <c r="L17" i="30"/>
  <c r="L7" i="30"/>
  <c r="AA7" i="30" s="1"/>
  <c r="L29" i="30"/>
  <c r="L40" i="30"/>
  <c r="AA40" i="30" s="1"/>
  <c r="L6" i="30"/>
  <c r="AA6" i="30" s="1"/>
  <c r="L26" i="30"/>
  <c r="AA26" i="30" s="1"/>
  <c r="L12" i="30"/>
  <c r="AA12" i="30" s="1"/>
  <c r="L24" i="30"/>
  <c r="AA24" i="30" s="1"/>
  <c r="L11" i="30"/>
  <c r="L30" i="30"/>
  <c r="AA30" i="30" s="1"/>
  <c r="L21" i="30"/>
  <c r="AA21" i="30" s="1"/>
  <c r="L23" i="30"/>
  <c r="AA23" i="30" s="1"/>
  <c r="AB23" i="30" s="1"/>
  <c r="M23" i="30" s="1"/>
  <c r="AE23" i="30" s="1"/>
  <c r="L36" i="30"/>
  <c r="AA36" i="30" s="1"/>
  <c r="L18" i="30"/>
  <c r="AA18" i="30" s="1"/>
  <c r="AB18" i="30" s="1"/>
  <c r="M18" i="30" s="1"/>
  <c r="AE18" i="30" s="1"/>
  <c r="L10" i="30"/>
  <c r="L32" i="30"/>
  <c r="AA32" i="30" s="1"/>
  <c r="L35" i="30"/>
  <c r="AA35" i="30" s="1"/>
  <c r="L33" i="30"/>
  <c r="AA33" i="30" s="1"/>
  <c r="L34" i="30"/>
  <c r="AA34" i="30" s="1"/>
  <c r="AZ5" i="30"/>
  <c r="AZ9" i="30"/>
  <c r="AZ13" i="30"/>
  <c r="AZ17" i="30"/>
  <c r="AZ21" i="30"/>
  <c r="AZ25" i="30"/>
  <c r="AZ29" i="30"/>
  <c r="AZ33" i="30"/>
  <c r="AZ37" i="30"/>
  <c r="AZ41" i="30"/>
  <c r="AZ4" i="30"/>
  <c r="BA4" i="30"/>
  <c r="BA8" i="30"/>
  <c r="BA12" i="30"/>
  <c r="BA16" i="30"/>
  <c r="BA20" i="30"/>
  <c r="BA24" i="30"/>
  <c r="BA28" i="30"/>
  <c r="BA32" i="30"/>
  <c r="BA36" i="30"/>
  <c r="BA40" i="30"/>
  <c r="BA37" i="30"/>
  <c r="AZ27" i="30"/>
  <c r="AZ40" i="30"/>
  <c r="BA34" i="30"/>
  <c r="BA31" i="30"/>
  <c r="AZ30" i="30"/>
  <c r="AZ24" i="30"/>
  <c r="BA21" i="30"/>
  <c r="BA18" i="30"/>
  <c r="BA15" i="30"/>
  <c r="AZ14" i="30"/>
  <c r="AZ11" i="30"/>
  <c r="AZ8" i="30"/>
  <c r="BA5" i="30"/>
  <c r="BA41" i="30"/>
  <c r="BA38" i="30"/>
  <c r="BA35" i="30"/>
  <c r="AZ34" i="30"/>
  <c r="AZ31" i="30"/>
  <c r="AZ28" i="30"/>
  <c r="BA25" i="30"/>
  <c r="BA22" i="30"/>
  <c r="BA19" i="30"/>
  <c r="AZ18" i="30"/>
  <c r="AZ15" i="30"/>
  <c r="AZ12" i="30"/>
  <c r="BA9" i="30"/>
  <c r="BA6" i="30"/>
  <c r="BA39" i="30"/>
  <c r="AZ38" i="30"/>
  <c r="AZ35" i="30"/>
  <c r="AZ32" i="30"/>
  <c r="BA29" i="30"/>
  <c r="BA26" i="30"/>
  <c r="BA23" i="30"/>
  <c r="AZ22" i="30"/>
  <c r="AZ19" i="30"/>
  <c r="AZ16" i="30"/>
  <c r="BA13" i="30"/>
  <c r="BA10" i="30"/>
  <c r="BA7" i="30"/>
  <c r="AZ6" i="30"/>
  <c r="AZ39" i="30"/>
  <c r="AZ36" i="30"/>
  <c r="BA33" i="30"/>
  <c r="BA30" i="30"/>
  <c r="BA27" i="30"/>
  <c r="AZ26" i="30"/>
  <c r="AZ23" i="30"/>
  <c r="AZ20" i="30"/>
  <c r="BA17" i="30"/>
  <c r="BA14" i="30"/>
  <c r="BA11" i="30"/>
  <c r="AZ10" i="30"/>
  <c r="AZ7" i="30"/>
  <c r="AT5" i="30"/>
  <c r="AY5" i="30"/>
  <c r="AR5" i="30"/>
  <c r="AY6" i="30"/>
  <c r="AR6" i="30"/>
  <c r="AY7" i="30"/>
  <c r="AY10" i="30"/>
  <c r="AR10" i="30"/>
  <c r="AT6" i="30"/>
  <c r="AM6" i="30" s="1"/>
  <c r="AY8" i="30"/>
  <c r="N8" i="30"/>
  <c r="AF8" i="30" s="1"/>
  <c r="AR8" i="30"/>
  <c r="AY11" i="30"/>
  <c r="AR11" i="30"/>
  <c r="AY17" i="30"/>
  <c r="AX5" i="30"/>
  <c r="AS5" i="30"/>
  <c r="AL5" i="30" s="1"/>
  <c r="AQ5" i="30"/>
  <c r="N5" i="30"/>
  <c r="AF5" i="30" s="1"/>
  <c r="AX6" i="30"/>
  <c r="AS6" i="30"/>
  <c r="AQ6" i="30"/>
  <c r="N6" i="30"/>
  <c r="AF6" i="30" s="1"/>
  <c r="N7" i="30"/>
  <c r="AF7" i="30" s="1"/>
  <c r="AR7" i="30"/>
  <c r="N9" i="30"/>
  <c r="AF9" i="30" s="1"/>
  <c r="AR9" i="30"/>
  <c r="AY9" i="30"/>
  <c r="AR19" i="30"/>
  <c r="AY19" i="30"/>
  <c r="N10" i="30"/>
  <c r="AF10" i="30" s="1"/>
  <c r="N11" i="30"/>
  <c r="AF11" i="30" s="1"/>
  <c r="AY20" i="30"/>
  <c r="AR20" i="30"/>
  <c r="AT7" i="30"/>
  <c r="AX7" i="30"/>
  <c r="AS7" i="30"/>
  <c r="AL7" i="30" s="1"/>
  <c r="AQ7" i="30"/>
  <c r="AT8" i="30"/>
  <c r="AX8" i="30"/>
  <c r="AS8" i="30"/>
  <c r="AQ8" i="30"/>
  <c r="AT9" i="30"/>
  <c r="AM9" i="30" s="1"/>
  <c r="AX9" i="30"/>
  <c r="AS9" i="30"/>
  <c r="AQ9" i="30"/>
  <c r="AT10" i="30"/>
  <c r="AX10" i="30"/>
  <c r="AS10" i="30"/>
  <c r="AQ10" i="30"/>
  <c r="AT11" i="30"/>
  <c r="AX11" i="30"/>
  <c r="AS11" i="30"/>
  <c r="AQ11" i="30"/>
  <c r="AT12" i="30"/>
  <c r="AT13" i="30"/>
  <c r="AM13" i="30" s="1"/>
  <c r="AT14" i="30"/>
  <c r="AT15" i="30"/>
  <c r="AT16" i="30"/>
  <c r="AT17" i="30"/>
  <c r="AM17" i="30" s="1"/>
  <c r="N17" i="30"/>
  <c r="AF17" i="30" s="1"/>
  <c r="AR17" i="30"/>
  <c r="AY21" i="30"/>
  <c r="AY12" i="30"/>
  <c r="AX12" i="30"/>
  <c r="AS12" i="30"/>
  <c r="AQ12" i="30"/>
  <c r="N12" i="30"/>
  <c r="AF12" i="30" s="1"/>
  <c r="AR12" i="30"/>
  <c r="AY13" i="30"/>
  <c r="AX13" i="30"/>
  <c r="AS13" i="30"/>
  <c r="AQ13" i="30"/>
  <c r="N13" i="30"/>
  <c r="AF13" i="30" s="1"/>
  <c r="AR13" i="30"/>
  <c r="AY14" i="30"/>
  <c r="AX14" i="30"/>
  <c r="AS14" i="30"/>
  <c r="AQ14" i="30"/>
  <c r="N14" i="30"/>
  <c r="AF14" i="30" s="1"/>
  <c r="AR14" i="30"/>
  <c r="AK14" i="30" s="1"/>
  <c r="AY15" i="30"/>
  <c r="AX15" i="30"/>
  <c r="AS15" i="30"/>
  <c r="AQ15" i="30"/>
  <c r="N15" i="30"/>
  <c r="AF15" i="30" s="1"/>
  <c r="AR15" i="30"/>
  <c r="AY16" i="30"/>
  <c r="AX16" i="30"/>
  <c r="AS16" i="30"/>
  <c r="AQ16" i="30"/>
  <c r="N16" i="30"/>
  <c r="AF16" i="30" s="1"/>
  <c r="AR16" i="30"/>
  <c r="AX17" i="30"/>
  <c r="AS17" i="30"/>
  <c r="AL17" i="30" s="1"/>
  <c r="AQ17" i="30"/>
  <c r="AY18" i="30"/>
  <c r="AR18" i="30"/>
  <c r="N18" i="30"/>
  <c r="AF18" i="30" s="1"/>
  <c r="N19" i="30"/>
  <c r="AF19" i="30" s="1"/>
  <c r="N20" i="30"/>
  <c r="AF20" i="30" s="1"/>
  <c r="AT31" i="30"/>
  <c r="AM31" i="30" s="1"/>
  <c r="AT32" i="30"/>
  <c r="AT37" i="30"/>
  <c r="AT18" i="30"/>
  <c r="AX18" i="30"/>
  <c r="AS18" i="30"/>
  <c r="AQ18" i="30"/>
  <c r="AT19" i="30"/>
  <c r="AM19" i="30" s="1"/>
  <c r="AX19" i="30"/>
  <c r="AS19" i="30"/>
  <c r="AQ19" i="30"/>
  <c r="AT20" i="30"/>
  <c r="AM20" i="30" s="1"/>
  <c r="AX20" i="30"/>
  <c r="AS20" i="30"/>
  <c r="AQ20" i="30"/>
  <c r="AT21" i="30"/>
  <c r="AM21" i="30" s="1"/>
  <c r="AT22" i="30"/>
  <c r="AT23" i="30"/>
  <c r="AM23" i="30" s="1"/>
  <c r="AT24" i="30"/>
  <c r="AT25" i="30"/>
  <c r="AT26" i="30"/>
  <c r="AY34" i="30"/>
  <c r="AX21" i="30"/>
  <c r="AS21" i="30"/>
  <c r="AQ21" i="30"/>
  <c r="N21" i="30"/>
  <c r="AF21" i="30" s="1"/>
  <c r="AR21" i="30"/>
  <c r="AY22" i="30"/>
  <c r="AX22" i="30"/>
  <c r="AS22" i="30"/>
  <c r="AQ22" i="30"/>
  <c r="N22" i="30"/>
  <c r="AF22" i="30" s="1"/>
  <c r="AR22" i="30"/>
  <c r="AY23" i="30"/>
  <c r="AX23" i="30"/>
  <c r="AS23" i="30"/>
  <c r="AQ23" i="30"/>
  <c r="N23" i="30"/>
  <c r="AR23" i="30"/>
  <c r="AY24" i="30"/>
  <c r="AX24" i="30"/>
  <c r="AS24" i="30"/>
  <c r="AL24" i="30" s="1"/>
  <c r="AQ24" i="30"/>
  <c r="N24" i="30"/>
  <c r="AF24" i="30" s="1"/>
  <c r="AR24" i="30"/>
  <c r="AY25" i="30"/>
  <c r="AX25" i="30"/>
  <c r="AS25" i="30"/>
  <c r="AQ25" i="30"/>
  <c r="N25" i="30"/>
  <c r="AF25" i="30" s="1"/>
  <c r="AR25" i="30"/>
  <c r="AT27" i="30"/>
  <c r="AM27" i="30" s="1"/>
  <c r="AT28" i="30"/>
  <c r="AM28" i="30" s="1"/>
  <c r="AT29" i="30"/>
  <c r="AT30" i="30"/>
  <c r="AY26" i="30"/>
  <c r="AX26" i="30"/>
  <c r="AS26" i="30"/>
  <c r="AQ26" i="30"/>
  <c r="N26" i="30"/>
  <c r="AF26" i="30" s="1"/>
  <c r="AR26" i="30"/>
  <c r="AY27" i="30"/>
  <c r="AX27" i="30"/>
  <c r="AS27" i="30"/>
  <c r="AQ27" i="30"/>
  <c r="N27" i="30"/>
  <c r="AF27" i="30" s="1"/>
  <c r="AR27" i="30"/>
  <c r="AY28" i="30"/>
  <c r="AX28" i="30"/>
  <c r="AS28" i="30"/>
  <c r="AQ28" i="30"/>
  <c r="N28" i="30"/>
  <c r="AF28" i="30" s="1"/>
  <c r="AR28" i="30"/>
  <c r="AY29" i="30"/>
  <c r="AX29" i="30"/>
  <c r="AS29" i="30"/>
  <c r="AQ29" i="30"/>
  <c r="N29" i="30"/>
  <c r="AF29" i="30" s="1"/>
  <c r="AR29" i="30"/>
  <c r="AY30" i="30"/>
  <c r="AX30" i="30"/>
  <c r="AS30" i="30"/>
  <c r="AQ30" i="30"/>
  <c r="N30" i="30"/>
  <c r="AF30" i="30" s="1"/>
  <c r="AG30" i="30" s="1"/>
  <c r="K30" i="30" s="1"/>
  <c r="AR30" i="30"/>
  <c r="AR31" i="30"/>
  <c r="AY31" i="30"/>
  <c r="AX31" i="30"/>
  <c r="AS31" i="30"/>
  <c r="AL31" i="30" s="1"/>
  <c r="AQ31" i="30"/>
  <c r="N31" i="30"/>
  <c r="AF31" i="30" s="1"/>
  <c r="AT33" i="30"/>
  <c r="AY38" i="30"/>
  <c r="AY32" i="30"/>
  <c r="AX32" i="30"/>
  <c r="AS32" i="30"/>
  <c r="AL32" i="30" s="1"/>
  <c r="AQ32" i="30"/>
  <c r="N32" i="30"/>
  <c r="AF32" i="30" s="1"/>
  <c r="AR32" i="30"/>
  <c r="AY33" i="30"/>
  <c r="AX33" i="30"/>
  <c r="AS33" i="30"/>
  <c r="AL33" i="30" s="1"/>
  <c r="AQ33" i="30"/>
  <c r="N33" i="30"/>
  <c r="AF33" i="30" s="1"/>
  <c r="AR33" i="30"/>
  <c r="AT35" i="30"/>
  <c r="AT38" i="30"/>
  <c r="AR38" i="30"/>
  <c r="AY39" i="30"/>
  <c r="AR40" i="30"/>
  <c r="AY40" i="30"/>
  <c r="AR41" i="30"/>
  <c r="AY41" i="30"/>
  <c r="AT34" i="30"/>
  <c r="AM34" i="30" s="1"/>
  <c r="AY36" i="30"/>
  <c r="AT39" i="30"/>
  <c r="AR39" i="30"/>
  <c r="AK39" i="30" s="1"/>
  <c r="AX34" i="30"/>
  <c r="AS34" i="30"/>
  <c r="AQ34" i="30"/>
  <c r="N34" i="30"/>
  <c r="AF34" i="30" s="1"/>
  <c r="AR34" i="30"/>
  <c r="AX35" i="30"/>
  <c r="AS35" i="30"/>
  <c r="AL35" i="30" s="1"/>
  <c r="AQ35" i="30"/>
  <c r="N35" i="30"/>
  <c r="AF35" i="30" s="1"/>
  <c r="AR35" i="30"/>
  <c r="AY35" i="30"/>
  <c r="AT36" i="30"/>
  <c r="AM36" i="30" s="1"/>
  <c r="AR36" i="30"/>
  <c r="AK36" i="30" s="1"/>
  <c r="AR37" i="30"/>
  <c r="AY37" i="30"/>
  <c r="AR4" i="30"/>
  <c r="AY4" i="30"/>
  <c r="AX36" i="30"/>
  <c r="AS36" i="30"/>
  <c r="AL36" i="30" s="1"/>
  <c r="AQ36" i="30"/>
  <c r="N36" i="30"/>
  <c r="AF36" i="30" s="1"/>
  <c r="AX37" i="30"/>
  <c r="AS37" i="30"/>
  <c r="AL37" i="30" s="1"/>
  <c r="AQ37" i="30"/>
  <c r="N37" i="30"/>
  <c r="AF37" i="30" s="1"/>
  <c r="AX38" i="30"/>
  <c r="AS38" i="30"/>
  <c r="AQ38" i="30"/>
  <c r="N38" i="30"/>
  <c r="AF38" i="30" s="1"/>
  <c r="AX39" i="30"/>
  <c r="AS39" i="30"/>
  <c r="AL39" i="30" s="1"/>
  <c r="AQ39" i="30"/>
  <c r="N39" i="30"/>
  <c r="AF39" i="30" s="1"/>
  <c r="N40" i="30"/>
  <c r="AF40" i="30" s="1"/>
  <c r="N41" i="30"/>
  <c r="AF41" i="30" s="1"/>
  <c r="N4" i="30"/>
  <c r="O4" i="30" s="1"/>
  <c r="C92" i="30" s="1"/>
  <c r="AT40" i="30"/>
  <c r="AM40" i="30" s="1"/>
  <c r="AX40" i="30"/>
  <c r="AS40" i="30"/>
  <c r="AL40" i="30" s="1"/>
  <c r="AQ40" i="30"/>
  <c r="AT41" i="30"/>
  <c r="AM41" i="30" s="1"/>
  <c r="AX41" i="30"/>
  <c r="AS41" i="30"/>
  <c r="AQ41" i="30"/>
  <c r="AT4" i="30"/>
  <c r="AM4" i="30" s="1"/>
  <c r="AX4" i="30"/>
  <c r="AS4" i="30"/>
  <c r="AQ4" i="30"/>
  <c r="AL23" i="30" l="1"/>
  <c r="AM25" i="30"/>
  <c r="AK7" i="30"/>
  <c r="AM39" i="30"/>
  <c r="BB7" i="30"/>
  <c r="AM35" i="30"/>
  <c r="AM29" i="30"/>
  <c r="BB15" i="30"/>
  <c r="AM12" i="30"/>
  <c r="AM11" i="30"/>
  <c r="AM7" i="30"/>
  <c r="AK5" i="30"/>
  <c r="AJ34" i="30"/>
  <c r="BB14" i="30"/>
  <c r="AM38" i="30"/>
  <c r="AK21" i="30"/>
  <c r="BB21" i="30"/>
  <c r="AM24" i="30"/>
  <c r="BB8" i="30"/>
  <c r="AL22" i="30"/>
  <c r="AL18" i="30"/>
  <c r="AM8" i="30"/>
  <c r="AU41" i="30"/>
  <c r="AU39" i="30"/>
  <c r="AU38" i="30"/>
  <c r="AK24" i="30"/>
  <c r="AK22" i="30"/>
  <c r="AL14" i="30"/>
  <c r="AJ10" i="30"/>
  <c r="AU30" i="30"/>
  <c r="AK29" i="30"/>
  <c r="AK27" i="30"/>
  <c r="AU23" i="30"/>
  <c r="AU14" i="30"/>
  <c r="BB33" i="30"/>
  <c r="AK30" i="30"/>
  <c r="AK28" i="30"/>
  <c r="BB28" i="30"/>
  <c r="AK26" i="30"/>
  <c r="AK23" i="30"/>
  <c r="BB18" i="30"/>
  <c r="AJ9" i="30"/>
  <c r="AK6" i="30"/>
  <c r="AK40" i="30"/>
  <c r="AK31" i="30"/>
  <c r="AU24" i="30"/>
  <c r="AU19" i="30"/>
  <c r="AM32" i="30"/>
  <c r="AK18" i="30"/>
  <c r="BB17" i="30"/>
  <c r="AL12" i="30"/>
  <c r="AK17" i="30"/>
  <c r="AM16" i="30"/>
  <c r="BB11" i="30"/>
  <c r="AJ32" i="30"/>
  <c r="AJ29" i="30"/>
  <c r="AJ27" i="30"/>
  <c r="BB26" i="30"/>
  <c r="AU13" i="30"/>
  <c r="AL6" i="30"/>
  <c r="BB40" i="30"/>
  <c r="BB37" i="30"/>
  <c r="BB36" i="30"/>
  <c r="AM14" i="30"/>
  <c r="AU11" i="30"/>
  <c r="AU8" i="30"/>
  <c r="AK16" i="30"/>
  <c r="AJ31" i="30"/>
  <c r="AJ20" i="30"/>
  <c r="AK8" i="30"/>
  <c r="AL41" i="30"/>
  <c r="AJ40" i="30"/>
  <c r="AN40" i="30" s="1"/>
  <c r="AK33" i="30"/>
  <c r="AJ16" i="30"/>
  <c r="AK15" i="30"/>
  <c r="AK12" i="30"/>
  <c r="AM30" i="30"/>
  <c r="AL30" i="30"/>
  <c r="AJ30" i="30"/>
  <c r="AZ42" i="30"/>
  <c r="AK37" i="30"/>
  <c r="AL27" i="30"/>
  <c r="AU25" i="30"/>
  <c r="AJ14" i="30"/>
  <c r="AN14" i="30" s="1"/>
  <c r="AL10" i="30"/>
  <c r="AK19" i="30"/>
  <c r="BB6" i="30"/>
  <c r="BB41" i="30"/>
  <c r="AY42" i="30"/>
  <c r="AL34" i="30"/>
  <c r="AK38" i="30"/>
  <c r="BB31" i="30"/>
  <c r="AJ28" i="30"/>
  <c r="BB27" i="30"/>
  <c r="BB23" i="30"/>
  <c r="AJ21" i="30"/>
  <c r="AJ19" i="30"/>
  <c r="AM18" i="30"/>
  <c r="AU17" i="30"/>
  <c r="BB16" i="30"/>
  <c r="AU15" i="30"/>
  <c r="AL13" i="30"/>
  <c r="BB10" i="30"/>
  <c r="AL9" i="30"/>
  <c r="AJ8" i="30"/>
  <c r="AU7" i="30"/>
  <c r="AJ7" i="30"/>
  <c r="AU6" i="30"/>
  <c r="AJ6" i="30"/>
  <c r="AM5" i="30"/>
  <c r="AJ24" i="30"/>
  <c r="AU9" i="30"/>
  <c r="BA42" i="30"/>
  <c r="AK35" i="30"/>
  <c r="AL29" i="30"/>
  <c r="BB19" i="30"/>
  <c r="AL16" i="30"/>
  <c r="BB12" i="30"/>
  <c r="AM15" i="30"/>
  <c r="BB5" i="30"/>
  <c r="AS42" i="30"/>
  <c r="BB39" i="30"/>
  <c r="AL38" i="30"/>
  <c r="AJ37" i="30"/>
  <c r="BB35" i="30"/>
  <c r="AK41" i="30"/>
  <c r="AM33" i="30"/>
  <c r="BB29" i="30"/>
  <c r="AJ26" i="30"/>
  <c r="AL25" i="30"/>
  <c r="BB22" i="30"/>
  <c r="AM26" i="30"/>
  <c r="AL20" i="30"/>
  <c r="BB38" i="30"/>
  <c r="AU36" i="30"/>
  <c r="AK4" i="30"/>
  <c r="AJ35" i="30"/>
  <c r="AK34" i="30"/>
  <c r="AN34" i="30" s="1"/>
  <c r="BB34" i="30"/>
  <c r="AU33" i="30"/>
  <c r="AK32" i="30"/>
  <c r="BB32" i="30"/>
  <c r="BB30" i="30"/>
  <c r="AL28" i="30"/>
  <c r="AL26" i="30"/>
  <c r="AK25" i="30"/>
  <c r="BB25" i="30"/>
  <c r="BB24" i="30"/>
  <c r="O23" i="30"/>
  <c r="C111" i="30" s="1"/>
  <c r="AJ22" i="30"/>
  <c r="AL21" i="30"/>
  <c r="AM22" i="30"/>
  <c r="BB20" i="30"/>
  <c r="AL19" i="30"/>
  <c r="AU18" i="30"/>
  <c r="AM37" i="30"/>
  <c r="AL15" i="30"/>
  <c r="AK13" i="30"/>
  <c r="BB13" i="30"/>
  <c r="AU12" i="30"/>
  <c r="AL11" i="30"/>
  <c r="AU10" i="30"/>
  <c r="AM10" i="30"/>
  <c r="BB9" i="30"/>
  <c r="AL8" i="30"/>
  <c r="AK20" i="30"/>
  <c r="AK9" i="30"/>
  <c r="AJ5" i="30"/>
  <c r="AK11" i="30"/>
  <c r="AK10" i="30"/>
  <c r="L42" i="30"/>
  <c r="C77" i="30" s="1"/>
  <c r="BB4" i="30"/>
  <c r="AX42" i="30"/>
  <c r="AJ41" i="30"/>
  <c r="AN7" i="30"/>
  <c r="AJ4" i="30"/>
  <c r="AU4" i="30"/>
  <c r="AQ42" i="30"/>
  <c r="AL4" i="30"/>
  <c r="AT42" i="30"/>
  <c r="AU40" i="30"/>
  <c r="O30" i="30"/>
  <c r="C118" i="30" s="1"/>
  <c r="Z30" i="30"/>
  <c r="AB30" i="30" s="1"/>
  <c r="AU34" i="30"/>
  <c r="AU35" i="30"/>
  <c r="AJ33" i="30"/>
  <c r="AU32" i="30"/>
  <c r="AU29" i="30"/>
  <c r="AU28" i="30"/>
  <c r="AU27" i="30"/>
  <c r="AU31" i="30"/>
  <c r="AJ25" i="30"/>
  <c r="AJ23" i="30"/>
  <c r="AU21" i="30"/>
  <c r="AU20" i="30"/>
  <c r="AJ15" i="30"/>
  <c r="AU16" i="30"/>
  <c r="N42" i="30"/>
  <c r="C79" i="30" s="1"/>
  <c r="AR42" i="30"/>
  <c r="AG18" i="30"/>
  <c r="AA4" i="30"/>
  <c r="AJ39" i="30"/>
  <c r="AJ36" i="30"/>
  <c r="AN36" i="30" s="1"/>
  <c r="AJ38" i="30"/>
  <c r="AN38" i="30" s="1"/>
  <c r="AU22" i="30"/>
  <c r="AJ18" i="30"/>
  <c r="AJ17" i="30"/>
  <c r="AJ13" i="30"/>
  <c r="AU5" i="30"/>
  <c r="AU37" i="30"/>
  <c r="AU26" i="30"/>
  <c r="AF23" i="30"/>
  <c r="AG23" i="30" s="1"/>
  <c r="AJ11" i="30"/>
  <c r="AF4" i="30"/>
  <c r="AA10" i="30"/>
  <c r="AB10" i="30" s="1"/>
  <c r="M10" i="30" s="1"/>
  <c r="AE10" i="30" s="1"/>
  <c r="AG10" i="30" s="1"/>
  <c r="AA11" i="30"/>
  <c r="AB11" i="30" s="1"/>
  <c r="M11" i="30" s="1"/>
  <c r="AE11" i="30" s="1"/>
  <c r="AG11" i="30" s="1"/>
  <c r="AA29" i="30"/>
  <c r="AB29" i="30" s="1"/>
  <c r="M29" i="30" s="1"/>
  <c r="AE29" i="30" s="1"/>
  <c r="AG29" i="30" s="1"/>
  <c r="AA17" i="30"/>
  <c r="AB17" i="30" s="1"/>
  <c r="M17" i="30" s="1"/>
  <c r="AE17" i="30" s="1"/>
  <c r="AG17" i="30" s="1"/>
  <c r="AA16" i="30"/>
  <c r="AB16" i="30" s="1"/>
  <c r="M16" i="30" s="1"/>
  <c r="AE16" i="30" s="1"/>
  <c r="AG16" i="30" s="1"/>
  <c r="AJ12" i="30"/>
  <c r="AN12" i="30" s="1"/>
  <c r="O18" i="30"/>
  <c r="C106" i="30" s="1"/>
  <c r="AN33" i="30" l="1"/>
  <c r="AN35" i="30"/>
  <c r="AN39" i="30"/>
  <c r="AN20" i="30"/>
  <c r="AN17" i="30"/>
  <c r="AN29" i="30"/>
  <c r="AN27" i="30"/>
  <c r="AN23" i="30"/>
  <c r="AN6" i="30"/>
  <c r="AN21" i="30"/>
  <c r="AN26" i="30"/>
  <c r="AN11" i="30"/>
  <c r="AN31" i="30"/>
  <c r="AN9" i="30"/>
  <c r="AN24" i="30"/>
  <c r="AN30" i="30"/>
  <c r="AN16" i="30"/>
  <c r="AN32" i="30"/>
  <c r="AK42" i="30"/>
  <c r="AN22" i="30"/>
  <c r="AN5" i="30"/>
  <c r="BB42" i="30"/>
  <c r="AN8" i="30"/>
  <c r="AN28" i="30"/>
  <c r="AN18" i="30"/>
  <c r="AM42" i="30"/>
  <c r="AN19" i="30"/>
  <c r="AN15" i="30"/>
  <c r="AN25" i="30"/>
  <c r="AL42" i="30"/>
  <c r="AN10" i="30"/>
  <c r="AN41" i="30"/>
  <c r="AN37" i="30"/>
  <c r="AN13" i="30"/>
  <c r="O29" i="30"/>
  <c r="C117" i="30" s="1"/>
  <c r="AB4" i="30"/>
  <c r="AA42" i="30"/>
  <c r="AU42" i="30"/>
  <c r="AG4" i="30"/>
  <c r="AF42" i="30"/>
  <c r="O11" i="30"/>
  <c r="C99" i="30" s="1"/>
  <c r="AJ42" i="30"/>
  <c r="AN4" i="30"/>
  <c r="O16" i="30"/>
  <c r="C104" i="30" s="1"/>
  <c r="O10" i="30"/>
  <c r="C98" i="30" s="1"/>
  <c r="O17" i="30"/>
  <c r="C105" i="30" s="1"/>
  <c r="M5" i="30"/>
  <c r="AE5" i="30" s="1"/>
  <c r="AG5" i="30" s="1"/>
  <c r="M6" i="30"/>
  <c r="AE6" i="30" s="1"/>
  <c r="AG6" i="30" s="1"/>
  <c r="M7" i="30"/>
  <c r="AE7" i="30" s="1"/>
  <c r="AG7" i="30" s="1"/>
  <c r="M8" i="30"/>
  <c r="AE8" i="30" s="1"/>
  <c r="AG8" i="30" s="1"/>
  <c r="M9" i="30"/>
  <c r="AE9" i="30" s="1"/>
  <c r="AG9" i="30" s="1"/>
  <c r="M12" i="30"/>
  <c r="AE12" i="30" s="1"/>
  <c r="AG12" i="30" s="1"/>
  <c r="M13" i="30"/>
  <c r="AE13" i="30" s="1"/>
  <c r="AG13" i="30" s="1"/>
  <c r="M14" i="30"/>
  <c r="AE14" i="30" s="1"/>
  <c r="AG14" i="30" s="1"/>
  <c r="M15" i="30"/>
  <c r="AE15" i="30" s="1"/>
  <c r="AG15" i="30" s="1"/>
  <c r="M19" i="30"/>
  <c r="AE19" i="30" s="1"/>
  <c r="AG19" i="30" s="1"/>
  <c r="M20" i="30"/>
  <c r="AE20" i="30" s="1"/>
  <c r="AG20" i="30" s="1"/>
  <c r="M21" i="30"/>
  <c r="AE21" i="30" s="1"/>
  <c r="AG21" i="30" s="1"/>
  <c r="M22" i="30"/>
  <c r="AE22" i="30" s="1"/>
  <c r="AG22" i="30" s="1"/>
  <c r="M24" i="30"/>
  <c r="AE24" i="30" s="1"/>
  <c r="AG24" i="30" s="1"/>
  <c r="M25" i="30"/>
  <c r="AE25" i="30" s="1"/>
  <c r="AG25" i="30" s="1"/>
  <c r="M26" i="30"/>
  <c r="AE26" i="30" s="1"/>
  <c r="AG26" i="30" s="1"/>
  <c r="M27" i="30"/>
  <c r="AE27" i="30" s="1"/>
  <c r="AG27" i="30" s="1"/>
  <c r="M28" i="30"/>
  <c r="AE28" i="30" s="1"/>
  <c r="AG28" i="30" s="1"/>
  <c r="M31" i="30"/>
  <c r="AE31" i="30" s="1"/>
  <c r="AG31" i="30" s="1"/>
  <c r="M32" i="30"/>
  <c r="AE32" i="30" s="1"/>
  <c r="AG32" i="30" s="1"/>
  <c r="M33" i="30"/>
  <c r="AE33" i="30" s="1"/>
  <c r="AG33" i="30" s="1"/>
  <c r="M34" i="30"/>
  <c r="AE34" i="30" s="1"/>
  <c r="AG34" i="30" s="1"/>
  <c r="M35" i="30"/>
  <c r="AE35" i="30" s="1"/>
  <c r="AG35" i="30" s="1"/>
  <c r="M36" i="30"/>
  <c r="AE36" i="30" s="1"/>
  <c r="AG36" i="30" s="1"/>
  <c r="M37" i="30"/>
  <c r="AE37" i="30" s="1"/>
  <c r="AG37" i="30" s="1"/>
  <c r="M38" i="30"/>
  <c r="AE38" i="30" s="1"/>
  <c r="AG38" i="30" s="1"/>
  <c r="M39" i="30"/>
  <c r="AE39" i="30" s="1"/>
  <c r="AG39" i="30" s="1"/>
  <c r="M40" i="30"/>
  <c r="AE40" i="30" s="1"/>
  <c r="AG40" i="30" s="1"/>
  <c r="M41" i="30"/>
  <c r="AE41" i="30" s="1"/>
  <c r="AG41" i="30" s="1"/>
  <c r="K5" i="30"/>
  <c r="Z5" i="30" s="1"/>
  <c r="AB5" i="30" s="1"/>
  <c r="K6" i="30"/>
  <c r="Z6" i="30" s="1"/>
  <c r="K7" i="30"/>
  <c r="Z7" i="30" s="1"/>
  <c r="AB7" i="30" s="1"/>
  <c r="K8" i="30"/>
  <c r="Z8" i="30" s="1"/>
  <c r="AB8" i="30" s="1"/>
  <c r="K9" i="30"/>
  <c r="Z9" i="30" s="1"/>
  <c r="AB9" i="30" s="1"/>
  <c r="K12" i="30"/>
  <c r="Z12" i="30" s="1"/>
  <c r="AB12" i="30" s="1"/>
  <c r="K13" i="30"/>
  <c r="Z13" i="30" s="1"/>
  <c r="AB13" i="30" s="1"/>
  <c r="K14" i="30"/>
  <c r="K15" i="30"/>
  <c r="Z15" i="30" s="1"/>
  <c r="AB15" i="30" s="1"/>
  <c r="K19" i="30"/>
  <c r="Z19" i="30" s="1"/>
  <c r="AB19" i="30" s="1"/>
  <c r="K20" i="30"/>
  <c r="Z20" i="30" s="1"/>
  <c r="AB20" i="30" s="1"/>
  <c r="K21" i="30"/>
  <c r="Z21" i="30" s="1"/>
  <c r="AB21" i="30" s="1"/>
  <c r="K22" i="30"/>
  <c r="Z22" i="30" s="1"/>
  <c r="AB22" i="30" s="1"/>
  <c r="K24" i="30"/>
  <c r="Z24" i="30" s="1"/>
  <c r="AB24" i="30" s="1"/>
  <c r="K25" i="30"/>
  <c r="Z25" i="30" s="1"/>
  <c r="AB25" i="30" s="1"/>
  <c r="K26" i="30"/>
  <c r="Z26" i="30" s="1"/>
  <c r="AB26" i="30" s="1"/>
  <c r="K27" i="30"/>
  <c r="Z27" i="30" s="1"/>
  <c r="AB27" i="30" s="1"/>
  <c r="K28" i="30"/>
  <c r="Z28" i="30" s="1"/>
  <c r="AB28" i="30" s="1"/>
  <c r="K31" i="30"/>
  <c r="K32" i="30"/>
  <c r="Z32" i="30" s="1"/>
  <c r="AB32" i="30" s="1"/>
  <c r="K33" i="30"/>
  <c r="Z33" i="30" s="1"/>
  <c r="AB33" i="30" s="1"/>
  <c r="K34" i="30"/>
  <c r="Z34" i="30" s="1"/>
  <c r="AB34" i="30" s="1"/>
  <c r="K35" i="30"/>
  <c r="Z35" i="30" s="1"/>
  <c r="AB35" i="30" s="1"/>
  <c r="K36" i="30"/>
  <c r="Z36" i="30" s="1"/>
  <c r="AB36" i="30" s="1"/>
  <c r="K37" i="30"/>
  <c r="Z37" i="30" s="1"/>
  <c r="AB37" i="30" s="1"/>
  <c r="K38" i="30"/>
  <c r="Z38" i="30" s="1"/>
  <c r="AB38" i="30" s="1"/>
  <c r="K39" i="30"/>
  <c r="Z39" i="30" s="1"/>
  <c r="AB39" i="30" s="1"/>
  <c r="K40" i="30"/>
  <c r="O40" i="30" s="1"/>
  <c r="C128" i="30" s="1"/>
  <c r="K41" i="30"/>
  <c r="Z41" i="30" s="1"/>
  <c r="AB41" i="30" s="1"/>
  <c r="O5" i="30" l="1"/>
  <c r="C93" i="30" s="1"/>
  <c r="AK43" i="30"/>
  <c r="C85" i="30"/>
  <c r="AJ43" i="30"/>
  <c r="C84" i="30"/>
  <c r="AL43" i="30"/>
  <c r="C86" i="30"/>
  <c r="AM43" i="30"/>
  <c r="C87" i="30"/>
  <c r="O20" i="30"/>
  <c r="C108" i="30" s="1"/>
  <c r="O31" i="30"/>
  <c r="C119" i="30" s="1"/>
  <c r="O8" i="30"/>
  <c r="C96" i="30" s="1"/>
  <c r="O33" i="30"/>
  <c r="C121" i="30" s="1"/>
  <c r="O22" i="30"/>
  <c r="C110" i="30" s="1"/>
  <c r="O39" i="30"/>
  <c r="C127" i="30" s="1"/>
  <c r="O26" i="30"/>
  <c r="C114" i="30" s="1"/>
  <c r="O9" i="30"/>
  <c r="C97" i="30" s="1"/>
  <c r="O14" i="30"/>
  <c r="C102" i="30" s="1"/>
  <c r="O25" i="30"/>
  <c r="C113" i="30" s="1"/>
  <c r="Z31" i="30"/>
  <c r="AB31" i="30" s="1"/>
  <c r="O15" i="30"/>
  <c r="C103" i="30" s="1"/>
  <c r="O41" i="30"/>
  <c r="C129" i="30" s="1"/>
  <c r="O13" i="30"/>
  <c r="C101" i="30" s="1"/>
  <c r="Z40" i="30"/>
  <c r="AB40" i="30" s="1"/>
  <c r="Z14" i="30"/>
  <c r="AB14" i="30" s="1"/>
  <c r="K42" i="30"/>
  <c r="C76" i="30" s="1"/>
  <c r="O32" i="30"/>
  <c r="C120" i="30" s="1"/>
  <c r="O36" i="30"/>
  <c r="C124" i="30" s="1"/>
  <c r="O7" i="30"/>
  <c r="C95" i="30" s="1"/>
  <c r="O37" i="30"/>
  <c r="C125" i="30" s="1"/>
  <c r="O35" i="30"/>
  <c r="C123" i="30" s="1"/>
  <c r="O27" i="30"/>
  <c r="C115" i="30" s="1"/>
  <c r="O21" i="30"/>
  <c r="C109" i="30" s="1"/>
  <c r="AG42" i="30"/>
  <c r="BB43" i="30" s="1"/>
  <c r="AB6" i="30"/>
  <c r="AE42" i="30"/>
  <c r="M42" i="30"/>
  <c r="C78" i="30" s="1"/>
  <c r="O38" i="30"/>
  <c r="C126" i="30" s="1"/>
  <c r="O34" i="30"/>
  <c r="C122" i="30" s="1"/>
  <c r="O28" i="30"/>
  <c r="C116" i="30" s="1"/>
  <c r="O24" i="30"/>
  <c r="C112" i="30" s="1"/>
  <c r="O19" i="30"/>
  <c r="C107" i="30" s="1"/>
  <c r="O12" i="30"/>
  <c r="C100" i="30" s="1"/>
  <c r="O6" i="30"/>
  <c r="C94" i="30" s="1"/>
  <c r="AN42" i="30"/>
  <c r="C88" i="30" s="1"/>
  <c r="C130" i="30" l="1"/>
  <c r="D88" i="30"/>
  <c r="D80" i="30"/>
  <c r="Z42" i="30"/>
  <c r="AB42" i="30"/>
  <c r="AU43" i="30" s="1"/>
  <c r="O42" i="30"/>
  <c r="AN43" i="30" l="1"/>
  <c r="C80" i="30"/>
  <c r="O43" i="30"/>
  <c r="M5" i="10"/>
  <c r="M4" i="10"/>
  <c r="AE4" i="10" l="1"/>
  <c r="G13" i="10"/>
  <c r="G21" i="10"/>
  <c r="G29" i="10"/>
  <c r="G38" i="10"/>
  <c r="G22" i="10"/>
  <c r="G9" i="10"/>
  <c r="G41" i="10"/>
  <c r="G23" i="10"/>
  <c r="G12" i="10"/>
  <c r="G20" i="10"/>
  <c r="G28" i="10"/>
  <c r="G37" i="10"/>
  <c r="G17" i="10"/>
  <c r="G25" i="10"/>
  <c r="G33" i="10"/>
  <c r="G14" i="10"/>
  <c r="G30" i="10"/>
  <c r="G19" i="10"/>
  <c r="G10" i="10"/>
  <c r="G26" i="10"/>
  <c r="G31" i="10"/>
  <c r="G11" i="10"/>
  <c r="AE5" i="10"/>
  <c r="G34" i="10"/>
  <c r="G7" i="10"/>
  <c r="G8" i="10"/>
  <c r="G16" i="10"/>
  <c r="G24" i="10"/>
  <c r="G32" i="10"/>
  <c r="G27" i="10"/>
  <c r="G6" i="10"/>
  <c r="G18" i="10"/>
  <c r="G39" i="10"/>
  <c r="G15" i="10"/>
  <c r="G36" i="10"/>
  <c r="V24" i="10" l="1"/>
  <c r="V27" i="10"/>
  <c r="V18" i="10"/>
  <c r="V32" i="10"/>
  <c r="V31" i="10"/>
  <c r="V19" i="10"/>
  <c r="V25" i="10"/>
  <c r="V28" i="10"/>
  <c r="V41" i="10"/>
  <c r="V21" i="10"/>
  <c r="V6" i="10"/>
  <c r="V7" i="10"/>
  <c r="V26" i="10"/>
  <c r="V30" i="10"/>
  <c r="V17" i="10"/>
  <c r="V20" i="10"/>
  <c r="V22" i="10"/>
  <c r="V13" i="10"/>
  <c r="V36" i="10"/>
  <c r="V15" i="10"/>
  <c r="V34" i="10"/>
  <c r="V10" i="10"/>
  <c r="V14" i="10"/>
  <c r="V12" i="10"/>
  <c r="V38" i="10"/>
  <c r="V16" i="10"/>
  <c r="V39" i="10"/>
  <c r="V8" i="10"/>
  <c r="V11" i="10"/>
  <c r="V33" i="10"/>
  <c r="V37" i="10"/>
  <c r="V23" i="10"/>
  <c r="V9" i="10"/>
  <c r="V29" i="10"/>
  <c r="G5" i="10"/>
  <c r="V5" i="10" l="1"/>
  <c r="G4" i="10"/>
  <c r="V4" i="10" l="1"/>
  <c r="K4" i="10" l="1"/>
  <c r="Z4" i="10" l="1"/>
  <c r="M35" i="10" l="1"/>
  <c r="AE35" i="10" s="1"/>
  <c r="M40" i="10"/>
  <c r="AE40" i="10" s="1"/>
  <c r="K40" i="10"/>
  <c r="Z40" i="10" s="1"/>
  <c r="K35" i="10"/>
  <c r="Z35" i="10" s="1"/>
  <c r="G40" i="10"/>
  <c r="V40" i="10" s="1"/>
  <c r="G35" i="10"/>
  <c r="V35" i="10" s="1"/>
  <c r="AY41" i="10"/>
  <c r="AR41" i="10"/>
  <c r="AY40" i="10"/>
  <c r="AR40" i="10"/>
  <c r="AK40" i="10" s="1"/>
  <c r="AY39" i="10"/>
  <c r="AR39" i="10"/>
  <c r="AY38" i="10"/>
  <c r="AR38" i="10"/>
  <c r="AK38" i="10" s="1"/>
  <c r="AY37" i="10"/>
  <c r="AR37" i="10"/>
  <c r="N41" i="10"/>
  <c r="AF41" i="10" s="1"/>
  <c r="N40" i="10"/>
  <c r="AF40" i="10"/>
  <c r="N39" i="10"/>
  <c r="AF39" i="10" s="1"/>
  <c r="N38" i="10"/>
  <c r="AF38" i="10" s="1"/>
  <c r="N37" i="10"/>
  <c r="AF37" i="10" s="1"/>
  <c r="AY36" i="10"/>
  <c r="N36" i="10"/>
  <c r="AF36" i="10" s="1"/>
  <c r="AR36" i="10"/>
  <c r="AY35" i="10"/>
  <c r="AR35" i="10"/>
  <c r="AY34" i="10"/>
  <c r="AR34" i="10"/>
  <c r="AK34" i="10" s="1"/>
  <c r="AY33" i="10"/>
  <c r="AR33" i="10"/>
  <c r="AK33" i="10" s="1"/>
  <c r="AY32" i="10"/>
  <c r="AR32" i="10"/>
  <c r="AK32" i="10" s="1"/>
  <c r="AY31" i="10"/>
  <c r="AR31" i="10"/>
  <c r="AK31" i="10" s="1"/>
  <c r="AY30" i="10"/>
  <c r="AR30" i="10"/>
  <c r="AK30" i="10" s="1"/>
  <c r="N34" i="10"/>
  <c r="AF34" i="10" s="1"/>
  <c r="N32" i="10"/>
  <c r="AF32" i="10" s="1"/>
  <c r="AY29" i="10"/>
  <c r="AR29" i="10"/>
  <c r="AY28" i="10"/>
  <c r="AR28" i="10"/>
  <c r="AY27" i="10"/>
  <c r="AR27" i="10"/>
  <c r="AK27" i="10" s="1"/>
  <c r="AY26" i="10"/>
  <c r="AR26" i="10"/>
  <c r="AK26" i="10" s="1"/>
  <c r="AY25" i="10"/>
  <c r="AR25" i="10"/>
  <c r="AK25" i="10" s="1"/>
  <c r="N33" i="10"/>
  <c r="AF33" i="10"/>
  <c r="N30" i="10"/>
  <c r="AF30" i="10" s="1"/>
  <c r="N35" i="10"/>
  <c r="AF35" i="10" s="1"/>
  <c r="N29" i="10"/>
  <c r="AF29" i="10" s="1"/>
  <c r="N28" i="10"/>
  <c r="AF28" i="10" s="1"/>
  <c r="N27" i="10"/>
  <c r="AF27" i="10"/>
  <c r="N26" i="10"/>
  <c r="AF26" i="10" s="1"/>
  <c r="N31" i="10"/>
  <c r="AF31" i="10" s="1"/>
  <c r="AY22" i="10"/>
  <c r="AR22" i="10"/>
  <c r="AK22" i="10" s="1"/>
  <c r="AY21" i="10"/>
  <c r="AR21" i="10"/>
  <c r="AK21" i="10" s="1"/>
  <c r="AY20" i="10"/>
  <c r="AR20" i="10"/>
  <c r="AK20" i="10" s="1"/>
  <c r="AY19" i="10"/>
  <c r="AR19" i="10"/>
  <c r="AK19" i="10" s="1"/>
  <c r="AY18" i="10"/>
  <c r="AR18" i="10"/>
  <c r="AK18" i="10" s="1"/>
  <c r="AY23" i="10"/>
  <c r="AY24" i="10"/>
  <c r="AR24" i="10"/>
  <c r="N24" i="10"/>
  <c r="AF24" i="10" s="1"/>
  <c r="N22" i="10"/>
  <c r="AF22" i="10" s="1"/>
  <c r="N21" i="10"/>
  <c r="AF21" i="10" s="1"/>
  <c r="N20" i="10"/>
  <c r="AF20" i="10" s="1"/>
  <c r="N19" i="10"/>
  <c r="AF19" i="10" s="1"/>
  <c r="N18" i="10"/>
  <c r="AF18" i="10" s="1"/>
  <c r="AY16" i="10"/>
  <c r="N16" i="10"/>
  <c r="AF16" i="10" s="1"/>
  <c r="AR16" i="10"/>
  <c r="AY14" i="10"/>
  <c r="N25" i="10"/>
  <c r="AF25" i="10" s="1"/>
  <c r="N23" i="10"/>
  <c r="AF23" i="10" s="1"/>
  <c r="AR23" i="10"/>
  <c r="AK23" i="10" s="1"/>
  <c r="AY15" i="10"/>
  <c r="AR15" i="10"/>
  <c r="N15" i="10"/>
  <c r="AF15" i="10" s="1"/>
  <c r="AY10" i="10"/>
  <c r="AY6" i="10"/>
  <c r="AY17" i="10"/>
  <c r="N17" i="10"/>
  <c r="AF17" i="10" s="1"/>
  <c r="AR17" i="10"/>
  <c r="AY13" i="10"/>
  <c r="AR13" i="10"/>
  <c r="N10" i="10"/>
  <c r="AF10" i="10" s="1"/>
  <c r="AR10" i="10"/>
  <c r="AK10" i="10" s="1"/>
  <c r="AY7" i="10"/>
  <c r="AY9" i="10"/>
  <c r="N9" i="10"/>
  <c r="AF9" i="10" s="1"/>
  <c r="AR9" i="10"/>
  <c r="AY5" i="10"/>
  <c r="N5" i="10"/>
  <c r="AF5" i="10" s="1"/>
  <c r="AG5" i="10" s="1"/>
  <c r="K5" i="10" s="1"/>
  <c r="AR5" i="10"/>
  <c r="AK5" i="10" s="1"/>
  <c r="AY11" i="10"/>
  <c r="N6" i="10"/>
  <c r="AF6" i="10" s="1"/>
  <c r="AR6" i="10"/>
  <c r="AK6" i="10" s="1"/>
  <c r="N14" i="10"/>
  <c r="AF14" i="10" s="1"/>
  <c r="AR14" i="10"/>
  <c r="AK14" i="10" s="1"/>
  <c r="N13" i="10"/>
  <c r="AF13" i="10" s="1"/>
  <c r="AY12" i="10"/>
  <c r="N12" i="10"/>
  <c r="AF12" i="10" s="1"/>
  <c r="AR12" i="10"/>
  <c r="N11" i="10"/>
  <c r="AF11" i="10" s="1"/>
  <c r="AR11" i="10"/>
  <c r="AK11" i="10" s="1"/>
  <c r="AY8" i="10"/>
  <c r="N8" i="10"/>
  <c r="AF8" i="10" s="1"/>
  <c r="AR8" i="10"/>
  <c r="AK8" i="10" s="1"/>
  <c r="N7" i="10"/>
  <c r="AF7" i="10" s="1"/>
  <c r="AR7" i="10"/>
  <c r="AK7" i="10" s="1"/>
  <c r="AY4" i="10"/>
  <c r="AT5" i="10"/>
  <c r="BA5" i="10"/>
  <c r="AT21" i="10"/>
  <c r="BA21" i="10"/>
  <c r="AT37" i="10"/>
  <c r="BA37" i="10"/>
  <c r="AT15" i="10"/>
  <c r="BA15" i="10"/>
  <c r="AZ6" i="10"/>
  <c r="AZ22" i="10"/>
  <c r="AZ38" i="10"/>
  <c r="AZ20" i="10"/>
  <c r="AT35" i="10"/>
  <c r="BA35" i="10"/>
  <c r="AZ40" i="10"/>
  <c r="AT22" i="10"/>
  <c r="AM22" i="10" s="1"/>
  <c r="BA22" i="10"/>
  <c r="AT6" i="10"/>
  <c r="BA6" i="10"/>
  <c r="L29" i="10"/>
  <c r="AA29" i="10" s="1"/>
  <c r="L13" i="10"/>
  <c r="AA13" i="10" s="1"/>
  <c r="AZ35" i="10"/>
  <c r="AZ19" i="10"/>
  <c r="L26" i="10"/>
  <c r="AA26" i="10" s="1"/>
  <c r="L28" i="10"/>
  <c r="AA28" i="10" s="1"/>
  <c r="L12" i="10"/>
  <c r="AA12" i="10" s="1"/>
  <c r="AT32" i="10"/>
  <c r="BA32" i="10"/>
  <c r="AT16" i="10"/>
  <c r="BA16" i="10"/>
  <c r="L30" i="10"/>
  <c r="AA30" i="10" s="1"/>
  <c r="L19" i="10"/>
  <c r="AA19" i="10" s="1"/>
  <c r="AZ41" i="10"/>
  <c r="AZ25" i="10"/>
  <c r="AZ9" i="10"/>
  <c r="AT9" i="10"/>
  <c r="AM9" i="10" s="1"/>
  <c r="BA9" i="10"/>
  <c r="AT25" i="10"/>
  <c r="AM25" i="10" s="1"/>
  <c r="BA25" i="10"/>
  <c r="AT41" i="10"/>
  <c r="AM41" i="10" s="1"/>
  <c r="BA41" i="10"/>
  <c r="AX19" i="10"/>
  <c r="AS19" i="10"/>
  <c r="AL19" i="10" s="1"/>
  <c r="AQ19" i="10"/>
  <c r="AT19" i="10"/>
  <c r="BA19" i="10"/>
  <c r="AZ10" i="10"/>
  <c r="AZ26" i="10"/>
  <c r="AZ8" i="10"/>
  <c r="AZ24" i="10"/>
  <c r="AT39" i="10"/>
  <c r="AM39" i="10" s="1"/>
  <c r="BA39" i="10"/>
  <c r="L14" i="10"/>
  <c r="AA14" i="10" s="1"/>
  <c r="AT18" i="10"/>
  <c r="BA18" i="10"/>
  <c r="AQ41" i="10"/>
  <c r="AX41" i="10"/>
  <c r="BB41" i="10" s="1"/>
  <c r="AS41" i="10"/>
  <c r="AL41" i="10" s="1"/>
  <c r="L41" i="10"/>
  <c r="AA41" i="10" s="1"/>
  <c r="AQ25" i="10"/>
  <c r="AX25" i="10"/>
  <c r="BB25" i="10" s="1"/>
  <c r="AS25" i="10"/>
  <c r="L25" i="10"/>
  <c r="AA25" i="10" s="1"/>
  <c r="AQ9" i="10"/>
  <c r="AX9" i="10"/>
  <c r="BB9" i="10" s="1"/>
  <c r="AS9" i="10"/>
  <c r="AL9" i="10" s="1"/>
  <c r="L9" i="10"/>
  <c r="AA9" i="10" s="1"/>
  <c r="AZ31" i="10"/>
  <c r="AZ15" i="10"/>
  <c r="L10" i="10"/>
  <c r="AA10" i="10" s="1"/>
  <c r="L36" i="10"/>
  <c r="AA36" i="10" s="1"/>
  <c r="L24" i="10"/>
  <c r="AA24" i="10" s="1"/>
  <c r="L8" i="10"/>
  <c r="AA8" i="10" s="1"/>
  <c r="AT28" i="10"/>
  <c r="BA28" i="10"/>
  <c r="AT12" i="10"/>
  <c r="BA12" i="10"/>
  <c r="L18" i="10"/>
  <c r="AA18" i="10" s="1"/>
  <c r="L31" i="10"/>
  <c r="AA31" i="10" s="1"/>
  <c r="AQ15" i="10"/>
  <c r="AX15" i="10"/>
  <c r="AS15" i="10"/>
  <c r="L15" i="10"/>
  <c r="AA15" i="10" s="1"/>
  <c r="AZ37" i="10"/>
  <c r="AZ21" i="10"/>
  <c r="AZ5" i="10"/>
  <c r="AT13" i="10"/>
  <c r="BA13" i="10"/>
  <c r="AT29" i="10"/>
  <c r="BA29" i="10"/>
  <c r="AT7" i="10"/>
  <c r="BA7" i="10"/>
  <c r="AT23" i="10"/>
  <c r="BA23" i="10"/>
  <c r="AZ14" i="10"/>
  <c r="AZ30" i="10"/>
  <c r="AQ12" i="10"/>
  <c r="AX12" i="10"/>
  <c r="AS12" i="10"/>
  <c r="AZ12" i="10"/>
  <c r="AQ28" i="10"/>
  <c r="AX28" i="10"/>
  <c r="AS28" i="10"/>
  <c r="AZ28" i="10"/>
  <c r="AZ32" i="10"/>
  <c r="L34" i="10"/>
  <c r="AA34" i="10" s="1"/>
  <c r="AX30" i="10"/>
  <c r="AS30" i="10"/>
  <c r="AL30" i="10" s="1"/>
  <c r="AQ30" i="10"/>
  <c r="AT30" i="10"/>
  <c r="AM30" i="10" s="1"/>
  <c r="BA30" i="10"/>
  <c r="AX14" i="10"/>
  <c r="AS14" i="10"/>
  <c r="AL14" i="10" s="1"/>
  <c r="AQ14" i="10"/>
  <c r="AT14" i="10"/>
  <c r="BA14" i="10"/>
  <c r="AQ37" i="10"/>
  <c r="AX37" i="10"/>
  <c r="AS37" i="10"/>
  <c r="L37" i="10"/>
  <c r="AA37" i="10" s="1"/>
  <c r="AQ21" i="10"/>
  <c r="AX21" i="10"/>
  <c r="BB21" i="10" s="1"/>
  <c r="AS21" i="10"/>
  <c r="AL21" i="10" s="1"/>
  <c r="L21" i="10"/>
  <c r="AA21" i="10" s="1"/>
  <c r="AQ5" i="10"/>
  <c r="AX5" i="10"/>
  <c r="AS5" i="10"/>
  <c r="AL5" i="10" s="1"/>
  <c r="L5" i="10"/>
  <c r="AA5" i="10" s="1"/>
  <c r="AZ27" i="10"/>
  <c r="AZ11" i="10"/>
  <c r="AT38" i="10"/>
  <c r="BA38" i="10"/>
  <c r="L20" i="10"/>
  <c r="AA20" i="10" s="1"/>
  <c r="AT40" i="10"/>
  <c r="BA40" i="10"/>
  <c r="AX24" i="10"/>
  <c r="AS24" i="10"/>
  <c r="AL24" i="10" s="1"/>
  <c r="AQ24" i="10"/>
  <c r="AT24" i="10"/>
  <c r="BA24" i="10"/>
  <c r="AX8" i="10"/>
  <c r="AS8" i="10"/>
  <c r="AQ8" i="10"/>
  <c r="AT8" i="10"/>
  <c r="BA8" i="10"/>
  <c r="AT4" i="10"/>
  <c r="BA4" i="10"/>
  <c r="AQ6" i="10"/>
  <c r="AX6" i="10"/>
  <c r="BB6" i="10" s="1"/>
  <c r="AS6" i="10"/>
  <c r="AL6" i="10" s="1"/>
  <c r="L6" i="10"/>
  <c r="AA6" i="10" s="1"/>
  <c r="L27" i="10"/>
  <c r="AA27" i="10" s="1"/>
  <c r="L11" i="10"/>
  <c r="AA11" i="10" s="1"/>
  <c r="AZ33" i="10"/>
  <c r="AZ17" i="10"/>
  <c r="AT17" i="10"/>
  <c r="BA17" i="10"/>
  <c r="AT33" i="10"/>
  <c r="BA33" i="10"/>
  <c r="AX11" i="10"/>
  <c r="AS11" i="10"/>
  <c r="AL11" i="10" s="1"/>
  <c r="AQ11" i="10"/>
  <c r="AT11" i="10"/>
  <c r="BA11" i="10"/>
  <c r="AX27" i="10"/>
  <c r="AS27" i="10"/>
  <c r="AL27" i="10" s="1"/>
  <c r="AQ27" i="10"/>
  <c r="AJ27" i="10" s="1"/>
  <c r="AT27" i="10"/>
  <c r="BA27" i="10"/>
  <c r="AQ18" i="10"/>
  <c r="AX18" i="10"/>
  <c r="BB18" i="10" s="1"/>
  <c r="AS18" i="10"/>
  <c r="AL18" i="10" s="1"/>
  <c r="AZ18" i="10"/>
  <c r="AZ34" i="10"/>
  <c r="AZ16" i="10"/>
  <c r="AX31" i="10"/>
  <c r="AS31" i="10"/>
  <c r="AL31" i="10"/>
  <c r="AQ31" i="10"/>
  <c r="AU31" i="10" s="1"/>
  <c r="AT31" i="10"/>
  <c r="BA31" i="10"/>
  <c r="AZ36" i="10"/>
  <c r="AQ22" i="10"/>
  <c r="AX22" i="10"/>
  <c r="AS22" i="10"/>
  <c r="L22" i="10"/>
  <c r="AA22" i="10" s="1"/>
  <c r="AX26" i="10"/>
  <c r="AS26" i="10"/>
  <c r="AL26" i="10" s="1"/>
  <c r="AQ26" i="10"/>
  <c r="AT26" i="10"/>
  <c r="BA26" i="10"/>
  <c r="AX10" i="10"/>
  <c r="AS10" i="10"/>
  <c r="AL10" i="10" s="1"/>
  <c r="AQ10" i="10"/>
  <c r="AT10" i="10"/>
  <c r="AM10" i="10" s="1"/>
  <c r="BA10" i="10"/>
  <c r="AQ33" i="10"/>
  <c r="AX33" i="10"/>
  <c r="AS33" i="10"/>
  <c r="L33" i="10"/>
  <c r="AA33" i="10" s="1"/>
  <c r="AQ17" i="10"/>
  <c r="AX17" i="10"/>
  <c r="AS17" i="10"/>
  <c r="AL17" i="10" s="1"/>
  <c r="L17" i="10"/>
  <c r="AA17" i="10" s="1"/>
  <c r="AZ39" i="10"/>
  <c r="AZ23" i="10"/>
  <c r="AZ7" i="10"/>
  <c r="AX34" i="10"/>
  <c r="AS34" i="10"/>
  <c r="AQ34" i="10"/>
  <c r="AT34" i="10"/>
  <c r="AM34" i="10" s="1"/>
  <c r="BA34" i="10"/>
  <c r="AQ32" i="10"/>
  <c r="AX32" i="10"/>
  <c r="BB32" i="10" s="1"/>
  <c r="AS32" i="10"/>
  <c r="AL32" i="10" s="1"/>
  <c r="L32" i="10"/>
  <c r="AA32" i="10" s="1"/>
  <c r="AQ16" i="10"/>
  <c r="AX16" i="10"/>
  <c r="AS16" i="10"/>
  <c r="AL16" i="10" s="1"/>
  <c r="L16" i="10"/>
  <c r="AA16" i="10" s="1"/>
  <c r="AX36" i="10"/>
  <c r="AS36" i="10"/>
  <c r="AQ36" i="10"/>
  <c r="AT36" i="10"/>
  <c r="BA36" i="10"/>
  <c r="AX20" i="10"/>
  <c r="AS20" i="10"/>
  <c r="AL20" i="10" s="1"/>
  <c r="AQ20" i="10"/>
  <c r="AT20" i="10"/>
  <c r="BA20" i="10"/>
  <c r="AQ38" i="10"/>
  <c r="AX38" i="10"/>
  <c r="AS38" i="10"/>
  <c r="AL38" i="10" s="1"/>
  <c r="L38" i="10"/>
  <c r="AA38" i="10" s="1"/>
  <c r="AQ39" i="10"/>
  <c r="AX39" i="10"/>
  <c r="AS39" i="10"/>
  <c r="L39" i="10"/>
  <c r="AA39" i="10" s="1"/>
  <c r="AQ23" i="10"/>
  <c r="AX23" i="10"/>
  <c r="AS23" i="10"/>
  <c r="L23" i="10"/>
  <c r="AA23" i="10" s="1"/>
  <c r="AQ7" i="10"/>
  <c r="AX7" i="10"/>
  <c r="AS7" i="10"/>
  <c r="L7" i="10"/>
  <c r="AA7" i="10" s="1"/>
  <c r="AQ29" i="10"/>
  <c r="AX29" i="10"/>
  <c r="AS29" i="10"/>
  <c r="AZ29" i="10"/>
  <c r="AQ13" i="10"/>
  <c r="AX13" i="10"/>
  <c r="AS13" i="10"/>
  <c r="AZ13" i="10"/>
  <c r="AQ40" i="10"/>
  <c r="AX40" i="10"/>
  <c r="AS40" i="10"/>
  <c r="AL40" i="10" s="1"/>
  <c r="L40" i="10"/>
  <c r="AA40" i="10" s="1"/>
  <c r="AZ4" i="10"/>
  <c r="AQ35" i="10"/>
  <c r="AX35" i="10"/>
  <c r="AS35" i="10"/>
  <c r="L35" i="10"/>
  <c r="AA35" i="10" s="1"/>
  <c r="AR4" i="10"/>
  <c r="L4" i="10"/>
  <c r="AX4" i="10"/>
  <c r="AS4" i="10"/>
  <c r="AS42" i="10" s="1"/>
  <c r="AQ4" i="10"/>
  <c r="N4" i="10"/>
  <c r="AZ42" i="10" l="1"/>
  <c r="AJ8" i="10"/>
  <c r="AM23" i="10"/>
  <c r="AM29" i="10"/>
  <c r="AL8" i="10"/>
  <c r="AM19" i="10"/>
  <c r="AM27" i="10"/>
  <c r="AN27" i="10" s="1"/>
  <c r="AM17" i="10"/>
  <c r="AU41" i="10"/>
  <c r="AL37" i="10"/>
  <c r="AL12" i="10"/>
  <c r="AJ9" i="10"/>
  <c r="AU25" i="10"/>
  <c r="AJ19" i="10"/>
  <c r="AM16" i="10"/>
  <c r="AM35" i="10"/>
  <c r="AM37" i="10"/>
  <c r="AM5" i="10"/>
  <c r="AK15" i="10"/>
  <c r="AB35" i="10"/>
  <c r="AL35" i="10"/>
  <c r="BB33" i="10"/>
  <c r="N42" i="10"/>
  <c r="L42" i="10"/>
  <c r="BB35" i="10"/>
  <c r="AL13" i="10"/>
  <c r="AL29" i="10"/>
  <c r="AL7" i="10"/>
  <c r="AL23" i="10"/>
  <c r="AM20" i="10"/>
  <c r="AL34" i="10"/>
  <c r="AJ26" i="10"/>
  <c r="AL22" i="10"/>
  <c r="BB5" i="10"/>
  <c r="BB37" i="10"/>
  <c r="AJ14" i="10"/>
  <c r="BB28" i="10"/>
  <c r="AL15" i="10"/>
  <c r="AM28" i="10"/>
  <c r="AY42" i="10"/>
  <c r="AK12" i="10"/>
  <c r="AK9" i="10"/>
  <c r="AK17" i="10"/>
  <c r="AK36" i="10"/>
  <c r="BB14" i="10"/>
  <c r="AX42" i="10"/>
  <c r="BB16" i="10"/>
  <c r="BB17" i="10"/>
  <c r="AM26" i="10"/>
  <c r="AL36" i="10"/>
  <c r="AU11" i="10"/>
  <c r="AM24" i="10"/>
  <c r="AQ42" i="10"/>
  <c r="AR42" i="10"/>
  <c r="BB40" i="10"/>
  <c r="BB13" i="10"/>
  <c r="BB29" i="10"/>
  <c r="BB7" i="10"/>
  <c r="BB23" i="10"/>
  <c r="BB39" i="10"/>
  <c r="BB38" i="10"/>
  <c r="BB22" i="10"/>
  <c r="AU28" i="10"/>
  <c r="BB15" i="10"/>
  <c r="AL25" i="10"/>
  <c r="AK39" i="10"/>
  <c r="AJ36" i="10"/>
  <c r="AM14" i="10"/>
  <c r="AM32" i="10"/>
  <c r="AK41" i="10"/>
  <c r="AL33" i="10"/>
  <c r="AJ5" i="10"/>
  <c r="AN5" i="10" s="1"/>
  <c r="AM12" i="10"/>
  <c r="AM6" i="10"/>
  <c r="AK13" i="10"/>
  <c r="AL39" i="10"/>
  <c r="AK35" i="10"/>
  <c r="AK37" i="10"/>
  <c r="AU34" i="10"/>
  <c r="AM11" i="10"/>
  <c r="BB24" i="10"/>
  <c r="AU30" i="10"/>
  <c r="AU12" i="10"/>
  <c r="AK24" i="10"/>
  <c r="AK28" i="10"/>
  <c r="AA4" i="10"/>
  <c r="AB4" i="10" s="1"/>
  <c r="BB36" i="10"/>
  <c r="AU17" i="10"/>
  <c r="BB26" i="10"/>
  <c r="AJ31" i="10"/>
  <c r="AM8" i="10"/>
  <c r="AN8" i="10" s="1"/>
  <c r="AM38" i="10"/>
  <c r="AJ21" i="10"/>
  <c r="AL28" i="10"/>
  <c r="AN9" i="10"/>
  <c r="AM18" i="10"/>
  <c r="AM15" i="10"/>
  <c r="AM21" i="10"/>
  <c r="AK16" i="10"/>
  <c r="BB34" i="10"/>
  <c r="BB27" i="10"/>
  <c r="BA42" i="10"/>
  <c r="AU37" i="10"/>
  <c r="BB30" i="10"/>
  <c r="AM7" i="10"/>
  <c r="AM13" i="10"/>
  <c r="AJ15" i="10"/>
  <c r="BB19" i="10"/>
  <c r="AK29" i="10"/>
  <c r="AG40" i="10"/>
  <c r="BB11" i="10"/>
  <c r="AJ30" i="10"/>
  <c r="AN30" i="10" s="1"/>
  <c r="BB12" i="10"/>
  <c r="AG35" i="10"/>
  <c r="AF4" i="10"/>
  <c r="AK4" i="10"/>
  <c r="AJ40" i="10"/>
  <c r="AU40" i="10"/>
  <c r="AJ23" i="10"/>
  <c r="AN23" i="10" s="1"/>
  <c r="AU23" i="10"/>
  <c r="AJ38" i="10"/>
  <c r="AU38" i="10"/>
  <c r="AU20" i="10"/>
  <c r="AU16" i="10"/>
  <c r="AJ16" i="10"/>
  <c r="AN16" i="10" s="1"/>
  <c r="AU33" i="10"/>
  <c r="AU10" i="10"/>
  <c r="AJ22" i="10"/>
  <c r="AU22" i="10"/>
  <c r="BB31" i="10"/>
  <c r="AJ33" i="10"/>
  <c r="Z5" i="10"/>
  <c r="O5" i="10"/>
  <c r="AM36" i="10"/>
  <c r="AN36" i="10" s="1"/>
  <c r="AJ34" i="10"/>
  <c r="AN34" i="10" s="1"/>
  <c r="AJ11" i="10"/>
  <c r="AN11" i="10" s="1"/>
  <c r="AU24" i="10"/>
  <c r="AJ24" i="10"/>
  <c r="AN14" i="10"/>
  <c r="BB4" i="10"/>
  <c r="AJ7" i="10"/>
  <c r="AN7" i="10" s="1"/>
  <c r="AU7" i="10"/>
  <c r="AJ39" i="10"/>
  <c r="AN39" i="10" s="1"/>
  <c r="AU39" i="10"/>
  <c r="AU32" i="10"/>
  <c r="AJ32" i="10"/>
  <c r="AJ18" i="10"/>
  <c r="AN18" i="10" s="1"/>
  <c r="AU18" i="10"/>
  <c r="AM4" i="10"/>
  <c r="AT42" i="10"/>
  <c r="BB8" i="10"/>
  <c r="AM40" i="10"/>
  <c r="AN15" i="10"/>
  <c r="AB40" i="10"/>
  <c r="O4" i="10"/>
  <c r="AU13" i="10"/>
  <c r="AJ13" i="10"/>
  <c r="AN13" i="10" s="1"/>
  <c r="AL4" i="10"/>
  <c r="AU4" i="10"/>
  <c r="AU35" i="10"/>
  <c r="AJ35" i="10"/>
  <c r="AU29" i="10"/>
  <c r="AJ29" i="10"/>
  <c r="AN29" i="10" s="1"/>
  <c r="AJ20" i="10"/>
  <c r="AN20" i="10" s="1"/>
  <c r="BB20" i="10"/>
  <c r="AU36" i="10"/>
  <c r="AJ10" i="10"/>
  <c r="AN10" i="10" s="1"/>
  <c r="BB10" i="10"/>
  <c r="AU26" i="10"/>
  <c r="AM31" i="10"/>
  <c r="AN31" i="10" s="1"/>
  <c r="AU27" i="10"/>
  <c r="AM33" i="10"/>
  <c r="AJ17" i="10"/>
  <c r="AN17" i="10" s="1"/>
  <c r="AJ6" i="10"/>
  <c r="AN6" i="10" s="1"/>
  <c r="AU6" i="10"/>
  <c r="AJ4" i="10"/>
  <c r="AU8" i="10"/>
  <c r="AN19" i="10"/>
  <c r="AJ12" i="10"/>
  <c r="AJ25" i="10"/>
  <c r="AJ37" i="10"/>
  <c r="AU9" i="10"/>
  <c r="AU5" i="10"/>
  <c r="AU15" i="10"/>
  <c r="AU19" i="10"/>
  <c r="AJ41" i="10"/>
  <c r="AN41" i="10" s="1"/>
  <c r="AU14" i="10"/>
  <c r="O40" i="10"/>
  <c r="AU21" i="10"/>
  <c r="V42" i="10"/>
  <c r="AJ28" i="10"/>
  <c r="AN28" i="10" s="1"/>
  <c r="O35" i="10"/>
  <c r="G42" i="10"/>
  <c r="AA42" i="10" l="1"/>
  <c r="AN37" i="10"/>
  <c r="AL42" i="10"/>
  <c r="AN32" i="10"/>
  <c r="AN24" i="10"/>
  <c r="AN26" i="10"/>
  <c r="AN38" i="10"/>
  <c r="AN25" i="10"/>
  <c r="AN35" i="10"/>
  <c r="AN12" i="10"/>
  <c r="AN22" i="10"/>
  <c r="AK42" i="10"/>
  <c r="AN21" i="10"/>
  <c r="AM42" i="10"/>
  <c r="AB5" i="10"/>
  <c r="AN40" i="10"/>
  <c r="AN4" i="10"/>
  <c r="AJ42" i="10"/>
  <c r="AN33" i="10"/>
  <c r="BB42" i="10"/>
  <c r="AU42" i="10"/>
  <c r="AG4" i="10"/>
  <c r="AF42" i="10"/>
  <c r="AN42" i="10" l="1"/>
  <c r="K6" i="10"/>
  <c r="Z6" i="10" s="1"/>
  <c r="AB6" i="10" s="1"/>
  <c r="K7" i="10"/>
  <c r="Z7" i="10" s="1"/>
  <c r="AB7" i="10" s="1"/>
  <c r="K8" i="10"/>
  <c r="Z8" i="10" s="1"/>
  <c r="K9" i="10"/>
  <c r="Z9" i="10" s="1"/>
  <c r="AB9" i="10" s="1"/>
  <c r="K10" i="10"/>
  <c r="Z10" i="10" s="1"/>
  <c r="AB10" i="10" s="1"/>
  <c r="K11" i="10"/>
  <c r="Z11" i="10" s="1"/>
  <c r="AB11" i="10" s="1"/>
  <c r="K12" i="10"/>
  <c r="Z12" i="10" s="1"/>
  <c r="AB12" i="10" s="1"/>
  <c r="K13" i="10"/>
  <c r="Z13" i="10" s="1"/>
  <c r="AB13" i="10" s="1"/>
  <c r="K14" i="10"/>
  <c r="Z14" i="10" s="1"/>
  <c r="AB14" i="10"/>
  <c r="K15" i="10"/>
  <c r="Z15" i="10" s="1"/>
  <c r="AB15" i="10" s="1"/>
  <c r="K16" i="10"/>
  <c r="Z16" i="10" s="1"/>
  <c r="AB16" i="10" s="1"/>
  <c r="K17" i="10"/>
  <c r="Z17" i="10" s="1"/>
  <c r="AB17" i="10" s="1"/>
  <c r="K18" i="10"/>
  <c r="Z18" i="10" s="1"/>
  <c r="AB18" i="10" s="1"/>
  <c r="K19" i="10"/>
  <c r="Z19" i="10" s="1"/>
  <c r="AB19" i="10" s="1"/>
  <c r="K20" i="10"/>
  <c r="Z20" i="10" s="1"/>
  <c r="AB20" i="10" s="1"/>
  <c r="K21" i="10"/>
  <c r="Z21" i="10" s="1"/>
  <c r="AB21" i="10" s="1"/>
  <c r="K22" i="10"/>
  <c r="Z22" i="10" s="1"/>
  <c r="AB22" i="10" s="1"/>
  <c r="K23" i="10"/>
  <c r="Z23" i="10" s="1"/>
  <c r="AB23" i="10" s="1"/>
  <c r="K24" i="10"/>
  <c r="Z24" i="10" s="1"/>
  <c r="AB24" i="10" s="1"/>
  <c r="K25" i="10"/>
  <c r="Z25" i="10" s="1"/>
  <c r="AB25" i="10" s="1"/>
  <c r="K26" i="10"/>
  <c r="Z26" i="10" s="1"/>
  <c r="AB26" i="10" s="1"/>
  <c r="K27" i="10"/>
  <c r="Z27" i="10" s="1"/>
  <c r="AB27" i="10" s="1"/>
  <c r="K28" i="10"/>
  <c r="Z28" i="10" s="1"/>
  <c r="AB28" i="10" s="1"/>
  <c r="K29" i="10"/>
  <c r="Z29" i="10" s="1"/>
  <c r="AB29" i="10" s="1"/>
  <c r="K30" i="10"/>
  <c r="Z30" i="10" s="1"/>
  <c r="AB30" i="10" s="1"/>
  <c r="K31" i="10"/>
  <c r="Z31" i="10" s="1"/>
  <c r="AB31" i="10" s="1"/>
  <c r="K32" i="10"/>
  <c r="Z32" i="10" s="1"/>
  <c r="AB32" i="10" s="1"/>
  <c r="K33" i="10"/>
  <c r="Z33" i="10" s="1"/>
  <c r="AB33" i="10" s="1"/>
  <c r="K34" i="10"/>
  <c r="Z34" i="10" s="1"/>
  <c r="AB34" i="10" s="1"/>
  <c r="K36" i="10"/>
  <c r="Z36" i="10" s="1"/>
  <c r="AB36" i="10" s="1"/>
  <c r="K37" i="10"/>
  <c r="Z37" i="10" s="1"/>
  <c r="AB37" i="10" s="1"/>
  <c r="K38" i="10"/>
  <c r="Z38" i="10" s="1"/>
  <c r="AB38" i="10" s="1"/>
  <c r="K39" i="10"/>
  <c r="Z39" i="10" s="1"/>
  <c r="AB39" i="10" s="1"/>
  <c r="K41" i="10"/>
  <c r="Z41" i="10" s="1"/>
  <c r="AB41" i="10" s="1"/>
  <c r="M6" i="10"/>
  <c r="AE6" i="10" s="1"/>
  <c r="M7" i="10"/>
  <c r="AE7" i="10" s="1"/>
  <c r="AG7" i="10" s="1"/>
  <c r="M8" i="10"/>
  <c r="AE8" i="10" s="1"/>
  <c r="AG8" i="10" s="1"/>
  <c r="M9" i="10"/>
  <c r="AE9" i="10" s="1"/>
  <c r="AG9" i="10" s="1"/>
  <c r="M10" i="10"/>
  <c r="AE10" i="10" s="1"/>
  <c r="AG10" i="10" s="1"/>
  <c r="M11" i="10"/>
  <c r="AE11" i="10" s="1"/>
  <c r="AG11" i="10" s="1"/>
  <c r="M12" i="10"/>
  <c r="AE12" i="10" s="1"/>
  <c r="AG12" i="10" s="1"/>
  <c r="M13" i="10"/>
  <c r="AE13" i="10" s="1"/>
  <c r="AG13" i="10" s="1"/>
  <c r="M14" i="10"/>
  <c r="AE14" i="10" s="1"/>
  <c r="AG14" i="10" s="1"/>
  <c r="M15" i="10"/>
  <c r="AE15" i="10" s="1"/>
  <c r="AG15" i="10" s="1"/>
  <c r="M16" i="10"/>
  <c r="AE16" i="10" s="1"/>
  <c r="AG16" i="10" s="1"/>
  <c r="M17" i="10"/>
  <c r="AE17" i="10" s="1"/>
  <c r="AG17" i="10" s="1"/>
  <c r="M18" i="10"/>
  <c r="AE18" i="10" s="1"/>
  <c r="AG18" i="10" s="1"/>
  <c r="M19" i="10"/>
  <c r="AE19" i="10" s="1"/>
  <c r="AG19" i="10" s="1"/>
  <c r="M20" i="10"/>
  <c r="AE20" i="10" s="1"/>
  <c r="AG20" i="10" s="1"/>
  <c r="M21" i="10"/>
  <c r="AE21" i="10" s="1"/>
  <c r="AG21" i="10" s="1"/>
  <c r="M22" i="10"/>
  <c r="AE22" i="10" s="1"/>
  <c r="AG22" i="10" s="1"/>
  <c r="M23" i="10"/>
  <c r="AE23" i="10" s="1"/>
  <c r="AG23" i="10" s="1"/>
  <c r="M24" i="10"/>
  <c r="AE24" i="10" s="1"/>
  <c r="AG24" i="10" s="1"/>
  <c r="M25" i="10"/>
  <c r="AE25" i="10"/>
  <c r="AG25" i="10"/>
  <c r="M26" i="10"/>
  <c r="AE26" i="10" s="1"/>
  <c r="AG26" i="10" s="1"/>
  <c r="M27" i="10"/>
  <c r="AE27" i="10"/>
  <c r="AG27" i="10" s="1"/>
  <c r="M28" i="10"/>
  <c r="AE28" i="10" s="1"/>
  <c r="AG28" i="10" s="1"/>
  <c r="M29" i="10"/>
  <c r="AE29" i="10" s="1"/>
  <c r="AG29" i="10" s="1"/>
  <c r="M30" i="10"/>
  <c r="AE30" i="10" s="1"/>
  <c r="AG30" i="10" s="1"/>
  <c r="M31" i="10"/>
  <c r="AE31" i="10" s="1"/>
  <c r="AG31" i="10" s="1"/>
  <c r="M32" i="10"/>
  <c r="AE32" i="10" s="1"/>
  <c r="AG32" i="10" s="1"/>
  <c r="M33" i="10"/>
  <c r="O33" i="10" s="1"/>
  <c r="M34" i="10"/>
  <c r="AE34" i="10" s="1"/>
  <c r="AG34" i="10" s="1"/>
  <c r="M36" i="10"/>
  <c r="AE36" i="10"/>
  <c r="AG36" i="10" s="1"/>
  <c r="M37" i="10"/>
  <c r="AE37" i="10" s="1"/>
  <c r="AG37" i="10" s="1"/>
  <c r="M38" i="10"/>
  <c r="AE38" i="10" s="1"/>
  <c r="AG38" i="10" s="1"/>
  <c r="M39" i="10"/>
  <c r="AE39" i="10" s="1"/>
  <c r="AG39" i="10" s="1"/>
  <c r="M41" i="10"/>
  <c r="AE41" i="10"/>
  <c r="AG41" i="10" s="1"/>
  <c r="O6" i="10"/>
  <c r="O8" i="10"/>
  <c r="O9" i="10"/>
  <c r="O11" i="10"/>
  <c r="O13" i="10"/>
  <c r="O14" i="10"/>
  <c r="O18" i="10"/>
  <c r="O19" i="10"/>
  <c r="O21" i="10"/>
  <c r="O23" i="10"/>
  <c r="O25" i="10"/>
  <c r="O29" i="10"/>
  <c r="O30" i="10"/>
  <c r="O32" i="10"/>
  <c r="O36" i="10"/>
  <c r="O37" i="10"/>
  <c r="O38" i="10"/>
  <c r="O41" i="10"/>
  <c r="M42" i="10" l="1"/>
  <c r="O17" i="10"/>
  <c r="AE33" i="10"/>
  <c r="AG33" i="10" s="1"/>
  <c r="O39" i="10"/>
  <c r="O26" i="10"/>
  <c r="K42" i="10"/>
  <c r="O28" i="10"/>
  <c r="O24" i="10"/>
  <c r="O20" i="10"/>
  <c r="O16" i="10"/>
  <c r="O12" i="10"/>
  <c r="O31" i="10"/>
  <c r="O27" i="10"/>
  <c r="O15" i="10"/>
  <c r="O7" i="10"/>
  <c r="O34" i="10"/>
  <c r="O22" i="10"/>
  <c r="O10" i="10"/>
  <c r="AG6" i="10"/>
  <c r="AG42" i="10" s="1"/>
  <c r="BB43" i="10" s="1"/>
  <c r="AE42" i="10"/>
  <c r="Z42" i="10"/>
  <c r="AB8" i="10"/>
  <c r="AB42" i="10" s="1"/>
  <c r="O42" i="10" l="1"/>
  <c r="AN43" i="10" s="1"/>
  <c r="AU43" i="10"/>
  <c r="O43" i="10"/>
  <c r="K36" i="11"/>
  <c r="Z36" i="11" s="1"/>
  <c r="CC36" i="14"/>
  <c r="CX36" i="14"/>
  <c r="K26" i="11"/>
  <c r="CC26" i="14"/>
  <c r="Z26" i="11"/>
  <c r="CX26" i="14"/>
  <c r="K40" i="11"/>
  <c r="Z40" i="11" s="1"/>
  <c r="CC40" i="14"/>
  <c r="CX40" i="14"/>
  <c r="K38" i="11"/>
  <c r="CC38" i="14"/>
  <c r="CX38" i="14"/>
  <c r="DB26" i="14"/>
  <c r="DB36" i="14"/>
  <c r="DB40" i="14"/>
  <c r="DB38" i="14"/>
  <c r="DF36" i="14"/>
  <c r="K36" i="14" s="1"/>
  <c r="DF26" i="14"/>
  <c r="K26" i="14" s="1"/>
  <c r="Z26" i="14" s="1"/>
  <c r="DF38" i="14"/>
  <c r="K38" i="14" s="1"/>
  <c r="Z38" i="14" s="1"/>
  <c r="DF40" i="14"/>
  <c r="K40" i="14" s="1"/>
  <c r="L39" i="11"/>
  <c r="AA39" i="11" s="1"/>
  <c r="AB39" i="11" s="1"/>
  <c r="M39" i="11" s="1"/>
  <c r="AE39" i="11" s="1"/>
  <c r="L36" i="11"/>
  <c r="AA36" i="11" s="1"/>
  <c r="L35" i="11"/>
  <c r="AA35" i="11" s="1"/>
  <c r="AB35" i="11" s="1"/>
  <c r="L30" i="11"/>
  <c r="AA30" i="11" s="1"/>
  <c r="AB30" i="11" s="1"/>
  <c r="M30" i="11" s="1"/>
  <c r="AE30" i="11" s="1"/>
  <c r="L29" i="11"/>
  <c r="AA29" i="11" s="1"/>
  <c r="AB29" i="11" s="1"/>
  <c r="L28" i="11"/>
  <c r="AA28" i="11" s="1"/>
  <c r="AB28" i="11" s="1"/>
  <c r="M28" i="11" s="1"/>
  <c r="AE28" i="11" s="1"/>
  <c r="L24" i="11"/>
  <c r="AA24" i="11" s="1"/>
  <c r="AB24" i="11" s="1"/>
  <c r="L5" i="11"/>
  <c r="L37" i="11"/>
  <c r="AA37" i="11" s="1"/>
  <c r="AB37" i="11" s="1"/>
  <c r="L31" i="11"/>
  <c r="AA31" i="11" s="1"/>
  <c r="AB31" i="11" s="1"/>
  <c r="L41" i="11"/>
  <c r="AA41" i="11" s="1"/>
  <c r="AB41" i="11" s="1"/>
  <c r="L34" i="11"/>
  <c r="AA34" i="11" s="1"/>
  <c r="AB34" i="11" s="1"/>
  <c r="L27" i="11"/>
  <c r="AA27" i="11" s="1"/>
  <c r="AB27" i="11" s="1"/>
  <c r="L23" i="11"/>
  <c r="AA23" i="11" s="1"/>
  <c r="AB23" i="11" s="1"/>
  <c r="L22" i="11"/>
  <c r="AA22" i="11" s="1"/>
  <c r="AB22" i="11" s="1"/>
  <c r="L21" i="11"/>
  <c r="AA21" i="11" s="1"/>
  <c r="AB21" i="11" s="1"/>
  <c r="L20" i="11"/>
  <c r="AA20" i="11" s="1"/>
  <c r="AB20" i="11" s="1"/>
  <c r="L19" i="11"/>
  <c r="AA19" i="11" s="1"/>
  <c r="AB19" i="11" s="1"/>
  <c r="L18" i="11"/>
  <c r="AA18" i="11" s="1"/>
  <c r="AB18" i="11" s="1"/>
  <c r="L17" i="11"/>
  <c r="AA17" i="11"/>
  <c r="AB17" i="11" s="1"/>
  <c r="L16" i="11"/>
  <c r="AA16" i="11" s="1"/>
  <c r="AB16" i="11" s="1"/>
  <c r="L15" i="11"/>
  <c r="AA15" i="11" s="1"/>
  <c r="AB15" i="11" s="1"/>
  <c r="L14" i="11"/>
  <c r="AA14" i="11" s="1"/>
  <c r="AB14" i="11" s="1"/>
  <c r="L13" i="11"/>
  <c r="AA13" i="11" s="1"/>
  <c r="AB13" i="11" s="1"/>
  <c r="M13" i="11" s="1"/>
  <c r="AE13" i="11" s="1"/>
  <c r="L12" i="11"/>
  <c r="AA12" i="11" s="1"/>
  <c r="AB12" i="11" s="1"/>
  <c r="L11" i="11"/>
  <c r="AA11" i="11" s="1"/>
  <c r="AB11" i="11" s="1"/>
  <c r="L10" i="11"/>
  <c r="AA10" i="11" s="1"/>
  <c r="AB10" i="11" s="1"/>
  <c r="M10" i="11" s="1"/>
  <c r="AE10" i="11" s="1"/>
  <c r="L9" i="11"/>
  <c r="AA9" i="11" s="1"/>
  <c r="AB9" i="11" s="1"/>
  <c r="L25" i="11"/>
  <c r="AA25" i="11" s="1"/>
  <c r="AB25" i="11" s="1"/>
  <c r="L6" i="11"/>
  <c r="AA6" i="11" s="1"/>
  <c r="AB6" i="11" s="1"/>
  <c r="L40" i="11"/>
  <c r="AA40" i="11" s="1"/>
  <c r="L38" i="11"/>
  <c r="AA38" i="11" s="1"/>
  <c r="L33" i="11"/>
  <c r="AA33" i="11" s="1"/>
  <c r="AB33" i="11" s="1"/>
  <c r="L32" i="11"/>
  <c r="L26" i="11"/>
  <c r="AA26" i="11" s="1"/>
  <c r="L8" i="11"/>
  <c r="L7" i="11"/>
  <c r="AA7" i="11" s="1"/>
  <c r="AB7" i="11" s="1"/>
  <c r="M7" i="11" s="1"/>
  <c r="AZ5" i="11"/>
  <c r="AZ8" i="11"/>
  <c r="AZ22" i="11"/>
  <c r="AZ27" i="11"/>
  <c r="BA34" i="11"/>
  <c r="BA40" i="11"/>
  <c r="AZ10" i="11"/>
  <c r="AZ13" i="11"/>
  <c r="AZ31" i="11"/>
  <c r="AZ35" i="11"/>
  <c r="AZ38" i="11"/>
  <c r="BA5" i="11"/>
  <c r="BA7" i="11"/>
  <c r="BA9" i="11"/>
  <c r="BA20" i="11"/>
  <c r="BA22" i="11"/>
  <c r="AZ19" i="11"/>
  <c r="AZ23" i="11"/>
  <c r="AZ28" i="11"/>
  <c r="BA16" i="11"/>
  <c r="AZ14" i="11"/>
  <c r="AZ32" i="11"/>
  <c r="AZ36" i="11"/>
  <c r="AZ39" i="11"/>
  <c r="AZ16" i="11"/>
  <c r="AZ18" i="11"/>
  <c r="AZ41" i="11"/>
  <c r="BA12" i="11"/>
  <c r="BA14" i="11"/>
  <c r="BA36" i="11"/>
  <c r="BA38" i="11"/>
  <c r="AZ6" i="11"/>
  <c r="AZ20" i="11"/>
  <c r="AZ24" i="11"/>
  <c r="AZ29" i="11"/>
  <c r="BA17" i="11"/>
  <c r="BA39" i="11"/>
  <c r="BA41" i="11"/>
  <c r="AZ9" i="11"/>
  <c r="AZ11" i="11"/>
  <c r="AZ25" i="11"/>
  <c r="AZ34" i="11"/>
  <c r="BA6" i="11"/>
  <c r="BA8" i="11"/>
  <c r="BA10" i="11"/>
  <c r="BA19" i="11"/>
  <c r="BA21" i="11"/>
  <c r="BA23" i="11"/>
  <c r="BA25" i="11"/>
  <c r="BA27" i="11"/>
  <c r="BA29" i="11"/>
  <c r="BA31" i="11"/>
  <c r="BA33" i="11"/>
  <c r="AZ7" i="11"/>
  <c r="AZ21" i="11"/>
  <c r="AZ26" i="11"/>
  <c r="AZ30" i="11"/>
  <c r="BA18" i="11"/>
  <c r="AZ12" i="11"/>
  <c r="AZ37" i="11"/>
  <c r="AZ15" i="11"/>
  <c r="AZ17" i="11"/>
  <c r="AZ33" i="11"/>
  <c r="AZ40" i="11"/>
  <c r="BA11" i="11"/>
  <c r="BA13" i="11"/>
  <c r="BA15" i="11"/>
  <c r="BA35" i="11"/>
  <c r="BA37" i="11"/>
  <c r="BA24" i="11"/>
  <c r="BA32" i="11"/>
  <c r="BA26" i="11"/>
  <c r="AT31" i="11"/>
  <c r="AT32" i="11"/>
  <c r="AT33" i="11"/>
  <c r="AM33" i="11" s="1"/>
  <c r="AT36" i="11"/>
  <c r="AM36" i="11" s="1"/>
  <c r="BA28" i="11"/>
  <c r="AT29" i="11"/>
  <c r="AT37" i="11"/>
  <c r="AM37" i="11" s="1"/>
  <c r="AT38" i="11"/>
  <c r="AM38" i="11" s="1"/>
  <c r="AT39" i="11"/>
  <c r="AM39" i="11" s="1"/>
  <c r="AT40" i="11"/>
  <c r="AT41" i="11"/>
  <c r="AM41" i="11" s="1"/>
  <c r="BA30" i="11"/>
  <c r="AT30" i="11"/>
  <c r="AT34" i="11"/>
  <c r="AM34" i="11" s="1"/>
  <c r="AT35" i="11"/>
  <c r="AY9" i="11"/>
  <c r="AY13" i="11"/>
  <c r="AY29" i="11"/>
  <c r="AY8" i="11"/>
  <c r="AY12" i="11"/>
  <c r="AY17" i="11"/>
  <c r="AY18" i="11"/>
  <c r="AY24" i="11"/>
  <c r="AY25" i="11"/>
  <c r="AY26" i="11"/>
  <c r="AY27" i="11"/>
  <c r="AY28" i="11"/>
  <c r="AY30" i="11"/>
  <c r="AY33" i="11"/>
  <c r="AY4" i="11"/>
  <c r="AY6" i="11"/>
  <c r="AY7" i="11"/>
  <c r="AY16" i="11"/>
  <c r="AY20" i="11"/>
  <c r="AY23" i="11"/>
  <c r="AY36" i="11"/>
  <c r="AY38" i="11"/>
  <c r="AY41" i="11"/>
  <c r="AT28" i="11"/>
  <c r="AM28" i="11" s="1"/>
  <c r="AY5" i="11"/>
  <c r="AY10" i="11"/>
  <c r="AY11" i="11"/>
  <c r="AY14" i="11"/>
  <c r="AY15" i="11"/>
  <c r="AY19" i="11"/>
  <c r="AY21" i="11"/>
  <c r="AY22" i="11"/>
  <c r="AY31" i="11"/>
  <c r="AY34" i="11"/>
  <c r="AY35" i="11"/>
  <c r="AY39" i="11"/>
  <c r="AY40" i="11"/>
  <c r="L4" i="11"/>
  <c r="AA4" i="11" s="1"/>
  <c r="AB4" i="11" s="1"/>
  <c r="AY37" i="11"/>
  <c r="AY32" i="11"/>
  <c r="AZ4" i="11"/>
  <c r="AR34" i="11"/>
  <c r="AR37" i="11"/>
  <c r="AT19" i="11"/>
  <c r="AM19" i="11" s="1"/>
  <c r="AR39" i="11"/>
  <c r="BA4" i="11"/>
  <c r="AR31" i="11"/>
  <c r="AK31" i="11" s="1"/>
  <c r="AR32" i="11"/>
  <c r="AK32" i="11" s="1"/>
  <c r="AT22" i="11"/>
  <c r="AM22" i="11" s="1"/>
  <c r="AT12" i="11"/>
  <c r="AT10" i="11"/>
  <c r="AM10" i="11" s="1"/>
  <c r="AT5" i="11"/>
  <c r="AM5" i="11" s="1"/>
  <c r="AR21" i="11"/>
  <c r="AK21" i="11" s="1"/>
  <c r="AR15" i="11"/>
  <c r="AK15" i="11" s="1"/>
  <c r="AR10" i="11"/>
  <c r="AK10" i="11" s="1"/>
  <c r="AT27" i="11"/>
  <c r="AM27" i="11" s="1"/>
  <c r="AR36" i="11"/>
  <c r="AK36" i="11" s="1"/>
  <c r="AR20" i="11"/>
  <c r="AK20" i="11" s="1"/>
  <c r="AR6" i="11"/>
  <c r="AT24" i="11"/>
  <c r="AM24" i="11" s="1"/>
  <c r="AR26" i="11"/>
  <c r="AK26" i="11" s="1"/>
  <c r="AR18" i="11"/>
  <c r="AK18" i="11" s="1"/>
  <c r="AR8" i="11"/>
  <c r="AK8" i="11" s="1"/>
  <c r="AT26" i="11"/>
  <c r="AR38" i="11"/>
  <c r="AR12" i="11"/>
  <c r="AR40" i="11"/>
  <c r="AK40" i="11" s="1"/>
  <c r="AR29" i="11"/>
  <c r="AK29" i="11" s="1"/>
  <c r="AR13" i="11"/>
  <c r="AK13" i="11" s="1"/>
  <c r="AR9" i="11"/>
  <c r="AK9" i="11" s="1"/>
  <c r="AT20" i="11"/>
  <c r="AM20" i="11" s="1"/>
  <c r="AR19" i="11"/>
  <c r="AK19" i="11" s="1"/>
  <c r="AR14" i="11"/>
  <c r="AK14" i="11" s="1"/>
  <c r="AT23" i="11"/>
  <c r="AM23" i="11" s="1"/>
  <c r="AT16" i="11"/>
  <c r="AM16" i="11" s="1"/>
  <c r="AT14" i="11"/>
  <c r="AM14" i="11" s="1"/>
  <c r="AT6" i="11"/>
  <c r="AR41" i="11"/>
  <c r="AK41" i="11" s="1"/>
  <c r="AR25" i="11"/>
  <c r="AK25" i="11" s="1"/>
  <c r="AR17" i="11"/>
  <c r="AK17" i="11" s="1"/>
  <c r="AT9" i="11"/>
  <c r="AM9" i="11" s="1"/>
  <c r="AR22" i="11"/>
  <c r="AK22" i="11" s="1"/>
  <c r="AR11" i="11"/>
  <c r="AK11" i="11" s="1"/>
  <c r="AT17" i="11"/>
  <c r="AM17" i="11" s="1"/>
  <c r="AT13" i="11"/>
  <c r="AM13" i="11" s="1"/>
  <c r="AR30" i="11"/>
  <c r="AK30" i="11" s="1"/>
  <c r="AR27" i="11"/>
  <c r="AK27" i="11" s="1"/>
  <c r="AR35" i="11"/>
  <c r="AK35" i="11" s="1"/>
  <c r="AT11" i="11"/>
  <c r="AM11" i="11" s="1"/>
  <c r="AT7" i="11"/>
  <c r="AR5" i="11"/>
  <c r="AK5" i="11" s="1"/>
  <c r="AT18" i="11"/>
  <c r="AM18" i="11" s="1"/>
  <c r="AR23" i="11"/>
  <c r="AK23" i="11" s="1"/>
  <c r="AR16" i="11"/>
  <c r="AK16" i="11" s="1"/>
  <c r="AR7" i="11"/>
  <c r="AK7" i="11" s="1"/>
  <c r="AT25" i="11"/>
  <c r="AM25" i="11" s="1"/>
  <c r="AT21" i="11"/>
  <c r="AM21" i="11" s="1"/>
  <c r="AT8" i="11"/>
  <c r="AM8" i="11" s="1"/>
  <c r="AR33" i="11"/>
  <c r="AK33" i="11" s="1"/>
  <c r="AR28" i="11"/>
  <c r="AK28" i="11" s="1"/>
  <c r="AR24" i="11"/>
  <c r="AK24" i="11" s="1"/>
  <c r="AT15" i="11"/>
  <c r="AM15" i="11" s="1"/>
  <c r="N6" i="11"/>
  <c r="AF6" i="11" s="1"/>
  <c r="AG6" i="11" s="1"/>
  <c r="N37" i="11"/>
  <c r="N17" i="11"/>
  <c r="N8" i="11"/>
  <c r="AF8" i="11" s="1"/>
  <c r="AG8" i="11" s="1"/>
  <c r="N34" i="11"/>
  <c r="AF34" i="11" s="1"/>
  <c r="AG34" i="11" s="1"/>
  <c r="N12" i="11"/>
  <c r="N7" i="11"/>
  <c r="AF7" i="11" s="1"/>
  <c r="N15" i="11"/>
  <c r="AF15" i="11" s="1"/>
  <c r="AG15" i="11" s="1"/>
  <c r="N28" i="11"/>
  <c r="AF28" i="11" s="1"/>
  <c r="N13" i="11"/>
  <c r="AF13" i="11" s="1"/>
  <c r="N33" i="11"/>
  <c r="N11" i="11"/>
  <c r="AF11" i="11" s="1"/>
  <c r="AG11" i="11" s="1"/>
  <c r="N14" i="11"/>
  <c r="N38" i="11"/>
  <c r="AF38" i="11" s="1"/>
  <c r="N20" i="11"/>
  <c r="N39" i="11"/>
  <c r="AF39" i="11" s="1"/>
  <c r="N27" i="11"/>
  <c r="AT4" i="11"/>
  <c r="N32" i="11"/>
  <c r="AF32" i="11" s="1"/>
  <c r="AG32" i="11" s="1"/>
  <c r="N23" i="11"/>
  <c r="N30" i="11"/>
  <c r="AF30" i="11" s="1"/>
  <c r="N24" i="11"/>
  <c r="AF24" i="11" s="1"/>
  <c r="AG24" i="11" s="1"/>
  <c r="N40" i="11"/>
  <c r="AF40" i="11" s="1"/>
  <c r="AX8" i="11"/>
  <c r="BB8" i="11" s="1"/>
  <c r="AS8" i="11"/>
  <c r="AL8" i="11" s="1"/>
  <c r="AQ8" i="11"/>
  <c r="N18" i="11"/>
  <c r="AF18" i="11" s="1"/>
  <c r="AG18" i="11" s="1"/>
  <c r="N22" i="11"/>
  <c r="AF22" i="11" s="1"/>
  <c r="AG22" i="11" s="1"/>
  <c r="N25" i="11"/>
  <c r="N36" i="11"/>
  <c r="AF36" i="11" s="1"/>
  <c r="AG36" i="11" s="1"/>
  <c r="N5" i="11"/>
  <c r="AR4" i="11"/>
  <c r="N26" i="11"/>
  <c r="AF26" i="11" s="1"/>
  <c r="AG26" i="11" s="1"/>
  <c r="N9" i="11"/>
  <c r="N21" i="11"/>
  <c r="AF21" i="11" s="1"/>
  <c r="AG21" i="11" s="1"/>
  <c r="N10" i="11"/>
  <c r="AF10" i="11" s="1"/>
  <c r="AS17" i="11"/>
  <c r="AL17" i="11" s="1"/>
  <c r="AQ17" i="11"/>
  <c r="AX17" i="11"/>
  <c r="BB17" i="11" s="1"/>
  <c r="AS23" i="11"/>
  <c r="AL23" i="11" s="1"/>
  <c r="AQ23" i="11"/>
  <c r="AX23" i="11"/>
  <c r="BB23" i="11" s="1"/>
  <c r="AS12" i="11"/>
  <c r="AL12" i="11" s="1"/>
  <c r="AQ12" i="11"/>
  <c r="AX12" i="11"/>
  <c r="AS14" i="11"/>
  <c r="AL14" i="11" s="1"/>
  <c r="AQ14" i="11"/>
  <c r="AX14" i="11"/>
  <c r="BB14" i="11" s="1"/>
  <c r="AQ25" i="11"/>
  <c r="AX25" i="11"/>
  <c r="BB25" i="11" s="1"/>
  <c r="AS25" i="11"/>
  <c r="AL25" i="11" s="1"/>
  <c r="AQ9" i="11"/>
  <c r="AX9" i="11"/>
  <c r="BB9" i="11" s="1"/>
  <c r="AS9" i="11"/>
  <c r="AQ10" i="11"/>
  <c r="AX10" i="11"/>
  <c r="BB10" i="11" s="1"/>
  <c r="AS10" i="11"/>
  <c r="AL10" i="11" s="1"/>
  <c r="AS5" i="11"/>
  <c r="AL5" i="11" s="1"/>
  <c r="AQ5" i="11"/>
  <c r="AX5" i="11"/>
  <c r="AS18" i="11"/>
  <c r="AL18" i="11" s="1"/>
  <c r="AQ18" i="11"/>
  <c r="AX18" i="11"/>
  <c r="BB18" i="11" s="1"/>
  <c r="AQ6" i="11"/>
  <c r="AX6" i="11"/>
  <c r="BB6" i="11" s="1"/>
  <c r="AS6" i="11"/>
  <c r="AL6" i="11" s="1"/>
  <c r="AQ33" i="11"/>
  <c r="AX33" i="11"/>
  <c r="BB33" i="11" s="1"/>
  <c r="AS33" i="11"/>
  <c r="AL33" i="11" s="1"/>
  <c r="AQ24" i="11"/>
  <c r="AX24" i="11"/>
  <c r="BB24" i="11" s="1"/>
  <c r="AS24" i="11"/>
  <c r="AL24" i="11" s="1"/>
  <c r="AQ27" i="11"/>
  <c r="AX27" i="11"/>
  <c r="AS27" i="11"/>
  <c r="AQ20" i="11"/>
  <c r="AX20" i="11"/>
  <c r="BB20" i="11" s="1"/>
  <c r="AS20" i="11"/>
  <c r="AL20" i="11" s="1"/>
  <c r="AS21" i="11"/>
  <c r="AL21" i="11" s="1"/>
  <c r="AQ21" i="11"/>
  <c r="AX21" i="11"/>
  <c r="AS7" i="11"/>
  <c r="AL7" i="11" s="1"/>
  <c r="AQ7" i="11"/>
  <c r="AX7" i="11"/>
  <c r="N4" i="11"/>
  <c r="AQ11" i="11"/>
  <c r="AX11" i="11"/>
  <c r="BB11" i="11" s="1"/>
  <c r="AS11" i="11"/>
  <c r="AL11" i="11" s="1"/>
  <c r="AQ26" i="11"/>
  <c r="AX26" i="11"/>
  <c r="AS26" i="11"/>
  <c r="AL26" i="11" s="1"/>
  <c r="AQ4" i="11"/>
  <c r="AX4" i="11"/>
  <c r="AS4" i="11"/>
  <c r="AL4" i="11" s="1"/>
  <c r="AX30" i="11"/>
  <c r="AS30" i="11"/>
  <c r="AQ30" i="11"/>
  <c r="AX31" i="11"/>
  <c r="AS31" i="11"/>
  <c r="AL31" i="11" s="1"/>
  <c r="AQ31" i="11"/>
  <c r="N31" i="11"/>
  <c r="AF31" i="11" s="1"/>
  <c r="AG31" i="11" s="1"/>
  <c r="AX38" i="11"/>
  <c r="AS38" i="11"/>
  <c r="AL38" i="11" s="1"/>
  <c r="AQ38" i="11"/>
  <c r="AX19" i="11"/>
  <c r="BB19" i="11" s="1"/>
  <c r="AS19" i="11"/>
  <c r="AQ19" i="11"/>
  <c r="N19" i="11"/>
  <c r="AF19" i="11" s="1"/>
  <c r="AG19" i="11" s="1"/>
  <c r="N41" i="11"/>
  <c r="AX28" i="11"/>
  <c r="BB28" i="11" s="1"/>
  <c r="AS28" i="11"/>
  <c r="AQ28" i="11"/>
  <c r="AU28" i="11" s="1"/>
  <c r="AX13" i="11"/>
  <c r="BB13" i="11" s="1"/>
  <c r="AS13" i="11"/>
  <c r="AL13" i="11" s="1"/>
  <c r="AQ13" i="11"/>
  <c r="AX40" i="11"/>
  <c r="AS40" i="11"/>
  <c r="AQ40" i="11"/>
  <c r="AU40" i="11" s="1"/>
  <c r="AX36" i="11"/>
  <c r="BB36" i="11" s="1"/>
  <c r="AS36" i="11"/>
  <c r="AL36" i="11" s="1"/>
  <c r="AQ36" i="11"/>
  <c r="AX39" i="11"/>
  <c r="BB39" i="11" s="1"/>
  <c r="AS39" i="11"/>
  <c r="AL39" i="11" s="1"/>
  <c r="AQ39" i="11"/>
  <c r="AX29" i="11"/>
  <c r="AS29" i="11"/>
  <c r="AL29" i="11" s="1"/>
  <c r="AQ29" i="11"/>
  <c r="N29" i="11"/>
  <c r="AX37" i="11"/>
  <c r="AS37" i="11"/>
  <c r="AL37" i="11" s="1"/>
  <c r="AQ37" i="11"/>
  <c r="AX15" i="11"/>
  <c r="BB15" i="11" s="1"/>
  <c r="AS15" i="11"/>
  <c r="AL15" i="11" s="1"/>
  <c r="AQ15" i="11"/>
  <c r="AU15" i="11" s="1"/>
  <c r="AX32" i="11"/>
  <c r="BB32" i="11" s="1"/>
  <c r="AS32" i="11"/>
  <c r="AQ32" i="11"/>
  <c r="AX41" i="11"/>
  <c r="BB41" i="11" s="1"/>
  <c r="AS41" i="11"/>
  <c r="AL41" i="11" s="1"/>
  <c r="AQ41" i="11"/>
  <c r="AX16" i="11"/>
  <c r="BB16" i="11" s="1"/>
  <c r="AS16" i="11"/>
  <c r="AL16" i="11" s="1"/>
  <c r="AQ16" i="11"/>
  <c r="N16" i="11"/>
  <c r="AF16" i="11" s="1"/>
  <c r="AG16" i="11" s="1"/>
  <c r="AX22" i="11"/>
  <c r="BB22" i="11" s="1"/>
  <c r="AS22" i="11"/>
  <c r="AL22" i="11" s="1"/>
  <c r="AQ22" i="11"/>
  <c r="AX34" i="11"/>
  <c r="BB34" i="11" s="1"/>
  <c r="AS34" i="11"/>
  <c r="AL34" i="11" s="1"/>
  <c r="AQ34" i="11"/>
  <c r="AX35" i="11"/>
  <c r="AS35" i="11"/>
  <c r="AL35" i="11" s="1"/>
  <c r="AQ35" i="11"/>
  <c r="N35" i="11"/>
  <c r="AU34" i="11" l="1"/>
  <c r="AM31" i="11"/>
  <c r="AK6" i="11"/>
  <c r="AM32" i="11"/>
  <c r="AU22" i="11"/>
  <c r="AU37" i="11"/>
  <c r="AK39" i="11"/>
  <c r="AM29" i="11"/>
  <c r="AL28" i="11"/>
  <c r="AL32" i="11"/>
  <c r="AL19" i="11"/>
  <c r="AL40" i="11"/>
  <c r="AL27" i="11"/>
  <c r="AA5" i="11"/>
  <c r="AB5" i="11" s="1"/>
  <c r="L42" i="11"/>
  <c r="BA42" i="11"/>
  <c r="BB35" i="11"/>
  <c r="AL30" i="11"/>
  <c r="AU35" i="11"/>
  <c r="BB26" i="11"/>
  <c r="BB27" i="11"/>
  <c r="BB12" i="11"/>
  <c r="AZ42" i="11"/>
  <c r="AU32" i="11"/>
  <c r="AU36" i="11"/>
  <c r="AU19" i="11"/>
  <c r="BB30" i="11"/>
  <c r="BB7" i="11"/>
  <c r="BB21" i="11"/>
  <c r="BB5" i="11"/>
  <c r="AR42" i="11"/>
  <c r="AM12" i="11"/>
  <c r="AM30" i="11"/>
  <c r="AU41" i="11"/>
  <c r="BB37" i="11"/>
  <c r="BB29" i="11"/>
  <c r="AU39" i="11"/>
  <c r="BB40" i="11"/>
  <c r="AU13" i="11"/>
  <c r="BB38" i="11"/>
  <c r="BB31" i="11"/>
  <c r="AU30" i="11"/>
  <c r="AU7" i="11"/>
  <c r="AU21" i="11"/>
  <c r="AU5" i="11"/>
  <c r="AU14" i="11"/>
  <c r="AU23" i="11"/>
  <c r="AK12" i="11"/>
  <c r="AK38" i="11"/>
  <c r="AM26" i="11"/>
  <c r="AM35" i="11"/>
  <c r="AU16" i="11"/>
  <c r="AU38" i="11"/>
  <c r="AL9" i="11"/>
  <c r="AU17" i="11"/>
  <c r="AM7" i="11"/>
  <c r="AM6" i="11"/>
  <c r="AK37" i="11"/>
  <c r="AK34" i="11"/>
  <c r="AM40" i="11"/>
  <c r="O35" i="11"/>
  <c r="CI35" i="14" s="1"/>
  <c r="AF35" i="11"/>
  <c r="AG35" i="11" s="1"/>
  <c r="AJ35" i="11"/>
  <c r="AN35" i="11" s="1"/>
  <c r="AJ34" i="11"/>
  <c r="AJ22" i="11"/>
  <c r="AN22" i="11" s="1"/>
  <c r="AJ41" i="11"/>
  <c r="AN41" i="11" s="1"/>
  <c r="AJ32" i="11"/>
  <c r="AN32" i="11" s="1"/>
  <c r="AJ15" i="11"/>
  <c r="AN15" i="11" s="1"/>
  <c r="AJ37" i="11"/>
  <c r="O29" i="11"/>
  <c r="CI29" i="14" s="1"/>
  <c r="AF29" i="11"/>
  <c r="AG29" i="11" s="1"/>
  <c r="AJ39" i="11"/>
  <c r="AN39" i="11" s="1"/>
  <c r="AJ36" i="11"/>
  <c r="AN36" i="11" s="1"/>
  <c r="AJ40" i="11"/>
  <c r="AN40" i="11" s="1"/>
  <c r="AJ13" i="11"/>
  <c r="AN13" i="11" s="1"/>
  <c r="AJ28" i="11"/>
  <c r="AN28" i="11" s="1"/>
  <c r="O41" i="11"/>
  <c r="CI41" i="14" s="1"/>
  <c r="AF41" i="11"/>
  <c r="AG41" i="11" s="1"/>
  <c r="AJ38" i="11"/>
  <c r="AN38" i="11" s="1"/>
  <c r="AJ30" i="11"/>
  <c r="AN30" i="11" s="1"/>
  <c r="AX42" i="11"/>
  <c r="AU26" i="11"/>
  <c r="AJ26" i="11"/>
  <c r="AN26" i="11" s="1"/>
  <c r="AU11" i="11"/>
  <c r="AU20" i="11"/>
  <c r="AJ20" i="11"/>
  <c r="AN20" i="11" s="1"/>
  <c r="AU27" i="11"/>
  <c r="AU24" i="11"/>
  <c r="AJ24" i="11"/>
  <c r="AN24" i="11" s="1"/>
  <c r="AU33" i="11"/>
  <c r="AJ33" i="11"/>
  <c r="AN33" i="11" s="1"/>
  <c r="AU6" i="11"/>
  <c r="AU18" i="11"/>
  <c r="AU10" i="11"/>
  <c r="AJ10" i="11"/>
  <c r="AN10" i="11" s="1"/>
  <c r="AU12" i="11"/>
  <c r="AJ12" i="11"/>
  <c r="AJ17" i="11"/>
  <c r="AN17" i="11" s="1"/>
  <c r="AJ5" i="11"/>
  <c r="AN5" i="11" s="1"/>
  <c r="O33" i="11"/>
  <c r="CI33" i="14" s="1"/>
  <c r="AF33" i="11"/>
  <c r="AG33" i="11" s="1"/>
  <c r="AK4" i="11"/>
  <c r="AE7" i="11"/>
  <c r="AU31" i="11"/>
  <c r="AJ31" i="11"/>
  <c r="AN31" i="11" s="1"/>
  <c r="AQ42" i="11"/>
  <c r="AU4" i="11"/>
  <c r="O4" i="11"/>
  <c r="N42" i="11"/>
  <c r="AF4" i="11"/>
  <c r="AJ4" i="11"/>
  <c r="AJ23" i="11"/>
  <c r="AN23" i="11" s="1"/>
  <c r="AJ16" i="11"/>
  <c r="AN16" i="11" s="1"/>
  <c r="O23" i="11"/>
  <c r="CI23" i="14" s="1"/>
  <c r="AF23" i="11"/>
  <c r="AG23" i="11" s="1"/>
  <c r="O27" i="11"/>
  <c r="CI27" i="14" s="1"/>
  <c r="AF27" i="11"/>
  <c r="AG27" i="11" s="1"/>
  <c r="AL42" i="11"/>
  <c r="O9" i="11"/>
  <c r="CI9" i="14" s="1"/>
  <c r="AF9" i="11"/>
  <c r="AG9" i="11" s="1"/>
  <c r="AJ7" i="11"/>
  <c r="AN7" i="11" s="1"/>
  <c r="AJ6" i="11"/>
  <c r="AN6" i="11" s="1"/>
  <c r="O25" i="11"/>
  <c r="CI25" i="14" s="1"/>
  <c r="AF25" i="11"/>
  <c r="AG25" i="11" s="1"/>
  <c r="O20" i="11"/>
  <c r="AF20" i="11"/>
  <c r="AG20" i="11" s="1"/>
  <c r="O14" i="11"/>
  <c r="CI14" i="14" s="1"/>
  <c r="AF14" i="11"/>
  <c r="AG14" i="11" s="1"/>
  <c r="AJ14" i="11"/>
  <c r="AN14" i="11" s="1"/>
  <c r="BB4" i="11"/>
  <c r="AJ19" i="11"/>
  <c r="AN19" i="11" s="1"/>
  <c r="AU29" i="11"/>
  <c r="AJ29" i="11"/>
  <c r="AN29" i="11" s="1"/>
  <c r="AS42" i="11"/>
  <c r="AU9" i="11"/>
  <c r="AJ9" i="11"/>
  <c r="AN9" i="11" s="1"/>
  <c r="AU25" i="11"/>
  <c r="AJ27" i="11"/>
  <c r="AN27" i="11" s="1"/>
  <c r="O5" i="11"/>
  <c r="CI5" i="14" s="1"/>
  <c r="AF5" i="11"/>
  <c r="AG5" i="11" s="1"/>
  <c r="AJ18" i="11"/>
  <c r="AN18" i="11" s="1"/>
  <c r="AJ21" i="11"/>
  <c r="AN21" i="11" s="1"/>
  <c r="AU8" i="11"/>
  <c r="AJ8" i="11"/>
  <c r="AN8" i="11" s="1"/>
  <c r="AT42" i="11"/>
  <c r="AM4" i="11"/>
  <c r="AM42" i="11" s="1"/>
  <c r="AJ25" i="11"/>
  <c r="AN25" i="11" s="1"/>
  <c r="AJ11" i="11"/>
  <c r="AN11" i="11" s="1"/>
  <c r="O17" i="11"/>
  <c r="CI17" i="14" s="1"/>
  <c r="AF17" i="11"/>
  <c r="AG17" i="11" s="1"/>
  <c r="O8" i="11"/>
  <c r="O32" i="11"/>
  <c r="CI32" i="14" s="1"/>
  <c r="AG10" i="11"/>
  <c r="AG28" i="11"/>
  <c r="Z40" i="14"/>
  <c r="AB40" i="11"/>
  <c r="M40" i="11" s="1"/>
  <c r="AE40" i="11" s="1"/>
  <c r="O12" i="11"/>
  <c r="CI12" i="14" s="1"/>
  <c r="AF12" i="11"/>
  <c r="AG12" i="11" s="1"/>
  <c r="O37" i="11"/>
  <c r="CI37" i="14" s="1"/>
  <c r="AF37" i="11"/>
  <c r="AG37" i="11" s="1"/>
  <c r="AG30" i="11"/>
  <c r="AY42" i="11"/>
  <c r="O7" i="11"/>
  <c r="CI7" i="14" s="1"/>
  <c r="AA8" i="11"/>
  <c r="AB8" i="11" s="1"/>
  <c r="AA32" i="11"/>
  <c r="AB32" i="11" s="1"/>
  <c r="Z36" i="14"/>
  <c r="O13" i="11"/>
  <c r="O21" i="11"/>
  <c r="CI21" i="14" s="1"/>
  <c r="O31" i="11"/>
  <c r="CI31" i="14" s="1"/>
  <c r="O36" i="11"/>
  <c r="CI36" i="14" s="1"/>
  <c r="O10" i="11"/>
  <c r="CI10" i="14" s="1"/>
  <c r="O18" i="11"/>
  <c r="CI18" i="14" s="1"/>
  <c r="O22" i="11"/>
  <c r="CI22" i="14" s="1"/>
  <c r="O34" i="11"/>
  <c r="CI34" i="14" s="1"/>
  <c r="O30" i="11"/>
  <c r="CI30" i="14" s="1"/>
  <c r="AG39" i="11"/>
  <c r="AB26" i="11"/>
  <c r="O6" i="11"/>
  <c r="CI6" i="14" s="1"/>
  <c r="O11" i="11"/>
  <c r="CI11" i="14" s="1"/>
  <c r="O15" i="11"/>
  <c r="O19" i="11"/>
  <c r="CI19" i="14" s="1"/>
  <c r="O39" i="11"/>
  <c r="CI39" i="14" s="1"/>
  <c r="O40" i="11"/>
  <c r="CI40" i="14" s="1"/>
  <c r="AB36" i="11"/>
  <c r="AG13" i="11"/>
  <c r="O16" i="11"/>
  <c r="O24" i="11"/>
  <c r="O28" i="11"/>
  <c r="CI28" i="14" s="1"/>
  <c r="Z38" i="11"/>
  <c r="AB38" i="11" s="1"/>
  <c r="M38" i="11" s="1"/>
  <c r="AE38" i="11" s="1"/>
  <c r="O26" i="11"/>
  <c r="K42" i="11"/>
  <c r="AN34" i="11" l="1"/>
  <c r="AB42" i="11"/>
  <c r="AU43" i="11" s="1"/>
  <c r="AK42" i="11"/>
  <c r="BB42" i="11"/>
  <c r="AN12" i="11"/>
  <c r="AN37" i="11"/>
  <c r="EG38" i="14"/>
  <c r="AG38" i="11"/>
  <c r="O38" i="11"/>
  <c r="CI38" i="14" s="1"/>
  <c r="AJ42" i="11"/>
  <c r="AN4" i="11"/>
  <c r="AN42" i="11" s="1"/>
  <c r="AU42" i="11"/>
  <c r="M42" i="11"/>
  <c r="EG40" i="14"/>
  <c r="AG40" i="11"/>
  <c r="AG4" i="11"/>
  <c r="AF42" i="11"/>
  <c r="AG7" i="11"/>
  <c r="AE42" i="11"/>
  <c r="Z42" i="11"/>
  <c r="AA42" i="11"/>
  <c r="O42" i="11"/>
  <c r="AN43" i="11" s="1"/>
  <c r="AG42" i="11" l="1"/>
  <c r="BB43" i="11" l="1"/>
  <c r="O43" i="11"/>
  <c r="AZ4" i="12"/>
  <c r="AZ33" i="12"/>
  <c r="AZ41" i="12"/>
  <c r="AZ38" i="12"/>
  <c r="AZ35" i="12"/>
  <c r="AZ25" i="12"/>
  <c r="AZ12" i="12"/>
  <c r="L4" i="12"/>
  <c r="AZ8" i="12"/>
  <c r="AZ31" i="12"/>
  <c r="AZ29" i="12"/>
  <c r="AZ23" i="12"/>
  <c r="AZ19" i="12"/>
  <c r="AZ17" i="12"/>
  <c r="AZ14" i="12"/>
  <c r="AZ7" i="12"/>
  <c r="BA4" i="12"/>
  <c r="AZ22" i="12"/>
  <c r="AZ40" i="12"/>
  <c r="BA39" i="12"/>
  <c r="BA37" i="12"/>
  <c r="BA35" i="12"/>
  <c r="BA33" i="12"/>
  <c r="BA31" i="12"/>
  <c r="BA29" i="12"/>
  <c r="BA27" i="12"/>
  <c r="BA25" i="12"/>
  <c r="BA23" i="12"/>
  <c r="BA21" i="12"/>
  <c r="BA18" i="12"/>
  <c r="BA16" i="12"/>
  <c r="BA14" i="12"/>
  <c r="BA12" i="12"/>
  <c r="BA10" i="12"/>
  <c r="BA8" i="12"/>
  <c r="BA6" i="12"/>
  <c r="AZ36" i="12"/>
  <c r="AZ27" i="12"/>
  <c r="AZ26" i="12"/>
  <c r="AZ24" i="12"/>
  <c r="AZ16" i="12"/>
  <c r="AZ10" i="12"/>
  <c r="AZ6" i="12"/>
  <c r="AZ21" i="12"/>
  <c r="AZ15" i="12"/>
  <c r="AZ11" i="12"/>
  <c r="BA40" i="12"/>
  <c r="AZ37" i="12"/>
  <c r="AZ34" i="12"/>
  <c r="AZ32" i="12"/>
  <c r="AZ30" i="12"/>
  <c r="AZ28" i="12"/>
  <c r="AZ9" i="12"/>
  <c r="AZ20" i="12"/>
  <c r="BA41" i="12"/>
  <c r="BA38" i="12"/>
  <c r="BA36" i="12"/>
  <c r="BA34" i="12"/>
  <c r="AM34" i="12" s="1"/>
  <c r="BA32" i="12"/>
  <c r="BA30" i="12"/>
  <c r="BA28" i="12"/>
  <c r="BA26" i="12"/>
  <c r="BA24" i="12"/>
  <c r="BA22" i="12"/>
  <c r="BA20" i="12"/>
  <c r="BA17" i="12"/>
  <c r="AM17" i="12" s="1"/>
  <c r="BA15" i="12"/>
  <c r="BA13" i="12"/>
  <c r="BA11" i="12"/>
  <c r="BA9" i="12"/>
  <c r="BA7" i="12"/>
  <c r="BA5" i="12"/>
  <c r="BA19" i="12"/>
  <c r="AZ18" i="12"/>
  <c r="AZ13" i="12"/>
  <c r="AZ5" i="12"/>
  <c r="AZ39" i="12"/>
  <c r="L17" i="12"/>
  <c r="AA17" i="12" s="1"/>
  <c r="L21" i="12"/>
  <c r="AA21" i="12" s="1"/>
  <c r="L33" i="12"/>
  <c r="AA33" i="12" s="1"/>
  <c r="L9" i="12"/>
  <c r="AA9" i="12" s="1"/>
  <c r="L18" i="12"/>
  <c r="AA18" i="12" s="1"/>
  <c r="L22" i="12"/>
  <c r="AA22" i="12" s="1"/>
  <c r="L23" i="12"/>
  <c r="AA23" i="12" s="1"/>
  <c r="L24" i="12"/>
  <c r="AA24" i="12" s="1"/>
  <c r="L28" i="12"/>
  <c r="AA28" i="12" s="1"/>
  <c r="L34" i="12"/>
  <c r="AA34" i="12" s="1"/>
  <c r="L38" i="12"/>
  <c r="AA38" i="12" s="1"/>
  <c r="L5" i="12"/>
  <c r="AA5" i="12" s="1"/>
  <c r="L6" i="12"/>
  <c r="AA6" i="12" s="1"/>
  <c r="L7" i="12"/>
  <c r="AA7" i="12" s="1"/>
  <c r="L8" i="12"/>
  <c r="AA8" i="12" s="1"/>
  <c r="L15" i="12"/>
  <c r="AA15" i="12" s="1"/>
  <c r="L16" i="12"/>
  <c r="AA16" i="12" s="1"/>
  <c r="L27" i="12"/>
  <c r="AA27" i="12" s="1"/>
  <c r="L37" i="12"/>
  <c r="AA37" i="12" s="1"/>
  <c r="L10" i="12"/>
  <c r="AA10" i="12" s="1"/>
  <c r="L19" i="12"/>
  <c r="AA19" i="12" s="1"/>
  <c r="L25" i="12"/>
  <c r="AA25" i="12" s="1"/>
  <c r="L29" i="12"/>
  <c r="AA29" i="12" s="1"/>
  <c r="L30" i="12"/>
  <c r="AA30" i="12" s="1"/>
  <c r="L31" i="12"/>
  <c r="AA31" i="12" s="1"/>
  <c r="L35" i="12"/>
  <c r="AA35" i="12" s="1"/>
  <c r="L39" i="12"/>
  <c r="AA39" i="12" s="1"/>
  <c r="L40" i="12"/>
  <c r="AA40" i="12" s="1"/>
  <c r="L11" i="12"/>
  <c r="AA11" i="12" s="1"/>
  <c r="L12" i="12"/>
  <c r="AA12" i="12" s="1"/>
  <c r="L13" i="12"/>
  <c r="AA13" i="12" s="1"/>
  <c r="L14" i="12"/>
  <c r="AA14" i="12" s="1"/>
  <c r="L20" i="12"/>
  <c r="AA20" i="12" s="1"/>
  <c r="L26" i="12"/>
  <c r="AA26" i="12" s="1"/>
  <c r="L32" i="12"/>
  <c r="AA32" i="12" s="1"/>
  <c r="L36" i="12"/>
  <c r="AA36" i="12" s="1"/>
  <c r="L41" i="12"/>
  <c r="AA41" i="12" s="1"/>
  <c r="AT10" i="12"/>
  <c r="AT7" i="12"/>
  <c r="AY8" i="12"/>
  <c r="AR8" i="12"/>
  <c r="AT11" i="12"/>
  <c r="AY12" i="12"/>
  <c r="AR11" i="12"/>
  <c r="AY11" i="12"/>
  <c r="AT5" i="12"/>
  <c r="AM5" i="12" s="1"/>
  <c r="AT6" i="12"/>
  <c r="AM6" i="12" s="1"/>
  <c r="AT8" i="12"/>
  <c r="AY9" i="12"/>
  <c r="AT12" i="12"/>
  <c r="AR12" i="12"/>
  <c r="AK12" i="12" s="1"/>
  <c r="AY13" i="12"/>
  <c r="AR14" i="12"/>
  <c r="AK14" i="12" s="1"/>
  <c r="AY14" i="12"/>
  <c r="AY15" i="12"/>
  <c r="AR15" i="12"/>
  <c r="AR16" i="12"/>
  <c r="AK16" i="12" s="1"/>
  <c r="AY16" i="12"/>
  <c r="AR17" i="12"/>
  <c r="AY17" i="12"/>
  <c r="AY18" i="12"/>
  <c r="AR18" i="12"/>
  <c r="AR7" i="12"/>
  <c r="AY7" i="12"/>
  <c r="AY5" i="12"/>
  <c r="AX5" i="12"/>
  <c r="AS5" i="12"/>
  <c r="AL5" i="12" s="1"/>
  <c r="AQ5" i="12"/>
  <c r="N5" i="12"/>
  <c r="AF5" i="12" s="1"/>
  <c r="AR5" i="12"/>
  <c r="AY6" i="12"/>
  <c r="AX6" i="12"/>
  <c r="AS6" i="12"/>
  <c r="AL6" i="12" s="1"/>
  <c r="AQ6" i="12"/>
  <c r="N6" i="12"/>
  <c r="AF6" i="12" s="1"/>
  <c r="AR6" i="12"/>
  <c r="AK6" i="12" s="1"/>
  <c r="AT9" i="12"/>
  <c r="AM9" i="12" s="1"/>
  <c r="AR9" i="12"/>
  <c r="AY10" i="12"/>
  <c r="AR10" i="12"/>
  <c r="AK10" i="12" s="1"/>
  <c r="AT13" i="12"/>
  <c r="AM13" i="12" s="1"/>
  <c r="AR13" i="12"/>
  <c r="AK13" i="12" s="1"/>
  <c r="AT22" i="12"/>
  <c r="AM22" i="12" s="1"/>
  <c r="AT26" i="12"/>
  <c r="AT21" i="12"/>
  <c r="AT27" i="12"/>
  <c r="AX7" i="12"/>
  <c r="AS7" i="12"/>
  <c r="AL7" i="12" s="1"/>
  <c r="AQ7" i="12"/>
  <c r="N7" i="12"/>
  <c r="AF7" i="12" s="1"/>
  <c r="AX8" i="12"/>
  <c r="AS8" i="12"/>
  <c r="AL8" i="12" s="1"/>
  <c r="AQ8" i="12"/>
  <c r="N8" i="12"/>
  <c r="AF8" i="12" s="1"/>
  <c r="AX9" i="12"/>
  <c r="AS9" i="12"/>
  <c r="AL9" i="12" s="1"/>
  <c r="AQ9" i="12"/>
  <c r="N9" i="12"/>
  <c r="AF9" i="12"/>
  <c r="AX10" i="12"/>
  <c r="AS10" i="12"/>
  <c r="AQ10" i="12"/>
  <c r="N10" i="12"/>
  <c r="AF10" i="12" s="1"/>
  <c r="AX11" i="12"/>
  <c r="AS11" i="12"/>
  <c r="AQ11" i="12"/>
  <c r="N11" i="12"/>
  <c r="AF11" i="12"/>
  <c r="AX12" i="12"/>
  <c r="AS12" i="12"/>
  <c r="AL12" i="12" s="1"/>
  <c r="AQ12" i="12"/>
  <c r="N12" i="12"/>
  <c r="AF12" i="12" s="1"/>
  <c r="AX13" i="12"/>
  <c r="AS13" i="12"/>
  <c r="AQ13" i="12"/>
  <c r="N13" i="12"/>
  <c r="AF13" i="12" s="1"/>
  <c r="N14" i="12"/>
  <c r="AF14" i="12" s="1"/>
  <c r="N15" i="12"/>
  <c r="AF15" i="12" s="1"/>
  <c r="N16" i="12"/>
  <c r="AF16" i="12" s="1"/>
  <c r="N17" i="12"/>
  <c r="AF17" i="12" s="1"/>
  <c r="N18" i="12"/>
  <c r="AF18" i="12" s="1"/>
  <c r="AT20" i="12"/>
  <c r="AM20" i="12" s="1"/>
  <c r="AT24" i="12"/>
  <c r="AT28" i="12"/>
  <c r="AM28" i="12" s="1"/>
  <c r="AY29" i="12"/>
  <c r="AR29" i="12"/>
  <c r="AT14" i="12"/>
  <c r="AM14" i="12" s="1"/>
  <c r="AX14" i="12"/>
  <c r="AS14" i="12"/>
  <c r="AL14" i="12" s="1"/>
  <c r="AQ14" i="12"/>
  <c r="AT15" i="12"/>
  <c r="AX15" i="12"/>
  <c r="BB15" i="12" s="1"/>
  <c r="AS15" i="12"/>
  <c r="AL15" i="12" s="1"/>
  <c r="AQ15" i="12"/>
  <c r="AT16" i="12"/>
  <c r="AM16" i="12" s="1"/>
  <c r="AX16" i="12"/>
  <c r="AS16" i="12"/>
  <c r="AQ16" i="12"/>
  <c r="AT17" i="12"/>
  <c r="AX17" i="12"/>
  <c r="AS17" i="12"/>
  <c r="AQ17" i="12"/>
  <c r="AT18" i="12"/>
  <c r="AX18" i="12"/>
  <c r="AS18" i="12"/>
  <c r="AQ18" i="12"/>
  <c r="AT19" i="12"/>
  <c r="AM19" i="12" s="1"/>
  <c r="AT23" i="12"/>
  <c r="AM23" i="12" s="1"/>
  <c r="AT25" i="12"/>
  <c r="AY19" i="12"/>
  <c r="AX19" i="12"/>
  <c r="BB19" i="12" s="1"/>
  <c r="AS19" i="12"/>
  <c r="AQ19" i="12"/>
  <c r="N19" i="12"/>
  <c r="AF19" i="12" s="1"/>
  <c r="AR19" i="12"/>
  <c r="AK19" i="12" s="1"/>
  <c r="AY20" i="12"/>
  <c r="N20" i="12"/>
  <c r="AF20" i="12" s="1"/>
  <c r="AR20" i="12"/>
  <c r="AX20" i="12"/>
  <c r="AS20" i="12"/>
  <c r="AQ20" i="12"/>
  <c r="AY21" i="12"/>
  <c r="N21" i="12"/>
  <c r="AF21" i="12" s="1"/>
  <c r="AR21" i="12"/>
  <c r="AX21" i="12"/>
  <c r="AS21" i="12"/>
  <c r="AL21" i="12"/>
  <c r="AQ21" i="12"/>
  <c r="AY22" i="12"/>
  <c r="N22" i="12"/>
  <c r="AF22" i="12" s="1"/>
  <c r="AR22" i="12"/>
  <c r="AX22" i="12"/>
  <c r="AS22" i="12"/>
  <c r="AQ22" i="12"/>
  <c r="AY23" i="12"/>
  <c r="AX23" i="12"/>
  <c r="AS23" i="12"/>
  <c r="AL23" i="12" s="1"/>
  <c r="AQ23" i="12"/>
  <c r="N23" i="12"/>
  <c r="AF23" i="12" s="1"/>
  <c r="AR23" i="12"/>
  <c r="AY24" i="12"/>
  <c r="N24" i="12"/>
  <c r="AF24" i="12" s="1"/>
  <c r="AR24" i="12"/>
  <c r="AX24" i="12"/>
  <c r="AS24" i="12"/>
  <c r="AL24" i="12" s="1"/>
  <c r="AQ24" i="12"/>
  <c r="AY25" i="12"/>
  <c r="AR25" i="12"/>
  <c r="AY26" i="12"/>
  <c r="AR26" i="12"/>
  <c r="AY27" i="12"/>
  <c r="AR27" i="12"/>
  <c r="AT29" i="12"/>
  <c r="AY30" i="12"/>
  <c r="AR30" i="12"/>
  <c r="AY28" i="12"/>
  <c r="AR28" i="12"/>
  <c r="AT30" i="12"/>
  <c r="AM30" i="12" s="1"/>
  <c r="AX25" i="12"/>
  <c r="AS25" i="12"/>
  <c r="AQ25" i="12"/>
  <c r="N25" i="12"/>
  <c r="AF25" i="12" s="1"/>
  <c r="AX26" i="12"/>
  <c r="AS26" i="12"/>
  <c r="AQ26" i="12"/>
  <c r="N26" i="12"/>
  <c r="AF26" i="12" s="1"/>
  <c r="AX27" i="12"/>
  <c r="AS27" i="12"/>
  <c r="AQ27" i="12"/>
  <c r="N27" i="12"/>
  <c r="AF27" i="12" s="1"/>
  <c r="AY31" i="12"/>
  <c r="AR31" i="12"/>
  <c r="AY32" i="12"/>
  <c r="AR32" i="12"/>
  <c r="AK32" i="12" s="1"/>
  <c r="AY33" i="12"/>
  <c r="AR33" i="12"/>
  <c r="AR34" i="12"/>
  <c r="AY34" i="12"/>
  <c r="AR35" i="12"/>
  <c r="AY35" i="12"/>
  <c r="AX28" i="12"/>
  <c r="AS28" i="12"/>
  <c r="AL28" i="12" s="1"/>
  <c r="AQ28" i="12"/>
  <c r="N28" i="12"/>
  <c r="AF28" i="12" s="1"/>
  <c r="AX29" i="12"/>
  <c r="AS29" i="12"/>
  <c r="AL29" i="12" s="1"/>
  <c r="AQ29" i="12"/>
  <c r="N29" i="12"/>
  <c r="AF29" i="12" s="1"/>
  <c r="AX30" i="12"/>
  <c r="AS30" i="12"/>
  <c r="AQ30" i="12"/>
  <c r="N30" i="12"/>
  <c r="AF30" i="12" s="1"/>
  <c r="N31" i="12"/>
  <c r="AF31" i="12" s="1"/>
  <c r="N32" i="12"/>
  <c r="AF32" i="12" s="1"/>
  <c r="N33" i="12"/>
  <c r="AF33" i="12" s="1"/>
  <c r="N34" i="12"/>
  <c r="AF34" i="12" s="1"/>
  <c r="N35" i="12"/>
  <c r="AF35" i="12" s="1"/>
  <c r="AT31" i="12"/>
  <c r="AX31" i="12"/>
  <c r="AS31" i="12"/>
  <c r="AQ31" i="12"/>
  <c r="AT32" i="12"/>
  <c r="AM32" i="12" s="1"/>
  <c r="AX32" i="12"/>
  <c r="AS32" i="12"/>
  <c r="AQ32" i="12"/>
  <c r="AT33" i="12"/>
  <c r="AX33" i="12"/>
  <c r="AS33" i="12"/>
  <c r="AL33" i="12" s="1"/>
  <c r="AQ33" i="12"/>
  <c r="AJ33" i="12" s="1"/>
  <c r="AT34" i="12"/>
  <c r="AX34" i="12"/>
  <c r="BB34" i="12" s="1"/>
  <c r="AS34" i="12"/>
  <c r="AQ34" i="12"/>
  <c r="AT35" i="12"/>
  <c r="AX35" i="12"/>
  <c r="AS35" i="12"/>
  <c r="AQ35" i="12"/>
  <c r="AY36" i="12"/>
  <c r="N36" i="12"/>
  <c r="AF36" i="12" s="1"/>
  <c r="AR36" i="12"/>
  <c r="AT36" i="12"/>
  <c r="AX36" i="12"/>
  <c r="BB36" i="12" s="1"/>
  <c r="AS36" i="12"/>
  <c r="AL36" i="12" s="1"/>
  <c r="AQ36" i="12"/>
  <c r="AT37" i="12"/>
  <c r="AT38" i="12"/>
  <c r="AM38" i="12" s="1"/>
  <c r="AT39" i="12"/>
  <c r="AM39" i="12" s="1"/>
  <c r="AT40" i="12"/>
  <c r="AM40" i="12" s="1"/>
  <c r="AT41" i="12"/>
  <c r="AT4" i="12"/>
  <c r="AM4" i="12" s="1"/>
  <c r="AY37" i="12"/>
  <c r="AX37" i="12"/>
  <c r="AS37" i="12"/>
  <c r="AL37" i="12" s="1"/>
  <c r="AQ37" i="12"/>
  <c r="N37" i="12"/>
  <c r="AF37" i="12" s="1"/>
  <c r="AR37" i="12"/>
  <c r="AY38" i="12"/>
  <c r="AX38" i="12"/>
  <c r="AS38" i="12"/>
  <c r="AL38" i="12" s="1"/>
  <c r="AQ38" i="12"/>
  <c r="N38" i="12"/>
  <c r="AF38" i="12" s="1"/>
  <c r="AR38" i="12"/>
  <c r="AY39" i="12"/>
  <c r="AX39" i="12"/>
  <c r="AS39" i="12"/>
  <c r="AQ39" i="12"/>
  <c r="N39" i="12"/>
  <c r="AF39" i="12" s="1"/>
  <c r="AR39" i="12"/>
  <c r="AY40" i="12"/>
  <c r="AX40" i="12"/>
  <c r="AS40" i="12"/>
  <c r="AL40" i="12" s="1"/>
  <c r="AQ40" i="12"/>
  <c r="N40" i="12"/>
  <c r="AF40" i="12" s="1"/>
  <c r="AR40" i="12"/>
  <c r="AY41" i="12"/>
  <c r="AX41" i="12"/>
  <c r="AS41" i="12"/>
  <c r="AQ41" i="12"/>
  <c r="N41" i="12"/>
  <c r="AF41" i="12" s="1"/>
  <c r="AR41" i="12"/>
  <c r="AY4" i="12"/>
  <c r="AX4" i="12"/>
  <c r="AS4" i="12"/>
  <c r="AQ4" i="12"/>
  <c r="N4" i="12"/>
  <c r="AR4" i="12"/>
  <c r="AU32" i="12" l="1"/>
  <c r="AU28" i="12"/>
  <c r="BB27" i="12"/>
  <c r="AM18" i="12"/>
  <c r="BB11" i="12"/>
  <c r="BB10" i="12"/>
  <c r="AM26" i="12"/>
  <c r="AK15" i="12"/>
  <c r="AS42" i="12"/>
  <c r="BB35" i="12"/>
  <c r="AU27" i="12"/>
  <c r="AU25" i="12"/>
  <c r="AM35" i="12"/>
  <c r="AL32" i="12"/>
  <c r="BB9" i="12"/>
  <c r="AL39" i="12"/>
  <c r="AM37" i="12"/>
  <c r="BB31" i="12"/>
  <c r="BB30" i="12"/>
  <c r="BB28" i="12"/>
  <c r="AK34" i="12"/>
  <c r="AM29" i="12"/>
  <c r="AL22" i="12"/>
  <c r="BB21" i="12"/>
  <c r="AJ20" i="12"/>
  <c r="AL18" i="12"/>
  <c r="AL17" i="12"/>
  <c r="AJ16" i="12"/>
  <c r="AU15" i="12"/>
  <c r="BB13" i="12"/>
  <c r="AU11" i="12"/>
  <c r="AM27" i="12"/>
  <c r="AL31" i="12"/>
  <c r="AJ4" i="12"/>
  <c r="AJ38" i="12"/>
  <c r="AL35" i="12"/>
  <c r="AL34" i="12"/>
  <c r="AK31" i="12"/>
  <c r="AL27" i="12"/>
  <c r="AL25" i="12"/>
  <c r="AK27" i="12"/>
  <c r="AK25" i="12"/>
  <c r="BB22" i="12"/>
  <c r="AU21" i="12"/>
  <c r="AK21" i="12"/>
  <c r="AL20" i="12"/>
  <c r="AL19" i="12"/>
  <c r="BB17" i="12"/>
  <c r="AL16" i="12"/>
  <c r="AK29" i="12"/>
  <c r="AL11" i="12"/>
  <c r="AL10" i="12"/>
  <c r="AU7" i="12"/>
  <c r="AM21" i="12"/>
  <c r="AM12" i="12"/>
  <c r="AM11" i="12"/>
  <c r="AM10" i="12"/>
  <c r="AK40" i="12"/>
  <c r="AK38" i="12"/>
  <c r="AK36" i="12"/>
  <c r="AK26" i="12"/>
  <c r="AJ24" i="12"/>
  <c r="AJ22" i="12"/>
  <c r="AK8" i="12"/>
  <c r="AK28" i="12"/>
  <c r="AU16" i="12"/>
  <c r="AK35" i="12"/>
  <c r="AN35" i="12" s="1"/>
  <c r="AJ36" i="12"/>
  <c r="AJ35" i="12"/>
  <c r="AJ34" i="12"/>
  <c r="AK24" i="12"/>
  <c r="AK22" i="12"/>
  <c r="AN22" i="12" s="1"/>
  <c r="AJ6" i="12"/>
  <c r="AU41" i="12"/>
  <c r="AU39" i="12"/>
  <c r="AU37" i="12"/>
  <c r="AN34" i="12"/>
  <c r="AJ31" i="12"/>
  <c r="AU31" i="12"/>
  <c r="BB29" i="12"/>
  <c r="AU26" i="12"/>
  <c r="AU23" i="12"/>
  <c r="BB20" i="12"/>
  <c r="BB18" i="12"/>
  <c r="AM15" i="12"/>
  <c r="BB14" i="12"/>
  <c r="BB12" i="12"/>
  <c r="AJ10" i="12"/>
  <c r="BB8" i="12"/>
  <c r="BB6" i="12"/>
  <c r="AU5" i="12"/>
  <c r="AM8" i="12"/>
  <c r="AY42" i="12"/>
  <c r="AL41" i="12"/>
  <c r="AT42" i="12"/>
  <c r="AU33" i="12"/>
  <c r="BB33" i="12"/>
  <c r="BB32" i="12"/>
  <c r="AU30" i="12"/>
  <c r="AL26" i="12"/>
  <c r="AK20" i="12"/>
  <c r="AN20" i="12" s="1"/>
  <c r="AU18" i="12"/>
  <c r="AU14" i="12"/>
  <c r="AJ13" i="12"/>
  <c r="AU9" i="12"/>
  <c r="BB7" i="12"/>
  <c r="AK7" i="12"/>
  <c r="AK17" i="12"/>
  <c r="AK11" i="12"/>
  <c r="AZ42" i="12"/>
  <c r="AU36" i="12"/>
  <c r="AK41" i="12"/>
  <c r="AK39" i="12"/>
  <c r="AK37" i="12"/>
  <c r="BB37" i="12"/>
  <c r="AM41" i="12"/>
  <c r="AM33" i="12"/>
  <c r="AL30" i="12"/>
  <c r="AU29" i="12"/>
  <c r="AK33" i="12"/>
  <c r="BB26" i="12"/>
  <c r="BB25" i="12"/>
  <c r="AK30" i="12"/>
  <c r="BB24" i="12"/>
  <c r="AK23" i="12"/>
  <c r="BB23" i="12"/>
  <c r="AU19" i="12"/>
  <c r="AM25" i="12"/>
  <c r="AJ17" i="12"/>
  <c r="BB16" i="12"/>
  <c r="AM24" i="12"/>
  <c r="AL13" i="12"/>
  <c r="AN13" i="12" s="1"/>
  <c r="AU12" i="12"/>
  <c r="AU8" i="12"/>
  <c r="AK9" i="12"/>
  <c r="AK5" i="12"/>
  <c r="BB5" i="12"/>
  <c r="AK18" i="12"/>
  <c r="AM7" i="12"/>
  <c r="BA42" i="12"/>
  <c r="L42" i="12"/>
  <c r="AU40" i="12"/>
  <c r="AL4" i="12"/>
  <c r="BB41" i="12"/>
  <c r="AJ40" i="12"/>
  <c r="AN40" i="12" s="1"/>
  <c r="BB39" i="12"/>
  <c r="AK4" i="12"/>
  <c r="AR42" i="12"/>
  <c r="O4" i="12"/>
  <c r="N42" i="12"/>
  <c r="AF4" i="12"/>
  <c r="BB4" i="12"/>
  <c r="AX42" i="12"/>
  <c r="AJ41" i="12"/>
  <c r="BB40" i="12"/>
  <c r="AJ39" i="12"/>
  <c r="BB38" i="12"/>
  <c r="AJ37" i="12"/>
  <c r="AQ42" i="12"/>
  <c r="AU4" i="12"/>
  <c r="AU38" i="12"/>
  <c r="AN6" i="12"/>
  <c r="AM36" i="12"/>
  <c r="AU35" i="12"/>
  <c r="AU34" i="12"/>
  <c r="AM31" i="12"/>
  <c r="AJ30" i="12"/>
  <c r="AJ23" i="12"/>
  <c r="AN23" i="12" s="1"/>
  <c r="AJ19" i="12"/>
  <c r="AU17" i="12"/>
  <c r="AJ8" i="12"/>
  <c r="AJ5" i="12"/>
  <c r="AJ7" i="12"/>
  <c r="AN7" i="12" s="1"/>
  <c r="AU24" i="12"/>
  <c r="AA4" i="12"/>
  <c r="AJ32" i="12"/>
  <c r="AN32" i="12" s="1"/>
  <c r="AJ28" i="12"/>
  <c r="AN28" i="12" s="1"/>
  <c r="AJ26" i="12"/>
  <c r="AN26" i="12" s="1"/>
  <c r="AJ21" i="12"/>
  <c r="AN21" i="12" s="1"/>
  <c r="AJ15" i="12"/>
  <c r="AU20" i="12"/>
  <c r="AJ12" i="12"/>
  <c r="AJ11" i="12"/>
  <c r="AU6" i="12"/>
  <c r="AJ29" i="12"/>
  <c r="AN29" i="12" s="1"/>
  <c r="AJ27" i="12"/>
  <c r="AJ25" i="12"/>
  <c r="AU22" i="12"/>
  <c r="AJ18" i="12"/>
  <c r="AN18" i="12" s="1"/>
  <c r="AJ14" i="12"/>
  <c r="AN14" i="12" s="1"/>
  <c r="AJ9" i="12"/>
  <c r="AN9" i="12" s="1"/>
  <c r="AU13" i="12"/>
  <c r="AU10" i="12"/>
  <c r="AN38" i="12" l="1"/>
  <c r="AN8" i="12"/>
  <c r="AN30" i="12"/>
  <c r="AN36" i="12"/>
  <c r="AN33" i="12"/>
  <c r="AN27" i="12"/>
  <c r="AN12" i="12"/>
  <c r="AN37" i="12"/>
  <c r="AN41" i="12"/>
  <c r="AN16" i="12"/>
  <c r="AN11" i="12"/>
  <c r="AN19" i="12"/>
  <c r="AN24" i="12"/>
  <c r="AN10" i="12"/>
  <c r="AN15" i="12"/>
  <c r="AN5" i="12"/>
  <c r="AN25" i="12"/>
  <c r="AN39" i="12"/>
  <c r="BB42" i="12"/>
  <c r="AM42" i="12"/>
  <c r="AK42" i="12"/>
  <c r="AN4" i="12"/>
  <c r="AL42" i="12"/>
  <c r="AN17" i="12"/>
  <c r="AN31" i="12"/>
  <c r="AG4" i="12"/>
  <c r="AF42" i="12"/>
  <c r="AU42" i="12"/>
  <c r="AB4" i="12"/>
  <c r="AA42" i="12"/>
  <c r="AJ42" i="12"/>
  <c r="K5" i="12"/>
  <c r="Z5" i="12" s="1"/>
  <c r="AB5" i="12" s="1"/>
  <c r="K6" i="12"/>
  <c r="Z6" i="12" s="1"/>
  <c r="K7" i="12"/>
  <c r="Z7" i="12" s="1"/>
  <c r="AB7" i="12" s="1"/>
  <c r="K8" i="12"/>
  <c r="Z8" i="12" s="1"/>
  <c r="AB8" i="12" s="1"/>
  <c r="K9" i="12"/>
  <c r="Z9" i="12"/>
  <c r="AB9" i="12" s="1"/>
  <c r="K10" i="12"/>
  <c r="Z10" i="12" s="1"/>
  <c r="AB10" i="12" s="1"/>
  <c r="K11" i="12"/>
  <c r="Z11" i="12"/>
  <c r="AB11" i="12" s="1"/>
  <c r="K12" i="12"/>
  <c r="Z12" i="12" s="1"/>
  <c r="AB12" i="12"/>
  <c r="K13" i="12"/>
  <c r="Z13" i="12"/>
  <c r="AB13" i="12" s="1"/>
  <c r="K14" i="12"/>
  <c r="Z14" i="12" s="1"/>
  <c r="AB14" i="12" s="1"/>
  <c r="K15" i="12"/>
  <c r="Z15" i="12"/>
  <c r="AB15" i="12" s="1"/>
  <c r="K16" i="12"/>
  <c r="Z16" i="12" s="1"/>
  <c r="AB16" i="12"/>
  <c r="K17" i="12"/>
  <c r="Z17" i="12" s="1"/>
  <c r="AB17" i="12"/>
  <c r="K18" i="12"/>
  <c r="Z18" i="12" s="1"/>
  <c r="AB18" i="12" s="1"/>
  <c r="K19" i="12"/>
  <c r="Z19" i="12" s="1"/>
  <c r="AB19" i="12" s="1"/>
  <c r="K20" i="12"/>
  <c r="Z20" i="12"/>
  <c r="AB20" i="12" s="1"/>
  <c r="K21" i="12"/>
  <c r="Z21" i="12" s="1"/>
  <c r="AB21" i="12" s="1"/>
  <c r="K22" i="12"/>
  <c r="Z22" i="12" s="1"/>
  <c r="AB22" i="12" s="1"/>
  <c r="K23" i="12"/>
  <c r="Z23" i="12" s="1"/>
  <c r="AB23" i="12" s="1"/>
  <c r="K24" i="12"/>
  <c r="Z24" i="12" s="1"/>
  <c r="AB24" i="12" s="1"/>
  <c r="K25" i="12"/>
  <c r="Z25" i="12" s="1"/>
  <c r="AB25" i="12" s="1"/>
  <c r="K26" i="12"/>
  <c r="Z26" i="12" s="1"/>
  <c r="AB26" i="12" s="1"/>
  <c r="K27" i="12"/>
  <c r="Z27" i="12" s="1"/>
  <c r="AB27" i="12" s="1"/>
  <c r="K28" i="12"/>
  <c r="Z28" i="12"/>
  <c r="AB28" i="12" s="1"/>
  <c r="K29" i="12"/>
  <c r="Z29" i="12" s="1"/>
  <c r="AB29" i="12" s="1"/>
  <c r="K30" i="12"/>
  <c r="Z30" i="12" s="1"/>
  <c r="AB30" i="12" s="1"/>
  <c r="K31" i="12"/>
  <c r="Z31" i="12" s="1"/>
  <c r="AB31" i="12" s="1"/>
  <c r="K32" i="12"/>
  <c r="Z32" i="12" s="1"/>
  <c r="AB32" i="12" s="1"/>
  <c r="K33" i="12"/>
  <c r="Z33" i="12" s="1"/>
  <c r="AB33" i="12" s="1"/>
  <c r="K34" i="12"/>
  <c r="Z34" i="12" s="1"/>
  <c r="AB34" i="12" s="1"/>
  <c r="K35" i="12"/>
  <c r="Z35" i="12" s="1"/>
  <c r="AB35" i="12" s="1"/>
  <c r="K36" i="12"/>
  <c r="Z36" i="12" s="1"/>
  <c r="AB36" i="12" s="1"/>
  <c r="K37" i="12"/>
  <c r="Z37" i="12" s="1"/>
  <c r="AB37" i="12" s="1"/>
  <c r="K38" i="12"/>
  <c r="Z38" i="12" s="1"/>
  <c r="AB38" i="12" s="1"/>
  <c r="K39" i="12"/>
  <c r="Z39" i="12" s="1"/>
  <c r="AB39" i="12" s="1"/>
  <c r="K40" i="12"/>
  <c r="Z40" i="12" s="1"/>
  <c r="AB40" i="12" s="1"/>
  <c r="K41" i="12"/>
  <c r="Z41" i="12" s="1"/>
  <c r="AB41" i="12" s="1"/>
  <c r="M5" i="12"/>
  <c r="AE5" i="12" s="1"/>
  <c r="M6" i="12"/>
  <c r="AE6" i="12" s="1"/>
  <c r="AG6" i="12" s="1"/>
  <c r="M7" i="12"/>
  <c r="AE7" i="12" s="1"/>
  <c r="AG7" i="12" s="1"/>
  <c r="M8" i="12"/>
  <c r="AE8" i="12" s="1"/>
  <c r="AG8" i="12" s="1"/>
  <c r="M9" i="12"/>
  <c r="AE9" i="12" s="1"/>
  <c r="AG9" i="12" s="1"/>
  <c r="M10" i="12"/>
  <c r="AE10" i="12" s="1"/>
  <c r="AG10" i="12" s="1"/>
  <c r="M11" i="12"/>
  <c r="AE11" i="12"/>
  <c r="AG11" i="12" s="1"/>
  <c r="M12" i="12"/>
  <c r="AE12" i="12" s="1"/>
  <c r="AG12" i="12" s="1"/>
  <c r="M13" i="12"/>
  <c r="AE13" i="12" s="1"/>
  <c r="AG13" i="12" s="1"/>
  <c r="M14" i="12"/>
  <c r="AE14" i="12" s="1"/>
  <c r="AG14" i="12" s="1"/>
  <c r="M15" i="12"/>
  <c r="AE15" i="12" s="1"/>
  <c r="AG15" i="12" s="1"/>
  <c r="M16" i="12"/>
  <c r="AE16" i="12" s="1"/>
  <c r="AG16" i="12" s="1"/>
  <c r="M17" i="12"/>
  <c r="AE17" i="12"/>
  <c r="AG17" i="12" s="1"/>
  <c r="M18" i="12"/>
  <c r="AE18" i="12" s="1"/>
  <c r="AG18" i="12" s="1"/>
  <c r="M19" i="12"/>
  <c r="AE19" i="12"/>
  <c r="AG19" i="12" s="1"/>
  <c r="M20" i="12"/>
  <c r="AE20" i="12" s="1"/>
  <c r="AG20" i="12" s="1"/>
  <c r="M21" i="12"/>
  <c r="AE21" i="12" s="1"/>
  <c r="AG21" i="12" s="1"/>
  <c r="M22" i="12"/>
  <c r="AE22" i="12" s="1"/>
  <c r="AG22" i="12" s="1"/>
  <c r="M23" i="12"/>
  <c r="AE23" i="12" s="1"/>
  <c r="AG23" i="12" s="1"/>
  <c r="M24" i="12"/>
  <c r="AE24" i="12" s="1"/>
  <c r="AG24" i="12" s="1"/>
  <c r="M25" i="12"/>
  <c r="AE25" i="12" s="1"/>
  <c r="AG25" i="12" s="1"/>
  <c r="M26" i="12"/>
  <c r="AE26" i="12" s="1"/>
  <c r="AG26" i="12" s="1"/>
  <c r="M27" i="12"/>
  <c r="AE27" i="12" s="1"/>
  <c r="AG27" i="12" s="1"/>
  <c r="M28" i="12"/>
  <c r="AE28" i="12" s="1"/>
  <c r="AG28" i="12" s="1"/>
  <c r="M29" i="12"/>
  <c r="AE29" i="12" s="1"/>
  <c r="AG29" i="12" s="1"/>
  <c r="M30" i="12"/>
  <c r="AE30" i="12" s="1"/>
  <c r="AG30" i="12" s="1"/>
  <c r="M31" i="12"/>
  <c r="AE31" i="12" s="1"/>
  <c r="AG31" i="12" s="1"/>
  <c r="M32" i="12"/>
  <c r="AE32" i="12"/>
  <c r="AG32" i="12" s="1"/>
  <c r="M33" i="12"/>
  <c r="AE33" i="12" s="1"/>
  <c r="AG33" i="12" s="1"/>
  <c r="M34" i="12"/>
  <c r="AE34" i="12" s="1"/>
  <c r="AG34" i="12" s="1"/>
  <c r="M35" i="12"/>
  <c r="AE35" i="12" s="1"/>
  <c r="AG35" i="12" s="1"/>
  <c r="M36" i="12"/>
  <c r="AE36" i="12" s="1"/>
  <c r="AG36" i="12" s="1"/>
  <c r="M37" i="12"/>
  <c r="AE37" i="12" s="1"/>
  <c r="AG37" i="12" s="1"/>
  <c r="M38" i="12"/>
  <c r="AE38" i="12" s="1"/>
  <c r="AG38" i="12" s="1"/>
  <c r="M39" i="12"/>
  <c r="AE39" i="12" s="1"/>
  <c r="AG39" i="12" s="1"/>
  <c r="M40" i="12"/>
  <c r="AE40" i="12"/>
  <c r="AG40" i="12" s="1"/>
  <c r="M41" i="12"/>
  <c r="AE41" i="12" s="1"/>
  <c r="AG41" i="12" s="1"/>
  <c r="O7" i="12"/>
  <c r="O9" i="12"/>
  <c r="O11" i="12"/>
  <c r="O12" i="12"/>
  <c r="O15" i="12"/>
  <c r="O17" i="12"/>
  <c r="O20" i="12"/>
  <c r="O23" i="12"/>
  <c r="O24" i="12"/>
  <c r="O25" i="12"/>
  <c r="O28" i="12"/>
  <c r="O31" i="12"/>
  <c r="O35" i="12"/>
  <c r="O37" i="12"/>
  <c r="O41" i="12" l="1"/>
  <c r="O40" i="12"/>
  <c r="O32" i="12"/>
  <c r="O27" i="12"/>
  <c r="O21" i="12"/>
  <c r="O16" i="12"/>
  <c r="O5" i="12"/>
  <c r="O36" i="12"/>
  <c r="O29" i="12"/>
  <c r="O19" i="12"/>
  <c r="O13" i="12"/>
  <c r="O8" i="12"/>
  <c r="AN42" i="12"/>
  <c r="O33" i="12"/>
  <c r="O39" i="12"/>
  <c r="AE42" i="12"/>
  <c r="AG5" i="12"/>
  <c r="AG42" i="12" s="1"/>
  <c r="BB43" i="12" s="1"/>
  <c r="Z42" i="12"/>
  <c r="AB6" i="12"/>
  <c r="AB42" i="12" s="1"/>
  <c r="M42" i="12"/>
  <c r="K42" i="12"/>
  <c r="O38" i="12"/>
  <c r="O34" i="12"/>
  <c r="O30" i="12"/>
  <c r="O26" i="12"/>
  <c r="O22" i="12"/>
  <c r="O18" i="12"/>
  <c r="O14" i="12"/>
  <c r="O10" i="12"/>
  <c r="O6" i="12"/>
  <c r="AU43" i="12" l="1"/>
  <c r="O43" i="12"/>
  <c r="O42" i="12"/>
  <c r="AN43" i="12" s="1"/>
  <c r="M37" i="13"/>
  <c r="AE37" i="13" s="1"/>
  <c r="CG37" i="14"/>
  <c r="DB37" i="14"/>
  <c r="M21" i="13"/>
  <c r="AE21" i="13" s="1"/>
  <c r="CG21" i="14"/>
  <c r="DB21" i="14"/>
  <c r="K21" i="13"/>
  <c r="Z21" i="13" s="1"/>
  <c r="CC21" i="14"/>
  <c r="CX21" i="14"/>
  <c r="K37" i="13"/>
  <c r="Z37" i="13" s="1"/>
  <c r="CC37" i="14"/>
  <c r="CX37" i="14"/>
  <c r="EH37" i="14"/>
  <c r="M37" i="14" s="1"/>
  <c r="AE37" i="14" s="1"/>
  <c r="CK21" i="14"/>
  <c r="G21" i="14" s="1"/>
  <c r="CK37" i="14"/>
  <c r="G37" i="14" s="1"/>
  <c r="EG37" i="14"/>
  <c r="EG21" i="14"/>
  <c r="G37" i="13"/>
  <c r="V37" i="13" s="1"/>
  <c r="DF37" i="14"/>
  <c r="K37" i="14" s="1"/>
  <c r="Z37" i="14" s="1"/>
  <c r="DF21" i="14"/>
  <c r="K21" i="14" s="1"/>
  <c r="G21" i="13"/>
  <c r="EH21" i="14"/>
  <c r="M21" i="14" s="1"/>
  <c r="ED21" i="14"/>
  <c r="ED37" i="14"/>
  <c r="DR4" i="14"/>
  <c r="DL4" i="14"/>
  <c r="DQ4" i="14"/>
  <c r="DW39" i="14"/>
  <c r="AX39" i="14" s="1"/>
  <c r="DW32" i="14"/>
  <c r="AX32" i="14" s="1"/>
  <c r="DW29" i="14"/>
  <c r="AX29" i="14" s="1"/>
  <c r="DW30" i="14"/>
  <c r="AX30" i="14" s="1"/>
  <c r="DW23" i="14"/>
  <c r="AX23" i="14" s="1"/>
  <c r="DW21" i="14"/>
  <c r="AX21" i="14" s="1"/>
  <c r="DW19" i="14"/>
  <c r="AX19" i="14" s="1"/>
  <c r="DW18" i="14"/>
  <c r="AX18" i="14" s="1"/>
  <c r="DW17" i="14"/>
  <c r="AX17" i="14" s="1"/>
  <c r="DW16" i="14"/>
  <c r="AX16" i="14" s="1"/>
  <c r="DW9" i="14"/>
  <c r="AX9" i="14" s="1"/>
  <c r="L40" i="13"/>
  <c r="AA40" i="13" s="1"/>
  <c r="DT40" i="14"/>
  <c r="L40" i="14" s="1"/>
  <c r="L33" i="13"/>
  <c r="AA33" i="13" s="1"/>
  <c r="AB33" i="13" s="1"/>
  <c r="L38" i="13"/>
  <c r="AA38" i="13" s="1"/>
  <c r="DT38" i="14"/>
  <c r="L38" i="14" s="1"/>
  <c r="L32" i="13"/>
  <c r="AA32" i="13" s="1"/>
  <c r="AB32" i="13" s="1"/>
  <c r="L41" i="13"/>
  <c r="AA41" i="13" s="1"/>
  <c r="AB41" i="13" s="1"/>
  <c r="L29" i="13"/>
  <c r="AA29" i="13" s="1"/>
  <c r="AB29" i="13" s="1"/>
  <c r="L35" i="13"/>
  <c r="AA35" i="13" s="1"/>
  <c r="L39" i="13"/>
  <c r="AA39" i="13" s="1"/>
  <c r="AB39" i="13" s="1"/>
  <c r="DX34" i="14"/>
  <c r="AY34" i="14" s="1"/>
  <c r="AZ25" i="13"/>
  <c r="DY25" i="14"/>
  <c r="AZ25" i="14" s="1"/>
  <c r="AZ31" i="13"/>
  <c r="BA8" i="13"/>
  <c r="DZ8" i="14"/>
  <c r="BA8" i="14" s="1"/>
  <c r="L11" i="13"/>
  <c r="AA11" i="13" s="1"/>
  <c r="AB11" i="13" s="1"/>
  <c r="BA13" i="13"/>
  <c r="DZ13" i="14"/>
  <c r="BA13" i="14" s="1"/>
  <c r="BA17" i="13"/>
  <c r="L19" i="13"/>
  <c r="AA19" i="13" s="1"/>
  <c r="AB19" i="13" s="1"/>
  <c r="BA23" i="13"/>
  <c r="BA24" i="13"/>
  <c r="EA5" i="14"/>
  <c r="N5" i="14" s="1"/>
  <c r="AF5" i="14" s="1"/>
  <c r="AG5" i="14" s="1"/>
  <c r="EA11" i="14"/>
  <c r="N11" i="14" s="1"/>
  <c r="AF11" i="14" s="1"/>
  <c r="AG11" i="14" s="1"/>
  <c r="EA13" i="14"/>
  <c r="N13" i="14" s="1"/>
  <c r="AF13" i="14" s="1"/>
  <c r="AG13" i="14" s="1"/>
  <c r="EA20" i="14"/>
  <c r="N20" i="14" s="1"/>
  <c r="AF20" i="14" s="1"/>
  <c r="AG20" i="14" s="1"/>
  <c r="EA22" i="14"/>
  <c r="N22" i="14" s="1"/>
  <c r="AF22" i="14" s="1"/>
  <c r="AG22" i="14" s="1"/>
  <c r="EA24" i="14"/>
  <c r="N24" i="14" s="1"/>
  <c r="AF24" i="14" s="1"/>
  <c r="AG24" i="14" s="1"/>
  <c r="BA33" i="13"/>
  <c r="DZ33" i="14"/>
  <c r="BA33" i="14" s="1"/>
  <c r="AZ30" i="13"/>
  <c r="DY30" i="14"/>
  <c r="AZ30" i="14" s="1"/>
  <c r="AZ34" i="13"/>
  <c r="DY34" i="14"/>
  <c r="AZ34" i="14" s="1"/>
  <c r="L5" i="13"/>
  <c r="AA5" i="13" s="1"/>
  <c r="L9" i="13"/>
  <c r="AA9" i="13" s="1"/>
  <c r="AB9" i="13" s="1"/>
  <c r="BA11" i="13"/>
  <c r="DZ11" i="14"/>
  <c r="BA11" i="14" s="1"/>
  <c r="L14" i="13"/>
  <c r="AA14" i="13" s="1"/>
  <c r="L15" i="13"/>
  <c r="AA15" i="13" s="1"/>
  <c r="L16" i="13"/>
  <c r="AA16" i="13" s="1"/>
  <c r="AB16" i="13" s="1"/>
  <c r="M16" i="13" s="1"/>
  <c r="AE16" i="13" s="1"/>
  <c r="L18" i="13"/>
  <c r="AA18" i="13" s="1"/>
  <c r="AB18" i="13" s="1"/>
  <c r="BA19" i="13"/>
  <c r="L25" i="13"/>
  <c r="AA25" i="13" s="1"/>
  <c r="AB25" i="13" s="1"/>
  <c r="L22" i="13"/>
  <c r="AA22" i="13" s="1"/>
  <c r="AB22" i="13" s="1"/>
  <c r="EA14" i="14"/>
  <c r="N14" i="14" s="1"/>
  <c r="AF14" i="14" s="1"/>
  <c r="AG14" i="14" s="1"/>
  <c r="EA16" i="14"/>
  <c r="N16" i="14" s="1"/>
  <c r="AF16" i="14" s="1"/>
  <c r="AG16" i="14" s="1"/>
  <c r="EA19" i="14"/>
  <c r="N19" i="14" s="1"/>
  <c r="AF19" i="14" s="1"/>
  <c r="AG19" i="14" s="1"/>
  <c r="EA28" i="14"/>
  <c r="N28" i="14" s="1"/>
  <c r="AF28" i="14" s="1"/>
  <c r="AG28" i="14" s="1"/>
  <c r="AZ8" i="13"/>
  <c r="DX18" i="14"/>
  <c r="AY18" i="14" s="1"/>
  <c r="BA30" i="13"/>
  <c r="DZ30" i="14"/>
  <c r="BA30" i="14" s="1"/>
  <c r="AZ33" i="13"/>
  <c r="DY33" i="14"/>
  <c r="AZ33" i="14" s="1"/>
  <c r="BA5" i="13"/>
  <c r="L6" i="13"/>
  <c r="AA6" i="13" s="1"/>
  <c r="BA7" i="13"/>
  <c r="BA9" i="13"/>
  <c r="DZ9" i="14"/>
  <c r="BA9" i="14" s="1"/>
  <c r="L10" i="13"/>
  <c r="AA10" i="13" s="1"/>
  <c r="AB10" i="13" s="1"/>
  <c r="L12" i="13"/>
  <c r="AA12" i="13"/>
  <c r="AB12" i="13" s="1"/>
  <c r="M12" i="13" s="1"/>
  <c r="AE12" i="13" s="1"/>
  <c r="BA14" i="13"/>
  <c r="BA15" i="13"/>
  <c r="DZ15" i="14"/>
  <c r="BA15" i="14" s="1"/>
  <c r="BA16" i="13"/>
  <c r="DZ16" i="14"/>
  <c r="BA16" i="14" s="1"/>
  <c r="BA18" i="13"/>
  <c r="L20" i="13"/>
  <c r="AA20" i="13"/>
  <c r="L21" i="13"/>
  <c r="AA21" i="13" s="1"/>
  <c r="BA25" i="13"/>
  <c r="DZ25" i="14"/>
  <c r="BA25" i="14" s="1"/>
  <c r="L26" i="13"/>
  <c r="AA26" i="13" s="1"/>
  <c r="DT26" i="14"/>
  <c r="L26" i="14" s="1"/>
  <c r="EA8" i="14"/>
  <c r="N8" i="14" s="1"/>
  <c r="AF8" i="14" s="1"/>
  <c r="AG8" i="14" s="1"/>
  <c r="EA12" i="14"/>
  <c r="N12" i="14" s="1"/>
  <c r="AF12" i="14" s="1"/>
  <c r="AG12" i="14" s="1"/>
  <c r="EA15" i="14"/>
  <c r="N15" i="14" s="1"/>
  <c r="AF15" i="14" s="1"/>
  <c r="AG15" i="14" s="1"/>
  <c r="EA17" i="14"/>
  <c r="N17" i="14" s="1"/>
  <c r="AF17" i="14" s="1"/>
  <c r="AG17" i="14" s="1"/>
  <c r="EA21" i="14"/>
  <c r="N21" i="14" s="1"/>
  <c r="AF21" i="14" s="1"/>
  <c r="EA23" i="14"/>
  <c r="N23" i="14" s="1"/>
  <c r="AF23" i="14" s="1"/>
  <c r="AG23" i="14" s="1"/>
  <c r="DX31" i="14"/>
  <c r="AY31" i="14" s="1"/>
  <c r="BA6" i="13"/>
  <c r="DZ6" i="14"/>
  <c r="BA6" i="14" s="1"/>
  <c r="L8" i="13"/>
  <c r="AA8" i="13" s="1"/>
  <c r="BA10" i="13"/>
  <c r="L13" i="13"/>
  <c r="AA13" i="13" s="1"/>
  <c r="AB13" i="13" s="1"/>
  <c r="L17" i="13"/>
  <c r="AA17" i="13" s="1"/>
  <c r="AB17" i="13" s="1"/>
  <c r="BA20" i="13"/>
  <c r="DZ20" i="14"/>
  <c r="BA20" i="14" s="1"/>
  <c r="BA21" i="13"/>
  <c r="DZ21" i="14"/>
  <c r="BA22" i="13"/>
  <c r="DZ22" i="14"/>
  <c r="BA22" i="14" s="1"/>
  <c r="L23" i="13"/>
  <c r="AA23" i="13" s="1"/>
  <c r="AB23" i="13" s="1"/>
  <c r="L24" i="13"/>
  <c r="AA24" i="13" s="1"/>
  <c r="AB24" i="13" s="1"/>
  <c r="M24" i="13" s="1"/>
  <c r="AE24" i="13" s="1"/>
  <c r="BA26" i="13"/>
  <c r="BA27" i="13"/>
  <c r="DZ27" i="14"/>
  <c r="BA27" i="14" s="1"/>
  <c r="EA7" i="14"/>
  <c r="N7" i="14" s="1"/>
  <c r="AF7" i="14" s="1"/>
  <c r="AG7" i="14" s="1"/>
  <c r="EA9" i="14"/>
  <c r="N9" i="14" s="1"/>
  <c r="AF9" i="14" s="1"/>
  <c r="AG9" i="14" s="1"/>
  <c r="EA31" i="14"/>
  <c r="N31" i="14" s="1"/>
  <c r="AF31" i="14" s="1"/>
  <c r="AG31" i="14" s="1"/>
  <c r="EA33" i="14"/>
  <c r="N33" i="14" s="1"/>
  <c r="AF33" i="14" s="1"/>
  <c r="AG33" i="14" s="1"/>
  <c r="EA36" i="14"/>
  <c r="N36" i="14" s="1"/>
  <c r="AF36" i="14" s="1"/>
  <c r="AG36" i="14" s="1"/>
  <c r="L7" i="13"/>
  <c r="AA7" i="13" s="1"/>
  <c r="AB7" i="13" s="1"/>
  <c r="DX14" i="14"/>
  <c r="AY14" i="14" s="1"/>
  <c r="DX23" i="14"/>
  <c r="AY23" i="14" s="1"/>
  <c r="DX26" i="14"/>
  <c r="AY26" i="14" s="1"/>
  <c r="EA6" i="14"/>
  <c r="N6" i="14" s="1"/>
  <c r="AF6" i="14" s="1"/>
  <c r="AG6" i="14" s="1"/>
  <c r="DX22" i="14"/>
  <c r="AY22" i="14" s="1"/>
  <c r="AZ7" i="13"/>
  <c r="DY7" i="14"/>
  <c r="AZ7" i="14" s="1"/>
  <c r="AZ18" i="13"/>
  <c r="DY18" i="14"/>
  <c r="AZ18" i="14" s="1"/>
  <c r="AZ21" i="13"/>
  <c r="AZ26" i="13"/>
  <c r="DY26" i="14"/>
  <c r="AZ26" i="14" s="1"/>
  <c r="DX29" i="14"/>
  <c r="AY29" i="14" s="1"/>
  <c r="AZ28" i="13"/>
  <c r="AZ35" i="13"/>
  <c r="DY35" i="14"/>
  <c r="AZ35" i="14" s="1"/>
  <c r="DX32" i="14"/>
  <c r="AY32" i="14" s="1"/>
  <c r="DX39" i="14"/>
  <c r="AY39" i="14" s="1"/>
  <c r="BA28" i="13"/>
  <c r="DZ28" i="14"/>
  <c r="BA28" i="14" s="1"/>
  <c r="L31" i="13"/>
  <c r="AA31" i="13" s="1"/>
  <c r="BA34" i="13"/>
  <c r="DZ34" i="14"/>
  <c r="BA34" i="14" s="1"/>
  <c r="L37" i="13"/>
  <c r="AA37" i="13" s="1"/>
  <c r="BA36" i="13"/>
  <c r="DZ36" i="14"/>
  <c r="BA36" i="14" s="1"/>
  <c r="AZ39" i="13"/>
  <c r="DY39" i="14"/>
  <c r="AZ39" i="14" s="1"/>
  <c r="EA27" i="14"/>
  <c r="N27" i="14" s="1"/>
  <c r="AF27" i="14" s="1"/>
  <c r="AG27" i="14" s="1"/>
  <c r="EA29" i="14"/>
  <c r="N29" i="14" s="1"/>
  <c r="AF29" i="14" s="1"/>
  <c r="AG29" i="14" s="1"/>
  <c r="EA34" i="14"/>
  <c r="N34" i="14" s="1"/>
  <c r="AF34" i="14" s="1"/>
  <c r="AG34" i="14" s="1"/>
  <c r="EA38" i="14"/>
  <c r="N38" i="14" s="1"/>
  <c r="AF38" i="14" s="1"/>
  <c r="AG38" i="14" s="1"/>
  <c r="EA40" i="14"/>
  <c r="N40" i="14" s="1"/>
  <c r="AF40" i="14" s="1"/>
  <c r="AG40" i="14" s="1"/>
  <c r="DX12" i="14"/>
  <c r="AY12" i="14" s="1"/>
  <c r="DX24" i="14"/>
  <c r="AY24" i="14" s="1"/>
  <c r="DX27" i="14"/>
  <c r="AY27" i="14" s="1"/>
  <c r="AZ5" i="13"/>
  <c r="DY5" i="14"/>
  <c r="AZ5" i="14" s="1"/>
  <c r="AZ10" i="13"/>
  <c r="AZ13" i="13"/>
  <c r="DY13" i="14"/>
  <c r="AZ13" i="14" s="1"/>
  <c r="AZ15" i="13"/>
  <c r="AZ19" i="13"/>
  <c r="DY19" i="14"/>
  <c r="AZ19" i="14" s="1"/>
  <c r="AZ24" i="13"/>
  <c r="DY24" i="14"/>
  <c r="AZ24" i="14" s="1"/>
  <c r="AZ41" i="13"/>
  <c r="AZ36" i="13"/>
  <c r="DX40" i="14"/>
  <c r="AY40" i="14" s="1"/>
  <c r="L30" i="13"/>
  <c r="AA30" i="13" s="1"/>
  <c r="AB30" i="13" s="1"/>
  <c r="BA31" i="13"/>
  <c r="DZ31" i="14"/>
  <c r="BA31" i="14" s="1"/>
  <c r="BA37" i="13"/>
  <c r="BA40" i="13"/>
  <c r="AZ32" i="13"/>
  <c r="DY32" i="14"/>
  <c r="AZ32" i="14" s="1"/>
  <c r="AZ40" i="13"/>
  <c r="DY40" i="14"/>
  <c r="AZ40" i="14" s="1"/>
  <c r="EA26" i="14"/>
  <c r="N26" i="14" s="1"/>
  <c r="AF26" i="14" s="1"/>
  <c r="AG26" i="14" s="1"/>
  <c r="DX5" i="14"/>
  <c r="AY5" i="14" s="1"/>
  <c r="DX8" i="14"/>
  <c r="AY8" i="14" s="1"/>
  <c r="DX11" i="14"/>
  <c r="AY11" i="14" s="1"/>
  <c r="DX13" i="14"/>
  <c r="AY13" i="14" s="1"/>
  <c r="DX15" i="14"/>
  <c r="AY15" i="14" s="1"/>
  <c r="DX25" i="14"/>
  <c r="AY25" i="14" s="1"/>
  <c r="DX28" i="14"/>
  <c r="AY28" i="14" s="1"/>
  <c r="L27" i="13"/>
  <c r="AA27" i="13"/>
  <c r="AB27" i="13" s="1"/>
  <c r="AZ11" i="13"/>
  <c r="AZ14" i="13"/>
  <c r="DY14" i="14"/>
  <c r="AZ14" i="14" s="1"/>
  <c r="AZ16" i="13"/>
  <c r="DY16" i="14"/>
  <c r="AZ16" i="14" s="1"/>
  <c r="AZ17" i="13"/>
  <c r="DY17" i="14"/>
  <c r="AZ17" i="14" s="1"/>
  <c r="AZ22" i="13"/>
  <c r="DY22" i="14"/>
  <c r="AZ22" i="14" s="1"/>
  <c r="AZ27" i="13"/>
  <c r="DY27" i="14"/>
  <c r="AZ27" i="14" s="1"/>
  <c r="BA12" i="13"/>
  <c r="DE12" i="14"/>
  <c r="DZ12" i="14"/>
  <c r="BA12" i="14" s="1"/>
  <c r="DX20" i="14"/>
  <c r="AY20" i="14" s="1"/>
  <c r="DX30" i="14"/>
  <c r="AY30" i="14" s="1"/>
  <c r="DX35" i="14"/>
  <c r="AY35" i="14" s="1"/>
  <c r="DX37" i="14"/>
  <c r="AY37" i="14" s="1"/>
  <c r="BA38" i="13"/>
  <c r="BA41" i="13"/>
  <c r="DZ41" i="14"/>
  <c r="BA41" i="14" s="1"/>
  <c r="AZ37" i="13"/>
  <c r="DX41" i="14"/>
  <c r="AY41" i="14" s="1"/>
  <c r="EA35" i="14"/>
  <c r="N35" i="14" s="1"/>
  <c r="AF35" i="14" s="1"/>
  <c r="AG35" i="14" s="1"/>
  <c r="EA41" i="14"/>
  <c r="N41" i="14" s="1"/>
  <c r="AF41" i="14" s="1"/>
  <c r="AG41" i="14" s="1"/>
  <c r="DX7" i="14"/>
  <c r="AY7" i="14" s="1"/>
  <c r="DX16" i="14"/>
  <c r="AY16" i="14" s="1"/>
  <c r="DX17" i="14"/>
  <c r="AY17" i="14" s="1"/>
  <c r="DX21" i="14"/>
  <c r="AY21" i="14" s="1"/>
  <c r="AZ6" i="13"/>
  <c r="AZ9" i="13"/>
  <c r="AZ4" i="13"/>
  <c r="DY9" i="14"/>
  <c r="AZ9" i="14" s="1"/>
  <c r="AZ12" i="13"/>
  <c r="AZ20" i="13"/>
  <c r="DY20" i="14"/>
  <c r="AZ20" i="14" s="1"/>
  <c r="AZ23" i="13"/>
  <c r="DY23" i="14"/>
  <c r="AZ23" i="14" s="1"/>
  <c r="BA29" i="13"/>
  <c r="DX33" i="14"/>
  <c r="AY33" i="14" s="1"/>
  <c r="DX36" i="14"/>
  <c r="AY36" i="14" s="1"/>
  <c r="AZ29" i="13"/>
  <c r="DY29" i="14"/>
  <c r="AZ29" i="14" s="1"/>
  <c r="BA32" i="13"/>
  <c r="DZ32" i="14"/>
  <c r="BA32" i="14" s="1"/>
  <c r="L34" i="13"/>
  <c r="AA34" i="13" s="1"/>
  <c r="BA35" i="13"/>
  <c r="DZ35" i="14"/>
  <c r="BA35" i="14" s="1"/>
  <c r="BA39" i="13"/>
  <c r="DZ39" i="14"/>
  <c r="BA39" i="14" s="1"/>
  <c r="L28" i="13"/>
  <c r="AA28" i="13" s="1"/>
  <c r="AB28" i="13" s="1"/>
  <c r="L36" i="13"/>
  <c r="AA36" i="13" s="1"/>
  <c r="DT36" i="14"/>
  <c r="L36" i="14" s="1"/>
  <c r="AA36" i="14" s="1"/>
  <c r="AB36" i="14" s="1"/>
  <c r="AZ38" i="13"/>
  <c r="BA4" i="13"/>
  <c r="BA42" i="13" s="1"/>
  <c r="L4" i="13"/>
  <c r="CH12" i="14"/>
  <c r="CH34" i="14"/>
  <c r="CH35" i="14"/>
  <c r="CH39" i="14"/>
  <c r="DE35" i="14"/>
  <c r="DE31" i="14"/>
  <c r="DK15" i="14"/>
  <c r="CH15" i="14"/>
  <c r="DE16" i="14"/>
  <c r="DE24" i="14"/>
  <c r="CH21" i="14"/>
  <c r="CH9" i="14"/>
  <c r="CH40" i="14"/>
  <c r="CH5" i="14"/>
  <c r="DE6" i="14"/>
  <c r="CH14" i="14"/>
  <c r="DE5" i="14"/>
  <c r="CH13" i="14"/>
  <c r="CH36" i="14"/>
  <c r="CH25" i="14"/>
  <c r="CH30" i="14"/>
  <c r="CH18" i="14"/>
  <c r="CH17" i="14"/>
  <c r="DE23" i="14"/>
  <c r="DE25" i="14"/>
  <c r="DE27" i="14"/>
  <c r="DE18" i="14"/>
  <c r="DE19" i="14"/>
  <c r="CH23" i="14"/>
  <c r="DE32" i="14"/>
  <c r="DE33" i="14"/>
  <c r="DE9" i="14"/>
  <c r="DY8" i="14"/>
  <c r="AZ8" i="14" s="1"/>
  <c r="DY21" i="14"/>
  <c r="AZ21" i="14" s="1"/>
  <c r="DQ5" i="14"/>
  <c r="DQ14" i="14"/>
  <c r="AR14" i="14" s="1"/>
  <c r="AT21" i="13"/>
  <c r="DQ21" i="14"/>
  <c r="AT27" i="13"/>
  <c r="AM27" i="13" s="1"/>
  <c r="DQ27" i="14"/>
  <c r="AT32" i="13"/>
  <c r="DQ32" i="14"/>
  <c r="AT9" i="13"/>
  <c r="AM9" i="13" s="1"/>
  <c r="DQ9" i="14"/>
  <c r="DQ29" i="14"/>
  <c r="AT39" i="13"/>
  <c r="AM39" i="13" s="1"/>
  <c r="DQ39" i="14"/>
  <c r="AT41" i="13"/>
  <c r="DQ41" i="14"/>
  <c r="AT12" i="13"/>
  <c r="DQ12" i="14"/>
  <c r="AT34" i="13"/>
  <c r="DQ34" i="14"/>
  <c r="DR5" i="14"/>
  <c r="DR11" i="14"/>
  <c r="DR15" i="14"/>
  <c r="N12" i="13"/>
  <c r="AF12" i="13" s="1"/>
  <c r="AR12" i="13"/>
  <c r="AY12" i="13"/>
  <c r="DL12" i="14"/>
  <c r="AT12" i="14" s="1"/>
  <c r="AM12" i="14" s="1"/>
  <c r="DR29" i="14"/>
  <c r="DR8" i="14"/>
  <c r="DR17" i="14"/>
  <c r="DR26" i="14"/>
  <c r="DR33" i="14"/>
  <c r="AY38" i="13"/>
  <c r="DL38" i="14"/>
  <c r="N5" i="13"/>
  <c r="AF5" i="13" s="1"/>
  <c r="AR5" i="13"/>
  <c r="AY5" i="13"/>
  <c r="DL5" i="14"/>
  <c r="AY10" i="13"/>
  <c r="DL10" i="14"/>
  <c r="N14" i="13"/>
  <c r="AF14" i="13" s="1"/>
  <c r="AR14" i="13"/>
  <c r="AY14" i="13"/>
  <c r="DL14" i="14"/>
  <c r="N21" i="13"/>
  <c r="AF21" i="13" s="1"/>
  <c r="AR21" i="13"/>
  <c r="AY21" i="13"/>
  <c r="DL21" i="14"/>
  <c r="DR35" i="14"/>
  <c r="DY42" i="14"/>
  <c r="CH42" i="14"/>
  <c r="DY41" i="14"/>
  <c r="AZ41" i="14" s="1"/>
  <c r="DZ19" i="14"/>
  <c r="BA19" i="14" s="1"/>
  <c r="DY28" i="14"/>
  <c r="AZ28" i="14" s="1"/>
  <c r="DY31" i="14"/>
  <c r="AZ31" i="14" s="1"/>
  <c r="DE29" i="14"/>
  <c r="DX19" i="14"/>
  <c r="AY19" i="14" s="1"/>
  <c r="DZ17" i="14"/>
  <c r="BA17" i="14" s="1"/>
  <c r="CH8" i="14"/>
  <c r="DW35" i="14"/>
  <c r="AX35" i="14" s="1"/>
  <c r="CH31" i="14"/>
  <c r="DE39" i="14"/>
  <c r="DE34" i="14"/>
  <c r="EA37" i="14"/>
  <c r="N37" i="14" s="1"/>
  <c r="AF37" i="14" s="1"/>
  <c r="EA30" i="14"/>
  <c r="N30" i="14" s="1"/>
  <c r="AF30" i="14" s="1"/>
  <c r="AG30" i="14" s="1"/>
  <c r="DY11" i="14"/>
  <c r="AZ11" i="14" s="1"/>
  <c r="AT6" i="13"/>
  <c r="DQ6" i="14"/>
  <c r="DQ18" i="14"/>
  <c r="AT22" i="13"/>
  <c r="AM22" i="13" s="1"/>
  <c r="DQ22" i="14"/>
  <c r="AT36" i="13"/>
  <c r="DQ36" i="14"/>
  <c r="AT17" i="13"/>
  <c r="AM17" i="13" s="1"/>
  <c r="DQ17" i="14"/>
  <c r="AT30" i="13"/>
  <c r="AM30" i="13" s="1"/>
  <c r="DQ30" i="14"/>
  <c r="DQ38" i="14"/>
  <c r="DK42" i="14"/>
  <c r="DQ7" i="14"/>
  <c r="AT13" i="13"/>
  <c r="AM13" i="13" s="1"/>
  <c r="DQ13" i="14"/>
  <c r="DR19" i="14"/>
  <c r="AR29" i="13"/>
  <c r="AY29" i="13"/>
  <c r="DL29" i="14"/>
  <c r="AT29" i="14" s="1"/>
  <c r="N8" i="13"/>
  <c r="AF8" i="13" s="1"/>
  <c r="AR8" i="13"/>
  <c r="AY8" i="13"/>
  <c r="DL8" i="14"/>
  <c r="DR13" i="14"/>
  <c r="N18" i="13"/>
  <c r="AR18" i="13"/>
  <c r="AY18" i="13"/>
  <c r="DL18" i="14"/>
  <c r="N25" i="13"/>
  <c r="AR25" i="13"/>
  <c r="AY25" i="13"/>
  <c r="DL25" i="14"/>
  <c r="AR27" i="13"/>
  <c r="AY27" i="13"/>
  <c r="DL27" i="14"/>
  <c r="AR33" i="13"/>
  <c r="AY33" i="13"/>
  <c r="DL33" i="14"/>
  <c r="AY4" i="13"/>
  <c r="DL42" i="14"/>
  <c r="AY6" i="13"/>
  <c r="DL6" i="14"/>
  <c r="DR12" i="14"/>
  <c r="DR18" i="14"/>
  <c r="N23" i="13"/>
  <c r="AR23" i="13"/>
  <c r="AY23" i="13"/>
  <c r="DL23" i="14"/>
  <c r="DR27" i="14"/>
  <c r="AT28" i="13"/>
  <c r="AM28" i="13" s="1"/>
  <c r="DQ28" i="14"/>
  <c r="DR6" i="14"/>
  <c r="AR19" i="13"/>
  <c r="AY19" i="13"/>
  <c r="DL19" i="14"/>
  <c r="AT19" i="14" s="1"/>
  <c r="N31" i="13"/>
  <c r="AF31" i="13" s="1"/>
  <c r="AR31" i="13"/>
  <c r="AY31" i="13"/>
  <c r="DL31" i="14"/>
  <c r="N35" i="13"/>
  <c r="AF35" i="13" s="1"/>
  <c r="AR35" i="13"/>
  <c r="AY35" i="13"/>
  <c r="DL35" i="14"/>
  <c r="AT35" i="14" s="1"/>
  <c r="AM35" i="14" s="1"/>
  <c r="N39" i="13"/>
  <c r="AR39" i="13"/>
  <c r="AY39" i="13"/>
  <c r="DL39" i="14"/>
  <c r="N40" i="13"/>
  <c r="AF40" i="13" s="1"/>
  <c r="AG40" i="13" s="1"/>
  <c r="K40" i="13" s="1"/>
  <c r="AR40" i="13"/>
  <c r="AY40" i="13"/>
  <c r="DL40" i="14"/>
  <c r="DP42" i="14"/>
  <c r="DZ42" i="14"/>
  <c r="DY37" i="14"/>
  <c r="AZ37" i="14" s="1"/>
  <c r="AR10" i="13"/>
  <c r="AK10" i="13" s="1"/>
  <c r="DX10" i="14"/>
  <c r="AY10" i="14" s="1"/>
  <c r="DZ26" i="14"/>
  <c r="BA26" i="14" s="1"/>
  <c r="AR38" i="13"/>
  <c r="AK38" i="13" s="1"/>
  <c r="DX38" i="14"/>
  <c r="AY38" i="14" s="1"/>
  <c r="DX9" i="14"/>
  <c r="AY9" i="14" s="1"/>
  <c r="DZ23" i="14"/>
  <c r="BA23" i="14" s="1"/>
  <c r="DY36" i="14"/>
  <c r="AZ36" i="14" s="1"/>
  <c r="AT7" i="13"/>
  <c r="AM7" i="13" s="1"/>
  <c r="DZ7" i="14"/>
  <c r="BA7" i="14" s="1"/>
  <c r="AT18" i="13"/>
  <c r="DZ18" i="14"/>
  <c r="BA18" i="14" s="1"/>
  <c r="CH28" i="14"/>
  <c r="DW25" i="14"/>
  <c r="AX25" i="14" s="1"/>
  <c r="CH22" i="14"/>
  <c r="DE30" i="14"/>
  <c r="DE22" i="14"/>
  <c r="EA18" i="14"/>
  <c r="N18" i="14" s="1"/>
  <c r="AF18" i="14" s="1"/>
  <c r="AG18" i="14" s="1"/>
  <c r="EA32" i="14"/>
  <c r="N32" i="14" s="1"/>
  <c r="AF32" i="14" s="1"/>
  <c r="AG32" i="14" s="1"/>
  <c r="EA25" i="14"/>
  <c r="N25" i="14" s="1"/>
  <c r="AF25" i="14" s="1"/>
  <c r="AG25" i="14" s="1"/>
  <c r="EA39" i="14"/>
  <c r="N39" i="14" s="1"/>
  <c r="AF39" i="14" s="1"/>
  <c r="AG39" i="14" s="1"/>
  <c r="DY6" i="14"/>
  <c r="AZ6" i="14" s="1"/>
  <c r="AT15" i="13"/>
  <c r="AM15" i="13" s="1"/>
  <c r="DQ15" i="14"/>
  <c r="AR15" i="14" s="1"/>
  <c r="AT19" i="13"/>
  <c r="AM19" i="13" s="1"/>
  <c r="DQ19" i="14"/>
  <c r="AT23" i="13"/>
  <c r="AM23" i="13" s="1"/>
  <c r="DQ23" i="14"/>
  <c r="AT31" i="13"/>
  <c r="DQ31" i="14"/>
  <c r="AT33" i="13"/>
  <c r="AM33" i="13" s="1"/>
  <c r="DQ33" i="14"/>
  <c r="AT26" i="13"/>
  <c r="AM26" i="13" s="1"/>
  <c r="DQ26" i="14"/>
  <c r="DQ40" i="14"/>
  <c r="AT8" i="13"/>
  <c r="AM8" i="13" s="1"/>
  <c r="DQ8" i="14"/>
  <c r="AT16" i="13"/>
  <c r="AM16" i="13" s="1"/>
  <c r="DQ16" i="14"/>
  <c r="AT35" i="13"/>
  <c r="DQ35" i="14"/>
  <c r="N9" i="13"/>
  <c r="AR9" i="13"/>
  <c r="AY9" i="13"/>
  <c r="DL9" i="14"/>
  <c r="AT9" i="14" s="1"/>
  <c r="N13" i="13"/>
  <c r="AR13" i="13"/>
  <c r="AY13" i="13"/>
  <c r="DL13" i="14"/>
  <c r="DR21" i="14"/>
  <c r="DR31" i="14"/>
  <c r="DR9" i="14"/>
  <c r="N30" i="13"/>
  <c r="AR30" i="13"/>
  <c r="AY30" i="13"/>
  <c r="DL30" i="14"/>
  <c r="DR37" i="14"/>
  <c r="AT25" i="13"/>
  <c r="AM25" i="13" s="1"/>
  <c r="DQ25" i="14"/>
  <c r="AR25" i="14" s="1"/>
  <c r="DR24" i="14"/>
  <c r="DR28" i="14"/>
  <c r="N36" i="13"/>
  <c r="AF36" i="13" s="1"/>
  <c r="AG36" i="13" s="1"/>
  <c r="K36" i="13" s="1"/>
  <c r="AR36" i="13"/>
  <c r="AY36" i="13"/>
  <c r="DL36" i="14"/>
  <c r="AR41" i="13"/>
  <c r="AY41" i="13"/>
  <c r="DL41" i="14"/>
  <c r="DQ42" i="14"/>
  <c r="DR7" i="14"/>
  <c r="AR11" i="13"/>
  <c r="AY11" i="13"/>
  <c r="DL11" i="14"/>
  <c r="N15" i="13"/>
  <c r="AF15" i="13" s="1"/>
  <c r="AR15" i="13"/>
  <c r="AY15" i="13"/>
  <c r="DL15" i="14"/>
  <c r="DR20" i="14"/>
  <c r="N22" i="13"/>
  <c r="AR22" i="13"/>
  <c r="AY22" i="13"/>
  <c r="DL22" i="14"/>
  <c r="DR36" i="14"/>
  <c r="DR41" i="14"/>
  <c r="AR37" i="13"/>
  <c r="AY37" i="13"/>
  <c r="DL37" i="14"/>
  <c r="DR34" i="14"/>
  <c r="DZ10" i="14"/>
  <c r="BA10" i="14" s="1"/>
  <c r="AT5" i="13"/>
  <c r="AM5" i="13" s="1"/>
  <c r="DZ5" i="14"/>
  <c r="BA5" i="14" s="1"/>
  <c r="DZ24" i="14"/>
  <c r="BA24" i="14" s="1"/>
  <c r="AT14" i="13"/>
  <c r="AM14" i="13" s="1"/>
  <c r="DZ14" i="14"/>
  <c r="BA14" i="14" s="1"/>
  <c r="DK26" i="14"/>
  <c r="DW22" i="14"/>
  <c r="AX22" i="14" s="1"/>
  <c r="DE13" i="14"/>
  <c r="AT13" i="14" s="1"/>
  <c r="DE37" i="14"/>
  <c r="AT37" i="14" s="1"/>
  <c r="CH16" i="14"/>
  <c r="EA10" i="14"/>
  <c r="N10" i="14" s="1"/>
  <c r="AF10" i="14" s="1"/>
  <c r="AG10" i="14" s="1"/>
  <c r="DY10" i="14"/>
  <c r="AZ10" i="14" s="1"/>
  <c r="AT29" i="13"/>
  <c r="AM29" i="13" s="1"/>
  <c r="DZ29" i="14"/>
  <c r="BA29" i="14" s="1"/>
  <c r="DY12" i="14"/>
  <c r="AZ12" i="14" s="1"/>
  <c r="DY15" i="14"/>
  <c r="AZ15" i="14" s="1"/>
  <c r="DZ37" i="14"/>
  <c r="BA37" i="14" s="1"/>
  <c r="AT10" i="13"/>
  <c r="AM10" i="13" s="1"/>
  <c r="DQ10" i="14"/>
  <c r="AT20" i="13"/>
  <c r="AM20" i="13" s="1"/>
  <c r="DQ20" i="14"/>
  <c r="AT24" i="13"/>
  <c r="DQ24" i="14"/>
  <c r="AT37" i="13"/>
  <c r="AM37" i="13" s="1"/>
  <c r="DQ37" i="14"/>
  <c r="AT11" i="13"/>
  <c r="AM11" i="13" s="1"/>
  <c r="DQ11" i="14"/>
  <c r="DW42" i="14"/>
  <c r="DR10" i="14"/>
  <c r="DR14" i="14"/>
  <c r="DR22" i="14"/>
  <c r="EA42" i="14"/>
  <c r="N17" i="13"/>
  <c r="AR17" i="13"/>
  <c r="AY17" i="13"/>
  <c r="DL17" i="14"/>
  <c r="AT17" i="14" s="1"/>
  <c r="AR24" i="13"/>
  <c r="AY24" i="13"/>
  <c r="DL24" i="14"/>
  <c r="AR26" i="13"/>
  <c r="AY26" i="13"/>
  <c r="DL26" i="14"/>
  <c r="N28" i="13"/>
  <c r="AR28" i="13"/>
  <c r="AY28" i="13"/>
  <c r="DL28" i="14"/>
  <c r="DR32" i="14"/>
  <c r="DR40" i="14"/>
  <c r="DE42" i="14"/>
  <c r="AR7" i="13"/>
  <c r="AY7" i="13"/>
  <c r="DL7" i="14"/>
  <c r="N16" i="13"/>
  <c r="AF16" i="13" s="1"/>
  <c r="AR16" i="13"/>
  <c r="AY16" i="13"/>
  <c r="DL16" i="14"/>
  <c r="AT16" i="14" s="1"/>
  <c r="AR20" i="13"/>
  <c r="AY20" i="13"/>
  <c r="DL20" i="14"/>
  <c r="DR25" i="14"/>
  <c r="DR30" i="14"/>
  <c r="DR42" i="14"/>
  <c r="DR16" i="14"/>
  <c r="DR23" i="14"/>
  <c r="N34" i="13"/>
  <c r="AF34" i="13" s="1"/>
  <c r="AR34" i="13"/>
  <c r="AY34" i="13"/>
  <c r="DL34" i="14"/>
  <c r="DR38" i="14"/>
  <c r="DX42" i="14"/>
  <c r="DR39" i="14"/>
  <c r="DT42" i="14"/>
  <c r="AR32" i="13"/>
  <c r="AY32" i="13"/>
  <c r="DL32" i="14"/>
  <c r="AR6" i="13"/>
  <c r="AK6" i="13" s="1"/>
  <c r="DX6" i="14"/>
  <c r="AY6" i="14" s="1"/>
  <c r="DY38" i="14"/>
  <c r="AZ38" i="14" s="1"/>
  <c r="DW8" i="14"/>
  <c r="AX8" i="14" s="1"/>
  <c r="BB8" i="14" s="1"/>
  <c r="N19" i="13"/>
  <c r="CH19" i="14"/>
  <c r="AR19" i="14" s="1"/>
  <c r="AK19" i="14" s="1"/>
  <c r="N29" i="13"/>
  <c r="CH29" i="14"/>
  <c r="AR29" i="14" s="1"/>
  <c r="AK29" i="14" s="1"/>
  <c r="DE41" i="14"/>
  <c r="DK24" i="14"/>
  <c r="N27" i="13"/>
  <c r="AF27" i="13" s="1"/>
  <c r="AG27" i="13" s="1"/>
  <c r="CH27" i="14"/>
  <c r="AR27" i="14" s="1"/>
  <c r="AK27" i="14" s="1"/>
  <c r="DW41" i="14"/>
  <c r="AX41" i="14" s="1"/>
  <c r="N11" i="13"/>
  <c r="CH11" i="14"/>
  <c r="DW24" i="14"/>
  <c r="AX24" i="14" s="1"/>
  <c r="BB24" i="14" s="1"/>
  <c r="DW14" i="14"/>
  <c r="AX14" i="14" s="1"/>
  <c r="DW26" i="14"/>
  <c r="AX26" i="14" s="1"/>
  <c r="DK16" i="14"/>
  <c r="DW11" i="14"/>
  <c r="AX11" i="14" s="1"/>
  <c r="DP15" i="14"/>
  <c r="AQ15" i="14" s="1"/>
  <c r="DW13" i="14"/>
  <c r="AX13" i="14" s="1"/>
  <c r="DT12" i="14"/>
  <c r="L12" i="14" s="1"/>
  <c r="O12" i="14" s="1"/>
  <c r="DT19" i="14"/>
  <c r="L19" i="14" s="1"/>
  <c r="DT32" i="14"/>
  <c r="L32" i="14" s="1"/>
  <c r="DT10" i="14"/>
  <c r="L10" i="14" s="1"/>
  <c r="DT20" i="14"/>
  <c r="L20" i="14" s="1"/>
  <c r="O20" i="14" s="1"/>
  <c r="DT5" i="14"/>
  <c r="L5" i="14" s="1"/>
  <c r="DT28" i="14"/>
  <c r="L28" i="14" s="1"/>
  <c r="DW20" i="14"/>
  <c r="AX20" i="14" s="1"/>
  <c r="BB20" i="14" s="1"/>
  <c r="DW10" i="14"/>
  <c r="AX10" i="14" s="1"/>
  <c r="DY4" i="14"/>
  <c r="AZ4" i="14" s="1"/>
  <c r="N10" i="13"/>
  <c r="CH10" i="14"/>
  <c r="AR10" i="14" s="1"/>
  <c r="DE21" i="14"/>
  <c r="AT21" i="14" s="1"/>
  <c r="DE14" i="14"/>
  <c r="AT14" i="14" s="1"/>
  <c r="DE7" i="14"/>
  <c r="N37" i="13"/>
  <c r="AF37" i="13" s="1"/>
  <c r="CH37" i="14"/>
  <c r="N33" i="13"/>
  <c r="CH33" i="14"/>
  <c r="DE20" i="14"/>
  <c r="DW5" i="14"/>
  <c r="AX5" i="14" s="1"/>
  <c r="AR4" i="13"/>
  <c r="DX4" i="14"/>
  <c r="AY4" i="14" s="1"/>
  <c r="DW15" i="14"/>
  <c r="AX15" i="14" s="1"/>
  <c r="DP16" i="14"/>
  <c r="AQ16" i="14" s="1"/>
  <c r="DT9" i="14"/>
  <c r="L9" i="14" s="1"/>
  <c r="DT35" i="14"/>
  <c r="L35" i="14" s="1"/>
  <c r="DT11" i="14"/>
  <c r="L11" i="14" s="1"/>
  <c r="DT30" i="14"/>
  <c r="L30" i="14" s="1"/>
  <c r="O30" i="14" s="1"/>
  <c r="DT25" i="14"/>
  <c r="L25" i="14" s="1"/>
  <c r="DT18" i="14"/>
  <c r="L18" i="14" s="1"/>
  <c r="DT27" i="14"/>
  <c r="L27" i="14" s="1"/>
  <c r="DT13" i="14"/>
  <c r="L13" i="14" s="1"/>
  <c r="DT21" i="14"/>
  <c r="L21" i="14" s="1"/>
  <c r="AA21" i="14" s="1"/>
  <c r="DT17" i="14"/>
  <c r="L17" i="14" s="1"/>
  <c r="DW28" i="14"/>
  <c r="AX28" i="14" s="1"/>
  <c r="DW34" i="14"/>
  <c r="AX34" i="14" s="1"/>
  <c r="BB34" i="14" s="1"/>
  <c r="DE28" i="14"/>
  <c r="AT28" i="14" s="1"/>
  <c r="N20" i="13"/>
  <c r="AF20" i="13" s="1"/>
  <c r="CH20" i="14"/>
  <c r="N26" i="13"/>
  <c r="AF26" i="13" s="1"/>
  <c r="AG26" i="13" s="1"/>
  <c r="K26" i="13" s="1"/>
  <c r="CH26" i="14"/>
  <c r="N38" i="13"/>
  <c r="AF38" i="13" s="1"/>
  <c r="CH38" i="14"/>
  <c r="AR38" i="14" s="1"/>
  <c r="AK38" i="14" s="1"/>
  <c r="N7" i="13"/>
  <c r="CH7" i="14"/>
  <c r="AR7" i="14" s="1"/>
  <c r="N6" i="13"/>
  <c r="AF6" i="13" s="1"/>
  <c r="CH6" i="14"/>
  <c r="AR6" i="14" s="1"/>
  <c r="DE11" i="14"/>
  <c r="DK20" i="14"/>
  <c r="DK13" i="14"/>
  <c r="AQ13" i="13"/>
  <c r="AX13" i="13"/>
  <c r="BB13" i="13" s="1"/>
  <c r="AS13" i="13"/>
  <c r="AL13" i="13" s="1"/>
  <c r="DP13" i="14"/>
  <c r="AQ13" i="14" s="1"/>
  <c r="DW6" i="14"/>
  <c r="AX6" i="14" s="1"/>
  <c r="DP8" i="14"/>
  <c r="AQ8" i="14" s="1"/>
  <c r="DT8" i="14"/>
  <c r="L8" i="14" s="1"/>
  <c r="O8" i="14" s="1"/>
  <c r="N32" i="13"/>
  <c r="CH32" i="14"/>
  <c r="AR32" i="14" s="1"/>
  <c r="DT15" i="14"/>
  <c r="L15" i="14" s="1"/>
  <c r="DT23" i="14"/>
  <c r="L23" i="14" s="1"/>
  <c r="O23" i="14" s="1"/>
  <c r="DT39" i="14"/>
  <c r="L39" i="14" s="1"/>
  <c r="AQ16" i="13"/>
  <c r="AX16" i="13"/>
  <c r="AS16" i="13"/>
  <c r="DT16" i="14"/>
  <c r="L16" i="14" s="1"/>
  <c r="O16" i="14" s="1"/>
  <c r="DT31" i="14"/>
  <c r="L31" i="14" s="1"/>
  <c r="DT24" i="14"/>
  <c r="L24" i="14" s="1"/>
  <c r="O24" i="14" s="1"/>
  <c r="DT37" i="14"/>
  <c r="L37" i="14" s="1"/>
  <c r="AA37" i="14" s="1"/>
  <c r="DT29" i="14"/>
  <c r="L29" i="14" s="1"/>
  <c r="O29" i="14" s="1"/>
  <c r="DE36" i="14"/>
  <c r="AT36" i="14" s="1"/>
  <c r="DE17" i="14"/>
  <c r="AX15" i="13"/>
  <c r="AS15" i="13"/>
  <c r="AL15" i="13" s="1"/>
  <c r="AQ15" i="13"/>
  <c r="DE15" i="14"/>
  <c r="AT15" i="14" s="1"/>
  <c r="DW37" i="14"/>
  <c r="AX37" i="14" s="1"/>
  <c r="DE26" i="14"/>
  <c r="AT26" i="14" s="1"/>
  <c r="N24" i="13"/>
  <c r="AF24" i="13" s="1"/>
  <c r="CH24" i="14"/>
  <c r="AR24" i="14" s="1"/>
  <c r="AK24" i="14" s="1"/>
  <c r="N41" i="13"/>
  <c r="CH41" i="14"/>
  <c r="AR41" i="14" s="1"/>
  <c r="DW36" i="14"/>
  <c r="AX36" i="14" s="1"/>
  <c r="DK8" i="14"/>
  <c r="DW12" i="14"/>
  <c r="AX12" i="14" s="1"/>
  <c r="BB12" i="14" s="1"/>
  <c r="DW31" i="14"/>
  <c r="AX31" i="14" s="1"/>
  <c r="DW33" i="14"/>
  <c r="AX33" i="14" s="1"/>
  <c r="BB33" i="14" s="1"/>
  <c r="AX8" i="13"/>
  <c r="AS8" i="13"/>
  <c r="AL8" i="13"/>
  <c r="AQ8" i="13"/>
  <c r="DE8" i="14"/>
  <c r="AT8" i="14" s="1"/>
  <c r="DW7" i="14"/>
  <c r="AX7" i="14" s="1"/>
  <c r="DE10" i="14"/>
  <c r="AT10" i="14" s="1"/>
  <c r="DW27" i="14"/>
  <c r="AX27" i="14" s="1"/>
  <c r="DT33" i="14"/>
  <c r="L33" i="14" s="1"/>
  <c r="DT7" i="14"/>
  <c r="L7" i="14" s="1"/>
  <c r="O7" i="14" s="1"/>
  <c r="DT34" i="14"/>
  <c r="L34" i="14" s="1"/>
  <c r="EA4" i="14"/>
  <c r="N4" i="14" s="1"/>
  <c r="DT14" i="14"/>
  <c r="L14" i="14" s="1"/>
  <c r="DT22" i="14"/>
  <c r="L22" i="14" s="1"/>
  <c r="O22" i="14" s="1"/>
  <c r="DT41" i="14"/>
  <c r="L41" i="14" s="1"/>
  <c r="DT6" i="14"/>
  <c r="L6" i="14" s="1"/>
  <c r="DP39" i="14"/>
  <c r="AQ39" i="14" s="1"/>
  <c r="AS39" i="13"/>
  <c r="AL39" i="13" s="1"/>
  <c r="AQ39" i="13"/>
  <c r="AX39" i="13"/>
  <c r="BB39" i="13" s="1"/>
  <c r="DK39" i="14"/>
  <c r="DK12" i="14"/>
  <c r="AS12" i="14" s="1"/>
  <c r="DK33" i="14"/>
  <c r="AS33" i="14" s="1"/>
  <c r="AL33" i="14" s="1"/>
  <c r="DK31" i="14"/>
  <c r="AS31" i="14" s="1"/>
  <c r="AL31" i="14" s="1"/>
  <c r="DK21" i="14"/>
  <c r="DK11" i="14"/>
  <c r="DK14" i="14"/>
  <c r="AS14" i="14" s="1"/>
  <c r="DP35" i="14"/>
  <c r="AQ35" i="14" s="1"/>
  <c r="AS35" i="13"/>
  <c r="AL35" i="13" s="1"/>
  <c r="AQ35" i="13"/>
  <c r="AX35" i="13"/>
  <c r="BB35" i="13" s="1"/>
  <c r="DK35" i="14"/>
  <c r="AS35" i="14" s="1"/>
  <c r="AL35" i="14" s="1"/>
  <c r="DP34" i="14"/>
  <c r="AQ34" i="14" s="1"/>
  <c r="DP18" i="14"/>
  <c r="AQ18" i="14" s="1"/>
  <c r="DK37" i="14"/>
  <c r="AS37" i="14" s="1"/>
  <c r="AL37" i="14" s="1"/>
  <c r="AQ21" i="13"/>
  <c r="AX21" i="13"/>
  <c r="AS21" i="13"/>
  <c r="AL21" i="13" s="1"/>
  <c r="DP21" i="14"/>
  <c r="AQ21" i="14" s="1"/>
  <c r="AJ21" i="14" s="1"/>
  <c r="AQ14" i="13"/>
  <c r="AX14" i="13"/>
  <c r="BB14" i="13" s="1"/>
  <c r="AS14" i="13"/>
  <c r="AL14" i="13" s="1"/>
  <c r="DP14" i="14"/>
  <c r="AQ14" i="14" s="1"/>
  <c r="AU14" i="14" s="1"/>
  <c r="DP9" i="14"/>
  <c r="AQ9" i="14" s="1"/>
  <c r="DP27" i="14"/>
  <c r="AQ27" i="14" s="1"/>
  <c r="DP17" i="14"/>
  <c r="AQ17" i="14" s="1"/>
  <c r="DK6" i="14"/>
  <c r="AS6" i="14" s="1"/>
  <c r="AL6" i="14" s="1"/>
  <c r="DK32" i="14"/>
  <c r="DK19" i="14"/>
  <c r="AS19" i="14" s="1"/>
  <c r="AL19" i="14" s="1"/>
  <c r="DK28" i="14"/>
  <c r="AS28" i="14" s="1"/>
  <c r="DP10" i="14"/>
  <c r="AQ10" i="14" s="1"/>
  <c r="AS10" i="13"/>
  <c r="AL10" i="13" s="1"/>
  <c r="AQ10" i="13"/>
  <c r="AX10" i="13"/>
  <c r="BB10" i="13" s="1"/>
  <c r="DK10" i="14"/>
  <c r="AS10" i="14" s="1"/>
  <c r="AL10" i="14" s="1"/>
  <c r="DK25" i="14"/>
  <c r="AS25" i="14" s="1"/>
  <c r="AQ20" i="13"/>
  <c r="AX20" i="13"/>
  <c r="BB20" i="13" s="1"/>
  <c r="AS20" i="13"/>
  <c r="AL20" i="13" s="1"/>
  <c r="DP20" i="14"/>
  <c r="AQ20" i="14" s="1"/>
  <c r="AQ33" i="13"/>
  <c r="AX33" i="13"/>
  <c r="BB33" i="13" s="1"/>
  <c r="AS33" i="13"/>
  <c r="AL33" i="13" s="1"/>
  <c r="DP33" i="14"/>
  <c r="AQ33" i="14" s="1"/>
  <c r="N4" i="13"/>
  <c r="CH4" i="14"/>
  <c r="AR4" i="14" s="1"/>
  <c r="AQ6" i="13"/>
  <c r="AX6" i="13"/>
  <c r="BB6" i="13" s="1"/>
  <c r="AS6" i="13"/>
  <c r="AL6" i="13" s="1"/>
  <c r="DP6" i="14"/>
  <c r="AQ6" i="14" s="1"/>
  <c r="DP29" i="14"/>
  <c r="AQ29" i="14" s="1"/>
  <c r="AQ11" i="13"/>
  <c r="AX11" i="13"/>
  <c r="BB11" i="13" s="1"/>
  <c r="AS11" i="13"/>
  <c r="AL11" i="13" s="1"/>
  <c r="DP11" i="14"/>
  <c r="AQ11" i="14" s="1"/>
  <c r="DP41" i="14"/>
  <c r="AQ41" i="14" s="1"/>
  <c r="AS18" i="13"/>
  <c r="AL18" i="13" s="1"/>
  <c r="AQ18" i="13"/>
  <c r="AX18" i="13"/>
  <c r="BB18" i="13" s="1"/>
  <c r="DK18" i="14"/>
  <c r="AS18" i="14" s="1"/>
  <c r="AL18" i="14" s="1"/>
  <c r="AS17" i="13"/>
  <c r="AL17" i="13"/>
  <c r="AQ17" i="13"/>
  <c r="AU17" i="13" s="1"/>
  <c r="AX17" i="13"/>
  <c r="BB17" i="13" s="1"/>
  <c r="DK17" i="14"/>
  <c r="DK40" i="14"/>
  <c r="AS40" i="14" s="1"/>
  <c r="AL40" i="14" s="1"/>
  <c r="DK30" i="14"/>
  <c r="AS30" i="14" s="1"/>
  <c r="AL30" i="14" s="1"/>
  <c r="DK23" i="14"/>
  <c r="AS23" i="14" s="1"/>
  <c r="AL23" i="14" s="1"/>
  <c r="DK7" i="14"/>
  <c r="AS9" i="13"/>
  <c r="AL9" i="13" s="1"/>
  <c r="AQ9" i="13"/>
  <c r="AX9" i="13"/>
  <c r="BB9" i="13" s="1"/>
  <c r="DK9" i="14"/>
  <c r="AS9" i="14" s="1"/>
  <c r="AQ7" i="13"/>
  <c r="AX7" i="13"/>
  <c r="BB7" i="13" s="1"/>
  <c r="AS7" i="13"/>
  <c r="AL7" i="13" s="1"/>
  <c r="DP7" i="14"/>
  <c r="AQ7" i="14" s="1"/>
  <c r="DP36" i="14"/>
  <c r="AQ36" i="14" s="1"/>
  <c r="AQ32" i="13"/>
  <c r="AX32" i="13"/>
  <c r="AS32" i="13"/>
  <c r="AL32" i="13" s="1"/>
  <c r="DP32" i="14"/>
  <c r="AQ32" i="14" s="1"/>
  <c r="AQ28" i="13"/>
  <c r="AX28" i="13"/>
  <c r="AS28" i="13"/>
  <c r="AL28" i="13"/>
  <c r="DP28" i="14"/>
  <c r="AQ28" i="14" s="1"/>
  <c r="AJ28" i="14" s="1"/>
  <c r="AQ23" i="13"/>
  <c r="AX23" i="13"/>
  <c r="BB23" i="13" s="1"/>
  <c r="AS23" i="13"/>
  <c r="AL23" i="13" s="1"/>
  <c r="DP23" i="14"/>
  <c r="AQ23" i="14" s="1"/>
  <c r="AQ25" i="13"/>
  <c r="AX25" i="13"/>
  <c r="BB25" i="13" s="1"/>
  <c r="AS25" i="13"/>
  <c r="AL25" i="13" s="1"/>
  <c r="DP25" i="14"/>
  <c r="AQ25" i="14" s="1"/>
  <c r="AQ30" i="13"/>
  <c r="AX30" i="13"/>
  <c r="BB30" i="13" s="1"/>
  <c r="AS30" i="13"/>
  <c r="AL30" i="13" s="1"/>
  <c r="DP30" i="14"/>
  <c r="AQ30" i="14" s="1"/>
  <c r="AQ31" i="13"/>
  <c r="AX31" i="13"/>
  <c r="AS31" i="13"/>
  <c r="AL31" i="13" s="1"/>
  <c r="DP31" i="14"/>
  <c r="AQ31" i="14" s="1"/>
  <c r="AQ12" i="13"/>
  <c r="AX12" i="13"/>
  <c r="AS12" i="13"/>
  <c r="AL12" i="13" s="1"/>
  <c r="DP12" i="14"/>
  <c r="AQ12" i="14" s="1"/>
  <c r="AS36" i="13"/>
  <c r="AL36" i="13" s="1"/>
  <c r="AQ36" i="13"/>
  <c r="AX36" i="13"/>
  <c r="BB36" i="13" s="1"/>
  <c r="DK36" i="14"/>
  <c r="AS36" i="14" s="1"/>
  <c r="AS27" i="13"/>
  <c r="AL27" i="13" s="1"/>
  <c r="AQ27" i="13"/>
  <c r="AX27" i="13"/>
  <c r="BB27" i="13" s="1"/>
  <c r="DK27" i="14"/>
  <c r="AS27" i="14" s="1"/>
  <c r="AL27" i="14" s="1"/>
  <c r="AS34" i="13"/>
  <c r="AL34" i="13" s="1"/>
  <c r="AQ34" i="13"/>
  <c r="AX34" i="13"/>
  <c r="BB34" i="13" s="1"/>
  <c r="DK34" i="14"/>
  <c r="AS34" i="14" s="1"/>
  <c r="AL34" i="14" s="1"/>
  <c r="DK22" i="14"/>
  <c r="AS22" i="14" s="1"/>
  <c r="AS29" i="13"/>
  <c r="AL29" i="13" s="1"/>
  <c r="AQ29" i="13"/>
  <c r="AX29" i="13"/>
  <c r="DK29" i="14"/>
  <c r="AS29" i="14" s="1"/>
  <c r="AL29" i="14" s="1"/>
  <c r="DP5" i="14"/>
  <c r="AQ5" i="14" s="1"/>
  <c r="AS5" i="13"/>
  <c r="AL5" i="13" s="1"/>
  <c r="AQ5" i="13"/>
  <c r="AX5" i="13"/>
  <c r="BB5" i="13" s="1"/>
  <c r="DK5" i="14"/>
  <c r="AS5" i="14" s="1"/>
  <c r="AS41" i="13"/>
  <c r="AL41" i="13" s="1"/>
  <c r="AQ41" i="13"/>
  <c r="AX41" i="13"/>
  <c r="BB41" i="13" s="1"/>
  <c r="DK41" i="14"/>
  <c r="AS41" i="14" s="1"/>
  <c r="AQ24" i="13"/>
  <c r="AX24" i="13"/>
  <c r="BB24" i="13" s="1"/>
  <c r="AS24" i="13"/>
  <c r="AL24" i="13" s="1"/>
  <c r="DP24" i="14"/>
  <c r="AQ24" i="14" s="1"/>
  <c r="AQ26" i="13"/>
  <c r="AX26" i="13"/>
  <c r="AS26" i="13"/>
  <c r="AL26" i="13" s="1"/>
  <c r="DP26" i="14"/>
  <c r="AQ26" i="14" s="1"/>
  <c r="AQ19" i="13"/>
  <c r="AX19" i="13"/>
  <c r="AS19" i="13"/>
  <c r="AL19" i="13" s="1"/>
  <c r="DP19" i="14"/>
  <c r="AQ19" i="14" s="1"/>
  <c r="DT4" i="14"/>
  <c r="L4" i="14" s="1"/>
  <c r="AQ37" i="13"/>
  <c r="AX37" i="13"/>
  <c r="BB37" i="13" s="1"/>
  <c r="AS37" i="13"/>
  <c r="AL37" i="13" s="1"/>
  <c r="DP37" i="14"/>
  <c r="AQ37" i="14" s="1"/>
  <c r="AQ22" i="13"/>
  <c r="AX22" i="13"/>
  <c r="BB22" i="13" s="1"/>
  <c r="AS22" i="13"/>
  <c r="AL22" i="13" s="1"/>
  <c r="DP22" i="14"/>
  <c r="AQ22" i="14" s="1"/>
  <c r="AT38" i="13"/>
  <c r="AM38" i="13" s="1"/>
  <c r="DZ38" i="14"/>
  <c r="BA38" i="14" s="1"/>
  <c r="AT4" i="13"/>
  <c r="DZ4" i="14"/>
  <c r="BA4" i="14" s="1"/>
  <c r="DW38" i="14"/>
  <c r="AX38" i="14" s="1"/>
  <c r="DW4" i="14"/>
  <c r="AX4" i="14" s="1"/>
  <c r="DW40" i="14"/>
  <c r="AX40" i="14" s="1"/>
  <c r="DK38" i="14"/>
  <c r="DP38" i="14"/>
  <c r="AQ38" i="14" s="1"/>
  <c r="AT40" i="13"/>
  <c r="AM40" i="13" s="1"/>
  <c r="DZ40" i="14"/>
  <c r="BA40" i="14" s="1"/>
  <c r="DE40" i="14"/>
  <c r="AT40" i="14" s="1"/>
  <c r="AQ40" i="13"/>
  <c r="AX40" i="13"/>
  <c r="BB40" i="13" s="1"/>
  <c r="AS40" i="13"/>
  <c r="AL40" i="13" s="1"/>
  <c r="DP40" i="14"/>
  <c r="AQ40" i="14" s="1"/>
  <c r="AX38" i="13"/>
  <c r="BB38" i="13" s="1"/>
  <c r="AS38" i="13"/>
  <c r="AL38" i="13" s="1"/>
  <c r="AQ38" i="13"/>
  <c r="DE38" i="14"/>
  <c r="AT38" i="14" s="1"/>
  <c r="DP4" i="14"/>
  <c r="AQ4" i="14" s="1"/>
  <c r="DK4" i="14"/>
  <c r="AS4" i="14" s="1"/>
  <c r="AX4" i="13"/>
  <c r="AS4" i="13"/>
  <c r="AQ4" i="13"/>
  <c r="DE4" i="14"/>
  <c r="AT4" i="14" s="1"/>
  <c r="AT22" i="14" l="1"/>
  <c r="AK21" i="13"/>
  <c r="AR39" i="14"/>
  <c r="AJ6" i="14"/>
  <c r="AR33" i="14"/>
  <c r="AM17" i="14"/>
  <c r="AM18" i="13"/>
  <c r="AK8" i="13"/>
  <c r="AM12" i="13"/>
  <c r="AJ38" i="13"/>
  <c r="AN38" i="13" s="1"/>
  <c r="AS38" i="14"/>
  <c r="AL38" i="14" s="1"/>
  <c r="BB26" i="13"/>
  <c r="BB12" i="13"/>
  <c r="BB31" i="13"/>
  <c r="AS7" i="14"/>
  <c r="AL7" i="14" s="1"/>
  <c r="AS17" i="14"/>
  <c r="AL17" i="14" s="1"/>
  <c r="AU20" i="13"/>
  <c r="AJ27" i="14"/>
  <c r="BB21" i="13"/>
  <c r="AS11" i="14"/>
  <c r="AL16" i="13"/>
  <c r="AR26" i="14"/>
  <c r="AM14" i="14"/>
  <c r="AM35" i="13"/>
  <c r="AM36" i="13"/>
  <c r="AM21" i="13"/>
  <c r="AM36" i="14"/>
  <c r="AM38" i="14"/>
  <c r="BB38" i="14"/>
  <c r="BB19" i="13"/>
  <c r="BB29" i="13"/>
  <c r="AL36" i="14"/>
  <c r="BB28" i="13"/>
  <c r="BB32" i="13"/>
  <c r="AJ33" i="14"/>
  <c r="AS21" i="14"/>
  <c r="AL21" i="14" s="1"/>
  <c r="BB8" i="13"/>
  <c r="BB16" i="13"/>
  <c r="AT11" i="14"/>
  <c r="AM24" i="13"/>
  <c r="AM31" i="13"/>
  <c r="AT39" i="14"/>
  <c r="AM6" i="13"/>
  <c r="AM34" i="13"/>
  <c r="AM41" i="13"/>
  <c r="AK33" i="13"/>
  <c r="AJ26" i="14"/>
  <c r="AR20" i="14"/>
  <c r="AK20" i="14" s="1"/>
  <c r="AM32" i="13"/>
  <c r="AT7" i="14"/>
  <c r="AM7" i="14" s="1"/>
  <c r="AK29" i="13"/>
  <c r="AK14" i="13"/>
  <c r="AM10" i="14"/>
  <c r="AL28" i="14"/>
  <c r="AM28" i="14"/>
  <c r="AL41" i="14"/>
  <c r="AL14" i="14"/>
  <c r="AK41" i="14"/>
  <c r="AM26" i="14"/>
  <c r="BB28" i="14"/>
  <c r="AM13" i="14"/>
  <c r="BA21" i="14"/>
  <c r="AM21" i="14" s="1"/>
  <c r="AM40" i="14"/>
  <c r="AL11" i="14"/>
  <c r="BB15" i="14"/>
  <c r="BB40" i="14"/>
  <c r="AL25" i="14"/>
  <c r="AM8" i="14"/>
  <c r="AM15" i="14"/>
  <c r="AR28" i="14"/>
  <c r="AK28" i="14" s="1"/>
  <c r="AN28" i="14" s="1"/>
  <c r="BB27" i="14"/>
  <c r="AT20" i="14"/>
  <c r="AM20" i="14" s="1"/>
  <c r="AK25" i="14"/>
  <c r="AR16" i="14"/>
  <c r="AK16" i="14" s="1"/>
  <c r="BB25" i="14"/>
  <c r="AL9" i="14"/>
  <c r="AL12" i="14"/>
  <c r="AK6" i="14"/>
  <c r="AL22" i="14"/>
  <c r="AR40" i="14"/>
  <c r="AK40" i="14" s="1"/>
  <c r="AR23" i="14"/>
  <c r="AR30" i="14"/>
  <c r="AK30" i="14" s="1"/>
  <c r="AS32" i="14"/>
  <c r="AL32" i="14" s="1"/>
  <c r="AM9" i="14"/>
  <c r="AK15" i="14"/>
  <c r="AR21" i="14"/>
  <c r="AK21" i="14" s="1"/>
  <c r="AR37" i="14"/>
  <c r="AK37" i="14" s="1"/>
  <c r="AT41" i="14"/>
  <c r="AM41" i="14" s="1"/>
  <c r="AR22" i="14"/>
  <c r="AK22" i="14" s="1"/>
  <c r="AT23" i="14"/>
  <c r="AM23" i="14" s="1"/>
  <c r="AT25" i="14"/>
  <c r="AT5" i="14"/>
  <c r="AR12" i="14"/>
  <c r="AK12" i="14" s="1"/>
  <c r="AR9" i="14"/>
  <c r="BB26" i="14"/>
  <c r="AU10" i="14"/>
  <c r="AJ10" i="14"/>
  <c r="BB31" i="14"/>
  <c r="BB15" i="13"/>
  <c r="BB5" i="14"/>
  <c r="AG37" i="13"/>
  <c r="BB10" i="14"/>
  <c r="BB13" i="14"/>
  <c r="AK34" i="13"/>
  <c r="AK17" i="13"/>
  <c r="AK15" i="13"/>
  <c r="AK11" i="13"/>
  <c r="AM39" i="14"/>
  <c r="AM19" i="14"/>
  <c r="BB35" i="14"/>
  <c r="AK12" i="13"/>
  <c r="AT27" i="14"/>
  <c r="AM27" i="14" s="1"/>
  <c r="AN27" i="14" s="1"/>
  <c r="AR18" i="14"/>
  <c r="AK18" i="14" s="1"/>
  <c r="AR13" i="14"/>
  <c r="AK13" i="14" s="1"/>
  <c r="AR5" i="14"/>
  <c r="AK5" i="14" s="1"/>
  <c r="AT24" i="14"/>
  <c r="AT31" i="14"/>
  <c r="AM31" i="14" s="1"/>
  <c r="AR34" i="14"/>
  <c r="AK34" i="14" s="1"/>
  <c r="AJ4" i="13"/>
  <c r="AU40" i="13"/>
  <c r="AU10" i="13"/>
  <c r="AU15" i="13"/>
  <c r="AK32" i="14"/>
  <c r="O13" i="14"/>
  <c r="AY42" i="14"/>
  <c r="AK10" i="14"/>
  <c r="BB22" i="14"/>
  <c r="AM22" i="14"/>
  <c r="AK41" i="13"/>
  <c r="AK13" i="13"/>
  <c r="AK9" i="13"/>
  <c r="AT30" i="14"/>
  <c r="AM30" i="14" s="1"/>
  <c r="AK25" i="13"/>
  <c r="AK18" i="13"/>
  <c r="AT34" i="14"/>
  <c r="AM34" i="14" s="1"/>
  <c r="AK5" i="13"/>
  <c r="AK39" i="14"/>
  <c r="AK14" i="14"/>
  <c r="AS42" i="13"/>
  <c r="AL5" i="14"/>
  <c r="AS39" i="14"/>
  <c r="AL39" i="14" s="1"/>
  <c r="AU8" i="13"/>
  <c r="BB37" i="14"/>
  <c r="AK7" i="14"/>
  <c r="AK26" i="14"/>
  <c r="BB11" i="14"/>
  <c r="AR11" i="14"/>
  <c r="AK11" i="14" s="1"/>
  <c r="AM16" i="14"/>
  <c r="AK28" i="13"/>
  <c r="AK26" i="13"/>
  <c r="AK37" i="13"/>
  <c r="AK30" i="13"/>
  <c r="AK23" i="14"/>
  <c r="AR8" i="14"/>
  <c r="AK8" i="14" s="1"/>
  <c r="L42" i="13"/>
  <c r="AZ42" i="13"/>
  <c r="BB4" i="14"/>
  <c r="BB7" i="14"/>
  <c r="BB36" i="14"/>
  <c r="BB6" i="14"/>
  <c r="AM11" i="14"/>
  <c r="AK33" i="14"/>
  <c r="AZ42" i="14"/>
  <c r="BB14" i="14"/>
  <c r="AM37" i="14"/>
  <c r="AM25" i="14"/>
  <c r="AR31" i="14"/>
  <c r="AK31" i="14" s="1"/>
  <c r="AM5" i="14"/>
  <c r="AT33" i="14"/>
  <c r="AM33" i="14" s="1"/>
  <c r="AT18" i="14"/>
  <c r="AM18" i="14" s="1"/>
  <c r="AR17" i="14"/>
  <c r="AK17" i="14" s="1"/>
  <c r="AR36" i="14"/>
  <c r="AK36" i="14" s="1"/>
  <c r="AT6" i="14"/>
  <c r="AM6" i="14" s="1"/>
  <c r="AN6" i="14" s="1"/>
  <c r="AR35" i="14"/>
  <c r="AK35" i="14" s="1"/>
  <c r="AM4" i="14"/>
  <c r="AJ24" i="14"/>
  <c r="AJ37" i="14"/>
  <c r="AN37" i="14" s="1"/>
  <c r="AU37" i="14"/>
  <c r="O4" i="14"/>
  <c r="L42" i="14"/>
  <c r="AA4" i="14"/>
  <c r="AU4" i="14"/>
  <c r="AQ42" i="14"/>
  <c r="AJ4" i="14"/>
  <c r="AU19" i="14"/>
  <c r="AJ19" i="14"/>
  <c r="AJ5" i="14"/>
  <c r="AN5" i="14" s="1"/>
  <c r="AJ12" i="14"/>
  <c r="AN12" i="14" s="1"/>
  <c r="AJ25" i="14"/>
  <c r="AU25" i="14"/>
  <c r="AU23" i="14"/>
  <c r="AJ23" i="14"/>
  <c r="AJ40" i="14"/>
  <c r="AU38" i="14"/>
  <c r="AU37" i="13"/>
  <c r="AJ37" i="13"/>
  <c r="AU19" i="13"/>
  <c r="AJ19" i="13"/>
  <c r="AJ7" i="14"/>
  <c r="AU41" i="14"/>
  <c r="AJ18" i="14"/>
  <c r="O41" i="14"/>
  <c r="AA41" i="14"/>
  <c r="AB41" i="14" s="1"/>
  <c r="AF4" i="14"/>
  <c r="N42" i="14"/>
  <c r="O33" i="14"/>
  <c r="AA33" i="14"/>
  <c r="AB33" i="14" s="1"/>
  <c r="O15" i="14"/>
  <c r="AA15" i="14"/>
  <c r="AB15" i="14" s="1"/>
  <c r="AJ13" i="14"/>
  <c r="O18" i="14"/>
  <c r="AA18" i="14"/>
  <c r="AB18" i="14" s="1"/>
  <c r="O11" i="14"/>
  <c r="AA11" i="14"/>
  <c r="AB11" i="14" s="1"/>
  <c r="O5" i="14"/>
  <c r="AA5" i="14"/>
  <c r="AB5" i="14" s="1"/>
  <c r="O32" i="14"/>
  <c r="AA32" i="14"/>
  <c r="AB32" i="14" s="1"/>
  <c r="AJ41" i="14"/>
  <c r="AN41" i="14" s="1"/>
  <c r="BB41" i="14"/>
  <c r="AX42" i="13"/>
  <c r="BB4" i="13"/>
  <c r="AU22" i="13"/>
  <c r="AJ22" i="13"/>
  <c r="AU29" i="13"/>
  <c r="AJ29" i="13"/>
  <c r="AU36" i="13"/>
  <c r="AJ36" i="13"/>
  <c r="AJ31" i="14"/>
  <c r="AJ30" i="14"/>
  <c r="AN30" i="14" s="1"/>
  <c r="AU28" i="13"/>
  <c r="AJ28" i="13"/>
  <c r="AJ34" i="14"/>
  <c r="AU34" i="14"/>
  <c r="O34" i="14"/>
  <c r="AA34" i="14"/>
  <c r="AB34" i="14" s="1"/>
  <c r="O39" i="14"/>
  <c r="AA39" i="14"/>
  <c r="AB39" i="14" s="1"/>
  <c r="O25" i="14"/>
  <c r="AA25" i="14"/>
  <c r="AB25" i="14" s="1"/>
  <c r="O35" i="14"/>
  <c r="AA35" i="14"/>
  <c r="AB35" i="14" s="1"/>
  <c r="O19" i="14"/>
  <c r="AA19" i="14"/>
  <c r="AB19" i="14" s="1"/>
  <c r="AJ15" i="14"/>
  <c r="AQ42" i="13"/>
  <c r="AU4" i="13"/>
  <c r="AT42" i="13"/>
  <c r="AM4" i="13"/>
  <c r="AU24" i="13"/>
  <c r="AJ24" i="13"/>
  <c r="AU5" i="13"/>
  <c r="AJ5" i="13"/>
  <c r="AU27" i="13"/>
  <c r="AJ27" i="13"/>
  <c r="AU12" i="13"/>
  <c r="AJ12" i="13"/>
  <c r="AN12" i="13" s="1"/>
  <c r="AU25" i="13"/>
  <c r="AJ25" i="13"/>
  <c r="AN25" i="13" s="1"/>
  <c r="AU23" i="13"/>
  <c r="AJ23" i="13"/>
  <c r="AU36" i="14"/>
  <c r="AJ36" i="14"/>
  <c r="AN36" i="14" s="1"/>
  <c r="AJ20" i="14"/>
  <c r="AU9" i="14"/>
  <c r="AJ39" i="14"/>
  <c r="AN39" i="14" s="1"/>
  <c r="O31" i="14"/>
  <c r="AA31" i="14"/>
  <c r="AB31" i="14" s="1"/>
  <c r="AJ8" i="14"/>
  <c r="O9" i="14"/>
  <c r="AA9" i="14"/>
  <c r="AB9" i="14" s="1"/>
  <c r="AJ40" i="13"/>
  <c r="AX42" i="14"/>
  <c r="AL4" i="13"/>
  <c r="AL42" i="13" s="1"/>
  <c r="AL4" i="14"/>
  <c r="AU38" i="13"/>
  <c r="AJ38" i="14"/>
  <c r="AJ22" i="14"/>
  <c r="AN22" i="14" s="1"/>
  <c r="AU26" i="13"/>
  <c r="AJ26" i="13"/>
  <c r="AN26" i="13" s="1"/>
  <c r="AU41" i="13"/>
  <c r="AJ41" i="13"/>
  <c r="AN41" i="13" s="1"/>
  <c r="AU34" i="13"/>
  <c r="AJ34" i="13"/>
  <c r="AN34" i="13" s="1"/>
  <c r="AU31" i="13"/>
  <c r="AJ31" i="13"/>
  <c r="AU30" i="13"/>
  <c r="AJ30" i="13"/>
  <c r="AJ32" i="14"/>
  <c r="AU29" i="14"/>
  <c r="AU17" i="14"/>
  <c r="AJ17" i="14"/>
  <c r="AN17" i="14" s="1"/>
  <c r="O6" i="14"/>
  <c r="AA6" i="14"/>
  <c r="AB6" i="14" s="1"/>
  <c r="O14" i="14"/>
  <c r="AA14" i="14"/>
  <c r="AB14" i="14" s="1"/>
  <c r="O17" i="14"/>
  <c r="AA17" i="14"/>
  <c r="AB17" i="14" s="1"/>
  <c r="O27" i="14"/>
  <c r="AA27" i="14"/>
  <c r="AB27" i="14" s="1"/>
  <c r="AJ16" i="14"/>
  <c r="O28" i="14"/>
  <c r="AA28" i="14"/>
  <c r="AB28" i="14" s="1"/>
  <c r="O10" i="14"/>
  <c r="AA10" i="14"/>
  <c r="AB10" i="14" s="1"/>
  <c r="AU32" i="13"/>
  <c r="AJ32" i="13"/>
  <c r="AU7" i="13"/>
  <c r="AU11" i="13"/>
  <c r="AU6" i="13"/>
  <c r="AJ6" i="13"/>
  <c r="AU33" i="13"/>
  <c r="AJ33" i="13"/>
  <c r="AN33" i="13" s="1"/>
  <c r="AU14" i="13"/>
  <c r="AU21" i="13"/>
  <c r="AU35" i="13"/>
  <c r="AJ35" i="13"/>
  <c r="AJ35" i="14"/>
  <c r="AN35" i="14" s="1"/>
  <c r="O41" i="13"/>
  <c r="AF41" i="13"/>
  <c r="AG41" i="13" s="1"/>
  <c r="AA24" i="14"/>
  <c r="AB24" i="14" s="1"/>
  <c r="AU16" i="13"/>
  <c r="AJ16" i="13"/>
  <c r="AA23" i="14"/>
  <c r="AB23" i="14" s="1"/>
  <c r="AU27" i="14"/>
  <c r="AJ11" i="13"/>
  <c r="AN11" i="13" s="1"/>
  <c r="O7" i="13"/>
  <c r="AF7" i="13"/>
  <c r="AG7" i="13" s="1"/>
  <c r="Z26" i="13"/>
  <c r="AB26" i="13" s="1"/>
  <c r="O26" i="13"/>
  <c r="CI26" i="14" s="1"/>
  <c r="AS26" i="14" s="1"/>
  <c r="AL26" i="14" s="1"/>
  <c r="AM29" i="14"/>
  <c r="AK9" i="14"/>
  <c r="AT32" i="14"/>
  <c r="AM32" i="14" s="1"/>
  <c r="AM24" i="14"/>
  <c r="AU9" i="13"/>
  <c r="AJ9" i="13"/>
  <c r="AN9" i="13" s="1"/>
  <c r="O4" i="13"/>
  <c r="N42" i="13"/>
  <c r="AF4" i="13"/>
  <c r="AJ11" i="14"/>
  <c r="AU39" i="13"/>
  <c r="AJ39" i="13"/>
  <c r="AJ8" i="13"/>
  <c r="AN8" i="13" s="1"/>
  <c r="AJ15" i="13"/>
  <c r="AN15" i="13" s="1"/>
  <c r="AJ17" i="13"/>
  <c r="AN17" i="13" s="1"/>
  <c r="O32" i="13"/>
  <c r="AF32" i="13"/>
  <c r="AG32" i="13" s="1"/>
  <c r="AR42" i="13"/>
  <c r="AK4" i="13"/>
  <c r="AJ20" i="13"/>
  <c r="O33" i="13"/>
  <c r="AF33" i="13"/>
  <c r="AG33" i="13" s="1"/>
  <c r="AJ7" i="13"/>
  <c r="AJ29" i="14"/>
  <c r="AN29" i="14" s="1"/>
  <c r="AK4" i="14"/>
  <c r="AU33" i="14"/>
  <c r="AJ9" i="14"/>
  <c r="AJ14" i="14"/>
  <c r="AU21" i="14"/>
  <c r="AA22" i="14"/>
  <c r="AB22" i="14" s="1"/>
  <c r="AA7" i="14"/>
  <c r="AB7" i="14" s="1"/>
  <c r="AJ10" i="13"/>
  <c r="AN10" i="13" s="1"/>
  <c r="AA29" i="14"/>
  <c r="AB29" i="14" s="1"/>
  <c r="AA16" i="14"/>
  <c r="AB16" i="14" s="1"/>
  <c r="AA8" i="14"/>
  <c r="AB8" i="14" s="1"/>
  <c r="AU13" i="13"/>
  <c r="AJ13" i="13"/>
  <c r="AN13" i="13" s="1"/>
  <c r="AA13" i="14"/>
  <c r="AB13" i="14" s="1"/>
  <c r="AA30" i="14"/>
  <c r="AB30" i="14" s="1"/>
  <c r="AJ14" i="13"/>
  <c r="AN14" i="13" s="1"/>
  <c r="AJ21" i="13"/>
  <c r="AN21" i="13" s="1"/>
  <c r="O10" i="13"/>
  <c r="AF10" i="13"/>
  <c r="AG10" i="13" s="1"/>
  <c r="AA20" i="14"/>
  <c r="AB20" i="14" s="1"/>
  <c r="AA12" i="14"/>
  <c r="AB12" i="14" s="1"/>
  <c r="AU18" i="13"/>
  <c r="AJ18" i="13"/>
  <c r="O11" i="13"/>
  <c r="AF11" i="13"/>
  <c r="AG11" i="13" s="1"/>
  <c r="AK16" i="13"/>
  <c r="AK7" i="13"/>
  <c r="AK24" i="13"/>
  <c r="O17" i="13"/>
  <c r="AF17" i="13"/>
  <c r="AG17" i="13" s="1"/>
  <c r="AK40" i="13"/>
  <c r="AK39" i="13"/>
  <c r="AK35" i="13"/>
  <c r="AK31" i="13"/>
  <c r="AK19" i="13"/>
  <c r="AK23" i="13"/>
  <c r="AK27" i="13"/>
  <c r="O25" i="13"/>
  <c r="AF25" i="13"/>
  <c r="AG25" i="13" s="1"/>
  <c r="O18" i="13"/>
  <c r="AF18" i="13"/>
  <c r="AG18" i="13" s="1"/>
  <c r="BB9" i="14"/>
  <c r="BB18" i="14"/>
  <c r="BB23" i="14"/>
  <c r="M42" i="14"/>
  <c r="AE21" i="14"/>
  <c r="AB37" i="13"/>
  <c r="G42" i="14"/>
  <c r="O21" i="14"/>
  <c r="V21" i="14"/>
  <c r="O29" i="13"/>
  <c r="AF29" i="13"/>
  <c r="AG29" i="13" s="1"/>
  <c r="O19" i="13"/>
  <c r="AF19" i="13"/>
  <c r="AG19" i="13" s="1"/>
  <c r="AK32" i="13"/>
  <c r="AK20" i="13"/>
  <c r="AK22" i="13"/>
  <c r="AK36" i="13"/>
  <c r="Z40" i="13"/>
  <c r="AB40" i="13" s="1"/>
  <c r="O40" i="13"/>
  <c r="O39" i="13"/>
  <c r="AF39" i="13"/>
  <c r="AG39" i="13" s="1"/>
  <c r="O23" i="13"/>
  <c r="AF23" i="13"/>
  <c r="AG23" i="13" s="1"/>
  <c r="O38" i="14"/>
  <c r="AA38" i="14"/>
  <c r="AB38" i="14" s="1"/>
  <c r="BB16" i="14"/>
  <c r="BB30" i="14"/>
  <c r="BB32" i="14"/>
  <c r="AG37" i="14"/>
  <c r="O28" i="13"/>
  <c r="AF28" i="13"/>
  <c r="AG28" i="13" s="1"/>
  <c r="O22" i="13"/>
  <c r="AF22" i="13"/>
  <c r="AG22" i="13" s="1"/>
  <c r="Z36" i="13"/>
  <c r="AB36" i="13" s="1"/>
  <c r="O36" i="13"/>
  <c r="AY42" i="13"/>
  <c r="AA4" i="13"/>
  <c r="O36" i="14"/>
  <c r="AG24" i="13"/>
  <c r="AG16" i="13"/>
  <c r="O40" i="14"/>
  <c r="AA40" i="14"/>
  <c r="AB40" i="14" s="1"/>
  <c r="BB19" i="14"/>
  <c r="BB39" i="14"/>
  <c r="K42" i="14"/>
  <c r="Z21" i="14"/>
  <c r="Z42" i="14" s="1"/>
  <c r="AG21" i="13"/>
  <c r="O30" i="13"/>
  <c r="AF30" i="13"/>
  <c r="AG30" i="13" s="1"/>
  <c r="O13" i="13"/>
  <c r="CI13" i="14" s="1"/>
  <c r="AS13" i="14" s="1"/>
  <c r="AL13" i="14" s="1"/>
  <c r="AF13" i="13"/>
  <c r="AG13" i="13" s="1"/>
  <c r="O9" i="13"/>
  <c r="AF9" i="13"/>
  <c r="AG9" i="13" s="1"/>
  <c r="O27" i="13"/>
  <c r="O26" i="14"/>
  <c r="AA26" i="14"/>
  <c r="AB26" i="14" s="1"/>
  <c r="BB17" i="14"/>
  <c r="BB21" i="14"/>
  <c r="BB29" i="14"/>
  <c r="O37" i="14"/>
  <c r="V37" i="14"/>
  <c r="AB37" i="14" s="1"/>
  <c r="O24" i="13"/>
  <c r="CI24" i="14" s="1"/>
  <c r="AS24" i="14" s="1"/>
  <c r="AL24" i="14" s="1"/>
  <c r="O21" i="13"/>
  <c r="G42" i="13"/>
  <c r="O37" i="13"/>
  <c r="AG12" i="13"/>
  <c r="O16" i="13"/>
  <c r="CI16" i="14" s="1"/>
  <c r="AS16" i="14" s="1"/>
  <c r="AL16" i="14" s="1"/>
  <c r="O12" i="13"/>
  <c r="V21" i="13"/>
  <c r="AU5" i="14" l="1"/>
  <c r="AN21" i="14"/>
  <c r="AN34" i="14"/>
  <c r="AU6" i="14"/>
  <c r="AU28" i="14"/>
  <c r="AN38" i="14"/>
  <c r="AU39" i="14"/>
  <c r="AN29" i="13"/>
  <c r="BB42" i="13"/>
  <c r="AU7" i="14"/>
  <c r="AN40" i="14"/>
  <c r="AK42" i="14"/>
  <c r="AN14" i="14"/>
  <c r="AN6" i="13"/>
  <c r="AN30" i="13"/>
  <c r="AN5" i="13"/>
  <c r="AM42" i="13"/>
  <c r="AN31" i="14"/>
  <c r="AN7" i="14"/>
  <c r="AU40" i="14"/>
  <c r="AN11" i="14"/>
  <c r="AN18" i="13"/>
  <c r="AN26" i="14"/>
  <c r="AN28" i="13"/>
  <c r="AU22" i="14"/>
  <c r="AN23" i="14"/>
  <c r="AU12" i="14"/>
  <c r="AN19" i="14"/>
  <c r="BA42" i="14"/>
  <c r="AN33" i="14"/>
  <c r="BB42" i="14"/>
  <c r="AU30" i="14"/>
  <c r="AN10" i="14"/>
  <c r="AU31" i="14"/>
  <c r="AU18" i="14"/>
  <c r="AN37" i="13"/>
  <c r="AR42" i="14"/>
  <c r="AN9" i="14"/>
  <c r="AN18" i="14"/>
  <c r="AN25" i="14"/>
  <c r="AU35" i="14"/>
  <c r="AU11" i="14"/>
  <c r="AN20" i="13"/>
  <c r="AG4" i="13"/>
  <c r="AF42" i="13"/>
  <c r="AN16" i="13"/>
  <c r="AN32" i="13"/>
  <c r="AG4" i="14"/>
  <c r="AF42" i="14"/>
  <c r="AB4" i="14"/>
  <c r="AA42" i="14"/>
  <c r="AM42" i="14"/>
  <c r="AN7" i="13"/>
  <c r="AK42" i="13"/>
  <c r="AN39" i="13"/>
  <c r="AN40" i="13"/>
  <c r="AN27" i="13"/>
  <c r="AN24" i="13"/>
  <c r="AN13" i="14"/>
  <c r="AU32" i="14"/>
  <c r="AJ42" i="14"/>
  <c r="AN4" i="14"/>
  <c r="AU24" i="14"/>
  <c r="AT42" i="14"/>
  <c r="V42" i="13"/>
  <c r="AB21" i="13"/>
  <c r="AB4" i="13"/>
  <c r="AA42" i="13"/>
  <c r="V42" i="14"/>
  <c r="AB21" i="14"/>
  <c r="AE42" i="14"/>
  <c r="AG21" i="14"/>
  <c r="AN35" i="13"/>
  <c r="AU16" i="14"/>
  <c r="AU42" i="13"/>
  <c r="AN36" i="13"/>
  <c r="AU26" i="14"/>
  <c r="AU13" i="14"/>
  <c r="AN19" i="13"/>
  <c r="O42" i="14"/>
  <c r="AN43" i="14" s="1"/>
  <c r="AN24" i="14"/>
  <c r="AN4" i="13"/>
  <c r="AN16" i="14"/>
  <c r="AN32" i="14"/>
  <c r="AN31" i="13"/>
  <c r="AN23" i="13"/>
  <c r="AN22" i="13"/>
  <c r="AJ42" i="13"/>
  <c r="AN42" i="13" l="1"/>
  <c r="AB42" i="14"/>
  <c r="AG42" i="14"/>
  <c r="BB43" i="14" s="1"/>
  <c r="AU43" i="14" l="1"/>
  <c r="O43" i="14"/>
  <c r="K5" i="13"/>
  <c r="Z5" i="13" s="1"/>
  <c r="K6" i="13"/>
  <c r="Z6" i="13" s="1"/>
  <c r="AB6" i="13" s="1"/>
  <c r="K8" i="13"/>
  <c r="Z8" i="13" s="1"/>
  <c r="AB8" i="13" s="1"/>
  <c r="K14" i="13"/>
  <c r="Z14" i="13" s="1"/>
  <c r="AB14" i="13" s="1"/>
  <c r="K15" i="13"/>
  <c r="Z15" i="13" s="1"/>
  <c r="AB15" i="13" s="1"/>
  <c r="K20" i="13"/>
  <c r="Z20" i="13" s="1"/>
  <c r="AB20" i="13" s="1"/>
  <c r="K31" i="13"/>
  <c r="Z31" i="13"/>
  <c r="AB31" i="13" s="1"/>
  <c r="K34" i="13"/>
  <c r="Z34" i="13" s="1"/>
  <c r="AB34" i="13" s="1"/>
  <c r="K35" i="13"/>
  <c r="Z35" i="13" s="1"/>
  <c r="AB35" i="13" s="1"/>
  <c r="K38" i="13"/>
  <c r="Z38" i="13" s="1"/>
  <c r="AB38" i="13" s="1"/>
  <c r="M5" i="13"/>
  <c r="CI8" i="14"/>
  <c r="AS8" i="14" s="1"/>
  <c r="CI15" i="14"/>
  <c r="AS15" i="14" s="1"/>
  <c r="CI20" i="14"/>
  <c r="AS20" i="14" s="1"/>
  <c r="AE5" i="13"/>
  <c r="AG5" i="13" s="1"/>
  <c r="M6" i="13"/>
  <c r="AE6" i="13"/>
  <c r="AG6" i="13" s="1"/>
  <c r="M8" i="13"/>
  <c r="AE8" i="13" s="1"/>
  <c r="M14" i="13"/>
  <c r="AE14" i="13" s="1"/>
  <c r="AG14" i="13" s="1"/>
  <c r="M15" i="13"/>
  <c r="AE15" i="13" s="1"/>
  <c r="AG15" i="13" s="1"/>
  <c r="M20" i="13"/>
  <c r="AE20" i="13" s="1"/>
  <c r="AG20" i="13" s="1"/>
  <c r="M31" i="13"/>
  <c r="AE31" i="13" s="1"/>
  <c r="AG31" i="13" s="1"/>
  <c r="M34" i="13"/>
  <c r="AE34" i="13" s="1"/>
  <c r="AG34" i="13" s="1"/>
  <c r="M35" i="13"/>
  <c r="AE35" i="13" s="1"/>
  <c r="AG35" i="13" s="1"/>
  <c r="M38" i="13"/>
  <c r="AE38" i="13" s="1"/>
  <c r="AG38" i="13" s="1"/>
  <c r="O5" i="13"/>
  <c r="O6" i="13"/>
  <c r="O8" i="13"/>
  <c r="O15" i="13"/>
  <c r="O20" i="13"/>
  <c r="O38" i="13"/>
  <c r="O35" i="13" l="1"/>
  <c r="O34" i="13"/>
  <c r="M42" i="13"/>
  <c r="O14" i="13"/>
  <c r="K42" i="13"/>
  <c r="O31" i="13"/>
  <c r="O42" i="13" s="1"/>
  <c r="AN43" i="13" s="1"/>
  <c r="AL20" i="14"/>
  <c r="AN20" i="14" s="1"/>
  <c r="AU20" i="14"/>
  <c r="AL15" i="14"/>
  <c r="AN15" i="14" s="1"/>
  <c r="AU15" i="14"/>
  <c r="AL8" i="14"/>
  <c r="AU8" i="14"/>
  <c r="AS42" i="14"/>
  <c r="AG8" i="13"/>
  <c r="AG42" i="13" s="1"/>
  <c r="BB43" i="13" s="1"/>
  <c r="AE42" i="13"/>
  <c r="AB5" i="13"/>
  <c r="AB42" i="13" s="1"/>
  <c r="Z42" i="13"/>
  <c r="AN8" i="14"/>
  <c r="AU42" i="14" l="1"/>
  <c r="AL42" i="14"/>
  <c r="AN42" i="14"/>
  <c r="O43" i="13"/>
  <c r="AU43" i="13"/>
  <c r="BA4" i="15"/>
  <c r="AZ4" i="15"/>
  <c r="L4" i="15"/>
  <c r="AA4" i="15" s="1"/>
  <c r="AB4" i="15" s="1"/>
  <c r="BA35" i="15"/>
  <c r="BA31" i="15"/>
  <c r="BA27" i="15"/>
  <c r="BA23" i="15"/>
  <c r="BA15" i="15"/>
  <c r="BA8" i="15"/>
  <c r="AZ9" i="15"/>
  <c r="AZ38" i="15"/>
  <c r="AZ34" i="15"/>
  <c r="AZ30" i="15"/>
  <c r="AZ26" i="15"/>
  <c r="AZ12" i="15"/>
  <c r="BA41" i="15"/>
  <c r="BA13" i="15"/>
  <c r="AZ22" i="15"/>
  <c r="AZ18" i="15"/>
  <c r="AZ13" i="15"/>
  <c r="BA38" i="15"/>
  <c r="BA34" i="15"/>
  <c r="BA30" i="15"/>
  <c r="BA26" i="15"/>
  <c r="BA22" i="15"/>
  <c r="BA19" i="15"/>
  <c r="BA12" i="15"/>
  <c r="AZ8" i="15"/>
  <c r="AZ41" i="15"/>
  <c r="AZ37" i="15"/>
  <c r="AZ33" i="15"/>
  <c r="AZ29" i="15"/>
  <c r="AZ25" i="15"/>
  <c r="AZ11" i="15"/>
  <c r="BA40" i="15"/>
  <c r="BA9" i="15"/>
  <c r="AZ21" i="15"/>
  <c r="AZ17" i="15"/>
  <c r="BA33" i="15"/>
  <c r="BA29" i="15"/>
  <c r="BA25" i="15"/>
  <c r="BA21" i="15"/>
  <c r="BA18" i="15"/>
  <c r="BA11" i="15"/>
  <c r="BA7" i="15"/>
  <c r="AZ6" i="15"/>
  <c r="AZ40" i="15"/>
  <c r="AZ36" i="15"/>
  <c r="AZ32" i="15"/>
  <c r="AZ28" i="15"/>
  <c r="AZ24" i="15"/>
  <c r="AZ7" i="15"/>
  <c r="BA17" i="15"/>
  <c r="BA6" i="15"/>
  <c r="AZ20" i="15"/>
  <c r="AZ15" i="15"/>
  <c r="BA39" i="15"/>
  <c r="BA37" i="15"/>
  <c r="BA36" i="15"/>
  <c r="BA32" i="15"/>
  <c r="BA28" i="15"/>
  <c r="BA24" i="15"/>
  <c r="BA20" i="15"/>
  <c r="BA16" i="15"/>
  <c r="BA10" i="15"/>
  <c r="AZ10" i="15"/>
  <c r="AZ39" i="15"/>
  <c r="AZ35" i="15"/>
  <c r="AZ31" i="15"/>
  <c r="AZ27" i="15"/>
  <c r="AZ16" i="15"/>
  <c r="AZ5" i="15"/>
  <c r="BA14" i="15"/>
  <c r="BA5" i="15"/>
  <c r="AZ23" i="15"/>
  <c r="AZ19" i="15"/>
  <c r="AZ14" i="15"/>
  <c r="L6" i="15"/>
  <c r="AA6" i="15" s="1"/>
  <c r="L8" i="15"/>
  <c r="AA8" i="15" s="1"/>
  <c r="L9" i="15"/>
  <c r="AA9" i="15" s="1"/>
  <c r="L10" i="15"/>
  <c r="AA10" i="15" s="1"/>
  <c r="L14" i="15"/>
  <c r="AA14" i="15" s="1"/>
  <c r="L15" i="15"/>
  <c r="AA15" i="15" s="1"/>
  <c r="L16" i="15"/>
  <c r="AA16" i="15" s="1"/>
  <c r="L17" i="15"/>
  <c r="AA17" i="15" s="1"/>
  <c r="L18" i="15"/>
  <c r="AA18" i="15" s="1"/>
  <c r="L22" i="15"/>
  <c r="AA22" i="15" s="1"/>
  <c r="L23" i="15"/>
  <c r="AA23" i="15" s="1"/>
  <c r="L24" i="15"/>
  <c r="AA24" i="15" s="1"/>
  <c r="L36" i="15"/>
  <c r="AA36" i="15" s="1"/>
  <c r="L38" i="15"/>
  <c r="AA38" i="15" s="1"/>
  <c r="L40" i="15"/>
  <c r="AA40" i="15" s="1"/>
  <c r="L41" i="15"/>
  <c r="AA41" i="15" s="1"/>
  <c r="L5" i="15"/>
  <c r="AA5" i="15" s="1"/>
  <c r="L13" i="15"/>
  <c r="AA13" i="15" s="1"/>
  <c r="L19" i="15"/>
  <c r="AA19" i="15" s="1"/>
  <c r="L20" i="15"/>
  <c r="AA20" i="15" s="1"/>
  <c r="L21" i="15"/>
  <c r="AA21" i="15" s="1"/>
  <c r="L25" i="15"/>
  <c r="AA25" i="15" s="1"/>
  <c r="L26" i="15"/>
  <c r="AA26" i="15" s="1"/>
  <c r="L27" i="15"/>
  <c r="AA27" i="15" s="1"/>
  <c r="L28" i="15"/>
  <c r="AA28" i="15" s="1"/>
  <c r="L29" i="15"/>
  <c r="AA29" i="15" s="1"/>
  <c r="L30" i="15"/>
  <c r="AA30" i="15" s="1"/>
  <c r="L31" i="15"/>
  <c r="AA31" i="15" s="1"/>
  <c r="L32" i="15"/>
  <c r="AA32" i="15" s="1"/>
  <c r="L33" i="15"/>
  <c r="AA33" i="15" s="1"/>
  <c r="L34" i="15"/>
  <c r="AA34" i="15" s="1"/>
  <c r="L35" i="15"/>
  <c r="AA35" i="15" s="1"/>
  <c r="L37" i="15"/>
  <c r="AA37" i="15" s="1"/>
  <c r="L7" i="15"/>
  <c r="AA7" i="15" s="1"/>
  <c r="L11" i="15"/>
  <c r="AA11" i="15" s="1"/>
  <c r="L12" i="15"/>
  <c r="AA12" i="15" s="1"/>
  <c r="L39" i="15"/>
  <c r="AA39" i="15" s="1"/>
  <c r="AT7" i="15"/>
  <c r="AM7" i="15" s="1"/>
  <c r="AY22" i="15"/>
  <c r="AT8" i="15"/>
  <c r="AM8" i="15" s="1"/>
  <c r="AT12" i="15"/>
  <c r="AT11" i="15"/>
  <c r="AM11" i="15" s="1"/>
  <c r="AT5" i="15"/>
  <c r="AT9" i="15"/>
  <c r="AM9" i="15" s="1"/>
  <c r="AT6" i="15"/>
  <c r="AM6" i="15" s="1"/>
  <c r="AT10" i="15"/>
  <c r="AM10" i="15" s="1"/>
  <c r="AT15" i="15"/>
  <c r="AM15" i="15" s="1"/>
  <c r="AY24" i="15"/>
  <c r="AY5" i="15"/>
  <c r="AR5" i="15"/>
  <c r="AY6" i="15"/>
  <c r="AR6" i="15"/>
  <c r="AK6" i="15" s="1"/>
  <c r="AY7" i="15"/>
  <c r="AR7" i="15"/>
  <c r="AY8" i="15"/>
  <c r="AR8" i="15"/>
  <c r="AK8" i="15" s="1"/>
  <c r="AY9" i="15"/>
  <c r="AR9" i="15"/>
  <c r="AY10" i="15"/>
  <c r="AR10" i="15"/>
  <c r="AK10" i="15" s="1"/>
  <c r="AY11" i="15"/>
  <c r="AR11" i="15"/>
  <c r="AY12" i="15"/>
  <c r="AT13" i="15"/>
  <c r="AM13" i="15" s="1"/>
  <c r="AT14" i="15"/>
  <c r="AM14" i="15" s="1"/>
  <c r="AT16" i="15"/>
  <c r="AM16" i="15" s="1"/>
  <c r="AX5" i="15"/>
  <c r="AS5" i="15"/>
  <c r="AL5" i="15" s="1"/>
  <c r="AQ5" i="15"/>
  <c r="AU5" i="15" s="1"/>
  <c r="N5" i="15"/>
  <c r="AF5" i="15"/>
  <c r="AX6" i="15"/>
  <c r="BB6" i="15" s="1"/>
  <c r="AS6" i="15"/>
  <c r="AL6" i="15" s="1"/>
  <c r="AQ6" i="15"/>
  <c r="N6" i="15"/>
  <c r="AF6" i="15" s="1"/>
  <c r="AX7" i="15"/>
  <c r="BB7" i="15" s="1"/>
  <c r="AS7" i="15"/>
  <c r="AL7" i="15" s="1"/>
  <c r="AQ7" i="15"/>
  <c r="N7" i="15"/>
  <c r="AF7" i="15"/>
  <c r="AX8" i="15"/>
  <c r="BB8" i="15" s="1"/>
  <c r="AS8" i="15"/>
  <c r="AL8" i="15" s="1"/>
  <c r="AQ8" i="15"/>
  <c r="N8" i="15"/>
  <c r="AF8" i="15" s="1"/>
  <c r="AX9" i="15"/>
  <c r="BB9" i="15" s="1"/>
  <c r="AS9" i="15"/>
  <c r="AQ9" i="15"/>
  <c r="N9" i="15"/>
  <c r="AF9" i="15" s="1"/>
  <c r="AX10" i="15"/>
  <c r="BB10" i="15" s="1"/>
  <c r="AS10" i="15"/>
  <c r="AQ10" i="15"/>
  <c r="N10" i="15"/>
  <c r="AF10" i="15" s="1"/>
  <c r="N11" i="15"/>
  <c r="AF11" i="15" s="1"/>
  <c r="AX11" i="15"/>
  <c r="AS11" i="15"/>
  <c r="AQ11" i="15"/>
  <c r="AY26" i="15"/>
  <c r="AR24" i="15"/>
  <c r="AR26" i="15"/>
  <c r="AT17" i="15"/>
  <c r="AM17" i="15" s="1"/>
  <c r="AT18" i="15"/>
  <c r="AM18" i="15" s="1"/>
  <c r="AT19" i="15"/>
  <c r="AT20" i="15"/>
  <c r="AT21" i="15"/>
  <c r="AM21" i="15" s="1"/>
  <c r="AT22" i="15"/>
  <c r="AM22" i="15" s="1"/>
  <c r="AY23" i="15"/>
  <c r="AY25" i="15"/>
  <c r="AX12" i="15"/>
  <c r="AS12" i="15"/>
  <c r="AL12" i="15" s="1"/>
  <c r="AQ12" i="15"/>
  <c r="N12" i="15"/>
  <c r="AF12" i="15" s="1"/>
  <c r="AR12" i="15"/>
  <c r="AK12" i="15" s="1"/>
  <c r="AY13" i="15"/>
  <c r="AX13" i="15"/>
  <c r="AS13" i="15"/>
  <c r="AL13" i="15" s="1"/>
  <c r="AQ13" i="15"/>
  <c r="N13" i="15"/>
  <c r="AF13" i="15" s="1"/>
  <c r="AR13" i="15"/>
  <c r="AY14" i="15"/>
  <c r="AX14" i="15"/>
  <c r="BB14" i="15" s="1"/>
  <c r="AS14" i="15"/>
  <c r="AL14" i="15" s="1"/>
  <c r="AQ14" i="15"/>
  <c r="N14" i="15"/>
  <c r="AF14" i="15" s="1"/>
  <c r="AR14" i="15"/>
  <c r="AK14" i="15" s="1"/>
  <c r="AY15" i="15"/>
  <c r="AX15" i="15"/>
  <c r="AS15" i="15"/>
  <c r="AL15" i="15" s="1"/>
  <c r="AQ15" i="15"/>
  <c r="AU15" i="15" s="1"/>
  <c r="N15" i="15"/>
  <c r="AF15" i="15" s="1"/>
  <c r="AR15" i="15"/>
  <c r="AY16" i="15"/>
  <c r="AX16" i="15"/>
  <c r="AS16" i="15"/>
  <c r="AL16" i="15" s="1"/>
  <c r="AQ16" i="15"/>
  <c r="N16" i="15"/>
  <c r="AF16" i="15" s="1"/>
  <c r="AR16" i="15"/>
  <c r="AK16" i="15" s="1"/>
  <c r="AY17" i="15"/>
  <c r="AX17" i="15"/>
  <c r="AS17" i="15"/>
  <c r="AQ17" i="15"/>
  <c r="N17" i="15"/>
  <c r="AF17" i="15" s="1"/>
  <c r="AR17" i="15"/>
  <c r="AY18" i="15"/>
  <c r="AX18" i="15"/>
  <c r="AS18" i="15"/>
  <c r="AL18" i="15" s="1"/>
  <c r="AQ18" i="15"/>
  <c r="N18" i="15"/>
  <c r="AF18" i="15" s="1"/>
  <c r="AR18" i="15"/>
  <c r="AK18" i="15" s="1"/>
  <c r="AY19" i="15"/>
  <c r="AX19" i="15"/>
  <c r="AS19" i="15"/>
  <c r="AL19" i="15" s="1"/>
  <c r="AQ19" i="15"/>
  <c r="N19" i="15"/>
  <c r="AF19" i="15" s="1"/>
  <c r="AR19" i="15"/>
  <c r="AY20" i="15"/>
  <c r="N20" i="15"/>
  <c r="AF20" i="15" s="1"/>
  <c r="AR20" i="15"/>
  <c r="AK20" i="15" s="1"/>
  <c r="AX20" i="15"/>
  <c r="AS20" i="15"/>
  <c r="AQ20" i="15"/>
  <c r="AY21" i="15"/>
  <c r="AX21" i="15"/>
  <c r="AS21" i="15"/>
  <c r="AL21" i="15" s="1"/>
  <c r="AQ21" i="15"/>
  <c r="AU21" i="15" s="1"/>
  <c r="N21" i="15"/>
  <c r="AF21" i="15" s="1"/>
  <c r="AR21" i="15"/>
  <c r="AX22" i="15"/>
  <c r="AS22" i="15"/>
  <c r="AL22" i="15" s="1"/>
  <c r="AQ22" i="15"/>
  <c r="N22" i="15"/>
  <c r="AF22" i="15" s="1"/>
  <c r="AR22" i="15"/>
  <c r="AK22" i="15" s="1"/>
  <c r="N23" i="15"/>
  <c r="AF23" i="15" s="1"/>
  <c r="AR23" i="15"/>
  <c r="AK23" i="15" s="1"/>
  <c r="N24" i="15"/>
  <c r="AF24" i="15" s="1"/>
  <c r="N25" i="15"/>
  <c r="AF25" i="15" s="1"/>
  <c r="AR25" i="15"/>
  <c r="AK25" i="15" s="1"/>
  <c r="N26" i="15"/>
  <c r="AF26" i="15" s="1"/>
  <c r="AY37" i="15"/>
  <c r="AT23" i="15"/>
  <c r="AX23" i="15"/>
  <c r="BB23" i="15" s="1"/>
  <c r="AS23" i="15"/>
  <c r="AQ23" i="15"/>
  <c r="AT24" i="15"/>
  <c r="AM24" i="15" s="1"/>
  <c r="AX24" i="15"/>
  <c r="AS24" i="15"/>
  <c r="AQ24" i="15"/>
  <c r="AT25" i="15"/>
  <c r="AM25" i="15" s="1"/>
  <c r="AX25" i="15"/>
  <c r="AS25" i="15"/>
  <c r="AL25" i="15" s="1"/>
  <c r="AQ25" i="15"/>
  <c r="AT26" i="15"/>
  <c r="AM26" i="15" s="1"/>
  <c r="AX26" i="15"/>
  <c r="AS26" i="15"/>
  <c r="AL26" i="15" s="1"/>
  <c r="AQ26" i="15"/>
  <c r="AT27" i="15"/>
  <c r="AT28" i="15"/>
  <c r="AT29" i="15"/>
  <c r="AM29" i="15" s="1"/>
  <c r="AT30" i="15"/>
  <c r="AM30" i="15" s="1"/>
  <c r="AT31" i="15"/>
  <c r="AM31" i="15" s="1"/>
  <c r="AT33" i="15"/>
  <c r="AY40" i="15"/>
  <c r="AR40" i="15"/>
  <c r="AY27" i="15"/>
  <c r="AX27" i="15"/>
  <c r="AS27" i="15"/>
  <c r="AL27" i="15" s="1"/>
  <c r="AQ27" i="15"/>
  <c r="N27" i="15"/>
  <c r="AF27" i="15" s="1"/>
  <c r="AR27" i="15"/>
  <c r="AY28" i="15"/>
  <c r="AX28" i="15"/>
  <c r="AS28" i="15"/>
  <c r="AQ28" i="15"/>
  <c r="N28" i="15"/>
  <c r="AF28" i="15" s="1"/>
  <c r="AR28" i="15"/>
  <c r="AY29" i="15"/>
  <c r="AX29" i="15"/>
  <c r="BB29" i="15" s="1"/>
  <c r="AS29" i="15"/>
  <c r="AL29" i="15" s="1"/>
  <c r="AQ29" i="15"/>
  <c r="N29" i="15"/>
  <c r="AF29" i="15" s="1"/>
  <c r="AR29" i="15"/>
  <c r="AY30" i="15"/>
  <c r="AX30" i="15"/>
  <c r="AS30" i="15"/>
  <c r="AL30" i="15" s="1"/>
  <c r="AQ30" i="15"/>
  <c r="N30" i="15"/>
  <c r="AF30" i="15" s="1"/>
  <c r="AR30" i="15"/>
  <c r="AY31" i="15"/>
  <c r="AT32" i="15"/>
  <c r="AM32" i="15" s="1"/>
  <c r="AT34" i="15"/>
  <c r="AM34" i="15" s="1"/>
  <c r="AY35" i="15"/>
  <c r="AT36" i="15"/>
  <c r="AR37" i="15"/>
  <c r="AK37" i="15" s="1"/>
  <c r="AR41" i="15"/>
  <c r="AK41" i="15" s="1"/>
  <c r="AY41" i="15"/>
  <c r="AT35" i="15"/>
  <c r="AM35" i="15" s="1"/>
  <c r="AR35" i="15"/>
  <c r="AK35" i="15" s="1"/>
  <c r="AR36" i="15"/>
  <c r="AK36" i="15" s="1"/>
  <c r="AY36" i="15"/>
  <c r="AT37" i="15"/>
  <c r="AY38" i="15"/>
  <c r="AR38" i="15"/>
  <c r="AX31" i="15"/>
  <c r="AS31" i="15"/>
  <c r="AL31" i="15" s="1"/>
  <c r="AQ31" i="15"/>
  <c r="N31" i="15"/>
  <c r="AF31" i="15" s="1"/>
  <c r="AR31" i="15"/>
  <c r="AY32" i="15"/>
  <c r="AX32" i="15"/>
  <c r="AS32" i="15"/>
  <c r="AL32" i="15" s="1"/>
  <c r="AQ32" i="15"/>
  <c r="N32" i="15"/>
  <c r="AF32" i="15" s="1"/>
  <c r="AR32" i="15"/>
  <c r="AK32" i="15" s="1"/>
  <c r="AY33" i="15"/>
  <c r="AX33" i="15"/>
  <c r="AS33" i="15"/>
  <c r="AQ33" i="15"/>
  <c r="N33" i="15"/>
  <c r="AF33" i="15" s="1"/>
  <c r="AR33" i="15"/>
  <c r="AY34" i="15"/>
  <c r="N34" i="15"/>
  <c r="AF34" i="15" s="1"/>
  <c r="AR34" i="15"/>
  <c r="AK34" i="15" s="1"/>
  <c r="AX34" i="15"/>
  <c r="AS34" i="15"/>
  <c r="AL34" i="15"/>
  <c r="AQ34" i="15"/>
  <c r="AJ34" i="15" s="1"/>
  <c r="AN34" i="15" s="1"/>
  <c r="AY39" i="15"/>
  <c r="AR39" i="15"/>
  <c r="AK39" i="15" s="1"/>
  <c r="AR4" i="15"/>
  <c r="AY4" i="15"/>
  <c r="AY42" i="15" s="1"/>
  <c r="AX35" i="15"/>
  <c r="BB35" i="15" s="1"/>
  <c r="AS35" i="15"/>
  <c r="AL35" i="15" s="1"/>
  <c r="AQ35" i="15"/>
  <c r="N35" i="15"/>
  <c r="AF35" i="15" s="1"/>
  <c r="AX36" i="15"/>
  <c r="AS36" i="15"/>
  <c r="AL36" i="15" s="1"/>
  <c r="AQ36" i="15"/>
  <c r="N36" i="15"/>
  <c r="AF36" i="15" s="1"/>
  <c r="N37" i="15"/>
  <c r="AF37" i="15" s="1"/>
  <c r="N38" i="15"/>
  <c r="AF38" i="15" s="1"/>
  <c r="N39" i="15"/>
  <c r="AF39" i="15" s="1"/>
  <c r="N40" i="15"/>
  <c r="AF40" i="15" s="1"/>
  <c r="N41" i="15"/>
  <c r="AF41" i="15" s="1"/>
  <c r="N4" i="15"/>
  <c r="AX37" i="15"/>
  <c r="BB37" i="15" s="1"/>
  <c r="AS37" i="15"/>
  <c r="AQ37" i="15"/>
  <c r="AT38" i="15"/>
  <c r="AM38" i="15" s="1"/>
  <c r="AX38" i="15"/>
  <c r="BB38" i="15" s="1"/>
  <c r="AS38" i="15"/>
  <c r="AQ38" i="15"/>
  <c r="AT39" i="15"/>
  <c r="AM39" i="15" s="1"/>
  <c r="AX39" i="15"/>
  <c r="BB39" i="15" s="1"/>
  <c r="AS39" i="15"/>
  <c r="AQ39" i="15"/>
  <c r="AT40" i="15"/>
  <c r="AX40" i="15"/>
  <c r="BB40" i="15" s="1"/>
  <c r="AS40" i="15"/>
  <c r="AQ40" i="15"/>
  <c r="AT41" i="15"/>
  <c r="AM41" i="15" s="1"/>
  <c r="AX41" i="15"/>
  <c r="BB41" i="15" s="1"/>
  <c r="AS41" i="15"/>
  <c r="AL41" i="15" s="1"/>
  <c r="AQ41" i="15"/>
  <c r="AT4" i="15"/>
  <c r="AM4" i="15" s="1"/>
  <c r="AX4" i="15"/>
  <c r="AS4" i="15"/>
  <c r="AQ4" i="15"/>
  <c r="AL23" i="15" l="1"/>
  <c r="AL20" i="15"/>
  <c r="AU20" i="15"/>
  <c r="AK40" i="15"/>
  <c r="AK21" i="15"/>
  <c r="AM40" i="15"/>
  <c r="AJ23" i="15"/>
  <c r="BB18" i="15"/>
  <c r="BB16" i="15"/>
  <c r="BB12" i="15"/>
  <c r="AU11" i="15"/>
  <c r="AM12" i="15"/>
  <c r="AU41" i="15"/>
  <c r="AU39" i="15"/>
  <c r="AU38" i="15"/>
  <c r="AJ37" i="15"/>
  <c r="AL33" i="15"/>
  <c r="AM37" i="15"/>
  <c r="AM36" i="15"/>
  <c r="AL28" i="15"/>
  <c r="AM33" i="15"/>
  <c r="AM28" i="15"/>
  <c r="BB26" i="15"/>
  <c r="AL24" i="15"/>
  <c r="BB21" i="15"/>
  <c r="AL17" i="15"/>
  <c r="AM20" i="15"/>
  <c r="AL11" i="15"/>
  <c r="AJ10" i="15"/>
  <c r="AJ9" i="15"/>
  <c r="BB5" i="15"/>
  <c r="AS42" i="15"/>
  <c r="AL40" i="15"/>
  <c r="AL39" i="15"/>
  <c r="AL38" i="15"/>
  <c r="AL37" i="15"/>
  <c r="BB36" i="15"/>
  <c r="BB34" i="15"/>
  <c r="AU32" i="15"/>
  <c r="AK31" i="15"/>
  <c r="BB31" i="15"/>
  <c r="AK30" i="15"/>
  <c r="BB30" i="15"/>
  <c r="AU29" i="15"/>
  <c r="AK28" i="15"/>
  <c r="BB28" i="15"/>
  <c r="AU27" i="15"/>
  <c r="AM27" i="15"/>
  <c r="BB25" i="15"/>
  <c r="BB24" i="15"/>
  <c r="BB20" i="15"/>
  <c r="BB19" i="15"/>
  <c r="BB17" i="15"/>
  <c r="BB15" i="15"/>
  <c r="BB13" i="15"/>
  <c r="AM19" i="15"/>
  <c r="AK24" i="15"/>
  <c r="BB11" i="15"/>
  <c r="AL10" i="15"/>
  <c r="AL9" i="15"/>
  <c r="AU7" i="15"/>
  <c r="AK38" i="15"/>
  <c r="AK7" i="15"/>
  <c r="AK5" i="15"/>
  <c r="AK26" i="15"/>
  <c r="AJ8" i="15"/>
  <c r="AN8" i="15" s="1"/>
  <c r="AJ4" i="15"/>
  <c r="AJ36" i="15"/>
  <c r="AK33" i="15"/>
  <c r="AK29" i="15"/>
  <c r="AK27" i="15"/>
  <c r="AJ20" i="15"/>
  <c r="AN20" i="15" s="1"/>
  <c r="AK19" i="15"/>
  <c r="AK17" i="15"/>
  <c r="AJ16" i="15"/>
  <c r="AK15" i="15"/>
  <c r="AJ14" i="15"/>
  <c r="AN14" i="15" s="1"/>
  <c r="AK13" i="15"/>
  <c r="AK11" i="15"/>
  <c r="AM5" i="15"/>
  <c r="AU35" i="15"/>
  <c r="AU26" i="15"/>
  <c r="AU22" i="15"/>
  <c r="AU19" i="15"/>
  <c r="AU17" i="15"/>
  <c r="AU6" i="15"/>
  <c r="AZ42" i="15"/>
  <c r="AJ41" i="15"/>
  <c r="AN41" i="15" s="1"/>
  <c r="AU37" i="15"/>
  <c r="AU25" i="15"/>
  <c r="AU13" i="15"/>
  <c r="AJ13" i="15"/>
  <c r="AN13" i="15" s="1"/>
  <c r="AU12" i="15"/>
  <c r="BA42" i="15"/>
  <c r="AN37" i="15"/>
  <c r="AJ30" i="15"/>
  <c r="AN30" i="15" s="1"/>
  <c r="AU24" i="15"/>
  <c r="AU18" i="15"/>
  <c r="AK9" i="15"/>
  <c r="AN9" i="15" s="1"/>
  <c r="AU28" i="15"/>
  <c r="BB27" i="15"/>
  <c r="AU23" i="15"/>
  <c r="AJ22" i="15"/>
  <c r="AN22" i="15" s="1"/>
  <c r="L42" i="15"/>
  <c r="AN36" i="15"/>
  <c r="AA42" i="15"/>
  <c r="BB4" i="15"/>
  <c r="AX42" i="15"/>
  <c r="AJ40" i="15"/>
  <c r="O4" i="15"/>
  <c r="AF4" i="15"/>
  <c r="N42" i="15"/>
  <c r="AR42" i="15"/>
  <c r="AK4" i="15"/>
  <c r="AK42" i="15" s="1"/>
  <c r="AU36" i="15"/>
  <c r="BB33" i="15"/>
  <c r="AJ32" i="15"/>
  <c r="AN32" i="15" s="1"/>
  <c r="AQ42" i="15"/>
  <c r="AU4" i="15"/>
  <c r="AU40" i="15"/>
  <c r="AJ39" i="15"/>
  <c r="AN39" i="15" s="1"/>
  <c r="AJ38" i="15"/>
  <c r="AN38" i="15" s="1"/>
  <c r="AU33" i="15"/>
  <c r="AJ31" i="15"/>
  <c r="AU31" i="15"/>
  <c r="AN16" i="15"/>
  <c r="AL4" i="15"/>
  <c r="AT42" i="15"/>
  <c r="AJ35" i="15"/>
  <c r="AN35" i="15" s="1"/>
  <c r="AU34" i="15"/>
  <c r="AJ33" i="15"/>
  <c r="BB32" i="15"/>
  <c r="AJ29" i="15"/>
  <c r="AN29" i="15" s="1"/>
  <c r="AJ27" i="15"/>
  <c r="AU30" i="15"/>
  <c r="AM23" i="15"/>
  <c r="AN23" i="15" s="1"/>
  <c r="AJ21" i="15"/>
  <c r="AN21" i="15" s="1"/>
  <c r="AJ19" i="15"/>
  <c r="AJ17" i="15"/>
  <c r="AN17" i="15" s="1"/>
  <c r="AJ15" i="15"/>
  <c r="AN15" i="15" s="1"/>
  <c r="AJ12" i="15"/>
  <c r="AJ6" i="15"/>
  <c r="AN6" i="15" s="1"/>
  <c r="AU14" i="15"/>
  <c r="AU16" i="15"/>
  <c r="AJ26" i="15"/>
  <c r="AJ25" i="15"/>
  <c r="AN25" i="15" s="1"/>
  <c r="AJ24" i="15"/>
  <c r="AJ11" i="15"/>
  <c r="AN11" i="15" s="1"/>
  <c r="AU9" i="15"/>
  <c r="AJ5" i="15"/>
  <c r="AU8" i="15"/>
  <c r="AU10" i="15"/>
  <c r="BB22" i="15"/>
  <c r="AJ28" i="15"/>
  <c r="AJ18" i="15"/>
  <c r="AN18" i="15" s="1"/>
  <c r="AJ7" i="15"/>
  <c r="AN7" i="15" s="1"/>
  <c r="AM42" i="15" l="1"/>
  <c r="AN10" i="15"/>
  <c r="AN24" i="15"/>
  <c r="AN33" i="15"/>
  <c r="AL42" i="15"/>
  <c r="AN40" i="15"/>
  <c r="AN28" i="15"/>
  <c r="AN5" i="15"/>
  <c r="AN19" i="15"/>
  <c r="AN27" i="15"/>
  <c r="AN31" i="15"/>
  <c r="AN26" i="15"/>
  <c r="AN12" i="15"/>
  <c r="AN4" i="15"/>
  <c r="AU42" i="15"/>
  <c r="AG4" i="15"/>
  <c r="AF42" i="15"/>
  <c r="BB42" i="15"/>
  <c r="AJ42" i="15"/>
  <c r="M5" i="15"/>
  <c r="AE5" i="15" s="1"/>
  <c r="M6" i="15"/>
  <c r="AE6" i="15" s="1"/>
  <c r="AG6" i="15" s="1"/>
  <c r="M7" i="15"/>
  <c r="AE7" i="15" s="1"/>
  <c r="AG7" i="15" s="1"/>
  <c r="M8" i="15"/>
  <c r="AE8" i="15" s="1"/>
  <c r="AG8" i="15" s="1"/>
  <c r="M9" i="15"/>
  <c r="AE9" i="15" s="1"/>
  <c r="AG9" i="15" s="1"/>
  <c r="M10" i="15"/>
  <c r="AE10" i="15"/>
  <c r="AG10" i="15" s="1"/>
  <c r="M11" i="15"/>
  <c r="AE11" i="15" s="1"/>
  <c r="AG11" i="15" s="1"/>
  <c r="M12" i="15"/>
  <c r="AE12" i="15" s="1"/>
  <c r="AG12" i="15" s="1"/>
  <c r="M13" i="15"/>
  <c r="AE13" i="15" s="1"/>
  <c r="AG13" i="15" s="1"/>
  <c r="M14" i="15"/>
  <c r="AE14" i="15"/>
  <c r="AG14" i="15" s="1"/>
  <c r="M15" i="15"/>
  <c r="AE15" i="15" s="1"/>
  <c r="AG15" i="15" s="1"/>
  <c r="M16" i="15"/>
  <c r="AE16" i="15" s="1"/>
  <c r="AG16" i="15" s="1"/>
  <c r="M17" i="15"/>
  <c r="AE17" i="15" s="1"/>
  <c r="AG17" i="15" s="1"/>
  <c r="M18" i="15"/>
  <c r="AE18" i="15" s="1"/>
  <c r="AG18" i="15" s="1"/>
  <c r="M19" i="15"/>
  <c r="AE19" i="15"/>
  <c r="AG19" i="15" s="1"/>
  <c r="M20" i="15"/>
  <c r="AE20" i="15" s="1"/>
  <c r="AG20" i="15" s="1"/>
  <c r="M21" i="15"/>
  <c r="AE21" i="15" s="1"/>
  <c r="AG21" i="15" s="1"/>
  <c r="M22" i="15"/>
  <c r="AE22" i="15" s="1"/>
  <c r="AG22" i="15" s="1"/>
  <c r="M23" i="15"/>
  <c r="AE23" i="15" s="1"/>
  <c r="AG23" i="15" s="1"/>
  <c r="M24" i="15"/>
  <c r="AE24" i="15" s="1"/>
  <c r="AG24" i="15" s="1"/>
  <c r="M25" i="15"/>
  <c r="AE25" i="15" s="1"/>
  <c r="AG25" i="15" s="1"/>
  <c r="M26" i="15"/>
  <c r="AE26" i="15"/>
  <c r="AG26" i="15" s="1"/>
  <c r="M27" i="15"/>
  <c r="AE27" i="15" s="1"/>
  <c r="AG27" i="15" s="1"/>
  <c r="M28" i="15"/>
  <c r="AE28" i="15" s="1"/>
  <c r="AG28" i="15" s="1"/>
  <c r="M29" i="15"/>
  <c r="AE29" i="15" s="1"/>
  <c r="AG29" i="15" s="1"/>
  <c r="M30" i="15"/>
  <c r="AE30" i="15" s="1"/>
  <c r="AG30" i="15" s="1"/>
  <c r="M31" i="15"/>
  <c r="AE31" i="15"/>
  <c r="AG31" i="15" s="1"/>
  <c r="M32" i="15"/>
  <c r="AE32" i="15" s="1"/>
  <c r="AG32" i="15" s="1"/>
  <c r="M33" i="15"/>
  <c r="AE33" i="15" s="1"/>
  <c r="AG33" i="15" s="1"/>
  <c r="M34" i="15"/>
  <c r="AE34" i="15" s="1"/>
  <c r="AG34" i="15" s="1"/>
  <c r="M35" i="15"/>
  <c r="AE35" i="15" s="1"/>
  <c r="AG35" i="15" s="1"/>
  <c r="M36" i="15"/>
  <c r="AE36" i="15" s="1"/>
  <c r="AG36" i="15" s="1"/>
  <c r="M37" i="15"/>
  <c r="AE37" i="15"/>
  <c r="AG37" i="15" s="1"/>
  <c r="M38" i="15"/>
  <c r="AE38" i="15" s="1"/>
  <c r="AG38" i="15" s="1"/>
  <c r="M39" i="15"/>
  <c r="AE39" i="15" s="1"/>
  <c r="AG39" i="15" s="1"/>
  <c r="M40" i="15"/>
  <c r="AE40" i="15" s="1"/>
  <c r="AG40" i="15" s="1"/>
  <c r="M41" i="15"/>
  <c r="AE41" i="15" s="1"/>
  <c r="AG41" i="15" s="1"/>
  <c r="K5" i="15"/>
  <c r="Z5" i="15" s="1"/>
  <c r="K6" i="15"/>
  <c r="Z6" i="15" s="1"/>
  <c r="K7" i="15"/>
  <c r="O7" i="15" s="1"/>
  <c r="K8" i="15"/>
  <c r="Z8" i="15" s="1"/>
  <c r="O8" i="15"/>
  <c r="K9" i="15"/>
  <c r="O9" i="15" s="1"/>
  <c r="K10" i="15"/>
  <c r="Z10" i="15" s="1"/>
  <c r="K11" i="15"/>
  <c r="Z11" i="15" s="1"/>
  <c r="AB11" i="15" s="1"/>
  <c r="O11" i="15"/>
  <c r="K12" i="15"/>
  <c r="Z12" i="15" s="1"/>
  <c r="K13" i="15"/>
  <c r="Z13" i="15" s="1"/>
  <c r="AB13" i="15" s="1"/>
  <c r="O13" i="15"/>
  <c r="K14" i="15"/>
  <c r="Z14" i="15" s="1"/>
  <c r="K15" i="15"/>
  <c r="O15" i="15"/>
  <c r="K16" i="15"/>
  <c r="Z16" i="15" s="1"/>
  <c r="K17" i="15"/>
  <c r="O17" i="15"/>
  <c r="K18" i="15"/>
  <c r="Z18" i="15" s="1"/>
  <c r="K19" i="15"/>
  <c r="Z19" i="15" s="1"/>
  <c r="AB19" i="15" s="1"/>
  <c r="O19" i="15"/>
  <c r="K20" i="15"/>
  <c r="Z20" i="15" s="1"/>
  <c r="K21" i="15"/>
  <c r="Z21" i="15" s="1"/>
  <c r="AB21" i="15" s="1"/>
  <c r="O21" i="15"/>
  <c r="K22" i="15"/>
  <c r="Z22" i="15" s="1"/>
  <c r="K23" i="15"/>
  <c r="O23" i="15" s="1"/>
  <c r="K24" i="15"/>
  <c r="Z24" i="15" s="1"/>
  <c r="O24" i="15"/>
  <c r="K25" i="15"/>
  <c r="O25" i="15" s="1"/>
  <c r="K26" i="15"/>
  <c r="Z26" i="15" s="1"/>
  <c r="K27" i="15"/>
  <c r="Z27" i="15" s="1"/>
  <c r="AB27" i="15" s="1"/>
  <c r="O27" i="15"/>
  <c r="K28" i="15"/>
  <c r="Z28" i="15" s="1"/>
  <c r="K29" i="15"/>
  <c r="Z29" i="15" s="1"/>
  <c r="AB29" i="15" s="1"/>
  <c r="O29" i="15"/>
  <c r="K30" i="15"/>
  <c r="Z30" i="15" s="1"/>
  <c r="K31" i="15"/>
  <c r="O31" i="15"/>
  <c r="K32" i="15"/>
  <c r="Z32" i="15" s="1"/>
  <c r="O32" i="15"/>
  <c r="K33" i="15"/>
  <c r="O33" i="15"/>
  <c r="K34" i="15"/>
  <c r="Z34" i="15" s="1"/>
  <c r="O34" i="15"/>
  <c r="K35" i="15"/>
  <c r="Z35" i="15" s="1"/>
  <c r="AB35" i="15" s="1"/>
  <c r="O35" i="15"/>
  <c r="K36" i="15"/>
  <c r="Z36" i="15" s="1"/>
  <c r="K37" i="15"/>
  <c r="Z37" i="15" s="1"/>
  <c r="AB37" i="15" s="1"/>
  <c r="K38" i="15"/>
  <c r="Z38" i="15" s="1"/>
  <c r="K39" i="15"/>
  <c r="O39" i="15"/>
  <c r="K40" i="15"/>
  <c r="Z40" i="15" s="1"/>
  <c r="O40" i="15"/>
  <c r="K41" i="15"/>
  <c r="O41" i="15"/>
  <c r="AB6" i="15"/>
  <c r="Z7" i="15"/>
  <c r="AB7" i="15" s="1"/>
  <c r="AB8" i="15"/>
  <c r="Z9" i="15"/>
  <c r="AB9" i="15" s="1"/>
  <c r="AB10" i="15"/>
  <c r="AB12" i="15"/>
  <c r="AB14" i="15"/>
  <c r="Z15" i="15"/>
  <c r="AB15" i="15" s="1"/>
  <c r="AB16" i="15"/>
  <c r="Z17" i="15"/>
  <c r="AB17" i="15"/>
  <c r="AB18" i="15"/>
  <c r="AB20" i="15"/>
  <c r="AB22" i="15"/>
  <c r="Z23" i="15"/>
  <c r="AB23" i="15" s="1"/>
  <c r="AB24" i="15"/>
  <c r="Z25" i="15"/>
  <c r="AB25" i="15" s="1"/>
  <c r="AB26" i="15"/>
  <c r="AB28" i="15"/>
  <c r="AB30" i="15"/>
  <c r="Z31" i="15"/>
  <c r="AB31" i="15" s="1"/>
  <c r="AB32" i="15"/>
  <c r="Z33" i="15"/>
  <c r="AB33" i="15"/>
  <c r="AB34" i="15"/>
  <c r="AB36" i="15"/>
  <c r="AB38" i="15"/>
  <c r="Z39" i="15"/>
  <c r="AB39" i="15" s="1"/>
  <c r="AB40" i="15"/>
  <c r="Z41" i="15"/>
  <c r="AB41" i="15"/>
  <c r="O26" i="15" l="1"/>
  <c r="O37" i="15"/>
  <c r="O5" i="15"/>
  <c r="O30" i="15"/>
  <c r="O18" i="15"/>
  <c r="O16" i="15"/>
  <c r="O14" i="15"/>
  <c r="O10" i="15"/>
  <c r="Z42" i="15"/>
  <c r="AB5" i="15"/>
  <c r="AB42" i="15" s="1"/>
  <c r="AU43" i="15" s="1"/>
  <c r="M42" i="15"/>
  <c r="O38" i="15"/>
  <c r="O36" i="15"/>
  <c r="O28" i="15"/>
  <c r="O22" i="15"/>
  <c r="O20" i="15"/>
  <c r="O12" i="15"/>
  <c r="O6" i="15"/>
  <c r="AN42" i="15"/>
  <c r="K42" i="15"/>
  <c r="AG5" i="15"/>
  <c r="AG42" i="15" s="1"/>
  <c r="BB43" i="15" s="1"/>
  <c r="AE42" i="15"/>
  <c r="O42" i="15" l="1"/>
  <c r="AN43" i="15" s="1"/>
  <c r="O43" i="15"/>
  <c r="K14" i="18"/>
  <c r="Z14" i="18" s="1"/>
  <c r="K26" i="18"/>
  <c r="Z26" i="18" s="1"/>
  <c r="K19" i="18"/>
  <c r="Z19" i="18" s="1"/>
  <c r="K31" i="18"/>
  <c r="Z31" i="18"/>
  <c r="K38" i="18"/>
  <c r="Z38" i="18" s="1"/>
  <c r="K41" i="18"/>
  <c r="Z41" i="18" s="1"/>
  <c r="K34" i="18"/>
  <c r="Z34" i="18" s="1"/>
  <c r="K39" i="18"/>
  <c r="Z39" i="18" s="1"/>
  <c r="K22" i="18"/>
  <c r="Z22" i="18"/>
  <c r="K9" i="18"/>
  <c r="Z9" i="18" s="1"/>
  <c r="K27" i="18"/>
  <c r="Z27" i="18" s="1"/>
  <c r="AY41" i="18"/>
  <c r="AR41" i="18"/>
  <c r="AK41" i="18" s="1"/>
  <c r="AY40" i="18"/>
  <c r="AR40" i="18"/>
  <c r="AY39" i="18"/>
  <c r="AR39" i="18"/>
  <c r="AK39" i="18" s="1"/>
  <c r="AY38" i="18"/>
  <c r="AR38" i="18"/>
  <c r="AK38" i="18" s="1"/>
  <c r="AY37" i="18"/>
  <c r="AR37" i="18"/>
  <c r="AK37" i="18" s="1"/>
  <c r="AY36" i="18"/>
  <c r="AR36" i="18"/>
  <c r="AK36" i="18" s="1"/>
  <c r="N41" i="18"/>
  <c r="AF41" i="18"/>
  <c r="N40" i="18"/>
  <c r="AF40" i="18" s="1"/>
  <c r="N39" i="18"/>
  <c r="AF39" i="18" s="1"/>
  <c r="N38" i="18"/>
  <c r="AF38" i="18" s="1"/>
  <c r="N37" i="18"/>
  <c r="AF37" i="18" s="1"/>
  <c r="N36" i="18"/>
  <c r="AF36" i="18" s="1"/>
  <c r="AY35" i="18"/>
  <c r="AR35" i="18"/>
  <c r="AY30" i="18"/>
  <c r="AR30" i="18"/>
  <c r="AY29" i="18"/>
  <c r="AR29" i="18"/>
  <c r="AY28" i="18"/>
  <c r="AR28" i="18"/>
  <c r="AK28" i="18" s="1"/>
  <c r="AY27" i="18"/>
  <c r="AR27" i="18"/>
  <c r="AK27" i="18" s="1"/>
  <c r="AY26" i="18"/>
  <c r="AR26" i="18"/>
  <c r="AK26" i="18" s="1"/>
  <c r="AY25" i="18"/>
  <c r="AR25" i="18"/>
  <c r="AK25" i="18" s="1"/>
  <c r="AY24" i="18"/>
  <c r="AR24" i="18"/>
  <c r="AK24" i="18" s="1"/>
  <c r="AY23" i="18"/>
  <c r="AR23" i="18"/>
  <c r="AK23" i="18" s="1"/>
  <c r="AY22" i="18"/>
  <c r="AR22" i="18"/>
  <c r="AK22" i="18" s="1"/>
  <c r="N35" i="18"/>
  <c r="AF35" i="18"/>
  <c r="AY33" i="18"/>
  <c r="AR33" i="18"/>
  <c r="AK33" i="18" s="1"/>
  <c r="AY4" i="18"/>
  <c r="AY31" i="18"/>
  <c r="AR31" i="18"/>
  <c r="N33" i="18"/>
  <c r="AF33" i="18" s="1"/>
  <c r="N31" i="18"/>
  <c r="AF31" i="18" s="1"/>
  <c r="N30" i="18"/>
  <c r="AF30" i="18" s="1"/>
  <c r="N29" i="18"/>
  <c r="AF29" i="18" s="1"/>
  <c r="N28" i="18"/>
  <c r="AF28" i="18" s="1"/>
  <c r="N27" i="18"/>
  <c r="AF27" i="18" s="1"/>
  <c r="N26" i="18"/>
  <c r="AF26" i="18" s="1"/>
  <c r="N25" i="18"/>
  <c r="AF25" i="18" s="1"/>
  <c r="N24" i="18"/>
  <c r="AF24" i="18" s="1"/>
  <c r="N23" i="18"/>
  <c r="AF23" i="18" s="1"/>
  <c r="AY21" i="18"/>
  <c r="AR21" i="18"/>
  <c r="AY20" i="18"/>
  <c r="AR20" i="18"/>
  <c r="AY19" i="18"/>
  <c r="AR19" i="18"/>
  <c r="AY18" i="18"/>
  <c r="AR18" i="18"/>
  <c r="AY17" i="18"/>
  <c r="AR17" i="18"/>
  <c r="AY16" i="18"/>
  <c r="AR16" i="18"/>
  <c r="AY15" i="18"/>
  <c r="AR15" i="18"/>
  <c r="AY14" i="18"/>
  <c r="AR14" i="18"/>
  <c r="AY13" i="18"/>
  <c r="AR13" i="18"/>
  <c r="AY12" i="18"/>
  <c r="AR12" i="18"/>
  <c r="AY11" i="18"/>
  <c r="AR11" i="18"/>
  <c r="AY32" i="18"/>
  <c r="N32" i="18"/>
  <c r="AF32" i="18" s="1"/>
  <c r="AR32" i="18"/>
  <c r="N22" i="18"/>
  <c r="AF22" i="18" s="1"/>
  <c r="N21" i="18"/>
  <c r="AF21" i="18" s="1"/>
  <c r="N20" i="18"/>
  <c r="AF20" i="18" s="1"/>
  <c r="N19" i="18"/>
  <c r="AF19" i="18" s="1"/>
  <c r="N18" i="18"/>
  <c r="AF18" i="18" s="1"/>
  <c r="N17" i="18"/>
  <c r="AF17" i="18" s="1"/>
  <c r="N16" i="18"/>
  <c r="AF16" i="18" s="1"/>
  <c r="N15" i="18"/>
  <c r="AF15" i="18" s="1"/>
  <c r="N14" i="18"/>
  <c r="AF14" i="18" s="1"/>
  <c r="N13" i="18"/>
  <c r="AF13" i="18" s="1"/>
  <c r="N12" i="18"/>
  <c r="AF12" i="18" s="1"/>
  <c r="AY10" i="18"/>
  <c r="AR10" i="18"/>
  <c r="AK10" i="18" s="1"/>
  <c r="AY9" i="18"/>
  <c r="AR9" i="18"/>
  <c r="AY8" i="18"/>
  <c r="AR8" i="18"/>
  <c r="AK8" i="18" s="1"/>
  <c r="AY7" i="18"/>
  <c r="AR7" i="18"/>
  <c r="AK7" i="18" s="1"/>
  <c r="AY6" i="18"/>
  <c r="AR6" i="18"/>
  <c r="AK6" i="18" s="1"/>
  <c r="AY5" i="18"/>
  <c r="AR5" i="18"/>
  <c r="AK5" i="18" s="1"/>
  <c r="N11" i="18"/>
  <c r="AF11" i="18" s="1"/>
  <c r="N10" i="18"/>
  <c r="AF10" i="18" s="1"/>
  <c r="N9" i="18"/>
  <c r="AF9" i="18" s="1"/>
  <c r="N8" i="18"/>
  <c r="AF8" i="18" s="1"/>
  <c r="N7" i="18"/>
  <c r="AF7" i="18" s="1"/>
  <c r="N6" i="18"/>
  <c r="AF6" i="18" s="1"/>
  <c r="N5" i="18"/>
  <c r="AF5" i="18" s="1"/>
  <c r="AY34" i="18"/>
  <c r="N34" i="18"/>
  <c r="AF34" i="18" s="1"/>
  <c r="AR34" i="18"/>
  <c r="AT7" i="18"/>
  <c r="BA7" i="18"/>
  <c r="AT11" i="18"/>
  <c r="BA11" i="18"/>
  <c r="AT15" i="18"/>
  <c r="BA15" i="18"/>
  <c r="AT19" i="18"/>
  <c r="BA19" i="18"/>
  <c r="AT23" i="18"/>
  <c r="AM23" i="18" s="1"/>
  <c r="BA23" i="18"/>
  <c r="AT27" i="18"/>
  <c r="BA27" i="18"/>
  <c r="AT31" i="18"/>
  <c r="AM31" i="18" s="1"/>
  <c r="BA31" i="18"/>
  <c r="AT35" i="18"/>
  <c r="AM35" i="18" s="1"/>
  <c r="BA35" i="18"/>
  <c r="AT39" i="18"/>
  <c r="AM39" i="18" s="1"/>
  <c r="BA39" i="18"/>
  <c r="AZ7" i="18"/>
  <c r="AZ11" i="18"/>
  <c r="AZ15" i="18"/>
  <c r="AZ19" i="18"/>
  <c r="AZ24" i="18"/>
  <c r="AZ28" i="18"/>
  <c r="AZ32" i="18"/>
  <c r="AZ36" i="18"/>
  <c r="AZ40" i="18"/>
  <c r="AT6" i="18"/>
  <c r="BA6" i="18"/>
  <c r="AT14" i="18"/>
  <c r="BA14" i="18"/>
  <c r="AT22" i="18"/>
  <c r="BA22" i="18"/>
  <c r="AT26" i="18"/>
  <c r="BA26" i="18"/>
  <c r="AT34" i="18"/>
  <c r="BA34" i="18"/>
  <c r="AZ6" i="18"/>
  <c r="AZ14" i="18"/>
  <c r="AZ23" i="18"/>
  <c r="AZ31" i="18"/>
  <c r="AZ39" i="18"/>
  <c r="AT4" i="18"/>
  <c r="BA4" i="18"/>
  <c r="AT8" i="18"/>
  <c r="AM8" i="18" s="1"/>
  <c r="BA8" i="18"/>
  <c r="AT12" i="18"/>
  <c r="AM12" i="18" s="1"/>
  <c r="BA12" i="18"/>
  <c r="AT16" i="18"/>
  <c r="AM16" i="18" s="1"/>
  <c r="BA16" i="18"/>
  <c r="AT20" i="18"/>
  <c r="AM20" i="18" s="1"/>
  <c r="BA20" i="18"/>
  <c r="AT24" i="18"/>
  <c r="AM24" i="18" s="1"/>
  <c r="BA24" i="18"/>
  <c r="AT28" i="18"/>
  <c r="AM28" i="18" s="1"/>
  <c r="BA28" i="18"/>
  <c r="AT32" i="18"/>
  <c r="AM32" i="18" s="1"/>
  <c r="BA32" i="18"/>
  <c r="AT36" i="18"/>
  <c r="AM36" i="18" s="1"/>
  <c r="BA36" i="18"/>
  <c r="AT40" i="18"/>
  <c r="AM40" i="18" s="1"/>
  <c r="BA40" i="18"/>
  <c r="AZ8" i="18"/>
  <c r="AZ12" i="18"/>
  <c r="AZ16" i="18"/>
  <c r="AZ20" i="18"/>
  <c r="AZ25" i="18"/>
  <c r="AZ29" i="18"/>
  <c r="AZ33" i="18"/>
  <c r="AZ37" i="18"/>
  <c r="AZ41" i="18"/>
  <c r="AT5" i="18"/>
  <c r="BA5" i="18"/>
  <c r="AT9" i="18"/>
  <c r="BA9" i="18"/>
  <c r="AT13" i="18"/>
  <c r="BA13" i="18"/>
  <c r="AT17" i="18"/>
  <c r="BA17" i="18"/>
  <c r="AT21" i="18"/>
  <c r="BA21" i="18"/>
  <c r="AT25" i="18"/>
  <c r="BA25" i="18"/>
  <c r="AT29" i="18"/>
  <c r="BA29" i="18"/>
  <c r="AT33" i="18"/>
  <c r="BA33" i="18"/>
  <c r="AT37" i="18"/>
  <c r="BA37" i="18"/>
  <c r="AT41" i="18"/>
  <c r="BA41" i="18"/>
  <c r="AZ22" i="18"/>
  <c r="AZ5" i="18"/>
  <c r="AZ9" i="18"/>
  <c r="AZ13" i="18"/>
  <c r="AZ17" i="18"/>
  <c r="AZ21" i="18"/>
  <c r="AZ26" i="18"/>
  <c r="AZ30" i="18"/>
  <c r="AZ34" i="18"/>
  <c r="AZ38" i="18"/>
  <c r="AT10" i="18"/>
  <c r="BA10" i="18"/>
  <c r="AT18" i="18"/>
  <c r="BA18" i="18"/>
  <c r="AT30" i="18"/>
  <c r="BA30" i="18"/>
  <c r="AT38" i="18"/>
  <c r="BA38" i="18"/>
  <c r="AZ10" i="18"/>
  <c r="AZ18" i="18"/>
  <c r="AZ27" i="18"/>
  <c r="AZ35" i="18"/>
  <c r="AZ4" i="18"/>
  <c r="AQ36" i="18"/>
  <c r="AX36" i="18"/>
  <c r="BB36" i="18" s="1"/>
  <c r="AS36" i="18"/>
  <c r="AL36" i="18" s="1"/>
  <c r="L36" i="18"/>
  <c r="AQ28" i="18"/>
  <c r="AX28" i="18"/>
  <c r="BB28" i="18" s="1"/>
  <c r="AS28" i="18"/>
  <c r="AL28" i="18" s="1"/>
  <c r="L28" i="18"/>
  <c r="AA28" i="18" s="1"/>
  <c r="AQ19" i="18"/>
  <c r="AX19" i="18"/>
  <c r="BB19" i="18" s="1"/>
  <c r="AS19" i="18"/>
  <c r="AL19" i="18" s="1"/>
  <c r="L19" i="18"/>
  <c r="AA19" i="18" s="1"/>
  <c r="AQ39" i="18"/>
  <c r="AX39" i="18"/>
  <c r="BB39" i="18" s="1"/>
  <c r="AS39" i="18"/>
  <c r="AL39" i="18" s="1"/>
  <c r="L39" i="18"/>
  <c r="AA39" i="18" s="1"/>
  <c r="AQ37" i="18"/>
  <c r="AX37" i="18"/>
  <c r="BB37" i="18" s="1"/>
  <c r="AS37" i="18"/>
  <c r="AL37" i="18" s="1"/>
  <c r="L37" i="18"/>
  <c r="AA37" i="18" s="1"/>
  <c r="AQ31" i="18"/>
  <c r="AX31" i="18"/>
  <c r="BB31" i="18" s="1"/>
  <c r="AS31" i="18"/>
  <c r="AL31" i="18" s="1"/>
  <c r="L31" i="18"/>
  <c r="AA31" i="18" s="1"/>
  <c r="AQ14" i="18"/>
  <c r="AX14" i="18"/>
  <c r="BB14" i="18" s="1"/>
  <c r="AS14" i="18"/>
  <c r="AL14" i="18" s="1"/>
  <c r="L14" i="18"/>
  <c r="AA14" i="18" s="1"/>
  <c r="AQ26" i="18"/>
  <c r="AX26" i="18"/>
  <c r="BB26" i="18" s="1"/>
  <c r="AS26" i="18"/>
  <c r="AL26" i="18" s="1"/>
  <c r="L26" i="18"/>
  <c r="AA26" i="18" s="1"/>
  <c r="AQ25" i="18"/>
  <c r="AX25" i="18"/>
  <c r="BB25" i="18" s="1"/>
  <c r="AS25" i="18"/>
  <c r="AL25" i="18" s="1"/>
  <c r="L25" i="18"/>
  <c r="AA25" i="18" s="1"/>
  <c r="AQ18" i="18"/>
  <c r="AX18" i="18"/>
  <c r="BB18" i="18" s="1"/>
  <c r="AS18" i="18"/>
  <c r="AL18" i="18" s="1"/>
  <c r="L18" i="18"/>
  <c r="AA18" i="18" s="1"/>
  <c r="AB18" i="18" s="1"/>
  <c r="M18" i="18" s="1"/>
  <c r="AE18" i="18" s="1"/>
  <c r="AG18" i="18" s="1"/>
  <c r="AQ7" i="18"/>
  <c r="AX7" i="18"/>
  <c r="BB7" i="18" s="1"/>
  <c r="AS7" i="18"/>
  <c r="AL7" i="18" s="1"/>
  <c r="L7" i="18"/>
  <c r="AA7" i="18" s="1"/>
  <c r="AQ27" i="18"/>
  <c r="AX27" i="18"/>
  <c r="BB27" i="18" s="1"/>
  <c r="AS27" i="18"/>
  <c r="AL27" i="18" s="1"/>
  <c r="L27" i="18"/>
  <c r="AA27" i="18" s="1"/>
  <c r="AQ30" i="18"/>
  <c r="AX30" i="18"/>
  <c r="BB30" i="18" s="1"/>
  <c r="AS30" i="18"/>
  <c r="AL30" i="18" s="1"/>
  <c r="L30" i="18"/>
  <c r="AA30" i="18" s="1"/>
  <c r="AQ6" i="18"/>
  <c r="AX6" i="18"/>
  <c r="BB6" i="18" s="1"/>
  <c r="AS6" i="18"/>
  <c r="AL6" i="18" s="1"/>
  <c r="L6" i="18"/>
  <c r="AA6" i="18" s="1"/>
  <c r="AB6" i="18" s="1"/>
  <c r="M6" i="18" s="1"/>
  <c r="AE6" i="18" s="1"/>
  <c r="AG6" i="18" s="1"/>
  <c r="AQ9" i="18"/>
  <c r="AX9" i="18"/>
  <c r="BB9" i="18" s="1"/>
  <c r="AS9" i="18"/>
  <c r="AL9" i="18" s="1"/>
  <c r="L9" i="18"/>
  <c r="AA9" i="18" s="1"/>
  <c r="AQ29" i="18"/>
  <c r="AX29" i="18"/>
  <c r="BB29" i="18" s="1"/>
  <c r="AS29" i="18"/>
  <c r="AL29" i="18" s="1"/>
  <c r="L29" i="18"/>
  <c r="AA29" i="18" s="1"/>
  <c r="AB29" i="18" s="1"/>
  <c r="M29" i="18" s="1"/>
  <c r="AE29" i="18" s="1"/>
  <c r="AG29" i="18" s="1"/>
  <c r="AQ13" i="18"/>
  <c r="AX13" i="18"/>
  <c r="BB13" i="18" s="1"/>
  <c r="AS13" i="18"/>
  <c r="AL13" i="18" s="1"/>
  <c r="L13" i="18"/>
  <c r="AA13" i="18" s="1"/>
  <c r="AQ17" i="18"/>
  <c r="AX17" i="18"/>
  <c r="BB17" i="18" s="1"/>
  <c r="AS17" i="18"/>
  <c r="AL17" i="18" s="1"/>
  <c r="L17" i="18"/>
  <c r="AA17" i="18" s="1"/>
  <c r="AQ38" i="18"/>
  <c r="AX38" i="18"/>
  <c r="BB38" i="18" s="1"/>
  <c r="AS38" i="18"/>
  <c r="AL38" i="18" s="1"/>
  <c r="L38" i="18"/>
  <c r="AA38" i="18" s="1"/>
  <c r="AQ41" i="18"/>
  <c r="AX41" i="18"/>
  <c r="BB41" i="18" s="1"/>
  <c r="AS41" i="18"/>
  <c r="AL41" i="18" s="1"/>
  <c r="L41" i="18"/>
  <c r="AA41" i="18" s="1"/>
  <c r="AQ34" i="18"/>
  <c r="AX34" i="18"/>
  <c r="BB34" i="18" s="1"/>
  <c r="AS34" i="18"/>
  <c r="AL34" i="18" s="1"/>
  <c r="L34" i="18"/>
  <c r="AA34" i="18" s="1"/>
  <c r="AQ33" i="18"/>
  <c r="AX33" i="18"/>
  <c r="BB33" i="18" s="1"/>
  <c r="AS33" i="18"/>
  <c r="AL33" i="18" s="1"/>
  <c r="L33" i="18"/>
  <c r="AA33" i="18" s="1"/>
  <c r="AQ8" i="18"/>
  <c r="AX8" i="18"/>
  <c r="BB8" i="18" s="1"/>
  <c r="AS8" i="18"/>
  <c r="AL8" i="18" s="1"/>
  <c r="L8" i="18"/>
  <c r="AA8" i="18" s="1"/>
  <c r="AQ10" i="18"/>
  <c r="AX10" i="18"/>
  <c r="BB10" i="18" s="1"/>
  <c r="AS10" i="18"/>
  <c r="AL10" i="18" s="1"/>
  <c r="L10" i="18"/>
  <c r="AA10" i="18" s="1"/>
  <c r="AQ15" i="18"/>
  <c r="AX15" i="18"/>
  <c r="BB15" i="18" s="1"/>
  <c r="AS15" i="18"/>
  <c r="AL15" i="18" s="1"/>
  <c r="L15" i="18"/>
  <c r="AA15" i="18" s="1"/>
  <c r="AQ11" i="18"/>
  <c r="AX11" i="18"/>
  <c r="BB11" i="18" s="1"/>
  <c r="AS11" i="18"/>
  <c r="AL11" i="18" s="1"/>
  <c r="L11" i="18"/>
  <c r="AA11" i="18" s="1"/>
  <c r="AB11" i="18" s="1"/>
  <c r="M11" i="18" s="1"/>
  <c r="AE11" i="18" s="1"/>
  <c r="AG11" i="18" s="1"/>
  <c r="AQ20" i="18"/>
  <c r="AX20" i="18"/>
  <c r="BB20" i="18" s="1"/>
  <c r="AS20" i="18"/>
  <c r="AL20" i="18" s="1"/>
  <c r="L20" i="18"/>
  <c r="AA20" i="18" s="1"/>
  <c r="AQ23" i="18"/>
  <c r="AX23" i="18"/>
  <c r="BB23" i="18" s="1"/>
  <c r="AS23" i="18"/>
  <c r="AL23" i="18" s="1"/>
  <c r="L23" i="18"/>
  <c r="AA23" i="18" s="1"/>
  <c r="AQ16" i="18"/>
  <c r="AX16" i="18"/>
  <c r="BB16" i="18" s="1"/>
  <c r="AS16" i="18"/>
  <c r="AL16" i="18" s="1"/>
  <c r="L16" i="18"/>
  <c r="AA16" i="18" s="1"/>
  <c r="AQ35" i="18"/>
  <c r="AX35" i="18"/>
  <c r="BB35" i="18" s="1"/>
  <c r="AS35" i="18"/>
  <c r="AL35" i="18" s="1"/>
  <c r="L35" i="18"/>
  <c r="AA35" i="18" s="1"/>
  <c r="AQ12" i="18"/>
  <c r="AX12" i="18"/>
  <c r="BB12" i="18" s="1"/>
  <c r="AS12" i="18"/>
  <c r="AL12" i="18" s="1"/>
  <c r="L12" i="18"/>
  <c r="AA12" i="18" s="1"/>
  <c r="AQ21" i="18"/>
  <c r="AX21" i="18"/>
  <c r="BB21" i="18" s="1"/>
  <c r="AS21" i="18"/>
  <c r="AL21" i="18" s="1"/>
  <c r="L21" i="18"/>
  <c r="AA21" i="18" s="1"/>
  <c r="AB21" i="18" s="1"/>
  <c r="M21" i="18" s="1"/>
  <c r="AE21" i="18" s="1"/>
  <c r="AG21" i="18" s="1"/>
  <c r="AQ32" i="18"/>
  <c r="AX32" i="18"/>
  <c r="BB32" i="18" s="1"/>
  <c r="AS32" i="18"/>
  <c r="AL32" i="18" s="1"/>
  <c r="L32" i="18"/>
  <c r="AA32" i="18" s="1"/>
  <c r="AQ22" i="18"/>
  <c r="AX22" i="18"/>
  <c r="BB22" i="18" s="1"/>
  <c r="AS22" i="18"/>
  <c r="AL22" i="18" s="1"/>
  <c r="L22" i="18"/>
  <c r="AA22" i="18" s="1"/>
  <c r="AQ24" i="18"/>
  <c r="AX24" i="18"/>
  <c r="BB24" i="18" s="1"/>
  <c r="AS24" i="18"/>
  <c r="AL24" i="18" s="1"/>
  <c r="L24" i="18"/>
  <c r="AA24" i="18" s="1"/>
  <c r="AB24" i="18" s="1"/>
  <c r="M24" i="18" s="1"/>
  <c r="AE24" i="18" s="1"/>
  <c r="AQ40" i="18"/>
  <c r="AX40" i="18"/>
  <c r="BB40" i="18" s="1"/>
  <c r="AS40" i="18"/>
  <c r="AL40" i="18" s="1"/>
  <c r="L40" i="18"/>
  <c r="AA40" i="18" s="1"/>
  <c r="AQ5" i="18"/>
  <c r="AX5" i="18"/>
  <c r="BB5" i="18" s="1"/>
  <c r="AS5" i="18"/>
  <c r="AL5" i="18" s="1"/>
  <c r="L5" i="18"/>
  <c r="AA5" i="18" s="1"/>
  <c r="AB5" i="18" s="1"/>
  <c r="M5" i="18" s="1"/>
  <c r="L4" i="18"/>
  <c r="AA4" i="18" s="1"/>
  <c r="AB4" i="18" s="1"/>
  <c r="N4" i="18"/>
  <c r="AR4" i="18"/>
  <c r="AR42" i="18" s="1"/>
  <c r="AX4" i="18"/>
  <c r="AS4" i="18"/>
  <c r="AL4" i="18" s="1"/>
  <c r="AQ4" i="18"/>
  <c r="AZ42" i="18" l="1"/>
  <c r="AK9" i="18"/>
  <c r="AK30" i="18"/>
  <c r="AU4" i="18"/>
  <c r="AK34" i="18"/>
  <c r="AU37" i="18"/>
  <c r="AK29" i="18"/>
  <c r="AM15" i="18"/>
  <c r="AM7" i="18"/>
  <c r="AJ21" i="18"/>
  <c r="AU33" i="18"/>
  <c r="AU41" i="18"/>
  <c r="AM27" i="18"/>
  <c r="AG24" i="18"/>
  <c r="AK35" i="18"/>
  <c r="AK32" i="18"/>
  <c r="AK40" i="18"/>
  <c r="AM38" i="18"/>
  <c r="AM37" i="18"/>
  <c r="AM29" i="18"/>
  <c r="AM34" i="18"/>
  <c r="AM22" i="18"/>
  <c r="AK12" i="18"/>
  <c r="AK14" i="18"/>
  <c r="AK16" i="18"/>
  <c r="AK18" i="18"/>
  <c r="AM30" i="18"/>
  <c r="AM10" i="18"/>
  <c r="AM41" i="18"/>
  <c r="AM26" i="18"/>
  <c r="AK11" i="18"/>
  <c r="AK13" i="18"/>
  <c r="AK15" i="18"/>
  <c r="AK17" i="18"/>
  <c r="AM21" i="18"/>
  <c r="AM5" i="18"/>
  <c r="AM6" i="18"/>
  <c r="AY42" i="18"/>
  <c r="AK20" i="18"/>
  <c r="AK4" i="18"/>
  <c r="AU5" i="18"/>
  <c r="AU17" i="18"/>
  <c r="AU9" i="18"/>
  <c r="AU30" i="18"/>
  <c r="AJ18" i="18"/>
  <c r="AU25" i="18"/>
  <c r="AM4" i="18"/>
  <c r="AM19" i="18"/>
  <c r="AM11" i="18"/>
  <c r="AM25" i="18"/>
  <c r="AM9" i="18"/>
  <c r="AM14" i="18"/>
  <c r="AK19" i="18"/>
  <c r="AK21" i="18"/>
  <c r="AK31" i="18"/>
  <c r="AE5" i="18"/>
  <c r="AU24" i="18"/>
  <c r="AJ24" i="18"/>
  <c r="AN24" i="18" s="1"/>
  <c r="AU32" i="18"/>
  <c r="AJ32" i="18"/>
  <c r="AN32" i="18" s="1"/>
  <c r="AU12" i="18"/>
  <c r="AJ12" i="18"/>
  <c r="AN12" i="18" s="1"/>
  <c r="AU16" i="18"/>
  <c r="AJ16" i="18"/>
  <c r="AN16" i="18" s="1"/>
  <c r="AU20" i="18"/>
  <c r="AJ20" i="18"/>
  <c r="AU15" i="18"/>
  <c r="AJ15" i="18"/>
  <c r="AN15" i="18" s="1"/>
  <c r="AU8" i="18"/>
  <c r="AJ8" i="18"/>
  <c r="AN8" i="18" s="1"/>
  <c r="AJ34" i="18"/>
  <c r="AN34" i="18" s="1"/>
  <c r="AU34" i="18"/>
  <c r="AU38" i="18"/>
  <c r="AU13" i="18"/>
  <c r="AJ7" i="18"/>
  <c r="AN7" i="18" s="1"/>
  <c r="AU7" i="18"/>
  <c r="AJ14" i="18"/>
  <c r="AN14" i="18" s="1"/>
  <c r="AU14" i="18"/>
  <c r="AJ19" i="18"/>
  <c r="AN19" i="18" s="1"/>
  <c r="AU19" i="18"/>
  <c r="AU36" i="18"/>
  <c r="AJ36" i="18"/>
  <c r="AN36" i="18" s="1"/>
  <c r="AJ33" i="18"/>
  <c r="AJ17" i="18"/>
  <c r="AB19" i="18"/>
  <c r="M19" i="18" s="1"/>
  <c r="AE19" i="18" s="1"/>
  <c r="AG19" i="18" s="1"/>
  <c r="AL42" i="18"/>
  <c r="AS42" i="18"/>
  <c r="AJ30" i="18"/>
  <c r="AN30" i="18" s="1"/>
  <c r="AJ37" i="18"/>
  <c r="AN37" i="18" s="1"/>
  <c r="AJ5" i="18"/>
  <c r="AN5" i="18" s="1"/>
  <c r="BA42" i="18"/>
  <c r="AB39" i="18"/>
  <c r="M39" i="18" s="1"/>
  <c r="AE39" i="18" s="1"/>
  <c r="AG39" i="18" s="1"/>
  <c r="AB38" i="18"/>
  <c r="M38" i="18" s="1"/>
  <c r="AE38" i="18" s="1"/>
  <c r="AG38" i="18" s="1"/>
  <c r="AB26" i="18"/>
  <c r="M26" i="18" s="1"/>
  <c r="AE26" i="18" s="1"/>
  <c r="AG26" i="18" s="1"/>
  <c r="O4" i="18"/>
  <c r="N42" i="18"/>
  <c r="AF4" i="18"/>
  <c r="AU22" i="18"/>
  <c r="AJ22" i="18"/>
  <c r="AN22" i="18" s="1"/>
  <c r="AU21" i="18"/>
  <c r="AU23" i="18"/>
  <c r="AJ23" i="18"/>
  <c r="AN23" i="18" s="1"/>
  <c r="O11" i="18"/>
  <c r="AU10" i="18"/>
  <c r="O29" i="18"/>
  <c r="AU29" i="18"/>
  <c r="O6" i="18"/>
  <c r="AJ6" i="18"/>
  <c r="AN6" i="18" s="1"/>
  <c r="AU6" i="18"/>
  <c r="AU27" i="18"/>
  <c r="AJ27" i="18"/>
  <c r="AN27" i="18" s="1"/>
  <c r="O18" i="18"/>
  <c r="AU18" i="18"/>
  <c r="AU26" i="18"/>
  <c r="AJ26" i="18"/>
  <c r="AN26" i="18" s="1"/>
  <c r="AJ31" i="18"/>
  <c r="AN31" i="18" s="1"/>
  <c r="AU31" i="18"/>
  <c r="AU39" i="18"/>
  <c r="AJ39" i="18"/>
  <c r="AN39" i="18" s="1"/>
  <c r="AJ28" i="18"/>
  <c r="AN28" i="18" s="1"/>
  <c r="AU28" i="18"/>
  <c r="AJ38" i="18"/>
  <c r="AN38" i="18" s="1"/>
  <c r="AJ41" i="18"/>
  <c r="AN41" i="18" s="1"/>
  <c r="AJ25" i="18"/>
  <c r="AN25" i="18" s="1"/>
  <c r="AM13" i="18"/>
  <c r="AJ9" i="18"/>
  <c r="AN9" i="18" s="1"/>
  <c r="AB9" i="18"/>
  <c r="M9" i="18" s="1"/>
  <c r="AE9" i="18" s="1"/>
  <c r="AG9" i="18" s="1"/>
  <c r="AB34" i="18"/>
  <c r="M34" i="18" s="1"/>
  <c r="AE34" i="18" s="1"/>
  <c r="AG34" i="18" s="1"/>
  <c r="AB14" i="18"/>
  <c r="M14" i="18" s="1"/>
  <c r="AE14" i="18" s="1"/>
  <c r="AG14" i="18" s="1"/>
  <c r="BB4" i="18"/>
  <c r="BB42" i="18" s="1"/>
  <c r="AX42" i="18"/>
  <c r="L42" i="18"/>
  <c r="AU40" i="18"/>
  <c r="AJ40" i="18"/>
  <c r="AN40" i="18" s="1"/>
  <c r="AU35" i="18"/>
  <c r="AJ35" i="18"/>
  <c r="AN35" i="18" s="1"/>
  <c r="AU11" i="18"/>
  <c r="AJ11" i="18"/>
  <c r="AN11" i="18" s="1"/>
  <c r="AQ42" i="18"/>
  <c r="AJ4" i="18"/>
  <c r="AA36" i="18"/>
  <c r="AB36" i="18" s="1"/>
  <c r="M36" i="18" s="1"/>
  <c r="AE36" i="18" s="1"/>
  <c r="AG36" i="18" s="1"/>
  <c r="AM18" i="18"/>
  <c r="AN18" i="18" s="1"/>
  <c r="AJ10" i="18"/>
  <c r="AN10" i="18" s="1"/>
  <c r="AM33" i="18"/>
  <c r="AJ29" i="18"/>
  <c r="AN29" i="18" s="1"/>
  <c r="AM17" i="18"/>
  <c r="AJ13" i="18"/>
  <c r="AN13" i="18" s="1"/>
  <c r="AT42" i="18"/>
  <c r="O21" i="18"/>
  <c r="O34" i="18"/>
  <c r="O38" i="18"/>
  <c r="O19" i="18"/>
  <c r="AB27" i="18"/>
  <c r="M27" i="18" s="1"/>
  <c r="AE27" i="18" s="1"/>
  <c r="AG27" i="18" s="1"/>
  <c r="O39" i="18"/>
  <c r="AB41" i="18"/>
  <c r="M41" i="18" s="1"/>
  <c r="AE41" i="18" s="1"/>
  <c r="AG41" i="18" s="1"/>
  <c r="AB31" i="18"/>
  <c r="M31" i="18" s="1"/>
  <c r="AE31" i="18" s="1"/>
  <c r="AG31" i="18" s="1"/>
  <c r="O26" i="18"/>
  <c r="O14" i="18"/>
  <c r="O5" i="18"/>
  <c r="O24" i="18"/>
  <c r="AB22" i="18"/>
  <c r="M22" i="18" s="1"/>
  <c r="AE22" i="18" s="1"/>
  <c r="AG22" i="18" s="1"/>
  <c r="O41" i="18"/>
  <c r="O9" i="18" l="1"/>
  <c r="AN20" i="18"/>
  <c r="AN21" i="18"/>
  <c r="O31" i="18"/>
  <c r="AM42" i="18"/>
  <c r="AU42" i="18"/>
  <c r="AK42" i="18"/>
  <c r="O27" i="18"/>
  <c r="AN4" i="18"/>
  <c r="AJ42" i="18"/>
  <c r="AG5" i="18"/>
  <c r="AG4" i="18"/>
  <c r="AF42" i="18"/>
  <c r="AN17" i="18"/>
  <c r="O36" i="18"/>
  <c r="O22" i="18"/>
  <c r="AA42" i="18"/>
  <c r="AN33" i="18"/>
  <c r="AN42" i="18" l="1"/>
  <c r="M7" i="18"/>
  <c r="AE7" i="18" s="1"/>
  <c r="AG7" i="18" s="1"/>
  <c r="M8" i="18"/>
  <c r="AE8" i="18" s="1"/>
  <c r="AG8" i="18" s="1"/>
  <c r="M10" i="18"/>
  <c r="AE10" i="18" s="1"/>
  <c r="M12" i="18"/>
  <c r="AE12" i="18" s="1"/>
  <c r="AG12" i="18" s="1"/>
  <c r="M13" i="18"/>
  <c r="AE13" i="18"/>
  <c r="AG13" i="18" s="1"/>
  <c r="M15" i="18"/>
  <c r="AE15" i="18" s="1"/>
  <c r="AG15" i="18" s="1"/>
  <c r="M16" i="18"/>
  <c r="AE16" i="18" s="1"/>
  <c r="AG16" i="18" s="1"/>
  <c r="M17" i="18"/>
  <c r="AE17" i="18" s="1"/>
  <c r="AG17" i="18" s="1"/>
  <c r="M20" i="18"/>
  <c r="AE20" i="18" s="1"/>
  <c r="AG20" i="18" s="1"/>
  <c r="M23" i="18"/>
  <c r="AE23" i="18" s="1"/>
  <c r="AG23" i="18" s="1"/>
  <c r="M25" i="18"/>
  <c r="AE25" i="18" s="1"/>
  <c r="AG25" i="18" s="1"/>
  <c r="M28" i="18"/>
  <c r="AE28" i="18" s="1"/>
  <c r="AG28" i="18" s="1"/>
  <c r="M30" i="18"/>
  <c r="AE30" i="18" s="1"/>
  <c r="AG30" i="18" s="1"/>
  <c r="M32" i="18"/>
  <c r="AE32" i="18" s="1"/>
  <c r="AG32" i="18" s="1"/>
  <c r="M33" i="18"/>
  <c r="AE33" i="18" s="1"/>
  <c r="AG33" i="18" s="1"/>
  <c r="M35" i="18"/>
  <c r="AE35" i="18" s="1"/>
  <c r="AG35" i="18" s="1"/>
  <c r="M37" i="18"/>
  <c r="AE37" i="18" s="1"/>
  <c r="AG37" i="18" s="1"/>
  <c r="M40" i="18"/>
  <c r="AE40" i="18"/>
  <c r="AG40" i="18" s="1"/>
  <c r="K7" i="18"/>
  <c r="O7" i="18" s="1"/>
  <c r="K8" i="18"/>
  <c r="Z8" i="18" s="1"/>
  <c r="AB8" i="18" s="1"/>
  <c r="K10" i="18"/>
  <c r="O10" i="18" s="1"/>
  <c r="K12" i="18"/>
  <c r="O12" i="18"/>
  <c r="K13" i="18"/>
  <c r="O13" i="18"/>
  <c r="K15" i="18"/>
  <c r="Z15" i="18" s="1"/>
  <c r="AB15" i="18" s="1"/>
  <c r="O15" i="18"/>
  <c r="K16" i="18"/>
  <c r="O16" i="18"/>
  <c r="K17" i="18"/>
  <c r="O17" i="18"/>
  <c r="K20" i="18"/>
  <c r="O20" i="18"/>
  <c r="K23" i="18"/>
  <c r="Z23" i="18" s="1"/>
  <c r="AB23" i="18" s="1"/>
  <c r="O23" i="18"/>
  <c r="K25" i="18"/>
  <c r="O25" i="18"/>
  <c r="K28" i="18"/>
  <c r="O28" i="18"/>
  <c r="K30" i="18"/>
  <c r="O30" i="18"/>
  <c r="K32" i="18"/>
  <c r="Z32" i="18" s="1"/>
  <c r="AB32" i="18" s="1"/>
  <c r="O32" i="18"/>
  <c r="K33" i="18"/>
  <c r="O33" i="18"/>
  <c r="K35" i="18"/>
  <c r="O35" i="18"/>
  <c r="K37" i="18"/>
  <c r="O37" i="18"/>
  <c r="K40" i="18"/>
  <c r="O40" i="18"/>
  <c r="Z7" i="18"/>
  <c r="AB7" i="18" s="1"/>
  <c r="Z10" i="18"/>
  <c r="AB10" i="18" s="1"/>
  <c r="Z12" i="18"/>
  <c r="AB12" i="18" s="1"/>
  <c r="Z13" i="18"/>
  <c r="AB13" i="18" s="1"/>
  <c r="Z16" i="18"/>
  <c r="AB16" i="18" s="1"/>
  <c r="Z17" i="18"/>
  <c r="AB17" i="18" s="1"/>
  <c r="Z20" i="18"/>
  <c r="AB20" i="18" s="1"/>
  <c r="Z25" i="18"/>
  <c r="AB25" i="18" s="1"/>
  <c r="Z28" i="18"/>
  <c r="AB28" i="18" s="1"/>
  <c r="Z30" i="18"/>
  <c r="AB30" i="18" s="1"/>
  <c r="Z33" i="18"/>
  <c r="AB33" i="18" s="1"/>
  <c r="Z35" i="18"/>
  <c r="AB35" i="18" s="1"/>
  <c r="Z37" i="18"/>
  <c r="AB37" i="18"/>
  <c r="Z40" i="18"/>
  <c r="AB40" i="18" s="1"/>
  <c r="Z42" i="18"/>
  <c r="M42" i="18"/>
  <c r="K42" i="18" l="1"/>
  <c r="O8" i="18"/>
  <c r="O42" i="18"/>
  <c r="AN43" i="18" s="1"/>
  <c r="AB42" i="18"/>
  <c r="AG10" i="18"/>
  <c r="AG42" i="18" s="1"/>
  <c r="BB43" i="18" s="1"/>
  <c r="AE42" i="18"/>
  <c r="AU43" i="18" l="1"/>
  <c r="O43" i="18"/>
  <c r="K5" i="19"/>
  <c r="K29" i="19"/>
  <c r="Z29" i="19" s="1"/>
  <c r="K33" i="19"/>
  <c r="K11" i="19"/>
  <c r="Z11" i="19" s="1"/>
  <c r="K30" i="19"/>
  <c r="K23" i="19"/>
  <c r="Z23" i="19" s="1"/>
  <c r="K21" i="19"/>
  <c r="K17" i="19"/>
  <c r="Z17" i="19" s="1"/>
  <c r="K24" i="19"/>
  <c r="K6" i="19"/>
  <c r="Z6" i="19" s="1"/>
  <c r="K20" i="19"/>
  <c r="K28" i="19"/>
  <c r="Z28" i="19" s="1"/>
  <c r="K34" i="19"/>
  <c r="K16" i="19"/>
  <c r="Z16" i="19" s="1"/>
  <c r="K37" i="19"/>
  <c r="K26" i="19"/>
  <c r="Z26" i="19" s="1"/>
  <c r="K19" i="19"/>
  <c r="K38" i="19"/>
  <c r="Z38" i="19" s="1"/>
  <c r="K31" i="19"/>
  <c r="K10" i="19"/>
  <c r="Z10" i="19" s="1"/>
  <c r="K32" i="19"/>
  <c r="K35" i="19"/>
  <c r="Z35" i="19" s="1"/>
  <c r="K40" i="19"/>
  <c r="K8" i="19"/>
  <c r="Z8" i="19" s="1"/>
  <c r="K14" i="19"/>
  <c r="K36" i="19"/>
  <c r="Z36" i="19" s="1"/>
  <c r="K22" i="19"/>
  <c r="K39" i="19"/>
  <c r="Z39" i="19" s="1"/>
  <c r="K25" i="19"/>
  <c r="K15" i="19"/>
  <c r="Z15" i="19" s="1"/>
  <c r="K7" i="19"/>
  <c r="K41" i="19"/>
  <c r="Z41" i="19" s="1"/>
  <c r="K9" i="19"/>
  <c r="K13" i="19"/>
  <c r="Z13" i="19" s="1"/>
  <c r="K12" i="19"/>
  <c r="K18" i="19"/>
  <c r="Z18" i="19" s="1"/>
  <c r="K27" i="19"/>
  <c r="AY40" i="19"/>
  <c r="N40" i="19"/>
  <c r="AF40" i="19" s="1"/>
  <c r="AR40" i="19"/>
  <c r="AY39" i="19"/>
  <c r="N39" i="19"/>
  <c r="AF39" i="19" s="1"/>
  <c r="AR39" i="19"/>
  <c r="AY38" i="19"/>
  <c r="N38" i="19"/>
  <c r="AF38" i="19" s="1"/>
  <c r="AR38" i="19"/>
  <c r="AY35" i="19"/>
  <c r="AY34" i="19"/>
  <c r="AR34" i="19"/>
  <c r="AY33" i="19"/>
  <c r="AR33" i="19"/>
  <c r="AY32" i="19"/>
  <c r="AR32" i="19"/>
  <c r="AK32" i="19" s="1"/>
  <c r="AY37" i="19"/>
  <c r="AY31" i="19"/>
  <c r="AR31" i="19"/>
  <c r="AY30" i="19"/>
  <c r="AR30" i="19"/>
  <c r="AY29" i="19"/>
  <c r="AR29" i="19"/>
  <c r="AK29" i="19" s="1"/>
  <c r="AY28" i="19"/>
  <c r="AR28" i="19"/>
  <c r="N34" i="19"/>
  <c r="AF34" i="19" s="1"/>
  <c r="N37" i="19"/>
  <c r="AF37" i="19" s="1"/>
  <c r="AR37" i="19"/>
  <c r="N35" i="19"/>
  <c r="AF35" i="19" s="1"/>
  <c r="AR35" i="19"/>
  <c r="AK35" i="19" s="1"/>
  <c r="AY41" i="19"/>
  <c r="N41" i="19"/>
  <c r="AF41" i="19" s="1"/>
  <c r="AR41" i="19"/>
  <c r="AK41" i="19" s="1"/>
  <c r="N32" i="19"/>
  <c r="AF32" i="19" s="1"/>
  <c r="N31" i="19"/>
  <c r="AF31" i="19" s="1"/>
  <c r="N30" i="19"/>
  <c r="AF30" i="19" s="1"/>
  <c r="N29" i="19"/>
  <c r="AF29" i="19" s="1"/>
  <c r="N28" i="19"/>
  <c r="AF28" i="19" s="1"/>
  <c r="N33" i="19"/>
  <c r="AF33" i="19" s="1"/>
  <c r="AY27" i="19"/>
  <c r="N27" i="19"/>
  <c r="AF27" i="19" s="1"/>
  <c r="AR27" i="19"/>
  <c r="AY26" i="19"/>
  <c r="N26" i="19"/>
  <c r="AF26" i="19" s="1"/>
  <c r="AR26" i="19"/>
  <c r="AK26" i="19" s="1"/>
  <c r="AY25" i="19"/>
  <c r="N25" i="19"/>
  <c r="AF25" i="19" s="1"/>
  <c r="AR25" i="19"/>
  <c r="AK25" i="19" s="1"/>
  <c r="AY24" i="19"/>
  <c r="N24" i="19"/>
  <c r="AF24" i="19" s="1"/>
  <c r="AR24" i="19"/>
  <c r="AY23" i="19"/>
  <c r="N23" i="19"/>
  <c r="AF23" i="19" s="1"/>
  <c r="AR23" i="19"/>
  <c r="AY22" i="19"/>
  <c r="N22" i="19"/>
  <c r="AF22" i="19" s="1"/>
  <c r="AR22" i="19"/>
  <c r="AY21" i="19"/>
  <c r="AR21" i="19"/>
  <c r="AY20" i="19"/>
  <c r="AR20" i="19"/>
  <c r="AY19" i="19"/>
  <c r="AR19" i="19"/>
  <c r="AY18" i="19"/>
  <c r="AR18" i="19"/>
  <c r="N21" i="19"/>
  <c r="AF21" i="19" s="1"/>
  <c r="N20" i="19"/>
  <c r="AF20" i="19" s="1"/>
  <c r="N19" i="19"/>
  <c r="AF19" i="19" s="1"/>
  <c r="N18" i="19"/>
  <c r="AF18" i="19" s="1"/>
  <c r="AY17" i="19"/>
  <c r="AR17" i="19"/>
  <c r="AY16" i="19"/>
  <c r="AR16" i="19"/>
  <c r="AY15" i="19"/>
  <c r="AR15" i="19"/>
  <c r="AK15" i="19" s="1"/>
  <c r="AY14" i="19"/>
  <c r="AR14" i="19"/>
  <c r="AY13" i="19"/>
  <c r="AR13" i="19"/>
  <c r="AK13" i="19" s="1"/>
  <c r="AY12" i="19"/>
  <c r="AR12" i="19"/>
  <c r="AY11" i="19"/>
  <c r="AR11" i="19"/>
  <c r="AK11" i="19" s="1"/>
  <c r="AY36" i="19"/>
  <c r="N36" i="19"/>
  <c r="AF36" i="19" s="1"/>
  <c r="AR36" i="19"/>
  <c r="N17" i="19"/>
  <c r="AF17" i="19" s="1"/>
  <c r="N15" i="19"/>
  <c r="AF15" i="19" s="1"/>
  <c r="N13" i="19"/>
  <c r="AF13" i="19" s="1"/>
  <c r="N11" i="19"/>
  <c r="AF11" i="19" s="1"/>
  <c r="AY7" i="19"/>
  <c r="AR7" i="19"/>
  <c r="AY6" i="19"/>
  <c r="AY5" i="19"/>
  <c r="AR5" i="19"/>
  <c r="AY4" i="19"/>
  <c r="AY9" i="19"/>
  <c r="AR9" i="19"/>
  <c r="AY8" i="19"/>
  <c r="N5" i="19"/>
  <c r="AF5" i="19" s="1"/>
  <c r="N16" i="19"/>
  <c r="AF16" i="19" s="1"/>
  <c r="N14" i="19"/>
  <c r="AF14" i="19" s="1"/>
  <c r="N12" i="19"/>
  <c r="AF12" i="19" s="1"/>
  <c r="N9" i="19"/>
  <c r="AF9" i="19" s="1"/>
  <c r="N8" i="19"/>
  <c r="AF8" i="19" s="1"/>
  <c r="AR8" i="19"/>
  <c r="N7" i="19"/>
  <c r="AF7" i="19" s="1"/>
  <c r="N6" i="19"/>
  <c r="AF6" i="19" s="1"/>
  <c r="AR6" i="19"/>
  <c r="AK6" i="19" s="1"/>
  <c r="AY10" i="19"/>
  <c r="N10" i="19"/>
  <c r="AF10" i="19" s="1"/>
  <c r="AR10" i="19"/>
  <c r="AT26" i="19"/>
  <c r="BA26" i="19"/>
  <c r="AZ11" i="19"/>
  <c r="AT10" i="19"/>
  <c r="BA10" i="19"/>
  <c r="AT25" i="19"/>
  <c r="BA25" i="19"/>
  <c r="AT13" i="19"/>
  <c r="BA13" i="19"/>
  <c r="AT12" i="19"/>
  <c r="BA12" i="19"/>
  <c r="AZ17" i="19"/>
  <c r="AZ12" i="19"/>
  <c r="AT7" i="19"/>
  <c r="BA7" i="19"/>
  <c r="AT39" i="19"/>
  <c r="BA39" i="19"/>
  <c r="AT19" i="19"/>
  <c r="BA19" i="19"/>
  <c r="AT36" i="19"/>
  <c r="BA36" i="19"/>
  <c r="AT18" i="19"/>
  <c r="BA18" i="19"/>
  <c r="AT24" i="19"/>
  <c r="BA24" i="19"/>
  <c r="AT28" i="19"/>
  <c r="BA28" i="19"/>
  <c r="AT9" i="19"/>
  <c r="BA9" i="19"/>
  <c r="AZ28" i="19"/>
  <c r="AZ16" i="19"/>
  <c r="AZ36" i="19"/>
  <c r="AZ23" i="19"/>
  <c r="AZ27" i="19"/>
  <c r="AZ15" i="19"/>
  <c r="AZ22" i="19"/>
  <c r="AZ5" i="19"/>
  <c r="AT33" i="19"/>
  <c r="BA33" i="19"/>
  <c r="AZ19" i="19"/>
  <c r="AZ9" i="19"/>
  <c r="AT32" i="19"/>
  <c r="BA32" i="19"/>
  <c r="AZ25" i="19"/>
  <c r="AZ6" i="19"/>
  <c r="AZ8" i="19"/>
  <c r="AZ10" i="19"/>
  <c r="AZ20" i="19"/>
  <c r="AZ30" i="19"/>
  <c r="AT23" i="19"/>
  <c r="BA23" i="19"/>
  <c r="AT11" i="19"/>
  <c r="BA11" i="19"/>
  <c r="AZ29" i="19"/>
  <c r="AT29" i="19"/>
  <c r="BA29" i="19"/>
  <c r="AZ31" i="19"/>
  <c r="AT8" i="19"/>
  <c r="BA8" i="19"/>
  <c r="AT31" i="19"/>
  <c r="AM31" i="19" s="1"/>
  <c r="BA31" i="19"/>
  <c r="AT6" i="19"/>
  <c r="BA6" i="19"/>
  <c r="AZ33" i="19"/>
  <c r="AZ7" i="19"/>
  <c r="AT37" i="19"/>
  <c r="BA37" i="19"/>
  <c r="AT22" i="19"/>
  <c r="BA22" i="19"/>
  <c r="AT20" i="19"/>
  <c r="BA20" i="19"/>
  <c r="AZ26" i="19"/>
  <c r="AT5" i="19"/>
  <c r="BA5" i="19"/>
  <c r="AZ13" i="19"/>
  <c r="AT17" i="19"/>
  <c r="BA17" i="19"/>
  <c r="AZ32" i="19"/>
  <c r="AT27" i="19"/>
  <c r="BA27" i="19"/>
  <c r="AZ37" i="19"/>
  <c r="AT30" i="19"/>
  <c r="BA30" i="19"/>
  <c r="AT16" i="19"/>
  <c r="AM16" i="19" s="1"/>
  <c r="BA16" i="19"/>
  <c r="AZ18" i="19"/>
  <c r="AT15" i="19"/>
  <c r="BA15" i="19"/>
  <c r="AZ39" i="19"/>
  <c r="AZ24" i="19"/>
  <c r="AQ26" i="19"/>
  <c r="AX26" i="19"/>
  <c r="BB26" i="19" s="1"/>
  <c r="AS26" i="19"/>
  <c r="L26" i="19"/>
  <c r="AA26" i="19" s="1"/>
  <c r="AQ28" i="19"/>
  <c r="AX28" i="19"/>
  <c r="AS28" i="19"/>
  <c r="AL28" i="19" s="1"/>
  <c r="L28" i="19"/>
  <c r="AA28" i="19" s="1"/>
  <c r="AQ29" i="19"/>
  <c r="AX29" i="19"/>
  <c r="BB29" i="19" s="1"/>
  <c r="AS29" i="19"/>
  <c r="AL29" i="19" s="1"/>
  <c r="L29" i="19"/>
  <c r="AA29" i="19" s="1"/>
  <c r="AQ9" i="19"/>
  <c r="AX9" i="19"/>
  <c r="BB9" i="19" s="1"/>
  <c r="AS9" i="19"/>
  <c r="AL9" i="19" s="1"/>
  <c r="L9" i="19"/>
  <c r="AA9" i="19" s="1"/>
  <c r="AQ39" i="19"/>
  <c r="AX39" i="19"/>
  <c r="AS39" i="19"/>
  <c r="AL39" i="19" s="1"/>
  <c r="L39" i="19"/>
  <c r="AA39" i="19" s="1"/>
  <c r="AQ31" i="19"/>
  <c r="AX31" i="19"/>
  <c r="BB31" i="19" s="1"/>
  <c r="AS31" i="19"/>
  <c r="AL31" i="19" s="1"/>
  <c r="L31" i="19"/>
  <c r="AA31" i="19" s="1"/>
  <c r="AQ8" i="19"/>
  <c r="AX8" i="19"/>
  <c r="AS8" i="19"/>
  <c r="AL8" i="19" s="1"/>
  <c r="L8" i="19"/>
  <c r="AA8" i="19" s="1"/>
  <c r="L38" i="19"/>
  <c r="AA38" i="19" s="1"/>
  <c r="AQ22" i="19"/>
  <c r="AU22" i="19" s="1"/>
  <c r="AX22" i="19"/>
  <c r="AS22" i="19"/>
  <c r="L22" i="19"/>
  <c r="AA22" i="19" s="1"/>
  <c r="AQ10" i="19"/>
  <c r="AX10" i="19"/>
  <c r="AS10" i="19"/>
  <c r="L10" i="19"/>
  <c r="AA10" i="19" s="1"/>
  <c r="AZ35" i="19"/>
  <c r="L41" i="19"/>
  <c r="AA41" i="19" s="1"/>
  <c r="AQ12" i="19"/>
  <c r="AX12" i="19"/>
  <c r="AS12" i="19"/>
  <c r="AL12" i="19" s="1"/>
  <c r="L12" i="19"/>
  <c r="AA12" i="19" s="1"/>
  <c r="AT40" i="19"/>
  <c r="BA40" i="19"/>
  <c r="AQ23" i="19"/>
  <c r="AX23" i="19"/>
  <c r="AS23" i="19"/>
  <c r="AL23" i="19" s="1"/>
  <c r="L23" i="19"/>
  <c r="AA23" i="19" s="1"/>
  <c r="AQ25" i="19"/>
  <c r="AX25" i="19"/>
  <c r="AS25" i="19"/>
  <c r="L25" i="19"/>
  <c r="AA25" i="19" s="1"/>
  <c r="AQ13" i="19"/>
  <c r="AX13" i="19"/>
  <c r="AS13" i="19"/>
  <c r="AL13" i="19" s="1"/>
  <c r="L13" i="19"/>
  <c r="AA13" i="19" s="1"/>
  <c r="AT34" i="19"/>
  <c r="BA34" i="19"/>
  <c r="AZ41" i="19"/>
  <c r="AT21" i="19"/>
  <c r="BA21" i="19"/>
  <c r="AZ14" i="19"/>
  <c r="L34" i="19"/>
  <c r="AA34" i="19" s="1"/>
  <c r="L14" i="19"/>
  <c r="AA14" i="19" s="1"/>
  <c r="AQ30" i="19"/>
  <c r="AX30" i="19"/>
  <c r="AS30" i="19"/>
  <c r="AL30" i="19" s="1"/>
  <c r="L30" i="19"/>
  <c r="AA30" i="19" s="1"/>
  <c r="L21" i="19"/>
  <c r="AA21" i="19" s="1"/>
  <c r="AQ36" i="19"/>
  <c r="AX36" i="19"/>
  <c r="AS36" i="19"/>
  <c r="AL36" i="19" s="1"/>
  <c r="L36" i="19"/>
  <c r="AA36" i="19" s="1"/>
  <c r="AQ32" i="19"/>
  <c r="AX32" i="19"/>
  <c r="BB32" i="19" s="1"/>
  <c r="AS32" i="19"/>
  <c r="AL32" i="19" s="1"/>
  <c r="L32" i="19"/>
  <c r="AA32" i="19" s="1"/>
  <c r="AQ6" i="19"/>
  <c r="AX6" i="19"/>
  <c r="BB6" i="19" s="1"/>
  <c r="AS6" i="19"/>
  <c r="AL6" i="19" s="1"/>
  <c r="L6" i="19"/>
  <c r="AA6" i="19" s="1"/>
  <c r="AQ5" i="19"/>
  <c r="AX5" i="19"/>
  <c r="BB5" i="19" s="1"/>
  <c r="AS5" i="19"/>
  <c r="AL5" i="19" s="1"/>
  <c r="L5" i="19"/>
  <c r="AA5" i="19" s="1"/>
  <c r="AQ34" i="19"/>
  <c r="AX34" i="19"/>
  <c r="BB34" i="19" s="1"/>
  <c r="AS34" i="19"/>
  <c r="AZ34" i="19"/>
  <c r="AQ21" i="19"/>
  <c r="AX21" i="19"/>
  <c r="BB21" i="19" s="1"/>
  <c r="AS21" i="19"/>
  <c r="AZ21" i="19"/>
  <c r="AT35" i="19"/>
  <c r="BA35" i="19"/>
  <c r="AQ18" i="19"/>
  <c r="AX18" i="19"/>
  <c r="AS18" i="19"/>
  <c r="AL18" i="19" s="1"/>
  <c r="L18" i="19"/>
  <c r="AA18" i="19" s="1"/>
  <c r="AT38" i="19"/>
  <c r="BA38" i="19"/>
  <c r="AZ40" i="19"/>
  <c r="AQ33" i="19"/>
  <c r="AX33" i="19"/>
  <c r="AS33" i="19"/>
  <c r="L33" i="19"/>
  <c r="AA33" i="19" s="1"/>
  <c r="AQ24" i="19"/>
  <c r="AX24" i="19"/>
  <c r="BB24" i="19" s="1"/>
  <c r="AS24" i="19"/>
  <c r="AL24" i="19" s="1"/>
  <c r="L24" i="19"/>
  <c r="AA24" i="19" s="1"/>
  <c r="AQ15" i="19"/>
  <c r="AX15" i="19"/>
  <c r="AS15" i="19"/>
  <c r="L15" i="19"/>
  <c r="AA15" i="19" s="1"/>
  <c r="AQ16" i="19"/>
  <c r="AX16" i="19"/>
  <c r="AS16" i="19"/>
  <c r="L16" i="19"/>
  <c r="AA16" i="19" s="1"/>
  <c r="AQ7" i="19"/>
  <c r="AX7" i="19"/>
  <c r="AS7" i="19"/>
  <c r="L7" i="19"/>
  <c r="AA7" i="19" s="1"/>
  <c r="AQ27" i="19"/>
  <c r="AX27" i="19"/>
  <c r="AS27" i="19"/>
  <c r="AL27" i="19" s="1"/>
  <c r="L27" i="19"/>
  <c r="AA27" i="19" s="1"/>
  <c r="AQ20" i="19"/>
  <c r="AX20" i="19"/>
  <c r="AS20" i="19"/>
  <c r="L20" i="19"/>
  <c r="AA20" i="19" s="1"/>
  <c r="AX41" i="19"/>
  <c r="AS41" i="19"/>
  <c r="AQ41" i="19"/>
  <c r="AT41" i="19"/>
  <c r="BA41" i="19"/>
  <c r="AQ11" i="19"/>
  <c r="AX11" i="19"/>
  <c r="AS11" i="19"/>
  <c r="L11" i="19"/>
  <c r="AA11" i="19" s="1"/>
  <c r="AQ19" i="19"/>
  <c r="AX19" i="19"/>
  <c r="AS19" i="19"/>
  <c r="AL19" i="19" s="1"/>
  <c r="L19" i="19"/>
  <c r="AA19" i="19" s="1"/>
  <c r="AX14" i="19"/>
  <c r="AS14" i="19"/>
  <c r="AQ14" i="19"/>
  <c r="AT14" i="19"/>
  <c r="BA14" i="19"/>
  <c r="AQ17" i="19"/>
  <c r="AX17" i="19"/>
  <c r="BB17" i="19" s="1"/>
  <c r="AS17" i="19"/>
  <c r="AL17" i="19" s="1"/>
  <c r="L17" i="19"/>
  <c r="AA17" i="19" s="1"/>
  <c r="AQ38" i="19"/>
  <c r="AX38" i="19"/>
  <c r="AS38" i="19"/>
  <c r="AZ38" i="19"/>
  <c r="AQ37" i="19"/>
  <c r="AX37" i="19"/>
  <c r="AS37" i="19"/>
  <c r="AL37" i="19" s="1"/>
  <c r="L37" i="19"/>
  <c r="AA37" i="19" s="1"/>
  <c r="AQ35" i="19"/>
  <c r="AX35" i="19"/>
  <c r="AS35" i="19"/>
  <c r="L35" i="19"/>
  <c r="AA35" i="19" s="1"/>
  <c r="AZ4" i="19"/>
  <c r="AT4" i="19"/>
  <c r="BA4" i="19"/>
  <c r="AQ40" i="19"/>
  <c r="AX40" i="19"/>
  <c r="AS40" i="19"/>
  <c r="L40" i="19"/>
  <c r="AA40" i="19" s="1"/>
  <c r="L4" i="19"/>
  <c r="N4" i="19"/>
  <c r="AR4" i="19"/>
  <c r="AX4" i="19"/>
  <c r="AS4" i="19"/>
  <c r="AQ4" i="19"/>
  <c r="AL41" i="19" l="1"/>
  <c r="BB20" i="19"/>
  <c r="BB27" i="19"/>
  <c r="BB33" i="19"/>
  <c r="BB8" i="19"/>
  <c r="BB39" i="19"/>
  <c r="BB28" i="19"/>
  <c r="AK7" i="19"/>
  <c r="AK12" i="19"/>
  <c r="AK14" i="19"/>
  <c r="AK18" i="19"/>
  <c r="AK20" i="19"/>
  <c r="AK28" i="19"/>
  <c r="AR42" i="19"/>
  <c r="BB37" i="19"/>
  <c r="AL11" i="19"/>
  <c r="BB30" i="19"/>
  <c r="BB13" i="19"/>
  <c r="AL10" i="19"/>
  <c r="AM30" i="19"/>
  <c r="AM20" i="19"/>
  <c r="AM23" i="19"/>
  <c r="AM28" i="19"/>
  <c r="AM18" i="19"/>
  <c r="AM19" i="19"/>
  <c r="AM7" i="19"/>
  <c r="AK8" i="19"/>
  <c r="BB40" i="19"/>
  <c r="BB19" i="19"/>
  <c r="AL16" i="19"/>
  <c r="AL15" i="19"/>
  <c r="BB18" i="19"/>
  <c r="BB23" i="19"/>
  <c r="AK36" i="19"/>
  <c r="AK23" i="19"/>
  <c r="AK27" i="19"/>
  <c r="BA42" i="19"/>
  <c r="AL35" i="19"/>
  <c r="AL25" i="19"/>
  <c r="AU39" i="19"/>
  <c r="BB35" i="19"/>
  <c r="BB25" i="19"/>
  <c r="AL22" i="19"/>
  <c r="AZ42" i="19"/>
  <c r="AL20" i="19"/>
  <c r="AL33" i="19"/>
  <c r="BB22" i="19"/>
  <c r="AM26" i="19"/>
  <c r="AJ10" i="19"/>
  <c r="AK30" i="19"/>
  <c r="AK31" i="19"/>
  <c r="AK39" i="19"/>
  <c r="AU36" i="19"/>
  <c r="AL38" i="19"/>
  <c r="AU20" i="19"/>
  <c r="AJ27" i="19"/>
  <c r="AU15" i="19"/>
  <c r="AJ32" i="19"/>
  <c r="AJ28" i="19"/>
  <c r="AK37" i="19"/>
  <c r="AK34" i="19"/>
  <c r="O4" i="19"/>
  <c r="AJ14" i="19"/>
  <c r="AM40" i="19"/>
  <c r="AK40" i="19"/>
  <c r="AU37" i="19"/>
  <c r="AU38" i="19"/>
  <c r="AU13" i="19"/>
  <c r="AK33" i="19"/>
  <c r="AK5" i="19"/>
  <c r="AK22" i="19"/>
  <c r="AL4" i="19"/>
  <c r="AJ35" i="19"/>
  <c r="AM35" i="19"/>
  <c r="AJ30" i="19"/>
  <c r="AJ8" i="19"/>
  <c r="AL26" i="19"/>
  <c r="AM5" i="19"/>
  <c r="AK17" i="19"/>
  <c r="AJ40" i="19"/>
  <c r="AN40" i="19" s="1"/>
  <c r="AJ41" i="19"/>
  <c r="AM13" i="19"/>
  <c r="AM10" i="19"/>
  <c r="AK24" i="19"/>
  <c r="AL40" i="19"/>
  <c r="AM4" i="19"/>
  <c r="AJ24" i="19"/>
  <c r="AL21" i="19"/>
  <c r="AL34" i="19"/>
  <c r="AJ12" i="19"/>
  <c r="AK16" i="19"/>
  <c r="AU11" i="19"/>
  <c r="AU7" i="19"/>
  <c r="AU33" i="19"/>
  <c r="AU6" i="19"/>
  <c r="AJ25" i="19"/>
  <c r="AN25" i="19" s="1"/>
  <c r="AN28" i="19"/>
  <c r="AL7" i="19"/>
  <c r="AJ6" i="19"/>
  <c r="AK9" i="19"/>
  <c r="AU17" i="19"/>
  <c r="AL14" i="19"/>
  <c r="AM17" i="19"/>
  <c r="AM22" i="19"/>
  <c r="AM25" i="19"/>
  <c r="AK38" i="19"/>
  <c r="BB41" i="19"/>
  <c r="AU21" i="19"/>
  <c r="AJ36" i="19"/>
  <c r="AJ9" i="19"/>
  <c r="AM27" i="19"/>
  <c r="AY42" i="19"/>
  <c r="AU8" i="19"/>
  <c r="AN35" i="19"/>
  <c r="BB38" i="19"/>
  <c r="AM38" i="19"/>
  <c r="AU5" i="19"/>
  <c r="AU29" i="19"/>
  <c r="AU32" i="19"/>
  <c r="AJ39" i="19"/>
  <c r="AU30" i="19"/>
  <c r="Z27" i="19"/>
  <c r="AB27" i="19" s="1"/>
  <c r="M27" i="19" s="1"/>
  <c r="AE27" i="19" s="1"/>
  <c r="AG27" i="19" s="1"/>
  <c r="Z9" i="19"/>
  <c r="AB9" i="19" s="1"/>
  <c r="M9" i="19" s="1"/>
  <c r="AE9" i="19" s="1"/>
  <c r="AG9" i="19" s="1"/>
  <c r="Z25" i="19"/>
  <c r="AB25" i="19" s="1"/>
  <c r="M25" i="19" s="1"/>
  <c r="AE25" i="19" s="1"/>
  <c r="AG25" i="19" s="1"/>
  <c r="Z14" i="19"/>
  <c r="AB14" i="19" s="1"/>
  <c r="M14" i="19" s="1"/>
  <c r="AE14" i="19" s="1"/>
  <c r="AG14" i="19" s="1"/>
  <c r="Z32" i="19"/>
  <c r="AB32" i="19" s="1"/>
  <c r="M32" i="19" s="1"/>
  <c r="AE32" i="19" s="1"/>
  <c r="AG32" i="19" s="1"/>
  <c r="Z19" i="19"/>
  <c r="AB19" i="19" s="1"/>
  <c r="M19" i="19" s="1"/>
  <c r="AE19" i="19" s="1"/>
  <c r="AG19" i="19" s="1"/>
  <c r="Z34" i="19"/>
  <c r="AB34" i="19" s="1"/>
  <c r="M34" i="19" s="1"/>
  <c r="AE34" i="19" s="1"/>
  <c r="AG34" i="19" s="1"/>
  <c r="Z24" i="19"/>
  <c r="AB24" i="19" s="1"/>
  <c r="M24" i="19" s="1"/>
  <c r="AE24" i="19" s="1"/>
  <c r="AG24" i="19" s="1"/>
  <c r="Z30" i="19"/>
  <c r="AB30" i="19" s="1"/>
  <c r="M30" i="19" s="1"/>
  <c r="AE30" i="19" s="1"/>
  <c r="AG30" i="19" s="1"/>
  <c r="AX42" i="19"/>
  <c r="BB4" i="19"/>
  <c r="L42" i="19"/>
  <c r="AU19" i="19"/>
  <c r="AM41" i="19"/>
  <c r="AN41" i="19" s="1"/>
  <c r="BB16" i="19"/>
  <c r="AU23" i="19"/>
  <c r="BB12" i="19"/>
  <c r="AU26" i="19"/>
  <c r="AM15" i="19"/>
  <c r="AJ17" i="19"/>
  <c r="AN17" i="19" s="1"/>
  <c r="AJ5" i="19"/>
  <c r="AN5" i="19" s="1"/>
  <c r="AJ20" i="19"/>
  <c r="AM8" i="19"/>
  <c r="AN8" i="19" s="1"/>
  <c r="AM29" i="19"/>
  <c r="AM11" i="19"/>
  <c r="AJ23" i="19"/>
  <c r="AN23" i="19" s="1"/>
  <c r="AM32" i="19"/>
  <c r="AN32" i="19" s="1"/>
  <c r="AM9" i="19"/>
  <c r="AM36" i="19"/>
  <c r="AN36" i="19" s="1"/>
  <c r="AJ19" i="19"/>
  <c r="AJ26" i="19"/>
  <c r="AN26" i="19" s="1"/>
  <c r="AB18" i="19"/>
  <c r="M18" i="19" s="1"/>
  <c r="AE18" i="19" s="1"/>
  <c r="AG18" i="19" s="1"/>
  <c r="AB41" i="19"/>
  <c r="M41" i="19" s="1"/>
  <c r="AE41" i="19" s="1"/>
  <c r="AG41" i="19" s="1"/>
  <c r="AB39" i="19"/>
  <c r="M39" i="19" s="1"/>
  <c r="AE39" i="19" s="1"/>
  <c r="AG39" i="19" s="1"/>
  <c r="AB8" i="19"/>
  <c r="M8" i="19" s="1"/>
  <c r="AE8" i="19" s="1"/>
  <c r="AG8" i="19" s="1"/>
  <c r="AB10" i="19"/>
  <c r="M10" i="19" s="1"/>
  <c r="AE10" i="19" s="1"/>
  <c r="AG10" i="19" s="1"/>
  <c r="AB26" i="19"/>
  <c r="M26" i="19" s="1"/>
  <c r="AE26" i="19" s="1"/>
  <c r="AG26" i="19" s="1"/>
  <c r="AB28" i="19"/>
  <c r="M28" i="19" s="1"/>
  <c r="AE28" i="19" s="1"/>
  <c r="AG28" i="19" s="1"/>
  <c r="AB17" i="19"/>
  <c r="M17" i="19" s="1"/>
  <c r="AE17" i="19" s="1"/>
  <c r="AG17" i="19" s="1"/>
  <c r="AB11" i="19"/>
  <c r="M11" i="19" s="1"/>
  <c r="AE11" i="19" s="1"/>
  <c r="AG11" i="19" s="1"/>
  <c r="AJ38" i="19"/>
  <c r="AU14" i="19"/>
  <c r="K42" i="19"/>
  <c r="Z5" i="19"/>
  <c r="AQ42" i="19"/>
  <c r="AT42" i="19"/>
  <c r="AM14" i="19"/>
  <c r="AN14" i="19" s="1"/>
  <c r="BB11" i="19"/>
  <c r="AU27" i="19"/>
  <c r="AU16" i="19"/>
  <c r="AU24" i="19"/>
  <c r="AU18" i="19"/>
  <c r="AU34" i="19"/>
  <c r="BB36" i="19"/>
  <c r="AM21" i="19"/>
  <c r="AM34" i="19"/>
  <c r="AU12" i="19"/>
  <c r="BB10" i="19"/>
  <c r="AJ15" i="19"/>
  <c r="AN15" i="19" s="1"/>
  <c r="AJ16" i="19"/>
  <c r="AN16" i="19" s="1"/>
  <c r="AM37" i="19"/>
  <c r="AJ29" i="19"/>
  <c r="AN29" i="19" s="1"/>
  <c r="AJ11" i="19"/>
  <c r="AM33" i="19"/>
  <c r="Z12" i="19"/>
  <c r="AB12" i="19" s="1"/>
  <c r="M12" i="19" s="1"/>
  <c r="AE12" i="19" s="1"/>
  <c r="AG12" i="19" s="1"/>
  <c r="Z7" i="19"/>
  <c r="AB7" i="19" s="1"/>
  <c r="M7" i="19" s="1"/>
  <c r="AE7" i="19" s="1"/>
  <c r="AG7" i="19" s="1"/>
  <c r="Z22" i="19"/>
  <c r="AB22" i="19" s="1"/>
  <c r="M22" i="19" s="1"/>
  <c r="AE22" i="19" s="1"/>
  <c r="AG22" i="19" s="1"/>
  <c r="Z40" i="19"/>
  <c r="AB40" i="19" s="1"/>
  <c r="M40" i="19" s="1"/>
  <c r="AE40" i="19" s="1"/>
  <c r="AG40" i="19" s="1"/>
  <c r="Z31" i="19"/>
  <c r="AB31" i="19" s="1"/>
  <c r="M31" i="19" s="1"/>
  <c r="AE31" i="19" s="1"/>
  <c r="AG31" i="19" s="1"/>
  <c r="Z37" i="19"/>
  <c r="AB37" i="19" s="1"/>
  <c r="M37" i="19" s="1"/>
  <c r="AE37" i="19" s="1"/>
  <c r="AG37" i="19" s="1"/>
  <c r="Z20" i="19"/>
  <c r="AB20" i="19" s="1"/>
  <c r="M20" i="19" s="1"/>
  <c r="AE20" i="19" s="1"/>
  <c r="AG20" i="19" s="1"/>
  <c r="Z21" i="19"/>
  <c r="AB21" i="19" s="1"/>
  <c r="M21" i="19" s="1"/>
  <c r="AE21" i="19" s="1"/>
  <c r="AG21" i="19" s="1"/>
  <c r="Z33" i="19"/>
  <c r="AB33" i="19" s="1"/>
  <c r="M33" i="19" s="1"/>
  <c r="AE33" i="19" s="1"/>
  <c r="AG33" i="19" s="1"/>
  <c r="AJ22" i="19"/>
  <c r="AS42" i="19"/>
  <c r="AU4" i="19"/>
  <c r="N42" i="19"/>
  <c r="AK4" i="19"/>
  <c r="AF4" i="19"/>
  <c r="AA4" i="19"/>
  <c r="AU40" i="19"/>
  <c r="AJ4" i="19"/>
  <c r="AU35" i="19"/>
  <c r="BB14" i="19"/>
  <c r="AU41" i="19"/>
  <c r="BB7" i="19"/>
  <c r="BB15" i="19"/>
  <c r="AJ21" i="19"/>
  <c r="AJ34" i="19"/>
  <c r="AN34" i="19" s="1"/>
  <c r="AU25" i="19"/>
  <c r="AU10" i="19"/>
  <c r="AU31" i="19"/>
  <c r="AU9" i="19"/>
  <c r="AU28" i="19"/>
  <c r="AJ37" i="19"/>
  <c r="AN37" i="19" s="1"/>
  <c r="AM6" i="19"/>
  <c r="AN6" i="19" s="1"/>
  <c r="AJ31" i="19"/>
  <c r="AN31" i="19" s="1"/>
  <c r="AJ33" i="19"/>
  <c r="AN33" i="19" s="1"/>
  <c r="AM24" i="19"/>
  <c r="AN24" i="19" s="1"/>
  <c r="AJ18" i="19"/>
  <c r="AM39" i="19"/>
  <c r="AJ7" i="19"/>
  <c r="AM12" i="19"/>
  <c r="AN12" i="19" s="1"/>
  <c r="AJ13" i="19"/>
  <c r="AN13" i="19" s="1"/>
  <c r="AK10" i="19"/>
  <c r="AN10" i="19" s="1"/>
  <c r="AK19" i="19"/>
  <c r="AK21" i="19"/>
  <c r="AB13" i="19"/>
  <c r="M13" i="19" s="1"/>
  <c r="AE13" i="19" s="1"/>
  <c r="AG13" i="19" s="1"/>
  <c r="AB15" i="19"/>
  <c r="M15" i="19" s="1"/>
  <c r="AE15" i="19" s="1"/>
  <c r="AG15" i="19" s="1"/>
  <c r="AB36" i="19"/>
  <c r="M36" i="19" s="1"/>
  <c r="AE36" i="19" s="1"/>
  <c r="AG36" i="19" s="1"/>
  <c r="AB35" i="19"/>
  <c r="M35" i="19" s="1"/>
  <c r="AE35" i="19" s="1"/>
  <c r="AG35" i="19" s="1"/>
  <c r="AB38" i="19"/>
  <c r="M38" i="19" s="1"/>
  <c r="AE38" i="19" s="1"/>
  <c r="AG38" i="19" s="1"/>
  <c r="AB16" i="19"/>
  <c r="M16" i="19" s="1"/>
  <c r="AE16" i="19" s="1"/>
  <c r="AG16" i="19" s="1"/>
  <c r="AB6" i="19"/>
  <c r="M6" i="19" s="1"/>
  <c r="AE6" i="19" s="1"/>
  <c r="AG6" i="19" s="1"/>
  <c r="AB23" i="19"/>
  <c r="M23" i="19" s="1"/>
  <c r="AE23" i="19" s="1"/>
  <c r="AG23" i="19" s="1"/>
  <c r="AB29" i="19"/>
  <c r="M29" i="19" s="1"/>
  <c r="AE29" i="19" s="1"/>
  <c r="AG29" i="19" s="1"/>
  <c r="O18" i="19"/>
  <c r="O13" i="19"/>
  <c r="O41" i="19"/>
  <c r="O39" i="19"/>
  <c r="O36" i="19"/>
  <c r="O10" i="19"/>
  <c r="O38" i="19"/>
  <c r="O26" i="19"/>
  <c r="O28" i="19"/>
  <c r="O17" i="19"/>
  <c r="O11" i="19"/>
  <c r="O29" i="19"/>
  <c r="O8" i="19" l="1"/>
  <c r="AN7" i="19"/>
  <c r="AN22" i="19"/>
  <c r="AN20" i="19"/>
  <c r="AN27" i="19"/>
  <c r="AN30" i="19"/>
  <c r="AN38" i="19"/>
  <c r="AN18" i="19"/>
  <c r="AN9" i="19"/>
  <c r="O6" i="19"/>
  <c r="AL42" i="19"/>
  <c r="AG4" i="19"/>
  <c r="AF42" i="19"/>
  <c r="AB5" i="19"/>
  <c r="M5" i="19" s="1"/>
  <c r="Z42" i="19"/>
  <c r="BB42" i="19"/>
  <c r="AM42" i="19"/>
  <c r="AN4" i="19"/>
  <c r="AJ42" i="19"/>
  <c r="AK42" i="19"/>
  <c r="O21" i="19"/>
  <c r="O37" i="19"/>
  <c r="O40" i="19"/>
  <c r="O7" i="19"/>
  <c r="AN11" i="19"/>
  <c r="AN19" i="19"/>
  <c r="O24" i="19"/>
  <c r="O19" i="19"/>
  <c r="O14" i="19"/>
  <c r="O9" i="19"/>
  <c r="AN39" i="19"/>
  <c r="O23" i="19"/>
  <c r="O16" i="19"/>
  <c r="O35" i="19"/>
  <c r="O15" i="19"/>
  <c r="AN21" i="19"/>
  <c r="AB4" i="19"/>
  <c r="AB42" i="19" s="1"/>
  <c r="AA42" i="19"/>
  <c r="AU42" i="19"/>
  <c r="O33" i="19"/>
  <c r="O20" i="19"/>
  <c r="O31" i="19"/>
  <c r="O22" i="19"/>
  <c r="O12" i="19"/>
  <c r="O30" i="19"/>
  <c r="O34" i="19"/>
  <c r="O32" i="19"/>
  <c r="O25" i="19"/>
  <c r="O27" i="19"/>
  <c r="AN42" i="19" l="1"/>
  <c r="AE5" i="19"/>
  <c r="M42" i="19"/>
  <c r="O5" i="19"/>
  <c r="O42" i="19" s="1"/>
  <c r="AN43" i="19" s="1"/>
  <c r="AU43" i="19"/>
  <c r="AE42" i="19" l="1"/>
  <c r="AG5" i="19"/>
  <c r="AG42" i="19" s="1"/>
  <c r="BB43" i="19" l="1"/>
  <c r="O43" i="19"/>
</calcChain>
</file>

<file path=xl/sharedStrings.xml><?xml version="1.0" encoding="utf-8"?>
<sst xmlns="http://schemas.openxmlformats.org/spreadsheetml/2006/main" count="20346" uniqueCount="450">
  <si>
    <t>No</t>
  </si>
  <si>
    <t>Kabupaten/Kota</t>
  </si>
  <si>
    <t>Skala Usaha</t>
  </si>
  <si>
    <t>Jumlah Total</t>
  </si>
  <si>
    <t>Jenis Kegiatan</t>
  </si>
  <si>
    <t>Mikro</t>
  </si>
  <si>
    <t>Kecil</t>
  </si>
  <si>
    <t>Menengah</t>
  </si>
  <si>
    <t>Besar</t>
  </si>
  <si>
    <t>Fermentasi</t>
  </si>
  <si>
    <t>Pelumatan Daging Ikan</t>
  </si>
  <si>
    <t>Pembekuan</t>
  </si>
  <si>
    <t>Pemindangan</t>
  </si>
  <si>
    <t>Penanganan Produk Segar</t>
  </si>
  <si>
    <t>Pengalengan</t>
  </si>
  <si>
    <t>Pengasapan/Pemanggangan</t>
  </si>
  <si>
    <t>Pereduksian/Ekstraksi</t>
  </si>
  <si>
    <t>Penggaraman/Pengeringan</t>
  </si>
  <si>
    <t>Pengolahan Lainnya</t>
  </si>
  <si>
    <t>Pengecer</t>
  </si>
  <si>
    <t>Pengumpul/Pedagang Besar/Distributor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</si>
  <si>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</si>
  <si>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</si>
  <si>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</si>
  <si>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</si>
  <si>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</si>
  <si>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</si>
  <si>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</si>
  <si>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</si>
  <si>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</si>
  <si>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</si>
  <si>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</si>
  <si>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</si>
  <si>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</si>
  <si>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MALANG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</si>
  <si>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</si>
  <si>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</si>
  <si>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</si>
  <si>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</si>
  <si>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</si>
  <si>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</si>
  <si>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</si>
  <si>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</si>
  <si>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</si>
  <si>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</si>
  <si>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</si>
  <si>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</si>
  <si>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</si>
  <si>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</si>
  <si>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</si>
  <si>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</si>
  <si>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</si>
  <si>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</si>
  <si>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</si>
  <si>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</si>
  <si>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</si>
  <si>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</si>
  <si>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</si>
  <si>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</si>
  <si>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Grand Total</t>
  </si>
  <si>
    <t>Kabupaten</t>
  </si>
  <si>
    <t>Skala</t>
  </si>
  <si>
    <t>Patin</t>
  </si>
  <si>
    <t>Bandeng</t>
  </si>
  <si>
    <t>Tongkol</t>
  </si>
  <si>
    <t>Asal Bahan Baku</t>
  </si>
  <si>
    <t>Jmlah Total</t>
  </si>
  <si>
    <t>Dalam Kab/Kota</t>
  </si>
  <si>
    <t>Luar Kab/Kota Jatim</t>
  </si>
  <si>
    <t>Luar Jatim</t>
  </si>
  <si>
    <t>Luar Negeri</t>
  </si>
  <si>
    <t>Tuna</t>
  </si>
  <si>
    <t>Cakalang</t>
  </si>
  <si>
    <t>Layang</t>
  </si>
  <si>
    <t>Layur</t>
  </si>
  <si>
    <t>Lemuru</t>
  </si>
  <si>
    <t xml:space="preserve">Udang </t>
  </si>
  <si>
    <t>Rumput Laut</t>
  </si>
  <si>
    <t>Lain-lain</t>
  </si>
  <si>
    <t>Jenis Sertifikat</t>
  </si>
  <si>
    <t>HACCP</t>
  </si>
  <si>
    <t>SNI</t>
  </si>
  <si>
    <t>HALAL</t>
  </si>
  <si>
    <t>SKP</t>
  </si>
  <si>
    <t>PIRT</t>
  </si>
  <si>
    <t>Kegiatan</t>
  </si>
  <si>
    <t>NIB</t>
  </si>
  <si>
    <t>NPWP</t>
  </si>
  <si>
    <t>KUSUKA</t>
  </si>
  <si>
    <t>Pengesahan MENKUMHAM</t>
  </si>
  <si>
    <t>Akta Pendirian Usaha</t>
  </si>
  <si>
    <t>SIUP Perikanan</t>
  </si>
  <si>
    <t>SIUP Perdagangan</t>
  </si>
  <si>
    <t>26</t>
  </si>
  <si>
    <t>10</t>
  </si>
  <si>
    <t>05</t>
  </si>
  <si>
    <t>22</t>
  </si>
  <si>
    <t>11</t>
  </si>
  <si>
    <t>25</t>
  </si>
  <si>
    <t>09</t>
  </si>
  <si>
    <t>17</t>
  </si>
  <si>
    <t>06</t>
  </si>
  <si>
    <t>24</t>
  </si>
  <si>
    <t>08</t>
  </si>
  <si>
    <t>19</t>
  </si>
  <si>
    <t>20</t>
  </si>
  <si>
    <t>07</t>
  </si>
  <si>
    <t>16</t>
  </si>
  <si>
    <t>18</t>
  </si>
  <si>
    <t>21</t>
  </si>
  <si>
    <t>01</t>
  </si>
  <si>
    <t>28</t>
  </si>
  <si>
    <t>14</t>
  </si>
  <si>
    <t>02</t>
  </si>
  <si>
    <t>13</t>
  </si>
  <si>
    <t>27</t>
  </si>
  <si>
    <t>15</t>
  </si>
  <si>
    <t>12</t>
  </si>
  <si>
    <t>29</t>
  </si>
  <si>
    <t>03</t>
  </si>
  <si>
    <t>23</t>
  </si>
  <si>
    <t>04</t>
  </si>
  <si>
    <t>79</t>
  </si>
  <si>
    <t>72</t>
  </si>
  <si>
    <t>71</t>
  </si>
  <si>
    <t>77</t>
  </si>
  <si>
    <t>73</t>
  </si>
  <si>
    <t>76</t>
  </si>
  <si>
    <t>75</t>
  </si>
  <si>
    <t>74</t>
  </si>
  <si>
    <t>78</t>
  </si>
  <si>
    <t>Pengasapan/ Pemanggangan</t>
  </si>
  <si>
    <t>Pereduksian/ Ekstraksi</t>
  </si>
  <si>
    <t>Pengumpul/ Pedagang Besar/ Distributor</t>
  </si>
  <si>
    <t>Penggaraman/ Pengeringan</t>
  </si>
  <si>
    <t>Pereduksian /Ekstraksi</t>
  </si>
  <si>
    <t>Penggaraman /Pengeringan</t>
  </si>
  <si>
    <t>Pengumpul/ Pedagang Besar /Distributor</t>
  </si>
  <si>
    <t>Pengasapan /Pemanggangan</t>
  </si>
  <si>
    <t>Jenis Ikan</t>
  </si>
  <si>
    <t>Lokasi/ Domisili</t>
  </si>
  <si>
    <t>Tabel 1 Jumlah Unit Usaha Aktif berdasarkan Jenis Kegiatan</t>
  </si>
  <si>
    <t>Tabel 2 Jumlah Unit Usaha Aktif berdasarkan Jenis Kegiatan Pengolahan</t>
  </si>
  <si>
    <t>Tabel 3 Jumlah Unit Usaha Aktif berdasarkan Jenis Kegiatan Pemasaran</t>
  </si>
  <si>
    <t xml:space="preserve">Tabel 4 Jumlah Unit Usaha Aktif berdasarkan Skala Usaha </t>
  </si>
  <si>
    <t>Tabel 5 Jumlah Unit Usaha Aktif berdasarkan Skala Usaha pada Kegiatan Pengolahan</t>
  </si>
  <si>
    <t>Tabel 6 Jumlah Unit Usaha Aktif berdasarkan Skala Usaha pada Kegiatan Pemasaran</t>
  </si>
  <si>
    <t xml:space="preserve">Tabel 7 Jumlah Unit Usaha Aktif berdasarkan Skala Usaha pada Jenis Kegiatan Fermentasi </t>
  </si>
  <si>
    <t xml:space="preserve">Tabel 8 Jumlah Unit Usaha Aktif berdasarkan Skala Usaha pada Jenis Kegiatan Pelumatan Daging Ikan </t>
  </si>
  <si>
    <t xml:space="preserve">Tabel 9 Jumlah Unit Usaha Aktif berdasarkan Skala Usaha pada Jenis Kegiatan Pembekuan </t>
  </si>
  <si>
    <t xml:space="preserve">Tabel 10 Jumlah Unit Usaha Aktif berdasarkan Skala Usaha pada Jenis Kegiatan Pemindangan </t>
  </si>
  <si>
    <t xml:space="preserve">Tabel 11 Jumlah Unit Usaha Aktif berdasarkan Skala Usaha pada Jenis Kegiatan Penanganan Produk Segar  </t>
  </si>
  <si>
    <t xml:space="preserve">Tabel 12 Jumlah Unit Usaha Aktif berdasarkan Skala Usaha pada Jenis Kegiatan Pengalengan </t>
  </si>
  <si>
    <t xml:space="preserve">Tabel 13 Jumlah Unit Usaha Aktif berdasarkan Skala Usaha pada Jenis Kegiatan Pengasapan / Pemanggangan </t>
  </si>
  <si>
    <t xml:space="preserve">Tabel 14 Jumlah Unit Usaha Aktif berdasarkan Skala Usaha pada Jenis Kegiatan Penggaraman / Pengeringan </t>
  </si>
  <si>
    <t xml:space="preserve">Tabel 15 Jumlah Unit Usaha Aktif berdasarkan Skala Usaha pada Jenis Kegiatan Pereduksian/Ekstraksi </t>
  </si>
  <si>
    <t xml:space="preserve">Tabel 16 Jumlah Unit Usaha Aktif berdasarkan Skala Usaha pada Jenis Kegiatan Pengolahan Lainnya </t>
  </si>
  <si>
    <t xml:space="preserve">Tabel 17 Jumlah Unit Usaha Aktif berdasarkan Skala Usaha pada Jenis Kegiatan Pengumpul/Pedagang Besar/Distributor </t>
  </si>
  <si>
    <t xml:space="preserve">Tabel 18 Jumlah Unit Usaha Aktif berdasarkan Skala Usaha pada Jenis Kegiatan Pengecer </t>
  </si>
  <si>
    <t>Tabel 19 Jumlah Kapasitas (Kg) berdasarkan Jenis Kegiatan</t>
  </si>
  <si>
    <t>Tabel 20 Jumlah Kapasitas (Kg) berdasarkan Jenis Kegiatan Pengolahan</t>
  </si>
  <si>
    <t>Tabel 21 Jumlah Kapasitas (Kg) berdasarkan Jenis Kegiatan Pemasaran</t>
  </si>
  <si>
    <t xml:space="preserve">Tabel 22 Jumlah Kapasitas (Kg) berdasarkan Skala Usaha </t>
  </si>
  <si>
    <t>Tabel 23 Jumlah Kapasitas (Kg) berdasarkan Skala Usaha pada Kegiatan Pengolahan</t>
  </si>
  <si>
    <t>Tabel 24 Jumlah Kapasitas (Kg) berdasarkan Skala Usaha pada Kegiatan Pemasaran</t>
  </si>
  <si>
    <t xml:space="preserve">Tabel 25 Jumlah Kapasitas (Kg) berdasarkan Skala Usaha pada Jenis Kegiatan Fermentasi </t>
  </si>
  <si>
    <t xml:space="preserve">Tabel 26 Jumlah Kapasitas (Kg) berdasarkan Skala Usaha pada Jenis Kegiatan Pelumatan Daging Ikan </t>
  </si>
  <si>
    <t xml:space="preserve">Tabel 27 Jumlah Kapasitas (Kg) berdasarkan Skala Usaha pada Jenis Kegiatan Pembekuan </t>
  </si>
  <si>
    <t xml:space="preserve">Tabel 28 Jumlah Kapasitas (Kg) berdasarkan Skala Usaha pada Jenis Kegiatan Pemindangan </t>
  </si>
  <si>
    <t xml:space="preserve">Tabel 29 Jumlah Kapasitas (Kg) berdasarkan Skala Usaha pada Jenis Kegiatan Penanganan Produk Segar  </t>
  </si>
  <si>
    <t xml:space="preserve">Tabel 30 Jumlah Kapasitas (Kg) berdasarkan Skala Usaha pada Jenis Kegiatan Pengalengan </t>
  </si>
  <si>
    <t xml:space="preserve">Tabel 31 Jumlah Kapasitas (Kg) berdasarkan Skala Usaha pada Jenis Kegiatan Pengasapan / Pemanggangan </t>
  </si>
  <si>
    <t xml:space="preserve">Tabel 32 Jumlah Kapasitas (Kg) berdasarkan Skala Usaha pada Jenis Kegiatan Penggaraman / Pengeringan </t>
  </si>
  <si>
    <t xml:space="preserve">Tabel 33 Jumlah Kapasitas (Kg) berdasarkan Skala Usaha pada Jenis Kegiatan Pereduksian/Ekstraksi </t>
  </si>
  <si>
    <t xml:space="preserve">Tabel 34 Jumlah Kapasitas (Kg) berdasarkan Skala Usaha pada Jenis Kegiatan Pengolahan Lainnya </t>
  </si>
  <si>
    <t xml:space="preserve">Tabel 35 Jumlah Kapasitas (Kg) berdasarkan Skala Usaha pada Jenis Kegiatan Pengumpul/Pedagang Besar/Distributor </t>
  </si>
  <si>
    <t xml:space="preserve">Tabel 36 Jumlah Kapasitas (Kg) berdasarkan Skala Usaha pada Jenis Kegiatan Pengecer </t>
  </si>
  <si>
    <t>Tabel 37 Jumlah Biaya (Rp) berdasarkan Jenis Kegiatan</t>
  </si>
  <si>
    <t>Tabel 38 Jumlah Biaya (Rp) berdasarkan Jenis Kegiatan Pengolahan</t>
  </si>
  <si>
    <t>Tabel 39 Jumlah Biaya (Rp) berdasarkan Jenis Kegiatan Pemasaran</t>
  </si>
  <si>
    <t xml:space="preserve">Tabel 40 Jumlah Biaya (Rp) berdasarkan Skala Usaha </t>
  </si>
  <si>
    <t>Tabel 41 Jumlah Biaya (Rp) berdasarkan Skala Usaha pada Kegiatan Pengolahan</t>
  </si>
  <si>
    <t>Tabel 42 Jumlah Biaya (Rp) berdasarkan Skala Usaha pada Kegiatan Pemasaran</t>
  </si>
  <si>
    <t xml:space="preserve">Tabel 43 Jumlah Biaya (Rp) berdasarkan Skala Usaha pada Jenis Kegiatan Fermentasi </t>
  </si>
  <si>
    <t xml:space="preserve">Tabel 44 Jumlah Biaya (Rp) berdasarkan Skala Usaha pada Jenis Kegiatan Pelumatan Daging Ikan </t>
  </si>
  <si>
    <t xml:space="preserve">Tabel 45 Jumlah Biaya (Rp) berdasarkan Skala Usaha pada Jenis Kegiatan Pembekuan </t>
  </si>
  <si>
    <t xml:space="preserve">Tabel 46 Jumlah Biaya (Rp) berdasarkan Skala Usaha pada Jenis Kegiatan Pemindangan </t>
  </si>
  <si>
    <t xml:space="preserve">Tabel 47 Jumlah Biaya (Rp) berdasarkan Skala Usaha pada Jenis Kegiatan Penanganan Produk Segar  </t>
  </si>
  <si>
    <t xml:space="preserve">Tabel 48 Jumlah Biaya (Rp) berdasarkan Skala Usaha pada Jenis Kegiatan Pengalengan </t>
  </si>
  <si>
    <t xml:space="preserve">Tabel 49 Jumlah Biaya (Rp) berdasarkan Skala Usaha pada Jenis Kegiatan Pengasapan / Pemanggangan </t>
  </si>
  <si>
    <t xml:space="preserve">Tabel 50 Jumlah Biaya (Rp) berdasarkan Skala Usaha pada Jenis Kegiatan Penggaraman / Pengeringan </t>
  </si>
  <si>
    <t xml:space="preserve">Tabel 51 Jumlah Biaya (Rp) berdasarkan Skala Usaha pada Jenis Kegiatan Pereduksian/Ekstraksi </t>
  </si>
  <si>
    <t xml:space="preserve">Tabel 52 Jumlah Biaya (Rp) berdasarkan Skala Usaha pada Jenis Kegiatan Pengolahan Lainnya </t>
  </si>
  <si>
    <t xml:space="preserve">Tabel 53 Jumlah Biaya (Rp) berdasarkan Skala Usaha pada Jenis Kegiatan Pengumpul/Pedagang Besar/Distributor </t>
  </si>
  <si>
    <t xml:space="preserve">Tabel 54 Jumlah Biaya (Rp) berdasarkan Skala Usaha pada Jenis Kegiatan Pengecer </t>
  </si>
  <si>
    <t>Tabel 55 Jumlah Hasil Produksi (Kg) berdasarkan Jenis Kegiatan</t>
  </si>
  <si>
    <t xml:space="preserve">Tabel 68 Jumlah Hasil Produksi (Kg) berdasarkan Skala Usaha pada Jenis Kegiatan Penggaraman / Pengeringan </t>
  </si>
  <si>
    <t>Tabel 56 Jumlah Hasil Produksi (Kg) berdasarkan Jenis Kegiatan Pengolahan</t>
  </si>
  <si>
    <t>Tabel 57 Jumlah Hasil Produksi (Kg) berdasarkan Jenis Kegiatan Pemasaran</t>
  </si>
  <si>
    <t xml:space="preserve">Tabel 58 Jumlah Hasil Produksi (Kg) berdasarkan Skala Usaha </t>
  </si>
  <si>
    <t>Tabel 59 Jumlah Hasil Produksi (Kg) berdasarkan Skala Usaha pada Kegiatan Pengolahan</t>
  </si>
  <si>
    <t>Tabel 60 Jumlah Hasil Produksi (Kg) berdasarkan Skala Usaha pada Kegiatan Pemasaran</t>
  </si>
  <si>
    <t xml:space="preserve">Tabel 61 Jumlah Hasil Produksi (Kg) berdasarkan Skala Usaha pada Jenis Kegiatan Fermentasi </t>
  </si>
  <si>
    <t xml:space="preserve">Tabel 62 Jumlah Hasil Produksi (Kg) berdasarkan Skala Usaha pada Jenis Kegiatan Pelumatan Daging Ikan </t>
  </si>
  <si>
    <t xml:space="preserve">Tabel 63 Jumlah Hasil Produksi (Kg) berdasarkan Skala Usaha pada Jenis Kegiatan Pembekuan </t>
  </si>
  <si>
    <t xml:space="preserve">Tabel 64 Jumlah Hasil Produksi (Kg) berdasarkan Skala Usaha pada Jenis Kegiatan Pemindangan </t>
  </si>
  <si>
    <t xml:space="preserve">Tabel 65 Jumlah Hasil Produksi (Kg) berdasarkan Skala Usaha pada Jenis Kegiatan Penanganan Produk Segar  </t>
  </si>
  <si>
    <t xml:space="preserve">Tabel 66 Jumlah Hasil Produksi (Kg) berdasarkan Skala Usaha pada Jenis Kegiatan Pengalengan </t>
  </si>
  <si>
    <t xml:space="preserve">Tabel 67 Jumlah Hasil Produksi (Kg) berdasarkan Skala Usaha pada Jenis Kegiatan Pengasapan / Pemanggangan </t>
  </si>
  <si>
    <t xml:space="preserve">Tabel 69 Jumlah Hasil Produksi (Kg) berdasarkan Skala Usaha pada Jenis Kegiatan Pereduksian/Ekstraksi </t>
  </si>
  <si>
    <t xml:space="preserve">Tabel 70 Jumlah Hasil Produksi (Kg) berdasarkan Skala Usaha pada Jenis Kegiatan Pengolahan Lainnya </t>
  </si>
  <si>
    <t xml:space="preserve">Tabel 71 Jumlah Hasil Produksi (Kg) berdasarkan Skala Usaha pada Jenis Kegiatan Pengumpul/Pedagang Besar/Distributor </t>
  </si>
  <si>
    <t xml:space="preserve">Tabel 72 Jumlah Hasil Produksi (Kg) berdasarkan Skala Usaha pada Jenis Kegiatan Pengecer </t>
  </si>
  <si>
    <t>Tabel 73 Jumlah Hasil Produksi (Rp) berdasarkan Jenis Kegiatan</t>
  </si>
  <si>
    <t>Tabel 74 Jumlah Hasil Produksi (Rp) berdasarkan Jenis Kegiatan Pengolahan</t>
  </si>
  <si>
    <t>Tabel 75 Jumlah Hasil Produksi (Rp) berdasarkan Jenis Kegiatan Pemasaran</t>
  </si>
  <si>
    <t xml:space="preserve">Tabel 76 Jumlah Hasil Produksi (Rp) berdasarkan Skala Usaha </t>
  </si>
  <si>
    <t>Tabel 77 Jumlah Hasil Produksi (Rp) berdasarkan Skala Usaha pada Kegiatan Pengolahan</t>
  </si>
  <si>
    <t>Tabel 78 Jumlah Hasil Produksi (Rp) berdasarkan Skala Usaha pada Kegiatan Pemasaran</t>
  </si>
  <si>
    <t xml:space="preserve">Tabel 79 Jumlah Hasil Produksi (Rp) berdasarkan Skala Usaha pada Jenis Kegiatan Fermentasi </t>
  </si>
  <si>
    <t xml:space="preserve">Tabel 80 Jumlah Hasil Produksi (Rp) berdasarkan Skala Usaha pada Jenis Kegiatan Pelumatan Daging Ikan </t>
  </si>
  <si>
    <t xml:space="preserve">Tabel 81 Jumlah Hasil Produksi (Rp) berdasarkan Skala Usaha pada Jenis Kegiatan Pembekuan </t>
  </si>
  <si>
    <t xml:space="preserve">Tabel 82 Jumlah Hasil Produksi (Rp) berdasarkan Skala Usaha pada Jenis Kegiatan Pemindangan </t>
  </si>
  <si>
    <t xml:space="preserve">Tabel 83 Jumlah Hasil Produksi (Rp) berdasarkan Skala Usaha pada Jenis Kegiatan Penanganan Produk Segar  </t>
  </si>
  <si>
    <t xml:space="preserve">Tabel 84 Jumlah Hasil Produksi (Rp) berdasarkan Skala Usaha pada Jenis Kegiatan Pengalengan </t>
  </si>
  <si>
    <t xml:space="preserve">Tabel 84 Jumlah Hasil Produksi (Rp) berdasarkan Skala Usaha pada Jenis Kegiatan Pengasapan / Pemanggangan </t>
  </si>
  <si>
    <r>
      <rPr>
        <sz val="8"/>
        <color theme="1"/>
        <rFont val="Calibri"/>
        <family val="2"/>
        <scheme val="minor"/>
      </rPr>
      <t xml:space="preserve"> Tabel 86 </t>
    </r>
    <r>
      <rPr>
        <b/>
        <sz val="8"/>
        <color theme="1"/>
        <rFont val="Calibri"/>
        <family val="2"/>
        <scheme val="minor"/>
      </rPr>
      <t xml:space="preserve">Jumlah Hasil Produksi (Rp) berdasarkan Skala Usaha pada Jenis Kegiatan Penggaraman / Pengeringan </t>
    </r>
  </si>
  <si>
    <t xml:space="preserve">Tabel 87 Jumlah Hasil Produksi (Rp) berdasarkan Skala Usaha pada Jenis Kegiatan Pereduksian/Ekstraksi </t>
  </si>
  <si>
    <t xml:space="preserve">Tabel 88 Jumlah Hasil Produksi (Rp) berdasarkan Skala Usaha pada Jenis Kegiatan Pengolahan Lainnya </t>
  </si>
  <si>
    <t xml:space="preserve">Tabel 89 Jumlah Hasil Produksi (Rp) berdasarkan Skala Usaha pada Jenis Kegiatan Pengumpul/Pedagang Besar/Distributor </t>
  </si>
  <si>
    <t xml:space="preserve">Tabel 90 Jumlah Hasil Produksi (Rp) berdasarkan Skala Usaha pada Jenis Kegiatan Pengecer </t>
  </si>
  <si>
    <t>Tabel 91 Nilai Tambah (Rp) berdasarkan Jenis Kegiatan</t>
  </si>
  <si>
    <t>Tabel 92 Nilai Tambah (Rp) berdasarkan Jenis Kegiatan Pengolahan</t>
  </si>
  <si>
    <t>Tabel 93 Nilai Tambah (Rp) berdasarkan Jenis Kegiatan Pemasaran</t>
  </si>
  <si>
    <t xml:space="preserve">Tabel 94 Nilai Tambah (Rp) berdasarkan Skala Usaha </t>
  </si>
  <si>
    <t>Tabel 95 Nilai Tambah (Rp) berdasarkan Skala Usaha pada Kegiatan Pengolahan</t>
  </si>
  <si>
    <t>Tabel 96 Nilai Tambah (Rp) berdasarkan Skala Usaha pada Kegiatan Pemasaran</t>
  </si>
  <si>
    <t xml:space="preserve">Tabel 97 Nilai Tambah (Rp) berdasarkan Skala Usaha pada Jenis Kegiatan Fermentasi </t>
  </si>
  <si>
    <t xml:space="preserve">Tabel 98 Nilai Tambah (Rp) berdasarkan Skala Usaha pada Jenis Kegiatan Pelumatan Daging Ikan </t>
  </si>
  <si>
    <t xml:space="preserve">Tabel 99 Nilai Tambah (Rp) berdasarkan Skala Usaha pada Jenis Kegiatan Pembekuan </t>
  </si>
  <si>
    <t xml:space="preserve">Tabel 100 Nilai Tambah (Rp) berdasarkan Skala Usaha pada Jenis Kegiatan Pemindangan </t>
  </si>
  <si>
    <t xml:space="preserve">Tabel 101 Nilai Tambah (Rp) berdasarkan Skala Usaha pada Jenis Kegiatan Penanganan Produk Segar  </t>
  </si>
  <si>
    <t xml:space="preserve">Tabel 102 Nilai Tambah (Rp) berdasarkan Skala Usaha pada Jenis Kegiatan Pengalengan </t>
  </si>
  <si>
    <t xml:space="preserve">Tabel 103 Nilai Tambah (Rp) berdasarkan Skala Usaha pada Jenis Kegiatan Pengasapan / Pemanggangan </t>
  </si>
  <si>
    <t xml:space="preserve">Tabel 104 Nilai Tambah (Rp) berdasarkan Skala Usaha pada Jenis Kegiatan Penggaraman / Pengeringan </t>
  </si>
  <si>
    <t xml:space="preserve">Tabel 105 Nilai Tambah (Rp) berdasarkan Skala Usaha pada Jenis Kegiatan Pereduksian/Ekstraksi </t>
  </si>
  <si>
    <t xml:space="preserve">Tabel 106 Nilai Tambah (Rp) berdasarkan Skala Usaha pada Jenis Kegiatan Pengolahan Lainnya </t>
  </si>
  <si>
    <t xml:space="preserve">Tabel 107 Nilai Tambah (Rp) berdasarkan Skala Usaha pada Jenis Kegiatan Pengumpul/Pedagang Besar/Distributor </t>
  </si>
  <si>
    <t xml:space="preserve">Tabel 108 Nilai Tambah (Rp) berdasarkan Skala Usaha pada Jenis Kegiatan Pengecer </t>
  </si>
  <si>
    <t>Tabel 127 Jumlah Kebutuhan Bahan Baku berdasarkan Asal Bahan Baku pada Jenis Kegiatan</t>
  </si>
  <si>
    <t>Tabel 128 Jumlah Kebutuhan Bahan Baku berdasarkan Asal Bahan Baku pada Jenis Kegiatan Pengolahan</t>
  </si>
  <si>
    <t>Tabel 129 Jumlah Kebutuhan Bahan Baku berdasarkan Asal Bahan Baku pada Jenis Kegiatan Pemasaran</t>
  </si>
  <si>
    <t>Halaman</t>
  </si>
  <si>
    <t>Daftar Tabel</t>
  </si>
  <si>
    <t>Glosarium</t>
  </si>
  <si>
    <t xml:space="preserve">Unit Usaha Aktif </t>
  </si>
  <si>
    <t>Hasil Produksi</t>
  </si>
  <si>
    <t>Nilai Tambah</t>
  </si>
  <si>
    <t>Bahan Baku</t>
  </si>
  <si>
    <t>Pemasaran Produk</t>
  </si>
  <si>
    <t>Investasi</t>
  </si>
  <si>
    <t>Tenaga Kerja</t>
  </si>
  <si>
    <t>:</t>
  </si>
  <si>
    <t>Unit usaha yang masih melakukan aktivitas baik pengolahan produk perikanan atau pemasaran hasil perikanan</t>
  </si>
  <si>
    <t>Kapasitas Produksi</t>
  </si>
  <si>
    <t>Biaya Produksi</t>
  </si>
  <si>
    <t>Jumlah produk (Kg) yang dapat dihasilkan oleh fasilitas produksi atau perusahaan dalam periode tertentu dengan menggunakan sumber daya yang tersedia</t>
  </si>
  <si>
    <t>Perbedaan jumlah nilai (Rp) antara biaya produksi dan hasil produksi</t>
  </si>
  <si>
    <t>Jumlah produk (Kg) atau jumlah nilai produk (Rp) yang dipasarkan dalam periode tertentu</t>
  </si>
  <si>
    <t>Jumlah produk (Kg) atau jumlah nilai produk (Rp) yang dihasilkan oleh unit usaha dalam periode tertentu</t>
  </si>
  <si>
    <t>Jumlah dana atau modal (Rp) yang dikeluarkan oleh perusahaan untuk menghasilkan suatu produk dalam periode tertentu</t>
  </si>
  <si>
    <t>Jumlah bahan (Rp) yang yang digunakan dalam proses produksi dalam periode tertentu</t>
  </si>
  <si>
    <t>Modal yang digunakan baik berupa uang atau aset berharga dalam suatu usaha</t>
  </si>
  <si>
    <t>Jumlah orang yang bekerja pada suatu unit usaha</t>
  </si>
  <si>
    <t>Tujuan Pasar</t>
  </si>
  <si>
    <t>PengoBangunan Lainnya</t>
  </si>
  <si>
    <t>PengoTKDNTL Lainnya</t>
  </si>
  <si>
    <t>PengoTKDNTP Lainnya</t>
  </si>
  <si>
    <t>PengoTKDNTTL Lainnya</t>
  </si>
  <si>
    <t>PengoTKDNTTP Lainnya</t>
  </si>
  <si>
    <t>PengoTKKL Lainnya</t>
  </si>
  <si>
    <t>PengoTKKP Lainnya</t>
  </si>
  <si>
    <t>Tabel 109 Jumlah Kuantitas Bahan Baku (Kg) berdasarkan Jenis Kegiatan</t>
  </si>
  <si>
    <t>Tabel 110 Jumlah Kuantitas Bahan Baku (Kg) pada Kegiatan Pengolahan</t>
  </si>
  <si>
    <t>Tabel 111 Jumlah Kuantitas Bahan Baku (Kg) pada Kegiatan Pemasaran</t>
  </si>
  <si>
    <t xml:space="preserve">Tabel 112 Jumlah Kuantitas Bahan Baku (Kg) berdasarkan Skala Usaha </t>
  </si>
  <si>
    <t xml:space="preserve">Tabel 115 Jumlah Kuantitas Bahan Baku (Kg) berdasarkan Skala Usaha pada Jenis Kegiatan Fermentasi </t>
  </si>
  <si>
    <t>Tabel 114 Jumlah Kuantitas Bahan Baku (Kg) berdasarkan Skala Usaha pada Kegiatan Pemasaran</t>
  </si>
  <si>
    <t>Tabel 113 Jumlah Kuantitas Bahan Baku (Kg) berdasarkan Skala Usaha pada Kegiatan Pengolahan</t>
  </si>
  <si>
    <t xml:space="preserve">Tabel 116 Jumlah Kuantitas Bahan Baku (Kg) berdasarkan Skala Usaha pada Jenis Kegiatan Pelumatan Daging Ikan </t>
  </si>
  <si>
    <t xml:space="preserve">Tabel 117 Jumlah Kuantitas Bahan Baku (Kg)  berdasarkan Skala Usaha pada Jenis Kegiatan Pembekuan </t>
  </si>
  <si>
    <t xml:space="preserve">Tabel 118 Jumlah Kuantitas Bahan Baku (Kg) berdasarkan Skala Usaha pada Jenis Kegiatan Pemindangan </t>
  </si>
  <si>
    <t xml:space="preserve">Tabel 119 Jumlah Kuantitas Bahan Baku (Kg) berdasarkan Skala Usaha pada Jenis Kegiatan Penanganan Produk Segar  </t>
  </si>
  <si>
    <t xml:space="preserve">Tabel 120 Jumlah Kuantitas Bahan Baku (Kg) berdasarkan Skala Usaha pada Jenis Kegiatan Pengalengan </t>
  </si>
  <si>
    <t xml:space="preserve">Tabel 121 Jumlah Kuantitas Bahan Baku (Kg) berdasarkan Skala Usaha pada Jenis Kegiatan Pengasapan / Pemanggangan </t>
  </si>
  <si>
    <t xml:space="preserve">Tabel 122 Jumlah Kuantitas Bahan Baku (Kg) berdasarkan Skala Usaha pada Jenis Kegiatan Penggaraman / Pengeringan </t>
  </si>
  <si>
    <t xml:space="preserve">Tabel 123 Jumlah Kuantitas Bahan Baku (Kg) berdasarkan Skala Usaha pada Jenis Kegiatan Pereduksian/Ekstraksi </t>
  </si>
  <si>
    <t xml:space="preserve">Tabel 124 Jumlah Kuantitas Bahan Baku (Kg) berdasarkan Skala Usaha pada Jenis Kegiatan Pengolahan Lainnya </t>
  </si>
  <si>
    <t xml:space="preserve">Tabel 125 Jumlah Kuantitas Bahan Baku (Kg) berdasarkan Skala Usaha pada Jenis Kegiatan Pengumpul/Pedagang Besar/Distributor </t>
  </si>
  <si>
    <t xml:space="preserve">Tabel 126 Jumlah Kuantitas Bahan Baku (Kg) berdasarkan Skala Usaha pada Jenis Kegiatan Pengecer </t>
  </si>
  <si>
    <t>Tabel  Jumlah Kuantitas Bahan Baku (Kg) berdasarkan Jenis Kegiatan</t>
  </si>
  <si>
    <t>Tabel  Jumlah Kuantitas Bahan Baku (Kg) pada Kegiatan Pengolahan</t>
  </si>
  <si>
    <t>Tabel  Jumlah Kuantitas Bahan Baku (Kg) pada Kegiatan Pemasaran</t>
  </si>
  <si>
    <t>Tabel 127 Jumlah Kuantitas Bahan Baku (Kg) berdasarkan Asal Bahan Baku</t>
  </si>
  <si>
    <t>Tabel 128 Jumlah Kuantitas Bahan Baku (Kg) berdasarkan Asal Bahan Baku pada Kegiatan Pengolahan</t>
  </si>
  <si>
    <t>Tabel 129 Jumlah Kuantitas Bahan Baku (Kg) berdasarkan Asal Bahan Baku pada Kegiatan Pemasaran</t>
  </si>
  <si>
    <t>Tabel 130 Jumlah Kuantitas Bahan Baku (Kg) berdasarkan Asal Bahan Baku pada Jenis Kegiatan Fermentasi</t>
  </si>
  <si>
    <t>Tabel 131 Jumlah Kuantitas Bahan Baku (Kg) berdasarkan Asal Bahan Baku pada Jenis Kegiatan Pelumatan Daging</t>
  </si>
  <si>
    <t>Tabel 132 Jumlah Kuantitas Bahan Baku (Kg) berdasarkan Asal Bahan Baku pada Jenis Kegiatan Pembekuan</t>
  </si>
  <si>
    <t>Tabel 133 Jumlah Kuantitas Bahan Baku (Kg) berdasarkan Asal Bahan Baku pada Jenis Kegiatan Pemindangan</t>
  </si>
  <si>
    <t>Tabel 134 Jumlah Kuantitas Bahan Baku (Kg) berdasarkan Asal Bahan Baku pada Jenis Kegiatan Penanganan Produk Segar</t>
  </si>
  <si>
    <t>Tabel 135 Jumlah Kuantitas Bahan Baku (Kg) berdasarkan Asal Bahan Baku pada Jenis Kegiatan Pengalengan</t>
  </si>
  <si>
    <t>Tabel 136 Jumlah Kuantitas Bahan Baku (Kg) berdasarkan Asal Bahan Baku pada Jenis Kegiatan Pengasapan / Pemanggangan</t>
  </si>
  <si>
    <t>Tabel 137Jumlah Kuantitas Bahan Baku (Kg) berdasarkan Asal Bahan Baku pada Jenis Kegiatan Penggaraman / Pengeringan</t>
  </si>
  <si>
    <t>Tabel 138 Jumlah Kuantitas Bahan Baku (Kg) berdasarkan Asal Bahan Baku pada Jenis Kegiatan Pereduksian/Ekstraksi</t>
  </si>
  <si>
    <t>Tabel 139 Jumlah Kuantitas Bahan Baku (Kg) berdasarkan Asal Bahan Baku pada Jenis Kegiatan Pengolahan Lainnya</t>
  </si>
  <si>
    <t>Tabel 140 Jumlah Kuantitas Bahan Baku (Kg) berdasarkan Asal Bahan Baku pada Jenis Kegiatan Pengumpul/Pedagang Besar/Distributor</t>
  </si>
  <si>
    <t>Tabel 141 Jumlah Kuantitas Bahan Baku (Kg) berdasarkan Asal Bahan Baku pada Jenis Kegiatan Pengecer</t>
  </si>
  <si>
    <t>Tabel  Jumlah Pemasaran berdasarkan Jenis Kegiatan</t>
  </si>
  <si>
    <t>Tabel  Jumlah Kebutuhan Bahan Baku berdasarkan Asal Bahan Baku pada Jenis Kegiatan Pengolahan</t>
  </si>
  <si>
    <t>Tabel  Jumlah Kebutuhan Bahan Baku berdasarkan Asal Bahan Baku pada Jenis Kegiatan Pemasaran</t>
  </si>
  <si>
    <t>Tabel 157 Jumlah Pemasaran Produk (Kg) berdasarkan Jenis Kegiatan</t>
  </si>
  <si>
    <t>Tabel 158 Jumlah Pemasaran Produk (Kg) berdasarkan Jenis Kegiatan Pengolahan</t>
  </si>
  <si>
    <t>Tabel 159 Jumlah Pemasaran Produk (Kg) berdasarkan Jenis Kegiatan Pemasaran</t>
  </si>
  <si>
    <t xml:space="preserve">Tabel 160 Jumlah Pemasaran Produk (Kg) berdasarkan Skala Usaha </t>
  </si>
  <si>
    <t>Tabel 161 Jumlah Pemasaran Produk (Kg) berdasarkan Skala Usaha pada Kegiatan Pengolahan</t>
  </si>
  <si>
    <t>Tabel 162 Jumlah Pemasaran Produk (Kg) berdasarkan Skala Usaha pada Kegiatan Pemasaran</t>
  </si>
  <si>
    <t xml:space="preserve">Tabel 163 Jumlah Pemasaran Produk (Kg) berdasarkan Skala Usaha pada Jenis Kegiatan Fermentasi </t>
  </si>
  <si>
    <t xml:space="preserve">Tabel 164 Jumlah Pemasaran Produk (Kg) berdasarkan Skala Usaha pada Jenis Kegiatan Pelumatan Daging Ikan </t>
  </si>
  <si>
    <t xml:space="preserve">Tabel 165 Jumlah Pemasaran Produk (Kg) berdasarkan Skala Usaha pada Jenis Kegiatan Pembekuan </t>
  </si>
  <si>
    <t xml:space="preserve">Tabel 166 Jumlah Pemasaran Produk (Kg) berdasarkan Skala Usaha pada Jenis Kegiatan Pemindangan </t>
  </si>
  <si>
    <t xml:space="preserve">Tabel 167 Jumlah Pemasaran Produk (Kg) berdasarkan Skala Usaha pada Jenis Kegiatan Penanganan Produk Segar  </t>
  </si>
  <si>
    <t xml:space="preserve">Tabel 168 Jumlah Pemasaran Produk (Kg) berdasarkan Skala Usaha pada Jenis Kegiatan Pengalengan </t>
  </si>
  <si>
    <t xml:space="preserve">Tabel 169 Jumlah Pemasaran Produk (Kg) berdasarkan Skala Usaha pada Jenis Kegiatan Pengasapan / Pemanggangan </t>
  </si>
  <si>
    <t xml:space="preserve">Tabel 170 Jumlah Pemasaran Produk (Kg) berdasarkan Skala Usaha pada Jenis Kegiatan Penggaraman / Pengeringan </t>
  </si>
  <si>
    <t xml:space="preserve">Tabel 171 Jumlah Pemasaran Produk (Kg) berdasarkan Skala Usaha pada Jenis Kegiatan Pereduksian/Ekstraksi </t>
  </si>
  <si>
    <t xml:space="preserve">Tabel 172 Jumlah Pemasaran Produk (Kg) berdasarkan Skala Usaha pada Jenis Kegiatan Pengolahan Lainnya </t>
  </si>
  <si>
    <t xml:space="preserve">Tabel 173 Jumlah Pemasaran Produk (Kg) berdasarkan Skala Usaha pada Jenis Kegiatan Pengumpul/Pedagang Besar/Distributor </t>
  </si>
  <si>
    <t xml:space="preserve">Tabel 174 Jumlah Pemasaran Produk (Kg) berdasarkan Skala Usaha pada Jenis Kegiatan Pengecer </t>
  </si>
  <si>
    <t xml:space="preserve">Tabel 142 Jumlah Kuantitas Bahan Baku (Kg) per Kabupaten berdasarkan Jenis Ikan </t>
  </si>
  <si>
    <t>Tabel 143 Jumlah Kuantitas Bahan Baku (Kg) per Kabupaten berdasarkan Jenis Ikan pada Jenis Kegiatan Pengolahan</t>
  </si>
  <si>
    <t>Tabel 144 Jumlah Kuantitas Bahan Baku (Kg) per Kabupaten berdasarkan Jenis Ikan pada Jenis Kegiatan Pemasaran</t>
  </si>
  <si>
    <t>Tabel 145 Jumlah Kuantitas Bahan Baku (Kg) per Kabupaten berdasarkan Jenis Ikan pada Jenis Kegiatan Fermentasi</t>
  </si>
  <si>
    <t>Tabel 146 Jumlah Kuantitas Bahan Baku (Kg) per Kabupaten berdasarkan Jenis Ikan pada Jenis Kegiatan Pelumatan daging Ikan</t>
  </si>
  <si>
    <t>Tabel 147 Jumlah Kuantitas Bahan Baku (Kg) per Kabupaten berdasarkan Jenis Ikan pada Jenis Kegiatan Pembekuan</t>
  </si>
  <si>
    <t>Tabel 148 Jumlah Kuantitas Bahan Baku (Kg) per Kabupaten berdasarkan Jenis Ikan pada Jenis Kegiatan Pemindangan</t>
  </si>
  <si>
    <t>Tabel 149 Jumlah Kuantitas Bahan Baku (Kg) per Kabupaten berdasarkan Jenis Ikan pada Jenis Kegiatan Penanganan Produk Segar</t>
  </si>
  <si>
    <t>Tabel 150 Jumlah Kuantitas Bahan Baku (Kg) per Kabupaten berdasarkan Jenis Ikan pada Jenis Kegiatan Pengalengan</t>
  </si>
  <si>
    <t>Tabel 151 Jumlah Kuantitas Bahan Baku (Kg) per Kabupaten berdasarkan Jenis Ikan pada Jenis Kegiatan Pengasapan/Pemanggangan</t>
  </si>
  <si>
    <t>Tabel 152 Jumlah Kuantitas Bahan Baku (Kg) per Kabupaten berdasarkan Jenis Ikan pada Jenis Kegiatan Penggaraman/Pengeringan</t>
  </si>
  <si>
    <t>Tabel 153 Jumlah Kuantitas Bahan Baku (Kg) per Kabupaten berdasarkan Jenis Ikan pada Jenis Kegiatan Pereduksian/Ekstraksi</t>
  </si>
  <si>
    <t>Tabel 154 Jumlah Kuantitas Bahan Baku (Kg) per Kabupaten berdasarkan Jenis Ikan pada Jenis Kegiatan Pengolahan Lainnya</t>
  </si>
  <si>
    <t>Tabel 155 Jumlah Kuantitas Bahan Baku (Kg) per Kabupaten berdasarkan Jenis Ikan pada Jenis Kegiatan Pengumpul/Pedagang Besar/Distributor</t>
  </si>
  <si>
    <t>Tabel 156 Jumlah Kuantitas Bahan Baku (Kg) per Kabupaten berdasarkan Jenis Ikan pada Jenis Kegiatan Pengecer</t>
  </si>
  <si>
    <t>Tabel 175 Jumlah Kuantitas Pemasaran Produk (Kg) berdasarkan Tujuan Pasar</t>
  </si>
  <si>
    <t>Tabel 176 Jumlah Kuantitas Pemasaran Produk (Kg) berdasarkan Tujuan Pasar pada Jenis Kegiatan Pengolahan</t>
  </si>
  <si>
    <t>Tabel 177 Jumlah Kuantitas Pemasaran Produk (Kg) berdasarkan Tujuan Pasar pada Jenis Kegiatan Pemasaran</t>
  </si>
  <si>
    <t>Tabel 178 Jumlah Kuantitas Pemasaran Produk (Kg) berdasarkan Tujuan Pasar pada Jenis Kegiatan Fermentasi</t>
  </si>
  <si>
    <t>Tabel 179 Jumlah Kuantitas Pemasaran Produk (Kg) berdasarkan Tujuan Pasar pada Jenis Kegiatan Pelumatan Daging Ikan</t>
  </si>
  <si>
    <t>Tabel 180 Jumlah Kuantitas Pemasaran Produk (Kg) berdasarkan Tujuan Pasar pada Jenis Kegiatan Pembekuan</t>
  </si>
  <si>
    <t>Tabel 181 Jumlah Kuantitas Pemasaran Produk (Kg) berdasarkan Tujuan Pasar pada Jenis Kegiatan Pemindangan</t>
  </si>
  <si>
    <t>Tabel 182 Jumlah Kuantitas Pemasaran Produk (Kg) berdasarkan Tujuan Pasar pada Jenis Kegiatan Penanganan Produk Segar</t>
  </si>
  <si>
    <t>Tabel 183 Jumlah Kuantitas Pemasaran Produk (Kg) berdasarkan Tujuan Pasar pada Jenis Kegiatan Pengalengan</t>
  </si>
  <si>
    <t>Tabel 184 Jumlah Kuantitas Pemasaran Produk (Kg) berdasarkan Tujuan Pasar pada Jenis Kegiatan Pengasapan/Pemanggangan</t>
  </si>
  <si>
    <t>Tabel 185 Jumlah Kuantitas Pemasaran Produk (Kg) berdasarkan Tujuan Pasar Jenis Kegiatan Penggaraman/Pengeringan</t>
  </si>
  <si>
    <t>Tabel 186 Jumlah Kuantitas Pemasaran Produk (Kg) berdasarkan Tujuan Pasar pada Jenis Kegiatan Pereduksian/Ekstraksi</t>
  </si>
  <si>
    <t>Tabel 187 Jumlah Kuantitas Pemasaran Produk (Kg) berdasarkan Tujuan Pasar pada Jenis Kegiatan Pengolahan Lainnya</t>
  </si>
  <si>
    <t>Tabel 188 Jumlah Kuantitas Pemasaran Produk (Kg) berdasarkan Tujuan Pasar pada Jenis Kegiatan Pengumpul/Pedagang Besar/Distributor</t>
  </si>
  <si>
    <t>Tabel 189 Jumlah Kuantitas Pemasaran Produk (Kg) berdasarkan Tujuan Pasar pada Jenis Kegiatan Pengecer</t>
  </si>
  <si>
    <t>Tabel 190 Jumlah Investasi Lahan (Rp)  Berdasarkan Jenis Kegiatan</t>
  </si>
  <si>
    <t>IMB</t>
  </si>
  <si>
    <t>SHM</t>
  </si>
  <si>
    <t>Tabel 191 Jumlah Investasi Lahan (Rp)  Berdasarkan Skala Usaha</t>
  </si>
  <si>
    <t>Tabel 192 Jumlah Investasi Bangunan (Rp)  Berdasarkan Jenis Kegiatan</t>
  </si>
  <si>
    <t>Tabel 193 Jumlah Investasi Bangunan (Rp)  Berdasarkan Skala Usaha</t>
  </si>
  <si>
    <t>Tabel 194 Jumlah Investasi Modal (Rp)  Berdasarkan Jenis Kegiatan</t>
  </si>
  <si>
    <t>Tabel 195 Jumlah Investasi Modal (Rp)  Berdasarkan Skala Usaha</t>
  </si>
  <si>
    <t>Tabel 196 Jumlah Tenaga Kerja Dalam Negeri Tetap Laki-laki Berdasarkan Jenis Kegiatan</t>
  </si>
  <si>
    <t>Tabel 197 Jumlah Tenaga Kerja Dalam Negeri Tetap Laki-laki Berdasarkan Skala Usaha</t>
  </si>
  <si>
    <t>Tabel 198 Jumlah Tenaga Kerja Dalam Negeri Tetap Perempuan Berdasarkan Jenis Kegiatan</t>
  </si>
  <si>
    <t>Tabel 199 Jumlah Tenaga Kerja Dalam Negeri Tetap Perempuan Berdasarkan Skala Usaha</t>
  </si>
  <si>
    <t>Tabel 200 Jumlah Tenaga Kerja Dalam Negeri Tidak Tetap Laki-laki Berdasarkan Jenis Kegiatan</t>
  </si>
  <si>
    <t>Tabel 201 Jumlah Tenaga Kerja Dalam Negeri Tidak Tetap Laki-laki  Berdasarkan Skala Usaha</t>
  </si>
  <si>
    <t>Tabel 202 Jumlah Tenaga Kerja Dalam Negeri Tidak Tetap Perempuan Berdasarkan Jenis Kegiatan</t>
  </si>
  <si>
    <t>Tabel 203  Jumlah Tenaga Kerja Dalam Negeri Tidak Tetap Perempuan Berdasarkan Skala Usaha</t>
  </si>
  <si>
    <t>Tabel 204  Jumlah Tenaga Kerja Keluarga Laki-laki Berdasarkan Jenis Kegiatan</t>
  </si>
  <si>
    <t>Tabel 205 Jumlah Tenaga Kerja Keluarga Laki-laki Berdasarkan Skala Usaha</t>
  </si>
  <si>
    <t>Tabel 206 Jumlah Tenaga Kerja Keluarga Perempuan Berdasarkan Jenis Kegiatan</t>
  </si>
  <si>
    <t>Tabel 207  Jumlah Tenaga Kerja Keluarga Perempuan Berdasarkan Skala Usaha</t>
  </si>
  <si>
    <t>Tabel 208 Jumlah Kepemilikan Sertifikat Produk per Kabupaten</t>
  </si>
  <si>
    <t>Tabel 209 Jumlah Kepemilikan Sertifikat Produk per Jenis Usaha</t>
  </si>
  <si>
    <t>Tabel 210 Jumlah Kepemilikan Sertifikat Produk per Skala Usaha</t>
  </si>
  <si>
    <t>Tabel 211 Jumlah Kepemilikan Ijin Usaha per Kabupaten</t>
  </si>
  <si>
    <t>Tabel 212 Jumlah Kepemilikan Ijin Usaha Berdasarkan Jenis Kegiatan</t>
  </si>
  <si>
    <t>Tabel 213 Jumlah Kepemilikan Ijin Usaha Berdasarkan Skala Usaha</t>
  </si>
  <si>
    <t>Tabel 214 Jumlah Kepemilikan Sertifikat Lahan dan Bangunan per Kabupaten</t>
  </si>
  <si>
    <t>Non SHM</t>
  </si>
  <si>
    <t>Tabel 215 Jumlah Kepemilikan Sertifikat Lahan dan Bangunan Berdasarkan Jenis Kegiatan</t>
  </si>
  <si>
    <t>Tabel 216 Jumlah Kepemilikan Sertifikat Lahan dan Bangunan Berdasarkan Skala Usaha</t>
  </si>
  <si>
    <t>MD</t>
  </si>
  <si>
    <t>Jumlah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</si>
  <si>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</si>
  <si>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</si>
  <si>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</si>
  <si>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</si>
  <si>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</si>
  <si>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</si>
  <si>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</si>
  <si>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</si>
  <si>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</si>
  <si>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</si>
  <si>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</si>
  <si>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</si>
  <si>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</si>
  <si>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</si>
  <si>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</si>
  <si>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</si>
  <si>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</si>
  <si>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</si>
  <si>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</si>
  <si>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</si>
  <si>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</si>
  <si>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</si>
  <si>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</si>
  <si>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</si>
  <si>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</si>
  <si>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</si>
  <si>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</si>
  <si>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</si>
  <si>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</si>
  <si>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</si>
  <si>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</si>
  <si>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</si>
  <si>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</si>
  <si>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</si>
  <si>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</si>
  <si>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</si>
  <si>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</si>
  <si>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</si>
  <si>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Dalam Kabupaten/Kota</t>
  </si>
  <si>
    <t>Luar Kabupaten/Kota Jatim</t>
  </si>
  <si>
    <t>Tujuan Pemasaran</t>
  </si>
  <si>
    <t>Jumlah (Rp)</t>
  </si>
  <si>
    <t>Jumlah (Unit)</t>
  </si>
  <si>
    <t>Jumlah (Kg)</t>
  </si>
  <si>
    <t>Jumlah (Orang)</t>
  </si>
  <si>
    <t>Laki-laki</t>
  </si>
  <si>
    <t>Peremouan</t>
  </si>
  <si>
    <t>Jenis Kelamin</t>
  </si>
  <si>
    <t>Jenis Sertifikat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</si>
</sst>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 applyFill="1"/>
    <xf numFmtId="0" fontId="2" fillId="0" borderId="2" xfId="0" applyFont="1" applyFill="1" applyBorder="1"/>
    <xf numFmtId="41" fontId="2" fillId="0" borderId="2" xfId="0" applyNumberFormat="1" applyFont="1" applyFill="1" applyBorder="1"/>
    <xf numFmtId="0" fontId="4" fillId="0" borderId="2" xfId="0" applyFont="1" applyFill="1" applyBorder="1"/>
    <xf numFmtId="10" fontId="2" fillId="0" borderId="0" xfId="2" applyNumberFormat="1" applyFont="1" applyFill="1"/>
    <xf numFmtId="10" fontId="2" fillId="0" borderId="0" xfId="0" applyNumberFormat="1" applyFont="1" applyFill="1"/>
    <xf numFmtId="1" fontId="2" fillId="0" borderId="2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41" fontId="3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41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/>
    <xf numFmtId="41" fontId="6" fillId="0" borderId="2" xfId="0" applyNumberFormat="1" applyFont="1" applyFill="1" applyBorder="1"/>
    <xf numFmtId="0" fontId="6" fillId="0" borderId="0" xfId="0" applyFont="1" applyFill="1"/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6" fillId="0" borderId="0" xfId="0" applyFont="1" applyFill="1" applyAlignment="1">
      <alignment horizontal="center"/>
    </xf>
    <xf numFmtId="10" fontId="6" fillId="0" borderId="0" xfId="2" applyNumberFormat="1" applyFont="1" applyFill="1"/>
    <xf numFmtId="10" fontId="6" fillId="0" borderId="0" xfId="0" applyNumberFormat="1" applyFont="1" applyFill="1"/>
    <xf numFmtId="0" fontId="3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3" fillId="0" borderId="2" xfId="0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1" fontId="2" fillId="0" borderId="2" xfId="1" applyFont="1" applyFill="1" applyBorder="1"/>
    <xf numFmtId="0" fontId="4" fillId="0" borderId="0" xfId="0" applyFont="1" applyFill="1" applyBorder="1"/>
    <xf numFmtId="41" fontId="2" fillId="0" borderId="0" xfId="0" applyNumberFormat="1" applyFont="1" applyFill="1" applyBorder="1"/>
    <xf numFmtId="41" fontId="4" fillId="0" borderId="2" xfId="1" applyFont="1" applyFill="1" applyBorder="1" applyAlignment="1">
      <alignment horizontal="center"/>
    </xf>
    <xf numFmtId="41" fontId="4" fillId="0" borderId="2" xfId="1" applyFont="1" applyFill="1" applyBorder="1"/>
    <xf numFmtId="41" fontId="5" fillId="0" borderId="2" xfId="1" applyFont="1" applyFill="1" applyBorder="1" applyAlignment="1">
      <alignment horizontal="center" vertical="top" wrapText="1"/>
    </xf>
    <xf numFmtId="41" fontId="6" fillId="0" borderId="2" xfId="1" applyFont="1" applyFill="1" applyBorder="1"/>
    <xf numFmtId="41" fontId="6" fillId="0" borderId="0" xfId="1" applyFont="1" applyFill="1"/>
    <xf numFmtId="41" fontId="6" fillId="0" borderId="0" xfId="1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NumberFormat="1" applyAlignment="1">
      <alignment horizontal="center"/>
    </xf>
    <xf numFmtId="0" fontId="8" fillId="0" borderId="0" xfId="0" applyFont="1"/>
    <xf numFmtId="0" fontId="8" fillId="0" borderId="0" xfId="0" applyNumberFormat="1" applyFont="1" applyAlignment="1">
      <alignment horizontal="center"/>
    </xf>
    <xf numFmtId="0" fontId="0" fillId="0" borderId="7" xfId="0" applyBorder="1"/>
    <xf numFmtId="0" fontId="0" fillId="0" borderId="7" xfId="0" applyNumberFormat="1" applyBorder="1" applyAlignment="1">
      <alignment horizontal="center"/>
    </xf>
    <xf numFmtId="0" fontId="0" fillId="0" borderId="8" xfId="0" applyBorder="1"/>
    <xf numFmtId="0" fontId="0" fillId="0" borderId="8" xfId="0" applyNumberFormat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Alignment="1">
      <alignment vertical="top" wrapText="1"/>
    </xf>
    <xf numFmtId="41" fontId="6" fillId="0" borderId="0" xfId="0" applyNumberFormat="1" applyFont="1" applyFill="1"/>
    <xf numFmtId="41" fontId="2" fillId="0" borderId="0" xfId="1" applyFont="1" applyFill="1"/>
    <xf numFmtId="0" fontId="2" fillId="0" borderId="0" xfId="0" applyFont="1" applyFill="1" applyAlignment="1">
      <alignment wrapText="1"/>
    </xf>
    <xf numFmtId="0" fontId="2" fillId="0" borderId="0" xfId="0" applyFont="1" applyFill="1" applyAlignment="1"/>
    <xf numFmtId="41" fontId="2" fillId="0" borderId="0" xfId="0" applyNumberFormat="1" applyFont="1" applyFill="1"/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41" fontId="3" fillId="0" borderId="2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41" fontId="3" fillId="0" borderId="2" xfId="0" applyNumberFormat="1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  <xf numFmtId="41" fontId="2" fillId="0" borderId="0" xfId="0" applyNumberFormat="1" applyFont="1"/>
    <xf numFmtId="0" fontId="6" fillId="0" borderId="0" xfId="0" applyFont="1"/>
    <xf numFmtId="0" fontId="5" fillId="0" borderId="1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6" fillId="0" borderId="2" xfId="0" applyFont="1" applyBorder="1"/>
    <xf numFmtId="0" fontId="7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vertical="top"/>
    </xf>
    <xf numFmtId="0" fontId="5" fillId="0" borderId="1" xfId="0" applyFont="1" applyBorder="1" applyAlignment="1">
      <alignment vertical="center"/>
    </xf>
    <xf numFmtId="41" fontId="5" fillId="0" borderId="2" xfId="1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41" fontId="2" fillId="0" borderId="0" xfId="1" applyFont="1" applyFill="1" applyBorder="1"/>
    <xf numFmtId="0" fontId="6" fillId="0" borderId="2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1" fontId="5" fillId="0" borderId="2" xfId="1" applyFont="1" applyFill="1" applyBorder="1"/>
    <xf numFmtId="41" fontId="6" fillId="0" borderId="0" xfId="0" applyNumberFormat="1" applyFont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41" fontId="6" fillId="0" borderId="2" xfId="1" applyFont="1" applyBorder="1" applyAlignment="1">
      <alignment vertical="center"/>
    </xf>
    <xf numFmtId="0" fontId="5" fillId="0" borderId="0" xfId="0" applyFont="1" applyBorder="1" applyAlignment="1">
      <alignment horizontal="left" vertical="top"/>
    </xf>
    <xf numFmtId="41" fontId="5" fillId="0" borderId="0" xfId="1" applyFont="1" applyFill="1" applyBorder="1" applyAlignment="1">
      <alignment horizontal="center"/>
    </xf>
    <xf numFmtId="41" fontId="5" fillId="0" borderId="0" xfId="1" applyFont="1" applyFill="1" applyBorder="1"/>
    <xf numFmtId="41" fontId="5" fillId="0" borderId="0" xfId="1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5" fillId="0" borderId="10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41" fontId="5" fillId="0" borderId="3" xfId="1" applyFont="1" applyFill="1" applyBorder="1" applyAlignment="1">
      <alignment horizontal="center"/>
    </xf>
    <xf numFmtId="41" fontId="5" fillId="0" borderId="4" xfId="1" applyFont="1" applyFill="1" applyBorder="1" applyAlignment="1">
      <alignment horizontal="center"/>
    </xf>
    <xf numFmtId="41" fontId="5" fillId="0" borderId="5" xfId="1" applyFont="1" applyFill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A3034-D73E-44E5-811E-E46CCEB166ED}">
  <dimension ref="A1:B218"/>
  <sheetViews>
    <sheetView view="pageBreakPreview" zoomScale="70" zoomScaleNormal="100" zoomScaleSheetLayoutView="70" workbookViewId="0">
      <selection activeCell="H27" sqref="H27"/>
    </sheetView>
  </sheetViews>
  <sheetFormatPr defaultRowHeight="15.6" customHeight="1" x14ac:dyDescent="0.3"/>
  <cols>
    <col min="1" max="1" width="119.77734375" customWidth="1"/>
    <col min="2" max="2" width="12.6640625" style="39" customWidth="1"/>
  </cols>
  <sheetData>
    <row r="1" spans="1:2" s="40" customFormat="1" ht="15.6" customHeight="1" x14ac:dyDescent="0.3">
      <c r="A1" s="40" t="s">
        <v>253</v>
      </c>
      <c r="B1" s="41" t="s">
        <v>252</v>
      </c>
    </row>
    <row r="3" spans="1:2" ht="15.6" customHeight="1" x14ac:dyDescent="0.3">
      <c r="A3" s="42" t="str">
        <f>'Unit Usaha'!B47</f>
        <v>Tabel 1 Jumlah Unit Usaha Aktif berdasarkan Jenis Kegiatan</v>
      </c>
      <c r="B3" s="43">
        <v>1</v>
      </c>
    </row>
    <row r="4" spans="1:2" ht="15.6" customHeight="1" x14ac:dyDescent="0.3">
      <c r="A4" s="44" t="str">
        <f>'Unit Usaha'!B48</f>
        <v>Tabel 2 Jumlah Unit Usaha Aktif berdasarkan Jenis Kegiatan Pengolahan</v>
      </c>
      <c r="B4" s="45">
        <v>2</v>
      </c>
    </row>
    <row r="5" spans="1:2" ht="15.6" customHeight="1" x14ac:dyDescent="0.3">
      <c r="A5" s="44" t="str">
        <f>'Unit Usaha'!B49</f>
        <v>Tabel 3 Jumlah Unit Usaha Aktif berdasarkan Jenis Kegiatan Pemasaran</v>
      </c>
      <c r="B5" s="45">
        <v>3</v>
      </c>
    </row>
    <row r="6" spans="1:2" ht="15.6" customHeight="1" x14ac:dyDescent="0.3">
      <c r="A6" s="44" t="str">
        <f>'Unit Usaha'!B50</f>
        <v xml:space="preserve">Tabel 4 Jumlah Unit Usaha Aktif berdasarkan Skala Usaha </v>
      </c>
      <c r="B6" s="45">
        <v>4</v>
      </c>
    </row>
    <row r="7" spans="1:2" ht="15.6" customHeight="1" x14ac:dyDescent="0.3">
      <c r="A7" s="44" t="str">
        <f>'Unit Usaha'!B51</f>
        <v>Tabel 5 Jumlah Unit Usaha Aktif berdasarkan Skala Usaha pada Kegiatan Pengolahan</v>
      </c>
      <c r="B7" s="45">
        <v>5</v>
      </c>
    </row>
    <row r="8" spans="1:2" ht="15.6" customHeight="1" x14ac:dyDescent="0.3">
      <c r="A8" s="44" t="str">
        <f>'Unit Usaha'!B52</f>
        <v>Tabel 6 Jumlah Unit Usaha Aktif berdasarkan Skala Usaha pada Kegiatan Pemasaran</v>
      </c>
      <c r="B8" s="45">
        <v>6</v>
      </c>
    </row>
    <row r="9" spans="1:2" ht="15.6" customHeight="1" x14ac:dyDescent="0.3">
      <c r="A9" s="44" t="str">
        <f>'Unit Usaha'!B53</f>
        <v xml:space="preserve">Tabel 7 Jumlah Unit Usaha Aktif berdasarkan Skala Usaha pada Jenis Kegiatan Fermentasi </v>
      </c>
      <c r="B9" s="45">
        <v>7</v>
      </c>
    </row>
    <row r="10" spans="1:2" ht="15.6" customHeight="1" x14ac:dyDescent="0.3">
      <c r="A10" s="44" t="str">
        <f>'Unit Usaha'!B54</f>
        <v xml:space="preserve">Tabel 8 Jumlah Unit Usaha Aktif berdasarkan Skala Usaha pada Jenis Kegiatan Pelumatan Daging Ikan </v>
      </c>
      <c r="B10" s="45">
        <v>8</v>
      </c>
    </row>
    <row r="11" spans="1:2" ht="15.6" customHeight="1" x14ac:dyDescent="0.3">
      <c r="A11" s="44" t="str">
        <f>'Unit Usaha'!B55</f>
        <v xml:space="preserve">Tabel 9 Jumlah Unit Usaha Aktif berdasarkan Skala Usaha pada Jenis Kegiatan Pembekuan </v>
      </c>
      <c r="B11" s="45">
        <v>9</v>
      </c>
    </row>
    <row r="12" spans="1:2" ht="15.6" customHeight="1" x14ac:dyDescent="0.3">
      <c r="A12" s="44" t="str">
        <f>'Unit Usaha'!B56</f>
        <v xml:space="preserve">Tabel 10 Jumlah Unit Usaha Aktif berdasarkan Skala Usaha pada Jenis Kegiatan Pemindangan </v>
      </c>
      <c r="B12" s="45">
        <v>10</v>
      </c>
    </row>
    <row r="13" spans="1:2" ht="15.6" customHeight="1" x14ac:dyDescent="0.3">
      <c r="A13" s="44" t="str">
        <f>'Unit Usaha'!B57</f>
        <v xml:space="preserve">Tabel 11 Jumlah Unit Usaha Aktif berdasarkan Skala Usaha pada Jenis Kegiatan Penanganan Produk Segar  </v>
      </c>
      <c r="B13" s="45">
        <v>11</v>
      </c>
    </row>
    <row r="14" spans="1:2" ht="15.6" customHeight="1" x14ac:dyDescent="0.3">
      <c r="A14" s="44" t="str">
        <f>'Unit Usaha'!B58</f>
        <v xml:space="preserve">Tabel 12 Jumlah Unit Usaha Aktif berdasarkan Skala Usaha pada Jenis Kegiatan Pengalengan </v>
      </c>
      <c r="B14" s="45">
        <v>12</v>
      </c>
    </row>
    <row r="15" spans="1:2" ht="15.6" customHeight="1" x14ac:dyDescent="0.3">
      <c r="A15" s="44" t="str">
        <f>'Unit Usaha'!B59</f>
        <v xml:space="preserve">Tabel 13 Jumlah Unit Usaha Aktif berdasarkan Skala Usaha pada Jenis Kegiatan Pengasapan / Pemanggangan </v>
      </c>
      <c r="B15" s="45">
        <v>13</v>
      </c>
    </row>
    <row r="16" spans="1:2" ht="15.6" customHeight="1" x14ac:dyDescent="0.3">
      <c r="A16" s="44" t="str">
        <f>'Unit Usaha'!B60</f>
        <v xml:space="preserve">Tabel 14 Jumlah Unit Usaha Aktif berdasarkan Skala Usaha pada Jenis Kegiatan Penggaraman / Pengeringan </v>
      </c>
      <c r="B16" s="45">
        <v>14</v>
      </c>
    </row>
    <row r="17" spans="1:2" ht="15.6" customHeight="1" x14ac:dyDescent="0.3">
      <c r="A17" s="44" t="str">
        <f>'Unit Usaha'!B61</f>
        <v xml:space="preserve">Tabel 15 Jumlah Unit Usaha Aktif berdasarkan Skala Usaha pada Jenis Kegiatan Pereduksian/Ekstraksi </v>
      </c>
      <c r="B17" s="45">
        <v>15</v>
      </c>
    </row>
    <row r="18" spans="1:2" ht="15.6" customHeight="1" x14ac:dyDescent="0.3">
      <c r="A18" s="44" t="str">
        <f>'Unit Usaha'!B62</f>
        <v xml:space="preserve">Tabel 16 Jumlah Unit Usaha Aktif berdasarkan Skala Usaha pada Jenis Kegiatan Pengolahan Lainnya </v>
      </c>
      <c r="B18" s="45">
        <v>16</v>
      </c>
    </row>
    <row r="19" spans="1:2" ht="15.6" customHeight="1" x14ac:dyDescent="0.3">
      <c r="A19" s="44" t="str">
        <f>'Unit Usaha'!B63</f>
        <v xml:space="preserve">Tabel 17 Jumlah Unit Usaha Aktif berdasarkan Skala Usaha pada Jenis Kegiatan Pengumpul/Pedagang Besar/Distributor </v>
      </c>
      <c r="B19" s="45">
        <v>17</v>
      </c>
    </row>
    <row r="20" spans="1:2" ht="15.6" customHeight="1" x14ac:dyDescent="0.3">
      <c r="A20" s="44" t="str">
        <f>'Unit Usaha'!B64</f>
        <v xml:space="preserve">Tabel 18 Jumlah Unit Usaha Aktif berdasarkan Skala Usaha pada Jenis Kegiatan Pengecer </v>
      </c>
      <c r="B20" s="45">
        <v>18</v>
      </c>
    </row>
    <row r="21" spans="1:2" ht="15.6" customHeight="1" x14ac:dyDescent="0.3">
      <c r="A21" s="44" t="str">
        <f>Kapasitas!B47</f>
        <v>Tabel 19 Jumlah Kapasitas (Kg) berdasarkan Jenis Kegiatan</v>
      </c>
      <c r="B21" s="45">
        <v>19</v>
      </c>
    </row>
    <row r="22" spans="1:2" ht="15.6" customHeight="1" x14ac:dyDescent="0.3">
      <c r="A22" s="44" t="str">
        <f>Kapasitas!B48</f>
        <v>Tabel 20 Jumlah Kapasitas (Kg) berdasarkan Jenis Kegiatan Pengolahan</v>
      </c>
      <c r="B22" s="45">
        <v>20</v>
      </c>
    </row>
    <row r="23" spans="1:2" ht="15.6" customHeight="1" x14ac:dyDescent="0.3">
      <c r="A23" s="44" t="str">
        <f>Kapasitas!B49</f>
        <v>Tabel 21 Jumlah Kapasitas (Kg) berdasarkan Jenis Kegiatan Pemasaran</v>
      </c>
      <c r="B23" s="45">
        <v>21</v>
      </c>
    </row>
    <row r="24" spans="1:2" ht="15.6" customHeight="1" x14ac:dyDescent="0.3">
      <c r="A24" s="44" t="str">
        <f>Kapasitas!B50</f>
        <v xml:space="preserve">Tabel 22 Jumlah Kapasitas (Kg) berdasarkan Skala Usaha </v>
      </c>
      <c r="B24" s="45">
        <v>22</v>
      </c>
    </row>
    <row r="25" spans="1:2" ht="15.6" customHeight="1" x14ac:dyDescent="0.3">
      <c r="A25" s="44" t="str">
        <f>Kapasitas!B51</f>
        <v>Tabel 23 Jumlah Kapasitas (Kg) berdasarkan Skala Usaha pada Kegiatan Pengolahan</v>
      </c>
      <c r="B25" s="45">
        <v>23</v>
      </c>
    </row>
    <row r="26" spans="1:2" ht="15.6" customHeight="1" x14ac:dyDescent="0.3">
      <c r="A26" s="44" t="str">
        <f>Kapasitas!B52</f>
        <v>Tabel 24 Jumlah Kapasitas (Kg) berdasarkan Skala Usaha pada Kegiatan Pemasaran</v>
      </c>
      <c r="B26" s="45">
        <v>24</v>
      </c>
    </row>
    <row r="27" spans="1:2" ht="15.6" customHeight="1" x14ac:dyDescent="0.3">
      <c r="A27" s="44" t="str">
        <f>Kapasitas!B53</f>
        <v xml:space="preserve">Tabel 25 Jumlah Kapasitas (Kg) berdasarkan Skala Usaha pada Jenis Kegiatan Fermentasi </v>
      </c>
      <c r="B27" s="45">
        <v>25</v>
      </c>
    </row>
    <row r="28" spans="1:2" ht="15.6" customHeight="1" x14ac:dyDescent="0.3">
      <c r="A28" s="44" t="str">
        <f>Kapasitas!B54</f>
        <v xml:space="preserve">Tabel 26 Jumlah Kapasitas (Kg) berdasarkan Skala Usaha pada Jenis Kegiatan Pelumatan Daging Ikan </v>
      </c>
      <c r="B28" s="45">
        <v>26</v>
      </c>
    </row>
    <row r="29" spans="1:2" ht="15.6" customHeight="1" x14ac:dyDescent="0.3">
      <c r="A29" s="44" t="str">
        <f>Kapasitas!B55</f>
        <v xml:space="preserve">Tabel 27 Jumlah Kapasitas (Kg) berdasarkan Skala Usaha pada Jenis Kegiatan Pembekuan </v>
      </c>
      <c r="B29" s="45">
        <v>27</v>
      </c>
    </row>
    <row r="30" spans="1:2" ht="15.6" customHeight="1" x14ac:dyDescent="0.3">
      <c r="A30" s="44" t="str">
        <f>Kapasitas!B56</f>
        <v xml:space="preserve">Tabel 28 Jumlah Kapasitas (Kg) berdasarkan Skala Usaha pada Jenis Kegiatan Pemindangan </v>
      </c>
      <c r="B30" s="45">
        <v>28</v>
      </c>
    </row>
    <row r="31" spans="1:2" ht="15.6" customHeight="1" x14ac:dyDescent="0.3">
      <c r="A31" s="44" t="str">
        <f>Kapasitas!B57</f>
        <v xml:space="preserve">Tabel 29 Jumlah Kapasitas (Kg) berdasarkan Skala Usaha pada Jenis Kegiatan Penanganan Produk Segar  </v>
      </c>
      <c r="B31" s="45">
        <v>29</v>
      </c>
    </row>
    <row r="32" spans="1:2" ht="15.6" customHeight="1" x14ac:dyDescent="0.3">
      <c r="A32" s="44" t="str">
        <f>Kapasitas!B58</f>
        <v xml:space="preserve">Tabel 30 Jumlah Kapasitas (Kg) berdasarkan Skala Usaha pada Jenis Kegiatan Pengalengan </v>
      </c>
      <c r="B32" s="45">
        <v>30</v>
      </c>
    </row>
    <row r="33" spans="1:2" ht="15.6" customHeight="1" x14ac:dyDescent="0.3">
      <c r="A33" s="44" t="str">
        <f>Kapasitas!B59</f>
        <v xml:space="preserve">Tabel 31 Jumlah Kapasitas (Kg) berdasarkan Skala Usaha pada Jenis Kegiatan Pengasapan / Pemanggangan </v>
      </c>
      <c r="B33" s="45">
        <v>31</v>
      </c>
    </row>
    <row r="34" spans="1:2" ht="15.6" customHeight="1" x14ac:dyDescent="0.3">
      <c r="A34" s="44" t="str">
        <f>Kapasitas!B60</f>
        <v xml:space="preserve">Tabel 32 Jumlah Kapasitas (Kg) berdasarkan Skala Usaha pada Jenis Kegiatan Penggaraman / Pengeringan </v>
      </c>
      <c r="B34" s="45">
        <v>32</v>
      </c>
    </row>
    <row r="35" spans="1:2" ht="15.6" customHeight="1" x14ac:dyDescent="0.3">
      <c r="A35" s="44" t="str">
        <f>Kapasitas!B61</f>
        <v xml:space="preserve">Tabel 33 Jumlah Kapasitas (Kg) berdasarkan Skala Usaha pada Jenis Kegiatan Pereduksian/Ekstraksi </v>
      </c>
      <c r="B35" s="45">
        <v>33</v>
      </c>
    </row>
    <row r="36" spans="1:2" ht="15.6" customHeight="1" x14ac:dyDescent="0.3">
      <c r="A36" s="44" t="str">
        <f>Kapasitas!B62</f>
        <v xml:space="preserve">Tabel 34 Jumlah Kapasitas (Kg) berdasarkan Skala Usaha pada Jenis Kegiatan Pengolahan Lainnya </v>
      </c>
      <c r="B36" s="45">
        <v>34</v>
      </c>
    </row>
    <row r="37" spans="1:2" ht="15.6" customHeight="1" x14ac:dyDescent="0.3">
      <c r="A37" s="44" t="str">
        <f>Kapasitas!B63</f>
        <v xml:space="preserve">Tabel 35 Jumlah Kapasitas (Kg) berdasarkan Skala Usaha pada Jenis Kegiatan Pengumpul/Pedagang Besar/Distributor </v>
      </c>
      <c r="B37" s="45">
        <v>35</v>
      </c>
    </row>
    <row r="38" spans="1:2" ht="15.6" customHeight="1" x14ac:dyDescent="0.3">
      <c r="A38" s="44" t="str">
        <f>Kapasitas!B64</f>
        <v xml:space="preserve">Tabel 36 Jumlah Kapasitas (Kg) berdasarkan Skala Usaha pada Jenis Kegiatan Pengecer </v>
      </c>
      <c r="B38" s="45">
        <v>36</v>
      </c>
    </row>
    <row r="39" spans="1:2" ht="15.6" customHeight="1" x14ac:dyDescent="0.3">
      <c r="A39" s="44" t="str">
        <f>Biaya!B47</f>
        <v>Tabel 37 Jumlah Biaya (Rp) berdasarkan Jenis Kegiatan</v>
      </c>
      <c r="B39" s="45">
        <v>37</v>
      </c>
    </row>
    <row r="40" spans="1:2" ht="15.6" customHeight="1" x14ac:dyDescent="0.3">
      <c r="A40" s="44" t="str">
        <f>Biaya!B48</f>
        <v>Tabel 38 Jumlah Biaya (Rp) berdasarkan Jenis Kegiatan Pengolahan</v>
      </c>
      <c r="B40" s="45">
        <v>38</v>
      </c>
    </row>
    <row r="41" spans="1:2" ht="15.6" customHeight="1" x14ac:dyDescent="0.3">
      <c r="A41" s="44" t="str">
        <f>Biaya!B49</f>
        <v>Tabel 39 Jumlah Biaya (Rp) berdasarkan Jenis Kegiatan Pemasaran</v>
      </c>
      <c r="B41" s="45">
        <v>39</v>
      </c>
    </row>
    <row r="42" spans="1:2" ht="15.6" customHeight="1" x14ac:dyDescent="0.3">
      <c r="A42" s="44" t="str">
        <f>Biaya!B50</f>
        <v xml:space="preserve">Tabel 40 Jumlah Biaya (Rp) berdasarkan Skala Usaha </v>
      </c>
      <c r="B42" s="45">
        <v>40</v>
      </c>
    </row>
    <row r="43" spans="1:2" ht="15.6" customHeight="1" x14ac:dyDescent="0.3">
      <c r="A43" s="44" t="str">
        <f>Biaya!B51</f>
        <v>Tabel 41 Jumlah Biaya (Rp) berdasarkan Skala Usaha pada Kegiatan Pengolahan</v>
      </c>
      <c r="B43" s="45">
        <v>41</v>
      </c>
    </row>
    <row r="44" spans="1:2" ht="15.6" customHeight="1" x14ac:dyDescent="0.3">
      <c r="A44" s="44" t="str">
        <f>Biaya!B52</f>
        <v>Tabel 42 Jumlah Biaya (Rp) berdasarkan Skala Usaha pada Kegiatan Pemasaran</v>
      </c>
      <c r="B44" s="45">
        <v>42</v>
      </c>
    </row>
    <row r="45" spans="1:2" ht="15.6" customHeight="1" x14ac:dyDescent="0.3">
      <c r="A45" s="44" t="str">
        <f>Biaya!B53</f>
        <v xml:space="preserve">Tabel 43 Jumlah Biaya (Rp) berdasarkan Skala Usaha pada Jenis Kegiatan Fermentasi </v>
      </c>
      <c r="B45" s="45">
        <v>43</v>
      </c>
    </row>
    <row r="46" spans="1:2" ht="15.6" customHeight="1" x14ac:dyDescent="0.3">
      <c r="A46" s="44" t="str">
        <f>Biaya!B54</f>
        <v xml:space="preserve">Tabel 44 Jumlah Biaya (Rp) berdasarkan Skala Usaha pada Jenis Kegiatan Pelumatan Daging Ikan </v>
      </c>
      <c r="B46" s="45">
        <v>44</v>
      </c>
    </row>
    <row r="47" spans="1:2" ht="15.6" customHeight="1" x14ac:dyDescent="0.3">
      <c r="A47" s="44" t="str">
        <f>Biaya!B55</f>
        <v xml:space="preserve">Tabel 45 Jumlah Biaya (Rp) berdasarkan Skala Usaha pada Jenis Kegiatan Pembekuan </v>
      </c>
      <c r="B47" s="45">
        <v>45</v>
      </c>
    </row>
    <row r="48" spans="1:2" ht="15.6" customHeight="1" x14ac:dyDescent="0.3">
      <c r="A48" s="44" t="str">
        <f>Biaya!B56</f>
        <v xml:space="preserve">Tabel 46 Jumlah Biaya (Rp) berdasarkan Skala Usaha pada Jenis Kegiatan Pemindangan </v>
      </c>
      <c r="B48" s="45">
        <v>46</v>
      </c>
    </row>
    <row r="49" spans="1:2" ht="15.6" customHeight="1" x14ac:dyDescent="0.3">
      <c r="A49" s="44" t="str">
        <f>Biaya!B57</f>
        <v xml:space="preserve">Tabel 47 Jumlah Biaya (Rp) berdasarkan Skala Usaha pada Jenis Kegiatan Penanganan Produk Segar  </v>
      </c>
      <c r="B49" s="45">
        <v>47</v>
      </c>
    </row>
    <row r="50" spans="1:2" ht="15.6" customHeight="1" x14ac:dyDescent="0.3">
      <c r="A50" s="44" t="str">
        <f>Biaya!B58</f>
        <v xml:space="preserve">Tabel 48 Jumlah Biaya (Rp) berdasarkan Skala Usaha pada Jenis Kegiatan Pengalengan </v>
      </c>
      <c r="B50" s="45">
        <v>48</v>
      </c>
    </row>
    <row r="51" spans="1:2" ht="15.6" customHeight="1" x14ac:dyDescent="0.3">
      <c r="A51" s="44" t="str">
        <f>Biaya!B59</f>
        <v xml:space="preserve">Tabel 49 Jumlah Biaya (Rp) berdasarkan Skala Usaha pada Jenis Kegiatan Pengasapan / Pemanggangan </v>
      </c>
      <c r="B51" s="45">
        <v>49</v>
      </c>
    </row>
    <row r="52" spans="1:2" ht="15.6" customHeight="1" x14ac:dyDescent="0.3">
      <c r="A52" s="44" t="str">
        <f>Biaya!B60</f>
        <v xml:space="preserve">Tabel 50 Jumlah Biaya (Rp) berdasarkan Skala Usaha pada Jenis Kegiatan Penggaraman / Pengeringan </v>
      </c>
      <c r="B52" s="45">
        <v>50</v>
      </c>
    </row>
    <row r="53" spans="1:2" ht="15.6" customHeight="1" x14ac:dyDescent="0.3">
      <c r="A53" s="44" t="str">
        <f>Biaya!B61</f>
        <v xml:space="preserve">Tabel 51 Jumlah Biaya (Rp) berdasarkan Skala Usaha pada Jenis Kegiatan Pereduksian/Ekstraksi </v>
      </c>
      <c r="B53" s="45">
        <v>51</v>
      </c>
    </row>
    <row r="54" spans="1:2" ht="15.6" customHeight="1" x14ac:dyDescent="0.3">
      <c r="A54" s="44" t="str">
        <f>Biaya!B62</f>
        <v xml:space="preserve">Tabel 52 Jumlah Biaya (Rp) berdasarkan Skala Usaha pada Jenis Kegiatan Pengolahan Lainnya </v>
      </c>
      <c r="B54" s="45">
        <v>52</v>
      </c>
    </row>
    <row r="55" spans="1:2" ht="15.6" customHeight="1" x14ac:dyDescent="0.3">
      <c r="A55" s="44" t="str">
        <f>Biaya!B63</f>
        <v xml:space="preserve">Tabel 53 Jumlah Biaya (Rp) berdasarkan Skala Usaha pada Jenis Kegiatan Pengumpul/Pedagang Besar/Distributor </v>
      </c>
      <c r="B55" s="45">
        <v>53</v>
      </c>
    </row>
    <row r="56" spans="1:2" ht="15.6" customHeight="1" x14ac:dyDescent="0.3">
      <c r="A56" s="44" t="str">
        <f>Biaya!B64</f>
        <v xml:space="preserve">Tabel 54 Jumlah Biaya (Rp) berdasarkan Skala Usaha pada Jenis Kegiatan Pengecer </v>
      </c>
      <c r="B56" s="45">
        <v>54</v>
      </c>
    </row>
    <row r="57" spans="1:2" ht="15.6" customHeight="1" x14ac:dyDescent="0.3">
      <c r="A57" s="44" t="str">
        <f>'Hasil (Kg)'!B47</f>
        <v>Tabel 55 Jumlah Hasil Produksi (Kg) berdasarkan Jenis Kegiatan</v>
      </c>
      <c r="B57" s="45">
        <v>55</v>
      </c>
    </row>
    <row r="58" spans="1:2" ht="15.6" customHeight="1" x14ac:dyDescent="0.3">
      <c r="A58" s="44" t="str">
        <f>'Hasil (Kg)'!B48</f>
        <v>Tabel 56 Jumlah Hasil Produksi (Kg) berdasarkan Jenis Kegiatan Pengolahan</v>
      </c>
      <c r="B58" s="45">
        <v>56</v>
      </c>
    </row>
    <row r="59" spans="1:2" ht="15.6" customHeight="1" x14ac:dyDescent="0.3">
      <c r="A59" s="44" t="str">
        <f>'Hasil (Kg)'!B49</f>
        <v>Tabel 57 Jumlah Hasil Produksi (Kg) berdasarkan Jenis Kegiatan Pemasaran</v>
      </c>
      <c r="B59" s="45">
        <v>57</v>
      </c>
    </row>
    <row r="60" spans="1:2" ht="15.6" customHeight="1" x14ac:dyDescent="0.3">
      <c r="A60" s="44" t="str">
        <f>'Hasil (Kg)'!B50</f>
        <v xml:space="preserve">Tabel 58 Jumlah Hasil Produksi (Kg) berdasarkan Skala Usaha </v>
      </c>
      <c r="B60" s="45">
        <v>58</v>
      </c>
    </row>
    <row r="61" spans="1:2" ht="15.6" customHeight="1" x14ac:dyDescent="0.3">
      <c r="A61" s="44" t="str">
        <f>'Hasil (Kg)'!B51</f>
        <v>Tabel 59 Jumlah Hasil Produksi (Kg) berdasarkan Skala Usaha pada Kegiatan Pengolahan</v>
      </c>
      <c r="B61" s="45">
        <v>59</v>
      </c>
    </row>
    <row r="62" spans="1:2" ht="15.6" customHeight="1" x14ac:dyDescent="0.3">
      <c r="A62" s="44" t="str">
        <f>'Hasil (Kg)'!B52</f>
        <v>Tabel 60 Jumlah Hasil Produksi (Kg) berdasarkan Skala Usaha pada Kegiatan Pemasaran</v>
      </c>
      <c r="B62" s="45">
        <v>60</v>
      </c>
    </row>
    <row r="63" spans="1:2" ht="15.6" customHeight="1" x14ac:dyDescent="0.3">
      <c r="A63" s="44" t="str">
        <f>'Hasil (Kg)'!B53</f>
        <v xml:space="preserve">Tabel 61 Jumlah Hasil Produksi (Kg) berdasarkan Skala Usaha pada Jenis Kegiatan Fermentasi </v>
      </c>
      <c r="B63" s="45">
        <v>61</v>
      </c>
    </row>
    <row r="64" spans="1:2" ht="15.6" customHeight="1" x14ac:dyDescent="0.3">
      <c r="A64" s="44" t="str">
        <f>'Hasil (Kg)'!B54</f>
        <v xml:space="preserve">Tabel 62 Jumlah Hasil Produksi (Kg) berdasarkan Skala Usaha pada Jenis Kegiatan Pelumatan Daging Ikan </v>
      </c>
      <c r="B64" s="45">
        <v>62</v>
      </c>
    </row>
    <row r="65" spans="1:2" ht="15.6" customHeight="1" x14ac:dyDescent="0.3">
      <c r="A65" s="44" t="str">
        <f>'Hasil (Kg)'!B55</f>
        <v xml:space="preserve">Tabel 63 Jumlah Hasil Produksi (Kg) berdasarkan Skala Usaha pada Jenis Kegiatan Pembekuan </v>
      </c>
      <c r="B65" s="45">
        <v>63</v>
      </c>
    </row>
    <row r="66" spans="1:2" ht="15.6" customHeight="1" x14ac:dyDescent="0.3">
      <c r="A66" s="44" t="str">
        <f>'Hasil (Kg)'!B56</f>
        <v xml:space="preserve">Tabel 64 Jumlah Hasil Produksi (Kg) berdasarkan Skala Usaha pada Jenis Kegiatan Pemindangan </v>
      </c>
      <c r="B66" s="45">
        <v>64</v>
      </c>
    </row>
    <row r="67" spans="1:2" ht="15.6" customHeight="1" x14ac:dyDescent="0.3">
      <c r="A67" s="44" t="str">
        <f>'Hasil (Kg)'!B57</f>
        <v xml:space="preserve">Tabel 65 Jumlah Hasil Produksi (Kg) berdasarkan Skala Usaha pada Jenis Kegiatan Penanganan Produk Segar  </v>
      </c>
      <c r="B67" s="45">
        <v>65</v>
      </c>
    </row>
    <row r="68" spans="1:2" ht="15.6" customHeight="1" x14ac:dyDescent="0.3">
      <c r="A68" s="44" t="str">
        <f>'Hasil (Kg)'!B58</f>
        <v xml:space="preserve">Tabel 66 Jumlah Hasil Produksi (Kg) berdasarkan Skala Usaha pada Jenis Kegiatan Pengalengan </v>
      </c>
      <c r="B68" s="45">
        <v>66</v>
      </c>
    </row>
    <row r="69" spans="1:2" ht="15.6" customHeight="1" x14ac:dyDescent="0.3">
      <c r="A69" s="44" t="str">
        <f>'Hasil (Kg)'!B59</f>
        <v xml:space="preserve">Tabel 67 Jumlah Hasil Produksi (Kg) berdasarkan Skala Usaha pada Jenis Kegiatan Pengasapan / Pemanggangan </v>
      </c>
      <c r="B69" s="45">
        <v>67</v>
      </c>
    </row>
    <row r="70" spans="1:2" ht="15.6" customHeight="1" x14ac:dyDescent="0.3">
      <c r="A70" s="44" t="str">
        <f>'Hasil (Kg)'!B60</f>
        <v xml:space="preserve">Tabel 68 Jumlah Hasil Produksi (Kg) berdasarkan Skala Usaha pada Jenis Kegiatan Penggaraman / Pengeringan </v>
      </c>
      <c r="B70" s="45">
        <v>68</v>
      </c>
    </row>
    <row r="71" spans="1:2" ht="15.6" customHeight="1" x14ac:dyDescent="0.3">
      <c r="A71" s="44" t="str">
        <f>'Hasil (Kg)'!B61</f>
        <v xml:space="preserve">Tabel 69 Jumlah Hasil Produksi (Kg) berdasarkan Skala Usaha pada Jenis Kegiatan Pereduksian/Ekstraksi </v>
      </c>
      <c r="B71" s="45">
        <v>69</v>
      </c>
    </row>
    <row r="72" spans="1:2" ht="15.6" customHeight="1" x14ac:dyDescent="0.3">
      <c r="A72" s="44" t="str">
        <f>'Hasil (Kg)'!B62</f>
        <v xml:space="preserve">Tabel 70 Jumlah Hasil Produksi (Kg) berdasarkan Skala Usaha pada Jenis Kegiatan Pengolahan Lainnya </v>
      </c>
      <c r="B72" s="45">
        <v>70</v>
      </c>
    </row>
    <row r="73" spans="1:2" ht="15.6" customHeight="1" x14ac:dyDescent="0.3">
      <c r="A73" s="44" t="str">
        <f>'Hasil (Kg)'!B63</f>
        <v xml:space="preserve">Tabel 71 Jumlah Hasil Produksi (Kg) berdasarkan Skala Usaha pada Jenis Kegiatan Pengumpul/Pedagang Besar/Distributor </v>
      </c>
      <c r="B73" s="45">
        <v>71</v>
      </c>
    </row>
    <row r="74" spans="1:2" ht="15.6" customHeight="1" x14ac:dyDescent="0.3">
      <c r="A74" s="44" t="str">
        <f>'Hasil (Kg)'!B64</f>
        <v xml:space="preserve">Tabel 72 Jumlah Hasil Produksi (Kg) berdasarkan Skala Usaha pada Jenis Kegiatan Pengecer </v>
      </c>
      <c r="B74" s="45">
        <v>72</v>
      </c>
    </row>
    <row r="75" spans="1:2" ht="15.6" customHeight="1" x14ac:dyDescent="0.3">
      <c r="A75" s="44" t="str">
        <f>'Hasil (Rp)'!B47</f>
        <v>Tabel 73 Jumlah Hasil Produksi (Rp) berdasarkan Jenis Kegiatan</v>
      </c>
      <c r="B75" s="45">
        <v>73</v>
      </c>
    </row>
    <row r="76" spans="1:2" ht="15.6" customHeight="1" x14ac:dyDescent="0.3">
      <c r="A76" s="44" t="str">
        <f>'Hasil (Rp)'!B48</f>
        <v>Tabel 74 Jumlah Hasil Produksi (Rp) berdasarkan Jenis Kegiatan Pengolahan</v>
      </c>
      <c r="B76" s="45">
        <v>74</v>
      </c>
    </row>
    <row r="77" spans="1:2" ht="15.6" customHeight="1" x14ac:dyDescent="0.3">
      <c r="A77" s="44" t="str">
        <f>'Hasil (Rp)'!B49</f>
        <v>Tabel 75 Jumlah Hasil Produksi (Rp) berdasarkan Jenis Kegiatan Pemasaran</v>
      </c>
      <c r="B77" s="45">
        <v>75</v>
      </c>
    </row>
    <row r="78" spans="1:2" ht="15.6" customHeight="1" x14ac:dyDescent="0.3">
      <c r="A78" s="44" t="str">
        <f>'Hasil (Rp)'!B50</f>
        <v xml:space="preserve">Tabel 76 Jumlah Hasil Produksi (Rp) berdasarkan Skala Usaha </v>
      </c>
      <c r="B78" s="45">
        <v>76</v>
      </c>
    </row>
    <row r="79" spans="1:2" ht="15.6" customHeight="1" x14ac:dyDescent="0.3">
      <c r="A79" s="44" t="str">
        <f>'Hasil (Rp)'!B51</f>
        <v>Tabel 77 Jumlah Hasil Produksi (Rp) berdasarkan Skala Usaha pada Kegiatan Pengolahan</v>
      </c>
      <c r="B79" s="45">
        <v>77</v>
      </c>
    </row>
    <row r="80" spans="1:2" ht="15.6" customHeight="1" x14ac:dyDescent="0.3">
      <c r="A80" s="44" t="str">
        <f>'Hasil (Rp)'!B52</f>
        <v>Tabel 78 Jumlah Hasil Produksi (Rp) berdasarkan Skala Usaha pada Kegiatan Pemasaran</v>
      </c>
      <c r="B80" s="45">
        <v>78</v>
      </c>
    </row>
    <row r="81" spans="1:2" ht="15.6" customHeight="1" x14ac:dyDescent="0.3">
      <c r="A81" s="44" t="str">
        <f>'Hasil (Rp)'!B53</f>
        <v xml:space="preserve">Tabel 79 Jumlah Hasil Produksi (Rp) berdasarkan Skala Usaha pada Jenis Kegiatan Fermentasi </v>
      </c>
      <c r="B81" s="45">
        <v>79</v>
      </c>
    </row>
    <row r="82" spans="1:2" ht="15.6" customHeight="1" x14ac:dyDescent="0.3">
      <c r="A82" s="44" t="str">
        <f>'Hasil (Rp)'!B54</f>
        <v xml:space="preserve">Tabel 80 Jumlah Hasil Produksi (Rp) berdasarkan Skala Usaha pada Jenis Kegiatan Pelumatan Daging Ikan </v>
      </c>
      <c r="B82" s="45">
        <v>80</v>
      </c>
    </row>
    <row r="83" spans="1:2" ht="15.6" customHeight="1" x14ac:dyDescent="0.3">
      <c r="A83" s="44" t="str">
        <f>'Hasil (Rp)'!B55</f>
        <v xml:space="preserve">Tabel 81 Jumlah Hasil Produksi (Rp) berdasarkan Skala Usaha pada Jenis Kegiatan Pembekuan </v>
      </c>
      <c r="B83" s="45">
        <v>81</v>
      </c>
    </row>
    <row r="84" spans="1:2" ht="15.6" customHeight="1" x14ac:dyDescent="0.3">
      <c r="A84" s="44" t="str">
        <f>'Hasil (Rp)'!B56</f>
        <v xml:space="preserve">Tabel 82 Jumlah Hasil Produksi (Rp) berdasarkan Skala Usaha pada Jenis Kegiatan Pemindangan </v>
      </c>
      <c r="B84" s="45">
        <v>82</v>
      </c>
    </row>
    <row r="85" spans="1:2" ht="15.6" customHeight="1" x14ac:dyDescent="0.3">
      <c r="A85" s="44" t="str">
        <f>'Hasil (Rp)'!B57</f>
        <v xml:space="preserve">Tabel 83 Jumlah Hasil Produksi (Rp) berdasarkan Skala Usaha pada Jenis Kegiatan Penanganan Produk Segar  </v>
      </c>
      <c r="B85" s="45">
        <v>83</v>
      </c>
    </row>
    <row r="86" spans="1:2" ht="15.6" customHeight="1" x14ac:dyDescent="0.3">
      <c r="A86" s="44" t="str">
        <f>'Hasil (Rp)'!B58</f>
        <v xml:space="preserve">Tabel 84 Jumlah Hasil Produksi (Rp) berdasarkan Skala Usaha pada Jenis Kegiatan Pengalengan </v>
      </c>
      <c r="B86" s="45">
        <v>84</v>
      </c>
    </row>
    <row r="87" spans="1:2" ht="15.6" customHeight="1" x14ac:dyDescent="0.3">
      <c r="A87" s="44" t="str">
        <f>'Hasil (Rp)'!B59</f>
        <v xml:space="preserve">Tabel 84 Jumlah Hasil Produksi (Rp) berdasarkan Skala Usaha pada Jenis Kegiatan Pengasapan / Pemanggangan </v>
      </c>
      <c r="B87" s="45">
        <v>85</v>
      </c>
    </row>
    <row r="88" spans="1:2" ht="15.6" customHeight="1" x14ac:dyDescent="0.3">
      <c r="A88" s="44" t="str">
        <f>'Hasil (Rp)'!B60</f>
        <v xml:space="preserve"> Tabel 86 Jumlah Hasil Produksi (Rp) berdasarkan Skala Usaha pada Jenis Kegiatan Penggaraman / Pengeringan </v>
      </c>
      <c r="B88" s="45">
        <v>86</v>
      </c>
    </row>
    <row r="89" spans="1:2" ht="15.6" customHeight="1" x14ac:dyDescent="0.3">
      <c r="A89" s="44" t="str">
        <f>'Hasil (Rp)'!B61</f>
        <v xml:space="preserve">Tabel 87 Jumlah Hasil Produksi (Rp) berdasarkan Skala Usaha pada Jenis Kegiatan Pereduksian/Ekstraksi </v>
      </c>
      <c r="B89" s="45">
        <v>87</v>
      </c>
    </row>
    <row r="90" spans="1:2" ht="15.6" customHeight="1" x14ac:dyDescent="0.3">
      <c r="A90" s="44" t="str">
        <f>'Hasil (Rp)'!B62</f>
        <v xml:space="preserve">Tabel 88 Jumlah Hasil Produksi (Rp) berdasarkan Skala Usaha pada Jenis Kegiatan Pengolahan Lainnya </v>
      </c>
      <c r="B90" s="45">
        <v>88</v>
      </c>
    </row>
    <row r="91" spans="1:2" ht="15.6" customHeight="1" x14ac:dyDescent="0.3">
      <c r="A91" s="44" t="str">
        <f>'Hasil (Rp)'!B63</f>
        <v xml:space="preserve">Tabel 89 Jumlah Hasil Produksi (Rp) berdasarkan Skala Usaha pada Jenis Kegiatan Pengumpul/Pedagang Besar/Distributor </v>
      </c>
      <c r="B91" s="45">
        <v>89</v>
      </c>
    </row>
    <row r="92" spans="1:2" ht="15.6" customHeight="1" x14ac:dyDescent="0.3">
      <c r="A92" s="44" t="str">
        <f>'Hasil (Rp)'!B64</f>
        <v xml:space="preserve">Tabel 90 Jumlah Hasil Produksi (Rp) berdasarkan Skala Usaha pada Jenis Kegiatan Pengecer </v>
      </c>
      <c r="B92" s="45">
        <v>90</v>
      </c>
    </row>
    <row r="93" spans="1:2" ht="15.6" customHeight="1" x14ac:dyDescent="0.3">
      <c r="A93" s="44" t="str">
        <f>NT!B47</f>
        <v>Tabel 91 Nilai Tambah (Rp) berdasarkan Jenis Kegiatan</v>
      </c>
      <c r="B93" s="45">
        <v>91</v>
      </c>
    </row>
    <row r="94" spans="1:2" ht="15.6" customHeight="1" x14ac:dyDescent="0.3">
      <c r="A94" s="44" t="str">
        <f>NT!B48</f>
        <v>Tabel 92 Nilai Tambah (Rp) berdasarkan Jenis Kegiatan Pengolahan</v>
      </c>
      <c r="B94" s="45">
        <v>92</v>
      </c>
    </row>
    <row r="95" spans="1:2" ht="15.6" customHeight="1" x14ac:dyDescent="0.3">
      <c r="A95" s="44" t="str">
        <f>NT!B49</f>
        <v>Tabel 93 Nilai Tambah (Rp) berdasarkan Jenis Kegiatan Pemasaran</v>
      </c>
      <c r="B95" s="45">
        <v>93</v>
      </c>
    </row>
    <row r="96" spans="1:2" ht="15.6" customHeight="1" x14ac:dyDescent="0.3">
      <c r="A96" s="44" t="str">
        <f>NT!B50</f>
        <v xml:space="preserve">Tabel 94 Nilai Tambah (Rp) berdasarkan Skala Usaha </v>
      </c>
      <c r="B96" s="45">
        <v>94</v>
      </c>
    </row>
    <row r="97" spans="1:2" ht="15.6" customHeight="1" x14ac:dyDescent="0.3">
      <c r="A97" s="44" t="str">
        <f>NT!B51</f>
        <v>Tabel 95 Nilai Tambah (Rp) berdasarkan Skala Usaha pada Kegiatan Pengolahan</v>
      </c>
      <c r="B97" s="45">
        <v>95</v>
      </c>
    </row>
    <row r="98" spans="1:2" ht="15.6" customHeight="1" x14ac:dyDescent="0.3">
      <c r="A98" s="44" t="str">
        <f>NT!B52</f>
        <v>Tabel 96 Nilai Tambah (Rp) berdasarkan Skala Usaha pada Kegiatan Pemasaran</v>
      </c>
      <c r="B98" s="45">
        <v>96</v>
      </c>
    </row>
    <row r="99" spans="1:2" ht="15.6" customHeight="1" x14ac:dyDescent="0.3">
      <c r="A99" s="44" t="str">
        <f>NT!B53</f>
        <v xml:space="preserve">Tabel 97 Nilai Tambah (Rp) berdasarkan Skala Usaha pada Jenis Kegiatan Fermentasi </v>
      </c>
      <c r="B99" s="45">
        <v>97</v>
      </c>
    </row>
    <row r="100" spans="1:2" ht="15.6" customHeight="1" x14ac:dyDescent="0.3">
      <c r="A100" s="44" t="str">
        <f>NT!B54</f>
        <v xml:space="preserve">Tabel 98 Nilai Tambah (Rp) berdasarkan Skala Usaha pada Jenis Kegiatan Pelumatan Daging Ikan </v>
      </c>
      <c r="B100" s="45">
        <v>98</v>
      </c>
    </row>
    <row r="101" spans="1:2" ht="15.6" customHeight="1" x14ac:dyDescent="0.3">
      <c r="A101" s="44" t="str">
        <f>NT!B55</f>
        <v xml:space="preserve">Tabel 99 Nilai Tambah (Rp) berdasarkan Skala Usaha pada Jenis Kegiatan Pembekuan </v>
      </c>
      <c r="B101" s="45">
        <v>99</v>
      </c>
    </row>
    <row r="102" spans="1:2" ht="15.6" customHeight="1" x14ac:dyDescent="0.3">
      <c r="A102" s="44" t="str">
        <f>NT!B56</f>
        <v xml:space="preserve">Tabel 100 Nilai Tambah (Rp) berdasarkan Skala Usaha pada Jenis Kegiatan Pemindangan </v>
      </c>
      <c r="B102" s="45">
        <v>100</v>
      </c>
    </row>
    <row r="103" spans="1:2" ht="15.6" customHeight="1" x14ac:dyDescent="0.3">
      <c r="A103" s="44" t="str">
        <f>NT!B57</f>
        <v xml:space="preserve">Tabel 101 Nilai Tambah (Rp) berdasarkan Skala Usaha pada Jenis Kegiatan Penanganan Produk Segar  </v>
      </c>
      <c r="B103" s="45">
        <v>101</v>
      </c>
    </row>
    <row r="104" spans="1:2" ht="15.6" customHeight="1" x14ac:dyDescent="0.3">
      <c r="A104" s="44" t="str">
        <f>NT!B58</f>
        <v xml:space="preserve">Tabel 102 Nilai Tambah (Rp) berdasarkan Skala Usaha pada Jenis Kegiatan Pengalengan </v>
      </c>
      <c r="B104" s="45">
        <v>102</v>
      </c>
    </row>
    <row r="105" spans="1:2" ht="15.6" customHeight="1" x14ac:dyDescent="0.3">
      <c r="A105" s="44" t="str">
        <f>NT!B59</f>
        <v xml:space="preserve">Tabel 103 Nilai Tambah (Rp) berdasarkan Skala Usaha pada Jenis Kegiatan Pengasapan / Pemanggangan </v>
      </c>
      <c r="B105" s="45">
        <v>103</v>
      </c>
    </row>
    <row r="106" spans="1:2" ht="15.6" customHeight="1" x14ac:dyDescent="0.3">
      <c r="A106" s="44" t="str">
        <f>NT!B60</f>
        <v xml:space="preserve">Tabel 104 Nilai Tambah (Rp) berdasarkan Skala Usaha pada Jenis Kegiatan Penggaraman / Pengeringan </v>
      </c>
      <c r="B106" s="45">
        <v>104</v>
      </c>
    </row>
    <row r="107" spans="1:2" ht="15.6" customHeight="1" x14ac:dyDescent="0.3">
      <c r="A107" s="44" t="str">
        <f>NT!B61</f>
        <v xml:space="preserve">Tabel 105 Nilai Tambah (Rp) berdasarkan Skala Usaha pada Jenis Kegiatan Pereduksian/Ekstraksi </v>
      </c>
      <c r="B107" s="45">
        <v>105</v>
      </c>
    </row>
    <row r="108" spans="1:2" ht="15.6" customHeight="1" x14ac:dyDescent="0.3">
      <c r="A108" s="44" t="str">
        <f>NT!B62</f>
        <v xml:space="preserve">Tabel 106 Nilai Tambah (Rp) berdasarkan Skala Usaha pada Jenis Kegiatan Pengolahan Lainnya </v>
      </c>
      <c r="B108" s="45">
        <v>106</v>
      </c>
    </row>
    <row r="109" spans="1:2" ht="15.6" customHeight="1" x14ac:dyDescent="0.3">
      <c r="A109" s="44" t="str">
        <f>NT!B63</f>
        <v xml:space="preserve">Tabel 107 Nilai Tambah (Rp) berdasarkan Skala Usaha pada Jenis Kegiatan Pengumpul/Pedagang Besar/Distributor </v>
      </c>
      <c r="B109" s="45">
        <v>107</v>
      </c>
    </row>
    <row r="110" spans="1:2" ht="15.6" customHeight="1" x14ac:dyDescent="0.3">
      <c r="A110" s="44" t="str">
        <f>NT!B64</f>
        <v xml:space="preserve">Tabel 108 Nilai Tambah (Rp) berdasarkan Skala Usaha pada Jenis Kegiatan Pengecer </v>
      </c>
      <c r="B110" s="45">
        <v>108</v>
      </c>
    </row>
    <row r="111" spans="1:2" ht="15.6" customHeight="1" x14ac:dyDescent="0.3">
      <c r="A111" s="44" t="str">
        <f>BB!B47</f>
        <v>Tabel 109 Jumlah Kuantitas Bahan Baku (Kg) berdasarkan Jenis Kegiatan</v>
      </c>
      <c r="B111" s="45">
        <v>109</v>
      </c>
    </row>
    <row r="112" spans="1:2" ht="15.6" customHeight="1" x14ac:dyDescent="0.3">
      <c r="A112" s="44" t="str">
        <f>BB!B48</f>
        <v>Tabel 110 Jumlah Kuantitas Bahan Baku (Kg) pada Kegiatan Pengolahan</v>
      </c>
      <c r="B112" s="45">
        <v>110</v>
      </c>
    </row>
    <row r="113" spans="1:2" ht="15.6" customHeight="1" x14ac:dyDescent="0.3">
      <c r="A113" s="44" t="str">
        <f>BB!B49</f>
        <v>Tabel 111 Jumlah Kuantitas Bahan Baku (Kg) pada Kegiatan Pemasaran</v>
      </c>
      <c r="B113" s="45">
        <v>111</v>
      </c>
    </row>
    <row r="114" spans="1:2" ht="15.6" customHeight="1" x14ac:dyDescent="0.3">
      <c r="A114" s="44" t="str">
        <f>BB!B50</f>
        <v xml:space="preserve">Tabel 112 Jumlah Kuantitas Bahan Baku (Kg) berdasarkan Skala Usaha </v>
      </c>
      <c r="B114" s="45">
        <v>112</v>
      </c>
    </row>
    <row r="115" spans="1:2" ht="15.6" customHeight="1" x14ac:dyDescent="0.3">
      <c r="A115" s="44" t="str">
        <f>BB!B51</f>
        <v>Tabel 113 Jumlah Kuantitas Bahan Baku (Kg) berdasarkan Skala Usaha pada Kegiatan Pengolahan</v>
      </c>
      <c r="B115" s="45">
        <v>113</v>
      </c>
    </row>
    <row r="116" spans="1:2" ht="15.6" customHeight="1" x14ac:dyDescent="0.3">
      <c r="A116" s="44" t="str">
        <f>BB!B52</f>
        <v>Tabel 114 Jumlah Kuantitas Bahan Baku (Kg) berdasarkan Skala Usaha pada Kegiatan Pemasaran</v>
      </c>
      <c r="B116" s="45">
        <v>114</v>
      </c>
    </row>
    <row r="117" spans="1:2" ht="15.6" customHeight="1" x14ac:dyDescent="0.3">
      <c r="A117" s="44" t="str">
        <f>BB!B53</f>
        <v xml:space="preserve">Tabel 115 Jumlah Kuantitas Bahan Baku (Kg) berdasarkan Skala Usaha pada Jenis Kegiatan Fermentasi </v>
      </c>
      <c r="B117" s="45">
        <v>115</v>
      </c>
    </row>
    <row r="118" spans="1:2" ht="15.6" customHeight="1" x14ac:dyDescent="0.3">
      <c r="A118" s="44" t="str">
        <f>BB!B54</f>
        <v xml:space="preserve">Tabel 116 Jumlah Kuantitas Bahan Baku (Kg) berdasarkan Skala Usaha pada Jenis Kegiatan Pelumatan Daging Ikan </v>
      </c>
      <c r="B118" s="45">
        <v>116</v>
      </c>
    </row>
    <row r="119" spans="1:2" ht="15.6" customHeight="1" x14ac:dyDescent="0.3">
      <c r="A119" s="44" t="str">
        <f>BB!B55</f>
        <v xml:space="preserve">Tabel 117 Jumlah Kuantitas Bahan Baku (Kg)  berdasarkan Skala Usaha pada Jenis Kegiatan Pembekuan </v>
      </c>
      <c r="B119" s="45">
        <v>117</v>
      </c>
    </row>
    <row r="120" spans="1:2" ht="15.6" customHeight="1" x14ac:dyDescent="0.3">
      <c r="A120" s="44" t="str">
        <f>BB!B56</f>
        <v xml:space="preserve">Tabel 118 Jumlah Kuantitas Bahan Baku (Kg) berdasarkan Skala Usaha pada Jenis Kegiatan Pemindangan </v>
      </c>
      <c r="B120" s="45">
        <v>118</v>
      </c>
    </row>
    <row r="121" spans="1:2" ht="15.6" customHeight="1" x14ac:dyDescent="0.3">
      <c r="A121" s="44" t="str">
        <f>BB!B57</f>
        <v xml:space="preserve">Tabel 119 Jumlah Kuantitas Bahan Baku (Kg) berdasarkan Skala Usaha pada Jenis Kegiatan Penanganan Produk Segar  </v>
      </c>
      <c r="B121" s="45">
        <v>119</v>
      </c>
    </row>
    <row r="122" spans="1:2" ht="15.6" customHeight="1" x14ac:dyDescent="0.3">
      <c r="A122" s="44" t="str">
        <f>BB!B58</f>
        <v xml:space="preserve">Tabel 120 Jumlah Kuantitas Bahan Baku (Kg) berdasarkan Skala Usaha pada Jenis Kegiatan Pengalengan </v>
      </c>
      <c r="B122" s="45">
        <v>120</v>
      </c>
    </row>
    <row r="123" spans="1:2" ht="15.6" customHeight="1" x14ac:dyDescent="0.3">
      <c r="A123" s="44" t="str">
        <f>BB!B59</f>
        <v xml:space="preserve">Tabel 121 Jumlah Kuantitas Bahan Baku (Kg) berdasarkan Skala Usaha pada Jenis Kegiatan Pengasapan / Pemanggangan </v>
      </c>
      <c r="B123" s="45">
        <v>121</v>
      </c>
    </row>
    <row r="124" spans="1:2" ht="15.6" customHeight="1" x14ac:dyDescent="0.3">
      <c r="A124" s="44" t="str">
        <f>BB!B60</f>
        <v xml:space="preserve">Tabel 122 Jumlah Kuantitas Bahan Baku (Kg) berdasarkan Skala Usaha pada Jenis Kegiatan Penggaraman / Pengeringan </v>
      </c>
      <c r="B124" s="45">
        <v>122</v>
      </c>
    </row>
    <row r="125" spans="1:2" ht="15.6" customHeight="1" x14ac:dyDescent="0.3">
      <c r="A125" s="44" t="str">
        <f>BB!B61</f>
        <v xml:space="preserve">Tabel 123 Jumlah Kuantitas Bahan Baku (Kg) berdasarkan Skala Usaha pada Jenis Kegiatan Pereduksian/Ekstraksi </v>
      </c>
      <c r="B125" s="45">
        <v>123</v>
      </c>
    </row>
    <row r="126" spans="1:2" ht="15.6" customHeight="1" x14ac:dyDescent="0.3">
      <c r="A126" s="44" t="str">
        <f>BB!B62</f>
        <v xml:space="preserve">Tabel 124 Jumlah Kuantitas Bahan Baku (Kg) berdasarkan Skala Usaha pada Jenis Kegiatan Pengolahan Lainnya </v>
      </c>
      <c r="B126" s="45">
        <v>124</v>
      </c>
    </row>
    <row r="127" spans="1:2" ht="15.6" customHeight="1" x14ac:dyDescent="0.3">
      <c r="A127" s="44" t="str">
        <f>BB!B63</f>
        <v xml:space="preserve">Tabel 125 Jumlah Kuantitas Bahan Baku (Kg) berdasarkan Skala Usaha pada Jenis Kegiatan Pengumpul/Pedagang Besar/Distributor </v>
      </c>
      <c r="B127" s="45">
        <v>125</v>
      </c>
    </row>
    <row r="128" spans="1:2" ht="15.6" customHeight="1" x14ac:dyDescent="0.3">
      <c r="A128" s="44" t="str">
        <f>BB!B64</f>
        <v xml:space="preserve">Tabel 126 Jumlah Kuantitas Bahan Baku (Kg) berdasarkan Skala Usaha pada Jenis Kegiatan Pengecer </v>
      </c>
      <c r="B128" s="45">
        <v>126</v>
      </c>
    </row>
    <row r="129" spans="1:2" ht="15.6" customHeight="1" x14ac:dyDescent="0.3">
      <c r="A129" s="44" t="str">
        <f>'Asal BB'!B50</f>
        <v>Tabel 127 Jumlah Kuantitas Bahan Baku (Kg) berdasarkan Asal Bahan Baku</v>
      </c>
      <c r="B129" s="45">
        <v>127</v>
      </c>
    </row>
    <row r="130" spans="1:2" ht="15.6" customHeight="1" x14ac:dyDescent="0.3">
      <c r="A130" s="44" t="str">
        <f>'Asal BB'!B51</f>
        <v>Tabel 128 Jumlah Kuantitas Bahan Baku (Kg) berdasarkan Asal Bahan Baku pada Kegiatan Pengolahan</v>
      </c>
      <c r="B130" s="45">
        <v>128</v>
      </c>
    </row>
    <row r="131" spans="1:2" ht="15.6" customHeight="1" x14ac:dyDescent="0.3">
      <c r="A131" s="44" t="str">
        <f>'Asal BB'!B52</f>
        <v>Tabel 129 Jumlah Kuantitas Bahan Baku (Kg) berdasarkan Asal Bahan Baku pada Kegiatan Pemasaran</v>
      </c>
      <c r="B131" s="45">
        <v>129</v>
      </c>
    </row>
    <row r="132" spans="1:2" ht="15.6" customHeight="1" x14ac:dyDescent="0.3">
      <c r="A132" s="44" t="str">
        <f>'Asal BB'!B53</f>
        <v>Tabel 130 Jumlah Kuantitas Bahan Baku (Kg) berdasarkan Asal Bahan Baku pada Jenis Kegiatan Fermentasi</v>
      </c>
      <c r="B132" s="45">
        <v>130</v>
      </c>
    </row>
    <row r="133" spans="1:2" ht="15.6" customHeight="1" x14ac:dyDescent="0.3">
      <c r="A133" s="44" t="str">
        <f>'Asal BB'!B54</f>
        <v>Tabel 131 Jumlah Kuantitas Bahan Baku (Kg) berdasarkan Asal Bahan Baku pada Jenis Kegiatan Pelumatan Daging</v>
      </c>
      <c r="B133" s="45">
        <v>131</v>
      </c>
    </row>
    <row r="134" spans="1:2" ht="15.6" customHeight="1" x14ac:dyDescent="0.3">
      <c r="A134" s="44" t="str">
        <f>'Asal BB'!B55</f>
        <v>Tabel 132 Jumlah Kuantitas Bahan Baku (Kg) berdasarkan Asal Bahan Baku pada Jenis Kegiatan Pembekuan</v>
      </c>
      <c r="B134" s="45">
        <v>132</v>
      </c>
    </row>
    <row r="135" spans="1:2" ht="15.6" customHeight="1" x14ac:dyDescent="0.3">
      <c r="A135" s="44" t="str">
        <f>'Asal BB'!B56</f>
        <v>Tabel 133 Jumlah Kuantitas Bahan Baku (Kg) berdasarkan Asal Bahan Baku pada Jenis Kegiatan Pemindangan</v>
      </c>
      <c r="B135" s="45">
        <v>133</v>
      </c>
    </row>
    <row r="136" spans="1:2" ht="15.6" customHeight="1" x14ac:dyDescent="0.3">
      <c r="A136" s="44" t="str">
        <f>'Asal BB'!B57</f>
        <v>Tabel 134 Jumlah Kuantitas Bahan Baku (Kg) berdasarkan Asal Bahan Baku pada Jenis Kegiatan Penanganan Produk Segar</v>
      </c>
      <c r="B136" s="45">
        <v>134</v>
      </c>
    </row>
    <row r="137" spans="1:2" ht="15.6" customHeight="1" x14ac:dyDescent="0.3">
      <c r="A137" s="44" t="str">
        <f>'Asal BB'!B58</f>
        <v>Tabel 135 Jumlah Kuantitas Bahan Baku (Kg) berdasarkan Asal Bahan Baku pada Jenis Kegiatan Pengalengan</v>
      </c>
      <c r="B137" s="45">
        <v>135</v>
      </c>
    </row>
    <row r="138" spans="1:2" ht="15.6" customHeight="1" x14ac:dyDescent="0.3">
      <c r="A138" s="44" t="str">
        <f>'Asal BB'!B59</f>
        <v>Tabel 136 Jumlah Kuantitas Bahan Baku (Kg) berdasarkan Asal Bahan Baku pada Jenis Kegiatan Pengasapan / Pemanggangan</v>
      </c>
      <c r="B138" s="45">
        <v>136</v>
      </c>
    </row>
    <row r="139" spans="1:2" ht="15.6" customHeight="1" x14ac:dyDescent="0.3">
      <c r="A139" s="44" t="str">
        <f>'Asal BB'!B60</f>
        <v>Tabel 137Jumlah Kuantitas Bahan Baku (Kg) berdasarkan Asal Bahan Baku pada Jenis Kegiatan Penggaraman / Pengeringan</v>
      </c>
      <c r="B139" s="45">
        <v>137</v>
      </c>
    </row>
    <row r="140" spans="1:2" ht="15.6" customHeight="1" x14ac:dyDescent="0.3">
      <c r="A140" s="44" t="str">
        <f>'Asal BB'!B61</f>
        <v>Tabel 138 Jumlah Kuantitas Bahan Baku (Kg) berdasarkan Asal Bahan Baku pada Jenis Kegiatan Pereduksian/Ekstraksi</v>
      </c>
      <c r="B140" s="45">
        <v>138</v>
      </c>
    </row>
    <row r="141" spans="1:2" ht="15.6" customHeight="1" x14ac:dyDescent="0.3">
      <c r="A141" s="44" t="str">
        <f>'Asal BB'!B62</f>
        <v>Tabel 139 Jumlah Kuantitas Bahan Baku (Kg) berdasarkan Asal Bahan Baku pada Jenis Kegiatan Pengolahan Lainnya</v>
      </c>
      <c r="B141" s="45">
        <v>139</v>
      </c>
    </row>
    <row r="142" spans="1:2" ht="15.6" customHeight="1" x14ac:dyDescent="0.3">
      <c r="A142" s="44" t="str">
        <f>'Asal BB'!B63</f>
        <v>Tabel 140 Jumlah Kuantitas Bahan Baku (Kg) berdasarkan Asal Bahan Baku pada Jenis Kegiatan Pengumpul/Pedagang Besar/Distributor</v>
      </c>
      <c r="B142" s="45">
        <v>140</v>
      </c>
    </row>
    <row r="143" spans="1:2" ht="15.6" customHeight="1" x14ac:dyDescent="0.3">
      <c r="A143" s="44" t="str">
        <f>'Asal BB'!B64</f>
        <v>Tabel 141 Jumlah Kuantitas Bahan Baku (Kg) berdasarkan Asal Bahan Baku pada Jenis Kegiatan Pengecer</v>
      </c>
      <c r="B143" s="45">
        <v>141</v>
      </c>
    </row>
    <row r="144" spans="1:2" ht="15.6" customHeight="1" x14ac:dyDescent="0.3">
      <c r="A144" s="44" t="str">
        <f>'Jenis Ikan'!Q137</f>
        <v xml:space="preserve">Tabel 142 Jumlah Kuantitas Bahan Baku (Kg) per Kabupaten berdasarkan Jenis Ikan </v>
      </c>
      <c r="B144" s="45">
        <v>142</v>
      </c>
    </row>
    <row r="145" spans="1:2" ht="15.6" customHeight="1" x14ac:dyDescent="0.3">
      <c r="A145" s="44" t="str">
        <f>'Jenis Ikan'!Q138</f>
        <v>Tabel 143 Jumlah Kuantitas Bahan Baku (Kg) per Kabupaten berdasarkan Jenis Ikan pada Jenis Kegiatan Pengolahan</v>
      </c>
      <c r="B145" s="45">
        <v>143</v>
      </c>
    </row>
    <row r="146" spans="1:2" ht="15.6" customHeight="1" x14ac:dyDescent="0.3">
      <c r="A146" s="44" t="str">
        <f>'Jenis Ikan'!Q139</f>
        <v>Tabel 144 Jumlah Kuantitas Bahan Baku (Kg) per Kabupaten berdasarkan Jenis Ikan pada Jenis Kegiatan Pemasaran</v>
      </c>
      <c r="B146" s="45">
        <v>144</v>
      </c>
    </row>
    <row r="147" spans="1:2" ht="15.6" customHeight="1" x14ac:dyDescent="0.3">
      <c r="A147" s="44" t="str">
        <f>'Jenis Ikan'!Q140</f>
        <v>Tabel 145 Jumlah Kuantitas Bahan Baku (Kg) per Kabupaten berdasarkan Jenis Ikan pada Jenis Kegiatan Fermentasi</v>
      </c>
      <c r="B147" s="45">
        <v>145</v>
      </c>
    </row>
    <row r="148" spans="1:2" ht="15.6" customHeight="1" x14ac:dyDescent="0.3">
      <c r="A148" s="44" t="str">
        <f>'Jenis Ikan'!Q141</f>
        <v>Tabel 146 Jumlah Kuantitas Bahan Baku (Kg) per Kabupaten berdasarkan Jenis Ikan pada Jenis Kegiatan Pelumatan daging Ikan</v>
      </c>
      <c r="B148" s="45">
        <v>146</v>
      </c>
    </row>
    <row r="149" spans="1:2" ht="15.6" customHeight="1" x14ac:dyDescent="0.3">
      <c r="A149" s="44" t="str">
        <f>'Jenis Ikan'!Q142</f>
        <v>Tabel 147 Jumlah Kuantitas Bahan Baku (Kg) per Kabupaten berdasarkan Jenis Ikan pada Jenis Kegiatan Pembekuan</v>
      </c>
      <c r="B149" s="45">
        <v>147</v>
      </c>
    </row>
    <row r="150" spans="1:2" ht="15.6" customHeight="1" x14ac:dyDescent="0.3">
      <c r="A150" s="44" t="str">
        <f>'Jenis Ikan'!Q143</f>
        <v>Tabel 148 Jumlah Kuantitas Bahan Baku (Kg) per Kabupaten berdasarkan Jenis Ikan pada Jenis Kegiatan Pemindangan</v>
      </c>
      <c r="B150" s="45">
        <v>148</v>
      </c>
    </row>
    <row r="151" spans="1:2" ht="15.6" customHeight="1" x14ac:dyDescent="0.3">
      <c r="A151" s="44" t="str">
        <f>'Jenis Ikan'!Q144</f>
        <v>Tabel 149 Jumlah Kuantitas Bahan Baku (Kg) per Kabupaten berdasarkan Jenis Ikan pada Jenis Kegiatan Penanganan Produk Segar</v>
      </c>
      <c r="B151" s="45">
        <v>149</v>
      </c>
    </row>
    <row r="152" spans="1:2" ht="15.6" customHeight="1" x14ac:dyDescent="0.3">
      <c r="A152" s="44" t="str">
        <f>'Jenis Ikan'!Q145</f>
        <v>Tabel 150 Jumlah Kuantitas Bahan Baku (Kg) per Kabupaten berdasarkan Jenis Ikan pada Jenis Kegiatan Pengalengan</v>
      </c>
      <c r="B152" s="45">
        <v>150</v>
      </c>
    </row>
    <row r="153" spans="1:2" ht="15.6" customHeight="1" x14ac:dyDescent="0.3">
      <c r="A153" s="44" t="str">
        <f>'Jenis Ikan'!Q146</f>
        <v>Tabel 151 Jumlah Kuantitas Bahan Baku (Kg) per Kabupaten berdasarkan Jenis Ikan pada Jenis Kegiatan Pengasapan/Pemanggangan</v>
      </c>
      <c r="B153" s="45">
        <v>151</v>
      </c>
    </row>
    <row r="154" spans="1:2" ht="15.6" customHeight="1" x14ac:dyDescent="0.3">
      <c r="A154" s="44" t="str">
        <f>'Jenis Ikan'!Q147</f>
        <v>Tabel 152 Jumlah Kuantitas Bahan Baku (Kg) per Kabupaten berdasarkan Jenis Ikan pada Jenis Kegiatan Penggaraman/Pengeringan</v>
      </c>
      <c r="B154" s="45">
        <v>152</v>
      </c>
    </row>
    <row r="155" spans="1:2" ht="15.6" customHeight="1" x14ac:dyDescent="0.3">
      <c r="A155" s="44" t="str">
        <f>'Jenis Ikan'!Q148</f>
        <v>Tabel 153 Jumlah Kuantitas Bahan Baku (Kg) per Kabupaten berdasarkan Jenis Ikan pada Jenis Kegiatan Pereduksian/Ekstraksi</v>
      </c>
      <c r="B155" s="45">
        <v>153</v>
      </c>
    </row>
    <row r="156" spans="1:2" ht="15.6" customHeight="1" x14ac:dyDescent="0.3">
      <c r="A156" s="44" t="str">
        <f>'Jenis Ikan'!Q149</f>
        <v>Tabel 154 Jumlah Kuantitas Bahan Baku (Kg) per Kabupaten berdasarkan Jenis Ikan pada Jenis Kegiatan Pengolahan Lainnya</v>
      </c>
      <c r="B156" s="45">
        <v>154</v>
      </c>
    </row>
    <row r="157" spans="1:2" ht="15.6" customHeight="1" x14ac:dyDescent="0.3">
      <c r="A157" s="44" t="str">
        <f>'Jenis Ikan'!Q150</f>
        <v>Tabel 155 Jumlah Kuantitas Bahan Baku (Kg) per Kabupaten berdasarkan Jenis Ikan pada Jenis Kegiatan Pengumpul/Pedagang Besar/Distributor</v>
      </c>
      <c r="B157" s="45">
        <v>155</v>
      </c>
    </row>
    <row r="158" spans="1:2" ht="15.6" customHeight="1" x14ac:dyDescent="0.3">
      <c r="A158" s="44" t="str">
        <f>'Jenis Ikan'!Q151</f>
        <v>Tabel 156 Jumlah Kuantitas Bahan Baku (Kg) per Kabupaten berdasarkan Jenis Ikan pada Jenis Kegiatan Pengecer</v>
      </c>
      <c r="B158" s="45">
        <v>156</v>
      </c>
    </row>
    <row r="159" spans="1:2" ht="15.6" customHeight="1" x14ac:dyDescent="0.3">
      <c r="A159" s="44" t="str">
        <f>Pemasaran!B47</f>
        <v>Tabel 157 Jumlah Pemasaran Produk (Kg) berdasarkan Jenis Kegiatan</v>
      </c>
      <c r="B159" s="45">
        <v>157</v>
      </c>
    </row>
    <row r="160" spans="1:2" ht="15.6" customHeight="1" x14ac:dyDescent="0.3">
      <c r="A160" s="44" t="str">
        <f>Pemasaran!B48</f>
        <v>Tabel 158 Jumlah Pemasaran Produk (Kg) berdasarkan Jenis Kegiatan Pengolahan</v>
      </c>
      <c r="B160" s="45">
        <v>158</v>
      </c>
    </row>
    <row r="161" spans="1:2" ht="15.6" customHeight="1" x14ac:dyDescent="0.3">
      <c r="A161" s="44" t="str">
        <f>Pemasaran!B49</f>
        <v>Tabel 159 Jumlah Pemasaran Produk (Kg) berdasarkan Jenis Kegiatan Pemasaran</v>
      </c>
      <c r="B161" s="45">
        <v>159</v>
      </c>
    </row>
    <row r="162" spans="1:2" ht="15.6" customHeight="1" x14ac:dyDescent="0.3">
      <c r="A162" s="44" t="str">
        <f>Pemasaran!B50</f>
        <v xml:space="preserve">Tabel 160 Jumlah Pemasaran Produk (Kg) berdasarkan Skala Usaha </v>
      </c>
      <c r="B162" s="45">
        <v>160</v>
      </c>
    </row>
    <row r="163" spans="1:2" ht="15.6" customHeight="1" x14ac:dyDescent="0.3">
      <c r="A163" s="44" t="str">
        <f>Pemasaran!B51</f>
        <v>Tabel 161 Jumlah Pemasaran Produk (Kg) berdasarkan Skala Usaha pada Kegiatan Pengolahan</v>
      </c>
      <c r="B163" s="45">
        <v>161</v>
      </c>
    </row>
    <row r="164" spans="1:2" ht="15.6" customHeight="1" x14ac:dyDescent="0.3">
      <c r="A164" s="44" t="str">
        <f>Pemasaran!B52</f>
        <v>Tabel 162 Jumlah Pemasaran Produk (Kg) berdasarkan Skala Usaha pada Kegiatan Pemasaran</v>
      </c>
      <c r="B164" s="45">
        <v>162</v>
      </c>
    </row>
    <row r="165" spans="1:2" ht="15.6" customHeight="1" x14ac:dyDescent="0.3">
      <c r="A165" s="44" t="str">
        <f>Pemasaran!B53</f>
        <v xml:space="preserve">Tabel 163 Jumlah Pemasaran Produk (Kg) berdasarkan Skala Usaha pada Jenis Kegiatan Fermentasi </v>
      </c>
      <c r="B165" s="45">
        <v>163</v>
      </c>
    </row>
    <row r="166" spans="1:2" ht="15.6" customHeight="1" x14ac:dyDescent="0.3">
      <c r="A166" s="44" t="str">
        <f>Pemasaran!B54</f>
        <v xml:space="preserve">Tabel 164 Jumlah Pemasaran Produk (Kg) berdasarkan Skala Usaha pada Jenis Kegiatan Pelumatan Daging Ikan </v>
      </c>
      <c r="B166" s="45">
        <v>164</v>
      </c>
    </row>
    <row r="167" spans="1:2" ht="15.6" customHeight="1" x14ac:dyDescent="0.3">
      <c r="A167" s="44" t="str">
        <f>Pemasaran!B55</f>
        <v xml:space="preserve">Tabel 165 Jumlah Pemasaran Produk (Kg) berdasarkan Skala Usaha pada Jenis Kegiatan Pembekuan </v>
      </c>
      <c r="B167" s="45">
        <v>165</v>
      </c>
    </row>
    <row r="168" spans="1:2" ht="15.6" customHeight="1" x14ac:dyDescent="0.3">
      <c r="A168" s="44" t="str">
        <f>Pemasaran!B56</f>
        <v xml:space="preserve">Tabel 166 Jumlah Pemasaran Produk (Kg) berdasarkan Skala Usaha pada Jenis Kegiatan Pemindangan </v>
      </c>
      <c r="B168" s="45">
        <v>166</v>
      </c>
    </row>
    <row r="169" spans="1:2" ht="15.6" customHeight="1" x14ac:dyDescent="0.3">
      <c r="A169" s="44" t="str">
        <f>Pemasaran!B57</f>
        <v xml:space="preserve">Tabel 167 Jumlah Pemasaran Produk (Kg) berdasarkan Skala Usaha pada Jenis Kegiatan Penanganan Produk Segar  </v>
      </c>
      <c r="B169" s="45">
        <v>167</v>
      </c>
    </row>
    <row r="170" spans="1:2" ht="15.6" customHeight="1" x14ac:dyDescent="0.3">
      <c r="A170" s="44" t="str">
        <f>Pemasaran!B58</f>
        <v xml:space="preserve">Tabel 168 Jumlah Pemasaran Produk (Kg) berdasarkan Skala Usaha pada Jenis Kegiatan Pengalengan </v>
      </c>
      <c r="B170" s="45">
        <v>168</v>
      </c>
    </row>
    <row r="171" spans="1:2" ht="15.6" customHeight="1" x14ac:dyDescent="0.3">
      <c r="A171" s="44" t="str">
        <f>Pemasaran!B59</f>
        <v xml:space="preserve">Tabel 169 Jumlah Pemasaran Produk (Kg) berdasarkan Skala Usaha pada Jenis Kegiatan Pengasapan / Pemanggangan </v>
      </c>
      <c r="B171" s="45">
        <v>169</v>
      </c>
    </row>
    <row r="172" spans="1:2" ht="15.6" customHeight="1" x14ac:dyDescent="0.3">
      <c r="A172" s="44" t="str">
        <f>Pemasaran!B60</f>
        <v xml:space="preserve">Tabel 170 Jumlah Pemasaran Produk (Kg) berdasarkan Skala Usaha pada Jenis Kegiatan Penggaraman / Pengeringan </v>
      </c>
      <c r="B172" s="45">
        <v>170</v>
      </c>
    </row>
    <row r="173" spans="1:2" ht="15.6" customHeight="1" x14ac:dyDescent="0.3">
      <c r="A173" s="44" t="str">
        <f>Pemasaran!B61</f>
        <v xml:space="preserve">Tabel 171 Jumlah Pemasaran Produk (Kg) berdasarkan Skala Usaha pada Jenis Kegiatan Pereduksian/Ekstraksi </v>
      </c>
      <c r="B173" s="45">
        <v>171</v>
      </c>
    </row>
    <row r="174" spans="1:2" ht="15.6" customHeight="1" x14ac:dyDescent="0.3">
      <c r="A174" s="44" t="str">
        <f>Pemasaran!B62</f>
        <v xml:space="preserve">Tabel 172 Jumlah Pemasaran Produk (Kg) berdasarkan Skala Usaha pada Jenis Kegiatan Pengolahan Lainnya </v>
      </c>
      <c r="B174" s="45">
        <v>172</v>
      </c>
    </row>
    <row r="175" spans="1:2" ht="15.6" customHeight="1" x14ac:dyDescent="0.3">
      <c r="A175" s="44" t="str">
        <f>Pemasaran!B63</f>
        <v xml:space="preserve">Tabel 173 Jumlah Pemasaran Produk (Kg) berdasarkan Skala Usaha pada Jenis Kegiatan Pengumpul/Pedagang Besar/Distributor </v>
      </c>
      <c r="B175" s="45">
        <v>173</v>
      </c>
    </row>
    <row r="176" spans="1:2" ht="15.6" customHeight="1" x14ac:dyDescent="0.3">
      <c r="A176" s="44" t="str">
        <f>Pemasaran!B64</f>
        <v xml:space="preserve">Tabel 174 Jumlah Pemasaran Produk (Kg) berdasarkan Skala Usaha pada Jenis Kegiatan Pengecer </v>
      </c>
      <c r="B176" s="45">
        <v>174</v>
      </c>
    </row>
    <row r="177" spans="1:2" ht="15.6" customHeight="1" x14ac:dyDescent="0.3">
      <c r="A177" s="44" t="str">
        <f>'Tujuan Pemasaran'!B47</f>
        <v>Tabel 175 Jumlah Kuantitas Pemasaran Produk (Kg) berdasarkan Tujuan Pasar</v>
      </c>
      <c r="B177" s="45">
        <v>175</v>
      </c>
    </row>
    <row r="178" spans="1:2" ht="15.6" customHeight="1" x14ac:dyDescent="0.3">
      <c r="A178" s="44" t="str">
        <f>'Tujuan Pemasaran'!B48</f>
        <v>Tabel 176 Jumlah Kuantitas Pemasaran Produk (Kg) berdasarkan Tujuan Pasar pada Jenis Kegiatan Pengolahan</v>
      </c>
      <c r="B178" s="45">
        <v>176</v>
      </c>
    </row>
    <row r="179" spans="1:2" ht="15.6" customHeight="1" x14ac:dyDescent="0.3">
      <c r="A179" s="44" t="str">
        <f>'Tujuan Pemasaran'!B49</f>
        <v>Tabel 177 Jumlah Kuantitas Pemasaran Produk (Kg) berdasarkan Tujuan Pasar pada Jenis Kegiatan Pemasaran</v>
      </c>
      <c r="B179" s="45">
        <v>177</v>
      </c>
    </row>
    <row r="180" spans="1:2" ht="15.6" customHeight="1" x14ac:dyDescent="0.3">
      <c r="A180" s="44" t="str">
        <f>'Tujuan Pemasaran'!B50</f>
        <v>Tabel 178 Jumlah Kuantitas Pemasaran Produk (Kg) berdasarkan Tujuan Pasar pada Jenis Kegiatan Fermentasi</v>
      </c>
      <c r="B180" s="45">
        <v>178</v>
      </c>
    </row>
    <row r="181" spans="1:2" ht="15.6" customHeight="1" x14ac:dyDescent="0.3">
      <c r="A181" s="44" t="str">
        <f>'Tujuan Pemasaran'!B51</f>
        <v>Tabel 179 Jumlah Kuantitas Pemasaran Produk (Kg) berdasarkan Tujuan Pasar pada Jenis Kegiatan Pelumatan Daging Ikan</v>
      </c>
      <c r="B181" s="45">
        <v>179</v>
      </c>
    </row>
    <row r="182" spans="1:2" ht="15.6" customHeight="1" x14ac:dyDescent="0.3">
      <c r="A182" s="44" t="str">
        <f>'Tujuan Pemasaran'!B52</f>
        <v>Tabel 180 Jumlah Kuantitas Pemasaran Produk (Kg) berdasarkan Tujuan Pasar pada Jenis Kegiatan Pembekuan</v>
      </c>
      <c r="B182" s="45">
        <v>180</v>
      </c>
    </row>
    <row r="183" spans="1:2" ht="15.6" customHeight="1" x14ac:dyDescent="0.3">
      <c r="A183" s="44" t="str">
        <f>'Tujuan Pemasaran'!B53</f>
        <v>Tabel 181 Jumlah Kuantitas Pemasaran Produk (Kg) berdasarkan Tujuan Pasar pada Jenis Kegiatan Pemindangan</v>
      </c>
      <c r="B183" s="45">
        <v>181</v>
      </c>
    </row>
    <row r="184" spans="1:2" ht="15.6" customHeight="1" x14ac:dyDescent="0.3">
      <c r="A184" s="44" t="str">
        <f>'Tujuan Pemasaran'!B54</f>
        <v>Tabel 182 Jumlah Kuantitas Pemasaran Produk (Kg) berdasarkan Tujuan Pasar pada Jenis Kegiatan Penanganan Produk Segar</v>
      </c>
      <c r="B184" s="45">
        <v>182</v>
      </c>
    </row>
    <row r="185" spans="1:2" ht="15.6" customHeight="1" x14ac:dyDescent="0.3">
      <c r="A185" s="44" t="str">
        <f>'Tujuan Pemasaran'!B55</f>
        <v>Tabel 183 Jumlah Kuantitas Pemasaran Produk (Kg) berdasarkan Tujuan Pasar pada Jenis Kegiatan Pengalengan</v>
      </c>
      <c r="B185" s="45">
        <v>183</v>
      </c>
    </row>
    <row r="186" spans="1:2" ht="15.6" customHeight="1" x14ac:dyDescent="0.3">
      <c r="A186" s="44" t="str">
        <f>'Tujuan Pemasaran'!B56</f>
        <v>Tabel 184 Jumlah Kuantitas Pemasaran Produk (Kg) berdasarkan Tujuan Pasar pada Jenis Kegiatan Pengasapan/Pemanggangan</v>
      </c>
      <c r="B186" s="45">
        <v>184</v>
      </c>
    </row>
    <row r="187" spans="1:2" ht="15.6" customHeight="1" x14ac:dyDescent="0.3">
      <c r="A187" s="44" t="str">
        <f>'Tujuan Pemasaran'!B57</f>
        <v>Tabel 185 Jumlah Kuantitas Pemasaran Produk (Kg) berdasarkan Tujuan Pasar Jenis Kegiatan Penggaraman/Pengeringan</v>
      </c>
      <c r="B187" s="45">
        <v>185</v>
      </c>
    </row>
    <row r="188" spans="1:2" ht="15.6" customHeight="1" x14ac:dyDescent="0.3">
      <c r="A188" s="44" t="str">
        <f>'Tujuan Pemasaran'!B58</f>
        <v>Tabel 186 Jumlah Kuantitas Pemasaran Produk (Kg) berdasarkan Tujuan Pasar pada Jenis Kegiatan Pereduksian/Ekstraksi</v>
      </c>
      <c r="B188" s="45">
        <v>186</v>
      </c>
    </row>
    <row r="189" spans="1:2" ht="15.6" customHeight="1" x14ac:dyDescent="0.3">
      <c r="A189" s="44" t="str">
        <f>'Tujuan Pemasaran'!B59</f>
        <v>Tabel 187 Jumlah Kuantitas Pemasaran Produk (Kg) berdasarkan Tujuan Pasar pada Jenis Kegiatan Pengolahan Lainnya</v>
      </c>
      <c r="B189" s="45">
        <v>187</v>
      </c>
    </row>
    <row r="190" spans="1:2" ht="15.6" customHeight="1" x14ac:dyDescent="0.3">
      <c r="A190" s="44" t="str">
        <f>'Tujuan Pemasaran'!B60</f>
        <v>Tabel 188 Jumlah Kuantitas Pemasaran Produk (Kg) berdasarkan Tujuan Pasar pada Jenis Kegiatan Pengumpul/Pedagang Besar/Distributor</v>
      </c>
      <c r="B190" s="45">
        <v>188</v>
      </c>
    </row>
    <row r="191" spans="1:2" ht="15.6" customHeight="1" x14ac:dyDescent="0.3">
      <c r="A191" s="44" t="str">
        <f>'Tujuan Pemasaran'!B61</f>
        <v>Tabel 189 Jumlah Kuantitas Pemasaran Produk (Kg) berdasarkan Tujuan Pasar pada Jenis Kegiatan Pengecer</v>
      </c>
      <c r="B191" s="45">
        <v>189</v>
      </c>
    </row>
    <row r="192" spans="1:2" ht="15.6" customHeight="1" x14ac:dyDescent="0.3">
      <c r="A192" s="44" t="str">
        <f>Lahan!B47</f>
        <v>Tabel 190 Jumlah Investasi Lahan (Rp)  Berdasarkan Jenis Kegiatan</v>
      </c>
      <c r="B192" s="45">
        <v>190</v>
      </c>
    </row>
    <row r="193" spans="1:2" ht="15.6" customHeight="1" x14ac:dyDescent="0.3">
      <c r="A193" s="44" t="str">
        <f>Lahan!B48</f>
        <v>Tabel 191 Jumlah Investasi Lahan (Rp)  Berdasarkan Skala Usaha</v>
      </c>
      <c r="B193" s="45">
        <v>191</v>
      </c>
    </row>
    <row r="194" spans="1:2" ht="15.6" customHeight="1" x14ac:dyDescent="0.3">
      <c r="A194" s="44" t="str">
        <f>Bangunan!B47</f>
        <v>Tabel 192 Jumlah Investasi Bangunan (Rp)  Berdasarkan Jenis Kegiatan</v>
      </c>
      <c r="B194" s="45">
        <v>192</v>
      </c>
    </row>
    <row r="195" spans="1:2" ht="15.6" customHeight="1" x14ac:dyDescent="0.3">
      <c r="A195" s="44" t="str">
        <f>Bangunan!B48</f>
        <v>Tabel 193 Jumlah Investasi Bangunan (Rp)  Berdasarkan Skala Usaha</v>
      </c>
      <c r="B195" s="45">
        <v>193</v>
      </c>
    </row>
    <row r="196" spans="1:2" ht="15.6" customHeight="1" x14ac:dyDescent="0.3">
      <c r="A196" s="44" t="str">
        <f>Modal!B47</f>
        <v>Tabel 194 Jumlah Investasi Modal (Rp)  Berdasarkan Jenis Kegiatan</v>
      </c>
      <c r="B196" s="45">
        <v>194</v>
      </c>
    </row>
    <row r="197" spans="1:2" ht="15.6" customHeight="1" x14ac:dyDescent="0.3">
      <c r="A197" s="44" t="str">
        <f>Modal!B48</f>
        <v>Tabel 195 Jumlah Investasi Modal (Rp)  Berdasarkan Skala Usaha</v>
      </c>
      <c r="B197" s="45">
        <v>195</v>
      </c>
    </row>
    <row r="198" spans="1:2" ht="15.6" customHeight="1" x14ac:dyDescent="0.3">
      <c r="A198" s="44" t="str">
        <f>'DNT (L)'!B47</f>
        <v>Tabel 196 Jumlah Tenaga Kerja Dalam Negeri Tetap Laki-laki Berdasarkan Jenis Kegiatan</v>
      </c>
      <c r="B198" s="45">
        <v>196</v>
      </c>
    </row>
    <row r="199" spans="1:2" ht="15.6" customHeight="1" x14ac:dyDescent="0.3">
      <c r="A199" s="44" t="str">
        <f>'DNT (L)'!B48</f>
        <v>Tabel 197 Jumlah Tenaga Kerja Dalam Negeri Tetap Laki-laki Berdasarkan Skala Usaha</v>
      </c>
      <c r="B199" s="45">
        <v>197</v>
      </c>
    </row>
    <row r="200" spans="1:2" ht="15.6" customHeight="1" x14ac:dyDescent="0.3">
      <c r="A200" s="44" t="str">
        <f>'DNT (P)'!B47</f>
        <v>Tabel 198 Jumlah Tenaga Kerja Dalam Negeri Tetap Perempuan Berdasarkan Jenis Kegiatan</v>
      </c>
      <c r="B200" s="45">
        <v>198</v>
      </c>
    </row>
    <row r="201" spans="1:2" ht="15.6" customHeight="1" x14ac:dyDescent="0.3">
      <c r="A201" s="44" t="str">
        <f>'DNT (P)'!B48</f>
        <v>Tabel 199 Jumlah Tenaga Kerja Dalam Negeri Tetap Perempuan Berdasarkan Skala Usaha</v>
      </c>
      <c r="B201" s="45">
        <v>199</v>
      </c>
    </row>
    <row r="202" spans="1:2" ht="15.6" customHeight="1" x14ac:dyDescent="0.3">
      <c r="A202" s="44" t="str">
        <f>'DNTT (L)'!B47</f>
        <v>Tabel 200 Jumlah Tenaga Kerja Dalam Negeri Tidak Tetap Laki-laki Berdasarkan Jenis Kegiatan</v>
      </c>
      <c r="B202" s="45">
        <v>200</v>
      </c>
    </row>
    <row r="203" spans="1:2" ht="15.6" customHeight="1" x14ac:dyDescent="0.3">
      <c r="A203" s="44" t="str">
        <f>'DNTT (L)'!B48</f>
        <v>Tabel 201 Jumlah Tenaga Kerja Dalam Negeri Tidak Tetap Laki-laki  Berdasarkan Skala Usaha</v>
      </c>
      <c r="B203" s="45">
        <v>201</v>
      </c>
    </row>
    <row r="204" spans="1:2" ht="15.6" customHeight="1" x14ac:dyDescent="0.3">
      <c r="A204" s="44" t="str">
        <f>'DNTT (P)'!B47</f>
        <v>Tabel 202 Jumlah Tenaga Kerja Dalam Negeri Tidak Tetap Perempuan Berdasarkan Jenis Kegiatan</v>
      </c>
      <c r="B204" s="45">
        <v>202</v>
      </c>
    </row>
    <row r="205" spans="1:2" ht="15.6" customHeight="1" x14ac:dyDescent="0.3">
      <c r="A205" s="44" t="str">
        <f>'DNTT (P)'!B48</f>
        <v>Tabel 203  Jumlah Tenaga Kerja Dalam Negeri Tidak Tetap Perempuan Berdasarkan Skala Usaha</v>
      </c>
      <c r="B205" s="45">
        <v>203</v>
      </c>
    </row>
    <row r="206" spans="1:2" ht="15.6" customHeight="1" x14ac:dyDescent="0.3">
      <c r="A206" s="44" t="str">
        <f>'K (L)'!B47</f>
        <v>Tabel 204  Jumlah Tenaga Kerja Keluarga Laki-laki Berdasarkan Jenis Kegiatan</v>
      </c>
      <c r="B206" s="45">
        <v>204</v>
      </c>
    </row>
    <row r="207" spans="1:2" ht="15.6" customHeight="1" x14ac:dyDescent="0.3">
      <c r="A207" s="44" t="str">
        <f>'K (L)'!B48</f>
        <v>Tabel 205 Jumlah Tenaga Kerja Keluarga Laki-laki Berdasarkan Skala Usaha</v>
      </c>
      <c r="B207" s="45">
        <v>205</v>
      </c>
    </row>
    <row r="208" spans="1:2" ht="15.6" customHeight="1" x14ac:dyDescent="0.3">
      <c r="A208" s="44" t="str">
        <f>'K (P)'!B47</f>
        <v>Tabel 206 Jumlah Tenaga Kerja Keluarga Perempuan Berdasarkan Jenis Kegiatan</v>
      </c>
      <c r="B208" s="45">
        <v>206</v>
      </c>
    </row>
    <row r="209" spans="1:2" ht="15.6" customHeight="1" x14ac:dyDescent="0.3">
      <c r="A209" s="44" t="str">
        <f>'K (P)'!B48</f>
        <v>Tabel 207  Jumlah Tenaga Kerja Keluarga Perempuan Berdasarkan Skala Usaha</v>
      </c>
      <c r="B209" s="45">
        <v>207</v>
      </c>
    </row>
    <row r="210" spans="1:2" ht="15.6" customHeight="1" x14ac:dyDescent="0.3">
      <c r="A210" s="44" t="str">
        <f>'Sertifikat Produk'!L5</f>
        <v>Tabel 208 Jumlah Kepemilikan Sertifikat Produk per Kabupaten</v>
      </c>
      <c r="B210" s="45">
        <v>208</v>
      </c>
    </row>
    <row r="211" spans="1:2" ht="15.6" customHeight="1" x14ac:dyDescent="0.3">
      <c r="A211" s="44" t="str">
        <f>'Sertifikat Produk'!L6</f>
        <v>Tabel 209 Jumlah Kepemilikan Sertifikat Produk per Jenis Usaha</v>
      </c>
      <c r="B211" s="45">
        <v>209</v>
      </c>
    </row>
    <row r="212" spans="1:2" ht="15.6" customHeight="1" x14ac:dyDescent="0.3">
      <c r="A212" s="44" t="str">
        <f>'Sertifikat Produk'!L7</f>
        <v>Tabel 210 Jumlah Kepemilikan Sertifikat Produk per Skala Usaha</v>
      </c>
      <c r="B212" s="45">
        <v>210</v>
      </c>
    </row>
    <row r="213" spans="1:2" ht="15.6" customHeight="1" x14ac:dyDescent="0.3">
      <c r="A213" s="44" t="str">
        <f>'Ijin Usaha'!O5</f>
        <v>Tabel 211 Jumlah Kepemilikan Ijin Usaha per Kabupaten</v>
      </c>
      <c r="B213" s="45">
        <v>211</v>
      </c>
    </row>
    <row r="214" spans="1:2" ht="15.6" customHeight="1" x14ac:dyDescent="0.3">
      <c r="A214" s="44" t="str">
        <f>'Ijin Usaha'!O6</f>
        <v>Tabel 212 Jumlah Kepemilikan Ijin Usaha Berdasarkan Jenis Kegiatan</v>
      </c>
      <c r="B214" s="45">
        <v>212</v>
      </c>
    </row>
    <row r="215" spans="1:2" ht="15.6" customHeight="1" x14ac:dyDescent="0.3">
      <c r="A215" s="44" t="str">
        <f>'Ijin Usaha'!O7</f>
        <v>Tabel 213 Jumlah Kepemilikan Ijin Usaha Berdasarkan Skala Usaha</v>
      </c>
      <c r="B215" s="45">
        <v>213</v>
      </c>
    </row>
    <row r="216" spans="1:2" ht="15.6" customHeight="1" x14ac:dyDescent="0.3">
      <c r="A216" s="44" t="str">
        <f>'Sertifikat LB'!G5</f>
        <v>Tabel 214 Jumlah Kepemilikan Sertifikat Lahan dan Bangunan per Kabupaten</v>
      </c>
      <c r="B216" s="45">
        <v>214</v>
      </c>
    </row>
    <row r="217" spans="1:2" ht="15.6" customHeight="1" x14ac:dyDescent="0.3">
      <c r="A217" s="44" t="str">
        <f>'Sertifikat LB'!G6</f>
        <v>Tabel 215 Jumlah Kepemilikan Sertifikat Lahan dan Bangunan Berdasarkan Jenis Kegiatan</v>
      </c>
      <c r="B217" s="45">
        <v>215</v>
      </c>
    </row>
    <row r="218" spans="1:2" ht="15.6" customHeight="1" x14ac:dyDescent="0.3">
      <c r="A218" s="44" t="str">
        <f>'Sertifikat LB'!G7</f>
        <v>Tabel 216 Jumlah Kepemilikan Sertifikat Lahan dan Bangunan Berdasarkan Skala Usaha</v>
      </c>
      <c r="B218" s="45">
        <v>216</v>
      </c>
    </row>
  </sheetData>
  <pageMargins left="0.67" right="0" top="0.59055118110236227" bottom="0.35433070866141736" header="0.31496062992125984" footer="0.31496062992125984"/>
  <pageSetup paperSize="9" orientation="landscape" r:id="rId1"/>
  <rowBreaks count="7" manualBreakCount="7">
    <brk id="32" max="16383" man="1"/>
    <brk id="62" max="16383" man="1"/>
    <brk id="92" max="16383" man="1"/>
    <brk id="122" max="16383" man="1"/>
    <brk id="152" max="1" man="1"/>
    <brk id="182" max="1" man="1"/>
    <brk id="212" max="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E60D-0678-4B38-AF99-60DDDD1DD450}">
  <dimension ref="A1:EH130"/>
  <sheetViews>
    <sheetView view="pageBreakPreview" zoomScale="70" zoomScaleNormal="85" zoomScaleSheetLayoutView="70" workbookViewId="0">
      <selection activeCell="C75" sqref="C75"/>
    </sheetView>
  </sheetViews>
  <sheetFormatPr defaultColWidth="7.77734375" defaultRowHeight="12" x14ac:dyDescent="0.25"/>
  <cols>
    <col min="1" max="1" width="4.6640625" style="21" customWidth="1"/>
    <col min="2" max="2" width="21.109375" style="18" customWidth="1"/>
    <col min="3" max="15" width="9.6640625" style="18" customWidth="1"/>
    <col min="16" max="16" width="4.5546875" style="21" customWidth="1"/>
    <col min="17" max="17" width="16.109375" style="18" customWidth="1"/>
    <col min="18" max="28" width="11.88671875" style="18" customWidth="1"/>
    <col min="29" max="29" width="7.77734375" style="21"/>
    <col min="30" max="30" width="44.21875" style="18" customWidth="1"/>
    <col min="31" max="33" width="14.33203125" style="18" customWidth="1"/>
    <col min="34" max="34" width="7.77734375" style="21"/>
    <col min="35" max="35" width="44.21875" style="18" customWidth="1"/>
    <col min="36" max="40" width="10.109375" style="18" customWidth="1"/>
    <col min="41" max="41" width="7.77734375" style="21"/>
    <col min="42" max="42" width="44.21875" style="18" customWidth="1"/>
    <col min="43" max="47" width="10.109375" style="18" customWidth="1"/>
    <col min="48" max="48" width="7.77734375" style="21"/>
    <col min="49" max="49" width="44.21875" style="18" customWidth="1"/>
    <col min="50" max="54" width="10.109375" style="18" customWidth="1"/>
    <col min="55" max="55" width="7.77734375" style="21"/>
    <col min="56" max="56" width="44.21875" style="18" customWidth="1"/>
    <col min="57" max="61" width="10.109375" style="18" customWidth="1"/>
    <col min="62" max="62" width="7.77734375" style="21"/>
    <col min="63" max="63" width="44.21875" style="18" customWidth="1"/>
    <col min="64" max="68" width="10.109375" style="18" customWidth="1"/>
    <col min="69" max="69" width="7.77734375" style="21"/>
    <col min="70" max="70" width="44.21875" style="18" customWidth="1"/>
    <col min="71" max="75" width="10.109375" style="18" customWidth="1"/>
    <col min="76" max="76" width="7.77734375" style="21"/>
    <col min="77" max="77" width="44.21875" style="18" customWidth="1"/>
    <col min="78" max="82" width="10.109375" style="18" customWidth="1"/>
    <col min="83" max="83" width="7.77734375" style="21"/>
    <col min="84" max="84" width="44.21875" style="18" customWidth="1"/>
    <col min="85" max="89" width="10.109375" style="18" customWidth="1"/>
    <col min="90" max="90" width="7.77734375" style="21"/>
    <col min="91" max="91" width="44.44140625" style="18" customWidth="1"/>
    <col min="92" max="96" width="10.109375" style="18" customWidth="1"/>
    <col min="97" max="97" width="7.77734375" style="21"/>
    <col min="98" max="98" width="44.44140625" style="18" customWidth="1"/>
    <col min="99" max="103" width="10.109375" style="18" customWidth="1"/>
    <col min="104" max="104" width="7.77734375" style="21"/>
    <col min="105" max="105" width="44.44140625" style="18" customWidth="1"/>
    <col min="106" max="110" width="10.109375" style="18" customWidth="1"/>
    <col min="111" max="111" width="7.77734375" style="21"/>
    <col min="112" max="112" width="44.44140625" style="18" customWidth="1"/>
    <col min="113" max="117" width="10.109375" style="18" customWidth="1"/>
    <col min="118" max="118" width="7.77734375" style="21"/>
    <col min="119" max="119" width="44.44140625" style="18" customWidth="1"/>
    <col min="120" max="124" width="10.109375" style="18" customWidth="1"/>
    <col min="125" max="125" width="7.77734375" style="21"/>
    <col min="126" max="126" width="44.44140625" style="18" customWidth="1"/>
    <col min="127" max="131" width="10.109375" style="18" customWidth="1"/>
    <col min="132" max="132" width="7.77734375" style="21"/>
    <col min="133" max="133" width="44.44140625" style="18" customWidth="1"/>
    <col min="134" max="138" width="10.109375" style="18" customWidth="1"/>
    <col min="139" max="16384" width="7.77734375" style="18"/>
  </cols>
  <sheetData>
    <row r="1" spans="1:138" s="37" customFormat="1" ht="21" customHeight="1" x14ac:dyDescent="0.3">
      <c r="A1" s="130" t="s">
        <v>141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96" t="s">
        <v>142</v>
      </c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 t="s">
        <v>143</v>
      </c>
      <c r="AD1" s="96"/>
      <c r="AE1" s="96"/>
      <c r="AF1" s="96"/>
      <c r="AG1" s="96"/>
      <c r="AH1" s="96" t="s">
        <v>144</v>
      </c>
      <c r="AI1" s="96"/>
      <c r="AJ1" s="96"/>
      <c r="AK1" s="96"/>
      <c r="AL1" s="96"/>
      <c r="AM1" s="96"/>
      <c r="AN1" s="96"/>
      <c r="AO1" s="96" t="s">
        <v>145</v>
      </c>
      <c r="AP1" s="96"/>
      <c r="AQ1" s="96"/>
      <c r="AR1" s="96"/>
      <c r="AS1" s="96"/>
      <c r="AT1" s="96"/>
      <c r="AU1" s="96"/>
      <c r="AV1" s="96" t="s">
        <v>146</v>
      </c>
      <c r="AW1" s="96"/>
      <c r="AX1" s="96"/>
      <c r="AY1" s="96"/>
      <c r="AZ1" s="96"/>
      <c r="BA1" s="96"/>
      <c r="BB1" s="96"/>
      <c r="BC1" s="96" t="s">
        <v>147</v>
      </c>
      <c r="BD1" s="96"/>
      <c r="BE1" s="96"/>
      <c r="BF1" s="96"/>
      <c r="BG1" s="96"/>
      <c r="BH1" s="96"/>
      <c r="BI1" s="96"/>
      <c r="BJ1" s="96" t="s">
        <v>148</v>
      </c>
      <c r="BK1" s="96"/>
      <c r="BL1" s="96"/>
      <c r="BM1" s="96"/>
      <c r="BN1" s="96"/>
      <c r="BO1" s="96"/>
      <c r="BP1" s="96"/>
      <c r="BQ1" s="96" t="s">
        <v>149</v>
      </c>
      <c r="BR1" s="96"/>
      <c r="BS1" s="96"/>
      <c r="BT1" s="96"/>
      <c r="BU1" s="96"/>
      <c r="BV1" s="96"/>
      <c r="BW1" s="96"/>
      <c r="BX1" s="96" t="s">
        <v>150</v>
      </c>
      <c r="BY1" s="96"/>
      <c r="BZ1" s="96"/>
      <c r="CA1" s="96"/>
      <c r="CB1" s="96"/>
      <c r="CC1" s="96"/>
      <c r="CD1" s="96"/>
      <c r="CE1" s="96" t="s">
        <v>151</v>
      </c>
      <c r="CF1" s="96"/>
      <c r="CG1" s="96"/>
      <c r="CH1" s="96"/>
      <c r="CI1" s="96"/>
      <c r="CJ1" s="96"/>
      <c r="CK1" s="96"/>
      <c r="CL1" s="96" t="s">
        <v>152</v>
      </c>
      <c r="CM1" s="96"/>
      <c r="CN1" s="96"/>
      <c r="CO1" s="96"/>
      <c r="CP1" s="96"/>
      <c r="CQ1" s="96"/>
      <c r="CR1" s="96"/>
      <c r="CS1" s="96" t="s">
        <v>153</v>
      </c>
      <c r="CT1" s="96"/>
      <c r="CU1" s="96"/>
      <c r="CV1" s="96"/>
      <c r="CW1" s="96"/>
      <c r="CX1" s="96"/>
      <c r="CY1" s="96"/>
      <c r="CZ1" s="96" t="s">
        <v>154</v>
      </c>
      <c r="DA1" s="96"/>
      <c r="DB1" s="96"/>
      <c r="DC1" s="96"/>
      <c r="DD1" s="96"/>
      <c r="DE1" s="96"/>
      <c r="DF1" s="96"/>
      <c r="DG1" s="96" t="s">
        <v>155</v>
      </c>
      <c r="DH1" s="96"/>
      <c r="DI1" s="96"/>
      <c r="DJ1" s="96"/>
      <c r="DK1" s="96"/>
      <c r="DL1" s="96"/>
      <c r="DM1" s="96"/>
      <c r="DN1" s="96" t="s">
        <v>156</v>
      </c>
      <c r="DO1" s="96"/>
      <c r="DP1" s="96"/>
      <c r="DQ1" s="96"/>
      <c r="DR1" s="96"/>
      <c r="DS1" s="96"/>
      <c r="DT1" s="96"/>
      <c r="DU1" s="96" t="s">
        <v>157</v>
      </c>
      <c r="DV1" s="96"/>
      <c r="DW1" s="96"/>
      <c r="DX1" s="96"/>
      <c r="DY1" s="96"/>
      <c r="DZ1" s="96"/>
      <c r="EA1" s="96"/>
      <c r="EB1" s="96" t="s">
        <v>158</v>
      </c>
      <c r="EC1" s="96"/>
      <c r="ED1" s="96"/>
      <c r="EE1" s="96"/>
      <c r="EF1" s="96"/>
      <c r="EG1" s="96"/>
      <c r="EH1" s="96"/>
    </row>
    <row r="2" spans="1:138" s="12" customFormat="1" ht="21" customHeight="1" x14ac:dyDescent="0.3">
      <c r="A2" s="125" t="s">
        <v>0</v>
      </c>
      <c r="B2" s="125" t="s">
        <v>1</v>
      </c>
      <c r="C2" s="127" t="s">
        <v>4</v>
      </c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9"/>
      <c r="O2" s="125" t="s">
        <v>3</v>
      </c>
      <c r="P2" s="95" t="s">
        <v>0</v>
      </c>
      <c r="Q2" s="95" t="s">
        <v>1</v>
      </c>
      <c r="R2" s="95" t="s">
        <v>4</v>
      </c>
      <c r="S2" s="95"/>
      <c r="T2" s="95"/>
      <c r="U2" s="95"/>
      <c r="V2" s="95"/>
      <c r="W2" s="95"/>
      <c r="X2" s="95"/>
      <c r="Y2" s="95"/>
      <c r="Z2" s="95"/>
      <c r="AA2" s="95"/>
      <c r="AB2" s="95" t="s">
        <v>3</v>
      </c>
      <c r="AC2" s="95" t="s">
        <v>0</v>
      </c>
      <c r="AD2" s="95" t="s">
        <v>1</v>
      </c>
      <c r="AE2" s="95" t="s">
        <v>4</v>
      </c>
      <c r="AF2" s="95"/>
      <c r="AG2" s="95" t="s">
        <v>3</v>
      </c>
      <c r="AH2" s="95" t="s">
        <v>0</v>
      </c>
      <c r="AI2" s="95" t="s">
        <v>1</v>
      </c>
      <c r="AJ2" s="95" t="s">
        <v>2</v>
      </c>
      <c r="AK2" s="95"/>
      <c r="AL2" s="95"/>
      <c r="AM2" s="95"/>
      <c r="AN2" s="95" t="s">
        <v>3</v>
      </c>
      <c r="AO2" s="95" t="s">
        <v>0</v>
      </c>
      <c r="AP2" s="95" t="s">
        <v>1</v>
      </c>
      <c r="AQ2" s="95" t="s">
        <v>2</v>
      </c>
      <c r="AR2" s="95"/>
      <c r="AS2" s="95"/>
      <c r="AT2" s="95"/>
      <c r="AU2" s="95" t="s">
        <v>3</v>
      </c>
      <c r="AV2" s="95" t="s">
        <v>0</v>
      </c>
      <c r="AW2" s="95" t="s">
        <v>1</v>
      </c>
      <c r="AX2" s="95" t="s">
        <v>2</v>
      </c>
      <c r="AY2" s="95"/>
      <c r="AZ2" s="95"/>
      <c r="BA2" s="95"/>
      <c r="BB2" s="95" t="s">
        <v>3</v>
      </c>
      <c r="BC2" s="95" t="s">
        <v>0</v>
      </c>
      <c r="BD2" s="95" t="s">
        <v>1</v>
      </c>
      <c r="BE2" s="95" t="s">
        <v>2</v>
      </c>
      <c r="BF2" s="95"/>
      <c r="BG2" s="95"/>
      <c r="BH2" s="95"/>
      <c r="BI2" s="95" t="s">
        <v>3</v>
      </c>
      <c r="BJ2" s="95" t="s">
        <v>0</v>
      </c>
      <c r="BK2" s="95" t="s">
        <v>1</v>
      </c>
      <c r="BL2" s="95" t="s">
        <v>2</v>
      </c>
      <c r="BM2" s="95"/>
      <c r="BN2" s="95"/>
      <c r="BO2" s="95"/>
      <c r="BP2" s="95" t="s">
        <v>3</v>
      </c>
      <c r="BQ2" s="95" t="s">
        <v>0</v>
      </c>
      <c r="BR2" s="95" t="s">
        <v>1</v>
      </c>
      <c r="BS2" s="95" t="s">
        <v>2</v>
      </c>
      <c r="BT2" s="95"/>
      <c r="BU2" s="95"/>
      <c r="BV2" s="95"/>
      <c r="BW2" s="95" t="s">
        <v>3</v>
      </c>
      <c r="BX2" s="95" t="s">
        <v>0</v>
      </c>
      <c r="BY2" s="95" t="s">
        <v>1</v>
      </c>
      <c r="BZ2" s="95" t="s">
        <v>2</v>
      </c>
      <c r="CA2" s="95"/>
      <c r="CB2" s="95"/>
      <c r="CC2" s="95"/>
      <c r="CD2" s="95" t="s">
        <v>3</v>
      </c>
      <c r="CE2" s="95" t="s">
        <v>0</v>
      </c>
      <c r="CF2" s="95" t="s">
        <v>1</v>
      </c>
      <c r="CG2" s="95" t="s">
        <v>2</v>
      </c>
      <c r="CH2" s="95"/>
      <c r="CI2" s="95"/>
      <c r="CJ2" s="95"/>
      <c r="CK2" s="95" t="s">
        <v>3</v>
      </c>
      <c r="CL2" s="95" t="s">
        <v>0</v>
      </c>
      <c r="CM2" s="95" t="s">
        <v>1</v>
      </c>
      <c r="CN2" s="95" t="s">
        <v>2</v>
      </c>
      <c r="CO2" s="95"/>
      <c r="CP2" s="95"/>
      <c r="CQ2" s="95"/>
      <c r="CR2" s="95" t="s">
        <v>3</v>
      </c>
      <c r="CS2" s="95" t="s">
        <v>0</v>
      </c>
      <c r="CT2" s="95" t="s">
        <v>1</v>
      </c>
      <c r="CU2" s="95" t="s">
        <v>2</v>
      </c>
      <c r="CV2" s="95"/>
      <c r="CW2" s="95"/>
      <c r="CX2" s="95"/>
      <c r="CY2" s="95" t="s">
        <v>3</v>
      </c>
      <c r="CZ2" s="95" t="s">
        <v>0</v>
      </c>
      <c r="DA2" s="95" t="s">
        <v>1</v>
      </c>
      <c r="DB2" s="95" t="s">
        <v>2</v>
      </c>
      <c r="DC2" s="95"/>
      <c r="DD2" s="95"/>
      <c r="DE2" s="95"/>
      <c r="DF2" s="95" t="s">
        <v>3</v>
      </c>
      <c r="DG2" s="95" t="s">
        <v>0</v>
      </c>
      <c r="DH2" s="95" t="s">
        <v>1</v>
      </c>
      <c r="DI2" s="95" t="s">
        <v>2</v>
      </c>
      <c r="DJ2" s="95"/>
      <c r="DK2" s="95"/>
      <c r="DL2" s="95"/>
      <c r="DM2" s="95" t="s">
        <v>3</v>
      </c>
      <c r="DN2" s="95" t="s">
        <v>0</v>
      </c>
      <c r="DO2" s="95" t="s">
        <v>1</v>
      </c>
      <c r="DP2" s="95" t="s">
        <v>2</v>
      </c>
      <c r="DQ2" s="95"/>
      <c r="DR2" s="95"/>
      <c r="DS2" s="95"/>
      <c r="DT2" s="95" t="s">
        <v>3</v>
      </c>
      <c r="DU2" s="95" t="s">
        <v>0</v>
      </c>
      <c r="DV2" s="95" t="s">
        <v>1</v>
      </c>
      <c r="DW2" s="95" t="s">
        <v>2</v>
      </c>
      <c r="DX2" s="95"/>
      <c r="DY2" s="95"/>
      <c r="DZ2" s="95"/>
      <c r="EA2" s="95" t="s">
        <v>3</v>
      </c>
      <c r="EB2" s="95" t="s">
        <v>0</v>
      </c>
      <c r="EC2" s="95" t="s">
        <v>1</v>
      </c>
      <c r="ED2" s="95" t="s">
        <v>2</v>
      </c>
      <c r="EE2" s="95"/>
      <c r="EF2" s="95"/>
      <c r="EG2" s="95"/>
      <c r="EH2" s="95" t="s">
        <v>3</v>
      </c>
    </row>
    <row r="3" spans="1:138" s="12" customFormat="1" ht="48.6" customHeight="1" x14ac:dyDescent="0.3">
      <c r="A3" s="126"/>
      <c r="B3" s="126"/>
      <c r="C3" s="13" t="s">
        <v>9</v>
      </c>
      <c r="D3" s="13" t="s">
        <v>10</v>
      </c>
      <c r="E3" s="13" t="s">
        <v>11</v>
      </c>
      <c r="F3" s="13" t="s">
        <v>12</v>
      </c>
      <c r="G3" s="83" t="s">
        <v>13</v>
      </c>
      <c r="H3" s="83" t="s">
        <v>14</v>
      </c>
      <c r="I3" s="83" t="s">
        <v>131</v>
      </c>
      <c r="J3" s="83" t="s">
        <v>132</v>
      </c>
      <c r="K3" s="83" t="s">
        <v>17</v>
      </c>
      <c r="L3" s="83" t="s">
        <v>18</v>
      </c>
      <c r="M3" s="83" t="s">
        <v>19</v>
      </c>
      <c r="N3" s="83" t="s">
        <v>133</v>
      </c>
      <c r="O3" s="126"/>
      <c r="P3" s="95"/>
      <c r="Q3" s="95"/>
      <c r="R3" s="13" t="s">
        <v>9</v>
      </c>
      <c r="S3" s="13" t="s">
        <v>10</v>
      </c>
      <c r="T3" s="13" t="s">
        <v>11</v>
      </c>
      <c r="U3" s="13" t="s">
        <v>12</v>
      </c>
      <c r="V3" s="14" t="s">
        <v>13</v>
      </c>
      <c r="W3" s="14" t="s">
        <v>14</v>
      </c>
      <c r="X3" s="14" t="s">
        <v>131</v>
      </c>
      <c r="Y3" s="14" t="s">
        <v>132</v>
      </c>
      <c r="Z3" s="14" t="s">
        <v>134</v>
      </c>
      <c r="AA3" s="14" t="s">
        <v>18</v>
      </c>
      <c r="AB3" s="95"/>
      <c r="AC3" s="95"/>
      <c r="AD3" s="95"/>
      <c r="AE3" s="14" t="s">
        <v>19</v>
      </c>
      <c r="AF3" s="14" t="s">
        <v>133</v>
      </c>
      <c r="AG3" s="95"/>
      <c r="AH3" s="95"/>
      <c r="AI3" s="95"/>
      <c r="AJ3" s="13" t="s">
        <v>5</v>
      </c>
      <c r="AK3" s="13" t="s">
        <v>6</v>
      </c>
      <c r="AL3" s="13" t="s">
        <v>7</v>
      </c>
      <c r="AM3" s="13" t="s">
        <v>8</v>
      </c>
      <c r="AN3" s="95"/>
      <c r="AO3" s="95"/>
      <c r="AP3" s="95"/>
      <c r="AQ3" s="13" t="s">
        <v>5</v>
      </c>
      <c r="AR3" s="13" t="s">
        <v>6</v>
      </c>
      <c r="AS3" s="13" t="s">
        <v>7</v>
      </c>
      <c r="AT3" s="13" t="s">
        <v>8</v>
      </c>
      <c r="AU3" s="95"/>
      <c r="AV3" s="95"/>
      <c r="AW3" s="95"/>
      <c r="AX3" s="13" t="s">
        <v>5</v>
      </c>
      <c r="AY3" s="13" t="s">
        <v>6</v>
      </c>
      <c r="AZ3" s="13" t="s">
        <v>7</v>
      </c>
      <c r="BA3" s="13" t="s">
        <v>8</v>
      </c>
      <c r="BB3" s="95"/>
      <c r="BC3" s="95"/>
      <c r="BD3" s="95"/>
      <c r="BE3" s="13" t="s">
        <v>5</v>
      </c>
      <c r="BF3" s="13" t="s">
        <v>6</v>
      </c>
      <c r="BG3" s="13" t="s">
        <v>7</v>
      </c>
      <c r="BH3" s="13" t="s">
        <v>8</v>
      </c>
      <c r="BI3" s="95"/>
      <c r="BJ3" s="95"/>
      <c r="BK3" s="95"/>
      <c r="BL3" s="13" t="s">
        <v>5</v>
      </c>
      <c r="BM3" s="13" t="s">
        <v>6</v>
      </c>
      <c r="BN3" s="13" t="s">
        <v>7</v>
      </c>
      <c r="BO3" s="13" t="s">
        <v>8</v>
      </c>
      <c r="BP3" s="95"/>
      <c r="BQ3" s="95"/>
      <c r="BR3" s="95"/>
      <c r="BS3" s="13" t="s">
        <v>5</v>
      </c>
      <c r="BT3" s="13" t="s">
        <v>6</v>
      </c>
      <c r="BU3" s="13" t="s">
        <v>7</v>
      </c>
      <c r="BV3" s="13" t="s">
        <v>8</v>
      </c>
      <c r="BW3" s="95"/>
      <c r="BX3" s="95"/>
      <c r="BY3" s="95"/>
      <c r="BZ3" s="13" t="s">
        <v>5</v>
      </c>
      <c r="CA3" s="13" t="s">
        <v>6</v>
      </c>
      <c r="CB3" s="13" t="s">
        <v>7</v>
      </c>
      <c r="CC3" s="13" t="s">
        <v>8</v>
      </c>
      <c r="CD3" s="95"/>
      <c r="CE3" s="95"/>
      <c r="CF3" s="95"/>
      <c r="CG3" s="13" t="s">
        <v>5</v>
      </c>
      <c r="CH3" s="13" t="s">
        <v>6</v>
      </c>
      <c r="CI3" s="13" t="s">
        <v>7</v>
      </c>
      <c r="CJ3" s="13" t="s">
        <v>8</v>
      </c>
      <c r="CK3" s="95"/>
      <c r="CL3" s="95"/>
      <c r="CM3" s="95"/>
      <c r="CN3" s="13" t="s">
        <v>5</v>
      </c>
      <c r="CO3" s="13" t="s">
        <v>6</v>
      </c>
      <c r="CP3" s="13" t="s">
        <v>7</v>
      </c>
      <c r="CQ3" s="13" t="s">
        <v>8</v>
      </c>
      <c r="CR3" s="95"/>
      <c r="CS3" s="95"/>
      <c r="CT3" s="95"/>
      <c r="CU3" s="13" t="s">
        <v>5</v>
      </c>
      <c r="CV3" s="13" t="s">
        <v>6</v>
      </c>
      <c r="CW3" s="13" t="s">
        <v>7</v>
      </c>
      <c r="CX3" s="13" t="s">
        <v>8</v>
      </c>
      <c r="CY3" s="95"/>
      <c r="CZ3" s="95"/>
      <c r="DA3" s="95"/>
      <c r="DB3" s="13" t="s">
        <v>5</v>
      </c>
      <c r="DC3" s="13" t="s">
        <v>6</v>
      </c>
      <c r="DD3" s="13" t="s">
        <v>7</v>
      </c>
      <c r="DE3" s="13" t="s">
        <v>8</v>
      </c>
      <c r="DF3" s="95"/>
      <c r="DG3" s="95"/>
      <c r="DH3" s="95"/>
      <c r="DI3" s="13" t="s">
        <v>5</v>
      </c>
      <c r="DJ3" s="13" t="s">
        <v>6</v>
      </c>
      <c r="DK3" s="13" t="s">
        <v>7</v>
      </c>
      <c r="DL3" s="13" t="s">
        <v>8</v>
      </c>
      <c r="DM3" s="95"/>
      <c r="DN3" s="95"/>
      <c r="DO3" s="95"/>
      <c r="DP3" s="13" t="s">
        <v>5</v>
      </c>
      <c r="DQ3" s="13" t="s">
        <v>6</v>
      </c>
      <c r="DR3" s="13" t="s">
        <v>7</v>
      </c>
      <c r="DS3" s="13" t="s">
        <v>8</v>
      </c>
      <c r="DT3" s="95"/>
      <c r="DU3" s="95"/>
      <c r="DV3" s="95"/>
      <c r="DW3" s="13" t="s">
        <v>5</v>
      </c>
      <c r="DX3" s="13" t="s">
        <v>6</v>
      </c>
      <c r="DY3" s="13" t="s">
        <v>7</v>
      </c>
      <c r="DZ3" s="13" t="s">
        <v>8</v>
      </c>
      <c r="EA3" s="95"/>
      <c r="EB3" s="95"/>
      <c r="EC3" s="95"/>
      <c r="ED3" s="13" t="s">
        <v>5</v>
      </c>
      <c r="EE3" s="13" t="s">
        <v>6</v>
      </c>
      <c r="EF3" s="13" t="s">
        <v>7</v>
      </c>
      <c r="EG3" s="13" t="s">
        <v>8</v>
      </c>
      <c r="EH3" s="95"/>
    </row>
    <row r="4" spans="1:138" ht="10.199999999999999" customHeight="1" x14ac:dyDescent="0.25">
      <c r="A4" s="15" t="s">
        <v>110</v>
      </c>
      <c r="B4" s="16" t="s">
        <v>38</v>
      </c>
      <c r="C4" s="17">
        <f>BI4</f>
        <v>25.421186185140407</v>
      </c>
      <c r="D4" s="17">
        <f>BP4</f>
        <v>58.259161252429642</v>
      </c>
      <c r="E4" s="17">
        <f>BW4</f>
        <v>6.1745992997162578</v>
      </c>
      <c r="F4" s="17">
        <f>CD4</f>
        <v>16.245109145128701</v>
      </c>
      <c r="G4" s="17">
        <f>CK4</f>
        <v>196.01507170783751</v>
      </c>
      <c r="H4" s="17">
        <f>CR4</f>
        <v>0</v>
      </c>
      <c r="I4" s="17">
        <f>CY4</f>
        <v>10.895819820287031</v>
      </c>
      <c r="J4" s="17">
        <f>DM4</f>
        <v>5.7032024762419775</v>
      </c>
      <c r="K4" s="17">
        <f>DF4</f>
        <v>48.89498888375676</v>
      </c>
      <c r="L4" s="17">
        <f>DT4</f>
        <v>28.748590450366137</v>
      </c>
      <c r="M4" s="17">
        <f>EH4</f>
        <v>536.77640053060156</v>
      </c>
      <c r="N4" s="17">
        <f>EA4</f>
        <v>24.801538331277712</v>
      </c>
      <c r="O4" s="17">
        <f>SUM(C4:N4)</f>
        <v>957.93566808278365</v>
      </c>
      <c r="P4" s="15" t="s">
        <v>110</v>
      </c>
      <c r="Q4" s="16" t="s">
        <v>38</v>
      </c>
      <c r="R4" s="17">
        <f t="shared" ref="R4:AA4" si="0">C4</f>
        <v>25.421186185140407</v>
      </c>
      <c r="S4" s="17">
        <f t="shared" si="0"/>
        <v>58.259161252429642</v>
      </c>
      <c r="T4" s="17">
        <f t="shared" si="0"/>
        <v>6.1745992997162578</v>
      </c>
      <c r="U4" s="17">
        <f t="shared" si="0"/>
        <v>16.245109145128701</v>
      </c>
      <c r="V4" s="17">
        <f t="shared" si="0"/>
        <v>196.01507170783751</v>
      </c>
      <c r="W4" s="17">
        <f t="shared" si="0"/>
        <v>0</v>
      </c>
      <c r="X4" s="17">
        <f t="shared" si="0"/>
        <v>10.895819820287031</v>
      </c>
      <c r="Y4" s="17">
        <f t="shared" si="0"/>
        <v>5.7032024762419775</v>
      </c>
      <c r="Z4" s="17">
        <f t="shared" si="0"/>
        <v>48.89498888375676</v>
      </c>
      <c r="AA4" s="17">
        <f t="shared" si="0"/>
        <v>28.748590450366137</v>
      </c>
      <c r="AB4" s="17">
        <f>SUM(R4:AA4)</f>
        <v>396.35772922090445</v>
      </c>
      <c r="AC4" s="15" t="s">
        <v>110</v>
      </c>
      <c r="AD4" s="16" t="s">
        <v>38</v>
      </c>
      <c r="AE4" s="17">
        <f>M4</f>
        <v>536.77640053060156</v>
      </c>
      <c r="AF4" s="17">
        <f>N4</f>
        <v>24.801538331277712</v>
      </c>
      <c r="AG4" s="17">
        <f>SUM(AE4:AF4)</f>
        <v>561.57793886187926</v>
      </c>
      <c r="AH4" s="15" t="s">
        <v>110</v>
      </c>
      <c r="AI4" s="16" t="s">
        <v>38</v>
      </c>
      <c r="AJ4" s="17">
        <f>AQ4+AX4</f>
        <v>914.01442378346815</v>
      </c>
      <c r="AK4" s="17">
        <f t="shared" ref="AK4:AM4" si="1">AR4+AY4</f>
        <v>41.879905153962902</v>
      </c>
      <c r="AL4" s="17">
        <f t="shared" si="1"/>
        <v>2.0413391453527128</v>
      </c>
      <c r="AM4" s="17">
        <f t="shared" si="1"/>
        <v>0</v>
      </c>
      <c r="AN4" s="17">
        <f>SUM(AJ4:AM4)</f>
        <v>957.93566808278376</v>
      </c>
      <c r="AO4" s="15" t="s">
        <v>110</v>
      </c>
      <c r="AP4" s="16" t="s">
        <v>38</v>
      </c>
      <c r="AQ4" s="17">
        <f>BE4+BL4+BS4+BZ4+CG4+CN4+CU4+DB4+DI4+DP4</f>
        <v>355.50152236049064</v>
      </c>
      <c r="AR4" s="17">
        <f t="shared" ref="AR4:AT4" si="2">BF4+BM4+BT4+CA4+CH4+CO4+CV4+DC4+DJ4+DQ4</f>
        <v>38.814867715061084</v>
      </c>
      <c r="AS4" s="17">
        <f t="shared" si="2"/>
        <v>2.0413391453527128</v>
      </c>
      <c r="AT4" s="17">
        <f t="shared" si="2"/>
        <v>0</v>
      </c>
      <c r="AU4" s="17">
        <f>SUM(AQ4:AT4)</f>
        <v>396.35772922090445</v>
      </c>
      <c r="AV4" s="15" t="s">
        <v>110</v>
      </c>
      <c r="AW4" s="16" t="s">
        <v>38</v>
      </c>
      <c r="AX4" s="17">
        <f>DW4+ED4</f>
        <v>558.51290142297751</v>
      </c>
      <c r="AY4" s="17">
        <f t="shared" ref="AY4:BA4" si="3">DX4+EE4</f>
        <v>3.0650374389018205</v>
      </c>
      <c r="AZ4" s="17">
        <f t="shared" si="3"/>
        <v>0</v>
      </c>
      <c r="BA4" s="17">
        <f t="shared" si="3"/>
        <v>0</v>
      </c>
      <c r="BB4" s="17">
        <f>SUM(AX4:BA4)</f>
        <v>561.57793886187937</v>
      </c>
      <c r="BC4" s="15" t="s">
        <v>110</v>
      </c>
      <c r="BD4" s="16" t="s">
        <v>38</v>
      </c>
      <c r="BE4" s="17">
        <v>25.421186185140407</v>
      </c>
      <c r="BF4" s="17">
        <v>0</v>
      </c>
      <c r="BG4" s="17">
        <v>0</v>
      </c>
      <c r="BH4" s="17">
        <v>0</v>
      </c>
      <c r="BI4" s="17">
        <v>25.421186185140407</v>
      </c>
      <c r="BJ4" s="15" t="s">
        <v>110</v>
      </c>
      <c r="BK4" s="16" t="s">
        <v>38</v>
      </c>
      <c r="BL4" s="17">
        <v>19.444293537368555</v>
      </c>
      <c r="BM4" s="17">
        <v>36.773528569708368</v>
      </c>
      <c r="BN4" s="17">
        <v>2.0413391453527128</v>
      </c>
      <c r="BO4" s="17">
        <v>0</v>
      </c>
      <c r="BP4" s="17">
        <v>58.259161252429642</v>
      </c>
      <c r="BQ4" s="15" t="s">
        <v>110</v>
      </c>
      <c r="BR4" s="16" t="s">
        <v>38</v>
      </c>
      <c r="BS4" s="17">
        <v>6.1745992997162578</v>
      </c>
      <c r="BT4" s="17">
        <v>0</v>
      </c>
      <c r="BU4" s="17">
        <v>0</v>
      </c>
      <c r="BV4" s="17">
        <v>0</v>
      </c>
      <c r="BW4" s="17">
        <v>6.1745992997162578</v>
      </c>
      <c r="BX4" s="15" t="s">
        <v>110</v>
      </c>
      <c r="BY4" s="16" t="s">
        <v>38</v>
      </c>
      <c r="BZ4" s="17">
        <v>16.245109145128701</v>
      </c>
      <c r="CA4" s="17">
        <v>0</v>
      </c>
      <c r="CB4" s="17">
        <v>0</v>
      </c>
      <c r="CC4" s="17">
        <v>0</v>
      </c>
      <c r="CD4" s="17">
        <v>16.245109145128701</v>
      </c>
      <c r="CE4" s="15" t="s">
        <v>110</v>
      </c>
      <c r="CF4" s="16" t="s">
        <v>38</v>
      </c>
      <c r="CG4" s="17">
        <v>193.9737325624848</v>
      </c>
      <c r="CH4" s="17">
        <v>2.0413391453527128</v>
      </c>
      <c r="CI4" s="17">
        <v>0</v>
      </c>
      <c r="CJ4" s="17">
        <v>0</v>
      </c>
      <c r="CK4" s="17">
        <v>196.01507170783751</v>
      </c>
      <c r="CL4" s="15" t="s">
        <v>110</v>
      </c>
      <c r="CM4" s="16" t="s">
        <v>38</v>
      </c>
      <c r="CN4" s="17">
        <v>0</v>
      </c>
      <c r="CO4" s="17">
        <v>0</v>
      </c>
      <c r="CP4" s="17">
        <v>0</v>
      </c>
      <c r="CQ4" s="17">
        <v>0</v>
      </c>
      <c r="CR4" s="17">
        <v>0</v>
      </c>
      <c r="CS4" s="15" t="s">
        <v>110</v>
      </c>
      <c r="CT4" s="16" t="s">
        <v>38</v>
      </c>
      <c r="CU4" s="17">
        <v>10.895819820287031</v>
      </c>
      <c r="CV4" s="17">
        <v>0</v>
      </c>
      <c r="CW4" s="17">
        <v>0</v>
      </c>
      <c r="CX4" s="17">
        <v>0</v>
      </c>
      <c r="CY4" s="17">
        <v>10.895819820287031</v>
      </c>
      <c r="CZ4" s="15" t="s">
        <v>110</v>
      </c>
      <c r="DA4" s="16" t="s">
        <v>38</v>
      </c>
      <c r="DB4" s="17">
        <v>48.89498888375676</v>
      </c>
      <c r="DC4" s="17">
        <v>0</v>
      </c>
      <c r="DD4" s="17">
        <v>0</v>
      </c>
      <c r="DE4" s="17">
        <v>0</v>
      </c>
      <c r="DF4" s="17">
        <v>48.89498888375676</v>
      </c>
      <c r="DG4" s="15" t="s">
        <v>110</v>
      </c>
      <c r="DH4" s="16" t="s">
        <v>38</v>
      </c>
      <c r="DI4" s="17">
        <v>5.7032024762419775</v>
      </c>
      <c r="DJ4" s="17">
        <v>0</v>
      </c>
      <c r="DK4" s="17">
        <v>0</v>
      </c>
      <c r="DL4" s="17">
        <v>0</v>
      </c>
      <c r="DM4" s="17">
        <v>5.7032024762419775</v>
      </c>
      <c r="DN4" s="15" t="s">
        <v>110</v>
      </c>
      <c r="DO4" s="16" t="s">
        <v>38</v>
      </c>
      <c r="DP4" s="17">
        <v>28.748590450366137</v>
      </c>
      <c r="DQ4" s="17">
        <v>0</v>
      </c>
      <c r="DR4" s="17">
        <v>0</v>
      </c>
      <c r="DS4" s="17">
        <v>0</v>
      </c>
      <c r="DT4" s="17">
        <v>28.748590450366137</v>
      </c>
      <c r="DU4" s="15" t="s">
        <v>110</v>
      </c>
      <c r="DV4" s="16" t="s">
        <v>38</v>
      </c>
      <c r="DW4" s="17">
        <v>21.73650089237589</v>
      </c>
      <c r="DX4" s="17">
        <v>3.0650374389018205</v>
      </c>
      <c r="DY4" s="17">
        <v>0</v>
      </c>
      <c r="DZ4" s="17">
        <v>0</v>
      </c>
      <c r="EA4" s="17">
        <v>24.801538331277712</v>
      </c>
      <c r="EB4" s="15" t="s">
        <v>110</v>
      </c>
      <c r="EC4" s="16" t="s">
        <v>38</v>
      </c>
      <c r="ED4" s="17">
        <v>536.77640053060156</v>
      </c>
      <c r="EE4" s="17">
        <v>0</v>
      </c>
      <c r="EF4" s="17">
        <v>0</v>
      </c>
      <c r="EG4" s="17">
        <v>0</v>
      </c>
      <c r="EH4" s="17">
        <v>536.77640053060156</v>
      </c>
    </row>
    <row r="5" spans="1:138" ht="10.199999999999999" customHeight="1" x14ac:dyDescent="0.25">
      <c r="A5" s="15" t="s">
        <v>113</v>
      </c>
      <c r="B5" s="16" t="s">
        <v>41</v>
      </c>
      <c r="C5" s="17">
        <f t="shared" ref="C5:C41" si="4">BI5</f>
        <v>0</v>
      </c>
      <c r="D5" s="17">
        <f t="shared" ref="D5:D41" si="5">BP5</f>
        <v>40.608934123235805</v>
      </c>
      <c r="E5" s="17">
        <f t="shared" ref="E5:E41" si="6">BW5</f>
        <v>0</v>
      </c>
      <c r="F5" s="17">
        <f t="shared" ref="F5:F41" si="7">CD5</f>
        <v>0</v>
      </c>
      <c r="G5" s="17">
        <f t="shared" ref="G5:G41" si="8">CK5</f>
        <v>2.0413391453527128</v>
      </c>
      <c r="H5" s="17">
        <f t="shared" ref="H5:H41" si="9">CR5</f>
        <v>0</v>
      </c>
      <c r="I5" s="17">
        <f t="shared" ref="I5:I41" si="10">CY5</f>
        <v>0</v>
      </c>
      <c r="J5" s="17">
        <f t="shared" ref="J5:J41" si="11">DM5</f>
        <v>0</v>
      </c>
      <c r="K5" s="17">
        <f t="shared" ref="K5:K41" si="12">DF5</f>
        <v>0</v>
      </c>
      <c r="L5" s="17">
        <f t="shared" ref="L5:L41" si="13">DT5</f>
        <v>67.844304099865312</v>
      </c>
      <c r="M5" s="17">
        <f t="shared" ref="M5:M41" si="14">EH5</f>
        <v>747.55517393518971</v>
      </c>
      <c r="N5" s="17">
        <f t="shared" ref="N5:N41" si="15">EA5</f>
        <v>109.48951083298361</v>
      </c>
      <c r="O5" s="17">
        <f t="shared" ref="O5:O41" si="16">SUM(C5:N5)</f>
        <v>967.53926213662714</v>
      </c>
      <c r="P5" s="15" t="s">
        <v>113</v>
      </c>
      <c r="Q5" s="16" t="s">
        <v>41</v>
      </c>
      <c r="R5" s="17">
        <f t="shared" ref="R5:R41" si="17">C5</f>
        <v>0</v>
      </c>
      <c r="S5" s="17">
        <f t="shared" ref="S5:S41" si="18">D5</f>
        <v>40.608934123235805</v>
      </c>
      <c r="T5" s="17">
        <f t="shared" ref="T5:T41" si="19">E5</f>
        <v>0</v>
      </c>
      <c r="U5" s="17">
        <f t="shared" ref="U5:U41" si="20">F5</f>
        <v>0</v>
      </c>
      <c r="V5" s="17">
        <f t="shared" ref="V5:V41" si="21">G5</f>
        <v>2.0413391453527128</v>
      </c>
      <c r="W5" s="17">
        <f t="shared" ref="W5:W41" si="22">H5</f>
        <v>0</v>
      </c>
      <c r="X5" s="17">
        <f t="shared" ref="X5:X41" si="23">I5</f>
        <v>0</v>
      </c>
      <c r="Y5" s="17">
        <f t="shared" ref="Y5:Y41" si="24">J5</f>
        <v>0</v>
      </c>
      <c r="Z5" s="17">
        <f t="shared" ref="Z5:Z41" si="25">K5</f>
        <v>0</v>
      </c>
      <c r="AA5" s="17">
        <f t="shared" ref="AA5:AA41" si="26">L5</f>
        <v>67.844304099865312</v>
      </c>
      <c r="AB5" s="17">
        <f t="shared" ref="AB5:AB41" si="27">SUM(R5:AA5)</f>
        <v>110.49457736845383</v>
      </c>
      <c r="AC5" s="15" t="s">
        <v>113</v>
      </c>
      <c r="AD5" s="16" t="s">
        <v>41</v>
      </c>
      <c r="AE5" s="17">
        <f t="shared" ref="AE5:AE41" si="28">M5</f>
        <v>747.55517393518971</v>
      </c>
      <c r="AF5" s="17">
        <f t="shared" ref="AF5:AF41" si="29">N5</f>
        <v>109.48951083298361</v>
      </c>
      <c r="AG5" s="17">
        <f t="shared" ref="AG5:AG41" si="30">SUM(AE5:AF5)</f>
        <v>857.04468476817328</v>
      </c>
      <c r="AH5" s="15" t="s">
        <v>113</v>
      </c>
      <c r="AI5" s="16" t="s">
        <v>41</v>
      </c>
      <c r="AJ5" s="17">
        <f t="shared" ref="AJ5:AJ41" si="31">AQ5+AX5</f>
        <v>901.35120071201425</v>
      </c>
      <c r="AK5" s="17">
        <f t="shared" ref="AK5:AK41" si="32">AR5+AY5</f>
        <v>50.560403430212197</v>
      </c>
      <c r="AL5" s="17">
        <f t="shared" ref="AL5:AL41" si="33">AS5+AZ5</f>
        <v>15.62765799440073</v>
      </c>
      <c r="AM5" s="17">
        <f t="shared" ref="AM5:AM41" si="34">AT5+BA5</f>
        <v>0</v>
      </c>
      <c r="AN5" s="17">
        <f t="shared" ref="AN5:AN41" si="35">SUM(AJ5:AM5)</f>
        <v>967.53926213662714</v>
      </c>
      <c r="AO5" s="15" t="s">
        <v>113</v>
      </c>
      <c r="AP5" s="16" t="s">
        <v>41</v>
      </c>
      <c r="AQ5" s="17">
        <f t="shared" ref="AQ5:AQ41" si="36">BE5+BL5+BS5+BZ5+CG5+CN5+CU5+DB5+DI5+DP5</f>
        <v>86.739808381970718</v>
      </c>
      <c r="AR5" s="17">
        <f t="shared" ref="AR5:AR41" si="37">BF5+BM5+BT5+CA5+CH5+CO5+CV5+DC5+DJ5+DQ5</f>
        <v>23.754768986483118</v>
      </c>
      <c r="AS5" s="17">
        <f t="shared" ref="AS5:AS41" si="38">BG5+BN5+BU5+CB5+CI5+CP5+CW5+DD5+DK5+DR5</f>
        <v>0</v>
      </c>
      <c r="AT5" s="17">
        <f t="shared" ref="AT5:AT41" si="39">BH5+BO5+BV5+CC5+CJ5+CQ5+CX5+DE5+DL5+DS5</f>
        <v>0</v>
      </c>
      <c r="AU5" s="17">
        <f t="shared" ref="AU5:AU41" si="40">SUM(AQ5:AT5)</f>
        <v>110.49457736845383</v>
      </c>
      <c r="AV5" s="15" t="s">
        <v>113</v>
      </c>
      <c r="AW5" s="16" t="s">
        <v>41</v>
      </c>
      <c r="AX5" s="17">
        <f t="shared" ref="AX5:AX41" si="41">DW5+ED5</f>
        <v>814.61139233004349</v>
      </c>
      <c r="AY5" s="17">
        <f t="shared" ref="AY5:AY41" si="42">DX5+EE5</f>
        <v>26.80563444372908</v>
      </c>
      <c r="AZ5" s="17">
        <f t="shared" ref="AZ5:AZ41" si="43">DY5+EF5</f>
        <v>15.62765799440073</v>
      </c>
      <c r="BA5" s="17">
        <f t="shared" ref="BA5:BA41" si="44">DZ5+EG5</f>
        <v>0</v>
      </c>
      <c r="BB5" s="17">
        <f t="shared" ref="BB5:BB41" si="45">SUM(AX5:BA5)</f>
        <v>857.04468476817328</v>
      </c>
      <c r="BC5" s="15" t="s">
        <v>113</v>
      </c>
      <c r="BD5" s="16" t="s">
        <v>41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5" t="s">
        <v>113</v>
      </c>
      <c r="BK5" s="16" t="s">
        <v>41</v>
      </c>
      <c r="BL5" s="17">
        <v>25.40981261352146</v>
      </c>
      <c r="BM5" s="17">
        <v>15.199121509714347</v>
      </c>
      <c r="BN5" s="17">
        <v>0</v>
      </c>
      <c r="BO5" s="17">
        <v>0</v>
      </c>
      <c r="BP5" s="17">
        <v>40.608934123235805</v>
      </c>
      <c r="BQ5" s="15" t="s">
        <v>113</v>
      </c>
      <c r="BR5" s="16" t="s">
        <v>41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5" t="s">
        <v>113</v>
      </c>
      <c r="BY5" s="16" t="s">
        <v>41</v>
      </c>
      <c r="BZ5" s="17">
        <v>0</v>
      </c>
      <c r="CA5" s="17">
        <v>0</v>
      </c>
      <c r="CB5" s="17">
        <v>0</v>
      </c>
      <c r="CC5" s="17">
        <v>0</v>
      </c>
      <c r="CD5" s="17">
        <v>0</v>
      </c>
      <c r="CE5" s="15" t="s">
        <v>113</v>
      </c>
      <c r="CF5" s="16" t="s">
        <v>41</v>
      </c>
      <c r="CG5" s="17">
        <v>2.0413391453527128</v>
      </c>
      <c r="CH5" s="17">
        <v>0</v>
      </c>
      <c r="CI5" s="17">
        <v>0</v>
      </c>
      <c r="CJ5" s="17">
        <v>0</v>
      </c>
      <c r="CK5" s="17">
        <v>2.0413391453527128</v>
      </c>
      <c r="CL5" s="15" t="s">
        <v>113</v>
      </c>
      <c r="CM5" s="16" t="s">
        <v>41</v>
      </c>
      <c r="CN5" s="17">
        <v>0</v>
      </c>
      <c r="CO5" s="17">
        <v>0</v>
      </c>
      <c r="CP5" s="17">
        <v>0</v>
      </c>
      <c r="CQ5" s="17">
        <v>0</v>
      </c>
      <c r="CR5" s="17">
        <v>0</v>
      </c>
      <c r="CS5" s="15" t="s">
        <v>113</v>
      </c>
      <c r="CT5" s="16" t="s">
        <v>41</v>
      </c>
      <c r="CU5" s="17">
        <v>0</v>
      </c>
      <c r="CV5" s="17">
        <v>0</v>
      </c>
      <c r="CW5" s="17">
        <v>0</v>
      </c>
      <c r="CX5" s="17">
        <v>0</v>
      </c>
      <c r="CY5" s="17">
        <v>0</v>
      </c>
      <c r="CZ5" s="15" t="s">
        <v>113</v>
      </c>
      <c r="DA5" s="16" t="s">
        <v>41</v>
      </c>
      <c r="DB5" s="17">
        <v>0</v>
      </c>
      <c r="DC5" s="17">
        <v>0</v>
      </c>
      <c r="DD5" s="17">
        <v>0</v>
      </c>
      <c r="DE5" s="17">
        <v>0</v>
      </c>
      <c r="DF5" s="17">
        <v>0</v>
      </c>
      <c r="DG5" s="15" t="s">
        <v>113</v>
      </c>
      <c r="DH5" s="16" t="s">
        <v>41</v>
      </c>
      <c r="DI5" s="17">
        <v>0</v>
      </c>
      <c r="DJ5" s="17">
        <v>0</v>
      </c>
      <c r="DK5" s="17">
        <v>0</v>
      </c>
      <c r="DL5" s="17">
        <v>0</v>
      </c>
      <c r="DM5" s="17">
        <v>0</v>
      </c>
      <c r="DN5" s="15" t="s">
        <v>113</v>
      </c>
      <c r="DO5" s="16" t="s">
        <v>41</v>
      </c>
      <c r="DP5" s="17">
        <v>59.288656623096543</v>
      </c>
      <c r="DQ5" s="17">
        <v>8.5556474767687707</v>
      </c>
      <c r="DR5" s="17">
        <v>0</v>
      </c>
      <c r="DS5" s="17">
        <v>0</v>
      </c>
      <c r="DT5" s="17">
        <v>67.844304099865312</v>
      </c>
      <c r="DU5" s="15" t="s">
        <v>113</v>
      </c>
      <c r="DV5" s="16" t="s">
        <v>41</v>
      </c>
      <c r="DW5" s="17">
        <v>79.558344790374377</v>
      </c>
      <c r="DX5" s="17">
        <v>14.303508048208496</v>
      </c>
      <c r="DY5" s="17">
        <v>15.62765799440073</v>
      </c>
      <c r="DZ5" s="17">
        <v>0</v>
      </c>
      <c r="EA5" s="17">
        <v>109.48951083298361</v>
      </c>
      <c r="EB5" s="15" t="s">
        <v>113</v>
      </c>
      <c r="EC5" s="16" t="s">
        <v>41</v>
      </c>
      <c r="ED5" s="17">
        <v>735.05304753966914</v>
      </c>
      <c r="EE5" s="17">
        <v>12.502126395520584</v>
      </c>
      <c r="EF5" s="17">
        <v>0</v>
      </c>
      <c r="EG5" s="17">
        <v>0</v>
      </c>
      <c r="EH5" s="17">
        <v>747.55517393518971</v>
      </c>
    </row>
    <row r="6" spans="1:138" ht="10.199999999999999" customHeight="1" x14ac:dyDescent="0.25">
      <c r="A6" s="15" t="s">
        <v>119</v>
      </c>
      <c r="B6" s="16" t="s">
        <v>47</v>
      </c>
      <c r="C6" s="17">
        <f t="shared" si="4"/>
        <v>0</v>
      </c>
      <c r="D6" s="17">
        <f t="shared" si="5"/>
        <v>41.296250965334224</v>
      </c>
      <c r="E6" s="17">
        <f t="shared" si="6"/>
        <v>3.1013294736675787</v>
      </c>
      <c r="F6" s="17">
        <f t="shared" si="7"/>
        <v>67.494317927781481</v>
      </c>
      <c r="G6" s="17">
        <f t="shared" si="8"/>
        <v>0</v>
      </c>
      <c r="H6" s="17">
        <f t="shared" si="9"/>
        <v>0</v>
      </c>
      <c r="I6" s="17">
        <f t="shared" si="10"/>
        <v>256.3968362104938</v>
      </c>
      <c r="J6" s="17">
        <f t="shared" si="11"/>
        <v>0</v>
      </c>
      <c r="K6" s="17">
        <f t="shared" si="12"/>
        <v>56.664275248984197</v>
      </c>
      <c r="L6" s="17">
        <f t="shared" si="13"/>
        <v>7.276494300095008</v>
      </c>
      <c r="M6" s="17">
        <f t="shared" si="14"/>
        <v>867.64076281273162</v>
      </c>
      <c r="N6" s="17">
        <f t="shared" si="15"/>
        <v>29.648874233838853</v>
      </c>
      <c r="O6" s="17">
        <f t="shared" si="16"/>
        <v>1329.5191411729268</v>
      </c>
      <c r="P6" s="15" t="s">
        <v>119</v>
      </c>
      <c r="Q6" s="16" t="s">
        <v>47</v>
      </c>
      <c r="R6" s="17">
        <f t="shared" si="17"/>
        <v>0</v>
      </c>
      <c r="S6" s="17">
        <f t="shared" si="18"/>
        <v>41.296250965334224</v>
      </c>
      <c r="T6" s="17">
        <f t="shared" si="19"/>
        <v>3.1013294736675787</v>
      </c>
      <c r="U6" s="17">
        <f t="shared" si="20"/>
        <v>67.494317927781481</v>
      </c>
      <c r="V6" s="17">
        <f t="shared" si="21"/>
        <v>0</v>
      </c>
      <c r="W6" s="17">
        <f t="shared" si="22"/>
        <v>0</v>
      </c>
      <c r="X6" s="17">
        <f t="shared" si="23"/>
        <v>256.3968362104938</v>
      </c>
      <c r="Y6" s="17">
        <f t="shared" si="24"/>
        <v>0</v>
      </c>
      <c r="Z6" s="17">
        <f t="shared" si="25"/>
        <v>56.664275248984197</v>
      </c>
      <c r="AA6" s="17">
        <f t="shared" si="26"/>
        <v>7.276494300095008</v>
      </c>
      <c r="AB6" s="17">
        <f t="shared" si="27"/>
        <v>432.22950412635629</v>
      </c>
      <c r="AC6" s="15" t="s">
        <v>119</v>
      </c>
      <c r="AD6" s="16" t="s">
        <v>47</v>
      </c>
      <c r="AE6" s="17">
        <f t="shared" si="28"/>
        <v>867.64076281273162</v>
      </c>
      <c r="AF6" s="17">
        <f t="shared" si="29"/>
        <v>29.648874233838853</v>
      </c>
      <c r="AG6" s="17">
        <f t="shared" si="30"/>
        <v>897.28963704657053</v>
      </c>
      <c r="AH6" s="15" t="s">
        <v>119</v>
      </c>
      <c r="AI6" s="16" t="s">
        <v>47</v>
      </c>
      <c r="AJ6" s="17">
        <f t="shared" si="31"/>
        <v>1162.6196575410786</v>
      </c>
      <c r="AK6" s="17">
        <f t="shared" si="32"/>
        <v>117.0457805263992</v>
      </c>
      <c r="AL6" s="17">
        <f t="shared" si="33"/>
        <v>37.912778890924827</v>
      </c>
      <c r="AM6" s="17">
        <f t="shared" si="34"/>
        <v>11.940924214524072</v>
      </c>
      <c r="AN6" s="17">
        <f t="shared" si="35"/>
        <v>1329.5191411729265</v>
      </c>
      <c r="AO6" s="15" t="s">
        <v>119</v>
      </c>
      <c r="AP6" s="16" t="s">
        <v>47</v>
      </c>
      <c r="AQ6" s="17">
        <f t="shared" si="36"/>
        <v>300.53207627021334</v>
      </c>
      <c r="AR6" s="17">
        <f t="shared" si="37"/>
        <v>87.578216090029343</v>
      </c>
      <c r="AS6" s="17">
        <f t="shared" si="38"/>
        <v>33.220131417882939</v>
      </c>
      <c r="AT6" s="17">
        <f t="shared" si="39"/>
        <v>10.89908034823069</v>
      </c>
      <c r="AU6" s="17">
        <f t="shared" si="40"/>
        <v>432.22950412635635</v>
      </c>
      <c r="AV6" s="15" t="s">
        <v>119</v>
      </c>
      <c r="AW6" s="16" t="s">
        <v>47</v>
      </c>
      <c r="AX6" s="17">
        <f t="shared" si="41"/>
        <v>862.08758127086537</v>
      </c>
      <c r="AY6" s="17">
        <f t="shared" si="42"/>
        <v>29.467564436369862</v>
      </c>
      <c r="AZ6" s="17">
        <f t="shared" si="43"/>
        <v>4.6926474730418857</v>
      </c>
      <c r="BA6" s="17">
        <f t="shared" si="44"/>
        <v>1.041843866293382</v>
      </c>
      <c r="BB6" s="17">
        <f t="shared" si="45"/>
        <v>897.28963704657053</v>
      </c>
      <c r="BC6" s="15" t="s">
        <v>119</v>
      </c>
      <c r="BD6" s="16" t="s">
        <v>47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5" t="s">
        <v>119</v>
      </c>
      <c r="BK6" s="16" t="s">
        <v>47</v>
      </c>
      <c r="BL6" s="17">
        <v>41.296250965334224</v>
      </c>
      <c r="BM6" s="17">
        <v>0</v>
      </c>
      <c r="BN6" s="17">
        <v>0</v>
      </c>
      <c r="BO6" s="17">
        <v>0</v>
      </c>
      <c r="BP6" s="17">
        <v>41.296250965334224</v>
      </c>
      <c r="BQ6" s="15" t="s">
        <v>119</v>
      </c>
      <c r="BR6" s="16" t="s">
        <v>47</v>
      </c>
      <c r="BS6" s="17">
        <v>0</v>
      </c>
      <c r="BT6" s="17">
        <v>0</v>
      </c>
      <c r="BU6" s="17">
        <v>0</v>
      </c>
      <c r="BV6" s="17">
        <v>3.1013294736675787</v>
      </c>
      <c r="BW6" s="17">
        <v>3.1013294736675787</v>
      </c>
      <c r="BX6" s="15" t="s">
        <v>119</v>
      </c>
      <c r="BY6" s="16" t="s">
        <v>47</v>
      </c>
      <c r="BZ6" s="17">
        <v>1</v>
      </c>
      <c r="CA6" s="17">
        <v>25.476435635335427</v>
      </c>
      <c r="CB6" s="17">
        <v>33.220131417882939</v>
      </c>
      <c r="CC6" s="17">
        <v>7.7977508745631114</v>
      </c>
      <c r="CD6" s="17">
        <v>67.494317927781481</v>
      </c>
      <c r="CE6" s="15" t="s">
        <v>119</v>
      </c>
      <c r="CF6" s="16" t="s">
        <v>47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5" t="s">
        <v>119</v>
      </c>
      <c r="CM6" s="16" t="s">
        <v>47</v>
      </c>
      <c r="CN6" s="17">
        <v>0</v>
      </c>
      <c r="CO6" s="17">
        <v>0</v>
      </c>
      <c r="CP6" s="17">
        <v>0</v>
      </c>
      <c r="CQ6" s="17">
        <v>0</v>
      </c>
      <c r="CR6" s="17">
        <v>0</v>
      </c>
      <c r="CS6" s="15" t="s">
        <v>119</v>
      </c>
      <c r="CT6" s="16" t="s">
        <v>47</v>
      </c>
      <c r="CU6" s="17">
        <v>249.91748713849071</v>
      </c>
      <c r="CV6" s="17">
        <v>6.4793490720030968</v>
      </c>
      <c r="CW6" s="17">
        <v>0</v>
      </c>
      <c r="CX6" s="17">
        <v>0</v>
      </c>
      <c r="CY6" s="17">
        <v>256.3968362104938</v>
      </c>
      <c r="CZ6" s="15" t="s">
        <v>119</v>
      </c>
      <c r="DA6" s="16" t="s">
        <v>47</v>
      </c>
      <c r="DB6" s="17">
        <v>1.041843866293382</v>
      </c>
      <c r="DC6" s="17">
        <v>55.622431382690813</v>
      </c>
      <c r="DD6" s="17">
        <v>0</v>
      </c>
      <c r="DE6" s="17">
        <v>0</v>
      </c>
      <c r="DF6" s="17">
        <v>56.664275248984197</v>
      </c>
      <c r="DG6" s="15" t="s">
        <v>119</v>
      </c>
      <c r="DH6" s="16" t="s">
        <v>47</v>
      </c>
      <c r="DI6" s="17">
        <v>0</v>
      </c>
      <c r="DJ6" s="17">
        <v>0</v>
      </c>
      <c r="DK6" s="17">
        <v>0</v>
      </c>
      <c r="DL6" s="17">
        <v>0</v>
      </c>
      <c r="DM6" s="17">
        <v>0</v>
      </c>
      <c r="DN6" s="15" t="s">
        <v>119</v>
      </c>
      <c r="DO6" s="16" t="s">
        <v>47</v>
      </c>
      <c r="DP6" s="17">
        <v>7.276494300095008</v>
      </c>
      <c r="DQ6" s="17">
        <v>0</v>
      </c>
      <c r="DR6" s="17">
        <v>0</v>
      </c>
      <c r="DS6" s="17">
        <v>0</v>
      </c>
      <c r="DT6" s="17">
        <v>7.276494300095008</v>
      </c>
      <c r="DU6" s="15" t="s">
        <v>119</v>
      </c>
      <c r="DV6" s="16" t="s">
        <v>47</v>
      </c>
      <c r="DW6" s="17">
        <v>18.700620284113178</v>
      </c>
      <c r="DX6" s="17">
        <v>6.2556064766837869</v>
      </c>
      <c r="DY6" s="17">
        <v>3.6508036067485037</v>
      </c>
      <c r="DZ6" s="17">
        <v>1.041843866293382</v>
      </c>
      <c r="EA6" s="17">
        <v>29.648874233838853</v>
      </c>
      <c r="EB6" s="15" t="s">
        <v>119</v>
      </c>
      <c r="EC6" s="16" t="s">
        <v>47</v>
      </c>
      <c r="ED6" s="17">
        <v>843.38696098675223</v>
      </c>
      <c r="EE6" s="17">
        <v>23.211957959686075</v>
      </c>
      <c r="EF6" s="17">
        <v>1.041843866293382</v>
      </c>
      <c r="EG6" s="17">
        <v>0</v>
      </c>
      <c r="EH6" s="17">
        <v>867.64076281273162</v>
      </c>
    </row>
    <row r="7" spans="1:138" ht="10.199999999999999" customHeight="1" x14ac:dyDescent="0.25">
      <c r="A7" s="15" t="s">
        <v>121</v>
      </c>
      <c r="B7" s="16" t="s">
        <v>49</v>
      </c>
      <c r="C7" s="17">
        <f t="shared" si="4"/>
        <v>0</v>
      </c>
      <c r="D7" s="17">
        <f t="shared" si="5"/>
        <v>33.601363668170144</v>
      </c>
      <c r="E7" s="17">
        <f t="shared" si="6"/>
        <v>18.567992296909381</v>
      </c>
      <c r="F7" s="17">
        <f t="shared" si="7"/>
        <v>54.758707172194704</v>
      </c>
      <c r="G7" s="17">
        <f t="shared" si="8"/>
        <v>32.356852428607318</v>
      </c>
      <c r="H7" s="17">
        <f t="shared" si="9"/>
        <v>0</v>
      </c>
      <c r="I7" s="17">
        <f t="shared" si="10"/>
        <v>635.01926519077222</v>
      </c>
      <c r="J7" s="17">
        <f t="shared" si="11"/>
        <v>0</v>
      </c>
      <c r="K7" s="17">
        <f t="shared" si="12"/>
        <v>33.413789704856889</v>
      </c>
      <c r="L7" s="17">
        <f t="shared" si="13"/>
        <v>67.9818975831719</v>
      </c>
      <c r="M7" s="17">
        <f t="shared" si="14"/>
        <v>209.83219590903323</v>
      </c>
      <c r="N7" s="17">
        <f t="shared" si="15"/>
        <v>79.173165683409067</v>
      </c>
      <c r="O7" s="17">
        <f t="shared" si="16"/>
        <v>1164.7052296371248</v>
      </c>
      <c r="P7" s="15" t="s">
        <v>121</v>
      </c>
      <c r="Q7" s="16" t="s">
        <v>49</v>
      </c>
      <c r="R7" s="17">
        <f t="shared" si="17"/>
        <v>0</v>
      </c>
      <c r="S7" s="17">
        <f t="shared" si="18"/>
        <v>33.601363668170144</v>
      </c>
      <c r="T7" s="17">
        <f t="shared" si="19"/>
        <v>18.567992296909381</v>
      </c>
      <c r="U7" s="17">
        <f t="shared" si="20"/>
        <v>54.758707172194704</v>
      </c>
      <c r="V7" s="17">
        <f t="shared" si="21"/>
        <v>32.356852428607318</v>
      </c>
      <c r="W7" s="17">
        <f t="shared" si="22"/>
        <v>0</v>
      </c>
      <c r="X7" s="17">
        <f t="shared" si="23"/>
        <v>635.01926519077222</v>
      </c>
      <c r="Y7" s="17">
        <f t="shared" si="24"/>
        <v>0</v>
      </c>
      <c r="Z7" s="17">
        <f t="shared" si="25"/>
        <v>33.413789704856889</v>
      </c>
      <c r="AA7" s="17">
        <f t="shared" si="26"/>
        <v>67.9818975831719</v>
      </c>
      <c r="AB7" s="17">
        <f t="shared" si="27"/>
        <v>875.69986804468249</v>
      </c>
      <c r="AC7" s="15" t="s">
        <v>121</v>
      </c>
      <c r="AD7" s="16" t="s">
        <v>49</v>
      </c>
      <c r="AE7" s="17">
        <f t="shared" si="28"/>
        <v>209.83219590903323</v>
      </c>
      <c r="AF7" s="17">
        <f t="shared" si="29"/>
        <v>79.173165683409067</v>
      </c>
      <c r="AG7" s="17">
        <f t="shared" si="30"/>
        <v>289.00536159244228</v>
      </c>
      <c r="AH7" s="15" t="s">
        <v>121</v>
      </c>
      <c r="AI7" s="16" t="s">
        <v>49</v>
      </c>
      <c r="AJ7" s="17">
        <f t="shared" si="31"/>
        <v>806.29884448274311</v>
      </c>
      <c r="AK7" s="17">
        <f t="shared" si="32"/>
        <v>344.73213608914148</v>
      </c>
      <c r="AL7" s="17">
        <f t="shared" si="33"/>
        <v>7.4213704555680042</v>
      </c>
      <c r="AM7" s="17">
        <f t="shared" si="34"/>
        <v>6.2528786096723037</v>
      </c>
      <c r="AN7" s="17">
        <f t="shared" si="35"/>
        <v>1164.7052296371248</v>
      </c>
      <c r="AO7" s="15" t="s">
        <v>121</v>
      </c>
      <c r="AP7" s="16" t="s">
        <v>49</v>
      </c>
      <c r="AQ7" s="17">
        <f t="shared" si="36"/>
        <v>580.72325277956782</v>
      </c>
      <c r="AR7" s="17">
        <f t="shared" si="37"/>
        <v>287.59708867584015</v>
      </c>
      <c r="AS7" s="17">
        <f t="shared" si="38"/>
        <v>7.3795265892746222</v>
      </c>
      <c r="AT7" s="17">
        <f t="shared" si="39"/>
        <v>0</v>
      </c>
      <c r="AU7" s="17">
        <f t="shared" si="40"/>
        <v>875.6998680446826</v>
      </c>
      <c r="AV7" s="15" t="s">
        <v>121</v>
      </c>
      <c r="AW7" s="16" t="s">
        <v>49</v>
      </c>
      <c r="AX7" s="17">
        <f t="shared" si="41"/>
        <v>225.57559170317532</v>
      </c>
      <c r="AY7" s="17">
        <f t="shared" si="42"/>
        <v>57.135047413301294</v>
      </c>
      <c r="AZ7" s="17">
        <f t="shared" si="43"/>
        <v>4.1843866293382027E-2</v>
      </c>
      <c r="BA7" s="17">
        <f t="shared" si="44"/>
        <v>6.2528786096723037</v>
      </c>
      <c r="BB7" s="17">
        <f t="shared" si="45"/>
        <v>289.00536159244228</v>
      </c>
      <c r="BC7" s="15" t="s">
        <v>121</v>
      </c>
      <c r="BD7" s="16" t="s">
        <v>49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5" t="s">
        <v>121</v>
      </c>
      <c r="BK7" s="16" t="s">
        <v>49</v>
      </c>
      <c r="BL7" s="17">
        <v>33.601363668170144</v>
      </c>
      <c r="BM7" s="17">
        <v>0</v>
      </c>
      <c r="BN7" s="17">
        <v>0</v>
      </c>
      <c r="BO7" s="17">
        <v>0</v>
      </c>
      <c r="BP7" s="17">
        <v>33.601363668170144</v>
      </c>
      <c r="BQ7" s="15" t="s">
        <v>121</v>
      </c>
      <c r="BR7" s="16" t="s">
        <v>49</v>
      </c>
      <c r="BS7" s="17">
        <v>2.0675529824450525</v>
      </c>
      <c r="BT7" s="17">
        <v>14.43288633201928</v>
      </c>
      <c r="BU7" s="17">
        <v>2.0675529824450525</v>
      </c>
      <c r="BV7" s="17">
        <v>0</v>
      </c>
      <c r="BW7" s="17">
        <v>18.567992296909381</v>
      </c>
      <c r="BX7" s="15" t="s">
        <v>121</v>
      </c>
      <c r="BY7" s="16" t="s">
        <v>49</v>
      </c>
      <c r="BZ7" s="17">
        <v>39.16320542306849</v>
      </c>
      <c r="CA7" s="17">
        <v>15.595501749126216</v>
      </c>
      <c r="CB7" s="17">
        <v>0</v>
      </c>
      <c r="CC7" s="17">
        <v>0</v>
      </c>
      <c r="CD7" s="17">
        <v>54.758707172194704</v>
      </c>
      <c r="CE7" s="15" t="s">
        <v>121</v>
      </c>
      <c r="CF7" s="16" t="s">
        <v>49</v>
      </c>
      <c r="CG7" s="17">
        <v>26.597999783409911</v>
      </c>
      <c r="CH7" s="17">
        <v>5.7170087789040203</v>
      </c>
      <c r="CI7" s="17">
        <v>4.1843866293382027E-2</v>
      </c>
      <c r="CJ7" s="17">
        <v>0</v>
      </c>
      <c r="CK7" s="17">
        <v>32.356852428607318</v>
      </c>
      <c r="CL7" s="15" t="s">
        <v>121</v>
      </c>
      <c r="CM7" s="16" t="s">
        <v>49</v>
      </c>
      <c r="CN7" s="17">
        <v>0</v>
      </c>
      <c r="CO7" s="17">
        <v>0</v>
      </c>
      <c r="CP7" s="17">
        <v>0</v>
      </c>
      <c r="CQ7" s="17">
        <v>0</v>
      </c>
      <c r="CR7" s="17">
        <v>0</v>
      </c>
      <c r="CS7" s="15" t="s">
        <v>121</v>
      </c>
      <c r="CT7" s="16" t="s">
        <v>49</v>
      </c>
      <c r="CU7" s="17">
        <v>407.84220980313614</v>
      </c>
      <c r="CV7" s="17">
        <v>221.90692564709994</v>
      </c>
      <c r="CW7" s="17">
        <v>5.2701297405361878</v>
      </c>
      <c r="CX7" s="17">
        <v>0</v>
      </c>
      <c r="CY7" s="17">
        <v>635.01926519077222</v>
      </c>
      <c r="CZ7" s="15" t="s">
        <v>121</v>
      </c>
      <c r="DA7" s="16" t="s">
        <v>49</v>
      </c>
      <c r="DB7" s="17">
        <v>33.413789704856889</v>
      </c>
      <c r="DC7" s="17">
        <v>0</v>
      </c>
      <c r="DD7" s="17">
        <v>0</v>
      </c>
      <c r="DE7" s="17">
        <v>0</v>
      </c>
      <c r="DF7" s="17">
        <v>33.413789704856889</v>
      </c>
      <c r="DG7" s="15" t="s">
        <v>121</v>
      </c>
      <c r="DH7" s="16" t="s">
        <v>49</v>
      </c>
      <c r="DI7" s="17">
        <v>0</v>
      </c>
      <c r="DJ7" s="17">
        <v>0</v>
      </c>
      <c r="DK7" s="17">
        <v>0</v>
      </c>
      <c r="DL7" s="17">
        <v>0</v>
      </c>
      <c r="DM7" s="17">
        <v>0</v>
      </c>
      <c r="DN7" s="15" t="s">
        <v>121</v>
      </c>
      <c r="DO7" s="16" t="s">
        <v>49</v>
      </c>
      <c r="DP7" s="17">
        <v>38.037131414481209</v>
      </c>
      <c r="DQ7" s="17">
        <v>29.944766168690698</v>
      </c>
      <c r="DR7" s="17">
        <v>0</v>
      </c>
      <c r="DS7" s="17">
        <v>0</v>
      </c>
      <c r="DT7" s="17">
        <v>67.9818975831719</v>
      </c>
      <c r="DU7" s="15" t="s">
        <v>121</v>
      </c>
      <c r="DV7" s="16" t="s">
        <v>49</v>
      </c>
      <c r="DW7" s="17">
        <v>71.750183741551751</v>
      </c>
      <c r="DX7" s="17">
        <v>7.3811380755639338</v>
      </c>
      <c r="DY7" s="17">
        <v>4.1843866293382027E-2</v>
      </c>
      <c r="DZ7" s="17">
        <v>0</v>
      </c>
      <c r="EA7" s="17">
        <v>79.173165683409067</v>
      </c>
      <c r="EB7" s="15" t="s">
        <v>121</v>
      </c>
      <c r="EC7" s="16" t="s">
        <v>49</v>
      </c>
      <c r="ED7" s="17">
        <v>153.82540796162357</v>
      </c>
      <c r="EE7" s="17">
        <v>49.753909337737362</v>
      </c>
      <c r="EF7" s="17">
        <v>0</v>
      </c>
      <c r="EG7" s="17">
        <v>6.2528786096723037</v>
      </c>
      <c r="EH7" s="17">
        <v>209.83219590903323</v>
      </c>
    </row>
    <row r="8" spans="1:138" ht="10.199999999999999" customHeight="1" x14ac:dyDescent="0.25">
      <c r="A8" s="15" t="s">
        <v>95</v>
      </c>
      <c r="B8" s="16" t="s">
        <v>23</v>
      </c>
      <c r="C8" s="17">
        <f t="shared" si="4"/>
        <v>0</v>
      </c>
      <c r="D8" s="17">
        <f t="shared" si="5"/>
        <v>3.8416242437219688</v>
      </c>
      <c r="E8" s="17">
        <f t="shared" si="6"/>
        <v>0</v>
      </c>
      <c r="F8" s="17">
        <f t="shared" si="7"/>
        <v>0</v>
      </c>
      <c r="G8" s="17">
        <f t="shared" si="8"/>
        <v>5.1427462556529848</v>
      </c>
      <c r="H8" s="17">
        <f t="shared" si="9"/>
        <v>0</v>
      </c>
      <c r="I8" s="17">
        <f t="shared" si="10"/>
        <v>82.964868211167357</v>
      </c>
      <c r="J8" s="17">
        <f t="shared" si="11"/>
        <v>30.825109994709543</v>
      </c>
      <c r="K8" s="17">
        <f t="shared" si="12"/>
        <v>0</v>
      </c>
      <c r="L8" s="17">
        <f t="shared" si="13"/>
        <v>18.487569753769943</v>
      </c>
      <c r="M8" s="17">
        <f t="shared" si="14"/>
        <v>388.96972460309132</v>
      </c>
      <c r="N8" s="17">
        <f t="shared" si="15"/>
        <v>88.231811512525326</v>
      </c>
      <c r="O8" s="17">
        <f t="shared" si="16"/>
        <v>618.46345457463849</v>
      </c>
      <c r="P8" s="15" t="s">
        <v>95</v>
      </c>
      <c r="Q8" s="16" t="s">
        <v>23</v>
      </c>
      <c r="R8" s="17">
        <f t="shared" si="17"/>
        <v>0</v>
      </c>
      <c r="S8" s="17">
        <f t="shared" si="18"/>
        <v>3.8416242437219688</v>
      </c>
      <c r="T8" s="17">
        <f t="shared" si="19"/>
        <v>0</v>
      </c>
      <c r="U8" s="17">
        <f t="shared" si="20"/>
        <v>0</v>
      </c>
      <c r="V8" s="17">
        <f t="shared" si="21"/>
        <v>5.1427462556529848</v>
      </c>
      <c r="W8" s="17">
        <f t="shared" si="22"/>
        <v>0</v>
      </c>
      <c r="X8" s="17">
        <f t="shared" si="23"/>
        <v>82.964868211167357</v>
      </c>
      <c r="Y8" s="17">
        <f t="shared" si="24"/>
        <v>30.825109994709543</v>
      </c>
      <c r="Z8" s="17">
        <f t="shared" si="25"/>
        <v>0</v>
      </c>
      <c r="AA8" s="17">
        <f t="shared" si="26"/>
        <v>18.487569753769943</v>
      </c>
      <c r="AB8" s="17">
        <f t="shared" si="27"/>
        <v>141.26191845902181</v>
      </c>
      <c r="AC8" s="15" t="s">
        <v>95</v>
      </c>
      <c r="AD8" s="16" t="s">
        <v>23</v>
      </c>
      <c r="AE8" s="17">
        <f t="shared" si="28"/>
        <v>388.96972460309132</v>
      </c>
      <c r="AF8" s="17">
        <f t="shared" si="29"/>
        <v>88.231811512525326</v>
      </c>
      <c r="AG8" s="17">
        <f t="shared" si="30"/>
        <v>477.20153611561665</v>
      </c>
      <c r="AH8" s="15" t="s">
        <v>95</v>
      </c>
      <c r="AI8" s="16" t="s">
        <v>23</v>
      </c>
      <c r="AJ8" s="17">
        <f t="shared" si="31"/>
        <v>483.43390464440074</v>
      </c>
      <c r="AK8" s="17">
        <f t="shared" si="32"/>
        <v>119.0882181978487</v>
      </c>
      <c r="AL8" s="17">
        <f t="shared" si="33"/>
        <v>15.941331732388981</v>
      </c>
      <c r="AM8" s="17">
        <f t="shared" si="34"/>
        <v>0</v>
      </c>
      <c r="AN8" s="17">
        <f t="shared" si="35"/>
        <v>618.46345457463849</v>
      </c>
      <c r="AO8" s="15" t="s">
        <v>95</v>
      </c>
      <c r="AP8" s="16" t="s">
        <v>23</v>
      </c>
      <c r="AQ8" s="17">
        <f t="shared" si="36"/>
        <v>67.117362976663912</v>
      </c>
      <c r="AR8" s="17">
        <f t="shared" si="37"/>
        <v>62.285902040674323</v>
      </c>
      <c r="AS8" s="17">
        <f t="shared" si="38"/>
        <v>11.858653441683556</v>
      </c>
      <c r="AT8" s="17">
        <f t="shared" si="39"/>
        <v>0</v>
      </c>
      <c r="AU8" s="17">
        <f t="shared" si="40"/>
        <v>141.26191845902179</v>
      </c>
      <c r="AV8" s="15" t="s">
        <v>95</v>
      </c>
      <c r="AW8" s="16" t="s">
        <v>23</v>
      </c>
      <c r="AX8" s="17">
        <f t="shared" si="41"/>
        <v>416.31654166773683</v>
      </c>
      <c r="AY8" s="17">
        <f t="shared" si="42"/>
        <v>56.802316157174388</v>
      </c>
      <c r="AZ8" s="17">
        <f t="shared" si="43"/>
        <v>4.0826782907054255</v>
      </c>
      <c r="BA8" s="17">
        <f t="shared" si="44"/>
        <v>0</v>
      </c>
      <c r="BB8" s="17">
        <f t="shared" si="45"/>
        <v>477.20153611561665</v>
      </c>
      <c r="BC8" s="15" t="s">
        <v>95</v>
      </c>
      <c r="BD8" s="16" t="s">
        <v>23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5" t="s">
        <v>95</v>
      </c>
      <c r="BK8" s="16" t="s">
        <v>23</v>
      </c>
      <c r="BL8" s="17">
        <v>0</v>
      </c>
      <c r="BM8" s="17">
        <v>4.1843866293382027E-2</v>
      </c>
      <c r="BN8" s="17">
        <v>3.7997803774285868</v>
      </c>
      <c r="BO8" s="17">
        <v>0</v>
      </c>
      <c r="BP8" s="17">
        <v>3.8416242437219688</v>
      </c>
      <c r="BQ8" s="15" t="s">
        <v>95</v>
      </c>
      <c r="BR8" s="16" t="s">
        <v>23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5" t="s">
        <v>95</v>
      </c>
      <c r="BY8" s="16" t="s">
        <v>23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5" t="s">
        <v>95</v>
      </c>
      <c r="CF8" s="16" t="s">
        <v>23</v>
      </c>
      <c r="CG8" s="17">
        <v>4.1009023893596028</v>
      </c>
      <c r="CH8" s="17">
        <v>1.041843866293382</v>
      </c>
      <c r="CI8" s="17">
        <v>0</v>
      </c>
      <c r="CJ8" s="17">
        <v>0</v>
      </c>
      <c r="CK8" s="17">
        <v>5.1427462556529848</v>
      </c>
      <c r="CL8" s="15" t="s">
        <v>95</v>
      </c>
      <c r="CM8" s="16" t="s">
        <v>23</v>
      </c>
      <c r="CN8" s="17">
        <v>0</v>
      </c>
      <c r="CO8" s="17">
        <v>0</v>
      </c>
      <c r="CP8" s="17">
        <v>0</v>
      </c>
      <c r="CQ8" s="17">
        <v>0</v>
      </c>
      <c r="CR8" s="17">
        <v>0</v>
      </c>
      <c r="CS8" s="15" t="s">
        <v>95</v>
      </c>
      <c r="CT8" s="16" t="s">
        <v>23</v>
      </c>
      <c r="CU8" s="17">
        <v>34.637968984526339</v>
      </c>
      <c r="CV8" s="17">
        <v>48.326899226641025</v>
      </c>
      <c r="CW8" s="17">
        <v>0</v>
      </c>
      <c r="CX8" s="17">
        <v>0</v>
      </c>
      <c r="CY8" s="17">
        <v>82.964868211167357</v>
      </c>
      <c r="CZ8" s="15" t="s">
        <v>95</v>
      </c>
      <c r="DA8" s="16" t="s">
        <v>23</v>
      </c>
      <c r="DB8" s="17">
        <v>0</v>
      </c>
      <c r="DC8" s="17">
        <v>0</v>
      </c>
      <c r="DD8" s="17">
        <v>0</v>
      </c>
      <c r="DE8" s="17">
        <v>0</v>
      </c>
      <c r="DF8" s="17">
        <v>0</v>
      </c>
      <c r="DG8" s="15" t="s">
        <v>95</v>
      </c>
      <c r="DH8" s="16" t="s">
        <v>23</v>
      </c>
      <c r="DI8" s="17">
        <v>22.766236930454571</v>
      </c>
      <c r="DJ8" s="17">
        <v>0</v>
      </c>
      <c r="DK8" s="17">
        <v>8.0588730642549695</v>
      </c>
      <c r="DL8" s="17">
        <v>0</v>
      </c>
      <c r="DM8" s="17">
        <v>30.825109994709543</v>
      </c>
      <c r="DN8" s="15" t="s">
        <v>95</v>
      </c>
      <c r="DO8" s="16" t="s">
        <v>23</v>
      </c>
      <c r="DP8" s="17">
        <v>5.612254672323405</v>
      </c>
      <c r="DQ8" s="17">
        <v>12.875315081446537</v>
      </c>
      <c r="DR8" s="17">
        <v>0</v>
      </c>
      <c r="DS8" s="17">
        <v>0</v>
      </c>
      <c r="DT8" s="17">
        <v>18.487569753769943</v>
      </c>
      <c r="DU8" s="15" t="s">
        <v>95</v>
      </c>
      <c r="DV8" s="16" t="s">
        <v>23</v>
      </c>
      <c r="DW8" s="17">
        <v>63.513398111453519</v>
      </c>
      <c r="DX8" s="17">
        <v>22.677074255719095</v>
      </c>
      <c r="DY8" s="17">
        <v>2.0413391453527128</v>
      </c>
      <c r="DZ8" s="17">
        <v>0</v>
      </c>
      <c r="EA8" s="17">
        <v>88.231811512525326</v>
      </c>
      <c r="EB8" s="15" t="s">
        <v>95</v>
      </c>
      <c r="EC8" s="16" t="s">
        <v>23</v>
      </c>
      <c r="ED8" s="17">
        <v>352.80314355628332</v>
      </c>
      <c r="EE8" s="17">
        <v>34.125241901455297</v>
      </c>
      <c r="EF8" s="17">
        <v>2.0413391453527128</v>
      </c>
      <c r="EG8" s="17">
        <v>0</v>
      </c>
      <c r="EH8" s="17">
        <v>388.96972460309132</v>
      </c>
    </row>
    <row r="9" spans="1:138" ht="10.199999999999999" customHeight="1" x14ac:dyDescent="0.25">
      <c r="A9" s="15" t="s">
        <v>101</v>
      </c>
      <c r="B9" s="16" t="s">
        <v>29</v>
      </c>
      <c r="C9" s="17">
        <f t="shared" si="4"/>
        <v>0</v>
      </c>
      <c r="D9" s="17">
        <f t="shared" si="5"/>
        <v>14.244807777211383</v>
      </c>
      <c r="E9" s="17">
        <f t="shared" si="6"/>
        <v>0</v>
      </c>
      <c r="F9" s="17">
        <f t="shared" si="7"/>
        <v>0</v>
      </c>
      <c r="G9" s="17">
        <f t="shared" si="8"/>
        <v>4.1843866293382027E-2</v>
      </c>
      <c r="H9" s="17">
        <f t="shared" si="9"/>
        <v>0</v>
      </c>
      <c r="I9" s="17">
        <f t="shared" si="10"/>
        <v>5.4355372910598279</v>
      </c>
      <c r="J9" s="17">
        <f t="shared" si="11"/>
        <v>8.1425607968417335</v>
      </c>
      <c r="K9" s="17">
        <f t="shared" si="12"/>
        <v>0</v>
      </c>
      <c r="L9" s="17">
        <f t="shared" si="13"/>
        <v>53.775636295927526</v>
      </c>
      <c r="M9" s="17">
        <f t="shared" si="14"/>
        <v>1192.9310539162418</v>
      </c>
      <c r="N9" s="17">
        <f t="shared" si="15"/>
        <v>24.783924456016507</v>
      </c>
      <c r="O9" s="17">
        <f t="shared" si="16"/>
        <v>1299.355364399592</v>
      </c>
      <c r="P9" s="15" t="s">
        <v>101</v>
      </c>
      <c r="Q9" s="16" t="s">
        <v>29</v>
      </c>
      <c r="R9" s="17">
        <f t="shared" si="17"/>
        <v>0</v>
      </c>
      <c r="S9" s="17">
        <f t="shared" si="18"/>
        <v>14.244807777211383</v>
      </c>
      <c r="T9" s="17">
        <f t="shared" si="19"/>
        <v>0</v>
      </c>
      <c r="U9" s="17">
        <f t="shared" si="20"/>
        <v>0</v>
      </c>
      <c r="V9" s="17">
        <f t="shared" si="21"/>
        <v>4.1843866293382027E-2</v>
      </c>
      <c r="W9" s="17">
        <f t="shared" si="22"/>
        <v>0</v>
      </c>
      <c r="X9" s="17">
        <f t="shared" si="23"/>
        <v>5.4355372910598279</v>
      </c>
      <c r="Y9" s="17">
        <f t="shared" si="24"/>
        <v>8.1425607968417335</v>
      </c>
      <c r="Z9" s="17">
        <f t="shared" si="25"/>
        <v>0</v>
      </c>
      <c r="AA9" s="17">
        <f t="shared" si="26"/>
        <v>53.775636295927526</v>
      </c>
      <c r="AB9" s="17">
        <f t="shared" si="27"/>
        <v>81.640386027333847</v>
      </c>
      <c r="AC9" s="15" t="s">
        <v>101</v>
      </c>
      <c r="AD9" s="16" t="s">
        <v>29</v>
      </c>
      <c r="AE9" s="17">
        <f t="shared" si="28"/>
        <v>1192.9310539162418</v>
      </c>
      <c r="AF9" s="17">
        <f t="shared" si="29"/>
        <v>24.783924456016507</v>
      </c>
      <c r="AG9" s="17">
        <f t="shared" si="30"/>
        <v>1217.7149783722584</v>
      </c>
      <c r="AH9" s="15" t="s">
        <v>101</v>
      </c>
      <c r="AI9" s="16" t="s">
        <v>29</v>
      </c>
      <c r="AJ9" s="17">
        <f t="shared" si="31"/>
        <v>1153.3037894804927</v>
      </c>
      <c r="AK9" s="17">
        <f t="shared" si="32"/>
        <v>146.05157491909944</v>
      </c>
      <c r="AL9" s="17">
        <f t="shared" si="33"/>
        <v>0</v>
      </c>
      <c r="AM9" s="17">
        <f t="shared" si="34"/>
        <v>0</v>
      </c>
      <c r="AN9" s="17">
        <f t="shared" si="35"/>
        <v>1299.3553643995922</v>
      </c>
      <c r="AO9" s="15" t="s">
        <v>101</v>
      </c>
      <c r="AP9" s="16" t="s">
        <v>29</v>
      </c>
      <c r="AQ9" s="17">
        <f t="shared" si="36"/>
        <v>35.176086480090518</v>
      </c>
      <c r="AR9" s="17">
        <f t="shared" si="37"/>
        <v>46.464299547243343</v>
      </c>
      <c r="AS9" s="17">
        <f t="shared" si="38"/>
        <v>0</v>
      </c>
      <c r="AT9" s="17">
        <f t="shared" si="39"/>
        <v>0</v>
      </c>
      <c r="AU9" s="17">
        <f t="shared" si="40"/>
        <v>81.640386027333861</v>
      </c>
      <c r="AV9" s="15" t="s">
        <v>101</v>
      </c>
      <c r="AW9" s="16" t="s">
        <v>29</v>
      </c>
      <c r="AX9" s="17">
        <f t="shared" si="41"/>
        <v>1118.1277030004021</v>
      </c>
      <c r="AY9" s="17">
        <f t="shared" si="42"/>
        <v>99.587275371856109</v>
      </c>
      <c r="AZ9" s="17">
        <f t="shared" si="43"/>
        <v>0</v>
      </c>
      <c r="BA9" s="17">
        <f t="shared" si="44"/>
        <v>0</v>
      </c>
      <c r="BB9" s="17">
        <f t="shared" si="45"/>
        <v>1217.7149783722582</v>
      </c>
      <c r="BC9" s="15" t="s">
        <v>101</v>
      </c>
      <c r="BD9" s="16" t="s">
        <v>29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5" t="s">
        <v>101</v>
      </c>
      <c r="BK9" s="16" t="s">
        <v>29</v>
      </c>
      <c r="BL9" s="17">
        <v>10.952405434098377</v>
      </c>
      <c r="BM9" s="17">
        <v>3.2924023431130052</v>
      </c>
      <c r="BN9" s="17">
        <v>0</v>
      </c>
      <c r="BO9" s="17">
        <v>0</v>
      </c>
      <c r="BP9" s="17">
        <v>14.244807777211383</v>
      </c>
      <c r="BQ9" s="15" t="s">
        <v>101</v>
      </c>
      <c r="BR9" s="16" t="s">
        <v>29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5" t="s">
        <v>101</v>
      </c>
      <c r="BY9" s="16" t="s">
        <v>29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5" t="s">
        <v>101</v>
      </c>
      <c r="CF9" s="16" t="s">
        <v>29</v>
      </c>
      <c r="CG9" s="17">
        <v>4.1843866293382027E-2</v>
      </c>
      <c r="CH9" s="17">
        <v>0</v>
      </c>
      <c r="CI9" s="17">
        <v>0</v>
      </c>
      <c r="CJ9" s="17">
        <v>0</v>
      </c>
      <c r="CK9" s="17">
        <v>4.1843866293382027E-2</v>
      </c>
      <c r="CL9" s="15" t="s">
        <v>101</v>
      </c>
      <c r="CM9" s="16" t="s">
        <v>29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5" t="s">
        <v>101</v>
      </c>
      <c r="CT9" s="16" t="s">
        <v>29</v>
      </c>
      <c r="CU9" s="17">
        <v>4.3518495584730639</v>
      </c>
      <c r="CV9" s="17">
        <v>1.083687732586764</v>
      </c>
      <c r="CW9" s="17">
        <v>0</v>
      </c>
      <c r="CX9" s="17">
        <v>0</v>
      </c>
      <c r="CY9" s="17">
        <v>5.4355372910598279</v>
      </c>
      <c r="CZ9" s="15" t="s">
        <v>101</v>
      </c>
      <c r="DA9" s="16" t="s">
        <v>29</v>
      </c>
      <c r="DB9" s="17">
        <v>0</v>
      </c>
      <c r="DC9" s="17">
        <v>0</v>
      </c>
      <c r="DD9" s="17">
        <v>0</v>
      </c>
      <c r="DE9" s="17">
        <v>0</v>
      </c>
      <c r="DF9" s="17">
        <v>0</v>
      </c>
      <c r="DG9" s="15" t="s">
        <v>101</v>
      </c>
      <c r="DH9" s="16" t="s">
        <v>29</v>
      </c>
      <c r="DI9" s="17">
        <v>0</v>
      </c>
      <c r="DJ9" s="17">
        <v>8.1425607968417335</v>
      </c>
      <c r="DK9" s="17">
        <v>0</v>
      </c>
      <c r="DL9" s="17">
        <v>0</v>
      </c>
      <c r="DM9" s="17">
        <v>8.1425607968417335</v>
      </c>
      <c r="DN9" s="15" t="s">
        <v>101</v>
      </c>
      <c r="DO9" s="16" t="s">
        <v>29</v>
      </c>
      <c r="DP9" s="17">
        <v>19.829987621225694</v>
      </c>
      <c r="DQ9" s="17">
        <v>33.945648674701836</v>
      </c>
      <c r="DR9" s="17">
        <v>0</v>
      </c>
      <c r="DS9" s="17">
        <v>0</v>
      </c>
      <c r="DT9" s="17">
        <v>53.775636295927526</v>
      </c>
      <c r="DU9" s="15" t="s">
        <v>101</v>
      </c>
      <c r="DV9" s="16" t="s">
        <v>29</v>
      </c>
      <c r="DW9" s="17">
        <v>16.489502965655003</v>
      </c>
      <c r="DX9" s="17">
        <v>8.2944214903615059</v>
      </c>
      <c r="DY9" s="17">
        <v>0</v>
      </c>
      <c r="DZ9" s="17">
        <v>0</v>
      </c>
      <c r="EA9" s="17">
        <v>24.783924456016507</v>
      </c>
      <c r="EB9" s="15" t="s">
        <v>101</v>
      </c>
      <c r="EC9" s="16" t="s">
        <v>29</v>
      </c>
      <c r="ED9" s="17">
        <v>1101.6382000347471</v>
      </c>
      <c r="EE9" s="17">
        <v>91.292853881494608</v>
      </c>
      <c r="EF9" s="17">
        <v>0</v>
      </c>
      <c r="EG9" s="17">
        <v>0</v>
      </c>
      <c r="EH9" s="17">
        <v>1192.9310539162418</v>
      </c>
    </row>
    <row r="10" spans="1:138" ht="10.199999999999999" customHeight="1" x14ac:dyDescent="0.25">
      <c r="A10" s="15" t="s">
        <v>106</v>
      </c>
      <c r="B10" s="16" t="s">
        <v>34</v>
      </c>
      <c r="C10" s="17">
        <f t="shared" si="4"/>
        <v>4.1843866293382027E-2</v>
      </c>
      <c r="D10" s="17">
        <f t="shared" si="5"/>
        <v>8.8039604662207935</v>
      </c>
      <c r="E10" s="17">
        <f t="shared" si="6"/>
        <v>11.307354733139134</v>
      </c>
      <c r="F10" s="17">
        <f t="shared" si="7"/>
        <v>131.7674550111235</v>
      </c>
      <c r="G10" s="17">
        <f t="shared" si="8"/>
        <v>6.2962025807395898</v>
      </c>
      <c r="H10" s="17">
        <f t="shared" si="9"/>
        <v>0</v>
      </c>
      <c r="I10" s="17">
        <f t="shared" si="10"/>
        <v>17.161941138529553</v>
      </c>
      <c r="J10" s="17">
        <f t="shared" si="11"/>
        <v>11.424962331520668</v>
      </c>
      <c r="K10" s="17">
        <f t="shared" si="12"/>
        <v>8.6097993752215238</v>
      </c>
      <c r="L10" s="17">
        <f t="shared" si="13"/>
        <v>21.546803331035186</v>
      </c>
      <c r="M10" s="17">
        <f t="shared" si="14"/>
        <v>311.30181403398177</v>
      </c>
      <c r="N10" s="17">
        <f t="shared" si="15"/>
        <v>30.786481635820856</v>
      </c>
      <c r="O10" s="17">
        <f t="shared" si="16"/>
        <v>559.04861850362602</v>
      </c>
      <c r="P10" s="15" t="s">
        <v>106</v>
      </c>
      <c r="Q10" s="16" t="s">
        <v>34</v>
      </c>
      <c r="R10" s="17">
        <f t="shared" si="17"/>
        <v>4.1843866293382027E-2</v>
      </c>
      <c r="S10" s="17">
        <f t="shared" si="18"/>
        <v>8.8039604662207935</v>
      </c>
      <c r="T10" s="17">
        <f t="shared" si="19"/>
        <v>11.307354733139134</v>
      </c>
      <c r="U10" s="17">
        <f t="shared" si="20"/>
        <v>131.7674550111235</v>
      </c>
      <c r="V10" s="17">
        <f t="shared" si="21"/>
        <v>6.2962025807395898</v>
      </c>
      <c r="W10" s="17">
        <f t="shared" si="22"/>
        <v>0</v>
      </c>
      <c r="X10" s="17">
        <f t="shared" si="23"/>
        <v>17.161941138529553</v>
      </c>
      <c r="Y10" s="17">
        <f t="shared" si="24"/>
        <v>11.424962331520668</v>
      </c>
      <c r="Z10" s="17">
        <f t="shared" si="25"/>
        <v>8.6097993752215238</v>
      </c>
      <c r="AA10" s="17">
        <f t="shared" si="26"/>
        <v>21.546803331035186</v>
      </c>
      <c r="AB10" s="17">
        <f t="shared" si="27"/>
        <v>216.96032283382334</v>
      </c>
      <c r="AC10" s="15" t="s">
        <v>106</v>
      </c>
      <c r="AD10" s="16" t="s">
        <v>34</v>
      </c>
      <c r="AE10" s="17">
        <f t="shared" si="28"/>
        <v>311.30181403398177</v>
      </c>
      <c r="AF10" s="17">
        <f t="shared" si="29"/>
        <v>30.786481635820856</v>
      </c>
      <c r="AG10" s="17">
        <f t="shared" si="30"/>
        <v>342.08829566980262</v>
      </c>
      <c r="AH10" s="15" t="s">
        <v>106</v>
      </c>
      <c r="AI10" s="16" t="s">
        <v>34</v>
      </c>
      <c r="AJ10" s="17">
        <f t="shared" si="31"/>
        <v>512.5178955330457</v>
      </c>
      <c r="AK10" s="17">
        <f t="shared" si="32"/>
        <v>29.667660942830338</v>
      </c>
      <c r="AL10" s="17">
        <f t="shared" si="33"/>
        <v>8.5005906088174754</v>
      </c>
      <c r="AM10" s="17">
        <f t="shared" si="34"/>
        <v>8.3624714189323601</v>
      </c>
      <c r="AN10" s="17">
        <f t="shared" si="35"/>
        <v>559.0486185036259</v>
      </c>
      <c r="AO10" s="15" t="s">
        <v>106</v>
      </c>
      <c r="AP10" s="16" t="s">
        <v>34</v>
      </c>
      <c r="AQ10" s="17">
        <f t="shared" si="36"/>
        <v>182.64610083836689</v>
      </c>
      <c r="AR10" s="17">
        <f t="shared" si="37"/>
        <v>20.618535432880122</v>
      </c>
      <c r="AS10" s="17">
        <f t="shared" si="38"/>
        <v>6.3750590099373294</v>
      </c>
      <c r="AT10" s="17">
        <f t="shared" si="39"/>
        <v>7.3206275526389781</v>
      </c>
      <c r="AU10" s="17">
        <f t="shared" si="40"/>
        <v>216.96032283382331</v>
      </c>
      <c r="AV10" s="15" t="s">
        <v>106</v>
      </c>
      <c r="AW10" s="16" t="s">
        <v>34</v>
      </c>
      <c r="AX10" s="17">
        <f t="shared" si="41"/>
        <v>329.87179469467884</v>
      </c>
      <c r="AY10" s="17">
        <f t="shared" si="42"/>
        <v>9.0491255099502137</v>
      </c>
      <c r="AZ10" s="17">
        <f t="shared" si="43"/>
        <v>2.125531598880146</v>
      </c>
      <c r="BA10" s="17">
        <f t="shared" si="44"/>
        <v>1.041843866293382</v>
      </c>
      <c r="BB10" s="17">
        <f t="shared" si="45"/>
        <v>342.08829566980262</v>
      </c>
      <c r="BC10" s="15" t="s">
        <v>106</v>
      </c>
      <c r="BD10" s="16" t="s">
        <v>34</v>
      </c>
      <c r="BE10" s="17">
        <v>4.1843866293382027E-2</v>
      </c>
      <c r="BF10" s="17">
        <v>0</v>
      </c>
      <c r="BG10" s="17">
        <v>0</v>
      </c>
      <c r="BH10" s="17">
        <v>0</v>
      </c>
      <c r="BI10" s="17">
        <v>4.1843866293382027E-2</v>
      </c>
      <c r="BJ10" s="15" t="s">
        <v>106</v>
      </c>
      <c r="BK10" s="16" t="s">
        <v>34</v>
      </c>
      <c r="BL10" s="17">
        <v>7.7621165999274107</v>
      </c>
      <c r="BM10" s="17">
        <v>1.041843866293382</v>
      </c>
      <c r="BN10" s="17">
        <v>0</v>
      </c>
      <c r="BO10" s="17">
        <v>0</v>
      </c>
      <c r="BP10" s="17">
        <v>8.8039604662207935</v>
      </c>
      <c r="BQ10" s="15" t="s">
        <v>106</v>
      </c>
      <c r="BR10" s="16" t="s">
        <v>34</v>
      </c>
      <c r="BS10" s="17">
        <v>4.0909115671294938</v>
      </c>
      <c r="BT10" s="17">
        <v>1.041843866293382</v>
      </c>
      <c r="BU10" s="17">
        <v>0</v>
      </c>
      <c r="BV10" s="17">
        <v>6.1745992997162578</v>
      </c>
      <c r="BW10" s="17">
        <v>11.307354733139134</v>
      </c>
      <c r="BX10" s="15" t="s">
        <v>106</v>
      </c>
      <c r="BY10" s="16" t="s">
        <v>34</v>
      </c>
      <c r="BZ10" s="17">
        <v>122.67679707250673</v>
      </c>
      <c r="CA10" s="17">
        <v>9.0906579386167845</v>
      </c>
      <c r="CB10" s="17">
        <v>0</v>
      </c>
      <c r="CC10" s="17">
        <v>0</v>
      </c>
      <c r="CD10" s="17">
        <v>131.7674550111235</v>
      </c>
      <c r="CE10" s="15" t="s">
        <v>106</v>
      </c>
      <c r="CF10" s="16" t="s">
        <v>34</v>
      </c>
      <c r="CG10" s="17">
        <v>6.2962025807395898</v>
      </c>
      <c r="CH10" s="17">
        <v>0</v>
      </c>
      <c r="CI10" s="17">
        <v>0</v>
      </c>
      <c r="CJ10" s="17">
        <v>0</v>
      </c>
      <c r="CK10" s="17">
        <v>6.2962025807395898</v>
      </c>
      <c r="CL10" s="15" t="s">
        <v>106</v>
      </c>
      <c r="CM10" s="16" t="s">
        <v>34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5" t="s">
        <v>106</v>
      </c>
      <c r="CT10" s="16" t="s">
        <v>34</v>
      </c>
      <c r="CU10" s="17">
        <v>10.786882128592223</v>
      </c>
      <c r="CV10" s="17">
        <v>0</v>
      </c>
      <c r="CW10" s="17">
        <v>6.3750590099373294</v>
      </c>
      <c r="CX10" s="17">
        <v>0</v>
      </c>
      <c r="CY10" s="17">
        <v>17.161941138529553</v>
      </c>
      <c r="CZ10" s="15" t="s">
        <v>106</v>
      </c>
      <c r="DA10" s="16" t="s">
        <v>34</v>
      </c>
      <c r="DB10" s="17">
        <v>8.6097993752215238</v>
      </c>
      <c r="DC10" s="17">
        <v>0</v>
      </c>
      <c r="DD10" s="17">
        <v>0</v>
      </c>
      <c r="DE10" s="17">
        <v>0</v>
      </c>
      <c r="DF10" s="17">
        <v>8.6097993752215238</v>
      </c>
      <c r="DG10" s="15" t="s">
        <v>106</v>
      </c>
      <c r="DH10" s="16" t="s">
        <v>34</v>
      </c>
      <c r="DI10" s="17">
        <v>11.383118465227286</v>
      </c>
      <c r="DJ10" s="17">
        <v>4.1843866293382027E-2</v>
      </c>
      <c r="DK10" s="17">
        <v>0</v>
      </c>
      <c r="DL10" s="17">
        <v>0</v>
      </c>
      <c r="DM10" s="17">
        <v>11.424962331520668</v>
      </c>
      <c r="DN10" s="15" t="s">
        <v>106</v>
      </c>
      <c r="DO10" s="16" t="s">
        <v>34</v>
      </c>
      <c r="DP10" s="17">
        <v>10.998429182729275</v>
      </c>
      <c r="DQ10" s="17">
        <v>9.4023458953831938</v>
      </c>
      <c r="DR10" s="17">
        <v>0</v>
      </c>
      <c r="DS10" s="17">
        <v>1.1460282529227204</v>
      </c>
      <c r="DT10" s="17">
        <v>21.546803331035186</v>
      </c>
      <c r="DU10" s="15" t="s">
        <v>106</v>
      </c>
      <c r="DV10" s="16" t="s">
        <v>34</v>
      </c>
      <c r="DW10" s="17">
        <v>22.448701852858132</v>
      </c>
      <c r="DX10" s="17">
        <v>5.170404317789191</v>
      </c>
      <c r="DY10" s="17">
        <v>2.125531598880146</v>
      </c>
      <c r="DZ10" s="17">
        <v>1.041843866293382</v>
      </c>
      <c r="EA10" s="17">
        <v>30.786481635820856</v>
      </c>
      <c r="EB10" s="15" t="s">
        <v>106</v>
      </c>
      <c r="EC10" s="16" t="s">
        <v>34</v>
      </c>
      <c r="ED10" s="17">
        <v>307.42309284182073</v>
      </c>
      <c r="EE10" s="17">
        <v>3.8787211921610227</v>
      </c>
      <c r="EF10" s="17">
        <v>0</v>
      </c>
      <c r="EG10" s="17">
        <v>0</v>
      </c>
      <c r="EH10" s="17">
        <v>311.30181403398177</v>
      </c>
    </row>
    <row r="11" spans="1:138" ht="10.199999999999999" customHeight="1" x14ac:dyDescent="0.25">
      <c r="A11" s="15" t="s">
        <v>103</v>
      </c>
      <c r="B11" s="16" t="s">
        <v>31</v>
      </c>
      <c r="C11" s="17">
        <f t="shared" si="4"/>
        <v>6.6609682987851899</v>
      </c>
      <c r="D11" s="17">
        <f t="shared" si="5"/>
        <v>9.2436044768323651</v>
      </c>
      <c r="E11" s="17">
        <f t="shared" si="6"/>
        <v>0</v>
      </c>
      <c r="F11" s="17">
        <f t="shared" si="7"/>
        <v>105.72373484439906</v>
      </c>
      <c r="G11" s="17">
        <f t="shared" si="8"/>
        <v>0</v>
      </c>
      <c r="H11" s="17">
        <f t="shared" si="9"/>
        <v>0</v>
      </c>
      <c r="I11" s="17">
        <f t="shared" si="10"/>
        <v>25.536360941131509</v>
      </c>
      <c r="J11" s="17">
        <f t="shared" si="11"/>
        <v>19.465278016738925</v>
      </c>
      <c r="K11" s="17">
        <f t="shared" si="12"/>
        <v>0</v>
      </c>
      <c r="L11" s="17">
        <f t="shared" si="13"/>
        <v>37.27311128657221</v>
      </c>
      <c r="M11" s="17">
        <f t="shared" si="14"/>
        <v>289.30286009584728</v>
      </c>
      <c r="N11" s="17">
        <f t="shared" si="15"/>
        <v>35.447344329298772</v>
      </c>
      <c r="O11" s="17">
        <f t="shared" si="16"/>
        <v>528.65326228960532</v>
      </c>
      <c r="P11" s="15" t="s">
        <v>103</v>
      </c>
      <c r="Q11" s="16" t="s">
        <v>31</v>
      </c>
      <c r="R11" s="17">
        <f t="shared" si="17"/>
        <v>6.6609682987851899</v>
      </c>
      <c r="S11" s="17">
        <f t="shared" si="18"/>
        <v>9.2436044768323651</v>
      </c>
      <c r="T11" s="17">
        <f t="shared" si="19"/>
        <v>0</v>
      </c>
      <c r="U11" s="17">
        <f t="shared" si="20"/>
        <v>105.72373484439906</v>
      </c>
      <c r="V11" s="17">
        <f t="shared" si="21"/>
        <v>0</v>
      </c>
      <c r="W11" s="17">
        <f t="shared" si="22"/>
        <v>0</v>
      </c>
      <c r="X11" s="17">
        <f t="shared" si="23"/>
        <v>25.536360941131509</v>
      </c>
      <c r="Y11" s="17">
        <f t="shared" si="24"/>
        <v>19.465278016738925</v>
      </c>
      <c r="Z11" s="17">
        <f t="shared" si="25"/>
        <v>0</v>
      </c>
      <c r="AA11" s="17">
        <f t="shared" si="26"/>
        <v>37.27311128657221</v>
      </c>
      <c r="AB11" s="17">
        <f t="shared" si="27"/>
        <v>203.90305786445924</v>
      </c>
      <c r="AC11" s="15" t="s">
        <v>103</v>
      </c>
      <c r="AD11" s="16" t="s">
        <v>31</v>
      </c>
      <c r="AE11" s="17">
        <f t="shared" si="28"/>
        <v>289.30286009584728</v>
      </c>
      <c r="AF11" s="17">
        <f t="shared" si="29"/>
        <v>35.447344329298772</v>
      </c>
      <c r="AG11" s="17">
        <f t="shared" si="30"/>
        <v>324.75020442514608</v>
      </c>
      <c r="AH11" s="15" t="s">
        <v>103</v>
      </c>
      <c r="AI11" s="16" t="s">
        <v>31</v>
      </c>
      <c r="AJ11" s="17">
        <f t="shared" si="31"/>
        <v>383.8186405169152</v>
      </c>
      <c r="AK11" s="17">
        <f t="shared" si="32"/>
        <v>141.22566203223502</v>
      </c>
      <c r="AL11" s="17">
        <f t="shared" si="33"/>
        <v>3.6089597404551217</v>
      </c>
      <c r="AM11" s="17">
        <f t="shared" si="34"/>
        <v>0</v>
      </c>
      <c r="AN11" s="17">
        <f t="shared" si="35"/>
        <v>528.65326228960532</v>
      </c>
      <c r="AO11" s="15" t="s">
        <v>103</v>
      </c>
      <c r="AP11" s="16" t="s">
        <v>31</v>
      </c>
      <c r="AQ11" s="17">
        <f t="shared" si="36"/>
        <v>98.165124725101066</v>
      </c>
      <c r="AR11" s="17">
        <f t="shared" si="37"/>
        <v>105.7379331393582</v>
      </c>
      <c r="AS11" s="17">
        <f t="shared" si="38"/>
        <v>0</v>
      </c>
      <c r="AT11" s="17">
        <f t="shared" si="39"/>
        <v>0</v>
      </c>
      <c r="AU11" s="17">
        <f t="shared" si="40"/>
        <v>203.90305786445927</v>
      </c>
      <c r="AV11" s="15" t="s">
        <v>103</v>
      </c>
      <c r="AW11" s="16" t="s">
        <v>31</v>
      </c>
      <c r="AX11" s="17">
        <f t="shared" si="41"/>
        <v>285.65351579181413</v>
      </c>
      <c r="AY11" s="17">
        <f t="shared" si="42"/>
        <v>35.48772889287681</v>
      </c>
      <c r="AZ11" s="17">
        <f t="shared" si="43"/>
        <v>3.6089597404551217</v>
      </c>
      <c r="BA11" s="17">
        <f t="shared" si="44"/>
        <v>0</v>
      </c>
      <c r="BB11" s="17">
        <f t="shared" si="45"/>
        <v>324.75020442514608</v>
      </c>
      <c r="BC11" s="15" t="s">
        <v>103</v>
      </c>
      <c r="BD11" s="16" t="s">
        <v>31</v>
      </c>
      <c r="BE11" s="17">
        <v>6.6609682987851899</v>
      </c>
      <c r="BF11" s="17">
        <v>0</v>
      </c>
      <c r="BG11" s="17">
        <v>0</v>
      </c>
      <c r="BH11" s="17">
        <v>0</v>
      </c>
      <c r="BI11" s="17">
        <v>6.6609682987851899</v>
      </c>
      <c r="BJ11" s="15" t="s">
        <v>103</v>
      </c>
      <c r="BK11" s="16" t="s">
        <v>31</v>
      </c>
      <c r="BL11" s="17">
        <v>5.4438240994037788</v>
      </c>
      <c r="BM11" s="17">
        <v>3.7997803774285868</v>
      </c>
      <c r="BN11" s="17">
        <v>0</v>
      </c>
      <c r="BO11" s="17">
        <v>0</v>
      </c>
      <c r="BP11" s="17">
        <v>9.2436044768323651</v>
      </c>
      <c r="BQ11" s="15" t="s">
        <v>103</v>
      </c>
      <c r="BR11" s="16" t="s">
        <v>31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5" t="s">
        <v>103</v>
      </c>
      <c r="BY11" s="16" t="s">
        <v>31</v>
      </c>
      <c r="BZ11" s="17">
        <v>26.662538366181185</v>
      </c>
      <c r="CA11" s="17">
        <v>79.06119647821788</v>
      </c>
      <c r="CB11" s="17">
        <v>0</v>
      </c>
      <c r="CC11" s="17">
        <v>0</v>
      </c>
      <c r="CD11" s="17">
        <v>105.72373484439906</v>
      </c>
      <c r="CE11" s="15" t="s">
        <v>103</v>
      </c>
      <c r="CF11" s="16" t="s">
        <v>31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5" t="s">
        <v>103</v>
      </c>
      <c r="CM11" s="16" t="s">
        <v>31</v>
      </c>
      <c r="CN11" s="17">
        <v>0</v>
      </c>
      <c r="CO11" s="17">
        <v>0</v>
      </c>
      <c r="CP11" s="17">
        <v>0</v>
      </c>
      <c r="CQ11" s="17">
        <v>0</v>
      </c>
      <c r="CR11" s="17">
        <v>0</v>
      </c>
      <c r="CS11" s="15" t="s">
        <v>103</v>
      </c>
      <c r="CT11" s="16" t="s">
        <v>31</v>
      </c>
      <c r="CU11" s="17">
        <v>14.996101460059133</v>
      </c>
      <c r="CV11" s="17">
        <v>10.540259481072376</v>
      </c>
      <c r="CW11" s="17">
        <v>0</v>
      </c>
      <c r="CX11" s="17">
        <v>0</v>
      </c>
      <c r="CY11" s="17">
        <v>25.536360941131509</v>
      </c>
      <c r="CZ11" s="15" t="s">
        <v>103</v>
      </c>
      <c r="DA11" s="16" t="s">
        <v>31</v>
      </c>
      <c r="DB11" s="17">
        <v>0</v>
      </c>
      <c r="DC11" s="17">
        <v>0</v>
      </c>
      <c r="DD11" s="17">
        <v>0</v>
      </c>
      <c r="DE11" s="17">
        <v>0</v>
      </c>
      <c r="DF11" s="17">
        <v>0</v>
      </c>
      <c r="DG11" s="15" t="s">
        <v>103</v>
      </c>
      <c r="DH11" s="16" t="s">
        <v>31</v>
      </c>
      <c r="DI11" s="17">
        <v>11.406404952483955</v>
      </c>
      <c r="DJ11" s="17">
        <v>8.0588730642549695</v>
      </c>
      <c r="DK11" s="17">
        <v>0</v>
      </c>
      <c r="DL11" s="17">
        <v>0</v>
      </c>
      <c r="DM11" s="17">
        <v>19.465278016738925</v>
      </c>
      <c r="DN11" s="15" t="s">
        <v>103</v>
      </c>
      <c r="DO11" s="16" t="s">
        <v>31</v>
      </c>
      <c r="DP11" s="17">
        <v>32.995287548187825</v>
      </c>
      <c r="DQ11" s="17">
        <v>4.2778237383843862</v>
      </c>
      <c r="DR11" s="17">
        <v>0</v>
      </c>
      <c r="DS11" s="17">
        <v>0</v>
      </c>
      <c r="DT11" s="17">
        <v>37.27311128657221</v>
      </c>
      <c r="DU11" s="15" t="s">
        <v>103</v>
      </c>
      <c r="DV11" s="16" t="s">
        <v>31</v>
      </c>
      <c r="DW11" s="17">
        <v>28.773347149941827</v>
      </c>
      <c r="DX11" s="17">
        <v>3.0650374389018205</v>
      </c>
      <c r="DY11" s="17">
        <v>3.6089597404551217</v>
      </c>
      <c r="DZ11" s="17">
        <v>0</v>
      </c>
      <c r="EA11" s="17">
        <v>35.447344329298772</v>
      </c>
      <c r="EB11" s="15" t="s">
        <v>103</v>
      </c>
      <c r="EC11" s="16" t="s">
        <v>31</v>
      </c>
      <c r="ED11" s="17">
        <v>256.88016864187227</v>
      </c>
      <c r="EE11" s="17">
        <v>32.422691453974991</v>
      </c>
      <c r="EF11" s="17">
        <v>0</v>
      </c>
      <c r="EG11" s="17">
        <v>0</v>
      </c>
      <c r="EH11" s="17">
        <v>289.30286009584728</v>
      </c>
    </row>
    <row r="12" spans="1:138" ht="10.199999999999999" customHeight="1" x14ac:dyDescent="0.25">
      <c r="A12" s="15" t="s">
        <v>99</v>
      </c>
      <c r="B12" s="16" t="s">
        <v>27</v>
      </c>
      <c r="C12" s="17">
        <f t="shared" si="4"/>
        <v>35.73387772485264</v>
      </c>
      <c r="D12" s="17">
        <f t="shared" si="5"/>
        <v>4.1843866293382027E-2</v>
      </c>
      <c r="E12" s="17">
        <f t="shared" si="6"/>
        <v>0</v>
      </c>
      <c r="F12" s="17">
        <f t="shared" si="7"/>
        <v>229.86480115380476</v>
      </c>
      <c r="G12" s="17">
        <f t="shared" si="8"/>
        <v>46.337663329681085</v>
      </c>
      <c r="H12" s="17">
        <f t="shared" si="9"/>
        <v>0</v>
      </c>
      <c r="I12" s="17">
        <f t="shared" si="10"/>
        <v>110.91902386670753</v>
      </c>
      <c r="J12" s="17">
        <f t="shared" si="11"/>
        <v>4.1843866293382027E-2</v>
      </c>
      <c r="K12" s="17">
        <f t="shared" si="12"/>
        <v>85.140964637409112</v>
      </c>
      <c r="L12" s="17">
        <f t="shared" si="13"/>
        <v>49.139408029642695</v>
      </c>
      <c r="M12" s="17">
        <f t="shared" si="14"/>
        <v>294.48826989742162</v>
      </c>
      <c r="N12" s="17">
        <f t="shared" si="15"/>
        <v>62.680960155105915</v>
      </c>
      <c r="O12" s="17">
        <f t="shared" si="16"/>
        <v>914.38865652721222</v>
      </c>
      <c r="P12" s="15" t="s">
        <v>99</v>
      </c>
      <c r="Q12" s="16" t="s">
        <v>27</v>
      </c>
      <c r="R12" s="17">
        <f t="shared" si="17"/>
        <v>35.73387772485264</v>
      </c>
      <c r="S12" s="17">
        <f t="shared" si="18"/>
        <v>4.1843866293382027E-2</v>
      </c>
      <c r="T12" s="17">
        <f t="shared" si="19"/>
        <v>0</v>
      </c>
      <c r="U12" s="17">
        <f t="shared" si="20"/>
        <v>229.86480115380476</v>
      </c>
      <c r="V12" s="17">
        <f t="shared" si="21"/>
        <v>46.337663329681085</v>
      </c>
      <c r="W12" s="17">
        <f t="shared" si="22"/>
        <v>0</v>
      </c>
      <c r="X12" s="17">
        <f t="shared" si="23"/>
        <v>110.91902386670753</v>
      </c>
      <c r="Y12" s="17">
        <f t="shared" si="24"/>
        <v>4.1843866293382027E-2</v>
      </c>
      <c r="Z12" s="17">
        <f t="shared" si="25"/>
        <v>85.140964637409112</v>
      </c>
      <c r="AA12" s="17">
        <f t="shared" si="26"/>
        <v>49.139408029642695</v>
      </c>
      <c r="AB12" s="17">
        <f t="shared" si="27"/>
        <v>557.21942647468461</v>
      </c>
      <c r="AC12" s="15" t="s">
        <v>99</v>
      </c>
      <c r="AD12" s="16" t="s">
        <v>27</v>
      </c>
      <c r="AE12" s="17">
        <f t="shared" si="28"/>
        <v>294.48826989742162</v>
      </c>
      <c r="AF12" s="17">
        <f t="shared" si="29"/>
        <v>62.680960155105915</v>
      </c>
      <c r="AG12" s="17">
        <f t="shared" si="30"/>
        <v>357.16923005252755</v>
      </c>
      <c r="AH12" s="15" t="s">
        <v>99</v>
      </c>
      <c r="AI12" s="16" t="s">
        <v>27</v>
      </c>
      <c r="AJ12" s="17">
        <f t="shared" si="31"/>
        <v>562.83790427811653</v>
      </c>
      <c r="AK12" s="17">
        <f t="shared" si="32"/>
        <v>303.94598407067821</v>
      </c>
      <c r="AL12" s="17">
        <f t="shared" si="33"/>
        <v>47.562924312124075</v>
      </c>
      <c r="AM12" s="17">
        <f t="shared" si="34"/>
        <v>4.1843866293382027E-2</v>
      </c>
      <c r="AN12" s="17">
        <f t="shared" si="35"/>
        <v>914.38865652721222</v>
      </c>
      <c r="AO12" s="15" t="s">
        <v>99</v>
      </c>
      <c r="AP12" s="16" t="s">
        <v>27</v>
      </c>
      <c r="AQ12" s="17">
        <f t="shared" si="36"/>
        <v>271.90555547119294</v>
      </c>
      <c r="AR12" s="17">
        <f t="shared" si="37"/>
        <v>256.41893438923972</v>
      </c>
      <c r="AS12" s="17">
        <f t="shared" si="38"/>
        <v>28.894936614251971</v>
      </c>
      <c r="AT12" s="17">
        <f t="shared" si="39"/>
        <v>0</v>
      </c>
      <c r="AU12" s="17">
        <f t="shared" si="40"/>
        <v>557.21942647468461</v>
      </c>
      <c r="AV12" s="15" t="s">
        <v>99</v>
      </c>
      <c r="AW12" s="16" t="s">
        <v>27</v>
      </c>
      <c r="AX12" s="17">
        <f t="shared" si="41"/>
        <v>290.93234880692359</v>
      </c>
      <c r="AY12" s="17">
        <f t="shared" si="42"/>
        <v>47.527049681438484</v>
      </c>
      <c r="AZ12" s="17">
        <f t="shared" si="43"/>
        <v>18.667987697872103</v>
      </c>
      <c r="BA12" s="17">
        <f t="shared" si="44"/>
        <v>4.1843866293382027E-2</v>
      </c>
      <c r="BB12" s="17">
        <f t="shared" si="45"/>
        <v>357.16923005252755</v>
      </c>
      <c r="BC12" s="15" t="s">
        <v>99</v>
      </c>
      <c r="BD12" s="16" t="s">
        <v>27</v>
      </c>
      <c r="BE12" s="17">
        <v>31.935928336116618</v>
      </c>
      <c r="BF12" s="17">
        <v>3.7979493887360238</v>
      </c>
      <c r="BG12" s="17">
        <v>0</v>
      </c>
      <c r="BH12" s="17">
        <v>0</v>
      </c>
      <c r="BI12" s="17">
        <v>35.73387772485264</v>
      </c>
      <c r="BJ12" s="15" t="s">
        <v>99</v>
      </c>
      <c r="BK12" s="16" t="s">
        <v>27</v>
      </c>
      <c r="BL12" s="17">
        <v>0</v>
      </c>
      <c r="BM12" s="17">
        <v>0</v>
      </c>
      <c r="BN12" s="17">
        <v>4.1843866293382027E-2</v>
      </c>
      <c r="BO12" s="17">
        <v>0</v>
      </c>
      <c r="BP12" s="17">
        <v>4.1843866293382027E-2</v>
      </c>
      <c r="BQ12" s="15" t="s">
        <v>99</v>
      </c>
      <c r="BR12" s="16" t="s">
        <v>27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5" t="s">
        <v>99</v>
      </c>
      <c r="BY12" s="16" t="s">
        <v>27</v>
      </c>
      <c r="BZ12" s="17">
        <v>82.604166455767626</v>
      </c>
      <c r="CA12" s="17">
        <v>131.03098444279701</v>
      </c>
      <c r="CB12" s="17">
        <v>16.229650255240117</v>
      </c>
      <c r="CC12" s="17">
        <v>0</v>
      </c>
      <c r="CD12" s="17">
        <v>229.86480115380476</v>
      </c>
      <c r="CE12" s="15" t="s">
        <v>99</v>
      </c>
      <c r="CF12" s="16" t="s">
        <v>27</v>
      </c>
      <c r="CG12" s="17">
        <v>37.912633633375435</v>
      </c>
      <c r="CH12" s="17">
        <v>8.4250296963056517</v>
      </c>
      <c r="CI12" s="17">
        <v>0</v>
      </c>
      <c r="CJ12" s="17">
        <v>0</v>
      </c>
      <c r="CK12" s="17">
        <v>46.337663329681085</v>
      </c>
      <c r="CL12" s="15" t="s">
        <v>99</v>
      </c>
      <c r="CM12" s="16" t="s">
        <v>27</v>
      </c>
      <c r="CN12" s="17">
        <v>0</v>
      </c>
      <c r="CO12" s="17">
        <v>0</v>
      </c>
      <c r="CP12" s="17">
        <v>0</v>
      </c>
      <c r="CQ12" s="17">
        <v>0</v>
      </c>
      <c r="CR12" s="17">
        <v>0</v>
      </c>
      <c r="CS12" s="15" t="s">
        <v>99</v>
      </c>
      <c r="CT12" s="16" t="s">
        <v>27</v>
      </c>
      <c r="CU12" s="17">
        <v>22.179200618121151</v>
      </c>
      <c r="CV12" s="17">
        <v>76.158224622161299</v>
      </c>
      <c r="CW12" s="17">
        <v>12.581598626425087</v>
      </c>
      <c r="CX12" s="17">
        <v>0</v>
      </c>
      <c r="CY12" s="17">
        <v>110.91902386670753</v>
      </c>
      <c r="CZ12" s="15" t="s">
        <v>99</v>
      </c>
      <c r="DA12" s="16" t="s">
        <v>27</v>
      </c>
      <c r="DB12" s="17">
        <v>72.538420415760598</v>
      </c>
      <c r="DC12" s="17">
        <v>12.560700355355145</v>
      </c>
      <c r="DD12" s="17">
        <v>4.1843866293382027E-2</v>
      </c>
      <c r="DE12" s="17">
        <v>0</v>
      </c>
      <c r="DF12" s="17">
        <v>85.140964637409112</v>
      </c>
      <c r="DG12" s="15" t="s">
        <v>99</v>
      </c>
      <c r="DH12" s="16" t="s">
        <v>27</v>
      </c>
      <c r="DI12" s="17">
        <v>4.1843866293382027E-2</v>
      </c>
      <c r="DJ12" s="17">
        <v>0</v>
      </c>
      <c r="DK12" s="17">
        <v>0</v>
      </c>
      <c r="DL12" s="17">
        <v>0</v>
      </c>
      <c r="DM12" s="17">
        <v>4.1843866293382027E-2</v>
      </c>
      <c r="DN12" s="15" t="s">
        <v>99</v>
      </c>
      <c r="DO12" s="16" t="s">
        <v>27</v>
      </c>
      <c r="DP12" s="17">
        <v>24.693362145758101</v>
      </c>
      <c r="DQ12" s="17">
        <v>24.446045883884597</v>
      </c>
      <c r="DR12" s="17">
        <v>0</v>
      </c>
      <c r="DS12" s="17">
        <v>0</v>
      </c>
      <c r="DT12" s="17">
        <v>49.139408029642695</v>
      </c>
      <c r="DU12" s="15" t="s">
        <v>99</v>
      </c>
      <c r="DV12" s="16" t="s">
        <v>27</v>
      </c>
      <c r="DW12" s="17">
        <v>39.734172671427402</v>
      </c>
      <c r="DX12" s="17">
        <v>10.360973355571158</v>
      </c>
      <c r="DY12" s="17">
        <v>12.543970261813966</v>
      </c>
      <c r="DZ12" s="17">
        <v>4.1843866293382027E-2</v>
      </c>
      <c r="EA12" s="17">
        <v>62.680960155105915</v>
      </c>
      <c r="EB12" s="15" t="s">
        <v>99</v>
      </c>
      <c r="EC12" s="16" t="s">
        <v>27</v>
      </c>
      <c r="ED12" s="17">
        <v>251.19817613549617</v>
      </c>
      <c r="EE12" s="17">
        <v>37.16607632586733</v>
      </c>
      <c r="EF12" s="17">
        <v>6.1240174360581383</v>
      </c>
      <c r="EG12" s="17">
        <v>0</v>
      </c>
      <c r="EH12" s="17">
        <v>294.48826989742162</v>
      </c>
    </row>
    <row r="13" spans="1:138" ht="10.199999999999999" customHeight="1" x14ac:dyDescent="0.25">
      <c r="A13" s="15" t="s">
        <v>94</v>
      </c>
      <c r="B13" s="16" t="s">
        <v>22</v>
      </c>
      <c r="C13" s="17">
        <f t="shared" si="4"/>
        <v>0</v>
      </c>
      <c r="D13" s="17">
        <f t="shared" si="5"/>
        <v>7.1599167442456011</v>
      </c>
      <c r="E13" s="17">
        <f t="shared" si="6"/>
        <v>20.675529824450525</v>
      </c>
      <c r="F13" s="17">
        <f t="shared" si="7"/>
        <v>96.646632477664241</v>
      </c>
      <c r="G13" s="17">
        <f t="shared" si="8"/>
        <v>7.7342234356768582</v>
      </c>
      <c r="H13" s="17">
        <f t="shared" si="9"/>
        <v>12.398889139678786</v>
      </c>
      <c r="I13" s="17">
        <f t="shared" si="10"/>
        <v>61.397216776891661</v>
      </c>
      <c r="J13" s="17">
        <f t="shared" si="11"/>
        <v>110.32210105501052</v>
      </c>
      <c r="K13" s="17">
        <f t="shared" si="12"/>
        <v>74.337667795136355</v>
      </c>
      <c r="L13" s="17">
        <f t="shared" si="13"/>
        <v>284.54838589092236</v>
      </c>
      <c r="M13" s="17">
        <f t="shared" si="14"/>
        <v>1370.1906654565271</v>
      </c>
      <c r="N13" s="17">
        <f t="shared" si="15"/>
        <v>50.765908848805452</v>
      </c>
      <c r="O13" s="17">
        <f t="shared" si="16"/>
        <v>2096.1771374450095</v>
      </c>
      <c r="P13" s="15" t="s">
        <v>94</v>
      </c>
      <c r="Q13" s="16" t="s">
        <v>22</v>
      </c>
      <c r="R13" s="17">
        <f t="shared" si="17"/>
        <v>0</v>
      </c>
      <c r="S13" s="17">
        <f t="shared" si="18"/>
        <v>7.1599167442456011</v>
      </c>
      <c r="T13" s="17">
        <f t="shared" si="19"/>
        <v>20.675529824450525</v>
      </c>
      <c r="U13" s="17">
        <f t="shared" si="20"/>
        <v>96.646632477664241</v>
      </c>
      <c r="V13" s="17">
        <f t="shared" si="21"/>
        <v>7.7342234356768582</v>
      </c>
      <c r="W13" s="17">
        <f t="shared" si="22"/>
        <v>12.398889139678786</v>
      </c>
      <c r="X13" s="17">
        <f t="shared" si="23"/>
        <v>61.397216776891661</v>
      </c>
      <c r="Y13" s="17">
        <f t="shared" si="24"/>
        <v>110.32210105501052</v>
      </c>
      <c r="Z13" s="17">
        <f t="shared" si="25"/>
        <v>74.337667795136355</v>
      </c>
      <c r="AA13" s="17">
        <f t="shared" si="26"/>
        <v>284.54838589092236</v>
      </c>
      <c r="AB13" s="17">
        <f t="shared" si="27"/>
        <v>675.22056313967687</v>
      </c>
      <c r="AC13" s="15" t="s">
        <v>94</v>
      </c>
      <c r="AD13" s="16" t="s">
        <v>22</v>
      </c>
      <c r="AE13" s="17">
        <f t="shared" si="28"/>
        <v>1370.1906654565271</v>
      </c>
      <c r="AF13" s="17">
        <f t="shared" si="29"/>
        <v>50.765908848805452</v>
      </c>
      <c r="AG13" s="17">
        <f t="shared" si="30"/>
        <v>1420.9565743053327</v>
      </c>
      <c r="AH13" s="15" t="s">
        <v>94</v>
      </c>
      <c r="AI13" s="16" t="s">
        <v>22</v>
      </c>
      <c r="AJ13" s="17">
        <f t="shared" si="31"/>
        <v>1808.7114250098402</v>
      </c>
      <c r="AK13" s="17">
        <f t="shared" si="32"/>
        <v>104.13305597536286</v>
      </c>
      <c r="AL13" s="17">
        <f t="shared" si="33"/>
        <v>30.265765546101662</v>
      </c>
      <c r="AM13" s="17">
        <f t="shared" si="34"/>
        <v>153.06689091370492</v>
      </c>
      <c r="AN13" s="17">
        <f t="shared" si="35"/>
        <v>2096.1771374450095</v>
      </c>
      <c r="AO13" s="15" t="s">
        <v>94</v>
      </c>
      <c r="AP13" s="16" t="s">
        <v>22</v>
      </c>
      <c r="AQ13" s="17">
        <f t="shared" si="36"/>
        <v>448.55788502522341</v>
      </c>
      <c r="AR13" s="17">
        <f t="shared" si="37"/>
        <v>49.581084852407237</v>
      </c>
      <c r="AS13" s="17">
        <f t="shared" si="38"/>
        <v>30.265765546101662</v>
      </c>
      <c r="AT13" s="17">
        <f t="shared" si="39"/>
        <v>146.81582771594464</v>
      </c>
      <c r="AU13" s="17">
        <f t="shared" si="40"/>
        <v>675.22056313967687</v>
      </c>
      <c r="AV13" s="15" t="s">
        <v>94</v>
      </c>
      <c r="AW13" s="16" t="s">
        <v>22</v>
      </c>
      <c r="AX13" s="17">
        <f t="shared" si="41"/>
        <v>1360.1535399846168</v>
      </c>
      <c r="AY13" s="17">
        <f t="shared" si="42"/>
        <v>54.551971122955628</v>
      </c>
      <c r="AZ13" s="17">
        <f t="shared" si="43"/>
        <v>0</v>
      </c>
      <c r="BA13" s="17">
        <f t="shared" si="44"/>
        <v>6.251063197760292</v>
      </c>
      <c r="BB13" s="17">
        <f t="shared" si="45"/>
        <v>1420.9565743053327</v>
      </c>
      <c r="BC13" s="15" t="s">
        <v>94</v>
      </c>
      <c r="BD13" s="16" t="s">
        <v>22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5" t="s">
        <v>94</v>
      </c>
      <c r="BK13" s="16" t="s">
        <v>22</v>
      </c>
      <c r="BL13" s="17">
        <v>3.3601363668170143</v>
      </c>
      <c r="BM13" s="17">
        <v>0</v>
      </c>
      <c r="BN13" s="17">
        <v>0</v>
      </c>
      <c r="BO13" s="17">
        <v>3.7997803774285868</v>
      </c>
      <c r="BP13" s="17">
        <v>7.1599167442456011</v>
      </c>
      <c r="BQ13" s="15" t="s">
        <v>94</v>
      </c>
      <c r="BR13" s="16" t="s">
        <v>22</v>
      </c>
      <c r="BS13" s="17">
        <v>0</v>
      </c>
      <c r="BT13" s="17">
        <v>1.0337764912225262</v>
      </c>
      <c r="BU13" s="17">
        <v>3.1013294736675787</v>
      </c>
      <c r="BV13" s="17">
        <v>16.54042385956042</v>
      </c>
      <c r="BW13" s="17">
        <v>20.675529824450525</v>
      </c>
      <c r="BX13" s="15" t="s">
        <v>94</v>
      </c>
      <c r="BY13" s="16" t="s">
        <v>22</v>
      </c>
      <c r="BZ13" s="17">
        <v>49.914376132586682</v>
      </c>
      <c r="CA13" s="17">
        <v>23.339003721388224</v>
      </c>
      <c r="CB13" s="17">
        <v>0</v>
      </c>
      <c r="CC13" s="17">
        <v>23.393252623689332</v>
      </c>
      <c r="CD13" s="17">
        <v>96.646632477664241</v>
      </c>
      <c r="CE13" s="15" t="s">
        <v>94</v>
      </c>
      <c r="CF13" s="16" t="s">
        <v>22</v>
      </c>
      <c r="CG13" s="17">
        <v>3.0590585230662204</v>
      </c>
      <c r="CH13" s="17">
        <v>4.6751649126106383</v>
      </c>
      <c r="CI13" s="17">
        <v>0</v>
      </c>
      <c r="CJ13" s="17">
        <v>0</v>
      </c>
      <c r="CK13" s="17">
        <v>7.7342234356768582</v>
      </c>
      <c r="CL13" s="15" t="s">
        <v>94</v>
      </c>
      <c r="CM13" s="16" t="s">
        <v>22</v>
      </c>
      <c r="CN13" s="17">
        <v>0</v>
      </c>
      <c r="CO13" s="17">
        <v>0</v>
      </c>
      <c r="CP13" s="17">
        <v>5.0112689968711672</v>
      </c>
      <c r="CQ13" s="17">
        <v>7.3876201428076183</v>
      </c>
      <c r="CR13" s="17">
        <v>12.398889139678786</v>
      </c>
      <c r="CS13" s="15" t="s">
        <v>94</v>
      </c>
      <c r="CT13" s="16" t="s">
        <v>22</v>
      </c>
      <c r="CU13" s="17">
        <v>59.271685178011516</v>
      </c>
      <c r="CV13" s="17">
        <v>2.125531598880146</v>
      </c>
      <c r="CW13" s="17">
        <v>0</v>
      </c>
      <c r="CX13" s="17">
        <v>0</v>
      </c>
      <c r="CY13" s="17">
        <v>61.397216776891661</v>
      </c>
      <c r="CZ13" s="15" t="s">
        <v>94</v>
      </c>
      <c r="DA13" s="16" t="s">
        <v>22</v>
      </c>
      <c r="DB13" s="17">
        <v>41.191973987133274</v>
      </c>
      <c r="DC13" s="17">
        <v>12.004252791041168</v>
      </c>
      <c r="DD13" s="17">
        <v>14.094294011307944</v>
      </c>
      <c r="DE13" s="17">
        <v>7.0471470056539722</v>
      </c>
      <c r="DF13" s="17">
        <v>74.337667795136355</v>
      </c>
      <c r="DG13" s="15" t="s">
        <v>94</v>
      </c>
      <c r="DH13" s="16" t="s">
        <v>22</v>
      </c>
      <c r="DI13" s="17">
        <v>11.531936551364101</v>
      </c>
      <c r="DJ13" s="17">
        <v>2.083687732586764</v>
      </c>
      <c r="DK13" s="17">
        <v>8.0588730642549695</v>
      </c>
      <c r="DL13" s="17">
        <v>88.647603706804688</v>
      </c>
      <c r="DM13" s="17">
        <v>110.32210105501052</v>
      </c>
      <c r="DN13" s="15" t="s">
        <v>94</v>
      </c>
      <c r="DO13" s="16" t="s">
        <v>22</v>
      </c>
      <c r="DP13" s="17">
        <v>280.2287182862446</v>
      </c>
      <c r="DQ13" s="17">
        <v>4.3196676046777673</v>
      </c>
      <c r="DR13" s="17">
        <v>0</v>
      </c>
      <c r="DS13" s="17">
        <v>0</v>
      </c>
      <c r="DT13" s="17">
        <v>284.54838589092236</v>
      </c>
      <c r="DU13" s="15" t="s">
        <v>94</v>
      </c>
      <c r="DV13" s="16" t="s">
        <v>22</v>
      </c>
      <c r="DW13" s="17">
        <v>43.47300178475178</v>
      </c>
      <c r="DX13" s="17">
        <v>1.041843866293382</v>
      </c>
      <c r="DY13" s="17">
        <v>0</v>
      </c>
      <c r="DZ13" s="17">
        <v>6.251063197760292</v>
      </c>
      <c r="EA13" s="17">
        <v>50.765908848805452</v>
      </c>
      <c r="EB13" s="15" t="s">
        <v>94</v>
      </c>
      <c r="EC13" s="16" t="s">
        <v>22</v>
      </c>
      <c r="ED13" s="17">
        <v>1316.6805381998649</v>
      </c>
      <c r="EE13" s="17">
        <v>53.510127256662244</v>
      </c>
      <c r="EF13" s="17">
        <v>0</v>
      </c>
      <c r="EG13" s="17">
        <v>0</v>
      </c>
      <c r="EH13" s="17">
        <v>1370.1906654565271</v>
      </c>
    </row>
    <row r="14" spans="1:138" ht="10.199999999999999" customHeight="1" x14ac:dyDescent="0.25">
      <c r="A14" s="15" t="s">
        <v>97</v>
      </c>
      <c r="B14" s="16" t="s">
        <v>25</v>
      </c>
      <c r="C14" s="17">
        <f t="shared" si="4"/>
        <v>0</v>
      </c>
      <c r="D14" s="17">
        <f t="shared" si="5"/>
        <v>6.7202727336340287</v>
      </c>
      <c r="E14" s="17">
        <f t="shared" si="6"/>
        <v>0</v>
      </c>
      <c r="F14" s="17">
        <f t="shared" si="7"/>
        <v>4.8505694416573677</v>
      </c>
      <c r="G14" s="17">
        <f t="shared" si="8"/>
        <v>0</v>
      </c>
      <c r="H14" s="17">
        <f t="shared" si="9"/>
        <v>0</v>
      </c>
      <c r="I14" s="17">
        <f t="shared" si="10"/>
        <v>4.1843866293382027E-2</v>
      </c>
      <c r="J14" s="17">
        <f t="shared" si="11"/>
        <v>0</v>
      </c>
      <c r="K14" s="17">
        <f t="shared" si="12"/>
        <v>0</v>
      </c>
      <c r="L14" s="17">
        <f t="shared" si="13"/>
        <v>39.608103595900623</v>
      </c>
      <c r="M14" s="17">
        <f t="shared" si="14"/>
        <v>822.86792664239488</v>
      </c>
      <c r="N14" s="17">
        <f t="shared" si="15"/>
        <v>31.358623245493327</v>
      </c>
      <c r="O14" s="17">
        <f t="shared" si="16"/>
        <v>905.44733952537354</v>
      </c>
      <c r="P14" s="15" t="s">
        <v>97</v>
      </c>
      <c r="Q14" s="16" t="s">
        <v>25</v>
      </c>
      <c r="R14" s="17">
        <f t="shared" si="17"/>
        <v>0</v>
      </c>
      <c r="S14" s="17">
        <f t="shared" si="18"/>
        <v>6.7202727336340287</v>
      </c>
      <c r="T14" s="17">
        <f t="shared" si="19"/>
        <v>0</v>
      </c>
      <c r="U14" s="17">
        <f t="shared" si="20"/>
        <v>4.8505694416573677</v>
      </c>
      <c r="V14" s="17">
        <f t="shared" si="21"/>
        <v>0</v>
      </c>
      <c r="W14" s="17">
        <f t="shared" si="22"/>
        <v>0</v>
      </c>
      <c r="X14" s="17">
        <f t="shared" si="23"/>
        <v>4.1843866293382027E-2</v>
      </c>
      <c r="Y14" s="17">
        <f t="shared" si="24"/>
        <v>0</v>
      </c>
      <c r="Z14" s="17">
        <f t="shared" si="25"/>
        <v>0</v>
      </c>
      <c r="AA14" s="17">
        <f t="shared" si="26"/>
        <v>39.608103595900623</v>
      </c>
      <c r="AB14" s="17">
        <f t="shared" si="27"/>
        <v>51.220789637485403</v>
      </c>
      <c r="AC14" s="15" t="s">
        <v>97</v>
      </c>
      <c r="AD14" s="16" t="s">
        <v>25</v>
      </c>
      <c r="AE14" s="17">
        <f t="shared" si="28"/>
        <v>822.86792664239488</v>
      </c>
      <c r="AF14" s="17">
        <f t="shared" si="29"/>
        <v>31.358623245493327</v>
      </c>
      <c r="AG14" s="17">
        <f t="shared" si="30"/>
        <v>854.22654988788815</v>
      </c>
      <c r="AH14" s="15" t="s">
        <v>97</v>
      </c>
      <c r="AI14" s="16" t="s">
        <v>25</v>
      </c>
      <c r="AJ14" s="17">
        <f t="shared" si="31"/>
        <v>905.44733952537354</v>
      </c>
      <c r="AK14" s="17">
        <f t="shared" si="32"/>
        <v>0</v>
      </c>
      <c r="AL14" s="17">
        <f t="shared" si="33"/>
        <v>0</v>
      </c>
      <c r="AM14" s="17">
        <f t="shared" si="34"/>
        <v>0</v>
      </c>
      <c r="AN14" s="17">
        <f t="shared" si="35"/>
        <v>905.44733952537354</v>
      </c>
      <c r="AO14" s="15" t="s">
        <v>97</v>
      </c>
      <c r="AP14" s="16" t="s">
        <v>25</v>
      </c>
      <c r="AQ14" s="17">
        <f t="shared" si="36"/>
        <v>51.220789637485403</v>
      </c>
      <c r="AR14" s="17">
        <f t="shared" si="37"/>
        <v>0</v>
      </c>
      <c r="AS14" s="17">
        <f t="shared" si="38"/>
        <v>0</v>
      </c>
      <c r="AT14" s="17">
        <f t="shared" si="39"/>
        <v>0</v>
      </c>
      <c r="AU14" s="17">
        <f t="shared" si="40"/>
        <v>51.220789637485403</v>
      </c>
      <c r="AV14" s="15" t="s">
        <v>97</v>
      </c>
      <c r="AW14" s="16" t="s">
        <v>25</v>
      </c>
      <c r="AX14" s="17">
        <f t="shared" si="41"/>
        <v>854.22654988788815</v>
      </c>
      <c r="AY14" s="17">
        <f t="shared" si="42"/>
        <v>0</v>
      </c>
      <c r="AZ14" s="17">
        <f t="shared" si="43"/>
        <v>0</v>
      </c>
      <c r="BA14" s="17">
        <f t="shared" si="44"/>
        <v>0</v>
      </c>
      <c r="BB14" s="17">
        <f t="shared" si="45"/>
        <v>854.22654988788815</v>
      </c>
      <c r="BC14" s="15" t="s">
        <v>97</v>
      </c>
      <c r="BD14" s="16" t="s">
        <v>25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5" t="s">
        <v>97</v>
      </c>
      <c r="BK14" s="16" t="s">
        <v>25</v>
      </c>
      <c r="BL14" s="17">
        <v>6.7202727336340287</v>
      </c>
      <c r="BM14" s="17">
        <v>0</v>
      </c>
      <c r="BN14" s="17">
        <v>0</v>
      </c>
      <c r="BO14" s="17">
        <v>0</v>
      </c>
      <c r="BP14" s="17">
        <v>6.7202727336340287</v>
      </c>
      <c r="BQ14" s="15" t="s">
        <v>97</v>
      </c>
      <c r="BR14" s="16" t="s">
        <v>25</v>
      </c>
      <c r="BS14" s="17">
        <v>0</v>
      </c>
      <c r="BT14" s="17">
        <v>0</v>
      </c>
      <c r="BU14" s="17">
        <v>0</v>
      </c>
      <c r="BV14" s="17">
        <v>0</v>
      </c>
      <c r="BW14" s="17">
        <v>0</v>
      </c>
      <c r="BX14" s="15" t="s">
        <v>97</v>
      </c>
      <c r="BY14" s="16" t="s">
        <v>25</v>
      </c>
      <c r="BZ14" s="17">
        <v>4.8505694416573677</v>
      </c>
      <c r="CA14" s="17">
        <v>0</v>
      </c>
      <c r="CB14" s="17">
        <v>0</v>
      </c>
      <c r="CC14" s="17">
        <v>0</v>
      </c>
      <c r="CD14" s="17">
        <v>4.8505694416573677</v>
      </c>
      <c r="CE14" s="15" t="s">
        <v>97</v>
      </c>
      <c r="CF14" s="16" t="s">
        <v>25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5" t="s">
        <v>97</v>
      </c>
      <c r="CM14" s="16" t="s">
        <v>25</v>
      </c>
      <c r="CN14" s="17">
        <v>0</v>
      </c>
      <c r="CO14" s="17">
        <v>0</v>
      </c>
      <c r="CP14" s="17">
        <v>0</v>
      </c>
      <c r="CQ14" s="17">
        <v>0</v>
      </c>
      <c r="CR14" s="17">
        <v>0</v>
      </c>
      <c r="CS14" s="15" t="s">
        <v>97</v>
      </c>
      <c r="CT14" s="16" t="s">
        <v>25</v>
      </c>
      <c r="CU14" s="17">
        <v>4.1843866293382027E-2</v>
      </c>
      <c r="CV14" s="17">
        <v>0</v>
      </c>
      <c r="CW14" s="17">
        <v>0</v>
      </c>
      <c r="CX14" s="17">
        <v>0</v>
      </c>
      <c r="CY14" s="17">
        <v>4.1843866293382027E-2</v>
      </c>
      <c r="CZ14" s="15" t="s">
        <v>97</v>
      </c>
      <c r="DA14" s="16" t="s">
        <v>25</v>
      </c>
      <c r="DB14" s="17">
        <v>0</v>
      </c>
      <c r="DC14" s="17">
        <v>0</v>
      </c>
      <c r="DD14" s="17">
        <v>0</v>
      </c>
      <c r="DE14" s="17">
        <v>0</v>
      </c>
      <c r="DF14" s="17">
        <v>0</v>
      </c>
      <c r="DG14" s="15" t="s">
        <v>97</v>
      </c>
      <c r="DH14" s="16" t="s">
        <v>25</v>
      </c>
      <c r="DI14" s="17">
        <v>0</v>
      </c>
      <c r="DJ14" s="17">
        <v>0</v>
      </c>
      <c r="DK14" s="17">
        <v>0</v>
      </c>
      <c r="DL14" s="17">
        <v>0</v>
      </c>
      <c r="DM14" s="17">
        <v>0</v>
      </c>
      <c r="DN14" s="15" t="s">
        <v>97</v>
      </c>
      <c r="DO14" s="16" t="s">
        <v>25</v>
      </c>
      <c r="DP14" s="17">
        <v>39.608103595900623</v>
      </c>
      <c r="DQ14" s="17">
        <v>0</v>
      </c>
      <c r="DR14" s="17">
        <v>0</v>
      </c>
      <c r="DS14" s="17">
        <v>0</v>
      </c>
      <c r="DT14" s="17">
        <v>39.608103595900623</v>
      </c>
      <c r="DU14" s="15" t="s">
        <v>97</v>
      </c>
      <c r="DV14" s="16" t="s">
        <v>25</v>
      </c>
      <c r="DW14" s="17">
        <v>31.358623245493327</v>
      </c>
      <c r="DX14" s="17">
        <v>0</v>
      </c>
      <c r="DY14" s="17">
        <v>0</v>
      </c>
      <c r="DZ14" s="17">
        <v>0</v>
      </c>
      <c r="EA14" s="17">
        <v>31.358623245493327</v>
      </c>
      <c r="EB14" s="15" t="s">
        <v>97</v>
      </c>
      <c r="EC14" s="16" t="s">
        <v>25</v>
      </c>
      <c r="ED14" s="17">
        <v>822.86792664239488</v>
      </c>
      <c r="EE14" s="17">
        <v>0</v>
      </c>
      <c r="EF14" s="17">
        <v>0</v>
      </c>
      <c r="EG14" s="17">
        <v>0</v>
      </c>
      <c r="EH14" s="17">
        <v>822.86792664239488</v>
      </c>
    </row>
    <row r="15" spans="1:138" ht="10.199999999999999" customHeight="1" x14ac:dyDescent="0.25">
      <c r="A15" s="15" t="s">
        <v>117</v>
      </c>
      <c r="B15" s="16" t="s">
        <v>45</v>
      </c>
      <c r="C15" s="17">
        <f t="shared" si="4"/>
        <v>0</v>
      </c>
      <c r="D15" s="17">
        <f t="shared" si="5"/>
        <v>0</v>
      </c>
      <c r="E15" s="17">
        <f t="shared" si="6"/>
        <v>3.1013294736675787</v>
      </c>
      <c r="F15" s="17">
        <f t="shared" si="7"/>
        <v>92.893063104875708</v>
      </c>
      <c r="G15" s="17">
        <f t="shared" si="8"/>
        <v>10.175116051167766</v>
      </c>
      <c r="H15" s="17">
        <f t="shared" si="9"/>
        <v>0</v>
      </c>
      <c r="I15" s="17">
        <f t="shared" si="10"/>
        <v>0</v>
      </c>
      <c r="J15" s="17">
        <f t="shared" si="11"/>
        <v>21.77096603867453</v>
      </c>
      <c r="K15" s="17">
        <f t="shared" si="12"/>
        <v>214.51783444482072</v>
      </c>
      <c r="L15" s="17">
        <f t="shared" si="13"/>
        <v>18.817940957205629</v>
      </c>
      <c r="M15" s="17">
        <f t="shared" si="14"/>
        <v>390.03585833905981</v>
      </c>
      <c r="N15" s="17">
        <f t="shared" si="15"/>
        <v>152.60251590607703</v>
      </c>
      <c r="O15" s="17">
        <f t="shared" si="16"/>
        <v>903.91462431554874</v>
      </c>
      <c r="P15" s="15" t="s">
        <v>117</v>
      </c>
      <c r="Q15" s="16" t="s">
        <v>45</v>
      </c>
      <c r="R15" s="17">
        <f t="shared" si="17"/>
        <v>0</v>
      </c>
      <c r="S15" s="17">
        <f t="shared" si="18"/>
        <v>0</v>
      </c>
      <c r="T15" s="17">
        <f t="shared" si="19"/>
        <v>3.1013294736675787</v>
      </c>
      <c r="U15" s="17">
        <f t="shared" si="20"/>
        <v>92.893063104875708</v>
      </c>
      <c r="V15" s="17">
        <f t="shared" si="21"/>
        <v>10.175116051167766</v>
      </c>
      <c r="W15" s="17">
        <f t="shared" si="22"/>
        <v>0</v>
      </c>
      <c r="X15" s="17">
        <f t="shared" si="23"/>
        <v>0</v>
      </c>
      <c r="Y15" s="17">
        <f t="shared" si="24"/>
        <v>21.77096603867453</v>
      </c>
      <c r="Z15" s="17">
        <f t="shared" si="25"/>
        <v>214.51783444482072</v>
      </c>
      <c r="AA15" s="17">
        <f t="shared" si="26"/>
        <v>18.817940957205629</v>
      </c>
      <c r="AB15" s="17">
        <f t="shared" si="27"/>
        <v>361.27625007041189</v>
      </c>
      <c r="AC15" s="15" t="s">
        <v>117</v>
      </c>
      <c r="AD15" s="16" t="s">
        <v>45</v>
      </c>
      <c r="AE15" s="17">
        <f t="shared" si="28"/>
        <v>390.03585833905981</v>
      </c>
      <c r="AF15" s="17">
        <f t="shared" si="29"/>
        <v>152.60251590607703</v>
      </c>
      <c r="AG15" s="17">
        <f t="shared" si="30"/>
        <v>542.6383742451369</v>
      </c>
      <c r="AH15" s="15" t="s">
        <v>117</v>
      </c>
      <c r="AI15" s="16" t="s">
        <v>45</v>
      </c>
      <c r="AJ15" s="17">
        <f t="shared" si="31"/>
        <v>342.63770978399157</v>
      </c>
      <c r="AK15" s="17">
        <f t="shared" si="32"/>
        <v>546.51864008357165</v>
      </c>
      <c r="AL15" s="17">
        <f t="shared" si="33"/>
        <v>9.5732572417312465</v>
      </c>
      <c r="AM15" s="17">
        <f t="shared" si="34"/>
        <v>5.1850172062543427</v>
      </c>
      <c r="AN15" s="17">
        <f t="shared" si="35"/>
        <v>903.91462431554874</v>
      </c>
      <c r="AO15" s="15" t="s">
        <v>117</v>
      </c>
      <c r="AP15" s="16" t="s">
        <v>45</v>
      </c>
      <c r="AQ15" s="17">
        <f t="shared" si="36"/>
        <v>197.49997155649834</v>
      </c>
      <c r="AR15" s="17">
        <f t="shared" si="37"/>
        <v>155.26906726368833</v>
      </c>
      <c r="AS15" s="17">
        <f t="shared" si="38"/>
        <v>5.4058817765577185</v>
      </c>
      <c r="AT15" s="17">
        <f t="shared" si="39"/>
        <v>3.1013294736675787</v>
      </c>
      <c r="AU15" s="17">
        <f t="shared" si="40"/>
        <v>361.27625007041195</v>
      </c>
      <c r="AV15" s="15" t="s">
        <v>117</v>
      </c>
      <c r="AW15" s="16" t="s">
        <v>45</v>
      </c>
      <c r="AX15" s="17">
        <f t="shared" si="41"/>
        <v>145.13773822749323</v>
      </c>
      <c r="AY15" s="17">
        <f t="shared" si="42"/>
        <v>391.24957281988338</v>
      </c>
      <c r="AZ15" s="17">
        <f t="shared" si="43"/>
        <v>4.167375465173528</v>
      </c>
      <c r="BA15" s="17">
        <f t="shared" si="44"/>
        <v>2.083687732586764</v>
      </c>
      <c r="BB15" s="17">
        <f t="shared" si="45"/>
        <v>542.63837424513702</v>
      </c>
      <c r="BC15" s="15" t="s">
        <v>117</v>
      </c>
      <c r="BD15" s="16" t="s">
        <v>45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5" t="s">
        <v>117</v>
      </c>
      <c r="BK15" s="16" t="s">
        <v>45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5" t="s">
        <v>117</v>
      </c>
      <c r="BR15" s="16" t="s">
        <v>45</v>
      </c>
      <c r="BS15" s="17">
        <v>0</v>
      </c>
      <c r="BT15" s="17">
        <v>0</v>
      </c>
      <c r="BU15" s="17">
        <v>0</v>
      </c>
      <c r="BV15" s="17">
        <v>3.1013294736675787</v>
      </c>
      <c r="BW15" s="17">
        <v>3.1013294736675787</v>
      </c>
      <c r="BX15" s="15" t="s">
        <v>117</v>
      </c>
      <c r="BY15" s="16" t="s">
        <v>45</v>
      </c>
      <c r="BZ15" s="17">
        <v>60.086114037178845</v>
      </c>
      <c r="CA15" s="17">
        <v>32.597729736229944</v>
      </c>
      <c r="CB15" s="17">
        <v>0.2092193314669101</v>
      </c>
      <c r="CC15" s="17">
        <v>0</v>
      </c>
      <c r="CD15" s="17">
        <v>92.893063104875708</v>
      </c>
      <c r="CE15" s="15" t="s">
        <v>117</v>
      </c>
      <c r="CF15" s="16" t="s">
        <v>45</v>
      </c>
      <c r="CG15" s="17">
        <v>8.0688586270913536</v>
      </c>
      <c r="CH15" s="17">
        <v>2.1062574240764129</v>
      </c>
      <c r="CI15" s="17">
        <v>0</v>
      </c>
      <c r="CJ15" s="17">
        <v>0</v>
      </c>
      <c r="CK15" s="17">
        <v>10.175116051167766</v>
      </c>
      <c r="CL15" s="15" t="s">
        <v>117</v>
      </c>
      <c r="CM15" s="16" t="s">
        <v>45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5" t="s">
        <v>117</v>
      </c>
      <c r="CT15" s="16" t="s">
        <v>45</v>
      </c>
      <c r="CU15" s="17">
        <v>0</v>
      </c>
      <c r="CV15" s="17">
        <v>0</v>
      </c>
      <c r="CW15" s="17">
        <v>0</v>
      </c>
      <c r="CX15" s="17">
        <v>0</v>
      </c>
      <c r="CY15" s="17">
        <v>0</v>
      </c>
      <c r="CZ15" s="15" t="s">
        <v>117</v>
      </c>
      <c r="DA15" s="16" t="s">
        <v>45</v>
      </c>
      <c r="DB15" s="17">
        <v>88.756091896347954</v>
      </c>
      <c r="DC15" s="17">
        <v>120.56508010338197</v>
      </c>
      <c r="DD15" s="17">
        <v>5.1966624450908085</v>
      </c>
      <c r="DE15" s="17">
        <v>0</v>
      </c>
      <c r="DF15" s="17">
        <v>214.51783444482072</v>
      </c>
      <c r="DG15" s="15" t="s">
        <v>117</v>
      </c>
      <c r="DH15" s="16" t="s">
        <v>45</v>
      </c>
      <c r="DI15" s="17">
        <v>21.77096603867453</v>
      </c>
      <c r="DJ15" s="17">
        <v>0</v>
      </c>
      <c r="DK15" s="17">
        <v>0</v>
      </c>
      <c r="DL15" s="17">
        <v>0</v>
      </c>
      <c r="DM15" s="17">
        <v>21.77096603867453</v>
      </c>
      <c r="DN15" s="15" t="s">
        <v>117</v>
      </c>
      <c r="DO15" s="16" t="s">
        <v>45</v>
      </c>
      <c r="DP15" s="17">
        <v>18.817940957205629</v>
      </c>
      <c r="DQ15" s="17">
        <v>0</v>
      </c>
      <c r="DR15" s="17">
        <v>0</v>
      </c>
      <c r="DS15" s="17">
        <v>0</v>
      </c>
      <c r="DT15" s="17">
        <v>18.817940957205629</v>
      </c>
      <c r="DU15" s="15" t="s">
        <v>117</v>
      </c>
      <c r="DV15" s="16" t="s">
        <v>45</v>
      </c>
      <c r="DW15" s="17">
        <v>34.348169155327845</v>
      </c>
      <c r="DX15" s="17">
        <v>112.0032835529889</v>
      </c>
      <c r="DY15" s="17">
        <v>4.167375465173528</v>
      </c>
      <c r="DZ15" s="17">
        <v>2.083687732586764</v>
      </c>
      <c r="EA15" s="17">
        <v>152.60251590607703</v>
      </c>
      <c r="EB15" s="15" t="s">
        <v>117</v>
      </c>
      <c r="EC15" s="16" t="s">
        <v>45</v>
      </c>
      <c r="ED15" s="17">
        <v>110.78956907216538</v>
      </c>
      <c r="EE15" s="17">
        <v>279.24628926689445</v>
      </c>
      <c r="EF15" s="17">
        <v>0</v>
      </c>
      <c r="EG15" s="17">
        <v>0</v>
      </c>
      <c r="EH15" s="17">
        <v>390.03585833905981</v>
      </c>
    </row>
    <row r="16" spans="1:138" ht="10.199999999999999" customHeight="1" x14ac:dyDescent="0.25">
      <c r="A16" s="15" t="s">
        <v>114</v>
      </c>
      <c r="B16" s="16" t="s">
        <v>42</v>
      </c>
      <c r="C16" s="17">
        <f t="shared" si="4"/>
        <v>16.045244734256737</v>
      </c>
      <c r="D16" s="17">
        <f t="shared" si="5"/>
        <v>4.9134369176091157</v>
      </c>
      <c r="E16" s="17">
        <f t="shared" si="6"/>
        <v>2.0675529824450525</v>
      </c>
      <c r="F16" s="17">
        <f t="shared" si="7"/>
        <v>57.397339867396298</v>
      </c>
      <c r="G16" s="17">
        <f t="shared" si="8"/>
        <v>8.3687732586764055E-2</v>
      </c>
      <c r="H16" s="17">
        <f t="shared" si="9"/>
        <v>0</v>
      </c>
      <c r="I16" s="17">
        <f t="shared" si="10"/>
        <v>88.06938301767002</v>
      </c>
      <c r="J16" s="17">
        <f t="shared" si="11"/>
        <v>8.8700732204748363</v>
      </c>
      <c r="K16" s="17">
        <f t="shared" si="12"/>
        <v>37.874072234084089</v>
      </c>
      <c r="L16" s="17">
        <f t="shared" si="13"/>
        <v>38.859152136669358</v>
      </c>
      <c r="M16" s="17">
        <f t="shared" si="14"/>
        <v>1071.2050018449149</v>
      </c>
      <c r="N16" s="17">
        <f t="shared" si="15"/>
        <v>5.9955071122132217</v>
      </c>
      <c r="O16" s="17">
        <f t="shared" si="16"/>
        <v>1331.3804518003205</v>
      </c>
      <c r="P16" s="15" t="s">
        <v>114</v>
      </c>
      <c r="Q16" s="16" t="s">
        <v>42</v>
      </c>
      <c r="R16" s="17">
        <f t="shared" si="17"/>
        <v>16.045244734256737</v>
      </c>
      <c r="S16" s="17">
        <f t="shared" si="18"/>
        <v>4.9134369176091157</v>
      </c>
      <c r="T16" s="17">
        <f t="shared" si="19"/>
        <v>2.0675529824450525</v>
      </c>
      <c r="U16" s="17">
        <f t="shared" si="20"/>
        <v>57.397339867396298</v>
      </c>
      <c r="V16" s="17">
        <f t="shared" si="21"/>
        <v>8.3687732586764055E-2</v>
      </c>
      <c r="W16" s="17">
        <f t="shared" si="22"/>
        <v>0</v>
      </c>
      <c r="X16" s="17">
        <f t="shared" si="23"/>
        <v>88.06938301767002</v>
      </c>
      <c r="Y16" s="17">
        <f t="shared" si="24"/>
        <v>8.8700732204748363</v>
      </c>
      <c r="Z16" s="17">
        <f t="shared" si="25"/>
        <v>37.874072234084089</v>
      </c>
      <c r="AA16" s="17">
        <f t="shared" si="26"/>
        <v>38.859152136669358</v>
      </c>
      <c r="AB16" s="17">
        <f t="shared" si="27"/>
        <v>254.17994284319229</v>
      </c>
      <c r="AC16" s="15" t="s">
        <v>114</v>
      </c>
      <c r="AD16" s="16" t="s">
        <v>42</v>
      </c>
      <c r="AE16" s="17">
        <f t="shared" si="28"/>
        <v>1071.2050018449149</v>
      </c>
      <c r="AF16" s="17">
        <f t="shared" si="29"/>
        <v>5.9955071122132217</v>
      </c>
      <c r="AG16" s="17">
        <f t="shared" si="30"/>
        <v>1077.2005089571282</v>
      </c>
      <c r="AH16" s="15" t="s">
        <v>114</v>
      </c>
      <c r="AI16" s="16" t="s">
        <v>42</v>
      </c>
      <c r="AJ16" s="17">
        <f t="shared" si="31"/>
        <v>1309.3612516405813</v>
      </c>
      <c r="AK16" s="17">
        <f t="shared" si="32"/>
        <v>10.070208570144324</v>
      </c>
      <c r="AL16" s="17">
        <f t="shared" si="33"/>
        <v>2.083687732586764</v>
      </c>
      <c r="AM16" s="17">
        <f t="shared" si="34"/>
        <v>9.8653038570081613</v>
      </c>
      <c r="AN16" s="17">
        <f t="shared" si="35"/>
        <v>1331.3804518003205</v>
      </c>
      <c r="AO16" s="15" t="s">
        <v>114</v>
      </c>
      <c r="AP16" s="16" t="s">
        <v>42</v>
      </c>
      <c r="AQ16" s="17">
        <f t="shared" si="36"/>
        <v>232.16074268345301</v>
      </c>
      <c r="AR16" s="17">
        <f t="shared" si="37"/>
        <v>10.070208570144324</v>
      </c>
      <c r="AS16" s="17">
        <f t="shared" si="38"/>
        <v>2.083687732586764</v>
      </c>
      <c r="AT16" s="17">
        <f t="shared" si="39"/>
        <v>9.8653038570081613</v>
      </c>
      <c r="AU16" s="17">
        <f t="shared" si="40"/>
        <v>254.17994284319226</v>
      </c>
      <c r="AV16" s="15" t="s">
        <v>114</v>
      </c>
      <c r="AW16" s="16" t="s">
        <v>42</v>
      </c>
      <c r="AX16" s="17">
        <f t="shared" si="41"/>
        <v>1077.2005089571282</v>
      </c>
      <c r="AY16" s="17">
        <f t="shared" si="42"/>
        <v>0</v>
      </c>
      <c r="AZ16" s="17">
        <f t="shared" si="43"/>
        <v>0</v>
      </c>
      <c r="BA16" s="17">
        <f t="shared" si="44"/>
        <v>0</v>
      </c>
      <c r="BB16" s="17">
        <f t="shared" si="45"/>
        <v>1077.2005089571282</v>
      </c>
      <c r="BC16" s="15" t="s">
        <v>114</v>
      </c>
      <c r="BD16" s="16" t="s">
        <v>42</v>
      </c>
      <c r="BE16" s="17">
        <v>16.045244734256737</v>
      </c>
      <c r="BF16" s="17">
        <v>0</v>
      </c>
      <c r="BG16" s="17">
        <v>0</v>
      </c>
      <c r="BH16" s="17">
        <v>0</v>
      </c>
      <c r="BI16" s="17">
        <v>16.045244734256737</v>
      </c>
      <c r="BJ16" s="15" t="s">
        <v>114</v>
      </c>
      <c r="BK16" s="16" t="s">
        <v>42</v>
      </c>
      <c r="BL16" s="17">
        <v>0</v>
      </c>
      <c r="BM16" s="17">
        <v>4.9134369176091157</v>
      </c>
      <c r="BN16" s="17">
        <v>0</v>
      </c>
      <c r="BO16" s="17">
        <v>0</v>
      </c>
      <c r="BP16" s="17">
        <v>4.9134369176091157</v>
      </c>
      <c r="BQ16" s="15" t="s">
        <v>114</v>
      </c>
      <c r="BR16" s="16" t="s">
        <v>42</v>
      </c>
      <c r="BS16" s="17">
        <v>0</v>
      </c>
      <c r="BT16" s="17">
        <v>0</v>
      </c>
      <c r="BU16" s="17">
        <v>0</v>
      </c>
      <c r="BV16" s="17">
        <v>2.0675529824450525</v>
      </c>
      <c r="BW16" s="17">
        <v>2.0675529824450525</v>
      </c>
      <c r="BX16" s="15" t="s">
        <v>114</v>
      </c>
      <c r="BY16" s="16" t="s">
        <v>42</v>
      </c>
      <c r="BZ16" s="17">
        <v>47.51590126024643</v>
      </c>
      <c r="CA16" s="17">
        <v>0</v>
      </c>
      <c r="CB16" s="17">
        <v>2.083687732586764</v>
      </c>
      <c r="CC16" s="17">
        <v>7.7977508745631079</v>
      </c>
      <c r="CD16" s="17">
        <v>57.397339867396298</v>
      </c>
      <c r="CE16" s="15" t="s">
        <v>114</v>
      </c>
      <c r="CF16" s="16" t="s">
        <v>42</v>
      </c>
      <c r="CG16" s="17">
        <v>8.3687732586764055E-2</v>
      </c>
      <c r="CH16" s="17">
        <v>0</v>
      </c>
      <c r="CI16" s="17">
        <v>0</v>
      </c>
      <c r="CJ16" s="17">
        <v>0</v>
      </c>
      <c r="CK16" s="17">
        <v>8.3687732586764055E-2</v>
      </c>
      <c r="CL16" s="15" t="s">
        <v>114</v>
      </c>
      <c r="CM16" s="16" t="s">
        <v>42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5" t="s">
        <v>114</v>
      </c>
      <c r="CT16" s="16" t="s">
        <v>42</v>
      </c>
      <c r="CU16" s="17">
        <v>88.06938301767002</v>
      </c>
      <c r="CV16" s="17">
        <v>0</v>
      </c>
      <c r="CW16" s="17">
        <v>0</v>
      </c>
      <c r="CX16" s="17">
        <v>0</v>
      </c>
      <c r="CY16" s="17">
        <v>88.06938301767002</v>
      </c>
      <c r="CZ16" s="15" t="s">
        <v>114</v>
      </c>
      <c r="DA16" s="16" t="s">
        <v>42</v>
      </c>
      <c r="DB16" s="17">
        <v>37.874072234084089</v>
      </c>
      <c r="DC16" s="17">
        <v>0</v>
      </c>
      <c r="DD16" s="17">
        <v>0</v>
      </c>
      <c r="DE16" s="17">
        <v>0</v>
      </c>
      <c r="DF16" s="17">
        <v>37.874072234084089</v>
      </c>
      <c r="DG16" s="15" t="s">
        <v>114</v>
      </c>
      <c r="DH16" s="16" t="s">
        <v>42</v>
      </c>
      <c r="DI16" s="17">
        <v>8.8700732204748363</v>
      </c>
      <c r="DJ16" s="17">
        <v>0</v>
      </c>
      <c r="DK16" s="17">
        <v>0</v>
      </c>
      <c r="DL16" s="17">
        <v>0</v>
      </c>
      <c r="DM16" s="17">
        <v>8.8700732204748363</v>
      </c>
      <c r="DN16" s="15" t="s">
        <v>114</v>
      </c>
      <c r="DO16" s="16" t="s">
        <v>42</v>
      </c>
      <c r="DP16" s="17">
        <v>33.702380484134153</v>
      </c>
      <c r="DQ16" s="17">
        <v>5.1567716525352081</v>
      </c>
      <c r="DR16" s="17">
        <v>0</v>
      </c>
      <c r="DS16" s="17">
        <v>0</v>
      </c>
      <c r="DT16" s="17">
        <v>38.859152136669358</v>
      </c>
      <c r="DU16" s="15" t="s">
        <v>114</v>
      </c>
      <c r="DV16" s="16" t="s">
        <v>42</v>
      </c>
      <c r="DW16" s="17">
        <v>5.9955071122132217</v>
      </c>
      <c r="DX16" s="17">
        <v>0</v>
      </c>
      <c r="DY16" s="17">
        <v>0</v>
      </c>
      <c r="DZ16" s="17">
        <v>0</v>
      </c>
      <c r="EA16" s="17">
        <v>5.9955071122132217</v>
      </c>
      <c r="EB16" s="15" t="s">
        <v>114</v>
      </c>
      <c r="EC16" s="16" t="s">
        <v>42</v>
      </c>
      <c r="ED16" s="17">
        <v>1071.2050018449149</v>
      </c>
      <c r="EE16" s="17">
        <v>0</v>
      </c>
      <c r="EF16" s="17">
        <v>0</v>
      </c>
      <c r="EG16" s="17">
        <v>0</v>
      </c>
      <c r="EH16" s="17">
        <v>1071.2050018449149</v>
      </c>
    </row>
    <row r="17" spans="1:138" ht="10.199999999999999" customHeight="1" x14ac:dyDescent="0.25">
      <c r="A17" s="15" t="s">
        <v>112</v>
      </c>
      <c r="B17" s="16" t="s">
        <v>40</v>
      </c>
      <c r="C17" s="17">
        <f t="shared" si="4"/>
        <v>0</v>
      </c>
      <c r="D17" s="17">
        <f t="shared" si="5"/>
        <v>0</v>
      </c>
      <c r="E17" s="17">
        <f t="shared" si="6"/>
        <v>10.329697537154406</v>
      </c>
      <c r="F17" s="17">
        <f t="shared" si="7"/>
        <v>42.497956353415546</v>
      </c>
      <c r="G17" s="17">
        <f t="shared" si="8"/>
        <v>4.1009023893596028</v>
      </c>
      <c r="H17" s="17">
        <f t="shared" si="9"/>
        <v>2.9550480571230473</v>
      </c>
      <c r="I17" s="17">
        <f t="shared" si="10"/>
        <v>41.191895985365626</v>
      </c>
      <c r="J17" s="17">
        <f t="shared" si="11"/>
        <v>20.77096603867453</v>
      </c>
      <c r="K17" s="17">
        <f t="shared" si="12"/>
        <v>15.084085983916527</v>
      </c>
      <c r="L17" s="17">
        <f t="shared" si="13"/>
        <v>35.335636531440798</v>
      </c>
      <c r="M17" s="17">
        <f t="shared" si="14"/>
        <v>125.44688906367395</v>
      </c>
      <c r="N17" s="17">
        <f t="shared" si="15"/>
        <v>7.7798256098761094</v>
      </c>
      <c r="O17" s="17">
        <f t="shared" si="16"/>
        <v>305.49290355000016</v>
      </c>
      <c r="P17" s="15" t="s">
        <v>112</v>
      </c>
      <c r="Q17" s="16" t="s">
        <v>40</v>
      </c>
      <c r="R17" s="17">
        <f t="shared" si="17"/>
        <v>0</v>
      </c>
      <c r="S17" s="17">
        <f t="shared" si="18"/>
        <v>0</v>
      </c>
      <c r="T17" s="17">
        <f t="shared" si="19"/>
        <v>10.329697537154406</v>
      </c>
      <c r="U17" s="17">
        <f t="shared" si="20"/>
        <v>42.497956353415546</v>
      </c>
      <c r="V17" s="17">
        <f t="shared" si="21"/>
        <v>4.1009023893596028</v>
      </c>
      <c r="W17" s="17">
        <f t="shared" si="22"/>
        <v>2.9550480571230473</v>
      </c>
      <c r="X17" s="17">
        <f t="shared" si="23"/>
        <v>41.191895985365626</v>
      </c>
      <c r="Y17" s="17">
        <f t="shared" si="24"/>
        <v>20.77096603867453</v>
      </c>
      <c r="Z17" s="17">
        <f t="shared" si="25"/>
        <v>15.084085983916527</v>
      </c>
      <c r="AA17" s="17">
        <f t="shared" si="26"/>
        <v>35.335636531440798</v>
      </c>
      <c r="AB17" s="17">
        <f t="shared" si="27"/>
        <v>172.26618887645009</v>
      </c>
      <c r="AC17" s="15" t="s">
        <v>112</v>
      </c>
      <c r="AD17" s="16" t="s">
        <v>40</v>
      </c>
      <c r="AE17" s="17">
        <f t="shared" si="28"/>
        <v>125.44688906367395</v>
      </c>
      <c r="AF17" s="17">
        <f t="shared" si="29"/>
        <v>7.7798256098761094</v>
      </c>
      <c r="AG17" s="17">
        <f t="shared" si="30"/>
        <v>133.22671467355005</v>
      </c>
      <c r="AH17" s="15" t="s">
        <v>112</v>
      </c>
      <c r="AI17" s="16" t="s">
        <v>40</v>
      </c>
      <c r="AJ17" s="17">
        <f t="shared" si="31"/>
        <v>290.04649967359893</v>
      </c>
      <c r="AK17" s="17">
        <f t="shared" si="32"/>
        <v>2.0413391453527128</v>
      </c>
      <c r="AL17" s="17">
        <f t="shared" si="33"/>
        <v>0</v>
      </c>
      <c r="AM17" s="17">
        <f t="shared" si="34"/>
        <v>13.405064731048503</v>
      </c>
      <c r="AN17" s="17">
        <f t="shared" si="35"/>
        <v>305.49290355000016</v>
      </c>
      <c r="AO17" s="15" t="s">
        <v>112</v>
      </c>
      <c r="AP17" s="16" t="s">
        <v>40</v>
      </c>
      <c r="AQ17" s="17">
        <f t="shared" si="36"/>
        <v>156.81978500004888</v>
      </c>
      <c r="AR17" s="17">
        <f t="shared" si="37"/>
        <v>2.0413391453527128</v>
      </c>
      <c r="AS17" s="17">
        <f t="shared" si="38"/>
        <v>0</v>
      </c>
      <c r="AT17" s="17">
        <f t="shared" si="39"/>
        <v>13.405064731048503</v>
      </c>
      <c r="AU17" s="17">
        <f t="shared" si="40"/>
        <v>172.26618887645009</v>
      </c>
      <c r="AV17" s="15" t="s">
        <v>112</v>
      </c>
      <c r="AW17" s="16" t="s">
        <v>40</v>
      </c>
      <c r="AX17" s="17">
        <f t="shared" si="41"/>
        <v>133.22671467355005</v>
      </c>
      <c r="AY17" s="17">
        <f t="shared" si="42"/>
        <v>0</v>
      </c>
      <c r="AZ17" s="17">
        <f t="shared" si="43"/>
        <v>0</v>
      </c>
      <c r="BA17" s="17">
        <f t="shared" si="44"/>
        <v>0</v>
      </c>
      <c r="BB17" s="17">
        <f t="shared" si="45"/>
        <v>133.22671467355005</v>
      </c>
      <c r="BC17" s="15" t="s">
        <v>112</v>
      </c>
      <c r="BD17" s="16" t="s">
        <v>40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5" t="s">
        <v>112</v>
      </c>
      <c r="BK17" s="16" t="s">
        <v>40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5" t="s">
        <v>112</v>
      </c>
      <c r="BR17" s="16" t="s">
        <v>40</v>
      </c>
      <c r="BS17" s="17">
        <v>1.0257091161516705</v>
      </c>
      <c r="BT17" s="17">
        <v>0</v>
      </c>
      <c r="BU17" s="17">
        <v>0</v>
      </c>
      <c r="BV17" s="17">
        <v>9.3039884210027353</v>
      </c>
      <c r="BW17" s="17">
        <v>10.329697537154406</v>
      </c>
      <c r="BX17" s="15" t="s">
        <v>112</v>
      </c>
      <c r="BY17" s="16" t="s">
        <v>40</v>
      </c>
      <c r="BZ17" s="17">
        <v>42.497956353415546</v>
      </c>
      <c r="CA17" s="17">
        <v>0</v>
      </c>
      <c r="CB17" s="17">
        <v>0</v>
      </c>
      <c r="CC17" s="17">
        <v>0</v>
      </c>
      <c r="CD17" s="17">
        <v>42.497956353415546</v>
      </c>
      <c r="CE17" s="15" t="s">
        <v>112</v>
      </c>
      <c r="CF17" s="16" t="s">
        <v>40</v>
      </c>
      <c r="CG17" s="17">
        <v>4.1009023893596028</v>
      </c>
      <c r="CH17" s="17">
        <v>0</v>
      </c>
      <c r="CI17" s="17">
        <v>0</v>
      </c>
      <c r="CJ17" s="17">
        <v>0</v>
      </c>
      <c r="CK17" s="17">
        <v>4.1009023893596028</v>
      </c>
      <c r="CL17" s="15" t="s">
        <v>112</v>
      </c>
      <c r="CM17" s="16" t="s">
        <v>40</v>
      </c>
      <c r="CN17" s="17">
        <v>0</v>
      </c>
      <c r="CO17" s="17">
        <v>0</v>
      </c>
      <c r="CP17" s="17">
        <v>0</v>
      </c>
      <c r="CQ17" s="17">
        <v>2.9550480571230473</v>
      </c>
      <c r="CR17" s="17">
        <v>2.9550480571230473</v>
      </c>
      <c r="CS17" s="15" t="s">
        <v>112</v>
      </c>
      <c r="CT17" s="16" t="s">
        <v>40</v>
      </c>
      <c r="CU17" s="17">
        <v>41.191895985365626</v>
      </c>
      <c r="CV17" s="17">
        <v>0</v>
      </c>
      <c r="CW17" s="17">
        <v>0</v>
      </c>
      <c r="CX17" s="17">
        <v>0</v>
      </c>
      <c r="CY17" s="17">
        <v>41.191895985365626</v>
      </c>
      <c r="CZ17" s="15" t="s">
        <v>112</v>
      </c>
      <c r="DA17" s="16" t="s">
        <v>40</v>
      </c>
      <c r="DB17" s="17">
        <v>13.042746838563813</v>
      </c>
      <c r="DC17" s="17">
        <v>2.0413391453527128</v>
      </c>
      <c r="DD17" s="17">
        <v>0</v>
      </c>
      <c r="DE17" s="17">
        <v>0</v>
      </c>
      <c r="DF17" s="17">
        <v>15.084085983916527</v>
      </c>
      <c r="DG17" s="15" t="s">
        <v>112</v>
      </c>
      <c r="DH17" s="16" t="s">
        <v>40</v>
      </c>
      <c r="DI17" s="17">
        <v>20.77096603867453</v>
      </c>
      <c r="DJ17" s="17">
        <v>0</v>
      </c>
      <c r="DK17" s="17">
        <v>0</v>
      </c>
      <c r="DL17" s="17">
        <v>0</v>
      </c>
      <c r="DM17" s="17">
        <v>20.77096603867453</v>
      </c>
      <c r="DN17" s="15" t="s">
        <v>112</v>
      </c>
      <c r="DO17" s="16" t="s">
        <v>40</v>
      </c>
      <c r="DP17" s="17">
        <v>34.189608278518079</v>
      </c>
      <c r="DQ17" s="17">
        <v>0</v>
      </c>
      <c r="DR17" s="17">
        <v>0</v>
      </c>
      <c r="DS17" s="17">
        <v>1.1460282529227204</v>
      </c>
      <c r="DT17" s="17">
        <v>35.335636531440798</v>
      </c>
      <c r="DU17" s="15" t="s">
        <v>112</v>
      </c>
      <c r="DV17" s="16" t="s">
        <v>40</v>
      </c>
      <c r="DW17" s="17">
        <v>7.7798256098761094</v>
      </c>
      <c r="DX17" s="17">
        <v>0</v>
      </c>
      <c r="DY17" s="17">
        <v>0</v>
      </c>
      <c r="DZ17" s="17">
        <v>0</v>
      </c>
      <c r="EA17" s="17">
        <v>7.7798256098761094</v>
      </c>
      <c r="EB17" s="15" t="s">
        <v>112</v>
      </c>
      <c r="EC17" s="16" t="s">
        <v>40</v>
      </c>
      <c r="ED17" s="17">
        <v>125.44688906367395</v>
      </c>
      <c r="EE17" s="17">
        <v>0</v>
      </c>
      <c r="EF17" s="17">
        <v>0</v>
      </c>
      <c r="EG17" s="17">
        <v>0</v>
      </c>
      <c r="EH17" s="17">
        <v>125.44688906367395</v>
      </c>
    </row>
    <row r="18" spans="1:138" ht="10.199999999999999" customHeight="1" x14ac:dyDescent="0.25">
      <c r="A18" s="15" t="s">
        <v>116</v>
      </c>
      <c r="B18" s="16" t="s">
        <v>44</v>
      </c>
      <c r="C18" s="17">
        <f t="shared" si="4"/>
        <v>40.773702707383343</v>
      </c>
      <c r="D18" s="17">
        <f t="shared" si="5"/>
        <v>91.703014649083656</v>
      </c>
      <c r="E18" s="17">
        <f t="shared" si="6"/>
        <v>28.99565299559497</v>
      </c>
      <c r="F18" s="17">
        <f t="shared" si="7"/>
        <v>63.731081355862024</v>
      </c>
      <c r="G18" s="17">
        <f t="shared" si="8"/>
        <v>32.798276808734087</v>
      </c>
      <c r="H18" s="17">
        <f t="shared" si="9"/>
        <v>1.4775240285615237</v>
      </c>
      <c r="I18" s="17">
        <f t="shared" si="10"/>
        <v>66.392813516010122</v>
      </c>
      <c r="J18" s="17">
        <f t="shared" si="11"/>
        <v>42.908150083221145</v>
      </c>
      <c r="K18" s="17">
        <f t="shared" si="12"/>
        <v>75.202382182336578</v>
      </c>
      <c r="L18" s="17">
        <f t="shared" si="13"/>
        <v>52.375284577661205</v>
      </c>
      <c r="M18" s="17">
        <f t="shared" si="14"/>
        <v>146.20779641143071</v>
      </c>
      <c r="N18" s="17">
        <f t="shared" si="15"/>
        <v>112.90549635522868</v>
      </c>
      <c r="O18" s="17">
        <f t="shared" si="16"/>
        <v>755.47117567110809</v>
      </c>
      <c r="P18" s="15" t="s">
        <v>116</v>
      </c>
      <c r="Q18" s="16" t="s">
        <v>44</v>
      </c>
      <c r="R18" s="17">
        <f t="shared" si="17"/>
        <v>40.773702707383343</v>
      </c>
      <c r="S18" s="17">
        <f t="shared" si="18"/>
        <v>91.703014649083656</v>
      </c>
      <c r="T18" s="17">
        <f t="shared" si="19"/>
        <v>28.99565299559497</v>
      </c>
      <c r="U18" s="17">
        <f t="shared" si="20"/>
        <v>63.731081355862024</v>
      </c>
      <c r="V18" s="17">
        <f t="shared" si="21"/>
        <v>32.798276808734087</v>
      </c>
      <c r="W18" s="17">
        <f t="shared" si="22"/>
        <v>1.4775240285615237</v>
      </c>
      <c r="X18" s="17">
        <f t="shared" si="23"/>
        <v>66.392813516010122</v>
      </c>
      <c r="Y18" s="17">
        <f t="shared" si="24"/>
        <v>42.908150083221145</v>
      </c>
      <c r="Z18" s="17">
        <f t="shared" si="25"/>
        <v>75.202382182336578</v>
      </c>
      <c r="AA18" s="17">
        <f t="shared" si="26"/>
        <v>52.375284577661205</v>
      </c>
      <c r="AB18" s="17">
        <f t="shared" si="27"/>
        <v>496.35788290444862</v>
      </c>
      <c r="AC18" s="15" t="s">
        <v>116</v>
      </c>
      <c r="AD18" s="16" t="s">
        <v>44</v>
      </c>
      <c r="AE18" s="17">
        <f t="shared" si="28"/>
        <v>146.20779641143071</v>
      </c>
      <c r="AF18" s="17">
        <f t="shared" si="29"/>
        <v>112.90549635522868</v>
      </c>
      <c r="AG18" s="17">
        <f t="shared" si="30"/>
        <v>259.11329276665936</v>
      </c>
      <c r="AH18" s="15" t="s">
        <v>116</v>
      </c>
      <c r="AI18" s="16" t="s">
        <v>44</v>
      </c>
      <c r="AJ18" s="17">
        <f t="shared" si="31"/>
        <v>557.63620352632415</v>
      </c>
      <c r="AK18" s="17">
        <f t="shared" si="32"/>
        <v>104.07126916157037</v>
      </c>
      <c r="AL18" s="17">
        <f t="shared" si="33"/>
        <v>68.763111773730714</v>
      </c>
      <c r="AM18" s="17">
        <f t="shared" si="34"/>
        <v>25.00059120948282</v>
      </c>
      <c r="AN18" s="17">
        <f t="shared" si="35"/>
        <v>755.47117567110809</v>
      </c>
      <c r="AO18" s="15" t="s">
        <v>116</v>
      </c>
      <c r="AP18" s="16" t="s">
        <v>44</v>
      </c>
      <c r="AQ18" s="17">
        <f t="shared" si="36"/>
        <v>343.21406571028672</v>
      </c>
      <c r="AR18" s="17">
        <f t="shared" si="37"/>
        <v>82.300679269402835</v>
      </c>
      <c r="AS18" s="17">
        <f t="shared" si="38"/>
        <v>54.177297645623362</v>
      </c>
      <c r="AT18" s="17">
        <f t="shared" si="39"/>
        <v>16.665840279135764</v>
      </c>
      <c r="AU18" s="17">
        <f t="shared" si="40"/>
        <v>496.35788290444867</v>
      </c>
      <c r="AV18" s="15" t="s">
        <v>116</v>
      </c>
      <c r="AW18" s="16" t="s">
        <v>44</v>
      </c>
      <c r="AX18" s="17">
        <f t="shared" si="41"/>
        <v>214.42213781603746</v>
      </c>
      <c r="AY18" s="17">
        <f t="shared" si="42"/>
        <v>21.770589892167543</v>
      </c>
      <c r="AZ18" s="17">
        <f t="shared" si="43"/>
        <v>14.585814128107348</v>
      </c>
      <c r="BA18" s="17">
        <f t="shared" si="44"/>
        <v>8.3347509303470559</v>
      </c>
      <c r="BB18" s="17">
        <f t="shared" si="45"/>
        <v>259.11329276665941</v>
      </c>
      <c r="BC18" s="15" t="s">
        <v>116</v>
      </c>
      <c r="BD18" s="16" t="s">
        <v>44</v>
      </c>
      <c r="BE18" s="17">
        <v>32.808377853473793</v>
      </c>
      <c r="BF18" s="17">
        <v>7.9653248539095518</v>
      </c>
      <c r="BG18" s="17">
        <v>0</v>
      </c>
      <c r="BH18" s="17">
        <v>0</v>
      </c>
      <c r="BI18" s="17">
        <v>40.773702707383343</v>
      </c>
      <c r="BJ18" s="15" t="s">
        <v>116</v>
      </c>
      <c r="BK18" s="16" t="s">
        <v>44</v>
      </c>
      <c r="BL18" s="17">
        <v>72.771578313683548</v>
      </c>
      <c r="BM18" s="17">
        <v>11.331875580542935</v>
      </c>
      <c r="BN18" s="17">
        <v>7.5995607548571735</v>
      </c>
      <c r="BO18" s="17">
        <v>0</v>
      </c>
      <c r="BP18" s="17">
        <v>91.703014649083656</v>
      </c>
      <c r="BQ18" s="15" t="s">
        <v>116</v>
      </c>
      <c r="BR18" s="16" t="s">
        <v>44</v>
      </c>
      <c r="BS18" s="17">
        <v>0</v>
      </c>
      <c r="BT18" s="17">
        <v>4.1769498311834869</v>
      </c>
      <c r="BU18" s="17">
        <v>19.649820708298854</v>
      </c>
      <c r="BV18" s="17">
        <v>5.1688824561126312</v>
      </c>
      <c r="BW18" s="17">
        <v>28.99565299559497</v>
      </c>
      <c r="BX18" s="15" t="s">
        <v>116</v>
      </c>
      <c r="BY18" s="16" t="s">
        <v>44</v>
      </c>
      <c r="BZ18" s="17">
        <v>45.09645315543127</v>
      </c>
      <c r="CA18" s="17">
        <v>17.59278433413737</v>
      </c>
      <c r="CB18" s="17">
        <v>1.041843866293382</v>
      </c>
      <c r="CC18" s="17">
        <v>0</v>
      </c>
      <c r="CD18" s="17">
        <v>63.731081355862024</v>
      </c>
      <c r="CE18" s="15" t="s">
        <v>116</v>
      </c>
      <c r="CF18" s="16" t="s">
        <v>44</v>
      </c>
      <c r="CG18" s="17">
        <v>22.422691453974988</v>
      </c>
      <c r="CH18" s="17">
        <v>10.375585354759099</v>
      </c>
      <c r="CI18" s="17">
        <v>0</v>
      </c>
      <c r="CJ18" s="17">
        <v>0</v>
      </c>
      <c r="CK18" s="17">
        <v>32.798276808734087</v>
      </c>
      <c r="CL18" s="15" t="s">
        <v>116</v>
      </c>
      <c r="CM18" s="16" t="s">
        <v>44</v>
      </c>
      <c r="CN18" s="17">
        <v>0</v>
      </c>
      <c r="CO18" s="17">
        <v>0</v>
      </c>
      <c r="CP18" s="17">
        <v>1.4775240285615237</v>
      </c>
      <c r="CQ18" s="17">
        <v>0</v>
      </c>
      <c r="CR18" s="17">
        <v>1.4775240285615237</v>
      </c>
      <c r="CS18" s="15" t="s">
        <v>116</v>
      </c>
      <c r="CT18" s="16" t="s">
        <v>44</v>
      </c>
      <c r="CU18" s="17">
        <v>55.472248457555715</v>
      </c>
      <c r="CV18" s="17">
        <v>10.920565058454404</v>
      </c>
      <c r="CW18" s="17">
        <v>0</v>
      </c>
      <c r="CX18" s="17">
        <v>0</v>
      </c>
      <c r="CY18" s="17">
        <v>66.392813516010122</v>
      </c>
      <c r="CZ18" s="15" t="s">
        <v>116</v>
      </c>
      <c r="DA18" s="16" t="s">
        <v>44</v>
      </c>
      <c r="DB18" s="17">
        <v>54.77333724068157</v>
      </c>
      <c r="DC18" s="17">
        <v>6.3347509303470559</v>
      </c>
      <c r="DD18" s="17">
        <v>14.094294011307944</v>
      </c>
      <c r="DE18" s="17">
        <v>0</v>
      </c>
      <c r="DF18" s="17">
        <v>75.202382182336578</v>
      </c>
      <c r="DG18" s="15" t="s">
        <v>116</v>
      </c>
      <c r="DH18" s="16" t="s">
        <v>44</v>
      </c>
      <c r="DI18" s="17">
        <v>26.790403954711209</v>
      </c>
      <c r="DJ18" s="17">
        <v>8.0588730642549695</v>
      </c>
      <c r="DK18" s="17">
        <v>0</v>
      </c>
      <c r="DL18" s="17">
        <v>8.0588730642549695</v>
      </c>
      <c r="DM18" s="17">
        <v>42.908150083221145</v>
      </c>
      <c r="DN18" s="15" t="s">
        <v>116</v>
      </c>
      <c r="DO18" s="16" t="s">
        <v>44</v>
      </c>
      <c r="DP18" s="17">
        <v>33.078975280774593</v>
      </c>
      <c r="DQ18" s="17">
        <v>5.5439702618139659</v>
      </c>
      <c r="DR18" s="17">
        <v>10.314254276304482</v>
      </c>
      <c r="DS18" s="17">
        <v>3.4380847587681611</v>
      </c>
      <c r="DT18" s="17">
        <v>52.375284577661205</v>
      </c>
      <c r="DU18" s="15" t="s">
        <v>116</v>
      </c>
      <c r="DV18" s="16" t="s">
        <v>44</v>
      </c>
      <c r="DW18" s="17">
        <v>73.423560736073654</v>
      </c>
      <c r="DX18" s="17">
        <v>16.561370560700631</v>
      </c>
      <c r="DY18" s="17">
        <v>14.585814128107348</v>
      </c>
      <c r="DZ18" s="17">
        <v>8.3347509303470559</v>
      </c>
      <c r="EA18" s="17">
        <v>112.90549635522868</v>
      </c>
      <c r="EB18" s="15" t="s">
        <v>116</v>
      </c>
      <c r="EC18" s="16" t="s">
        <v>44</v>
      </c>
      <c r="ED18" s="17">
        <v>140.99857707996381</v>
      </c>
      <c r="EE18" s="17">
        <v>5.20921933146691</v>
      </c>
      <c r="EF18" s="17">
        <v>0</v>
      </c>
      <c r="EG18" s="17">
        <v>0</v>
      </c>
      <c r="EH18" s="17">
        <v>146.20779641143071</v>
      </c>
    </row>
    <row r="19" spans="1:138" ht="10.199999999999999" customHeight="1" x14ac:dyDescent="0.25">
      <c r="A19" s="15" t="s">
        <v>107</v>
      </c>
      <c r="B19" s="16" t="s">
        <v>35</v>
      </c>
      <c r="C19" s="17">
        <f t="shared" si="4"/>
        <v>0</v>
      </c>
      <c r="D19" s="17">
        <f t="shared" si="5"/>
        <v>10.080409100451044</v>
      </c>
      <c r="E19" s="17">
        <f t="shared" si="6"/>
        <v>0</v>
      </c>
      <c r="F19" s="17">
        <f t="shared" si="7"/>
        <v>0</v>
      </c>
      <c r="G19" s="17">
        <f t="shared" si="8"/>
        <v>0</v>
      </c>
      <c r="H19" s="17">
        <f t="shared" si="9"/>
        <v>0</v>
      </c>
      <c r="I19" s="17">
        <f t="shared" si="10"/>
        <v>68.262612663619848</v>
      </c>
      <c r="J19" s="17">
        <f t="shared" si="11"/>
        <v>0</v>
      </c>
      <c r="K19" s="17">
        <f t="shared" si="12"/>
        <v>8.7113457269874939</v>
      </c>
      <c r="L19" s="17">
        <f t="shared" si="13"/>
        <v>119.47449597982298</v>
      </c>
      <c r="M19" s="17">
        <f t="shared" si="14"/>
        <v>169.50281043963889</v>
      </c>
      <c r="N19" s="17">
        <f t="shared" si="15"/>
        <v>63.305930175910021</v>
      </c>
      <c r="O19" s="17">
        <f t="shared" si="16"/>
        <v>439.33760408643025</v>
      </c>
      <c r="P19" s="15" t="s">
        <v>107</v>
      </c>
      <c r="Q19" s="16" t="s">
        <v>35</v>
      </c>
      <c r="R19" s="17">
        <f t="shared" si="17"/>
        <v>0</v>
      </c>
      <c r="S19" s="17">
        <f t="shared" si="18"/>
        <v>10.080409100451044</v>
      </c>
      <c r="T19" s="17">
        <f t="shared" si="19"/>
        <v>0</v>
      </c>
      <c r="U19" s="17">
        <f t="shared" si="20"/>
        <v>0</v>
      </c>
      <c r="V19" s="17">
        <f t="shared" si="21"/>
        <v>0</v>
      </c>
      <c r="W19" s="17">
        <f t="shared" si="22"/>
        <v>0</v>
      </c>
      <c r="X19" s="17">
        <f t="shared" si="23"/>
        <v>68.262612663619848</v>
      </c>
      <c r="Y19" s="17">
        <f t="shared" si="24"/>
        <v>0</v>
      </c>
      <c r="Z19" s="17">
        <f t="shared" si="25"/>
        <v>8.7113457269874939</v>
      </c>
      <c r="AA19" s="17">
        <f t="shared" si="26"/>
        <v>119.47449597982298</v>
      </c>
      <c r="AB19" s="17">
        <f t="shared" si="27"/>
        <v>206.52886347088136</v>
      </c>
      <c r="AC19" s="15" t="s">
        <v>107</v>
      </c>
      <c r="AD19" s="16" t="s">
        <v>35</v>
      </c>
      <c r="AE19" s="17">
        <f t="shared" si="28"/>
        <v>169.50281043963889</v>
      </c>
      <c r="AF19" s="17">
        <f t="shared" si="29"/>
        <v>63.305930175910021</v>
      </c>
      <c r="AG19" s="17">
        <f t="shared" si="30"/>
        <v>232.80874061554891</v>
      </c>
      <c r="AH19" s="15" t="s">
        <v>107</v>
      </c>
      <c r="AI19" s="16" t="s">
        <v>35</v>
      </c>
      <c r="AJ19" s="17">
        <f t="shared" si="31"/>
        <v>291.97325468703468</v>
      </c>
      <c r="AK19" s="17">
        <f t="shared" si="32"/>
        <v>143.88442077433407</v>
      </c>
      <c r="AL19" s="17">
        <f t="shared" si="33"/>
        <v>4.1843866293382027E-2</v>
      </c>
      <c r="AM19" s="17">
        <f t="shared" si="34"/>
        <v>3.4380847587681611</v>
      </c>
      <c r="AN19" s="17">
        <f t="shared" si="35"/>
        <v>439.33760408643036</v>
      </c>
      <c r="AO19" s="15" t="s">
        <v>107</v>
      </c>
      <c r="AP19" s="16" t="s">
        <v>35</v>
      </c>
      <c r="AQ19" s="17">
        <f t="shared" si="36"/>
        <v>175.80387228525436</v>
      </c>
      <c r="AR19" s="17">
        <f t="shared" si="37"/>
        <v>27.245062560565461</v>
      </c>
      <c r="AS19" s="17">
        <f t="shared" si="38"/>
        <v>4.1843866293382027E-2</v>
      </c>
      <c r="AT19" s="17">
        <f t="shared" si="39"/>
        <v>3.4380847587681611</v>
      </c>
      <c r="AU19" s="17">
        <f t="shared" si="40"/>
        <v>206.52886347088136</v>
      </c>
      <c r="AV19" s="15" t="s">
        <v>107</v>
      </c>
      <c r="AW19" s="16" t="s">
        <v>35</v>
      </c>
      <c r="AX19" s="17">
        <f t="shared" si="41"/>
        <v>116.1693824017803</v>
      </c>
      <c r="AY19" s="17">
        <f t="shared" si="42"/>
        <v>116.63935821376862</v>
      </c>
      <c r="AZ19" s="17">
        <f t="shared" si="43"/>
        <v>0</v>
      </c>
      <c r="BA19" s="17">
        <f t="shared" si="44"/>
        <v>0</v>
      </c>
      <c r="BB19" s="17">
        <f t="shared" si="45"/>
        <v>232.80874061554891</v>
      </c>
      <c r="BC19" s="15" t="s">
        <v>107</v>
      </c>
      <c r="BD19" s="16" t="s">
        <v>35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5" t="s">
        <v>107</v>
      </c>
      <c r="BK19" s="16" t="s">
        <v>35</v>
      </c>
      <c r="BL19" s="17">
        <v>10.080409100451044</v>
      </c>
      <c r="BM19" s="17">
        <v>0</v>
      </c>
      <c r="BN19" s="17">
        <v>0</v>
      </c>
      <c r="BO19" s="17">
        <v>0</v>
      </c>
      <c r="BP19" s="17">
        <v>10.080409100451044</v>
      </c>
      <c r="BQ19" s="15" t="s">
        <v>107</v>
      </c>
      <c r="BR19" s="16" t="s">
        <v>35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5" t="s">
        <v>107</v>
      </c>
      <c r="BY19" s="16" t="s">
        <v>35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5" t="s">
        <v>107</v>
      </c>
      <c r="CF19" s="16" t="s">
        <v>35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5" t="s">
        <v>107</v>
      </c>
      <c r="CM19" s="16" t="s">
        <v>35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5" t="s">
        <v>107</v>
      </c>
      <c r="CT19" s="16" t="s">
        <v>35</v>
      </c>
      <c r="CU19" s="17">
        <v>62.950639056790273</v>
      </c>
      <c r="CV19" s="17">
        <v>5.3119736068295689</v>
      </c>
      <c r="CW19" s="17">
        <v>0</v>
      </c>
      <c r="CX19" s="17">
        <v>0</v>
      </c>
      <c r="CY19" s="17">
        <v>68.262612663619848</v>
      </c>
      <c r="CZ19" s="15" t="s">
        <v>107</v>
      </c>
      <c r="DA19" s="16" t="s">
        <v>35</v>
      </c>
      <c r="DB19" s="17">
        <v>8.7113457269874939</v>
      </c>
      <c r="DC19" s="17">
        <v>0</v>
      </c>
      <c r="DD19" s="17">
        <v>0</v>
      </c>
      <c r="DE19" s="17">
        <v>0</v>
      </c>
      <c r="DF19" s="17">
        <v>8.7113457269874939</v>
      </c>
      <c r="DG19" s="15" t="s">
        <v>107</v>
      </c>
      <c r="DH19" s="16" t="s">
        <v>35</v>
      </c>
      <c r="DI19" s="17">
        <v>0</v>
      </c>
      <c r="DJ19" s="17">
        <v>0</v>
      </c>
      <c r="DK19" s="17">
        <v>0</v>
      </c>
      <c r="DL19" s="17">
        <v>0</v>
      </c>
      <c r="DM19" s="17">
        <v>0</v>
      </c>
      <c r="DN19" s="15" t="s">
        <v>107</v>
      </c>
      <c r="DO19" s="16" t="s">
        <v>35</v>
      </c>
      <c r="DP19" s="17">
        <v>94.061478401025553</v>
      </c>
      <c r="DQ19" s="17">
        <v>21.933088953735894</v>
      </c>
      <c r="DR19" s="17">
        <v>4.1843866293382027E-2</v>
      </c>
      <c r="DS19" s="17">
        <v>3.4380847587681611</v>
      </c>
      <c r="DT19" s="17">
        <v>119.47449597982298</v>
      </c>
      <c r="DU19" s="15" t="s">
        <v>107</v>
      </c>
      <c r="DV19" s="16" t="s">
        <v>35</v>
      </c>
      <c r="DW19" s="17">
        <v>47.771523649934004</v>
      </c>
      <c r="DX19" s="17">
        <v>15.534406525976014</v>
      </c>
      <c r="DY19" s="17">
        <v>0</v>
      </c>
      <c r="DZ19" s="17">
        <v>0</v>
      </c>
      <c r="EA19" s="17">
        <v>63.305930175910021</v>
      </c>
      <c r="EB19" s="15" t="s">
        <v>107</v>
      </c>
      <c r="EC19" s="16" t="s">
        <v>35</v>
      </c>
      <c r="ED19" s="17">
        <v>68.397858751846286</v>
      </c>
      <c r="EE19" s="17">
        <v>101.10495168779261</v>
      </c>
      <c r="EF19" s="17">
        <v>0</v>
      </c>
      <c r="EG19" s="17">
        <v>0</v>
      </c>
      <c r="EH19" s="17">
        <v>169.50281043963889</v>
      </c>
    </row>
    <row r="20" spans="1:138" ht="10.199999999999999" customHeight="1" x14ac:dyDescent="0.25">
      <c r="A20" s="15" t="s">
        <v>100</v>
      </c>
      <c r="B20" s="16" t="s">
        <v>28</v>
      </c>
      <c r="C20" s="17">
        <f t="shared" si="4"/>
        <v>0</v>
      </c>
      <c r="D20" s="17">
        <f t="shared" si="5"/>
        <v>17.691608665028351</v>
      </c>
      <c r="E20" s="17">
        <f t="shared" si="6"/>
        <v>0</v>
      </c>
      <c r="F20" s="17">
        <f t="shared" si="7"/>
        <v>0</v>
      </c>
      <c r="G20" s="17">
        <f t="shared" si="8"/>
        <v>17.084553260898137</v>
      </c>
      <c r="H20" s="17">
        <f t="shared" si="9"/>
        <v>0</v>
      </c>
      <c r="I20" s="17">
        <f t="shared" si="10"/>
        <v>40.250333758844342</v>
      </c>
      <c r="J20" s="17">
        <f t="shared" si="11"/>
        <v>0</v>
      </c>
      <c r="K20" s="17">
        <f t="shared" si="12"/>
        <v>5.1966624450908085</v>
      </c>
      <c r="L20" s="17">
        <f t="shared" si="13"/>
        <v>40.229937981989458</v>
      </c>
      <c r="M20" s="17">
        <f t="shared" si="14"/>
        <v>504.82090607673825</v>
      </c>
      <c r="N20" s="17">
        <f t="shared" si="15"/>
        <v>18.081752024604334</v>
      </c>
      <c r="O20" s="17">
        <f t="shared" si="16"/>
        <v>643.35575421319368</v>
      </c>
      <c r="P20" s="15" t="s">
        <v>100</v>
      </c>
      <c r="Q20" s="16" t="s">
        <v>28</v>
      </c>
      <c r="R20" s="17">
        <f t="shared" si="17"/>
        <v>0</v>
      </c>
      <c r="S20" s="17">
        <f t="shared" si="18"/>
        <v>17.691608665028351</v>
      </c>
      <c r="T20" s="17">
        <f t="shared" si="19"/>
        <v>0</v>
      </c>
      <c r="U20" s="17">
        <f t="shared" si="20"/>
        <v>0</v>
      </c>
      <c r="V20" s="17">
        <f t="shared" si="21"/>
        <v>17.084553260898137</v>
      </c>
      <c r="W20" s="17">
        <f t="shared" si="22"/>
        <v>0</v>
      </c>
      <c r="X20" s="17">
        <f t="shared" si="23"/>
        <v>40.250333758844342</v>
      </c>
      <c r="Y20" s="17">
        <f t="shared" si="24"/>
        <v>0</v>
      </c>
      <c r="Z20" s="17">
        <f t="shared" si="25"/>
        <v>5.1966624450908085</v>
      </c>
      <c r="AA20" s="17">
        <f t="shared" si="26"/>
        <v>40.229937981989458</v>
      </c>
      <c r="AB20" s="17">
        <f t="shared" si="27"/>
        <v>120.4530961118511</v>
      </c>
      <c r="AC20" s="15" t="s">
        <v>100</v>
      </c>
      <c r="AD20" s="16" t="s">
        <v>28</v>
      </c>
      <c r="AE20" s="17">
        <f t="shared" si="28"/>
        <v>504.82090607673825</v>
      </c>
      <c r="AF20" s="17">
        <f t="shared" si="29"/>
        <v>18.081752024604334</v>
      </c>
      <c r="AG20" s="17">
        <f t="shared" si="30"/>
        <v>522.90265810134258</v>
      </c>
      <c r="AH20" s="15" t="s">
        <v>100</v>
      </c>
      <c r="AI20" s="16" t="s">
        <v>28</v>
      </c>
      <c r="AJ20" s="17">
        <f t="shared" si="31"/>
        <v>615.19896065913258</v>
      </c>
      <c r="AK20" s="17">
        <f t="shared" si="32"/>
        <v>26.031261955180916</v>
      </c>
      <c r="AL20" s="17">
        <f t="shared" si="33"/>
        <v>2.125531598880146</v>
      </c>
      <c r="AM20" s="17">
        <f t="shared" si="34"/>
        <v>0</v>
      </c>
      <c r="AN20" s="17">
        <f t="shared" si="35"/>
        <v>643.35575421319356</v>
      </c>
      <c r="AO20" s="15" t="s">
        <v>100</v>
      </c>
      <c r="AP20" s="16" t="s">
        <v>28</v>
      </c>
      <c r="AQ20" s="17">
        <f t="shared" si="36"/>
        <v>106.42760137401919</v>
      </c>
      <c r="AR20" s="17">
        <f t="shared" si="37"/>
        <v>14.025494737831915</v>
      </c>
      <c r="AS20" s="17">
        <f t="shared" si="38"/>
        <v>0</v>
      </c>
      <c r="AT20" s="17">
        <f t="shared" si="39"/>
        <v>0</v>
      </c>
      <c r="AU20" s="17">
        <f t="shared" si="40"/>
        <v>120.45309611185111</v>
      </c>
      <c r="AV20" s="15" t="s">
        <v>100</v>
      </c>
      <c r="AW20" s="16" t="s">
        <v>28</v>
      </c>
      <c r="AX20" s="17">
        <f t="shared" si="41"/>
        <v>508.77135928511342</v>
      </c>
      <c r="AY20" s="17">
        <f t="shared" si="42"/>
        <v>12.005767217349</v>
      </c>
      <c r="AZ20" s="17">
        <f t="shared" si="43"/>
        <v>2.125531598880146</v>
      </c>
      <c r="BA20" s="17">
        <f t="shared" si="44"/>
        <v>0</v>
      </c>
      <c r="BB20" s="17">
        <f t="shared" si="45"/>
        <v>522.90265810134258</v>
      </c>
      <c r="BC20" s="15" t="s">
        <v>100</v>
      </c>
      <c r="BD20" s="16" t="s">
        <v>28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5" t="s">
        <v>100</v>
      </c>
      <c r="BK20" s="16" t="s">
        <v>28</v>
      </c>
      <c r="BL20" s="17">
        <v>17.691608665028351</v>
      </c>
      <c r="BM20" s="17">
        <v>0</v>
      </c>
      <c r="BN20" s="17">
        <v>0</v>
      </c>
      <c r="BO20" s="17">
        <v>0</v>
      </c>
      <c r="BP20" s="17">
        <v>17.691608665028351</v>
      </c>
      <c r="BQ20" s="15" t="s">
        <v>100</v>
      </c>
      <c r="BR20" s="16" t="s">
        <v>28</v>
      </c>
      <c r="BS20" s="17">
        <v>0</v>
      </c>
      <c r="BT20" s="17">
        <v>0</v>
      </c>
      <c r="BU20" s="17">
        <v>0</v>
      </c>
      <c r="BV20" s="17">
        <v>0</v>
      </c>
      <c r="BW20" s="17">
        <v>0</v>
      </c>
      <c r="BX20" s="15" t="s">
        <v>100</v>
      </c>
      <c r="BY20" s="16" t="s">
        <v>28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5" t="s">
        <v>100</v>
      </c>
      <c r="CF20" s="16" t="s">
        <v>28</v>
      </c>
      <c r="CG20" s="17">
        <v>3.0590585230662204</v>
      </c>
      <c r="CH20" s="17">
        <v>14.025494737831915</v>
      </c>
      <c r="CI20" s="17">
        <v>0</v>
      </c>
      <c r="CJ20" s="17">
        <v>0</v>
      </c>
      <c r="CK20" s="17">
        <v>17.084553260898137</v>
      </c>
      <c r="CL20" s="15" t="s">
        <v>100</v>
      </c>
      <c r="CM20" s="16" t="s">
        <v>28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5" t="s">
        <v>100</v>
      </c>
      <c r="CT20" s="16" t="s">
        <v>28</v>
      </c>
      <c r="CU20" s="17">
        <v>40.250333758844342</v>
      </c>
      <c r="CV20" s="17">
        <v>0</v>
      </c>
      <c r="CW20" s="17">
        <v>0</v>
      </c>
      <c r="CX20" s="17">
        <v>0</v>
      </c>
      <c r="CY20" s="17">
        <v>40.250333758844342</v>
      </c>
      <c r="CZ20" s="15" t="s">
        <v>100</v>
      </c>
      <c r="DA20" s="16" t="s">
        <v>28</v>
      </c>
      <c r="DB20" s="17">
        <v>5.1966624450908085</v>
      </c>
      <c r="DC20" s="17">
        <v>0</v>
      </c>
      <c r="DD20" s="17">
        <v>0</v>
      </c>
      <c r="DE20" s="17">
        <v>0</v>
      </c>
      <c r="DF20" s="17">
        <v>5.1966624450908085</v>
      </c>
      <c r="DG20" s="15" t="s">
        <v>100</v>
      </c>
      <c r="DH20" s="16" t="s">
        <v>28</v>
      </c>
      <c r="DI20" s="17">
        <v>0</v>
      </c>
      <c r="DJ20" s="17">
        <v>0</v>
      </c>
      <c r="DK20" s="17">
        <v>0</v>
      </c>
      <c r="DL20" s="17">
        <v>0</v>
      </c>
      <c r="DM20" s="17">
        <v>0</v>
      </c>
      <c r="DN20" s="15" t="s">
        <v>100</v>
      </c>
      <c r="DO20" s="16" t="s">
        <v>28</v>
      </c>
      <c r="DP20" s="17">
        <v>40.229937981989458</v>
      </c>
      <c r="DQ20" s="17">
        <v>0</v>
      </c>
      <c r="DR20" s="17">
        <v>0</v>
      </c>
      <c r="DS20" s="17">
        <v>0</v>
      </c>
      <c r="DT20" s="17">
        <v>40.229937981989458</v>
      </c>
      <c r="DU20" s="15" t="s">
        <v>100</v>
      </c>
      <c r="DV20" s="16" t="s">
        <v>28</v>
      </c>
      <c r="DW20" s="17">
        <v>9.7454866679494465</v>
      </c>
      <c r="DX20" s="17">
        <v>6.2525776240681239</v>
      </c>
      <c r="DY20" s="17">
        <v>2.083687732586764</v>
      </c>
      <c r="DZ20" s="17">
        <v>0</v>
      </c>
      <c r="EA20" s="17">
        <v>18.081752024604334</v>
      </c>
      <c r="EB20" s="15" t="s">
        <v>100</v>
      </c>
      <c r="EC20" s="16" t="s">
        <v>28</v>
      </c>
      <c r="ED20" s="17">
        <v>499.025872617164</v>
      </c>
      <c r="EE20" s="17">
        <v>5.7531895932808768</v>
      </c>
      <c r="EF20" s="17">
        <v>4.1843866293382027E-2</v>
      </c>
      <c r="EG20" s="17">
        <v>0</v>
      </c>
      <c r="EH20" s="17">
        <v>504.82090607673825</v>
      </c>
    </row>
    <row r="21" spans="1:138" ht="10.199999999999999" customHeight="1" x14ac:dyDescent="0.25">
      <c r="A21" s="15" t="s">
        <v>108</v>
      </c>
      <c r="B21" s="16" t="s">
        <v>36</v>
      </c>
      <c r="C21" s="17">
        <f t="shared" si="4"/>
        <v>0</v>
      </c>
      <c r="D21" s="17">
        <f t="shared" si="5"/>
        <v>0</v>
      </c>
      <c r="E21" s="17">
        <f t="shared" si="6"/>
        <v>0</v>
      </c>
      <c r="F21" s="17">
        <f t="shared" si="7"/>
        <v>0</v>
      </c>
      <c r="G21" s="17">
        <f t="shared" si="8"/>
        <v>0</v>
      </c>
      <c r="H21" s="17">
        <f t="shared" si="9"/>
        <v>0</v>
      </c>
      <c r="I21" s="17">
        <f t="shared" si="10"/>
        <v>0</v>
      </c>
      <c r="J21" s="17">
        <f t="shared" si="11"/>
        <v>0</v>
      </c>
      <c r="K21" s="17">
        <f t="shared" si="12"/>
        <v>0</v>
      </c>
      <c r="L21" s="17">
        <f t="shared" si="13"/>
        <v>27.718793248092819</v>
      </c>
      <c r="M21" s="17">
        <f t="shared" si="14"/>
        <v>104.73353609923448</v>
      </c>
      <c r="N21" s="17">
        <f t="shared" si="15"/>
        <v>28.020054174229138</v>
      </c>
      <c r="O21" s="17">
        <f t="shared" si="16"/>
        <v>160.47238352155642</v>
      </c>
      <c r="P21" s="15" t="s">
        <v>108</v>
      </c>
      <c r="Q21" s="16" t="s">
        <v>36</v>
      </c>
      <c r="R21" s="17">
        <f t="shared" si="17"/>
        <v>0</v>
      </c>
      <c r="S21" s="17">
        <f t="shared" si="18"/>
        <v>0</v>
      </c>
      <c r="T21" s="17">
        <f t="shared" si="19"/>
        <v>0</v>
      </c>
      <c r="U21" s="17">
        <f t="shared" si="20"/>
        <v>0</v>
      </c>
      <c r="V21" s="17">
        <f t="shared" si="21"/>
        <v>0</v>
      </c>
      <c r="W21" s="17">
        <f t="shared" si="22"/>
        <v>0</v>
      </c>
      <c r="X21" s="17">
        <f t="shared" si="23"/>
        <v>0</v>
      </c>
      <c r="Y21" s="17">
        <f t="shared" si="24"/>
        <v>0</v>
      </c>
      <c r="Z21" s="17">
        <f t="shared" si="25"/>
        <v>0</v>
      </c>
      <c r="AA21" s="17">
        <f t="shared" si="26"/>
        <v>27.718793248092819</v>
      </c>
      <c r="AB21" s="17">
        <f t="shared" si="27"/>
        <v>27.718793248092819</v>
      </c>
      <c r="AC21" s="15" t="s">
        <v>108</v>
      </c>
      <c r="AD21" s="16" t="s">
        <v>36</v>
      </c>
      <c r="AE21" s="17">
        <f t="shared" si="28"/>
        <v>104.73353609923448</v>
      </c>
      <c r="AF21" s="17">
        <f t="shared" si="29"/>
        <v>28.020054174229138</v>
      </c>
      <c r="AG21" s="17">
        <f t="shared" si="30"/>
        <v>132.75359027346363</v>
      </c>
      <c r="AH21" s="15" t="s">
        <v>108</v>
      </c>
      <c r="AI21" s="16" t="s">
        <v>36</v>
      </c>
      <c r="AJ21" s="17">
        <f t="shared" si="31"/>
        <v>153.28030005746663</v>
      </c>
      <c r="AK21" s="17">
        <f t="shared" si="32"/>
        <v>6.1502395977964168</v>
      </c>
      <c r="AL21" s="17">
        <f t="shared" si="33"/>
        <v>1.041843866293382</v>
      </c>
      <c r="AM21" s="17">
        <f t="shared" si="34"/>
        <v>0</v>
      </c>
      <c r="AN21" s="17">
        <f t="shared" si="35"/>
        <v>160.47238352155645</v>
      </c>
      <c r="AO21" s="15" t="s">
        <v>108</v>
      </c>
      <c r="AP21" s="16" t="s">
        <v>36</v>
      </c>
      <c r="AQ21" s="17">
        <f t="shared" si="36"/>
        <v>27.718793248092819</v>
      </c>
      <c r="AR21" s="17">
        <f t="shared" si="37"/>
        <v>0</v>
      </c>
      <c r="AS21" s="17">
        <f t="shared" si="38"/>
        <v>0</v>
      </c>
      <c r="AT21" s="17">
        <f t="shared" si="39"/>
        <v>0</v>
      </c>
      <c r="AU21" s="17">
        <f t="shared" si="40"/>
        <v>27.718793248092819</v>
      </c>
      <c r="AV21" s="15" t="s">
        <v>108</v>
      </c>
      <c r="AW21" s="16" t="s">
        <v>36</v>
      </c>
      <c r="AX21" s="17">
        <f t="shared" si="41"/>
        <v>125.56150680937382</v>
      </c>
      <c r="AY21" s="17">
        <f t="shared" si="42"/>
        <v>6.1502395977964168</v>
      </c>
      <c r="AZ21" s="17">
        <f t="shared" si="43"/>
        <v>1.041843866293382</v>
      </c>
      <c r="BA21" s="17">
        <f t="shared" si="44"/>
        <v>0</v>
      </c>
      <c r="BB21" s="17">
        <f t="shared" si="45"/>
        <v>132.75359027346363</v>
      </c>
      <c r="BC21" s="15" t="s">
        <v>108</v>
      </c>
      <c r="BD21" s="16" t="s">
        <v>36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5" t="s">
        <v>108</v>
      </c>
      <c r="BK21" s="16" t="s">
        <v>36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5" t="s">
        <v>108</v>
      </c>
      <c r="BR21" s="16" t="s">
        <v>36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5" t="s">
        <v>108</v>
      </c>
      <c r="BY21" s="16" t="s">
        <v>36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5" t="s">
        <v>108</v>
      </c>
      <c r="CF21" s="16" t="s">
        <v>36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5" t="s">
        <v>108</v>
      </c>
      <c r="CM21" s="16" t="s">
        <v>36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5" t="s">
        <v>108</v>
      </c>
      <c r="CT21" s="16" t="s">
        <v>36</v>
      </c>
      <c r="CU21" s="17">
        <v>0</v>
      </c>
      <c r="CV21" s="17">
        <v>0</v>
      </c>
      <c r="CW21" s="17">
        <v>0</v>
      </c>
      <c r="CX21" s="17">
        <v>0</v>
      </c>
      <c r="CY21" s="17">
        <v>0</v>
      </c>
      <c r="CZ21" s="15" t="s">
        <v>108</v>
      </c>
      <c r="DA21" s="16" t="s">
        <v>36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5" t="s">
        <v>108</v>
      </c>
      <c r="DH21" s="16" t="s">
        <v>36</v>
      </c>
      <c r="DI21" s="17">
        <v>0</v>
      </c>
      <c r="DJ21" s="17">
        <v>0</v>
      </c>
      <c r="DK21" s="17">
        <v>0</v>
      </c>
      <c r="DL21" s="17">
        <v>0</v>
      </c>
      <c r="DM21" s="17">
        <v>0</v>
      </c>
      <c r="DN21" s="15" t="s">
        <v>108</v>
      </c>
      <c r="DO21" s="16" t="s">
        <v>36</v>
      </c>
      <c r="DP21" s="17">
        <v>27.718793248092819</v>
      </c>
      <c r="DQ21" s="17">
        <v>0</v>
      </c>
      <c r="DR21" s="17">
        <v>0</v>
      </c>
      <c r="DS21" s="17">
        <v>0</v>
      </c>
      <c r="DT21" s="17">
        <v>27.718793248092819</v>
      </c>
      <c r="DU21" s="15" t="s">
        <v>108</v>
      </c>
      <c r="DV21" s="16" t="s">
        <v>36</v>
      </c>
      <c r="DW21" s="17">
        <v>20.827970710139336</v>
      </c>
      <c r="DX21" s="17">
        <v>6.1502395977964168</v>
      </c>
      <c r="DY21" s="17">
        <v>1.041843866293382</v>
      </c>
      <c r="DZ21" s="17">
        <v>0</v>
      </c>
      <c r="EA21" s="17">
        <v>28.020054174229138</v>
      </c>
      <c r="EB21" s="15" t="s">
        <v>108</v>
      </c>
      <c r="EC21" s="16" t="s">
        <v>36</v>
      </c>
      <c r="ED21" s="17">
        <v>104.73353609923448</v>
      </c>
      <c r="EE21" s="17">
        <v>0</v>
      </c>
      <c r="EF21" s="17">
        <v>0</v>
      </c>
      <c r="EG21" s="17">
        <v>0</v>
      </c>
      <c r="EH21" s="17">
        <v>104.73353609923448</v>
      </c>
    </row>
    <row r="22" spans="1:138" ht="10.199999999999999" customHeight="1" x14ac:dyDescent="0.25">
      <c r="A22" s="15" t="s">
        <v>104</v>
      </c>
      <c r="B22" s="16" t="s">
        <v>32</v>
      </c>
      <c r="C22" s="17">
        <f t="shared" si="4"/>
        <v>0</v>
      </c>
      <c r="D22" s="17">
        <f t="shared" si="5"/>
        <v>0</v>
      </c>
      <c r="E22" s="17">
        <f t="shared" si="6"/>
        <v>0</v>
      </c>
      <c r="F22" s="17">
        <f t="shared" si="7"/>
        <v>0</v>
      </c>
      <c r="G22" s="17">
        <f t="shared" si="8"/>
        <v>0</v>
      </c>
      <c r="H22" s="17">
        <f t="shared" si="9"/>
        <v>0</v>
      </c>
      <c r="I22" s="17">
        <f t="shared" si="10"/>
        <v>0</v>
      </c>
      <c r="J22" s="17">
        <f t="shared" si="11"/>
        <v>2.167375465173528</v>
      </c>
      <c r="K22" s="17">
        <f t="shared" si="12"/>
        <v>0.12553159888014606</v>
      </c>
      <c r="L22" s="17">
        <f t="shared" si="13"/>
        <v>49.733531863801893</v>
      </c>
      <c r="M22" s="17">
        <f t="shared" si="14"/>
        <v>69.130957877022809</v>
      </c>
      <c r="N22" s="17">
        <f t="shared" si="15"/>
        <v>47.471124911873069</v>
      </c>
      <c r="O22" s="17">
        <f t="shared" si="16"/>
        <v>168.62852171675144</v>
      </c>
      <c r="P22" s="15" t="s">
        <v>104</v>
      </c>
      <c r="Q22" s="16" t="s">
        <v>32</v>
      </c>
      <c r="R22" s="17">
        <f t="shared" si="17"/>
        <v>0</v>
      </c>
      <c r="S22" s="17">
        <f t="shared" si="18"/>
        <v>0</v>
      </c>
      <c r="T22" s="17">
        <f t="shared" si="19"/>
        <v>0</v>
      </c>
      <c r="U22" s="17">
        <f t="shared" si="20"/>
        <v>0</v>
      </c>
      <c r="V22" s="17">
        <f t="shared" si="21"/>
        <v>0</v>
      </c>
      <c r="W22" s="17">
        <f t="shared" si="22"/>
        <v>0</v>
      </c>
      <c r="X22" s="17">
        <f t="shared" si="23"/>
        <v>0</v>
      </c>
      <c r="Y22" s="17">
        <f t="shared" si="24"/>
        <v>2.167375465173528</v>
      </c>
      <c r="Z22" s="17">
        <f t="shared" si="25"/>
        <v>0.12553159888014606</v>
      </c>
      <c r="AA22" s="17">
        <f t="shared" si="26"/>
        <v>49.733531863801893</v>
      </c>
      <c r="AB22" s="17">
        <f t="shared" si="27"/>
        <v>52.026438927855565</v>
      </c>
      <c r="AC22" s="15" t="s">
        <v>104</v>
      </c>
      <c r="AD22" s="16" t="s">
        <v>32</v>
      </c>
      <c r="AE22" s="17">
        <f t="shared" si="28"/>
        <v>69.130957877022809</v>
      </c>
      <c r="AF22" s="17">
        <f t="shared" si="29"/>
        <v>47.471124911873069</v>
      </c>
      <c r="AG22" s="17">
        <f t="shared" si="30"/>
        <v>116.60208278889587</v>
      </c>
      <c r="AH22" s="15" t="s">
        <v>104</v>
      </c>
      <c r="AI22" s="16" t="s">
        <v>32</v>
      </c>
      <c r="AJ22" s="17">
        <f t="shared" si="31"/>
        <v>93.251059577566338</v>
      </c>
      <c r="AK22" s="17">
        <f t="shared" si="32"/>
        <v>62.637770166919942</v>
      </c>
      <c r="AL22" s="17">
        <f t="shared" si="33"/>
        <v>9.3016072134970074</v>
      </c>
      <c r="AM22" s="17">
        <f t="shared" si="34"/>
        <v>3.4380847587681611</v>
      </c>
      <c r="AN22" s="17">
        <f t="shared" si="35"/>
        <v>168.62852171675146</v>
      </c>
      <c r="AO22" s="15" t="s">
        <v>104</v>
      </c>
      <c r="AP22" s="16" t="s">
        <v>32</v>
      </c>
      <c r="AQ22" s="17">
        <f t="shared" si="36"/>
        <v>6.8368773258676399</v>
      </c>
      <c r="AR22" s="17">
        <f t="shared" si="37"/>
        <v>41.751476843219763</v>
      </c>
      <c r="AS22" s="17">
        <f t="shared" si="38"/>
        <v>0</v>
      </c>
      <c r="AT22" s="17">
        <f t="shared" si="39"/>
        <v>3.4380847587681611</v>
      </c>
      <c r="AU22" s="17">
        <f t="shared" si="40"/>
        <v>52.026438927855565</v>
      </c>
      <c r="AV22" s="15" t="s">
        <v>104</v>
      </c>
      <c r="AW22" s="16" t="s">
        <v>32</v>
      </c>
      <c r="AX22" s="17">
        <f t="shared" si="41"/>
        <v>86.414182251698691</v>
      </c>
      <c r="AY22" s="17">
        <f t="shared" si="42"/>
        <v>20.88629332370018</v>
      </c>
      <c r="AZ22" s="17">
        <f t="shared" si="43"/>
        <v>9.3016072134970074</v>
      </c>
      <c r="BA22" s="17">
        <f t="shared" si="44"/>
        <v>0</v>
      </c>
      <c r="BB22" s="17">
        <f t="shared" si="45"/>
        <v>116.60208278889588</v>
      </c>
      <c r="BC22" s="15" t="s">
        <v>104</v>
      </c>
      <c r="BD22" s="16" t="s">
        <v>32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5" t="s">
        <v>104</v>
      </c>
      <c r="BK22" s="16" t="s">
        <v>32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5" t="s">
        <v>104</v>
      </c>
      <c r="BR22" s="16" t="s">
        <v>32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5" t="s">
        <v>104</v>
      </c>
      <c r="BY22" s="16" t="s">
        <v>32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5" t="s">
        <v>104</v>
      </c>
      <c r="CF22" s="16" t="s">
        <v>32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5" t="s">
        <v>104</v>
      </c>
      <c r="CM22" s="16" t="s">
        <v>32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5" t="s">
        <v>104</v>
      </c>
      <c r="CT22" s="16" t="s">
        <v>32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5" t="s">
        <v>104</v>
      </c>
      <c r="DA22" s="16" t="s">
        <v>32</v>
      </c>
      <c r="DB22" s="17">
        <v>0.12553159888014606</v>
      </c>
      <c r="DC22" s="17">
        <v>0</v>
      </c>
      <c r="DD22" s="17">
        <v>0</v>
      </c>
      <c r="DE22" s="17">
        <v>0</v>
      </c>
      <c r="DF22" s="17">
        <v>0.12553159888014606</v>
      </c>
      <c r="DG22" s="15" t="s">
        <v>104</v>
      </c>
      <c r="DH22" s="16" t="s">
        <v>32</v>
      </c>
      <c r="DI22" s="17">
        <v>8.3687732586764055E-2</v>
      </c>
      <c r="DJ22" s="17">
        <v>2.083687732586764</v>
      </c>
      <c r="DK22" s="17">
        <v>0</v>
      </c>
      <c r="DL22" s="17">
        <v>0</v>
      </c>
      <c r="DM22" s="17">
        <v>2.167375465173528</v>
      </c>
      <c r="DN22" s="15" t="s">
        <v>104</v>
      </c>
      <c r="DO22" s="16" t="s">
        <v>32</v>
      </c>
      <c r="DP22" s="17">
        <v>6.6276579944007299</v>
      </c>
      <c r="DQ22" s="17">
        <v>39.667789110633002</v>
      </c>
      <c r="DR22" s="17">
        <v>0</v>
      </c>
      <c r="DS22" s="17">
        <v>3.4380847587681611</v>
      </c>
      <c r="DT22" s="17">
        <v>49.733531863801893</v>
      </c>
      <c r="DU22" s="15" t="s">
        <v>104</v>
      </c>
      <c r="DV22" s="16" t="s">
        <v>32</v>
      </c>
      <c r="DW22" s="17">
        <v>22.701663037609698</v>
      </c>
      <c r="DX22" s="17">
        <v>15.467854660766362</v>
      </c>
      <c r="DY22" s="17">
        <v>9.3016072134970074</v>
      </c>
      <c r="DZ22" s="17">
        <v>0</v>
      </c>
      <c r="EA22" s="17">
        <v>47.471124911873069</v>
      </c>
      <c r="EB22" s="15" t="s">
        <v>104</v>
      </c>
      <c r="EC22" s="16" t="s">
        <v>32</v>
      </c>
      <c r="ED22" s="17">
        <v>63.712519214088985</v>
      </c>
      <c r="EE22" s="17">
        <v>5.4184386629338199</v>
      </c>
      <c r="EF22" s="17">
        <v>0</v>
      </c>
      <c r="EG22" s="17">
        <v>0</v>
      </c>
      <c r="EH22" s="17">
        <v>69.130957877022809</v>
      </c>
    </row>
    <row r="23" spans="1:138" ht="10.199999999999999" customHeight="1" x14ac:dyDescent="0.25">
      <c r="A23" s="15" t="s">
        <v>105</v>
      </c>
      <c r="B23" s="16" t="s">
        <v>33</v>
      </c>
      <c r="C23" s="17">
        <f t="shared" si="4"/>
        <v>0</v>
      </c>
      <c r="D23" s="17">
        <f t="shared" si="5"/>
        <v>27.570329857189371</v>
      </c>
      <c r="E23" s="17">
        <f t="shared" si="6"/>
        <v>4.1843866293382027E-2</v>
      </c>
      <c r="F23" s="17">
        <f t="shared" si="7"/>
        <v>8.3687732586764055E-2</v>
      </c>
      <c r="G23" s="17">
        <f t="shared" si="8"/>
        <v>19.979623581520624</v>
      </c>
      <c r="H23" s="17">
        <f t="shared" si="9"/>
        <v>0</v>
      </c>
      <c r="I23" s="17">
        <f t="shared" si="10"/>
        <v>8.3687732586764055E-2</v>
      </c>
      <c r="J23" s="17">
        <f t="shared" si="11"/>
        <v>0</v>
      </c>
      <c r="K23" s="17">
        <f t="shared" si="12"/>
        <v>0</v>
      </c>
      <c r="L23" s="17">
        <f t="shared" si="13"/>
        <v>44.52284504604313</v>
      </c>
      <c r="M23" s="17">
        <f t="shared" si="14"/>
        <v>55.850347238361167</v>
      </c>
      <c r="N23" s="17">
        <f t="shared" si="15"/>
        <v>41.156155915852146</v>
      </c>
      <c r="O23" s="17">
        <f t="shared" si="16"/>
        <v>189.28852097043335</v>
      </c>
      <c r="P23" s="15" t="s">
        <v>105</v>
      </c>
      <c r="Q23" s="16" t="s">
        <v>33</v>
      </c>
      <c r="R23" s="17">
        <f t="shared" si="17"/>
        <v>0</v>
      </c>
      <c r="S23" s="17">
        <f t="shared" si="18"/>
        <v>27.570329857189371</v>
      </c>
      <c r="T23" s="17">
        <f t="shared" si="19"/>
        <v>4.1843866293382027E-2</v>
      </c>
      <c r="U23" s="17">
        <f t="shared" si="20"/>
        <v>8.3687732586764055E-2</v>
      </c>
      <c r="V23" s="17">
        <f t="shared" si="21"/>
        <v>19.979623581520624</v>
      </c>
      <c r="W23" s="17">
        <f t="shared" si="22"/>
        <v>0</v>
      </c>
      <c r="X23" s="17">
        <f t="shared" si="23"/>
        <v>8.3687732586764055E-2</v>
      </c>
      <c r="Y23" s="17">
        <f t="shared" si="24"/>
        <v>0</v>
      </c>
      <c r="Z23" s="17">
        <f t="shared" si="25"/>
        <v>0</v>
      </c>
      <c r="AA23" s="17">
        <f t="shared" si="26"/>
        <v>44.52284504604313</v>
      </c>
      <c r="AB23" s="17">
        <f t="shared" si="27"/>
        <v>92.282017816220048</v>
      </c>
      <c r="AC23" s="15" t="s">
        <v>105</v>
      </c>
      <c r="AD23" s="16" t="s">
        <v>33</v>
      </c>
      <c r="AE23" s="17">
        <f t="shared" si="28"/>
        <v>55.850347238361167</v>
      </c>
      <c r="AF23" s="17">
        <f t="shared" si="29"/>
        <v>41.156155915852146</v>
      </c>
      <c r="AG23" s="17">
        <f t="shared" si="30"/>
        <v>97.006503154213306</v>
      </c>
      <c r="AH23" s="15" t="s">
        <v>105</v>
      </c>
      <c r="AI23" s="16" t="s">
        <v>33</v>
      </c>
      <c r="AJ23" s="17">
        <f t="shared" si="31"/>
        <v>163.23636660786747</v>
      </c>
      <c r="AK23" s="17">
        <f t="shared" si="32"/>
        <v>26.052154362565876</v>
      </c>
      <c r="AL23" s="17">
        <f t="shared" si="33"/>
        <v>0</v>
      </c>
      <c r="AM23" s="17">
        <f t="shared" si="34"/>
        <v>0</v>
      </c>
      <c r="AN23" s="17">
        <f t="shared" si="35"/>
        <v>189.28852097043335</v>
      </c>
      <c r="AO23" s="15" t="s">
        <v>105</v>
      </c>
      <c r="AP23" s="16" t="s">
        <v>33</v>
      </c>
      <c r="AQ23" s="17">
        <f t="shared" si="36"/>
        <v>78.654359821819313</v>
      </c>
      <c r="AR23" s="17">
        <f t="shared" si="37"/>
        <v>13.62765799440073</v>
      </c>
      <c r="AS23" s="17">
        <f t="shared" si="38"/>
        <v>0</v>
      </c>
      <c r="AT23" s="17">
        <f t="shared" si="39"/>
        <v>0</v>
      </c>
      <c r="AU23" s="17">
        <f t="shared" si="40"/>
        <v>92.282017816220048</v>
      </c>
      <c r="AV23" s="15" t="s">
        <v>105</v>
      </c>
      <c r="AW23" s="16" t="s">
        <v>33</v>
      </c>
      <c r="AX23" s="17">
        <f t="shared" si="41"/>
        <v>84.582006786048169</v>
      </c>
      <c r="AY23" s="17">
        <f t="shared" si="42"/>
        <v>12.424496368165146</v>
      </c>
      <c r="AZ23" s="17">
        <f t="shared" si="43"/>
        <v>0</v>
      </c>
      <c r="BA23" s="17">
        <f t="shared" si="44"/>
        <v>0</v>
      </c>
      <c r="BB23" s="17">
        <f t="shared" si="45"/>
        <v>97.00650315421332</v>
      </c>
      <c r="BC23" s="15" t="s">
        <v>105</v>
      </c>
      <c r="BD23" s="16" t="s">
        <v>33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5" t="s">
        <v>105</v>
      </c>
      <c r="BK23" s="16" t="s">
        <v>33</v>
      </c>
      <c r="BL23" s="17">
        <v>26.528485990895991</v>
      </c>
      <c r="BM23" s="17">
        <v>1.041843866293382</v>
      </c>
      <c r="BN23" s="17">
        <v>0</v>
      </c>
      <c r="BO23" s="17">
        <v>0</v>
      </c>
      <c r="BP23" s="17">
        <v>27.570329857189371</v>
      </c>
      <c r="BQ23" s="15" t="s">
        <v>105</v>
      </c>
      <c r="BR23" s="16" t="s">
        <v>33</v>
      </c>
      <c r="BS23" s="17">
        <v>4.1843866293382027E-2</v>
      </c>
      <c r="BT23" s="17">
        <v>0</v>
      </c>
      <c r="BU23" s="17">
        <v>0</v>
      </c>
      <c r="BV23" s="17">
        <v>0</v>
      </c>
      <c r="BW23" s="17">
        <v>4.1843866293382027E-2</v>
      </c>
      <c r="BX23" s="15" t="s">
        <v>105</v>
      </c>
      <c r="BY23" s="16" t="s">
        <v>33</v>
      </c>
      <c r="BZ23" s="17">
        <v>8.3687732586764055E-2</v>
      </c>
      <c r="CA23" s="17">
        <v>0</v>
      </c>
      <c r="CB23" s="17">
        <v>0</v>
      </c>
      <c r="CC23" s="17">
        <v>0</v>
      </c>
      <c r="CD23" s="17">
        <v>8.3687732586764055E-2</v>
      </c>
      <c r="CE23" s="15" t="s">
        <v>105</v>
      </c>
      <c r="CF23" s="16" t="s">
        <v>33</v>
      </c>
      <c r="CG23" s="17">
        <v>8.4356533197066579</v>
      </c>
      <c r="CH23" s="17">
        <v>11.543970261813966</v>
      </c>
      <c r="CI23" s="17">
        <v>0</v>
      </c>
      <c r="CJ23" s="17">
        <v>0</v>
      </c>
      <c r="CK23" s="17">
        <v>19.979623581520624</v>
      </c>
      <c r="CL23" s="15" t="s">
        <v>105</v>
      </c>
      <c r="CM23" s="16" t="s">
        <v>33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5" t="s">
        <v>105</v>
      </c>
      <c r="CT23" s="16" t="s">
        <v>33</v>
      </c>
      <c r="CU23" s="17">
        <v>8.3687732586764055E-2</v>
      </c>
      <c r="CV23" s="17">
        <v>0</v>
      </c>
      <c r="CW23" s="17">
        <v>0</v>
      </c>
      <c r="CX23" s="17">
        <v>0</v>
      </c>
      <c r="CY23" s="17">
        <v>8.3687732586764055E-2</v>
      </c>
      <c r="CZ23" s="15" t="s">
        <v>105</v>
      </c>
      <c r="DA23" s="16" t="s">
        <v>33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5" t="s">
        <v>105</v>
      </c>
      <c r="DH23" s="16" t="s">
        <v>33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5" t="s">
        <v>105</v>
      </c>
      <c r="DO23" s="16" t="s">
        <v>33</v>
      </c>
      <c r="DP23" s="17">
        <v>43.481001179749747</v>
      </c>
      <c r="DQ23" s="17">
        <v>1.041843866293382</v>
      </c>
      <c r="DR23" s="17">
        <v>0</v>
      </c>
      <c r="DS23" s="17">
        <v>0</v>
      </c>
      <c r="DT23" s="17">
        <v>44.52284504604313</v>
      </c>
      <c r="DU23" s="15" t="s">
        <v>105</v>
      </c>
      <c r="DV23" s="16" t="s">
        <v>33</v>
      </c>
      <c r="DW23" s="17">
        <v>32.98272274544729</v>
      </c>
      <c r="DX23" s="17">
        <v>8.173433170404854</v>
      </c>
      <c r="DY23" s="17">
        <v>0</v>
      </c>
      <c r="DZ23" s="17">
        <v>0</v>
      </c>
      <c r="EA23" s="17">
        <v>41.156155915852146</v>
      </c>
      <c r="EB23" s="15" t="s">
        <v>105</v>
      </c>
      <c r="EC23" s="16" t="s">
        <v>33</v>
      </c>
      <c r="ED23" s="17">
        <v>51.599284040600871</v>
      </c>
      <c r="EE23" s="17">
        <v>4.251063197760292</v>
      </c>
      <c r="EF23" s="17">
        <v>0</v>
      </c>
      <c r="EG23" s="17">
        <v>0</v>
      </c>
      <c r="EH23" s="17">
        <v>55.850347238361167</v>
      </c>
    </row>
    <row r="24" spans="1:138" ht="10.199999999999999" customHeight="1" x14ac:dyDescent="0.25">
      <c r="A24" s="15" t="s">
        <v>109</v>
      </c>
      <c r="B24" s="16" t="s">
        <v>37</v>
      </c>
      <c r="C24" s="17">
        <f t="shared" si="4"/>
        <v>0</v>
      </c>
      <c r="D24" s="17">
        <f t="shared" si="5"/>
        <v>0</v>
      </c>
      <c r="E24" s="17">
        <f t="shared" si="6"/>
        <v>0</v>
      </c>
      <c r="F24" s="17">
        <f t="shared" si="7"/>
        <v>55.330475509192638</v>
      </c>
      <c r="G24" s="17">
        <f t="shared" si="8"/>
        <v>29.137948732047832</v>
      </c>
      <c r="H24" s="17">
        <f t="shared" si="9"/>
        <v>0</v>
      </c>
      <c r="I24" s="17">
        <f t="shared" si="10"/>
        <v>21.327646330605269</v>
      </c>
      <c r="J24" s="17">
        <f t="shared" si="11"/>
        <v>0</v>
      </c>
      <c r="K24" s="17">
        <f t="shared" si="12"/>
        <v>1.041843866293382</v>
      </c>
      <c r="L24" s="17">
        <f t="shared" si="13"/>
        <v>31.829241521303675</v>
      </c>
      <c r="M24" s="17">
        <f t="shared" si="14"/>
        <v>99.127654649799467</v>
      </c>
      <c r="N24" s="17">
        <f t="shared" si="15"/>
        <v>27.242083757259511</v>
      </c>
      <c r="O24" s="17">
        <f t="shared" si="16"/>
        <v>265.03689436650177</v>
      </c>
      <c r="P24" s="15" t="s">
        <v>109</v>
      </c>
      <c r="Q24" s="16" t="s">
        <v>37</v>
      </c>
      <c r="R24" s="17">
        <f t="shared" si="17"/>
        <v>0</v>
      </c>
      <c r="S24" s="17">
        <f t="shared" si="18"/>
        <v>0</v>
      </c>
      <c r="T24" s="17">
        <f t="shared" si="19"/>
        <v>0</v>
      </c>
      <c r="U24" s="17">
        <f t="shared" si="20"/>
        <v>55.330475509192638</v>
      </c>
      <c r="V24" s="17">
        <f t="shared" si="21"/>
        <v>29.137948732047832</v>
      </c>
      <c r="W24" s="17">
        <f t="shared" si="22"/>
        <v>0</v>
      </c>
      <c r="X24" s="17">
        <f t="shared" si="23"/>
        <v>21.327646330605269</v>
      </c>
      <c r="Y24" s="17">
        <f t="shared" si="24"/>
        <v>0</v>
      </c>
      <c r="Z24" s="17">
        <f t="shared" si="25"/>
        <v>1.041843866293382</v>
      </c>
      <c r="AA24" s="17">
        <f t="shared" si="26"/>
        <v>31.829241521303675</v>
      </c>
      <c r="AB24" s="17">
        <f t="shared" si="27"/>
        <v>138.66715595944279</v>
      </c>
      <c r="AC24" s="15" t="s">
        <v>109</v>
      </c>
      <c r="AD24" s="16" t="s">
        <v>37</v>
      </c>
      <c r="AE24" s="17">
        <f t="shared" si="28"/>
        <v>99.127654649799467</v>
      </c>
      <c r="AF24" s="17">
        <f t="shared" si="29"/>
        <v>27.242083757259511</v>
      </c>
      <c r="AG24" s="17">
        <f t="shared" si="30"/>
        <v>126.36973840705897</v>
      </c>
      <c r="AH24" s="15" t="s">
        <v>109</v>
      </c>
      <c r="AI24" s="16" t="s">
        <v>37</v>
      </c>
      <c r="AJ24" s="17">
        <f t="shared" si="31"/>
        <v>108.90537475576104</v>
      </c>
      <c r="AK24" s="17">
        <f t="shared" si="32"/>
        <v>155.08967574444731</v>
      </c>
      <c r="AL24" s="17">
        <f t="shared" si="33"/>
        <v>1.041843866293382</v>
      </c>
      <c r="AM24" s="17">
        <f t="shared" si="34"/>
        <v>0</v>
      </c>
      <c r="AN24" s="17">
        <f t="shared" si="35"/>
        <v>265.03689436650171</v>
      </c>
      <c r="AO24" s="15" t="s">
        <v>109</v>
      </c>
      <c r="AP24" s="16" t="s">
        <v>37</v>
      </c>
      <c r="AQ24" s="17">
        <f t="shared" si="36"/>
        <v>46.707984876344909</v>
      </c>
      <c r="AR24" s="17">
        <f t="shared" si="37"/>
        <v>90.91732721680448</v>
      </c>
      <c r="AS24" s="17">
        <f t="shared" si="38"/>
        <v>1.041843866293382</v>
      </c>
      <c r="AT24" s="17">
        <f t="shared" si="39"/>
        <v>0</v>
      </c>
      <c r="AU24" s="17">
        <f t="shared" si="40"/>
        <v>138.66715595944277</v>
      </c>
      <c r="AV24" s="15" t="s">
        <v>109</v>
      </c>
      <c r="AW24" s="16" t="s">
        <v>37</v>
      </c>
      <c r="AX24" s="17">
        <f t="shared" si="41"/>
        <v>62.197389879416143</v>
      </c>
      <c r="AY24" s="17">
        <f t="shared" si="42"/>
        <v>64.172348527642825</v>
      </c>
      <c r="AZ24" s="17">
        <f t="shared" si="43"/>
        <v>0</v>
      </c>
      <c r="BA24" s="17">
        <f t="shared" si="44"/>
        <v>0</v>
      </c>
      <c r="BB24" s="17">
        <f t="shared" si="45"/>
        <v>126.36973840705897</v>
      </c>
      <c r="BC24" s="15" t="s">
        <v>109</v>
      </c>
      <c r="BD24" s="16" t="s">
        <v>37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5" t="s">
        <v>109</v>
      </c>
      <c r="BK24" s="16" t="s">
        <v>37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5" t="s">
        <v>109</v>
      </c>
      <c r="BR24" s="16" t="s">
        <v>37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5" t="s">
        <v>109</v>
      </c>
      <c r="BY24" s="16" t="s">
        <v>37</v>
      </c>
      <c r="BZ24" s="17">
        <v>4.1843866293382027E-2</v>
      </c>
      <c r="CA24" s="17">
        <v>55.288631642899254</v>
      </c>
      <c r="CB24" s="17">
        <v>0</v>
      </c>
      <c r="CC24" s="17">
        <v>0</v>
      </c>
      <c r="CD24" s="17">
        <v>55.330475509192638</v>
      </c>
      <c r="CE24" s="15" t="s">
        <v>109</v>
      </c>
      <c r="CF24" s="16" t="s">
        <v>37</v>
      </c>
      <c r="CG24" s="17">
        <v>10.411024110186114</v>
      </c>
      <c r="CH24" s="17">
        <v>17.685080755568332</v>
      </c>
      <c r="CI24" s="17">
        <v>1.041843866293382</v>
      </c>
      <c r="CJ24" s="17">
        <v>0</v>
      </c>
      <c r="CK24" s="17">
        <v>29.137948732047832</v>
      </c>
      <c r="CL24" s="15" t="s">
        <v>109</v>
      </c>
      <c r="CM24" s="16" t="s">
        <v>37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5" t="s">
        <v>109</v>
      </c>
      <c r="CT24" s="16" t="s">
        <v>37</v>
      </c>
      <c r="CU24" s="17">
        <v>8.7036991169461277</v>
      </c>
      <c r="CV24" s="17">
        <v>12.62394721365914</v>
      </c>
      <c r="CW24" s="17">
        <v>0</v>
      </c>
      <c r="CX24" s="17">
        <v>0</v>
      </c>
      <c r="CY24" s="17">
        <v>21.327646330605269</v>
      </c>
      <c r="CZ24" s="15" t="s">
        <v>109</v>
      </c>
      <c r="DA24" s="16" t="s">
        <v>37</v>
      </c>
      <c r="DB24" s="17">
        <v>0</v>
      </c>
      <c r="DC24" s="17">
        <v>1.041843866293382</v>
      </c>
      <c r="DD24" s="17">
        <v>0</v>
      </c>
      <c r="DE24" s="17">
        <v>0</v>
      </c>
      <c r="DF24" s="17">
        <v>1.041843866293382</v>
      </c>
      <c r="DG24" s="15" t="s">
        <v>109</v>
      </c>
      <c r="DH24" s="16" t="s">
        <v>37</v>
      </c>
      <c r="DI24" s="17">
        <v>0</v>
      </c>
      <c r="DJ24" s="17">
        <v>0</v>
      </c>
      <c r="DK24" s="17">
        <v>0</v>
      </c>
      <c r="DL24" s="17">
        <v>0</v>
      </c>
      <c r="DM24" s="17">
        <v>0</v>
      </c>
      <c r="DN24" s="15" t="s">
        <v>109</v>
      </c>
      <c r="DO24" s="16" t="s">
        <v>37</v>
      </c>
      <c r="DP24" s="17">
        <v>27.551417782919291</v>
      </c>
      <c r="DQ24" s="17">
        <v>4.2778237383843853</v>
      </c>
      <c r="DR24" s="17">
        <v>0</v>
      </c>
      <c r="DS24" s="17">
        <v>0</v>
      </c>
      <c r="DT24" s="17">
        <v>31.829241521303675</v>
      </c>
      <c r="DU24" s="15" t="s">
        <v>109</v>
      </c>
      <c r="DV24" s="16" t="s">
        <v>37</v>
      </c>
      <c r="DW24" s="17">
        <v>21.029835573176939</v>
      </c>
      <c r="DX24" s="17">
        <v>6.212248184082573</v>
      </c>
      <c r="DY24" s="17">
        <v>0</v>
      </c>
      <c r="DZ24" s="17">
        <v>0</v>
      </c>
      <c r="EA24" s="17">
        <v>27.242083757259511</v>
      </c>
      <c r="EB24" s="15" t="s">
        <v>109</v>
      </c>
      <c r="EC24" s="16" t="s">
        <v>37</v>
      </c>
      <c r="ED24" s="17">
        <v>41.167554306239204</v>
      </c>
      <c r="EE24" s="17">
        <v>57.960100343560256</v>
      </c>
      <c r="EF24" s="17">
        <v>0</v>
      </c>
      <c r="EG24" s="17">
        <v>0</v>
      </c>
      <c r="EH24" s="17">
        <v>99.127654649799467</v>
      </c>
    </row>
    <row r="25" spans="1:138" ht="10.199999999999999" customHeight="1" x14ac:dyDescent="0.25">
      <c r="A25" s="15" t="s">
        <v>96</v>
      </c>
      <c r="B25" s="16" t="s">
        <v>24</v>
      </c>
      <c r="C25" s="17">
        <f t="shared" si="4"/>
        <v>0</v>
      </c>
      <c r="D25" s="17">
        <f t="shared" si="5"/>
        <v>18.9680572992586</v>
      </c>
      <c r="E25" s="17">
        <f t="shared" si="6"/>
        <v>0</v>
      </c>
      <c r="F25" s="17">
        <f t="shared" si="7"/>
        <v>65.477023105212226</v>
      </c>
      <c r="G25" s="17">
        <f t="shared" si="8"/>
        <v>40.01025989225105</v>
      </c>
      <c r="H25" s="17">
        <f t="shared" si="9"/>
        <v>0</v>
      </c>
      <c r="I25" s="17">
        <f t="shared" si="10"/>
        <v>119.57670699724645</v>
      </c>
      <c r="J25" s="17">
        <f t="shared" si="11"/>
        <v>0</v>
      </c>
      <c r="K25" s="17">
        <f t="shared" si="12"/>
        <v>49.455560638457946</v>
      </c>
      <c r="L25" s="17">
        <f t="shared" si="13"/>
        <v>19.358611215411045</v>
      </c>
      <c r="M25" s="17">
        <f t="shared" si="14"/>
        <v>528.79095071466918</v>
      </c>
      <c r="N25" s="17">
        <f t="shared" si="15"/>
        <v>40.52600504573963</v>
      </c>
      <c r="O25" s="17">
        <f t="shared" si="16"/>
        <v>882.16317490824611</v>
      </c>
      <c r="P25" s="15" t="s">
        <v>96</v>
      </c>
      <c r="Q25" s="16" t="s">
        <v>24</v>
      </c>
      <c r="R25" s="17">
        <f t="shared" si="17"/>
        <v>0</v>
      </c>
      <c r="S25" s="17">
        <f t="shared" si="18"/>
        <v>18.9680572992586</v>
      </c>
      <c r="T25" s="17">
        <f t="shared" si="19"/>
        <v>0</v>
      </c>
      <c r="U25" s="17">
        <f t="shared" si="20"/>
        <v>65.477023105212226</v>
      </c>
      <c r="V25" s="17">
        <f t="shared" si="21"/>
        <v>40.01025989225105</v>
      </c>
      <c r="W25" s="17">
        <f t="shared" si="22"/>
        <v>0</v>
      </c>
      <c r="X25" s="17">
        <f t="shared" si="23"/>
        <v>119.57670699724645</v>
      </c>
      <c r="Y25" s="17">
        <f t="shared" si="24"/>
        <v>0</v>
      </c>
      <c r="Z25" s="17">
        <f t="shared" si="25"/>
        <v>49.455560638457946</v>
      </c>
      <c r="AA25" s="17">
        <f t="shared" si="26"/>
        <v>19.358611215411045</v>
      </c>
      <c r="AB25" s="17">
        <f t="shared" si="27"/>
        <v>312.8462191478373</v>
      </c>
      <c r="AC25" s="15" t="s">
        <v>96</v>
      </c>
      <c r="AD25" s="16" t="s">
        <v>24</v>
      </c>
      <c r="AE25" s="17">
        <f t="shared" si="28"/>
        <v>528.79095071466918</v>
      </c>
      <c r="AF25" s="17">
        <f t="shared" si="29"/>
        <v>40.52600504573963</v>
      </c>
      <c r="AG25" s="17">
        <f t="shared" si="30"/>
        <v>569.31695576040886</v>
      </c>
      <c r="AH25" s="15" t="s">
        <v>96</v>
      </c>
      <c r="AI25" s="16" t="s">
        <v>24</v>
      </c>
      <c r="AJ25" s="17">
        <f t="shared" si="31"/>
        <v>748.87048739024067</v>
      </c>
      <c r="AK25" s="17">
        <f t="shared" si="32"/>
        <v>133.29268751800544</v>
      </c>
      <c r="AL25" s="17">
        <f t="shared" si="33"/>
        <v>0</v>
      </c>
      <c r="AM25" s="17">
        <f t="shared" si="34"/>
        <v>0</v>
      </c>
      <c r="AN25" s="17">
        <f t="shared" si="35"/>
        <v>882.16317490824611</v>
      </c>
      <c r="AO25" s="15" t="s">
        <v>96</v>
      </c>
      <c r="AP25" s="16" t="s">
        <v>24</v>
      </c>
      <c r="AQ25" s="17">
        <f t="shared" si="36"/>
        <v>187.89131141279461</v>
      </c>
      <c r="AR25" s="17">
        <f t="shared" si="37"/>
        <v>124.95490773504272</v>
      </c>
      <c r="AS25" s="17">
        <f t="shared" si="38"/>
        <v>0</v>
      </c>
      <c r="AT25" s="17">
        <f t="shared" si="39"/>
        <v>0</v>
      </c>
      <c r="AU25" s="17">
        <f t="shared" si="40"/>
        <v>312.84621914783736</v>
      </c>
      <c r="AV25" s="15" t="s">
        <v>96</v>
      </c>
      <c r="AW25" s="16" t="s">
        <v>24</v>
      </c>
      <c r="AX25" s="17">
        <f t="shared" si="41"/>
        <v>560.97917597744606</v>
      </c>
      <c r="AY25" s="17">
        <f t="shared" si="42"/>
        <v>8.3377797829627198</v>
      </c>
      <c r="AZ25" s="17">
        <f t="shared" si="43"/>
        <v>0</v>
      </c>
      <c r="BA25" s="17">
        <f t="shared" si="44"/>
        <v>0</v>
      </c>
      <c r="BB25" s="17">
        <f t="shared" si="45"/>
        <v>569.31695576040875</v>
      </c>
      <c r="BC25" s="15" t="s">
        <v>96</v>
      </c>
      <c r="BD25" s="16" t="s">
        <v>24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5" t="s">
        <v>96</v>
      </c>
      <c r="BK25" s="16" t="s">
        <v>24</v>
      </c>
      <c r="BL25" s="17">
        <v>18.9680572992586</v>
      </c>
      <c r="BM25" s="17">
        <v>0</v>
      </c>
      <c r="BN25" s="17">
        <v>0</v>
      </c>
      <c r="BO25" s="17">
        <v>0</v>
      </c>
      <c r="BP25" s="17">
        <v>18.9680572992586</v>
      </c>
      <c r="BQ25" s="15" t="s">
        <v>96</v>
      </c>
      <c r="BR25" s="16" t="s">
        <v>24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5" t="s">
        <v>96</v>
      </c>
      <c r="BY25" s="16" t="s">
        <v>24</v>
      </c>
      <c r="BZ25" s="17">
        <v>41.958238882642746</v>
      </c>
      <c r="CA25" s="17">
        <v>23.518784222569476</v>
      </c>
      <c r="CB25" s="17">
        <v>0</v>
      </c>
      <c r="CC25" s="17">
        <v>0</v>
      </c>
      <c r="CD25" s="17">
        <v>65.477023105212226</v>
      </c>
      <c r="CE25" s="15" t="s">
        <v>96</v>
      </c>
      <c r="CF25" s="16" t="s">
        <v>24</v>
      </c>
      <c r="CG25" s="17">
        <v>33.69148762002181</v>
      </c>
      <c r="CH25" s="17">
        <v>6.3187722722292392</v>
      </c>
      <c r="CI25" s="17">
        <v>0</v>
      </c>
      <c r="CJ25" s="17">
        <v>0</v>
      </c>
      <c r="CK25" s="17">
        <v>40.01025989225105</v>
      </c>
      <c r="CL25" s="15" t="s">
        <v>96</v>
      </c>
      <c r="CM25" s="16" t="s">
        <v>24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5" t="s">
        <v>96</v>
      </c>
      <c r="CT25" s="16" t="s">
        <v>24</v>
      </c>
      <c r="CU25" s="17">
        <v>73.789384796580222</v>
      </c>
      <c r="CV25" s="17">
        <v>45.787322200666217</v>
      </c>
      <c r="CW25" s="17">
        <v>0</v>
      </c>
      <c r="CX25" s="17">
        <v>0</v>
      </c>
      <c r="CY25" s="17">
        <v>119.57670699724645</v>
      </c>
      <c r="CZ25" s="15" t="s">
        <v>96</v>
      </c>
      <c r="DA25" s="16" t="s">
        <v>24</v>
      </c>
      <c r="DB25" s="17">
        <v>0.12553159888014606</v>
      </c>
      <c r="DC25" s="17">
        <v>49.330029039577802</v>
      </c>
      <c r="DD25" s="17">
        <v>0</v>
      </c>
      <c r="DE25" s="17">
        <v>0</v>
      </c>
      <c r="DF25" s="17">
        <v>49.455560638457946</v>
      </c>
      <c r="DG25" s="15" t="s">
        <v>96</v>
      </c>
      <c r="DH25" s="16" t="s">
        <v>24</v>
      </c>
      <c r="DI25" s="17">
        <v>0</v>
      </c>
      <c r="DJ25" s="17">
        <v>0</v>
      </c>
      <c r="DK25" s="17">
        <v>0</v>
      </c>
      <c r="DL25" s="17">
        <v>0</v>
      </c>
      <c r="DM25" s="17">
        <v>0</v>
      </c>
      <c r="DN25" s="15" t="s">
        <v>96</v>
      </c>
      <c r="DO25" s="16" t="s">
        <v>24</v>
      </c>
      <c r="DP25" s="17">
        <v>19.358611215411045</v>
      </c>
      <c r="DQ25" s="17">
        <v>0</v>
      </c>
      <c r="DR25" s="17">
        <v>0</v>
      </c>
      <c r="DS25" s="17">
        <v>0</v>
      </c>
      <c r="DT25" s="17">
        <v>19.358611215411045</v>
      </c>
      <c r="DU25" s="15" t="s">
        <v>96</v>
      </c>
      <c r="DV25" s="16" t="s">
        <v>24</v>
      </c>
      <c r="DW25" s="17">
        <v>36.439288460537206</v>
      </c>
      <c r="DX25" s="17">
        <v>4.086716585202427</v>
      </c>
      <c r="DY25" s="17">
        <v>0</v>
      </c>
      <c r="DZ25" s="17">
        <v>0</v>
      </c>
      <c r="EA25" s="17">
        <v>40.52600504573963</v>
      </c>
      <c r="EB25" s="15" t="s">
        <v>96</v>
      </c>
      <c r="EC25" s="16" t="s">
        <v>24</v>
      </c>
      <c r="ED25" s="17">
        <v>524.53988751690883</v>
      </c>
      <c r="EE25" s="17">
        <v>4.251063197760292</v>
      </c>
      <c r="EF25" s="17">
        <v>0</v>
      </c>
      <c r="EG25" s="17">
        <v>0</v>
      </c>
      <c r="EH25" s="17">
        <v>528.79095071466918</v>
      </c>
    </row>
    <row r="26" spans="1:138" ht="10.199999999999999" customHeight="1" x14ac:dyDescent="0.25">
      <c r="A26" s="15" t="s">
        <v>120</v>
      </c>
      <c r="B26" s="16" t="s">
        <v>48</v>
      </c>
      <c r="C26" s="17">
        <f t="shared" si="4"/>
        <v>29.46283147411274</v>
      </c>
      <c r="D26" s="17">
        <f t="shared" si="5"/>
        <v>1.125531598880146</v>
      </c>
      <c r="E26" s="17">
        <f t="shared" si="6"/>
        <v>19.649820708298854</v>
      </c>
      <c r="F26" s="17">
        <f t="shared" si="7"/>
        <v>42.362459495615852</v>
      </c>
      <c r="G26" s="17">
        <f t="shared" si="8"/>
        <v>20.569349260713324</v>
      </c>
      <c r="H26" s="17">
        <f t="shared" si="9"/>
        <v>0</v>
      </c>
      <c r="I26" s="17">
        <f t="shared" si="10"/>
        <v>278.83850473155951</v>
      </c>
      <c r="J26" s="17">
        <f t="shared" si="11"/>
        <v>7.4597778082865336</v>
      </c>
      <c r="K26" s="17">
        <f t="shared" si="12"/>
        <v>227.60535452299206</v>
      </c>
      <c r="L26" s="17">
        <f t="shared" si="13"/>
        <v>109.96367375717489</v>
      </c>
      <c r="M26" s="17">
        <f t="shared" si="14"/>
        <v>741.88834374852104</v>
      </c>
      <c r="N26" s="17">
        <f t="shared" si="15"/>
        <v>19.817217590301357</v>
      </c>
      <c r="O26" s="17">
        <f t="shared" si="16"/>
        <v>1498.7428646964563</v>
      </c>
      <c r="P26" s="15" t="s">
        <v>120</v>
      </c>
      <c r="Q26" s="16" t="s">
        <v>48</v>
      </c>
      <c r="R26" s="17">
        <f t="shared" si="17"/>
        <v>29.46283147411274</v>
      </c>
      <c r="S26" s="17">
        <f t="shared" si="18"/>
        <v>1.125531598880146</v>
      </c>
      <c r="T26" s="17">
        <f t="shared" si="19"/>
        <v>19.649820708298854</v>
      </c>
      <c r="U26" s="17">
        <f t="shared" si="20"/>
        <v>42.362459495615852</v>
      </c>
      <c r="V26" s="17">
        <f t="shared" si="21"/>
        <v>20.569349260713324</v>
      </c>
      <c r="W26" s="17">
        <f t="shared" si="22"/>
        <v>0</v>
      </c>
      <c r="X26" s="17">
        <f t="shared" si="23"/>
        <v>278.83850473155951</v>
      </c>
      <c r="Y26" s="17">
        <f t="shared" si="24"/>
        <v>7.4597778082865336</v>
      </c>
      <c r="Z26" s="17">
        <f t="shared" si="25"/>
        <v>227.60535452299206</v>
      </c>
      <c r="AA26" s="17">
        <f t="shared" si="26"/>
        <v>109.96367375717489</v>
      </c>
      <c r="AB26" s="17">
        <f t="shared" si="27"/>
        <v>737.03730335763396</v>
      </c>
      <c r="AC26" s="15" t="s">
        <v>120</v>
      </c>
      <c r="AD26" s="16" t="s">
        <v>48</v>
      </c>
      <c r="AE26" s="17">
        <f t="shared" si="28"/>
        <v>741.88834374852104</v>
      </c>
      <c r="AF26" s="17">
        <f t="shared" si="29"/>
        <v>19.817217590301357</v>
      </c>
      <c r="AG26" s="17">
        <f t="shared" si="30"/>
        <v>761.70556133882235</v>
      </c>
      <c r="AH26" s="15" t="s">
        <v>120</v>
      </c>
      <c r="AI26" s="16" t="s">
        <v>48</v>
      </c>
      <c r="AJ26" s="17">
        <f t="shared" si="31"/>
        <v>1118.8258814567848</v>
      </c>
      <c r="AK26" s="17">
        <f t="shared" si="32"/>
        <v>307.29997362381312</v>
      </c>
      <c r="AL26" s="17">
        <f t="shared" si="33"/>
        <v>60.400980154091755</v>
      </c>
      <c r="AM26" s="17">
        <f t="shared" si="34"/>
        <v>12.216029461766603</v>
      </c>
      <c r="AN26" s="17">
        <f t="shared" si="35"/>
        <v>1498.7428646964561</v>
      </c>
      <c r="AO26" s="15" t="s">
        <v>120</v>
      </c>
      <c r="AP26" s="16" t="s">
        <v>48</v>
      </c>
      <c r="AQ26" s="17">
        <f t="shared" si="36"/>
        <v>526.63635316545879</v>
      </c>
      <c r="AR26" s="17">
        <f t="shared" si="37"/>
        <v>156.6203131812438</v>
      </c>
      <c r="AS26" s="17">
        <f t="shared" si="38"/>
        <v>41.564607549164784</v>
      </c>
      <c r="AT26" s="17">
        <f t="shared" si="39"/>
        <v>12.216029461766603</v>
      </c>
      <c r="AU26" s="17">
        <f t="shared" si="40"/>
        <v>737.03730335763396</v>
      </c>
      <c r="AV26" s="15" t="s">
        <v>120</v>
      </c>
      <c r="AW26" s="16" t="s">
        <v>48</v>
      </c>
      <c r="AX26" s="17">
        <f t="shared" si="41"/>
        <v>592.18952829132604</v>
      </c>
      <c r="AY26" s="17">
        <f t="shared" si="42"/>
        <v>150.67966044256934</v>
      </c>
      <c r="AZ26" s="17">
        <f t="shared" si="43"/>
        <v>18.836372604926972</v>
      </c>
      <c r="BA26" s="17">
        <f t="shared" si="44"/>
        <v>0</v>
      </c>
      <c r="BB26" s="17">
        <f t="shared" si="45"/>
        <v>761.70556133882235</v>
      </c>
      <c r="BC26" s="15" t="s">
        <v>120</v>
      </c>
      <c r="BD26" s="16" t="s">
        <v>48</v>
      </c>
      <c r="BE26" s="17">
        <v>29.46283147411274</v>
      </c>
      <c r="BF26" s="17">
        <v>0</v>
      </c>
      <c r="BG26" s="17">
        <v>0</v>
      </c>
      <c r="BH26" s="17">
        <v>0</v>
      </c>
      <c r="BI26" s="17">
        <v>29.46283147411274</v>
      </c>
      <c r="BJ26" s="15" t="s">
        <v>120</v>
      </c>
      <c r="BK26" s="16" t="s">
        <v>48</v>
      </c>
      <c r="BL26" s="17">
        <v>1.125531598880146</v>
      </c>
      <c r="BM26" s="17">
        <v>0</v>
      </c>
      <c r="BN26" s="17">
        <v>0</v>
      </c>
      <c r="BO26" s="17">
        <v>0</v>
      </c>
      <c r="BP26" s="17">
        <v>1.125531598880146</v>
      </c>
      <c r="BQ26" s="15" t="s">
        <v>120</v>
      </c>
      <c r="BR26" s="16" t="s">
        <v>48</v>
      </c>
      <c r="BS26" s="17">
        <v>0</v>
      </c>
      <c r="BT26" s="17">
        <v>4.135105964890105</v>
      </c>
      <c r="BU26" s="17">
        <v>10.345832287296117</v>
      </c>
      <c r="BV26" s="17">
        <v>5.1688824561126312</v>
      </c>
      <c r="BW26" s="17">
        <v>19.649820708298854</v>
      </c>
      <c r="BX26" s="15" t="s">
        <v>120</v>
      </c>
      <c r="BY26" s="16" t="s">
        <v>48</v>
      </c>
      <c r="BZ26" s="17">
        <v>25.020738359238777</v>
      </c>
      <c r="CA26" s="17">
        <v>15.258033403790312</v>
      </c>
      <c r="CB26" s="17">
        <v>2.083687732586764</v>
      </c>
      <c r="CC26" s="17">
        <v>0</v>
      </c>
      <c r="CD26" s="17">
        <v>42.362459495615852</v>
      </c>
      <c r="CE26" s="15" t="s">
        <v>120</v>
      </c>
      <c r="CF26" s="16" t="s">
        <v>48</v>
      </c>
      <c r="CG26" s="17">
        <v>10.177175569198662</v>
      </c>
      <c r="CH26" s="17">
        <v>10.39217369151466</v>
      </c>
      <c r="CI26" s="17">
        <v>0</v>
      </c>
      <c r="CJ26" s="17">
        <v>0</v>
      </c>
      <c r="CK26" s="17">
        <v>20.569349260713324</v>
      </c>
      <c r="CL26" s="15" t="s">
        <v>120</v>
      </c>
      <c r="CM26" s="16" t="s">
        <v>48</v>
      </c>
      <c r="CN26" s="17">
        <v>0</v>
      </c>
      <c r="CO26" s="17">
        <v>0</v>
      </c>
      <c r="CP26" s="17">
        <v>0</v>
      </c>
      <c r="CQ26" s="17">
        <v>0</v>
      </c>
      <c r="CR26" s="17">
        <v>0</v>
      </c>
      <c r="CS26" s="15" t="s">
        <v>120</v>
      </c>
      <c r="CT26" s="16" t="s">
        <v>48</v>
      </c>
      <c r="CU26" s="17">
        <v>213.81511081902465</v>
      </c>
      <c r="CV26" s="17">
        <v>48.312048185547383</v>
      </c>
      <c r="CW26" s="17">
        <v>16.711345726987496</v>
      </c>
      <c r="CX26" s="17">
        <v>0</v>
      </c>
      <c r="CY26" s="17">
        <v>278.83850473155951</v>
      </c>
      <c r="CZ26" s="15" t="s">
        <v>120</v>
      </c>
      <c r="DA26" s="16" t="s">
        <v>48</v>
      </c>
      <c r="DB26" s="17">
        <v>157.26627427395317</v>
      </c>
      <c r="DC26" s="17">
        <v>55.077410772557414</v>
      </c>
      <c r="DD26" s="17">
        <v>8.2145224708274984</v>
      </c>
      <c r="DE26" s="17">
        <v>7.0471470056539713</v>
      </c>
      <c r="DF26" s="17">
        <v>227.60535452299206</v>
      </c>
      <c r="DG26" s="15" t="s">
        <v>120</v>
      </c>
      <c r="DH26" s="16" t="s">
        <v>48</v>
      </c>
      <c r="DI26" s="17">
        <v>5.3342462094063876</v>
      </c>
      <c r="DJ26" s="17">
        <v>1.083687732586764</v>
      </c>
      <c r="DK26" s="17">
        <v>1.041843866293382</v>
      </c>
      <c r="DL26" s="17">
        <v>0</v>
      </c>
      <c r="DM26" s="17">
        <v>7.4597778082865336</v>
      </c>
      <c r="DN26" s="15" t="s">
        <v>120</v>
      </c>
      <c r="DO26" s="16" t="s">
        <v>48</v>
      </c>
      <c r="DP26" s="17">
        <v>84.434444861644195</v>
      </c>
      <c r="DQ26" s="17">
        <v>22.361853430357165</v>
      </c>
      <c r="DR26" s="17">
        <v>3.167375465173528</v>
      </c>
      <c r="DS26" s="17">
        <v>0</v>
      </c>
      <c r="DT26" s="17">
        <v>109.96367375717489</v>
      </c>
      <c r="DU26" s="15" t="s">
        <v>120</v>
      </c>
      <c r="DV26" s="16" t="s">
        <v>48</v>
      </c>
      <c r="DW26" s="17">
        <v>6.2929070640536739</v>
      </c>
      <c r="DX26" s="17">
        <v>6.2737520494280616</v>
      </c>
      <c r="DY26" s="17">
        <v>7.2505584768196227</v>
      </c>
      <c r="DZ26" s="17">
        <v>0</v>
      </c>
      <c r="EA26" s="17">
        <v>19.817217590301357</v>
      </c>
      <c r="EB26" s="15" t="s">
        <v>120</v>
      </c>
      <c r="EC26" s="16" t="s">
        <v>48</v>
      </c>
      <c r="ED26" s="17">
        <v>585.89662122727236</v>
      </c>
      <c r="EE26" s="17">
        <v>144.40590839314129</v>
      </c>
      <c r="EF26" s="17">
        <v>11.585814128107348</v>
      </c>
      <c r="EG26" s="17">
        <v>0</v>
      </c>
      <c r="EH26" s="17">
        <v>741.88834374852104</v>
      </c>
    </row>
    <row r="27" spans="1:138" ht="10.199999999999999" customHeight="1" x14ac:dyDescent="0.25">
      <c r="A27" s="15" t="s">
        <v>102</v>
      </c>
      <c r="B27" s="16" t="s">
        <v>30</v>
      </c>
      <c r="C27" s="17">
        <f t="shared" si="4"/>
        <v>2.45174896731828</v>
      </c>
      <c r="D27" s="17">
        <f t="shared" si="5"/>
        <v>40.405963665702032</v>
      </c>
      <c r="E27" s="17">
        <f t="shared" si="6"/>
        <v>19.5856340379902</v>
      </c>
      <c r="F27" s="17">
        <f t="shared" si="7"/>
        <v>88.349435034808351</v>
      </c>
      <c r="G27" s="17">
        <f t="shared" si="8"/>
        <v>18.784347383029321</v>
      </c>
      <c r="H27" s="17">
        <f t="shared" si="9"/>
        <v>1.4775240285615237</v>
      </c>
      <c r="I27" s="17">
        <f t="shared" si="10"/>
        <v>121.48212930545849</v>
      </c>
      <c r="J27" s="17">
        <f t="shared" si="11"/>
        <v>27.524151080993896</v>
      </c>
      <c r="K27" s="17">
        <f t="shared" si="12"/>
        <v>203.6075543197224</v>
      </c>
      <c r="L27" s="17">
        <f t="shared" si="13"/>
        <v>8.0148419466879428</v>
      </c>
      <c r="M27" s="17">
        <f t="shared" si="14"/>
        <v>910.57464472956042</v>
      </c>
      <c r="N27" s="17">
        <f t="shared" si="15"/>
        <v>229.3982574327253</v>
      </c>
      <c r="O27" s="17">
        <f t="shared" si="16"/>
        <v>1671.6562319325583</v>
      </c>
      <c r="P27" s="15" t="s">
        <v>102</v>
      </c>
      <c r="Q27" s="16" t="s">
        <v>30</v>
      </c>
      <c r="R27" s="17">
        <f t="shared" si="17"/>
        <v>2.45174896731828</v>
      </c>
      <c r="S27" s="17">
        <f t="shared" si="18"/>
        <v>40.405963665702032</v>
      </c>
      <c r="T27" s="17">
        <f t="shared" si="19"/>
        <v>19.5856340379902</v>
      </c>
      <c r="U27" s="17">
        <f t="shared" si="20"/>
        <v>88.349435034808351</v>
      </c>
      <c r="V27" s="17">
        <f t="shared" si="21"/>
        <v>18.784347383029321</v>
      </c>
      <c r="W27" s="17">
        <f t="shared" si="22"/>
        <v>1.4775240285615237</v>
      </c>
      <c r="X27" s="17">
        <f t="shared" si="23"/>
        <v>121.48212930545849</v>
      </c>
      <c r="Y27" s="17">
        <f t="shared" si="24"/>
        <v>27.524151080993896</v>
      </c>
      <c r="Z27" s="17">
        <f t="shared" si="25"/>
        <v>203.6075543197224</v>
      </c>
      <c r="AA27" s="17">
        <f t="shared" si="26"/>
        <v>8.0148419466879428</v>
      </c>
      <c r="AB27" s="17">
        <f t="shared" si="27"/>
        <v>531.68332977027239</v>
      </c>
      <c r="AC27" s="15" t="s">
        <v>102</v>
      </c>
      <c r="AD27" s="16" t="s">
        <v>30</v>
      </c>
      <c r="AE27" s="17">
        <f t="shared" si="28"/>
        <v>910.57464472956042</v>
      </c>
      <c r="AF27" s="17">
        <f t="shared" si="29"/>
        <v>229.3982574327253</v>
      </c>
      <c r="AG27" s="17">
        <f t="shared" si="30"/>
        <v>1139.9729021622857</v>
      </c>
      <c r="AH27" s="15" t="s">
        <v>102</v>
      </c>
      <c r="AI27" s="16" t="s">
        <v>30</v>
      </c>
      <c r="AJ27" s="17">
        <f t="shared" si="31"/>
        <v>1119.8738456345748</v>
      </c>
      <c r="AK27" s="17">
        <f t="shared" si="32"/>
        <v>463.24582227893859</v>
      </c>
      <c r="AL27" s="17">
        <f t="shared" si="33"/>
        <v>64.483931548216219</v>
      </c>
      <c r="AM27" s="17">
        <f t="shared" si="34"/>
        <v>24.05263247082863</v>
      </c>
      <c r="AN27" s="17">
        <f t="shared" si="35"/>
        <v>1671.6562319325583</v>
      </c>
      <c r="AO27" s="15" t="s">
        <v>102</v>
      </c>
      <c r="AP27" s="16" t="s">
        <v>30</v>
      </c>
      <c r="AQ27" s="17">
        <f t="shared" si="36"/>
        <v>269.24658561978794</v>
      </c>
      <c r="AR27" s="17">
        <f t="shared" si="37"/>
        <v>210.41200555373743</v>
      </c>
      <c r="AS27" s="17">
        <f t="shared" si="38"/>
        <v>27.97210612591843</v>
      </c>
      <c r="AT27" s="17">
        <f t="shared" si="39"/>
        <v>24.05263247082863</v>
      </c>
      <c r="AU27" s="17">
        <f t="shared" si="40"/>
        <v>531.68332977027239</v>
      </c>
      <c r="AV27" s="15" t="s">
        <v>102</v>
      </c>
      <c r="AW27" s="16" t="s">
        <v>30</v>
      </c>
      <c r="AX27" s="17">
        <f t="shared" si="41"/>
        <v>850.62726001478677</v>
      </c>
      <c r="AY27" s="17">
        <f t="shared" si="42"/>
        <v>252.83381672520116</v>
      </c>
      <c r="AZ27" s="17">
        <f t="shared" si="43"/>
        <v>36.51182542229779</v>
      </c>
      <c r="BA27" s="17">
        <f t="shared" si="44"/>
        <v>0</v>
      </c>
      <c r="BB27" s="17">
        <f t="shared" si="45"/>
        <v>1139.9729021622857</v>
      </c>
      <c r="BC27" s="15" t="s">
        <v>102</v>
      </c>
      <c r="BD27" s="16" t="s">
        <v>30</v>
      </c>
      <c r="BE27" s="17">
        <v>2.45174896731828</v>
      </c>
      <c r="BF27" s="17">
        <v>0</v>
      </c>
      <c r="BG27" s="17">
        <v>0</v>
      </c>
      <c r="BH27" s="17">
        <v>0</v>
      </c>
      <c r="BI27" s="17">
        <v>2.45174896731828</v>
      </c>
      <c r="BJ27" s="15" t="s">
        <v>102</v>
      </c>
      <c r="BK27" s="16" t="s">
        <v>30</v>
      </c>
      <c r="BL27" s="17">
        <v>29.00662253341627</v>
      </c>
      <c r="BM27" s="17">
        <v>7.5995607548571744</v>
      </c>
      <c r="BN27" s="17">
        <v>0</v>
      </c>
      <c r="BO27" s="17">
        <v>3.7997803774285872</v>
      </c>
      <c r="BP27" s="17">
        <v>40.405963665702032</v>
      </c>
      <c r="BQ27" s="15" t="s">
        <v>102</v>
      </c>
      <c r="BR27" s="16" t="s">
        <v>30</v>
      </c>
      <c r="BS27" s="17">
        <v>6.1745992997162578</v>
      </c>
      <c r="BT27" s="17">
        <v>6.1745992997162578</v>
      </c>
      <c r="BU27" s="17">
        <v>3.1013294736675787</v>
      </c>
      <c r="BV27" s="17">
        <v>4.135105964890105</v>
      </c>
      <c r="BW27" s="17">
        <v>19.5856340379902</v>
      </c>
      <c r="BX27" s="15" t="s">
        <v>102</v>
      </c>
      <c r="BY27" s="16" t="s">
        <v>30</v>
      </c>
      <c r="BZ27" s="17">
        <v>37.520341150056019</v>
      </c>
      <c r="CA27" s="17">
        <v>27.435841261063015</v>
      </c>
      <c r="CB27" s="17">
        <v>23.393252623689328</v>
      </c>
      <c r="CC27" s="17">
        <v>0</v>
      </c>
      <c r="CD27" s="17">
        <v>88.349435034808351</v>
      </c>
      <c r="CE27" s="15" t="s">
        <v>102</v>
      </c>
      <c r="CF27" s="16" t="s">
        <v>30</v>
      </c>
      <c r="CG27" s="17">
        <v>4.1843866293382027E-2</v>
      </c>
      <c r="CH27" s="17">
        <v>18.742503516735937</v>
      </c>
      <c r="CI27" s="17">
        <v>0</v>
      </c>
      <c r="CJ27" s="17">
        <v>0</v>
      </c>
      <c r="CK27" s="17">
        <v>18.784347383029321</v>
      </c>
      <c r="CL27" s="15" t="s">
        <v>102</v>
      </c>
      <c r="CM27" s="16" t="s">
        <v>30</v>
      </c>
      <c r="CN27" s="17">
        <v>0</v>
      </c>
      <c r="CO27" s="17">
        <v>0</v>
      </c>
      <c r="CP27" s="17">
        <v>1.4775240285615237</v>
      </c>
      <c r="CQ27" s="17">
        <v>0</v>
      </c>
      <c r="CR27" s="17">
        <v>1.4775240285615237</v>
      </c>
      <c r="CS27" s="15" t="s">
        <v>102</v>
      </c>
      <c r="CT27" s="16" t="s">
        <v>30</v>
      </c>
      <c r="CU27" s="17">
        <v>98.27607874443359</v>
      </c>
      <c r="CV27" s="17">
        <v>23.206050561024895</v>
      </c>
      <c r="CW27" s="17">
        <v>0</v>
      </c>
      <c r="CX27" s="17">
        <v>0</v>
      </c>
      <c r="CY27" s="17">
        <v>121.48212930545849</v>
      </c>
      <c r="CZ27" s="15" t="s">
        <v>102</v>
      </c>
      <c r="DA27" s="16" t="s">
        <v>30</v>
      </c>
      <c r="DB27" s="17">
        <v>78.479635758262376</v>
      </c>
      <c r="DC27" s="17">
        <v>125.12791856146001</v>
      </c>
      <c r="DD27" s="17">
        <v>0</v>
      </c>
      <c r="DE27" s="17">
        <v>0</v>
      </c>
      <c r="DF27" s="17">
        <v>203.6075543197224</v>
      </c>
      <c r="DG27" s="15" t="s">
        <v>102</v>
      </c>
      <c r="DH27" s="16" t="s">
        <v>30</v>
      </c>
      <c r="DI27" s="17">
        <v>11.406404952483955</v>
      </c>
      <c r="DJ27" s="17">
        <v>0</v>
      </c>
      <c r="DK27" s="17">
        <v>0</v>
      </c>
      <c r="DL27" s="17">
        <v>16.117746128509939</v>
      </c>
      <c r="DM27" s="17">
        <v>27.524151080993896</v>
      </c>
      <c r="DN27" s="15" t="s">
        <v>102</v>
      </c>
      <c r="DO27" s="16" t="s">
        <v>30</v>
      </c>
      <c r="DP27" s="17">
        <v>5.8893103478077968</v>
      </c>
      <c r="DQ27" s="17">
        <v>2.125531598880146</v>
      </c>
      <c r="DR27" s="17">
        <v>0</v>
      </c>
      <c r="DS27" s="17">
        <v>0</v>
      </c>
      <c r="DT27" s="17">
        <v>8.0148419466879428</v>
      </c>
      <c r="DU27" s="15" t="s">
        <v>102</v>
      </c>
      <c r="DV27" s="16" t="s">
        <v>30</v>
      </c>
      <c r="DW27" s="17">
        <v>117.1727432562345</v>
      </c>
      <c r="DX27" s="17">
        <v>94.472324583209939</v>
      </c>
      <c r="DY27" s="17">
        <v>17.753189593280876</v>
      </c>
      <c r="DZ27" s="17">
        <v>0</v>
      </c>
      <c r="EA27" s="17">
        <v>229.3982574327253</v>
      </c>
      <c r="EB27" s="15" t="s">
        <v>102</v>
      </c>
      <c r="EC27" s="16" t="s">
        <v>30</v>
      </c>
      <c r="ED27" s="17">
        <v>733.45451675855224</v>
      </c>
      <c r="EE27" s="17">
        <v>158.36149214199122</v>
      </c>
      <c r="EF27" s="17">
        <v>18.758635829016914</v>
      </c>
      <c r="EG27" s="17">
        <v>0</v>
      </c>
      <c r="EH27" s="17">
        <v>910.57464472956042</v>
      </c>
    </row>
    <row r="28" spans="1:138" ht="10.199999999999999" customHeight="1" x14ac:dyDescent="0.25">
      <c r="A28" s="15" t="s">
        <v>98</v>
      </c>
      <c r="B28" s="16" t="s">
        <v>26</v>
      </c>
      <c r="C28" s="17">
        <f t="shared" si="4"/>
        <v>23.281128187305349</v>
      </c>
      <c r="D28" s="17">
        <f t="shared" si="5"/>
        <v>95.111028235329158</v>
      </c>
      <c r="E28" s="17">
        <f t="shared" si="6"/>
        <v>3.1013294736675787</v>
      </c>
      <c r="F28" s="17">
        <f t="shared" si="7"/>
        <v>74.984584330710533</v>
      </c>
      <c r="G28" s="17">
        <f t="shared" si="8"/>
        <v>18.343030515788492</v>
      </c>
      <c r="H28" s="17">
        <f t="shared" si="9"/>
        <v>0</v>
      </c>
      <c r="I28" s="17">
        <f t="shared" si="10"/>
        <v>27.687142499119698</v>
      </c>
      <c r="J28" s="17">
        <f t="shared" si="11"/>
        <v>37.721308831779709</v>
      </c>
      <c r="K28" s="17">
        <f t="shared" si="12"/>
        <v>129.99506621081056</v>
      </c>
      <c r="L28" s="17">
        <f t="shared" si="13"/>
        <v>182.17423308634514</v>
      </c>
      <c r="M28" s="17">
        <f t="shared" si="14"/>
        <v>102.22464810381491</v>
      </c>
      <c r="N28" s="17">
        <f t="shared" si="15"/>
        <v>63.144983984542776</v>
      </c>
      <c r="O28" s="17">
        <f t="shared" si="16"/>
        <v>757.76848345921394</v>
      </c>
      <c r="P28" s="15" t="s">
        <v>98</v>
      </c>
      <c r="Q28" s="16" t="s">
        <v>26</v>
      </c>
      <c r="R28" s="17">
        <f t="shared" si="17"/>
        <v>23.281128187305349</v>
      </c>
      <c r="S28" s="17">
        <f t="shared" si="18"/>
        <v>95.111028235329158</v>
      </c>
      <c r="T28" s="17">
        <f t="shared" si="19"/>
        <v>3.1013294736675787</v>
      </c>
      <c r="U28" s="17">
        <f t="shared" si="20"/>
        <v>74.984584330710533</v>
      </c>
      <c r="V28" s="17">
        <f t="shared" si="21"/>
        <v>18.343030515788492</v>
      </c>
      <c r="W28" s="17">
        <f t="shared" si="22"/>
        <v>0</v>
      </c>
      <c r="X28" s="17">
        <f t="shared" si="23"/>
        <v>27.687142499119698</v>
      </c>
      <c r="Y28" s="17">
        <f t="shared" si="24"/>
        <v>37.721308831779709</v>
      </c>
      <c r="Z28" s="17">
        <f t="shared" si="25"/>
        <v>129.99506621081056</v>
      </c>
      <c r="AA28" s="17">
        <f t="shared" si="26"/>
        <v>182.17423308634514</v>
      </c>
      <c r="AB28" s="17">
        <f t="shared" si="27"/>
        <v>592.39885137085616</v>
      </c>
      <c r="AC28" s="15" t="s">
        <v>98</v>
      </c>
      <c r="AD28" s="16" t="s">
        <v>26</v>
      </c>
      <c r="AE28" s="17">
        <f t="shared" si="28"/>
        <v>102.22464810381491</v>
      </c>
      <c r="AF28" s="17">
        <f t="shared" si="29"/>
        <v>63.144983984542776</v>
      </c>
      <c r="AG28" s="17">
        <f t="shared" si="30"/>
        <v>165.36963208835769</v>
      </c>
      <c r="AH28" s="15" t="s">
        <v>98</v>
      </c>
      <c r="AI28" s="16" t="s">
        <v>26</v>
      </c>
      <c r="AJ28" s="17">
        <f t="shared" si="31"/>
        <v>396.37868274317333</v>
      </c>
      <c r="AK28" s="17">
        <f t="shared" si="32"/>
        <v>247.73273317759043</v>
      </c>
      <c r="AL28" s="17">
        <f t="shared" si="33"/>
        <v>107.7897341785765</v>
      </c>
      <c r="AM28" s="17">
        <f t="shared" si="34"/>
        <v>5.8673333598736388</v>
      </c>
      <c r="AN28" s="17">
        <f t="shared" si="35"/>
        <v>757.76848345921394</v>
      </c>
      <c r="AO28" s="15" t="s">
        <v>98</v>
      </c>
      <c r="AP28" s="16" t="s">
        <v>26</v>
      </c>
      <c r="AQ28" s="17">
        <f t="shared" si="36"/>
        <v>285.27034914796775</v>
      </c>
      <c r="AR28" s="17">
        <f t="shared" si="37"/>
        <v>204.22411955677853</v>
      </c>
      <c r="AS28" s="17">
        <f t="shared" si="38"/>
        <v>97.037049306236284</v>
      </c>
      <c r="AT28" s="17">
        <f t="shared" si="39"/>
        <v>5.8673333598736388</v>
      </c>
      <c r="AU28" s="17">
        <f t="shared" si="40"/>
        <v>592.39885137085628</v>
      </c>
      <c r="AV28" s="15" t="s">
        <v>98</v>
      </c>
      <c r="AW28" s="16" t="s">
        <v>26</v>
      </c>
      <c r="AX28" s="17">
        <f t="shared" si="41"/>
        <v>111.10833359520558</v>
      </c>
      <c r="AY28" s="17">
        <f t="shared" si="42"/>
        <v>43.508613620811893</v>
      </c>
      <c r="AZ28" s="17">
        <f t="shared" si="43"/>
        <v>10.752684872340208</v>
      </c>
      <c r="BA28" s="17">
        <f t="shared" si="44"/>
        <v>0</v>
      </c>
      <c r="BB28" s="17">
        <f t="shared" si="45"/>
        <v>165.36963208835769</v>
      </c>
      <c r="BC28" s="15" t="s">
        <v>98</v>
      </c>
      <c r="BD28" s="16" t="s">
        <v>26</v>
      </c>
      <c r="BE28" s="17">
        <v>5.9453418009299419</v>
      </c>
      <c r="BF28" s="17">
        <v>9.4964978522866712</v>
      </c>
      <c r="BG28" s="17">
        <v>7.8392885340887375</v>
      </c>
      <c r="BH28" s="17">
        <v>0</v>
      </c>
      <c r="BI28" s="17">
        <v>23.281128187305349</v>
      </c>
      <c r="BJ28" s="15" t="s">
        <v>98</v>
      </c>
      <c r="BK28" s="16" t="s">
        <v>26</v>
      </c>
      <c r="BL28" s="17">
        <v>20.543970261813968</v>
      </c>
      <c r="BM28" s="17">
        <v>40.785655382278179</v>
      </c>
      <c r="BN28" s="17">
        <v>29.981622213808425</v>
      </c>
      <c r="BO28" s="17">
        <v>3.7997803774285868</v>
      </c>
      <c r="BP28" s="17">
        <v>95.111028235329158</v>
      </c>
      <c r="BQ28" s="15" t="s">
        <v>98</v>
      </c>
      <c r="BR28" s="16" t="s">
        <v>26</v>
      </c>
      <c r="BS28" s="17">
        <v>0</v>
      </c>
      <c r="BT28" s="17">
        <v>1.0337764912225262</v>
      </c>
      <c r="BU28" s="17">
        <v>0</v>
      </c>
      <c r="BV28" s="17">
        <v>2.0675529824450525</v>
      </c>
      <c r="BW28" s="17">
        <v>3.1013294736675787</v>
      </c>
      <c r="BX28" s="15" t="s">
        <v>98</v>
      </c>
      <c r="BY28" s="16" t="s">
        <v>26</v>
      </c>
      <c r="BZ28" s="17">
        <v>35.870298359014818</v>
      </c>
      <c r="CA28" s="17">
        <v>39.114285971695708</v>
      </c>
      <c r="CB28" s="17">
        <v>0</v>
      </c>
      <c r="CC28" s="17">
        <v>0</v>
      </c>
      <c r="CD28" s="17">
        <v>74.984584330710533</v>
      </c>
      <c r="CE28" s="15" t="s">
        <v>98</v>
      </c>
      <c r="CF28" s="16" t="s">
        <v>26</v>
      </c>
      <c r="CG28" s="17">
        <v>3.1427462556529844</v>
      </c>
      <c r="CH28" s="17">
        <v>13.010339103472329</v>
      </c>
      <c r="CI28" s="17">
        <v>2.1899451566631769</v>
      </c>
      <c r="CJ28" s="17">
        <v>0</v>
      </c>
      <c r="CK28" s="17">
        <v>18.343030515788492</v>
      </c>
      <c r="CL28" s="15" t="s">
        <v>98</v>
      </c>
      <c r="CM28" s="16" t="s">
        <v>26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5" t="s">
        <v>98</v>
      </c>
      <c r="CT28" s="16" t="s">
        <v>26</v>
      </c>
      <c r="CU28" s="17">
        <v>11.644756622526737</v>
      </c>
      <c r="CV28" s="17">
        <v>9.6048806708832437</v>
      </c>
      <c r="CW28" s="17">
        <v>6.4375052057097149</v>
      </c>
      <c r="CX28" s="17">
        <v>0</v>
      </c>
      <c r="CY28" s="17">
        <v>27.687142499119698</v>
      </c>
      <c r="CZ28" s="15" t="s">
        <v>98</v>
      </c>
      <c r="DA28" s="16" t="s">
        <v>26</v>
      </c>
      <c r="DB28" s="17">
        <v>85.087520440677707</v>
      </c>
      <c r="DC28" s="17">
        <v>29.317558434860427</v>
      </c>
      <c r="DD28" s="17">
        <v>15.589987335272424</v>
      </c>
      <c r="DE28" s="17">
        <v>0</v>
      </c>
      <c r="DF28" s="17">
        <v>129.99506621081056</v>
      </c>
      <c r="DG28" s="15" t="s">
        <v>98</v>
      </c>
      <c r="DH28" s="16" t="s">
        <v>26</v>
      </c>
      <c r="DI28" s="17">
        <v>0</v>
      </c>
      <c r="DJ28" s="17">
        <v>23.431934814310722</v>
      </c>
      <c r="DK28" s="17">
        <v>14.289374017468988</v>
      </c>
      <c r="DL28" s="17">
        <v>0</v>
      </c>
      <c r="DM28" s="17">
        <v>37.721308831779709</v>
      </c>
      <c r="DN28" s="15" t="s">
        <v>98</v>
      </c>
      <c r="DO28" s="16" t="s">
        <v>26</v>
      </c>
      <c r="DP28" s="17">
        <v>123.03571540735157</v>
      </c>
      <c r="DQ28" s="17">
        <v>38.429190835768722</v>
      </c>
      <c r="DR28" s="17">
        <v>20.709326843224819</v>
      </c>
      <c r="DS28" s="17">
        <v>0</v>
      </c>
      <c r="DT28" s="17">
        <v>182.17423308634514</v>
      </c>
      <c r="DU28" s="15" t="s">
        <v>98</v>
      </c>
      <c r="DV28" s="16" t="s">
        <v>26</v>
      </c>
      <c r="DW28" s="17">
        <v>40.097877358355241</v>
      </c>
      <c r="DX28" s="17">
        <v>15.586824096960335</v>
      </c>
      <c r="DY28" s="17">
        <v>7.4602825292272019</v>
      </c>
      <c r="DZ28" s="17">
        <v>0</v>
      </c>
      <c r="EA28" s="17">
        <v>63.144983984542776</v>
      </c>
      <c r="EB28" s="15" t="s">
        <v>98</v>
      </c>
      <c r="EC28" s="16" t="s">
        <v>26</v>
      </c>
      <c r="ED28" s="17">
        <v>71.010456236850345</v>
      </c>
      <c r="EE28" s="17">
        <v>27.921789523851558</v>
      </c>
      <c r="EF28" s="17">
        <v>3.2924023431130052</v>
      </c>
      <c r="EG28" s="17">
        <v>0</v>
      </c>
      <c r="EH28" s="17">
        <v>102.22464810381491</v>
      </c>
    </row>
    <row r="29" spans="1:138" ht="10.199999999999999" customHeight="1" x14ac:dyDescent="0.25">
      <c r="A29" s="15" t="s">
        <v>93</v>
      </c>
      <c r="B29" s="16" t="s">
        <v>21</v>
      </c>
      <c r="C29" s="17">
        <f t="shared" si="4"/>
        <v>3.1622516428802836</v>
      </c>
      <c r="D29" s="17">
        <f t="shared" si="5"/>
        <v>19.9680572992586</v>
      </c>
      <c r="E29" s="17">
        <f t="shared" si="6"/>
        <v>0</v>
      </c>
      <c r="F29" s="17">
        <f t="shared" si="7"/>
        <v>41.073563637850128</v>
      </c>
      <c r="G29" s="17">
        <f t="shared" si="8"/>
        <v>0</v>
      </c>
      <c r="H29" s="17">
        <f t="shared" si="9"/>
        <v>0</v>
      </c>
      <c r="I29" s="17">
        <f t="shared" si="10"/>
        <v>125.27022630017962</v>
      </c>
      <c r="J29" s="17">
        <f t="shared" si="11"/>
        <v>3.6613586099485955</v>
      </c>
      <c r="K29" s="17">
        <f t="shared" si="12"/>
        <v>100.19773322425962</v>
      </c>
      <c r="L29" s="17">
        <f t="shared" si="13"/>
        <v>40.341715693489697</v>
      </c>
      <c r="M29" s="17">
        <f t="shared" si="14"/>
        <v>1564.3469011039847</v>
      </c>
      <c r="N29" s="17">
        <f t="shared" si="15"/>
        <v>7.9932606683198344</v>
      </c>
      <c r="O29" s="17">
        <f t="shared" si="16"/>
        <v>1906.0150681801711</v>
      </c>
      <c r="P29" s="15" t="s">
        <v>93</v>
      </c>
      <c r="Q29" s="16" t="s">
        <v>21</v>
      </c>
      <c r="R29" s="17">
        <f t="shared" si="17"/>
        <v>3.1622516428802836</v>
      </c>
      <c r="S29" s="17">
        <f t="shared" si="18"/>
        <v>19.9680572992586</v>
      </c>
      <c r="T29" s="17">
        <f t="shared" si="19"/>
        <v>0</v>
      </c>
      <c r="U29" s="17">
        <f t="shared" si="20"/>
        <v>41.073563637850128</v>
      </c>
      <c r="V29" s="17">
        <f t="shared" si="21"/>
        <v>0</v>
      </c>
      <c r="W29" s="17">
        <f t="shared" si="22"/>
        <v>0</v>
      </c>
      <c r="X29" s="17">
        <f t="shared" si="23"/>
        <v>125.27022630017962</v>
      </c>
      <c r="Y29" s="17">
        <f t="shared" si="24"/>
        <v>3.6613586099485955</v>
      </c>
      <c r="Z29" s="17">
        <f t="shared" si="25"/>
        <v>100.19773322425962</v>
      </c>
      <c r="AA29" s="17">
        <f t="shared" si="26"/>
        <v>40.341715693489697</v>
      </c>
      <c r="AB29" s="17">
        <f t="shared" si="27"/>
        <v>333.67490640786656</v>
      </c>
      <c r="AC29" s="15" t="s">
        <v>93</v>
      </c>
      <c r="AD29" s="16" t="s">
        <v>21</v>
      </c>
      <c r="AE29" s="17">
        <f t="shared" si="28"/>
        <v>1564.3469011039847</v>
      </c>
      <c r="AF29" s="17">
        <f t="shared" si="29"/>
        <v>7.9932606683198344</v>
      </c>
      <c r="AG29" s="17">
        <f t="shared" si="30"/>
        <v>1572.3401617723046</v>
      </c>
      <c r="AH29" s="15" t="s">
        <v>93</v>
      </c>
      <c r="AI29" s="16" t="s">
        <v>21</v>
      </c>
      <c r="AJ29" s="17">
        <f t="shared" si="31"/>
        <v>1878.3659977233463</v>
      </c>
      <c r="AK29" s="17">
        <f t="shared" si="32"/>
        <v>27.565382724237875</v>
      </c>
      <c r="AL29" s="17">
        <f t="shared" si="33"/>
        <v>8.3687732586764055E-2</v>
      </c>
      <c r="AM29" s="17">
        <f t="shared" si="34"/>
        <v>0</v>
      </c>
      <c r="AN29" s="17">
        <f t="shared" si="35"/>
        <v>1906.0150681801708</v>
      </c>
      <c r="AO29" s="15" t="s">
        <v>93</v>
      </c>
      <c r="AP29" s="16" t="s">
        <v>21</v>
      </c>
      <c r="AQ29" s="17">
        <f t="shared" si="36"/>
        <v>306.36058688138888</v>
      </c>
      <c r="AR29" s="17">
        <f t="shared" si="37"/>
        <v>27.314319526477583</v>
      </c>
      <c r="AS29" s="17">
        <f t="shared" si="38"/>
        <v>0</v>
      </c>
      <c r="AT29" s="17">
        <f t="shared" si="39"/>
        <v>0</v>
      </c>
      <c r="AU29" s="17">
        <f t="shared" si="40"/>
        <v>333.67490640786644</v>
      </c>
      <c r="AV29" s="15" t="s">
        <v>93</v>
      </c>
      <c r="AW29" s="16" t="s">
        <v>21</v>
      </c>
      <c r="AX29" s="17">
        <f t="shared" si="41"/>
        <v>1572.0054108419574</v>
      </c>
      <c r="AY29" s="17">
        <f t="shared" si="42"/>
        <v>0.25106319776029212</v>
      </c>
      <c r="AZ29" s="17">
        <f t="shared" si="43"/>
        <v>8.3687732586764055E-2</v>
      </c>
      <c r="BA29" s="17">
        <f t="shared" si="44"/>
        <v>0</v>
      </c>
      <c r="BB29" s="17">
        <f t="shared" si="45"/>
        <v>1572.3401617723043</v>
      </c>
      <c r="BC29" s="15" t="s">
        <v>93</v>
      </c>
      <c r="BD29" s="16" t="s">
        <v>21</v>
      </c>
      <c r="BE29" s="17">
        <v>0</v>
      </c>
      <c r="BF29" s="17">
        <v>3.1622516428802836</v>
      </c>
      <c r="BG29" s="17">
        <v>0</v>
      </c>
      <c r="BH29" s="17">
        <v>0</v>
      </c>
      <c r="BI29" s="17">
        <v>3.1622516428802836</v>
      </c>
      <c r="BJ29" s="15" t="s">
        <v>93</v>
      </c>
      <c r="BK29" s="16" t="s">
        <v>21</v>
      </c>
      <c r="BL29" s="17">
        <v>18.884369566671836</v>
      </c>
      <c r="BM29" s="17">
        <v>1.083687732586764</v>
      </c>
      <c r="BN29" s="17">
        <v>0</v>
      </c>
      <c r="BO29" s="17">
        <v>0</v>
      </c>
      <c r="BP29" s="17">
        <v>19.9680572992586</v>
      </c>
      <c r="BQ29" s="15" t="s">
        <v>93</v>
      </c>
      <c r="BR29" s="16" t="s">
        <v>21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5" t="s">
        <v>93</v>
      </c>
      <c r="BY29" s="16" t="s">
        <v>21</v>
      </c>
      <c r="BZ29" s="17">
        <v>41.031719771556745</v>
      </c>
      <c r="CA29" s="17">
        <v>4.1843866293382027E-2</v>
      </c>
      <c r="CB29" s="17">
        <v>0</v>
      </c>
      <c r="CC29" s="17">
        <v>0</v>
      </c>
      <c r="CD29" s="17">
        <v>41.073563637850128</v>
      </c>
      <c r="CE29" s="15" t="s">
        <v>93</v>
      </c>
      <c r="CF29" s="16" t="s">
        <v>21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5" t="s">
        <v>93</v>
      </c>
      <c r="CM29" s="16" t="s">
        <v>21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5" t="s">
        <v>93</v>
      </c>
      <c r="CT29" s="16" t="s">
        <v>21</v>
      </c>
      <c r="CU29" s="17">
        <v>125.10285083500608</v>
      </c>
      <c r="CV29" s="17">
        <v>0.16737546517352811</v>
      </c>
      <c r="CW29" s="17">
        <v>0</v>
      </c>
      <c r="CX29" s="17">
        <v>0</v>
      </c>
      <c r="CY29" s="17">
        <v>125.27022630017962</v>
      </c>
      <c r="CZ29" s="15" t="s">
        <v>93</v>
      </c>
      <c r="DA29" s="16" t="s">
        <v>21</v>
      </c>
      <c r="DB29" s="17">
        <v>86.061595346658294</v>
      </c>
      <c r="DC29" s="17">
        <v>14.136137877601325</v>
      </c>
      <c r="DD29" s="17">
        <v>0</v>
      </c>
      <c r="DE29" s="17">
        <v>0</v>
      </c>
      <c r="DF29" s="17">
        <v>100.19773322425962</v>
      </c>
      <c r="DG29" s="15" t="s">
        <v>93</v>
      </c>
      <c r="DH29" s="16" t="s">
        <v>21</v>
      </c>
      <c r="DI29" s="17">
        <v>3.6195147436552135</v>
      </c>
      <c r="DJ29" s="17">
        <v>4.1843866293382027E-2</v>
      </c>
      <c r="DK29" s="17">
        <v>0</v>
      </c>
      <c r="DL29" s="17">
        <v>0</v>
      </c>
      <c r="DM29" s="17">
        <v>3.6613586099485955</v>
      </c>
      <c r="DN29" s="15" t="s">
        <v>93</v>
      </c>
      <c r="DO29" s="16" t="s">
        <v>21</v>
      </c>
      <c r="DP29" s="17">
        <v>31.66053661784078</v>
      </c>
      <c r="DQ29" s="17">
        <v>8.6811790756489184</v>
      </c>
      <c r="DR29" s="17">
        <v>0</v>
      </c>
      <c r="DS29" s="17">
        <v>0</v>
      </c>
      <c r="DT29" s="17">
        <v>40.341715693489697</v>
      </c>
      <c r="DU29" s="15" t="s">
        <v>93</v>
      </c>
      <c r="DV29" s="16" t="s">
        <v>21</v>
      </c>
      <c r="DW29" s="17">
        <v>7.9514168020264524</v>
      </c>
      <c r="DX29" s="17">
        <v>0</v>
      </c>
      <c r="DY29" s="17">
        <v>4.1843866293382027E-2</v>
      </c>
      <c r="DZ29" s="17">
        <v>0</v>
      </c>
      <c r="EA29" s="17">
        <v>7.9932606683198344</v>
      </c>
      <c r="EB29" s="15" t="s">
        <v>93</v>
      </c>
      <c r="EC29" s="16" t="s">
        <v>21</v>
      </c>
      <c r="ED29" s="17">
        <v>1564.053994039931</v>
      </c>
      <c r="EE29" s="17">
        <v>0.25106319776029212</v>
      </c>
      <c r="EF29" s="17">
        <v>4.1843866293382027E-2</v>
      </c>
      <c r="EG29" s="17">
        <v>0</v>
      </c>
      <c r="EH29" s="17">
        <v>1564.3469011039847</v>
      </c>
    </row>
    <row r="30" spans="1:138" ht="10.199999999999999" customHeight="1" x14ac:dyDescent="0.25">
      <c r="A30" s="15" t="s">
        <v>115</v>
      </c>
      <c r="B30" s="16" t="s">
        <v>43</v>
      </c>
      <c r="C30" s="17">
        <f t="shared" si="4"/>
        <v>43.898729585322819</v>
      </c>
      <c r="D30" s="17">
        <f t="shared" si="5"/>
        <v>0.54397026181396635</v>
      </c>
      <c r="E30" s="17">
        <f t="shared" si="6"/>
        <v>6.3105488051344887</v>
      </c>
      <c r="F30" s="17">
        <f t="shared" si="7"/>
        <v>386.08835846183626</v>
      </c>
      <c r="G30" s="17">
        <f t="shared" si="8"/>
        <v>29.326768707897106</v>
      </c>
      <c r="H30" s="17">
        <f t="shared" si="9"/>
        <v>0</v>
      </c>
      <c r="I30" s="17">
        <f t="shared" si="10"/>
        <v>70.160243505923972</v>
      </c>
      <c r="J30" s="17">
        <f t="shared" si="11"/>
        <v>36.658573178051633</v>
      </c>
      <c r="K30" s="17">
        <f t="shared" si="12"/>
        <v>53.740237946426497</v>
      </c>
      <c r="L30" s="17">
        <f t="shared" si="13"/>
        <v>14.997887112452471</v>
      </c>
      <c r="M30" s="17">
        <f t="shared" si="14"/>
        <v>778.72443031252419</v>
      </c>
      <c r="N30" s="17">
        <f t="shared" si="15"/>
        <v>32.183144720401771</v>
      </c>
      <c r="O30" s="17">
        <f t="shared" si="16"/>
        <v>1452.632892597785</v>
      </c>
      <c r="P30" s="15" t="s">
        <v>115</v>
      </c>
      <c r="Q30" s="16" t="s">
        <v>43</v>
      </c>
      <c r="R30" s="17">
        <f t="shared" si="17"/>
        <v>43.898729585322819</v>
      </c>
      <c r="S30" s="17">
        <f t="shared" si="18"/>
        <v>0.54397026181396635</v>
      </c>
      <c r="T30" s="17">
        <f t="shared" si="19"/>
        <v>6.3105488051344887</v>
      </c>
      <c r="U30" s="17">
        <f t="shared" si="20"/>
        <v>386.08835846183626</v>
      </c>
      <c r="V30" s="17">
        <f t="shared" si="21"/>
        <v>29.326768707897106</v>
      </c>
      <c r="W30" s="17">
        <f t="shared" si="22"/>
        <v>0</v>
      </c>
      <c r="X30" s="17">
        <f t="shared" si="23"/>
        <v>70.160243505923972</v>
      </c>
      <c r="Y30" s="17">
        <f t="shared" si="24"/>
        <v>36.658573178051633</v>
      </c>
      <c r="Z30" s="17">
        <f t="shared" si="25"/>
        <v>53.740237946426497</v>
      </c>
      <c r="AA30" s="17">
        <f t="shared" si="26"/>
        <v>14.997887112452471</v>
      </c>
      <c r="AB30" s="17">
        <f t="shared" si="27"/>
        <v>641.72531756485921</v>
      </c>
      <c r="AC30" s="15" t="s">
        <v>115</v>
      </c>
      <c r="AD30" s="16" t="s">
        <v>43</v>
      </c>
      <c r="AE30" s="17">
        <f t="shared" si="28"/>
        <v>778.72443031252419</v>
      </c>
      <c r="AF30" s="17">
        <f t="shared" si="29"/>
        <v>32.183144720401771</v>
      </c>
      <c r="AG30" s="17">
        <f t="shared" si="30"/>
        <v>810.90757503292593</v>
      </c>
      <c r="AH30" s="15" t="s">
        <v>115</v>
      </c>
      <c r="AI30" s="16" t="s">
        <v>43</v>
      </c>
      <c r="AJ30" s="17">
        <f t="shared" si="31"/>
        <v>842.08770008804368</v>
      </c>
      <c r="AK30" s="17">
        <f t="shared" si="32"/>
        <v>540.68908317889282</v>
      </c>
      <c r="AL30" s="17">
        <f t="shared" si="33"/>
        <v>69.856109330848639</v>
      </c>
      <c r="AM30" s="17">
        <f t="shared" si="34"/>
        <v>0</v>
      </c>
      <c r="AN30" s="17">
        <f t="shared" si="35"/>
        <v>1452.632892597785</v>
      </c>
      <c r="AO30" s="15" t="s">
        <v>115</v>
      </c>
      <c r="AP30" s="16" t="s">
        <v>43</v>
      </c>
      <c r="AQ30" s="17">
        <f t="shared" si="36"/>
        <v>216.39868369536944</v>
      </c>
      <c r="AR30" s="17">
        <f t="shared" si="37"/>
        <v>383.44740160189065</v>
      </c>
      <c r="AS30" s="17">
        <f t="shared" si="38"/>
        <v>41.879232267599193</v>
      </c>
      <c r="AT30" s="17">
        <f t="shared" si="39"/>
        <v>0</v>
      </c>
      <c r="AU30" s="17">
        <f t="shared" si="40"/>
        <v>641.72531756485921</v>
      </c>
      <c r="AV30" s="15" t="s">
        <v>115</v>
      </c>
      <c r="AW30" s="16" t="s">
        <v>43</v>
      </c>
      <c r="AX30" s="17">
        <f t="shared" si="41"/>
        <v>625.68901639267426</v>
      </c>
      <c r="AY30" s="17">
        <f t="shared" si="42"/>
        <v>157.24168157700223</v>
      </c>
      <c r="AZ30" s="17">
        <f t="shared" si="43"/>
        <v>27.976877063249447</v>
      </c>
      <c r="BA30" s="17">
        <f t="shared" si="44"/>
        <v>0</v>
      </c>
      <c r="BB30" s="17">
        <f t="shared" si="45"/>
        <v>810.90757503292593</v>
      </c>
      <c r="BC30" s="15" t="s">
        <v>115</v>
      </c>
      <c r="BD30" s="16" t="s">
        <v>43</v>
      </c>
      <c r="BE30" s="17">
        <v>38.143128783820849</v>
      </c>
      <c r="BF30" s="17">
        <v>0</v>
      </c>
      <c r="BG30" s="17">
        <v>5.7556008015019726</v>
      </c>
      <c r="BH30" s="17">
        <v>0</v>
      </c>
      <c r="BI30" s="17">
        <v>43.898729585322819</v>
      </c>
      <c r="BJ30" s="15" t="s">
        <v>115</v>
      </c>
      <c r="BK30" s="16" t="s">
        <v>43</v>
      </c>
      <c r="BL30" s="17">
        <v>0.54397026181396635</v>
      </c>
      <c r="BM30" s="17">
        <v>0</v>
      </c>
      <c r="BN30" s="17">
        <v>0</v>
      </c>
      <c r="BO30" s="17">
        <v>0</v>
      </c>
      <c r="BP30" s="17">
        <v>0.54397026181396635</v>
      </c>
      <c r="BQ30" s="15" t="s">
        <v>115</v>
      </c>
      <c r="BR30" s="16" t="s">
        <v>43</v>
      </c>
      <c r="BS30" s="17">
        <v>0</v>
      </c>
      <c r="BT30" s="17">
        <v>0</v>
      </c>
      <c r="BU30" s="17">
        <v>6.3105488051344887</v>
      </c>
      <c r="BV30" s="17">
        <v>0</v>
      </c>
      <c r="BW30" s="17">
        <v>6.3105488051344887</v>
      </c>
      <c r="BX30" s="15" t="s">
        <v>115</v>
      </c>
      <c r="BY30" s="16" t="s">
        <v>43</v>
      </c>
      <c r="BZ30" s="17">
        <v>79.23044256192604</v>
      </c>
      <c r="CA30" s="17">
        <v>297.01882587999438</v>
      </c>
      <c r="CB30" s="17">
        <v>9.8390900199158207</v>
      </c>
      <c r="CC30" s="17">
        <v>0</v>
      </c>
      <c r="CD30" s="17">
        <v>386.08835846183626</v>
      </c>
      <c r="CE30" s="15" t="s">
        <v>115</v>
      </c>
      <c r="CF30" s="16" t="s">
        <v>43</v>
      </c>
      <c r="CG30" s="17">
        <v>18.420824214211247</v>
      </c>
      <c r="CH30" s="17">
        <v>4.1894404357225072</v>
      </c>
      <c r="CI30" s="17">
        <v>6.7165040579633519</v>
      </c>
      <c r="CJ30" s="17">
        <v>0</v>
      </c>
      <c r="CK30" s="17">
        <v>29.326768707897106</v>
      </c>
      <c r="CL30" s="15" t="s">
        <v>115</v>
      </c>
      <c r="CM30" s="16" t="s">
        <v>43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5" t="s">
        <v>115</v>
      </c>
      <c r="CT30" s="16" t="s">
        <v>43</v>
      </c>
      <c r="CU30" s="17">
        <v>4.2500537558789535</v>
      </c>
      <c r="CV30" s="17">
        <v>65.910189750045021</v>
      </c>
      <c r="CW30" s="17">
        <v>0</v>
      </c>
      <c r="CX30" s="17">
        <v>0</v>
      </c>
      <c r="CY30" s="17">
        <v>70.160243505923972</v>
      </c>
      <c r="CZ30" s="15" t="s">
        <v>115</v>
      </c>
      <c r="DA30" s="16" t="s">
        <v>43</v>
      </c>
      <c r="DB30" s="17">
        <v>42.526220196539661</v>
      </c>
      <c r="DC30" s="17">
        <v>11.17217388359345</v>
      </c>
      <c r="DD30" s="17">
        <v>4.1843866293382027E-2</v>
      </c>
      <c r="DE30" s="17">
        <v>0</v>
      </c>
      <c r="DF30" s="17">
        <v>53.740237946426497</v>
      </c>
      <c r="DG30" s="15" t="s">
        <v>115</v>
      </c>
      <c r="DH30" s="16" t="s">
        <v>43</v>
      </c>
      <c r="DI30" s="17">
        <v>28.599700113796661</v>
      </c>
      <c r="DJ30" s="17">
        <v>0</v>
      </c>
      <c r="DK30" s="17">
        <v>8.0588730642549695</v>
      </c>
      <c r="DL30" s="17">
        <v>0</v>
      </c>
      <c r="DM30" s="17">
        <v>36.658573178051633</v>
      </c>
      <c r="DN30" s="15" t="s">
        <v>115</v>
      </c>
      <c r="DO30" s="16" t="s">
        <v>43</v>
      </c>
      <c r="DP30" s="17">
        <v>4.6843438073820547</v>
      </c>
      <c r="DQ30" s="17">
        <v>5.1567716525352081</v>
      </c>
      <c r="DR30" s="17">
        <v>5.1567716525352081</v>
      </c>
      <c r="DS30" s="17">
        <v>0</v>
      </c>
      <c r="DT30" s="17">
        <v>14.997887112452471</v>
      </c>
      <c r="DU30" s="15" t="s">
        <v>115</v>
      </c>
      <c r="DV30" s="16" t="s">
        <v>43</v>
      </c>
      <c r="DW30" s="17">
        <v>7.4962422973351703</v>
      </c>
      <c r="DX30" s="17">
        <v>4.0846974379539267</v>
      </c>
      <c r="DY30" s="17">
        <v>20.602204985112675</v>
      </c>
      <c r="DZ30" s="17">
        <v>0</v>
      </c>
      <c r="EA30" s="17">
        <v>32.183144720401771</v>
      </c>
      <c r="EB30" s="15" t="s">
        <v>115</v>
      </c>
      <c r="EC30" s="16" t="s">
        <v>43</v>
      </c>
      <c r="ED30" s="17">
        <v>618.19277409533913</v>
      </c>
      <c r="EE30" s="17">
        <v>153.15698413904829</v>
      </c>
      <c r="EF30" s="17">
        <v>7.3746720781367703</v>
      </c>
      <c r="EG30" s="17">
        <v>0</v>
      </c>
      <c r="EH30" s="17">
        <v>778.72443031252419</v>
      </c>
    </row>
    <row r="31" spans="1:138" ht="10.199999999999999" customHeight="1" x14ac:dyDescent="0.25">
      <c r="A31" s="15" t="s">
        <v>111</v>
      </c>
      <c r="B31" s="16" t="s">
        <v>39</v>
      </c>
      <c r="C31" s="17">
        <f t="shared" si="4"/>
        <v>5.4602825292272019</v>
      </c>
      <c r="D31" s="17">
        <f t="shared" si="5"/>
        <v>13.543970261813966</v>
      </c>
      <c r="E31" s="17">
        <f t="shared" si="6"/>
        <v>1.0337764912225262</v>
      </c>
      <c r="F31" s="17">
        <f t="shared" si="7"/>
        <v>149.71356508309086</v>
      </c>
      <c r="G31" s="17">
        <f t="shared" si="8"/>
        <v>1.041843866293382</v>
      </c>
      <c r="H31" s="17">
        <f t="shared" si="9"/>
        <v>0</v>
      </c>
      <c r="I31" s="17">
        <f t="shared" si="10"/>
        <v>22.742149164239315</v>
      </c>
      <c r="J31" s="17">
        <f t="shared" si="11"/>
        <v>48.929403834737023</v>
      </c>
      <c r="K31" s="17">
        <f t="shared" si="12"/>
        <v>186.07769582181578</v>
      </c>
      <c r="L31" s="17">
        <f t="shared" si="13"/>
        <v>64.578095313629149</v>
      </c>
      <c r="M31" s="17">
        <f t="shared" si="14"/>
        <v>1432.4434478086423</v>
      </c>
      <c r="N31" s="17">
        <f t="shared" si="15"/>
        <v>14.376905532551399</v>
      </c>
      <c r="O31" s="17">
        <f t="shared" si="16"/>
        <v>1939.9411357072629</v>
      </c>
      <c r="P31" s="15" t="s">
        <v>111</v>
      </c>
      <c r="Q31" s="16" t="s">
        <v>39</v>
      </c>
      <c r="R31" s="17">
        <f t="shared" si="17"/>
        <v>5.4602825292272019</v>
      </c>
      <c r="S31" s="17">
        <f t="shared" si="18"/>
        <v>13.543970261813966</v>
      </c>
      <c r="T31" s="17">
        <f t="shared" si="19"/>
        <v>1.0337764912225262</v>
      </c>
      <c r="U31" s="17">
        <f t="shared" si="20"/>
        <v>149.71356508309086</v>
      </c>
      <c r="V31" s="17">
        <f t="shared" si="21"/>
        <v>1.041843866293382</v>
      </c>
      <c r="W31" s="17">
        <f t="shared" si="22"/>
        <v>0</v>
      </c>
      <c r="X31" s="17">
        <f t="shared" si="23"/>
        <v>22.742149164239315</v>
      </c>
      <c r="Y31" s="17">
        <f t="shared" si="24"/>
        <v>48.929403834737023</v>
      </c>
      <c r="Z31" s="17">
        <f t="shared" si="25"/>
        <v>186.07769582181578</v>
      </c>
      <c r="AA31" s="17">
        <f t="shared" si="26"/>
        <v>64.578095313629149</v>
      </c>
      <c r="AB31" s="17">
        <f t="shared" si="27"/>
        <v>493.12078236606925</v>
      </c>
      <c r="AC31" s="15" t="s">
        <v>111</v>
      </c>
      <c r="AD31" s="16" t="s">
        <v>39</v>
      </c>
      <c r="AE31" s="17">
        <f t="shared" si="28"/>
        <v>1432.4434478086423</v>
      </c>
      <c r="AF31" s="17">
        <f t="shared" si="29"/>
        <v>14.376905532551399</v>
      </c>
      <c r="AG31" s="17">
        <f t="shared" si="30"/>
        <v>1446.8203533411936</v>
      </c>
      <c r="AH31" s="15" t="s">
        <v>111</v>
      </c>
      <c r="AI31" s="16" t="s">
        <v>39</v>
      </c>
      <c r="AJ31" s="17">
        <f t="shared" si="31"/>
        <v>1876.7069605043441</v>
      </c>
      <c r="AK31" s="17">
        <f t="shared" si="32"/>
        <v>61.158554845402783</v>
      </c>
      <c r="AL31" s="17">
        <f t="shared" si="33"/>
        <v>0</v>
      </c>
      <c r="AM31" s="17">
        <f t="shared" si="34"/>
        <v>2.0756203575159082</v>
      </c>
      <c r="AN31" s="17">
        <f t="shared" si="35"/>
        <v>1939.9411357072627</v>
      </c>
      <c r="AO31" s="15" t="s">
        <v>111</v>
      </c>
      <c r="AP31" s="16" t="s">
        <v>39</v>
      </c>
      <c r="AQ31" s="17">
        <f t="shared" si="36"/>
        <v>437.39024798497894</v>
      </c>
      <c r="AR31" s="17">
        <f t="shared" si="37"/>
        <v>54.696757889867747</v>
      </c>
      <c r="AS31" s="17">
        <f t="shared" si="38"/>
        <v>0</v>
      </c>
      <c r="AT31" s="17">
        <f t="shared" si="39"/>
        <v>1.0337764912225262</v>
      </c>
      <c r="AU31" s="17">
        <f t="shared" si="40"/>
        <v>493.12078236606919</v>
      </c>
      <c r="AV31" s="15" t="s">
        <v>111</v>
      </c>
      <c r="AW31" s="16" t="s">
        <v>39</v>
      </c>
      <c r="AX31" s="17">
        <f t="shared" si="41"/>
        <v>1439.3167125193652</v>
      </c>
      <c r="AY31" s="17">
        <f t="shared" si="42"/>
        <v>6.4617969555350339</v>
      </c>
      <c r="AZ31" s="17">
        <f t="shared" si="43"/>
        <v>0</v>
      </c>
      <c r="BA31" s="17">
        <f t="shared" si="44"/>
        <v>1.041843866293382</v>
      </c>
      <c r="BB31" s="17">
        <f t="shared" si="45"/>
        <v>1446.8203533411936</v>
      </c>
      <c r="BC31" s="15" t="s">
        <v>111</v>
      </c>
      <c r="BD31" s="16" t="s">
        <v>39</v>
      </c>
      <c r="BE31" s="17">
        <v>4.20921933146691</v>
      </c>
      <c r="BF31" s="17">
        <v>1.2510631977602922</v>
      </c>
      <c r="BG31" s="17">
        <v>0</v>
      </c>
      <c r="BH31" s="17">
        <v>0</v>
      </c>
      <c r="BI31" s="17">
        <v>5.4602825292272019</v>
      </c>
      <c r="BJ31" s="15" t="s">
        <v>111</v>
      </c>
      <c r="BK31" s="16" t="s">
        <v>39</v>
      </c>
      <c r="BL31" s="17">
        <v>13.543970261813966</v>
      </c>
      <c r="BM31" s="17">
        <v>0</v>
      </c>
      <c r="BN31" s="17">
        <v>0</v>
      </c>
      <c r="BO31" s="17">
        <v>0</v>
      </c>
      <c r="BP31" s="17">
        <v>13.543970261813966</v>
      </c>
      <c r="BQ31" s="15" t="s">
        <v>111</v>
      </c>
      <c r="BR31" s="16" t="s">
        <v>39</v>
      </c>
      <c r="BS31" s="17">
        <v>0</v>
      </c>
      <c r="BT31" s="17">
        <v>0</v>
      </c>
      <c r="BU31" s="17">
        <v>0</v>
      </c>
      <c r="BV31" s="17">
        <v>1.0337764912225262</v>
      </c>
      <c r="BW31" s="17">
        <v>1.0337764912225262</v>
      </c>
      <c r="BX31" s="15" t="s">
        <v>111</v>
      </c>
      <c r="BY31" s="16" t="s">
        <v>39</v>
      </c>
      <c r="BZ31" s="17">
        <v>147.29512642015703</v>
      </c>
      <c r="CA31" s="17">
        <v>2.4184386629338204</v>
      </c>
      <c r="CB31" s="17">
        <v>0</v>
      </c>
      <c r="CC31" s="17">
        <v>0</v>
      </c>
      <c r="CD31" s="17">
        <v>149.71356508309086</v>
      </c>
      <c r="CE31" s="15" t="s">
        <v>111</v>
      </c>
      <c r="CF31" s="16" t="s">
        <v>39</v>
      </c>
      <c r="CG31" s="17">
        <v>1.041843866293382</v>
      </c>
      <c r="CH31" s="17">
        <v>0</v>
      </c>
      <c r="CI31" s="17">
        <v>0</v>
      </c>
      <c r="CJ31" s="17">
        <v>0</v>
      </c>
      <c r="CK31" s="17">
        <v>1.041843866293382</v>
      </c>
      <c r="CL31" s="15" t="s">
        <v>111</v>
      </c>
      <c r="CM31" s="16" t="s">
        <v>39</v>
      </c>
      <c r="CN31" s="17">
        <v>0</v>
      </c>
      <c r="CO31" s="17">
        <v>0</v>
      </c>
      <c r="CP31" s="17">
        <v>0</v>
      </c>
      <c r="CQ31" s="17">
        <v>0</v>
      </c>
      <c r="CR31" s="17">
        <v>0</v>
      </c>
      <c r="CS31" s="15" t="s">
        <v>111</v>
      </c>
      <c r="CT31" s="16" t="s">
        <v>39</v>
      </c>
      <c r="CU31" s="17">
        <v>22.742149164239315</v>
      </c>
      <c r="CV31" s="17">
        <v>0</v>
      </c>
      <c r="CW31" s="17">
        <v>0</v>
      </c>
      <c r="CX31" s="17">
        <v>0</v>
      </c>
      <c r="CY31" s="17">
        <v>22.742149164239315</v>
      </c>
      <c r="CZ31" s="15" t="s">
        <v>111</v>
      </c>
      <c r="DA31" s="16" t="s">
        <v>39</v>
      </c>
      <c r="DB31" s="17">
        <v>149.02402121140406</v>
      </c>
      <c r="DC31" s="17">
        <v>37.053674610411711</v>
      </c>
      <c r="DD31" s="17">
        <v>0</v>
      </c>
      <c r="DE31" s="17">
        <v>0</v>
      </c>
      <c r="DF31" s="17">
        <v>186.07769582181578</v>
      </c>
      <c r="DG31" s="15" t="s">
        <v>111</v>
      </c>
      <c r="DH31" s="16" t="s">
        <v>39</v>
      </c>
      <c r="DI31" s="17">
        <v>46.888064689384308</v>
      </c>
      <c r="DJ31" s="17">
        <v>2.0413391453527128</v>
      </c>
      <c r="DK31" s="17">
        <v>0</v>
      </c>
      <c r="DL31" s="17">
        <v>0</v>
      </c>
      <c r="DM31" s="17">
        <v>48.929403834737023</v>
      </c>
      <c r="DN31" s="15" t="s">
        <v>111</v>
      </c>
      <c r="DO31" s="16" t="s">
        <v>39</v>
      </c>
      <c r="DP31" s="17">
        <v>52.645853040219933</v>
      </c>
      <c r="DQ31" s="17">
        <v>11.93224227340921</v>
      </c>
      <c r="DR31" s="17">
        <v>0</v>
      </c>
      <c r="DS31" s="17">
        <v>0</v>
      </c>
      <c r="DT31" s="17">
        <v>64.578095313629149</v>
      </c>
      <c r="DU31" s="15" t="s">
        <v>111</v>
      </c>
      <c r="DV31" s="16" t="s">
        <v>39</v>
      </c>
      <c r="DW31" s="17">
        <v>6.8732647107229825</v>
      </c>
      <c r="DX31" s="17">
        <v>6.4617969555350339</v>
      </c>
      <c r="DY31" s="17">
        <v>0</v>
      </c>
      <c r="DZ31" s="17">
        <v>1.041843866293382</v>
      </c>
      <c r="EA31" s="17">
        <v>14.376905532551399</v>
      </c>
      <c r="EB31" s="15" t="s">
        <v>111</v>
      </c>
      <c r="EC31" s="16" t="s">
        <v>39</v>
      </c>
      <c r="ED31" s="17">
        <v>1432.4434478086423</v>
      </c>
      <c r="EE31" s="17">
        <v>0</v>
      </c>
      <c r="EF31" s="17">
        <v>0</v>
      </c>
      <c r="EG31" s="17">
        <v>0</v>
      </c>
      <c r="EH31" s="17">
        <v>1432.4434478086423</v>
      </c>
    </row>
    <row r="32" spans="1:138" ht="10.199999999999999" customHeight="1" x14ac:dyDescent="0.25">
      <c r="A32" s="15" t="s">
        <v>118</v>
      </c>
      <c r="B32" s="16" t="s">
        <v>46</v>
      </c>
      <c r="C32" s="17">
        <f t="shared" si="4"/>
        <v>7.0708733998100879</v>
      </c>
      <c r="D32" s="17">
        <f t="shared" si="5"/>
        <v>0</v>
      </c>
      <c r="E32" s="17">
        <f t="shared" si="6"/>
        <v>2.0675529824450525</v>
      </c>
      <c r="F32" s="17">
        <f t="shared" si="7"/>
        <v>5.9342571742441317</v>
      </c>
      <c r="G32" s="17">
        <f t="shared" si="8"/>
        <v>3.167375465173528</v>
      </c>
      <c r="H32" s="17">
        <f t="shared" si="9"/>
        <v>0</v>
      </c>
      <c r="I32" s="17">
        <f t="shared" si="10"/>
        <v>0</v>
      </c>
      <c r="J32" s="17">
        <f t="shared" si="11"/>
        <v>2.0413391453527128</v>
      </c>
      <c r="K32" s="17">
        <f t="shared" si="12"/>
        <v>35.277578894563248</v>
      </c>
      <c r="L32" s="17">
        <f t="shared" si="13"/>
        <v>23.679801318916031</v>
      </c>
      <c r="M32" s="17">
        <f t="shared" si="14"/>
        <v>496.57324129164675</v>
      </c>
      <c r="N32" s="17">
        <f t="shared" si="15"/>
        <v>10.160636133493362</v>
      </c>
      <c r="O32" s="17">
        <f t="shared" si="16"/>
        <v>585.97265580564488</v>
      </c>
      <c r="P32" s="15" t="s">
        <v>118</v>
      </c>
      <c r="Q32" s="16" t="s">
        <v>46</v>
      </c>
      <c r="R32" s="17">
        <f t="shared" si="17"/>
        <v>7.0708733998100879</v>
      </c>
      <c r="S32" s="17">
        <f t="shared" si="18"/>
        <v>0</v>
      </c>
      <c r="T32" s="17">
        <f t="shared" si="19"/>
        <v>2.0675529824450525</v>
      </c>
      <c r="U32" s="17">
        <f t="shared" si="20"/>
        <v>5.9342571742441317</v>
      </c>
      <c r="V32" s="17">
        <f t="shared" si="21"/>
        <v>3.167375465173528</v>
      </c>
      <c r="W32" s="17">
        <f t="shared" si="22"/>
        <v>0</v>
      </c>
      <c r="X32" s="17">
        <f t="shared" si="23"/>
        <v>0</v>
      </c>
      <c r="Y32" s="17">
        <f t="shared" si="24"/>
        <v>2.0413391453527128</v>
      </c>
      <c r="Z32" s="17">
        <f t="shared" si="25"/>
        <v>35.277578894563248</v>
      </c>
      <c r="AA32" s="17">
        <f t="shared" si="26"/>
        <v>23.679801318916031</v>
      </c>
      <c r="AB32" s="17">
        <f t="shared" si="27"/>
        <v>79.238778380504797</v>
      </c>
      <c r="AC32" s="15" t="s">
        <v>118</v>
      </c>
      <c r="AD32" s="16" t="s">
        <v>46</v>
      </c>
      <c r="AE32" s="17">
        <f t="shared" si="28"/>
        <v>496.57324129164675</v>
      </c>
      <c r="AF32" s="17">
        <f t="shared" si="29"/>
        <v>10.160636133493362</v>
      </c>
      <c r="AG32" s="17">
        <f t="shared" si="30"/>
        <v>506.73387742514012</v>
      </c>
      <c r="AH32" s="15" t="s">
        <v>118</v>
      </c>
      <c r="AI32" s="16" t="s">
        <v>46</v>
      </c>
      <c r="AJ32" s="17">
        <f t="shared" si="31"/>
        <v>539.79216076559101</v>
      </c>
      <c r="AK32" s="17">
        <f t="shared" si="32"/>
        <v>8.8772070293390133</v>
      </c>
      <c r="AL32" s="17">
        <f t="shared" si="33"/>
        <v>14.094294011307944</v>
      </c>
      <c r="AM32" s="17">
        <f t="shared" si="34"/>
        <v>23.208993999406971</v>
      </c>
      <c r="AN32" s="17">
        <f t="shared" si="35"/>
        <v>585.97265580564499</v>
      </c>
      <c r="AO32" s="15" t="s">
        <v>118</v>
      </c>
      <c r="AP32" s="16" t="s">
        <v>46</v>
      </c>
      <c r="AQ32" s="17">
        <f t="shared" si="36"/>
        <v>33.183814939331008</v>
      </c>
      <c r="AR32" s="17">
        <f t="shared" si="37"/>
        <v>8.7516754304588673</v>
      </c>
      <c r="AS32" s="17">
        <f t="shared" si="38"/>
        <v>14.094294011307944</v>
      </c>
      <c r="AT32" s="17">
        <f t="shared" si="39"/>
        <v>23.208993999406971</v>
      </c>
      <c r="AU32" s="17">
        <f t="shared" si="40"/>
        <v>79.238778380504783</v>
      </c>
      <c r="AV32" s="15" t="s">
        <v>118</v>
      </c>
      <c r="AW32" s="16" t="s">
        <v>46</v>
      </c>
      <c r="AX32" s="17">
        <f t="shared" si="41"/>
        <v>506.60834582625995</v>
      </c>
      <c r="AY32" s="17">
        <f t="shared" si="42"/>
        <v>0.12553159888014606</v>
      </c>
      <c r="AZ32" s="17">
        <f t="shared" si="43"/>
        <v>0</v>
      </c>
      <c r="BA32" s="17">
        <f t="shared" si="44"/>
        <v>0</v>
      </c>
      <c r="BB32" s="17">
        <f t="shared" si="45"/>
        <v>506.73387742514012</v>
      </c>
      <c r="BC32" s="15" t="s">
        <v>118</v>
      </c>
      <c r="BD32" s="16" t="s">
        <v>46</v>
      </c>
      <c r="BE32" s="17">
        <v>4.9034979346365599</v>
      </c>
      <c r="BF32" s="17">
        <v>2.167375465173528</v>
      </c>
      <c r="BG32" s="17">
        <v>0</v>
      </c>
      <c r="BH32" s="17">
        <v>0</v>
      </c>
      <c r="BI32" s="17">
        <v>7.0708733998100879</v>
      </c>
      <c r="BJ32" s="15" t="s">
        <v>118</v>
      </c>
      <c r="BK32" s="16" t="s">
        <v>46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5" t="s">
        <v>118</v>
      </c>
      <c r="BR32" s="16" t="s">
        <v>46</v>
      </c>
      <c r="BS32" s="17">
        <v>0</v>
      </c>
      <c r="BT32" s="17">
        <v>0</v>
      </c>
      <c r="BU32" s="17">
        <v>0</v>
      </c>
      <c r="BV32" s="17">
        <v>2.0675529824450525</v>
      </c>
      <c r="BW32" s="17">
        <v>2.0675529824450525</v>
      </c>
      <c r="BX32" s="15" t="s">
        <v>118</v>
      </c>
      <c r="BY32" s="16" t="s">
        <v>46</v>
      </c>
      <c r="BZ32" s="17">
        <v>5.9342571742441317</v>
      </c>
      <c r="CA32" s="17">
        <v>0</v>
      </c>
      <c r="CB32" s="17">
        <v>0</v>
      </c>
      <c r="CC32" s="17">
        <v>0</v>
      </c>
      <c r="CD32" s="17">
        <v>5.9342571742441317</v>
      </c>
      <c r="CE32" s="15" t="s">
        <v>118</v>
      </c>
      <c r="CF32" s="16" t="s">
        <v>46</v>
      </c>
      <c r="CG32" s="17">
        <v>3.125531598880146</v>
      </c>
      <c r="CH32" s="17">
        <v>4.1843866293382027E-2</v>
      </c>
      <c r="CI32" s="17">
        <v>0</v>
      </c>
      <c r="CJ32" s="17">
        <v>0</v>
      </c>
      <c r="CK32" s="17">
        <v>3.167375465173528</v>
      </c>
      <c r="CL32" s="15" t="s">
        <v>118</v>
      </c>
      <c r="CM32" s="16" t="s">
        <v>46</v>
      </c>
      <c r="CN32" s="17">
        <v>0</v>
      </c>
      <c r="CO32" s="17">
        <v>0</v>
      </c>
      <c r="CP32" s="17">
        <v>0</v>
      </c>
      <c r="CQ32" s="17">
        <v>0</v>
      </c>
      <c r="CR32" s="17">
        <v>0</v>
      </c>
      <c r="CS32" s="15" t="s">
        <v>118</v>
      </c>
      <c r="CT32" s="16" t="s">
        <v>46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5" t="s">
        <v>118</v>
      </c>
      <c r="DA32" s="16" t="s">
        <v>46</v>
      </c>
      <c r="DB32" s="17">
        <v>0</v>
      </c>
      <c r="DC32" s="17">
        <v>4.1843866293382027E-2</v>
      </c>
      <c r="DD32" s="17">
        <v>14.094294011307944</v>
      </c>
      <c r="DE32" s="17">
        <v>21.14144101696192</v>
      </c>
      <c r="DF32" s="17">
        <v>35.277578894563248</v>
      </c>
      <c r="DG32" s="15" t="s">
        <v>118</v>
      </c>
      <c r="DH32" s="16" t="s">
        <v>46</v>
      </c>
      <c r="DI32" s="17">
        <v>2.0413391453527128</v>
      </c>
      <c r="DJ32" s="17">
        <v>0</v>
      </c>
      <c r="DK32" s="17">
        <v>0</v>
      </c>
      <c r="DL32" s="17">
        <v>0</v>
      </c>
      <c r="DM32" s="17">
        <v>2.0413391453527128</v>
      </c>
      <c r="DN32" s="15" t="s">
        <v>118</v>
      </c>
      <c r="DO32" s="16" t="s">
        <v>46</v>
      </c>
      <c r="DP32" s="17">
        <v>17.179189086217455</v>
      </c>
      <c r="DQ32" s="17">
        <v>6.5006122326985762</v>
      </c>
      <c r="DR32" s="17">
        <v>0</v>
      </c>
      <c r="DS32" s="17">
        <v>0</v>
      </c>
      <c r="DT32" s="17">
        <v>23.679801318916031</v>
      </c>
      <c r="DU32" s="15" t="s">
        <v>118</v>
      </c>
      <c r="DV32" s="16" t="s">
        <v>46</v>
      </c>
      <c r="DW32" s="17">
        <v>10.035104534613216</v>
      </c>
      <c r="DX32" s="17">
        <v>0.12553159888014606</v>
      </c>
      <c r="DY32" s="17">
        <v>0</v>
      </c>
      <c r="DZ32" s="17">
        <v>0</v>
      </c>
      <c r="EA32" s="17">
        <v>10.160636133493362</v>
      </c>
      <c r="EB32" s="15" t="s">
        <v>118</v>
      </c>
      <c r="EC32" s="16" t="s">
        <v>46</v>
      </c>
      <c r="ED32" s="17">
        <v>496.57324129164675</v>
      </c>
      <c r="EE32" s="17">
        <v>0</v>
      </c>
      <c r="EF32" s="17">
        <v>0</v>
      </c>
      <c r="EG32" s="17">
        <v>0</v>
      </c>
      <c r="EH32" s="17">
        <v>496.57324129164675</v>
      </c>
    </row>
    <row r="33" spans="1:138" ht="10.199999999999999" customHeight="1" x14ac:dyDescent="0.25">
      <c r="A33" s="15" t="s">
        <v>124</v>
      </c>
      <c r="B33" s="16" t="s">
        <v>52</v>
      </c>
      <c r="C33" s="17">
        <f t="shared" si="4"/>
        <v>0</v>
      </c>
      <c r="D33" s="17">
        <f t="shared" si="5"/>
        <v>2.5439702618139663</v>
      </c>
      <c r="E33" s="17">
        <f t="shared" si="6"/>
        <v>0</v>
      </c>
      <c r="F33" s="17">
        <f t="shared" si="7"/>
        <v>24.829913831354713</v>
      </c>
      <c r="G33" s="17">
        <f t="shared" si="8"/>
        <v>27.293626808510162</v>
      </c>
      <c r="H33" s="17">
        <f t="shared" si="9"/>
        <v>1.4775240285615237</v>
      </c>
      <c r="I33" s="17">
        <f t="shared" si="10"/>
        <v>4.1843866293382027E-2</v>
      </c>
      <c r="J33" s="17">
        <f t="shared" si="11"/>
        <v>0.25106319776029212</v>
      </c>
      <c r="K33" s="17">
        <f t="shared" si="12"/>
        <v>0</v>
      </c>
      <c r="L33" s="17">
        <f t="shared" si="13"/>
        <v>67.340874383150449</v>
      </c>
      <c r="M33" s="17">
        <f t="shared" si="14"/>
        <v>155.46622134706203</v>
      </c>
      <c r="N33" s="17">
        <f t="shared" si="15"/>
        <v>27.231272819467172</v>
      </c>
      <c r="O33" s="17">
        <f t="shared" si="16"/>
        <v>306.47631054397368</v>
      </c>
      <c r="P33" s="15" t="s">
        <v>124</v>
      </c>
      <c r="Q33" s="16" t="s">
        <v>52</v>
      </c>
      <c r="R33" s="17">
        <f t="shared" si="17"/>
        <v>0</v>
      </c>
      <c r="S33" s="17">
        <f t="shared" si="18"/>
        <v>2.5439702618139663</v>
      </c>
      <c r="T33" s="17">
        <f t="shared" si="19"/>
        <v>0</v>
      </c>
      <c r="U33" s="17">
        <f t="shared" si="20"/>
        <v>24.829913831354713</v>
      </c>
      <c r="V33" s="17">
        <f t="shared" si="21"/>
        <v>27.293626808510162</v>
      </c>
      <c r="W33" s="17">
        <f t="shared" si="22"/>
        <v>1.4775240285615237</v>
      </c>
      <c r="X33" s="17">
        <f t="shared" si="23"/>
        <v>4.1843866293382027E-2</v>
      </c>
      <c r="Y33" s="17">
        <f t="shared" si="24"/>
        <v>0.25106319776029212</v>
      </c>
      <c r="Z33" s="17">
        <f t="shared" si="25"/>
        <v>0</v>
      </c>
      <c r="AA33" s="17">
        <f t="shared" si="26"/>
        <v>67.340874383150449</v>
      </c>
      <c r="AB33" s="17">
        <f t="shared" si="27"/>
        <v>123.77881637744449</v>
      </c>
      <c r="AC33" s="15" t="s">
        <v>124</v>
      </c>
      <c r="AD33" s="16" t="s">
        <v>52</v>
      </c>
      <c r="AE33" s="17">
        <f t="shared" si="28"/>
        <v>155.46622134706203</v>
      </c>
      <c r="AF33" s="17">
        <f t="shared" si="29"/>
        <v>27.231272819467172</v>
      </c>
      <c r="AG33" s="17">
        <f t="shared" si="30"/>
        <v>182.6974941665292</v>
      </c>
      <c r="AH33" s="15" t="s">
        <v>124</v>
      </c>
      <c r="AI33" s="16" t="s">
        <v>52</v>
      </c>
      <c r="AJ33" s="17">
        <f t="shared" si="31"/>
        <v>242.8817450041492</v>
      </c>
      <c r="AK33" s="17">
        <f t="shared" si="32"/>
        <v>34.153480779216935</v>
      </c>
      <c r="AL33" s="17">
        <f t="shared" si="33"/>
        <v>23.317067324549413</v>
      </c>
      <c r="AM33" s="17">
        <f t="shared" si="34"/>
        <v>6.1240174360581383</v>
      </c>
      <c r="AN33" s="17">
        <f t="shared" si="35"/>
        <v>306.47631054397368</v>
      </c>
      <c r="AO33" s="15" t="s">
        <v>124</v>
      </c>
      <c r="AP33" s="16" t="s">
        <v>52</v>
      </c>
      <c r="AQ33" s="17">
        <f t="shared" si="36"/>
        <v>73.729531790405318</v>
      </c>
      <c r="AR33" s="17">
        <f t="shared" si="37"/>
        <v>29.986610034984079</v>
      </c>
      <c r="AS33" s="17">
        <f t="shared" si="38"/>
        <v>13.938657115996961</v>
      </c>
      <c r="AT33" s="17">
        <f t="shared" si="39"/>
        <v>6.1240174360581383</v>
      </c>
      <c r="AU33" s="17">
        <f t="shared" si="40"/>
        <v>123.7788163774445</v>
      </c>
      <c r="AV33" s="15" t="s">
        <v>124</v>
      </c>
      <c r="AW33" s="16" t="s">
        <v>52</v>
      </c>
      <c r="AX33" s="17">
        <f t="shared" si="41"/>
        <v>169.15221321374389</v>
      </c>
      <c r="AY33" s="17">
        <f t="shared" si="42"/>
        <v>4.1668707442328587</v>
      </c>
      <c r="AZ33" s="17">
        <f t="shared" si="43"/>
        <v>9.3784102085524506</v>
      </c>
      <c r="BA33" s="17">
        <f t="shared" si="44"/>
        <v>0</v>
      </c>
      <c r="BB33" s="17">
        <f t="shared" si="45"/>
        <v>182.6974941665292</v>
      </c>
      <c r="BC33" s="15" t="s">
        <v>124</v>
      </c>
      <c r="BD33" s="16" t="s">
        <v>52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5" t="s">
        <v>124</v>
      </c>
      <c r="BK33" s="16" t="s">
        <v>52</v>
      </c>
      <c r="BL33" s="17">
        <v>2.4602825292272024</v>
      </c>
      <c r="BM33" s="17">
        <v>0</v>
      </c>
      <c r="BN33" s="17">
        <v>8.3687732586764055E-2</v>
      </c>
      <c r="BO33" s="17">
        <v>0</v>
      </c>
      <c r="BP33" s="17">
        <v>2.5439702618139663</v>
      </c>
      <c r="BQ33" s="15" t="s">
        <v>124</v>
      </c>
      <c r="BR33" s="16" t="s">
        <v>52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5" t="s">
        <v>124</v>
      </c>
      <c r="BY33" s="16" t="s">
        <v>52</v>
      </c>
      <c r="BZ33" s="17">
        <v>23.746226098767949</v>
      </c>
      <c r="CA33" s="17">
        <v>0</v>
      </c>
      <c r="CB33" s="17">
        <v>1.083687732586764</v>
      </c>
      <c r="CC33" s="17">
        <v>0</v>
      </c>
      <c r="CD33" s="17">
        <v>24.829913831354713</v>
      </c>
      <c r="CE33" s="15" t="s">
        <v>124</v>
      </c>
      <c r="CF33" s="16" t="s">
        <v>52</v>
      </c>
      <c r="CG33" s="17">
        <v>21.169609372452022</v>
      </c>
      <c r="CH33" s="17">
        <v>0</v>
      </c>
      <c r="CI33" s="17">
        <v>0</v>
      </c>
      <c r="CJ33" s="17">
        <v>6.1240174360581383</v>
      </c>
      <c r="CK33" s="17">
        <v>27.293626808510162</v>
      </c>
      <c r="CL33" s="15" t="s">
        <v>124</v>
      </c>
      <c r="CM33" s="16" t="s">
        <v>52</v>
      </c>
      <c r="CN33" s="17">
        <v>0</v>
      </c>
      <c r="CO33" s="17">
        <v>0</v>
      </c>
      <c r="CP33" s="17">
        <v>1.4775240285615237</v>
      </c>
      <c r="CQ33" s="17">
        <v>0</v>
      </c>
      <c r="CR33" s="17">
        <v>1.4775240285615237</v>
      </c>
      <c r="CS33" s="15" t="s">
        <v>124</v>
      </c>
      <c r="CT33" s="16" t="s">
        <v>52</v>
      </c>
      <c r="CU33" s="17">
        <v>4.1843866293382027E-2</v>
      </c>
      <c r="CV33" s="17">
        <v>0</v>
      </c>
      <c r="CW33" s="17">
        <v>0</v>
      </c>
      <c r="CX33" s="17">
        <v>0</v>
      </c>
      <c r="CY33" s="17">
        <v>4.1843866293382027E-2</v>
      </c>
      <c r="CZ33" s="15" t="s">
        <v>124</v>
      </c>
      <c r="DA33" s="16" t="s">
        <v>52</v>
      </c>
      <c r="DB33" s="17">
        <v>0</v>
      </c>
      <c r="DC33" s="17">
        <v>0</v>
      </c>
      <c r="DD33" s="17">
        <v>0</v>
      </c>
      <c r="DE33" s="17">
        <v>0</v>
      </c>
      <c r="DF33" s="17">
        <v>0</v>
      </c>
      <c r="DG33" s="15" t="s">
        <v>124</v>
      </c>
      <c r="DH33" s="16" t="s">
        <v>52</v>
      </c>
      <c r="DI33" s="17">
        <v>0.2092193314669101</v>
      </c>
      <c r="DJ33" s="17">
        <v>4.1843866293382027E-2</v>
      </c>
      <c r="DK33" s="17">
        <v>0</v>
      </c>
      <c r="DL33" s="17">
        <v>0</v>
      </c>
      <c r="DM33" s="17">
        <v>0.25106319776029212</v>
      </c>
      <c r="DN33" s="15" t="s">
        <v>124</v>
      </c>
      <c r="DO33" s="16" t="s">
        <v>52</v>
      </c>
      <c r="DP33" s="17">
        <v>26.102350592197848</v>
      </c>
      <c r="DQ33" s="17">
        <v>29.944766168690695</v>
      </c>
      <c r="DR33" s="17">
        <v>11.293757622261909</v>
      </c>
      <c r="DS33" s="17">
        <v>0</v>
      </c>
      <c r="DT33" s="17">
        <v>67.340874383150449</v>
      </c>
      <c r="DU33" s="15" t="s">
        <v>124</v>
      </c>
      <c r="DV33" s="16" t="s">
        <v>52</v>
      </c>
      <c r="DW33" s="17">
        <v>26.189428953173788</v>
      </c>
      <c r="DX33" s="17">
        <v>0</v>
      </c>
      <c r="DY33" s="17">
        <v>1.041843866293382</v>
      </c>
      <c r="DZ33" s="17">
        <v>0</v>
      </c>
      <c r="EA33" s="17">
        <v>27.231272819467172</v>
      </c>
      <c r="EB33" s="15" t="s">
        <v>124</v>
      </c>
      <c r="EC33" s="16" t="s">
        <v>52</v>
      </c>
      <c r="ED33" s="17">
        <v>142.96278426057012</v>
      </c>
      <c r="EE33" s="17">
        <v>4.1668707442328587</v>
      </c>
      <c r="EF33" s="17">
        <v>8.3365663422590686</v>
      </c>
      <c r="EG33" s="17">
        <v>0</v>
      </c>
      <c r="EH33" s="17">
        <v>155.46622134706203</v>
      </c>
    </row>
    <row r="34" spans="1:138" ht="10.199999999999999" customHeight="1" x14ac:dyDescent="0.25">
      <c r="A34" s="15" t="s">
        <v>123</v>
      </c>
      <c r="B34" s="16" t="s">
        <v>51</v>
      </c>
      <c r="C34" s="17">
        <f t="shared" si="4"/>
        <v>0</v>
      </c>
      <c r="D34" s="17">
        <f t="shared" si="5"/>
        <v>23.165637821005376</v>
      </c>
      <c r="E34" s="17">
        <f t="shared" si="6"/>
        <v>0</v>
      </c>
      <c r="F34" s="17">
        <f t="shared" si="7"/>
        <v>2.6695018606941123</v>
      </c>
      <c r="G34" s="17">
        <f t="shared" si="8"/>
        <v>0</v>
      </c>
      <c r="H34" s="17">
        <f t="shared" si="9"/>
        <v>0</v>
      </c>
      <c r="I34" s="17">
        <f t="shared" si="10"/>
        <v>8.7455429832395097</v>
      </c>
      <c r="J34" s="17">
        <f t="shared" si="11"/>
        <v>0</v>
      </c>
      <c r="K34" s="17">
        <f t="shared" si="12"/>
        <v>6.7363404159830091</v>
      </c>
      <c r="L34" s="17">
        <f t="shared" si="13"/>
        <v>47.072624259177438</v>
      </c>
      <c r="M34" s="17">
        <f t="shared" si="14"/>
        <v>75.360707609764304</v>
      </c>
      <c r="N34" s="17">
        <f t="shared" si="15"/>
        <v>6.5418470338297698</v>
      </c>
      <c r="O34" s="17">
        <f t="shared" si="16"/>
        <v>170.29220198369353</v>
      </c>
      <c r="P34" s="15" t="s">
        <v>123</v>
      </c>
      <c r="Q34" s="16" t="s">
        <v>51</v>
      </c>
      <c r="R34" s="17">
        <f t="shared" si="17"/>
        <v>0</v>
      </c>
      <c r="S34" s="17">
        <f t="shared" si="18"/>
        <v>23.165637821005376</v>
      </c>
      <c r="T34" s="17">
        <f t="shared" si="19"/>
        <v>0</v>
      </c>
      <c r="U34" s="17">
        <f t="shared" si="20"/>
        <v>2.6695018606941123</v>
      </c>
      <c r="V34" s="17">
        <f t="shared" si="21"/>
        <v>0</v>
      </c>
      <c r="W34" s="17">
        <f t="shared" si="22"/>
        <v>0</v>
      </c>
      <c r="X34" s="17">
        <f t="shared" si="23"/>
        <v>8.7455429832395097</v>
      </c>
      <c r="Y34" s="17">
        <f t="shared" si="24"/>
        <v>0</v>
      </c>
      <c r="Z34" s="17">
        <f t="shared" si="25"/>
        <v>6.7363404159830091</v>
      </c>
      <c r="AA34" s="17">
        <f t="shared" si="26"/>
        <v>47.072624259177438</v>
      </c>
      <c r="AB34" s="17">
        <f t="shared" si="27"/>
        <v>88.389647340099444</v>
      </c>
      <c r="AC34" s="15" t="s">
        <v>123</v>
      </c>
      <c r="AD34" s="16" t="s">
        <v>51</v>
      </c>
      <c r="AE34" s="17">
        <f t="shared" si="28"/>
        <v>75.360707609764304</v>
      </c>
      <c r="AF34" s="17">
        <f t="shared" si="29"/>
        <v>6.5418470338297698</v>
      </c>
      <c r="AG34" s="17">
        <f t="shared" si="30"/>
        <v>81.902554643594073</v>
      </c>
      <c r="AH34" s="15" t="s">
        <v>123</v>
      </c>
      <c r="AI34" s="16" t="s">
        <v>51</v>
      </c>
      <c r="AJ34" s="17">
        <f t="shared" si="31"/>
        <v>137.01997510228986</v>
      </c>
      <c r="AK34" s="17">
        <f t="shared" si="32"/>
        <v>33.104851416230105</v>
      </c>
      <c r="AL34" s="17">
        <f t="shared" si="33"/>
        <v>0</v>
      </c>
      <c r="AM34" s="17">
        <f t="shared" si="34"/>
        <v>0.16737546517352811</v>
      </c>
      <c r="AN34" s="17">
        <f t="shared" si="35"/>
        <v>170.2922019836935</v>
      </c>
      <c r="AO34" s="15" t="s">
        <v>123</v>
      </c>
      <c r="AP34" s="16" t="s">
        <v>51</v>
      </c>
      <c r="AQ34" s="17">
        <f t="shared" si="36"/>
        <v>71.921969205719563</v>
      </c>
      <c r="AR34" s="17">
        <f t="shared" si="37"/>
        <v>16.467678134379877</v>
      </c>
      <c r="AS34" s="17">
        <f t="shared" si="38"/>
        <v>0</v>
      </c>
      <c r="AT34" s="17">
        <f t="shared" si="39"/>
        <v>0</v>
      </c>
      <c r="AU34" s="17">
        <f t="shared" si="40"/>
        <v>88.389647340099444</v>
      </c>
      <c r="AV34" s="15" t="s">
        <v>123</v>
      </c>
      <c r="AW34" s="16" t="s">
        <v>51</v>
      </c>
      <c r="AX34" s="17">
        <f t="shared" si="41"/>
        <v>65.098005896570299</v>
      </c>
      <c r="AY34" s="17">
        <f t="shared" si="42"/>
        <v>16.637173281850227</v>
      </c>
      <c r="AZ34" s="17">
        <f t="shared" si="43"/>
        <v>0</v>
      </c>
      <c r="BA34" s="17">
        <f t="shared" si="44"/>
        <v>0.16737546517352811</v>
      </c>
      <c r="BB34" s="17">
        <f t="shared" si="45"/>
        <v>81.902554643594058</v>
      </c>
      <c r="BC34" s="15" t="s">
        <v>123</v>
      </c>
      <c r="BD34" s="16" t="s">
        <v>51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5" t="s">
        <v>123</v>
      </c>
      <c r="BK34" s="16" t="s">
        <v>51</v>
      </c>
      <c r="BL34" s="17">
        <v>14.524233199854821</v>
      </c>
      <c r="BM34" s="17">
        <v>8.6414046211505564</v>
      </c>
      <c r="BN34" s="17">
        <v>0</v>
      </c>
      <c r="BO34" s="17">
        <v>0</v>
      </c>
      <c r="BP34" s="17">
        <v>23.165637821005376</v>
      </c>
      <c r="BQ34" s="15" t="s">
        <v>123</v>
      </c>
      <c r="BR34" s="16" t="s">
        <v>51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5" t="s">
        <v>123</v>
      </c>
      <c r="BY34" s="16" t="s">
        <v>51</v>
      </c>
      <c r="BZ34" s="17">
        <v>0.16737546517352811</v>
      </c>
      <c r="CA34" s="17">
        <v>2.5021263955205844</v>
      </c>
      <c r="CB34" s="17">
        <v>0</v>
      </c>
      <c r="CC34" s="17">
        <v>0</v>
      </c>
      <c r="CD34" s="17">
        <v>2.6695018606941123</v>
      </c>
      <c r="CE34" s="15" t="s">
        <v>123</v>
      </c>
      <c r="CF34" s="16" t="s">
        <v>51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5" t="s">
        <v>123</v>
      </c>
      <c r="CM34" s="16" t="s">
        <v>51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5" t="s">
        <v>123</v>
      </c>
      <c r="CT34" s="16" t="s">
        <v>51</v>
      </c>
      <c r="CU34" s="17">
        <v>8.7455429832395097</v>
      </c>
      <c r="CV34" s="17">
        <v>0</v>
      </c>
      <c r="CW34" s="17">
        <v>0</v>
      </c>
      <c r="CX34" s="17">
        <v>0</v>
      </c>
      <c r="CY34" s="17">
        <v>8.7455429832395097</v>
      </c>
      <c r="CZ34" s="15" t="s">
        <v>123</v>
      </c>
      <c r="DA34" s="16" t="s">
        <v>51</v>
      </c>
      <c r="DB34" s="17">
        <v>6.7363404159830091</v>
      </c>
      <c r="DC34" s="17">
        <v>0</v>
      </c>
      <c r="DD34" s="17">
        <v>0</v>
      </c>
      <c r="DE34" s="17">
        <v>0</v>
      </c>
      <c r="DF34" s="17">
        <v>6.7363404159830091</v>
      </c>
      <c r="DG34" s="15" t="s">
        <v>123</v>
      </c>
      <c r="DH34" s="16" t="s">
        <v>51</v>
      </c>
      <c r="DI34" s="17">
        <v>0</v>
      </c>
      <c r="DJ34" s="17">
        <v>0</v>
      </c>
      <c r="DK34" s="17">
        <v>0</v>
      </c>
      <c r="DL34" s="17">
        <v>0</v>
      </c>
      <c r="DM34" s="17">
        <v>0</v>
      </c>
      <c r="DN34" s="15" t="s">
        <v>123</v>
      </c>
      <c r="DO34" s="16" t="s">
        <v>51</v>
      </c>
      <c r="DP34" s="17">
        <v>41.748477141468705</v>
      </c>
      <c r="DQ34" s="17">
        <v>5.3241471177087361</v>
      </c>
      <c r="DR34" s="17">
        <v>0</v>
      </c>
      <c r="DS34" s="17">
        <v>0</v>
      </c>
      <c r="DT34" s="17">
        <v>47.072624259177438</v>
      </c>
      <c r="DU34" s="15" t="s">
        <v>123</v>
      </c>
      <c r="DV34" s="16" t="s">
        <v>51</v>
      </c>
      <c r="DW34" s="17">
        <v>4.4984887412285559</v>
      </c>
      <c r="DX34" s="17">
        <v>2.0433582926012135</v>
      </c>
      <c r="DY34" s="17">
        <v>0</v>
      </c>
      <c r="DZ34" s="17">
        <v>0</v>
      </c>
      <c r="EA34" s="17">
        <v>6.5418470338297698</v>
      </c>
      <c r="EB34" s="15" t="s">
        <v>123</v>
      </c>
      <c r="EC34" s="16" t="s">
        <v>51</v>
      </c>
      <c r="ED34" s="17">
        <v>60.599517155341751</v>
      </c>
      <c r="EE34" s="17">
        <v>14.593814989249015</v>
      </c>
      <c r="EF34" s="17">
        <v>0</v>
      </c>
      <c r="EG34" s="17">
        <v>0.16737546517352811</v>
      </c>
      <c r="EH34" s="17">
        <v>75.360707609764304</v>
      </c>
    </row>
    <row r="35" spans="1:138" ht="10.199999999999999" customHeight="1" x14ac:dyDescent="0.25">
      <c r="A35" s="15" t="s">
        <v>126</v>
      </c>
      <c r="B35" s="16" t="s">
        <v>54</v>
      </c>
      <c r="C35" s="17">
        <f t="shared" si="4"/>
        <v>0</v>
      </c>
      <c r="D35" s="17">
        <f t="shared" si="5"/>
        <v>0.29290706405367417</v>
      </c>
      <c r="E35" s="17">
        <f t="shared" si="6"/>
        <v>0</v>
      </c>
      <c r="F35" s="17">
        <f t="shared" si="7"/>
        <v>6.8919085870100814</v>
      </c>
      <c r="G35" s="17">
        <f t="shared" si="8"/>
        <v>0</v>
      </c>
      <c r="H35" s="17">
        <f t="shared" si="9"/>
        <v>0</v>
      </c>
      <c r="I35" s="17">
        <f t="shared" si="10"/>
        <v>1.125531598880146</v>
      </c>
      <c r="J35" s="17">
        <f t="shared" si="11"/>
        <v>0</v>
      </c>
      <c r="K35" s="17">
        <f t="shared" si="12"/>
        <v>0</v>
      </c>
      <c r="L35" s="17">
        <f t="shared" si="13"/>
        <v>6.9311542141011788</v>
      </c>
      <c r="M35" s="17">
        <f t="shared" si="14"/>
        <v>217.68106551881533</v>
      </c>
      <c r="N35" s="17">
        <f t="shared" si="15"/>
        <v>4.1843866293382027E-2</v>
      </c>
      <c r="O35" s="17">
        <f t="shared" si="16"/>
        <v>232.96441084915381</v>
      </c>
      <c r="P35" s="15" t="s">
        <v>126</v>
      </c>
      <c r="Q35" s="16" t="s">
        <v>54</v>
      </c>
      <c r="R35" s="17">
        <f t="shared" si="17"/>
        <v>0</v>
      </c>
      <c r="S35" s="17">
        <f t="shared" si="18"/>
        <v>0.29290706405367417</v>
      </c>
      <c r="T35" s="17">
        <f t="shared" si="19"/>
        <v>0</v>
      </c>
      <c r="U35" s="17">
        <f t="shared" si="20"/>
        <v>6.8919085870100814</v>
      </c>
      <c r="V35" s="17">
        <f t="shared" si="21"/>
        <v>0</v>
      </c>
      <c r="W35" s="17">
        <f t="shared" si="22"/>
        <v>0</v>
      </c>
      <c r="X35" s="17">
        <f t="shared" si="23"/>
        <v>1.125531598880146</v>
      </c>
      <c r="Y35" s="17">
        <f t="shared" si="24"/>
        <v>0</v>
      </c>
      <c r="Z35" s="17">
        <f t="shared" si="25"/>
        <v>0</v>
      </c>
      <c r="AA35" s="17">
        <f t="shared" si="26"/>
        <v>6.9311542141011788</v>
      </c>
      <c r="AB35" s="17">
        <f t="shared" si="27"/>
        <v>15.241501464045081</v>
      </c>
      <c r="AC35" s="15" t="s">
        <v>126</v>
      </c>
      <c r="AD35" s="16" t="s">
        <v>54</v>
      </c>
      <c r="AE35" s="17">
        <f t="shared" si="28"/>
        <v>217.68106551881533</v>
      </c>
      <c r="AF35" s="17">
        <f t="shared" si="29"/>
        <v>4.1843866293382027E-2</v>
      </c>
      <c r="AG35" s="17">
        <f t="shared" si="30"/>
        <v>217.72290938510872</v>
      </c>
      <c r="AH35" s="15" t="s">
        <v>126</v>
      </c>
      <c r="AI35" s="16" t="s">
        <v>54</v>
      </c>
      <c r="AJ35" s="17">
        <f t="shared" si="31"/>
        <v>231.92256698286042</v>
      </c>
      <c r="AK35" s="17">
        <f t="shared" si="32"/>
        <v>1.041843866293382</v>
      </c>
      <c r="AL35" s="17">
        <f t="shared" si="33"/>
        <v>0</v>
      </c>
      <c r="AM35" s="17">
        <f t="shared" si="34"/>
        <v>0</v>
      </c>
      <c r="AN35" s="17">
        <f t="shared" si="35"/>
        <v>232.96441084915381</v>
      </c>
      <c r="AO35" s="15" t="s">
        <v>126</v>
      </c>
      <c r="AP35" s="16" t="s">
        <v>54</v>
      </c>
      <c r="AQ35" s="17">
        <f t="shared" si="36"/>
        <v>14.199657597751699</v>
      </c>
      <c r="AR35" s="17">
        <f t="shared" si="37"/>
        <v>1.041843866293382</v>
      </c>
      <c r="AS35" s="17">
        <f t="shared" si="38"/>
        <v>0</v>
      </c>
      <c r="AT35" s="17">
        <f t="shared" si="39"/>
        <v>0</v>
      </c>
      <c r="AU35" s="17">
        <f t="shared" si="40"/>
        <v>15.241501464045081</v>
      </c>
      <c r="AV35" s="15" t="s">
        <v>126</v>
      </c>
      <c r="AW35" s="16" t="s">
        <v>54</v>
      </c>
      <c r="AX35" s="17">
        <f t="shared" si="41"/>
        <v>217.72290938510872</v>
      </c>
      <c r="AY35" s="17">
        <f t="shared" si="42"/>
        <v>0</v>
      </c>
      <c r="AZ35" s="17">
        <f t="shared" si="43"/>
        <v>0</v>
      </c>
      <c r="BA35" s="17">
        <f t="shared" si="44"/>
        <v>0</v>
      </c>
      <c r="BB35" s="17">
        <f t="shared" si="45"/>
        <v>217.72290938510872</v>
      </c>
      <c r="BC35" s="15" t="s">
        <v>126</v>
      </c>
      <c r="BD35" s="16" t="s">
        <v>54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5" t="s">
        <v>126</v>
      </c>
      <c r="BK35" s="16" t="s">
        <v>54</v>
      </c>
      <c r="BL35" s="17">
        <v>0.29290706405367417</v>
      </c>
      <c r="BM35" s="17">
        <v>0</v>
      </c>
      <c r="BN35" s="17">
        <v>0</v>
      </c>
      <c r="BO35" s="17">
        <v>0</v>
      </c>
      <c r="BP35" s="17">
        <v>0.29290706405367417</v>
      </c>
      <c r="BQ35" s="15" t="s">
        <v>126</v>
      </c>
      <c r="BR35" s="16" t="s">
        <v>54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5" t="s">
        <v>126</v>
      </c>
      <c r="BY35" s="16" t="s">
        <v>54</v>
      </c>
      <c r="BZ35" s="17">
        <v>6.8919085870100814</v>
      </c>
      <c r="CA35" s="17">
        <v>0</v>
      </c>
      <c r="CB35" s="17">
        <v>0</v>
      </c>
      <c r="CC35" s="17">
        <v>0</v>
      </c>
      <c r="CD35" s="17">
        <v>6.8919085870100814</v>
      </c>
      <c r="CE35" s="15" t="s">
        <v>126</v>
      </c>
      <c r="CF35" s="16" t="s">
        <v>54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5" t="s">
        <v>126</v>
      </c>
      <c r="CM35" s="16" t="s">
        <v>54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5" t="s">
        <v>126</v>
      </c>
      <c r="CT35" s="16" t="s">
        <v>54</v>
      </c>
      <c r="CU35" s="17">
        <v>8.3687732586764055E-2</v>
      </c>
      <c r="CV35" s="17">
        <v>1.041843866293382</v>
      </c>
      <c r="CW35" s="17">
        <v>0</v>
      </c>
      <c r="CX35" s="17">
        <v>0</v>
      </c>
      <c r="CY35" s="17">
        <v>1.125531598880146</v>
      </c>
      <c r="CZ35" s="15" t="s">
        <v>126</v>
      </c>
      <c r="DA35" s="16" t="s">
        <v>54</v>
      </c>
      <c r="DB35" s="17">
        <v>0</v>
      </c>
      <c r="DC35" s="17">
        <v>0</v>
      </c>
      <c r="DD35" s="17">
        <v>0</v>
      </c>
      <c r="DE35" s="17">
        <v>0</v>
      </c>
      <c r="DF35" s="17">
        <v>0</v>
      </c>
      <c r="DG35" s="15" t="s">
        <v>126</v>
      </c>
      <c r="DH35" s="16" t="s">
        <v>54</v>
      </c>
      <c r="DI35" s="17">
        <v>0</v>
      </c>
      <c r="DJ35" s="17">
        <v>0</v>
      </c>
      <c r="DK35" s="17">
        <v>0</v>
      </c>
      <c r="DL35" s="17">
        <v>0</v>
      </c>
      <c r="DM35" s="17">
        <v>0</v>
      </c>
      <c r="DN35" s="15" t="s">
        <v>126</v>
      </c>
      <c r="DO35" s="16" t="s">
        <v>54</v>
      </c>
      <c r="DP35" s="17">
        <v>6.9311542141011788</v>
      </c>
      <c r="DQ35" s="17">
        <v>0</v>
      </c>
      <c r="DR35" s="17">
        <v>0</v>
      </c>
      <c r="DS35" s="17">
        <v>0</v>
      </c>
      <c r="DT35" s="17">
        <v>6.9311542141011788</v>
      </c>
      <c r="DU35" s="15" t="s">
        <v>126</v>
      </c>
      <c r="DV35" s="16" t="s">
        <v>54</v>
      </c>
      <c r="DW35" s="17">
        <v>4.1843866293382027E-2</v>
      </c>
      <c r="DX35" s="17">
        <v>0</v>
      </c>
      <c r="DY35" s="17">
        <v>0</v>
      </c>
      <c r="DZ35" s="17">
        <v>0</v>
      </c>
      <c r="EA35" s="17">
        <v>4.1843866293382027E-2</v>
      </c>
      <c r="EB35" s="15" t="s">
        <v>126</v>
      </c>
      <c r="EC35" s="16" t="s">
        <v>54</v>
      </c>
      <c r="ED35" s="17">
        <v>217.68106551881533</v>
      </c>
      <c r="EE35" s="17">
        <v>0</v>
      </c>
      <c r="EF35" s="17">
        <v>0</v>
      </c>
      <c r="EG35" s="17">
        <v>0</v>
      </c>
      <c r="EH35" s="17">
        <v>217.68106551881533</v>
      </c>
    </row>
    <row r="36" spans="1:138" ht="10.199999999999999" customHeight="1" x14ac:dyDescent="0.25">
      <c r="A36" s="15" t="s">
        <v>129</v>
      </c>
      <c r="B36" s="16" t="s">
        <v>57</v>
      </c>
      <c r="C36" s="17">
        <f t="shared" si="4"/>
        <v>21.268131004012943</v>
      </c>
      <c r="D36" s="17">
        <f t="shared" si="5"/>
        <v>41.385397849335355</v>
      </c>
      <c r="E36" s="17">
        <f t="shared" si="6"/>
        <v>9.3538996623669739</v>
      </c>
      <c r="F36" s="17">
        <f t="shared" si="7"/>
        <v>33.314585539271853</v>
      </c>
      <c r="G36" s="17">
        <f t="shared" si="8"/>
        <v>20.187091412156356</v>
      </c>
      <c r="H36" s="17">
        <f t="shared" si="9"/>
        <v>0</v>
      </c>
      <c r="I36" s="17">
        <f t="shared" si="10"/>
        <v>56.796496983866369</v>
      </c>
      <c r="J36" s="17">
        <f t="shared" si="11"/>
        <v>53.056945582712459</v>
      </c>
      <c r="K36" s="17">
        <f t="shared" si="12"/>
        <v>72.449049973698138</v>
      </c>
      <c r="L36" s="17">
        <f t="shared" si="13"/>
        <v>138.52071734396594</v>
      </c>
      <c r="M36" s="17">
        <f t="shared" si="14"/>
        <v>507.72475743600529</v>
      </c>
      <c r="N36" s="17">
        <f t="shared" si="15"/>
        <v>41.200882267743495</v>
      </c>
      <c r="O36" s="17">
        <f t="shared" si="16"/>
        <v>995.2579550551352</v>
      </c>
      <c r="P36" s="15" t="s">
        <v>129</v>
      </c>
      <c r="Q36" s="16" t="s">
        <v>57</v>
      </c>
      <c r="R36" s="17">
        <f t="shared" si="17"/>
        <v>21.268131004012943</v>
      </c>
      <c r="S36" s="17">
        <f t="shared" si="18"/>
        <v>41.385397849335355</v>
      </c>
      <c r="T36" s="17">
        <f t="shared" si="19"/>
        <v>9.3538996623669739</v>
      </c>
      <c r="U36" s="17">
        <f t="shared" si="20"/>
        <v>33.314585539271853</v>
      </c>
      <c r="V36" s="17">
        <f t="shared" si="21"/>
        <v>20.187091412156356</v>
      </c>
      <c r="W36" s="17">
        <f t="shared" si="22"/>
        <v>0</v>
      </c>
      <c r="X36" s="17">
        <f t="shared" si="23"/>
        <v>56.796496983866369</v>
      </c>
      <c r="Y36" s="17">
        <f t="shared" si="24"/>
        <v>53.056945582712459</v>
      </c>
      <c r="Z36" s="17">
        <f t="shared" si="25"/>
        <v>72.449049973698138</v>
      </c>
      <c r="AA36" s="17">
        <f t="shared" si="26"/>
        <v>138.52071734396594</v>
      </c>
      <c r="AB36" s="17">
        <f t="shared" si="27"/>
        <v>446.3323153513864</v>
      </c>
      <c r="AC36" s="15" t="s">
        <v>129</v>
      </c>
      <c r="AD36" s="16" t="s">
        <v>57</v>
      </c>
      <c r="AE36" s="17">
        <f t="shared" si="28"/>
        <v>507.72475743600529</v>
      </c>
      <c r="AF36" s="17">
        <f t="shared" si="29"/>
        <v>41.200882267743495</v>
      </c>
      <c r="AG36" s="17">
        <f t="shared" si="30"/>
        <v>548.92563970374874</v>
      </c>
      <c r="AH36" s="15" t="s">
        <v>129</v>
      </c>
      <c r="AI36" s="16" t="s">
        <v>57</v>
      </c>
      <c r="AJ36" s="17">
        <f t="shared" si="31"/>
        <v>738.31513898768708</v>
      </c>
      <c r="AK36" s="17">
        <f t="shared" si="32"/>
        <v>165.77591348882902</v>
      </c>
      <c r="AL36" s="17">
        <f t="shared" si="33"/>
        <v>70.999852024392041</v>
      </c>
      <c r="AM36" s="17">
        <f t="shared" si="34"/>
        <v>20.167050554227007</v>
      </c>
      <c r="AN36" s="17">
        <f t="shared" si="35"/>
        <v>995.25795505513508</v>
      </c>
      <c r="AO36" s="15" t="s">
        <v>129</v>
      </c>
      <c r="AP36" s="16" t="s">
        <v>57</v>
      </c>
      <c r="AQ36" s="17">
        <f t="shared" si="36"/>
        <v>202.14369858258635</v>
      </c>
      <c r="AR36" s="17">
        <f t="shared" si="37"/>
        <v>158.35596039958736</v>
      </c>
      <c r="AS36" s="17">
        <f t="shared" si="38"/>
        <v>67.749293547572421</v>
      </c>
      <c r="AT36" s="17">
        <f t="shared" si="39"/>
        <v>18.083362821640243</v>
      </c>
      <c r="AU36" s="17">
        <f t="shared" si="40"/>
        <v>446.3323153513864</v>
      </c>
      <c r="AV36" s="15" t="s">
        <v>129</v>
      </c>
      <c r="AW36" s="16" t="s">
        <v>57</v>
      </c>
      <c r="AX36" s="17">
        <f t="shared" si="41"/>
        <v>536.17144040510073</v>
      </c>
      <c r="AY36" s="17">
        <f t="shared" si="42"/>
        <v>7.4199530892416519</v>
      </c>
      <c r="AZ36" s="17">
        <f t="shared" si="43"/>
        <v>3.2505584768196232</v>
      </c>
      <c r="BA36" s="17">
        <f t="shared" si="44"/>
        <v>2.083687732586764</v>
      </c>
      <c r="BB36" s="17">
        <f t="shared" si="45"/>
        <v>548.92563970374874</v>
      </c>
      <c r="BC36" s="15" t="s">
        <v>129</v>
      </c>
      <c r="BD36" s="16" t="s">
        <v>57</v>
      </c>
      <c r="BE36" s="17">
        <v>8.7864998976653368</v>
      </c>
      <c r="BF36" s="17">
        <v>12.481631106347606</v>
      </c>
      <c r="BG36" s="17">
        <v>0</v>
      </c>
      <c r="BH36" s="17">
        <v>0</v>
      </c>
      <c r="BI36" s="17">
        <v>21.268131004012943</v>
      </c>
      <c r="BJ36" s="15" t="s">
        <v>129</v>
      </c>
      <c r="BK36" s="16" t="s">
        <v>57</v>
      </c>
      <c r="BL36" s="17">
        <v>22.38649596219242</v>
      </c>
      <c r="BM36" s="17">
        <v>0</v>
      </c>
      <c r="BN36" s="17">
        <v>15.199121509714347</v>
      </c>
      <c r="BO36" s="17">
        <v>3.7997803774285868</v>
      </c>
      <c r="BP36" s="17">
        <v>41.385397849335355</v>
      </c>
      <c r="BQ36" s="15" t="s">
        <v>129</v>
      </c>
      <c r="BR36" s="16" t="s">
        <v>57</v>
      </c>
      <c r="BS36" s="17">
        <v>0</v>
      </c>
      <c r="BT36" s="17">
        <v>1.041843866293382</v>
      </c>
      <c r="BU36" s="17">
        <v>1.0756203575159082</v>
      </c>
      <c r="BV36" s="17">
        <v>7.2364354385576837</v>
      </c>
      <c r="BW36" s="17">
        <v>9.3538996623669739</v>
      </c>
      <c r="BX36" s="15" t="s">
        <v>129</v>
      </c>
      <c r="BY36" s="16" t="s">
        <v>57</v>
      </c>
      <c r="BZ36" s="17">
        <v>17.719083790145628</v>
      </c>
      <c r="CA36" s="17">
        <v>7.7977508745631114</v>
      </c>
      <c r="CB36" s="17">
        <v>7.7977508745631114</v>
      </c>
      <c r="CC36" s="17">
        <v>0</v>
      </c>
      <c r="CD36" s="17">
        <v>33.314585539271853</v>
      </c>
      <c r="CE36" s="15" t="s">
        <v>129</v>
      </c>
      <c r="CF36" s="16" t="s">
        <v>57</v>
      </c>
      <c r="CG36" s="17">
        <v>14.470082633252334</v>
      </c>
      <c r="CH36" s="17">
        <v>1.041843866293382</v>
      </c>
      <c r="CI36" s="17">
        <v>4.6751649126106383</v>
      </c>
      <c r="CJ36" s="17">
        <v>0</v>
      </c>
      <c r="CK36" s="17">
        <v>20.187091412156356</v>
      </c>
      <c r="CL36" s="15" t="s">
        <v>129</v>
      </c>
      <c r="CM36" s="16" t="s">
        <v>57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5" t="s">
        <v>129</v>
      </c>
      <c r="CT36" s="16" t="s">
        <v>57</v>
      </c>
      <c r="CU36" s="17">
        <v>30.445848281185434</v>
      </c>
      <c r="CV36" s="17">
        <v>26.350648702680935</v>
      </c>
      <c r="CW36" s="17">
        <v>0</v>
      </c>
      <c r="CX36" s="17">
        <v>0</v>
      </c>
      <c r="CY36" s="17">
        <v>56.796496983866369</v>
      </c>
      <c r="CZ36" s="15" t="s">
        <v>129</v>
      </c>
      <c r="DA36" s="16" t="s">
        <v>57</v>
      </c>
      <c r="DB36" s="17">
        <v>25.998792474600773</v>
      </c>
      <c r="DC36" s="17">
        <v>39.403110493443393</v>
      </c>
      <c r="DD36" s="17">
        <v>0</v>
      </c>
      <c r="DE36" s="17">
        <v>7.0471470056539713</v>
      </c>
      <c r="DF36" s="17">
        <v>72.449049973698138</v>
      </c>
      <c r="DG36" s="15" t="s">
        <v>129</v>
      </c>
      <c r="DH36" s="16" t="s">
        <v>57</v>
      </c>
      <c r="DI36" s="17">
        <v>4.7037071971826476</v>
      </c>
      <c r="DJ36" s="17">
        <v>40.294365321274846</v>
      </c>
      <c r="DK36" s="17">
        <v>8.0588730642549695</v>
      </c>
      <c r="DL36" s="17">
        <v>0</v>
      </c>
      <c r="DM36" s="17">
        <v>53.056945582712459</v>
      </c>
      <c r="DN36" s="15" t="s">
        <v>129</v>
      </c>
      <c r="DO36" s="16" t="s">
        <v>57</v>
      </c>
      <c r="DP36" s="17">
        <v>77.633188346361777</v>
      </c>
      <c r="DQ36" s="17">
        <v>29.944766168690702</v>
      </c>
      <c r="DR36" s="17">
        <v>30.942762828913448</v>
      </c>
      <c r="DS36" s="17">
        <v>0</v>
      </c>
      <c r="DT36" s="17">
        <v>138.52071734396594</v>
      </c>
      <c r="DU36" s="15" t="s">
        <v>129</v>
      </c>
      <c r="DV36" s="16" t="s">
        <v>57</v>
      </c>
      <c r="DW36" s="17">
        <v>31.572214567975603</v>
      </c>
      <c r="DX36" s="17">
        <v>4.2944214903615059</v>
      </c>
      <c r="DY36" s="17">
        <v>3.2505584768196232</v>
      </c>
      <c r="DZ36" s="17">
        <v>2.083687732586764</v>
      </c>
      <c r="EA36" s="17">
        <v>41.200882267743495</v>
      </c>
      <c r="EB36" s="15" t="s">
        <v>129</v>
      </c>
      <c r="EC36" s="16" t="s">
        <v>57</v>
      </c>
      <c r="ED36" s="17">
        <v>504.59922583712512</v>
      </c>
      <c r="EE36" s="17">
        <v>3.125531598880146</v>
      </c>
      <c r="EF36" s="17">
        <v>0</v>
      </c>
      <c r="EG36" s="17">
        <v>0</v>
      </c>
      <c r="EH36" s="17">
        <v>507.72475743600529</v>
      </c>
    </row>
    <row r="37" spans="1:138" ht="10.199999999999999" customHeight="1" x14ac:dyDescent="0.25">
      <c r="A37" s="15" t="s">
        <v>128</v>
      </c>
      <c r="B37" s="16" t="s">
        <v>56</v>
      </c>
      <c r="C37" s="17">
        <f t="shared" si="4"/>
        <v>8.5439702618139659</v>
      </c>
      <c r="D37" s="17">
        <f t="shared" si="5"/>
        <v>16.096867530274469</v>
      </c>
      <c r="E37" s="17">
        <f t="shared" si="6"/>
        <v>1.083687732586764</v>
      </c>
      <c r="F37" s="17">
        <f t="shared" si="7"/>
        <v>70.588508912982945</v>
      </c>
      <c r="G37" s="17">
        <f t="shared" si="8"/>
        <v>3.0590585230662204</v>
      </c>
      <c r="H37" s="17">
        <f t="shared" si="9"/>
        <v>1.4775240285615237</v>
      </c>
      <c r="I37" s="17">
        <f t="shared" si="10"/>
        <v>55.842505382729236</v>
      </c>
      <c r="J37" s="17">
        <f t="shared" si="11"/>
        <v>45.62561980993582</v>
      </c>
      <c r="K37" s="17">
        <f t="shared" si="12"/>
        <v>120.04984385568366</v>
      </c>
      <c r="L37" s="17">
        <f t="shared" si="13"/>
        <v>124.99667147184712</v>
      </c>
      <c r="M37" s="17">
        <f t="shared" si="14"/>
        <v>326.56090376123865</v>
      </c>
      <c r="N37" s="17">
        <f t="shared" si="15"/>
        <v>32.883588685133276</v>
      </c>
      <c r="O37" s="17">
        <f t="shared" si="16"/>
        <v>806.80874995585361</v>
      </c>
      <c r="P37" s="15" t="s">
        <v>128</v>
      </c>
      <c r="Q37" s="16" t="s">
        <v>56</v>
      </c>
      <c r="R37" s="17">
        <f t="shared" si="17"/>
        <v>8.5439702618139659</v>
      </c>
      <c r="S37" s="17">
        <f t="shared" si="18"/>
        <v>16.096867530274469</v>
      </c>
      <c r="T37" s="17">
        <f t="shared" si="19"/>
        <v>1.083687732586764</v>
      </c>
      <c r="U37" s="17">
        <f t="shared" si="20"/>
        <v>70.588508912982945</v>
      </c>
      <c r="V37" s="17">
        <f t="shared" si="21"/>
        <v>3.0590585230662204</v>
      </c>
      <c r="W37" s="17">
        <f t="shared" si="22"/>
        <v>1.4775240285615237</v>
      </c>
      <c r="X37" s="17">
        <f t="shared" si="23"/>
        <v>55.842505382729236</v>
      </c>
      <c r="Y37" s="17">
        <f t="shared" si="24"/>
        <v>45.62561980993582</v>
      </c>
      <c r="Z37" s="17">
        <f t="shared" si="25"/>
        <v>120.04984385568366</v>
      </c>
      <c r="AA37" s="17">
        <f t="shared" si="26"/>
        <v>124.99667147184712</v>
      </c>
      <c r="AB37" s="17">
        <f t="shared" si="27"/>
        <v>447.36425750948172</v>
      </c>
      <c r="AC37" s="15" t="s">
        <v>128</v>
      </c>
      <c r="AD37" s="16" t="s">
        <v>56</v>
      </c>
      <c r="AE37" s="17">
        <f t="shared" si="28"/>
        <v>326.56090376123865</v>
      </c>
      <c r="AF37" s="17">
        <f t="shared" si="29"/>
        <v>32.883588685133276</v>
      </c>
      <c r="AG37" s="17">
        <f t="shared" si="30"/>
        <v>359.4444924463719</v>
      </c>
      <c r="AH37" s="15" t="s">
        <v>128</v>
      </c>
      <c r="AI37" s="16" t="s">
        <v>56</v>
      </c>
      <c r="AJ37" s="17">
        <f t="shared" si="31"/>
        <v>544.7984803902051</v>
      </c>
      <c r="AK37" s="17">
        <f t="shared" si="32"/>
        <v>235.56705235674133</v>
      </c>
      <c r="AL37" s="17">
        <f t="shared" si="33"/>
        <v>24.965693180345699</v>
      </c>
      <c r="AM37" s="17">
        <f t="shared" si="34"/>
        <v>1.4775240285615237</v>
      </c>
      <c r="AN37" s="17">
        <f t="shared" si="35"/>
        <v>806.80874995585373</v>
      </c>
      <c r="AO37" s="15" t="s">
        <v>128</v>
      </c>
      <c r="AP37" s="16" t="s">
        <v>56</v>
      </c>
      <c r="AQ37" s="17">
        <f t="shared" si="36"/>
        <v>243.54296788139828</v>
      </c>
      <c r="AR37" s="17">
        <f t="shared" si="37"/>
        <v>186.71130918670127</v>
      </c>
      <c r="AS37" s="17">
        <f t="shared" si="38"/>
        <v>15.632456412820652</v>
      </c>
      <c r="AT37" s="17">
        <f t="shared" si="39"/>
        <v>1.4775240285615237</v>
      </c>
      <c r="AU37" s="17">
        <f t="shared" si="40"/>
        <v>447.36425750948172</v>
      </c>
      <c r="AV37" s="15" t="s">
        <v>128</v>
      </c>
      <c r="AW37" s="16" t="s">
        <v>56</v>
      </c>
      <c r="AX37" s="17">
        <f t="shared" si="41"/>
        <v>301.25551250880682</v>
      </c>
      <c r="AY37" s="17">
        <f t="shared" si="42"/>
        <v>48.85574317004005</v>
      </c>
      <c r="AZ37" s="17">
        <f t="shared" si="43"/>
        <v>9.3332367675250474</v>
      </c>
      <c r="BA37" s="17">
        <f t="shared" si="44"/>
        <v>0</v>
      </c>
      <c r="BB37" s="17">
        <f t="shared" si="45"/>
        <v>359.4444924463719</v>
      </c>
      <c r="BC37" s="15" t="s">
        <v>128</v>
      </c>
      <c r="BD37" s="16" t="s">
        <v>56</v>
      </c>
      <c r="BE37" s="17">
        <v>8.5439702618139659</v>
      </c>
      <c r="BF37" s="17">
        <v>0</v>
      </c>
      <c r="BG37" s="17">
        <v>0</v>
      </c>
      <c r="BH37" s="17">
        <v>0</v>
      </c>
      <c r="BI37" s="17">
        <v>8.5439702618139659</v>
      </c>
      <c r="BJ37" s="15" t="s">
        <v>128</v>
      </c>
      <c r="BK37" s="16" t="s">
        <v>56</v>
      </c>
      <c r="BL37" s="17">
        <v>16.096867530274469</v>
      </c>
      <c r="BM37" s="17">
        <v>0</v>
      </c>
      <c r="BN37" s="17">
        <v>0</v>
      </c>
      <c r="BO37" s="17">
        <v>0</v>
      </c>
      <c r="BP37" s="17">
        <v>16.096867530274469</v>
      </c>
      <c r="BQ37" s="15" t="s">
        <v>128</v>
      </c>
      <c r="BR37" s="16" t="s">
        <v>56</v>
      </c>
      <c r="BS37" s="17">
        <v>1.083687732586764</v>
      </c>
      <c r="BT37" s="17">
        <v>0</v>
      </c>
      <c r="BU37" s="17">
        <v>0</v>
      </c>
      <c r="BV37" s="17">
        <v>0</v>
      </c>
      <c r="BW37" s="17">
        <v>1.083687732586764</v>
      </c>
      <c r="BX37" s="15" t="s">
        <v>128</v>
      </c>
      <c r="BY37" s="16" t="s">
        <v>56</v>
      </c>
      <c r="BZ37" s="17">
        <v>8.5858141281073479</v>
      </c>
      <c r="CA37" s="17">
        <v>61.919007052288826</v>
      </c>
      <c r="CB37" s="17">
        <v>8.3687732586764055E-2</v>
      </c>
      <c r="CC37" s="17">
        <v>0</v>
      </c>
      <c r="CD37" s="17">
        <v>70.588508912982945</v>
      </c>
      <c r="CE37" s="15" t="s">
        <v>128</v>
      </c>
      <c r="CF37" s="16" t="s">
        <v>56</v>
      </c>
      <c r="CG37" s="17">
        <v>3.0590585230662204</v>
      </c>
      <c r="CH37" s="17">
        <v>0</v>
      </c>
      <c r="CI37" s="17">
        <v>0</v>
      </c>
      <c r="CJ37" s="17">
        <v>0</v>
      </c>
      <c r="CK37" s="17">
        <v>3.0590585230662204</v>
      </c>
      <c r="CL37" s="15" t="s">
        <v>128</v>
      </c>
      <c r="CM37" s="16" t="s">
        <v>56</v>
      </c>
      <c r="CN37" s="17">
        <v>0</v>
      </c>
      <c r="CO37" s="17">
        <v>0</v>
      </c>
      <c r="CP37" s="17">
        <v>0</v>
      </c>
      <c r="CQ37" s="17">
        <v>1.4775240285615237</v>
      </c>
      <c r="CR37" s="17">
        <v>1.4775240285615237</v>
      </c>
      <c r="CS37" s="15" t="s">
        <v>128</v>
      </c>
      <c r="CT37" s="16" t="s">
        <v>56</v>
      </c>
      <c r="CU37" s="17">
        <v>17.843944966833426</v>
      </c>
      <c r="CV37" s="17">
        <v>36.956716549602426</v>
      </c>
      <c r="CW37" s="17">
        <v>1.041843866293382</v>
      </c>
      <c r="CX37" s="17">
        <v>0</v>
      </c>
      <c r="CY37" s="17">
        <v>55.842505382729236</v>
      </c>
      <c r="CZ37" s="15" t="s">
        <v>128</v>
      </c>
      <c r="DA37" s="16" t="s">
        <v>56</v>
      </c>
      <c r="DB37" s="17">
        <v>33.177648414538751</v>
      </c>
      <c r="DC37" s="17">
        <v>72.36527062720441</v>
      </c>
      <c r="DD37" s="17">
        <v>14.506924813940506</v>
      </c>
      <c r="DE37" s="17">
        <v>0</v>
      </c>
      <c r="DF37" s="17">
        <v>120.04984385568366</v>
      </c>
      <c r="DG37" s="15" t="s">
        <v>128</v>
      </c>
      <c r="DH37" s="16" t="s">
        <v>56</v>
      </c>
      <c r="DI37" s="17">
        <v>45.62561980993582</v>
      </c>
      <c r="DJ37" s="17">
        <v>0</v>
      </c>
      <c r="DK37" s="17">
        <v>0</v>
      </c>
      <c r="DL37" s="17">
        <v>0</v>
      </c>
      <c r="DM37" s="17">
        <v>45.62561980993582</v>
      </c>
      <c r="DN37" s="15" t="s">
        <v>128</v>
      </c>
      <c r="DO37" s="16" t="s">
        <v>56</v>
      </c>
      <c r="DP37" s="17">
        <v>109.5263565142415</v>
      </c>
      <c r="DQ37" s="17">
        <v>15.470314957605623</v>
      </c>
      <c r="DR37" s="17">
        <v>0</v>
      </c>
      <c r="DS37" s="17">
        <v>0</v>
      </c>
      <c r="DT37" s="17">
        <v>124.99667147184712</v>
      </c>
      <c r="DU37" s="15" t="s">
        <v>128</v>
      </c>
      <c r="DV37" s="16" t="s">
        <v>56</v>
      </c>
      <c r="DW37" s="17">
        <v>17.152582695607851</v>
      </c>
      <c r="DX37" s="17">
        <v>6.3977692220003757</v>
      </c>
      <c r="DY37" s="17">
        <v>9.3332367675250474</v>
      </c>
      <c r="DZ37" s="17">
        <v>0</v>
      </c>
      <c r="EA37" s="17">
        <v>32.883588685133276</v>
      </c>
      <c r="EB37" s="15" t="s">
        <v>128</v>
      </c>
      <c r="EC37" s="16" t="s">
        <v>56</v>
      </c>
      <c r="ED37" s="17">
        <v>284.10292981319895</v>
      </c>
      <c r="EE37" s="17">
        <v>42.457973948039673</v>
      </c>
      <c r="EF37" s="17">
        <v>0</v>
      </c>
      <c r="EG37" s="17">
        <v>0</v>
      </c>
      <c r="EH37" s="17">
        <v>326.56090376123865</v>
      </c>
    </row>
    <row r="38" spans="1:138" ht="10.199999999999999" customHeight="1" x14ac:dyDescent="0.25">
      <c r="A38" s="15" t="s">
        <v>127</v>
      </c>
      <c r="B38" s="16" t="s">
        <v>55</v>
      </c>
      <c r="C38" s="17">
        <f t="shared" si="4"/>
        <v>0</v>
      </c>
      <c r="D38" s="17">
        <f t="shared" si="5"/>
        <v>0</v>
      </c>
      <c r="E38" s="17">
        <f t="shared" si="6"/>
        <v>0</v>
      </c>
      <c r="F38" s="17">
        <f t="shared" si="7"/>
        <v>11.021440365654545</v>
      </c>
      <c r="G38" s="17">
        <f t="shared" si="8"/>
        <v>0</v>
      </c>
      <c r="H38" s="17">
        <f t="shared" si="9"/>
        <v>0</v>
      </c>
      <c r="I38" s="17">
        <f t="shared" si="10"/>
        <v>26.350648702680935</v>
      </c>
      <c r="J38" s="17">
        <f t="shared" si="11"/>
        <v>0</v>
      </c>
      <c r="K38" s="17">
        <f t="shared" si="12"/>
        <v>0</v>
      </c>
      <c r="L38" s="17">
        <f t="shared" si="13"/>
        <v>29.637843009511506</v>
      </c>
      <c r="M38" s="17">
        <f t="shared" si="14"/>
        <v>55.363004836330518</v>
      </c>
      <c r="N38" s="17">
        <f t="shared" si="15"/>
        <v>0</v>
      </c>
      <c r="O38" s="17">
        <f t="shared" si="16"/>
        <v>122.37293691417752</v>
      </c>
      <c r="P38" s="15" t="s">
        <v>127</v>
      </c>
      <c r="Q38" s="16" t="s">
        <v>55</v>
      </c>
      <c r="R38" s="17">
        <f t="shared" si="17"/>
        <v>0</v>
      </c>
      <c r="S38" s="17">
        <f t="shared" si="18"/>
        <v>0</v>
      </c>
      <c r="T38" s="17">
        <f t="shared" si="19"/>
        <v>0</v>
      </c>
      <c r="U38" s="17">
        <f t="shared" si="20"/>
        <v>11.021440365654545</v>
      </c>
      <c r="V38" s="17">
        <f t="shared" si="21"/>
        <v>0</v>
      </c>
      <c r="W38" s="17">
        <f t="shared" si="22"/>
        <v>0</v>
      </c>
      <c r="X38" s="17">
        <f t="shared" si="23"/>
        <v>26.350648702680935</v>
      </c>
      <c r="Y38" s="17">
        <f t="shared" si="24"/>
        <v>0</v>
      </c>
      <c r="Z38" s="17">
        <f t="shared" si="25"/>
        <v>0</v>
      </c>
      <c r="AA38" s="17">
        <f t="shared" si="26"/>
        <v>29.637843009511506</v>
      </c>
      <c r="AB38" s="17">
        <f t="shared" si="27"/>
        <v>67.009932077846997</v>
      </c>
      <c r="AC38" s="15" t="s">
        <v>127</v>
      </c>
      <c r="AD38" s="16" t="s">
        <v>55</v>
      </c>
      <c r="AE38" s="17">
        <f t="shared" si="28"/>
        <v>55.363004836330518</v>
      </c>
      <c r="AF38" s="17">
        <f t="shared" si="29"/>
        <v>0</v>
      </c>
      <c r="AG38" s="17">
        <f t="shared" si="30"/>
        <v>55.363004836330518</v>
      </c>
      <c r="AH38" s="15" t="s">
        <v>127</v>
      </c>
      <c r="AI38" s="16" t="s">
        <v>55</v>
      </c>
      <c r="AJ38" s="17">
        <f t="shared" si="31"/>
        <v>76.869654112606312</v>
      </c>
      <c r="AK38" s="17">
        <f t="shared" si="32"/>
        <v>45.503282801571189</v>
      </c>
      <c r="AL38" s="17">
        <f t="shared" si="33"/>
        <v>0</v>
      </c>
      <c r="AM38" s="17">
        <f t="shared" si="34"/>
        <v>0</v>
      </c>
      <c r="AN38" s="17">
        <f t="shared" si="35"/>
        <v>122.3729369141775</v>
      </c>
      <c r="AO38" s="15" t="s">
        <v>127</v>
      </c>
      <c r="AP38" s="16" t="s">
        <v>55</v>
      </c>
      <c r="AQ38" s="17">
        <f t="shared" si="36"/>
        <v>21.506649276275795</v>
      </c>
      <c r="AR38" s="17">
        <f t="shared" si="37"/>
        <v>45.503282801571189</v>
      </c>
      <c r="AS38" s="17">
        <f t="shared" si="38"/>
        <v>0</v>
      </c>
      <c r="AT38" s="17">
        <f t="shared" si="39"/>
        <v>0</v>
      </c>
      <c r="AU38" s="17">
        <f t="shared" si="40"/>
        <v>67.009932077846983</v>
      </c>
      <c r="AV38" s="15" t="s">
        <v>127</v>
      </c>
      <c r="AW38" s="16" t="s">
        <v>55</v>
      </c>
      <c r="AX38" s="17">
        <f t="shared" si="41"/>
        <v>55.363004836330518</v>
      </c>
      <c r="AY38" s="17">
        <f t="shared" si="42"/>
        <v>0</v>
      </c>
      <c r="AZ38" s="17">
        <f t="shared" si="43"/>
        <v>0</v>
      </c>
      <c r="BA38" s="17">
        <f t="shared" si="44"/>
        <v>0</v>
      </c>
      <c r="BB38" s="17">
        <f t="shared" si="45"/>
        <v>55.363004836330518</v>
      </c>
      <c r="BC38" s="15" t="s">
        <v>127</v>
      </c>
      <c r="BD38" s="16" t="s">
        <v>55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5" t="s">
        <v>127</v>
      </c>
      <c r="BK38" s="16" t="s">
        <v>55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5" t="s">
        <v>127</v>
      </c>
      <c r="BR38" s="16" t="s">
        <v>55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5" t="s">
        <v>127</v>
      </c>
      <c r="BY38" s="16" t="s">
        <v>55</v>
      </c>
      <c r="BZ38" s="17">
        <v>11.021440365654545</v>
      </c>
      <c r="CA38" s="17">
        <v>0</v>
      </c>
      <c r="CB38" s="17">
        <v>0</v>
      </c>
      <c r="CC38" s="17">
        <v>0</v>
      </c>
      <c r="CD38" s="17">
        <v>11.021440365654545</v>
      </c>
      <c r="CE38" s="15" t="s">
        <v>127</v>
      </c>
      <c r="CF38" s="16" t="s">
        <v>55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5" t="s">
        <v>127</v>
      </c>
      <c r="CM38" s="16" t="s">
        <v>55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5" t="s">
        <v>127</v>
      </c>
      <c r="CT38" s="16" t="s">
        <v>55</v>
      </c>
      <c r="CU38" s="17">
        <v>0</v>
      </c>
      <c r="CV38" s="17">
        <v>26.350648702680935</v>
      </c>
      <c r="CW38" s="17">
        <v>0</v>
      </c>
      <c r="CX38" s="17">
        <v>0</v>
      </c>
      <c r="CY38" s="17">
        <v>26.350648702680935</v>
      </c>
      <c r="CZ38" s="15" t="s">
        <v>127</v>
      </c>
      <c r="DA38" s="16" t="s">
        <v>55</v>
      </c>
      <c r="DB38" s="17">
        <v>0</v>
      </c>
      <c r="DC38" s="17">
        <v>0</v>
      </c>
      <c r="DD38" s="17">
        <v>0</v>
      </c>
      <c r="DE38" s="17">
        <v>0</v>
      </c>
      <c r="DF38" s="17">
        <v>0</v>
      </c>
      <c r="DG38" s="15" t="s">
        <v>127</v>
      </c>
      <c r="DH38" s="16" t="s">
        <v>55</v>
      </c>
      <c r="DI38" s="17">
        <v>0</v>
      </c>
      <c r="DJ38" s="17">
        <v>0</v>
      </c>
      <c r="DK38" s="17">
        <v>0</v>
      </c>
      <c r="DL38" s="17">
        <v>0</v>
      </c>
      <c r="DM38" s="17">
        <v>0</v>
      </c>
      <c r="DN38" s="15" t="s">
        <v>127</v>
      </c>
      <c r="DO38" s="16" t="s">
        <v>55</v>
      </c>
      <c r="DP38" s="17">
        <v>10.48520891062125</v>
      </c>
      <c r="DQ38" s="17">
        <v>19.152634098890257</v>
      </c>
      <c r="DR38" s="17">
        <v>0</v>
      </c>
      <c r="DS38" s="17">
        <v>0</v>
      </c>
      <c r="DT38" s="17">
        <v>29.637843009511506</v>
      </c>
      <c r="DU38" s="15" t="s">
        <v>127</v>
      </c>
      <c r="DV38" s="16" t="s">
        <v>55</v>
      </c>
      <c r="DW38" s="17">
        <v>0</v>
      </c>
      <c r="DX38" s="17">
        <v>0</v>
      </c>
      <c r="DY38" s="17">
        <v>0</v>
      </c>
      <c r="DZ38" s="17">
        <v>0</v>
      </c>
      <c r="EA38" s="17">
        <v>0</v>
      </c>
      <c r="EB38" s="15" t="s">
        <v>127</v>
      </c>
      <c r="EC38" s="16" t="s">
        <v>55</v>
      </c>
      <c r="ED38" s="17">
        <v>55.363004836330518</v>
      </c>
      <c r="EE38" s="17">
        <v>0</v>
      </c>
      <c r="EF38" s="17">
        <v>0</v>
      </c>
      <c r="EG38" s="17">
        <v>0</v>
      </c>
      <c r="EH38" s="17">
        <v>55.363004836330518</v>
      </c>
    </row>
    <row r="39" spans="1:138" ht="10.199999999999999" customHeight="1" x14ac:dyDescent="0.25">
      <c r="A39" s="15" t="s">
        <v>125</v>
      </c>
      <c r="B39" s="16" t="s">
        <v>53</v>
      </c>
      <c r="C39" s="17">
        <f t="shared" si="4"/>
        <v>0</v>
      </c>
      <c r="D39" s="17">
        <f t="shared" si="5"/>
        <v>32.785197563167095</v>
      </c>
      <c r="E39" s="17">
        <f t="shared" si="6"/>
        <v>0</v>
      </c>
      <c r="F39" s="17">
        <f t="shared" si="7"/>
        <v>19.88645925531916</v>
      </c>
      <c r="G39" s="17">
        <f t="shared" si="8"/>
        <v>11.502126395520584</v>
      </c>
      <c r="H39" s="17">
        <f t="shared" si="9"/>
        <v>0</v>
      </c>
      <c r="I39" s="17">
        <f t="shared" si="10"/>
        <v>0</v>
      </c>
      <c r="J39" s="17">
        <f t="shared" si="11"/>
        <v>0</v>
      </c>
      <c r="K39" s="17">
        <f t="shared" si="12"/>
        <v>1.083687732586764</v>
      </c>
      <c r="L39" s="17">
        <f t="shared" si="13"/>
        <v>12.082116915316041</v>
      </c>
      <c r="M39" s="17">
        <f t="shared" si="14"/>
        <v>126.64900179319318</v>
      </c>
      <c r="N39" s="17">
        <f t="shared" si="15"/>
        <v>17.065963311561923</v>
      </c>
      <c r="O39" s="17">
        <f t="shared" si="16"/>
        <v>221.05455296666474</v>
      </c>
      <c r="P39" s="15" t="s">
        <v>125</v>
      </c>
      <c r="Q39" s="16" t="s">
        <v>53</v>
      </c>
      <c r="R39" s="17">
        <f t="shared" si="17"/>
        <v>0</v>
      </c>
      <c r="S39" s="17">
        <f t="shared" si="18"/>
        <v>32.785197563167095</v>
      </c>
      <c r="T39" s="17">
        <f t="shared" si="19"/>
        <v>0</v>
      </c>
      <c r="U39" s="17">
        <f t="shared" si="20"/>
        <v>19.88645925531916</v>
      </c>
      <c r="V39" s="17">
        <f t="shared" si="21"/>
        <v>11.502126395520584</v>
      </c>
      <c r="W39" s="17">
        <f t="shared" si="22"/>
        <v>0</v>
      </c>
      <c r="X39" s="17">
        <f t="shared" si="23"/>
        <v>0</v>
      </c>
      <c r="Y39" s="17">
        <f t="shared" si="24"/>
        <v>0</v>
      </c>
      <c r="Z39" s="17">
        <f t="shared" si="25"/>
        <v>1.083687732586764</v>
      </c>
      <c r="AA39" s="17">
        <f t="shared" si="26"/>
        <v>12.082116915316041</v>
      </c>
      <c r="AB39" s="17">
        <f t="shared" si="27"/>
        <v>77.339587861909649</v>
      </c>
      <c r="AC39" s="15" t="s">
        <v>125</v>
      </c>
      <c r="AD39" s="16" t="s">
        <v>53</v>
      </c>
      <c r="AE39" s="17">
        <f t="shared" si="28"/>
        <v>126.64900179319318</v>
      </c>
      <c r="AF39" s="17">
        <f t="shared" si="29"/>
        <v>17.065963311561923</v>
      </c>
      <c r="AG39" s="17">
        <f t="shared" si="30"/>
        <v>143.71496510475509</v>
      </c>
      <c r="AH39" s="15" t="s">
        <v>125</v>
      </c>
      <c r="AI39" s="16" t="s">
        <v>53</v>
      </c>
      <c r="AJ39" s="17">
        <f t="shared" si="31"/>
        <v>194.07147381052602</v>
      </c>
      <c r="AK39" s="17">
        <f t="shared" si="32"/>
        <v>26.983079156138707</v>
      </c>
      <c r="AL39" s="17">
        <f t="shared" si="33"/>
        <v>0</v>
      </c>
      <c r="AM39" s="17">
        <f t="shared" si="34"/>
        <v>0</v>
      </c>
      <c r="AN39" s="17">
        <f t="shared" si="35"/>
        <v>221.05455296666472</v>
      </c>
      <c r="AO39" s="15" t="s">
        <v>125</v>
      </c>
      <c r="AP39" s="16" t="s">
        <v>53</v>
      </c>
      <c r="AQ39" s="17">
        <f t="shared" si="36"/>
        <v>71.962993065269202</v>
      </c>
      <c r="AR39" s="17">
        <f t="shared" si="37"/>
        <v>5.3765947966404379</v>
      </c>
      <c r="AS39" s="17">
        <f t="shared" si="38"/>
        <v>0</v>
      </c>
      <c r="AT39" s="17">
        <f t="shared" si="39"/>
        <v>0</v>
      </c>
      <c r="AU39" s="17">
        <f t="shared" si="40"/>
        <v>77.339587861909635</v>
      </c>
      <c r="AV39" s="15" t="s">
        <v>125</v>
      </c>
      <c r="AW39" s="16" t="s">
        <v>53</v>
      </c>
      <c r="AX39" s="17">
        <f t="shared" si="41"/>
        <v>122.10848074525683</v>
      </c>
      <c r="AY39" s="17">
        <f t="shared" si="42"/>
        <v>21.606484359498268</v>
      </c>
      <c r="AZ39" s="17">
        <f t="shared" si="43"/>
        <v>0</v>
      </c>
      <c r="BA39" s="17">
        <f t="shared" si="44"/>
        <v>0</v>
      </c>
      <c r="BB39" s="17">
        <f t="shared" si="45"/>
        <v>143.71496510475509</v>
      </c>
      <c r="BC39" s="15" t="s">
        <v>125</v>
      </c>
      <c r="BD39" s="16" t="s">
        <v>53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5" t="s">
        <v>125</v>
      </c>
      <c r="BK39" s="16" t="s">
        <v>53</v>
      </c>
      <c r="BL39" s="17">
        <v>32.659665964286951</v>
      </c>
      <c r="BM39" s="17">
        <v>0.12553159888014606</v>
      </c>
      <c r="BN39" s="17">
        <v>0</v>
      </c>
      <c r="BO39" s="17">
        <v>0</v>
      </c>
      <c r="BP39" s="17">
        <v>32.785197563167095</v>
      </c>
      <c r="BQ39" s="15" t="s">
        <v>125</v>
      </c>
      <c r="BR39" s="16" t="s">
        <v>53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5" t="s">
        <v>125</v>
      </c>
      <c r="BY39" s="16" t="s">
        <v>53</v>
      </c>
      <c r="BZ39" s="17">
        <v>19.88645925531916</v>
      </c>
      <c r="CA39" s="17">
        <v>0</v>
      </c>
      <c r="CB39" s="17">
        <v>0</v>
      </c>
      <c r="CC39" s="17">
        <v>0</v>
      </c>
      <c r="CD39" s="17">
        <v>19.88645925531916</v>
      </c>
      <c r="CE39" s="15" t="s">
        <v>125</v>
      </c>
      <c r="CF39" s="16" t="s">
        <v>53</v>
      </c>
      <c r="CG39" s="17">
        <v>6.251063197760292</v>
      </c>
      <c r="CH39" s="17">
        <v>5.251063197760292</v>
      </c>
      <c r="CI39" s="17">
        <v>0</v>
      </c>
      <c r="CJ39" s="17">
        <v>0</v>
      </c>
      <c r="CK39" s="17">
        <v>11.502126395520584</v>
      </c>
      <c r="CL39" s="15" t="s">
        <v>125</v>
      </c>
      <c r="CM39" s="16" t="s">
        <v>53</v>
      </c>
      <c r="CN39" s="17">
        <v>0</v>
      </c>
      <c r="CO39" s="17">
        <v>0</v>
      </c>
      <c r="CP39" s="17">
        <v>0</v>
      </c>
      <c r="CQ39" s="17">
        <v>0</v>
      </c>
      <c r="CR39" s="17">
        <v>0</v>
      </c>
      <c r="CS39" s="15" t="s">
        <v>125</v>
      </c>
      <c r="CT39" s="16" t="s">
        <v>53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5" t="s">
        <v>125</v>
      </c>
      <c r="DA39" s="16" t="s">
        <v>53</v>
      </c>
      <c r="DB39" s="17">
        <v>1.083687732586764</v>
      </c>
      <c r="DC39" s="17">
        <v>0</v>
      </c>
      <c r="DD39" s="17">
        <v>0</v>
      </c>
      <c r="DE39" s="17">
        <v>0</v>
      </c>
      <c r="DF39" s="17">
        <v>1.083687732586764</v>
      </c>
      <c r="DG39" s="15" t="s">
        <v>125</v>
      </c>
      <c r="DH39" s="16" t="s">
        <v>53</v>
      </c>
      <c r="DI39" s="17">
        <v>0</v>
      </c>
      <c r="DJ39" s="17">
        <v>0</v>
      </c>
      <c r="DK39" s="17">
        <v>0</v>
      </c>
      <c r="DL39" s="17">
        <v>0</v>
      </c>
      <c r="DM39" s="17">
        <v>0</v>
      </c>
      <c r="DN39" s="15" t="s">
        <v>125</v>
      </c>
      <c r="DO39" s="16" t="s">
        <v>53</v>
      </c>
      <c r="DP39" s="17">
        <v>12.082116915316041</v>
      </c>
      <c r="DQ39" s="17">
        <v>0</v>
      </c>
      <c r="DR39" s="17">
        <v>0</v>
      </c>
      <c r="DS39" s="17">
        <v>0</v>
      </c>
      <c r="DT39" s="17">
        <v>12.082116915316041</v>
      </c>
      <c r="DU39" s="15" t="s">
        <v>125</v>
      </c>
      <c r="DV39" s="16" t="s">
        <v>53</v>
      </c>
      <c r="DW39" s="17">
        <v>11.832035981178741</v>
      </c>
      <c r="DX39" s="17">
        <v>5.2339273303831808</v>
      </c>
      <c r="DY39" s="17">
        <v>0</v>
      </c>
      <c r="DZ39" s="17">
        <v>0</v>
      </c>
      <c r="EA39" s="17">
        <v>17.065963311561923</v>
      </c>
      <c r="EB39" s="15" t="s">
        <v>125</v>
      </c>
      <c r="EC39" s="16" t="s">
        <v>53</v>
      </c>
      <c r="ED39" s="17">
        <v>110.27644476407809</v>
      </c>
      <c r="EE39" s="17">
        <v>16.372557029115086</v>
      </c>
      <c r="EF39" s="17">
        <v>0</v>
      </c>
      <c r="EG39" s="17">
        <v>0</v>
      </c>
      <c r="EH39" s="17">
        <v>126.64900179319318</v>
      </c>
    </row>
    <row r="40" spans="1:138" ht="10.199999999999999" customHeight="1" x14ac:dyDescent="0.25">
      <c r="A40" s="15" t="s">
        <v>130</v>
      </c>
      <c r="B40" s="16" t="s">
        <v>58</v>
      </c>
      <c r="C40" s="17">
        <f t="shared" si="4"/>
        <v>0</v>
      </c>
      <c r="D40" s="17">
        <f t="shared" si="5"/>
        <v>5.9552807839024977</v>
      </c>
      <c r="E40" s="17">
        <f t="shared" si="6"/>
        <v>1.0337764912225262</v>
      </c>
      <c r="F40" s="17">
        <f t="shared" si="7"/>
        <v>4.1843866293382027E-2</v>
      </c>
      <c r="G40" s="17">
        <f t="shared" si="8"/>
        <v>1.041843866293382</v>
      </c>
      <c r="H40" s="17">
        <f t="shared" si="9"/>
        <v>0</v>
      </c>
      <c r="I40" s="17">
        <f t="shared" si="10"/>
        <v>33.963590142382735</v>
      </c>
      <c r="J40" s="17">
        <f t="shared" si="11"/>
        <v>0</v>
      </c>
      <c r="K40" s="17">
        <f t="shared" si="12"/>
        <v>11.606797012689697</v>
      </c>
      <c r="L40" s="17">
        <f t="shared" si="13"/>
        <v>40.283467666718145</v>
      </c>
      <c r="M40" s="17">
        <f t="shared" si="14"/>
        <v>1860.3423941009794</v>
      </c>
      <c r="N40" s="17">
        <f t="shared" si="15"/>
        <v>58.449101509328329</v>
      </c>
      <c r="O40" s="17">
        <f t="shared" si="16"/>
        <v>2012.71809543981</v>
      </c>
      <c r="P40" s="15" t="s">
        <v>130</v>
      </c>
      <c r="Q40" s="16" t="s">
        <v>58</v>
      </c>
      <c r="R40" s="17">
        <f t="shared" si="17"/>
        <v>0</v>
      </c>
      <c r="S40" s="17">
        <f t="shared" si="18"/>
        <v>5.9552807839024977</v>
      </c>
      <c r="T40" s="17">
        <f t="shared" si="19"/>
        <v>1.0337764912225262</v>
      </c>
      <c r="U40" s="17">
        <f t="shared" si="20"/>
        <v>4.1843866293382027E-2</v>
      </c>
      <c r="V40" s="17">
        <f t="shared" si="21"/>
        <v>1.041843866293382</v>
      </c>
      <c r="W40" s="17">
        <f t="shared" si="22"/>
        <v>0</v>
      </c>
      <c r="X40" s="17">
        <f t="shared" si="23"/>
        <v>33.963590142382735</v>
      </c>
      <c r="Y40" s="17">
        <f t="shared" si="24"/>
        <v>0</v>
      </c>
      <c r="Z40" s="17">
        <f t="shared" si="25"/>
        <v>11.606797012689697</v>
      </c>
      <c r="AA40" s="17">
        <f t="shared" si="26"/>
        <v>40.283467666718145</v>
      </c>
      <c r="AB40" s="17">
        <f t="shared" si="27"/>
        <v>93.926599829502365</v>
      </c>
      <c r="AC40" s="15" t="s">
        <v>130</v>
      </c>
      <c r="AD40" s="16" t="s">
        <v>58</v>
      </c>
      <c r="AE40" s="17">
        <f t="shared" si="28"/>
        <v>1860.3423941009794</v>
      </c>
      <c r="AF40" s="17">
        <f t="shared" si="29"/>
        <v>58.449101509328329</v>
      </c>
      <c r="AG40" s="17">
        <f t="shared" si="30"/>
        <v>1918.7914956103077</v>
      </c>
      <c r="AH40" s="15" t="s">
        <v>130</v>
      </c>
      <c r="AI40" s="16" t="s">
        <v>58</v>
      </c>
      <c r="AJ40" s="17">
        <f t="shared" si="31"/>
        <v>1921.9889110730878</v>
      </c>
      <c r="AK40" s="17">
        <f t="shared" si="32"/>
        <v>68.01200523243233</v>
      </c>
      <c r="AL40" s="17">
        <f t="shared" si="33"/>
        <v>11.994254686538891</v>
      </c>
      <c r="AM40" s="17">
        <f t="shared" si="34"/>
        <v>10.72292444775098</v>
      </c>
      <c r="AN40" s="17">
        <f t="shared" si="35"/>
        <v>2012.71809543981</v>
      </c>
      <c r="AO40" s="15" t="s">
        <v>130</v>
      </c>
      <c r="AP40" s="16" t="s">
        <v>58</v>
      </c>
      <c r="AQ40" s="17">
        <f t="shared" si="36"/>
        <v>59.314171019259518</v>
      </c>
      <c r="AR40" s="17">
        <f t="shared" si="37"/>
        <v>30.140567560252158</v>
      </c>
      <c r="AS40" s="17">
        <f t="shared" si="38"/>
        <v>0</v>
      </c>
      <c r="AT40" s="17">
        <f t="shared" si="39"/>
        <v>4.4718612499906873</v>
      </c>
      <c r="AU40" s="17">
        <f t="shared" si="40"/>
        <v>93.926599829502365</v>
      </c>
      <c r="AV40" s="15" t="s">
        <v>130</v>
      </c>
      <c r="AW40" s="16" t="s">
        <v>58</v>
      </c>
      <c r="AX40" s="17">
        <f t="shared" si="41"/>
        <v>1862.6747400538284</v>
      </c>
      <c r="AY40" s="17">
        <f t="shared" si="42"/>
        <v>37.871437672180178</v>
      </c>
      <c r="AZ40" s="17">
        <f t="shared" si="43"/>
        <v>11.994254686538891</v>
      </c>
      <c r="BA40" s="17">
        <f t="shared" si="44"/>
        <v>6.251063197760292</v>
      </c>
      <c r="BB40" s="17">
        <f t="shared" si="45"/>
        <v>1918.7914956103077</v>
      </c>
      <c r="BC40" s="15" t="s">
        <v>130</v>
      </c>
      <c r="BD40" s="16" t="s">
        <v>58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5" t="s">
        <v>130</v>
      </c>
      <c r="BK40" s="16" t="s">
        <v>58</v>
      </c>
      <c r="BL40" s="17">
        <v>1.041843866293382</v>
      </c>
      <c r="BM40" s="17">
        <v>4.9134369176091157</v>
      </c>
      <c r="BN40" s="17">
        <v>0</v>
      </c>
      <c r="BO40" s="17">
        <v>0</v>
      </c>
      <c r="BP40" s="17">
        <v>5.9552807839024977</v>
      </c>
      <c r="BQ40" s="15" t="s">
        <v>130</v>
      </c>
      <c r="BR40" s="16" t="s">
        <v>58</v>
      </c>
      <c r="BS40" s="17">
        <v>0</v>
      </c>
      <c r="BT40" s="17">
        <v>0</v>
      </c>
      <c r="BU40" s="17">
        <v>0</v>
      </c>
      <c r="BV40" s="17">
        <v>1.0337764912225262</v>
      </c>
      <c r="BW40" s="17">
        <v>1.0337764912225262</v>
      </c>
      <c r="BX40" s="15" t="s">
        <v>130</v>
      </c>
      <c r="BY40" s="16" t="s">
        <v>58</v>
      </c>
      <c r="BZ40" s="17">
        <v>4.1843866293382027E-2</v>
      </c>
      <c r="CA40" s="17">
        <v>0</v>
      </c>
      <c r="CB40" s="17">
        <v>0</v>
      </c>
      <c r="CC40" s="17">
        <v>0</v>
      </c>
      <c r="CD40" s="17">
        <v>4.1843866293382027E-2</v>
      </c>
      <c r="CE40" s="15" t="s">
        <v>130</v>
      </c>
      <c r="CF40" s="16" t="s">
        <v>58</v>
      </c>
      <c r="CG40" s="17">
        <v>1.041843866293382</v>
      </c>
      <c r="CH40" s="17">
        <v>0</v>
      </c>
      <c r="CI40" s="17">
        <v>0</v>
      </c>
      <c r="CJ40" s="17">
        <v>0</v>
      </c>
      <c r="CK40" s="17">
        <v>1.041843866293382</v>
      </c>
      <c r="CL40" s="15" t="s">
        <v>130</v>
      </c>
      <c r="CM40" s="16" t="s">
        <v>58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5" t="s">
        <v>130</v>
      </c>
      <c r="CT40" s="16" t="s">
        <v>58</v>
      </c>
      <c r="CU40" s="17">
        <v>20.171628256214696</v>
      </c>
      <c r="CV40" s="17">
        <v>13.791961886168041</v>
      </c>
      <c r="CW40" s="17">
        <v>0</v>
      </c>
      <c r="CX40" s="17">
        <v>0</v>
      </c>
      <c r="CY40" s="17">
        <v>33.963590142382735</v>
      </c>
      <c r="CZ40" s="15" t="s">
        <v>130</v>
      </c>
      <c r="DA40" s="16" t="s">
        <v>58</v>
      </c>
      <c r="DB40" s="17">
        <v>1.2134721225080787</v>
      </c>
      <c r="DC40" s="17">
        <v>10.393324890181617</v>
      </c>
      <c r="DD40" s="17">
        <v>0</v>
      </c>
      <c r="DE40" s="17">
        <v>0</v>
      </c>
      <c r="DF40" s="17">
        <v>11.606797012689697</v>
      </c>
      <c r="DG40" s="15" t="s">
        <v>130</v>
      </c>
      <c r="DH40" s="16" t="s">
        <v>58</v>
      </c>
      <c r="DI40" s="17">
        <v>0</v>
      </c>
      <c r="DJ40" s="17">
        <v>0</v>
      </c>
      <c r="DK40" s="17">
        <v>0</v>
      </c>
      <c r="DL40" s="17">
        <v>0</v>
      </c>
      <c r="DM40" s="17">
        <v>0</v>
      </c>
      <c r="DN40" s="15" t="s">
        <v>130</v>
      </c>
      <c r="DO40" s="16" t="s">
        <v>58</v>
      </c>
      <c r="DP40" s="17">
        <v>35.803539041656599</v>
      </c>
      <c r="DQ40" s="17">
        <v>1.041843866293382</v>
      </c>
      <c r="DR40" s="17">
        <v>0</v>
      </c>
      <c r="DS40" s="17">
        <v>3.4380847587681611</v>
      </c>
      <c r="DT40" s="17">
        <v>40.283467666718145</v>
      </c>
      <c r="DU40" s="15" t="s">
        <v>130</v>
      </c>
      <c r="DV40" s="16" t="s">
        <v>58</v>
      </c>
      <c r="DW40" s="17">
        <v>34.078252026149002</v>
      </c>
      <c r="DX40" s="17">
        <v>6.251063197760292</v>
      </c>
      <c r="DY40" s="17">
        <v>11.868723087658745</v>
      </c>
      <c r="DZ40" s="17">
        <v>6.251063197760292</v>
      </c>
      <c r="EA40" s="17">
        <v>58.449101509328329</v>
      </c>
      <c r="EB40" s="15" t="s">
        <v>130</v>
      </c>
      <c r="EC40" s="16" t="s">
        <v>58</v>
      </c>
      <c r="ED40" s="17">
        <v>1828.5964880276795</v>
      </c>
      <c r="EE40" s="17">
        <v>31.62037447441989</v>
      </c>
      <c r="EF40" s="17">
        <v>0.12553159888014606</v>
      </c>
      <c r="EG40" s="17">
        <v>0</v>
      </c>
      <c r="EH40" s="17">
        <v>1860.3423941009794</v>
      </c>
    </row>
    <row r="41" spans="1:138" ht="10.199999999999999" customHeight="1" x14ac:dyDescent="0.25">
      <c r="A41" s="15" t="s">
        <v>122</v>
      </c>
      <c r="B41" s="16" t="s">
        <v>50</v>
      </c>
      <c r="C41" s="17">
        <f t="shared" si="4"/>
        <v>0</v>
      </c>
      <c r="D41" s="17">
        <f t="shared" si="5"/>
        <v>2.20921933146691</v>
      </c>
      <c r="E41" s="17">
        <f t="shared" si="6"/>
        <v>0</v>
      </c>
      <c r="F41" s="17">
        <f t="shared" si="7"/>
        <v>4.8505694416573677</v>
      </c>
      <c r="G41" s="17">
        <f t="shared" si="8"/>
        <v>3.1009023893596024</v>
      </c>
      <c r="H41" s="17">
        <f t="shared" si="9"/>
        <v>0</v>
      </c>
      <c r="I41" s="17">
        <f t="shared" si="10"/>
        <v>0</v>
      </c>
      <c r="J41" s="17">
        <f t="shared" si="11"/>
        <v>0</v>
      </c>
      <c r="K41" s="17">
        <f t="shared" si="12"/>
        <v>27.844824754047401</v>
      </c>
      <c r="L41" s="17">
        <f t="shared" si="13"/>
        <v>58.103923625146621</v>
      </c>
      <c r="M41" s="17">
        <f t="shared" si="14"/>
        <v>257.57633372314621</v>
      </c>
      <c r="N41" s="17">
        <f t="shared" si="15"/>
        <v>0</v>
      </c>
      <c r="O41" s="17">
        <f t="shared" si="16"/>
        <v>353.68577326482409</v>
      </c>
      <c r="P41" s="15" t="s">
        <v>122</v>
      </c>
      <c r="Q41" s="16" t="s">
        <v>50</v>
      </c>
      <c r="R41" s="17">
        <f t="shared" si="17"/>
        <v>0</v>
      </c>
      <c r="S41" s="17">
        <f t="shared" si="18"/>
        <v>2.20921933146691</v>
      </c>
      <c r="T41" s="17">
        <f t="shared" si="19"/>
        <v>0</v>
      </c>
      <c r="U41" s="17">
        <f t="shared" si="20"/>
        <v>4.8505694416573677</v>
      </c>
      <c r="V41" s="17">
        <f t="shared" si="21"/>
        <v>3.1009023893596024</v>
      </c>
      <c r="W41" s="17">
        <f t="shared" si="22"/>
        <v>0</v>
      </c>
      <c r="X41" s="17">
        <f t="shared" si="23"/>
        <v>0</v>
      </c>
      <c r="Y41" s="17">
        <f t="shared" si="24"/>
        <v>0</v>
      </c>
      <c r="Z41" s="17">
        <f t="shared" si="25"/>
        <v>27.844824754047401</v>
      </c>
      <c r="AA41" s="17">
        <f t="shared" si="26"/>
        <v>58.103923625146621</v>
      </c>
      <c r="AB41" s="17">
        <f t="shared" si="27"/>
        <v>96.109439541677901</v>
      </c>
      <c r="AC41" s="15" t="s">
        <v>122</v>
      </c>
      <c r="AD41" s="16" t="s">
        <v>50</v>
      </c>
      <c r="AE41" s="17">
        <f t="shared" si="28"/>
        <v>257.57633372314621</v>
      </c>
      <c r="AF41" s="17">
        <f t="shared" si="29"/>
        <v>0</v>
      </c>
      <c r="AG41" s="17">
        <f t="shared" si="30"/>
        <v>257.57633372314621</v>
      </c>
      <c r="AH41" s="15" t="s">
        <v>122</v>
      </c>
      <c r="AI41" s="16" t="s">
        <v>50</v>
      </c>
      <c r="AJ41" s="17">
        <f t="shared" si="31"/>
        <v>320.41998303511502</v>
      </c>
      <c r="AK41" s="17">
        <f t="shared" si="32"/>
        <v>33.265790229709083</v>
      </c>
      <c r="AL41" s="17">
        <f t="shared" si="33"/>
        <v>0</v>
      </c>
      <c r="AM41" s="17">
        <f t="shared" si="34"/>
        <v>0</v>
      </c>
      <c r="AN41" s="17">
        <f t="shared" si="35"/>
        <v>353.68577326482409</v>
      </c>
      <c r="AO41" s="15" t="s">
        <v>122</v>
      </c>
      <c r="AP41" s="16" t="s">
        <v>50</v>
      </c>
      <c r="AQ41" s="17">
        <f t="shared" si="36"/>
        <v>87.511948198615755</v>
      </c>
      <c r="AR41" s="17">
        <f t="shared" si="37"/>
        <v>8.5974913430621545</v>
      </c>
      <c r="AS41" s="17">
        <f t="shared" si="38"/>
        <v>0</v>
      </c>
      <c r="AT41" s="17">
        <f t="shared" si="39"/>
        <v>0</v>
      </c>
      <c r="AU41" s="17">
        <f t="shared" si="40"/>
        <v>96.109439541677915</v>
      </c>
      <c r="AV41" s="15" t="s">
        <v>122</v>
      </c>
      <c r="AW41" s="16" t="s">
        <v>50</v>
      </c>
      <c r="AX41" s="17">
        <f t="shared" si="41"/>
        <v>232.90803483649927</v>
      </c>
      <c r="AY41" s="17">
        <f t="shared" si="42"/>
        <v>24.668298886646927</v>
      </c>
      <c r="AZ41" s="17">
        <f t="shared" si="43"/>
        <v>0</v>
      </c>
      <c r="BA41" s="17">
        <f t="shared" si="44"/>
        <v>0</v>
      </c>
      <c r="BB41" s="17">
        <f t="shared" si="45"/>
        <v>257.57633372314621</v>
      </c>
      <c r="BC41" s="15" t="s">
        <v>122</v>
      </c>
      <c r="BD41" s="16" t="s">
        <v>50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5" t="s">
        <v>122</v>
      </c>
      <c r="BK41" s="16" t="s">
        <v>50</v>
      </c>
      <c r="BL41" s="17">
        <v>2.20921933146691</v>
      </c>
      <c r="BM41" s="17">
        <v>0</v>
      </c>
      <c r="BN41" s="17">
        <v>0</v>
      </c>
      <c r="BO41" s="17">
        <v>0</v>
      </c>
      <c r="BP41" s="17">
        <v>2.20921933146691</v>
      </c>
      <c r="BQ41" s="15" t="s">
        <v>122</v>
      </c>
      <c r="BR41" s="16" t="s">
        <v>50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5" t="s">
        <v>122</v>
      </c>
      <c r="BY41" s="16" t="s">
        <v>50</v>
      </c>
      <c r="BZ41" s="17">
        <v>4.8505694416573677</v>
      </c>
      <c r="CA41" s="17">
        <v>0</v>
      </c>
      <c r="CB41" s="17">
        <v>0</v>
      </c>
      <c r="CC41" s="17">
        <v>0</v>
      </c>
      <c r="CD41" s="17">
        <v>4.8505694416573677</v>
      </c>
      <c r="CE41" s="15" t="s">
        <v>122</v>
      </c>
      <c r="CF41" s="16" t="s">
        <v>50</v>
      </c>
      <c r="CG41" s="17">
        <v>3.0590585230662204</v>
      </c>
      <c r="CH41" s="17">
        <v>4.1843866293382027E-2</v>
      </c>
      <c r="CI41" s="17">
        <v>0</v>
      </c>
      <c r="CJ41" s="17">
        <v>0</v>
      </c>
      <c r="CK41" s="17">
        <v>3.1009023893596024</v>
      </c>
      <c r="CL41" s="15" t="s">
        <v>122</v>
      </c>
      <c r="CM41" s="16" t="s">
        <v>50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5" t="s">
        <v>122</v>
      </c>
      <c r="CT41" s="16" t="s">
        <v>50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5" t="s">
        <v>122</v>
      </c>
      <c r="DA41" s="16" t="s">
        <v>50</v>
      </c>
      <c r="DB41" s="17">
        <v>27.844824754047401</v>
      </c>
      <c r="DC41" s="17">
        <v>0</v>
      </c>
      <c r="DD41" s="17">
        <v>0</v>
      </c>
      <c r="DE41" s="17">
        <v>0</v>
      </c>
      <c r="DF41" s="17">
        <v>27.844824754047401</v>
      </c>
      <c r="DG41" s="15" t="s">
        <v>122</v>
      </c>
      <c r="DH41" s="16" t="s">
        <v>50</v>
      </c>
      <c r="DI41" s="17">
        <v>0</v>
      </c>
      <c r="DJ41" s="17">
        <v>0</v>
      </c>
      <c r="DK41" s="17">
        <v>0</v>
      </c>
      <c r="DL41" s="17">
        <v>0</v>
      </c>
      <c r="DM41" s="17">
        <v>0</v>
      </c>
      <c r="DN41" s="15" t="s">
        <v>122</v>
      </c>
      <c r="DO41" s="16" t="s">
        <v>50</v>
      </c>
      <c r="DP41" s="17">
        <v>49.548276148377852</v>
      </c>
      <c r="DQ41" s="17">
        <v>8.5556474767687725</v>
      </c>
      <c r="DR41" s="17">
        <v>0</v>
      </c>
      <c r="DS41" s="17">
        <v>0</v>
      </c>
      <c r="DT41" s="17">
        <v>58.103923625146621</v>
      </c>
      <c r="DU41" s="15" t="s">
        <v>122</v>
      </c>
      <c r="DV41" s="16" t="s">
        <v>50</v>
      </c>
      <c r="DW41" s="17">
        <v>0</v>
      </c>
      <c r="DX41" s="17">
        <v>0</v>
      </c>
      <c r="DY41" s="17">
        <v>0</v>
      </c>
      <c r="DZ41" s="17">
        <v>0</v>
      </c>
      <c r="EA41" s="17">
        <v>0</v>
      </c>
      <c r="EB41" s="15" t="s">
        <v>122</v>
      </c>
      <c r="EC41" s="16" t="s">
        <v>50</v>
      </c>
      <c r="ED41" s="17">
        <v>232.90803483649927</v>
      </c>
      <c r="EE41" s="17">
        <v>24.668298886646927</v>
      </c>
      <c r="EF41" s="17">
        <v>0</v>
      </c>
      <c r="EG41" s="17">
        <v>0</v>
      </c>
      <c r="EH41" s="17">
        <v>257.57633372314621</v>
      </c>
    </row>
    <row r="42" spans="1:138" ht="10.199999999999999" customHeight="1" x14ac:dyDescent="0.25">
      <c r="A42" s="19"/>
      <c r="B42" s="20" t="s">
        <v>59</v>
      </c>
      <c r="C42" s="17">
        <f>SUM(C4:C41)</f>
        <v>269.27677056851542</v>
      </c>
      <c r="D42" s="17">
        <f t="shared" ref="D42:O42" si="46">SUM(D4:D41)</f>
        <v>689.88159633376654</v>
      </c>
      <c r="E42" s="17">
        <f t="shared" si="46"/>
        <v>167.58290886797323</v>
      </c>
      <c r="F42" s="17">
        <f t="shared" si="46"/>
        <v>2047.362909080689</v>
      </c>
      <c r="G42" s="17">
        <f t="shared" si="46"/>
        <v>606.75367579220881</v>
      </c>
      <c r="H42" s="17">
        <f t="shared" si="46"/>
        <v>21.264033311047932</v>
      </c>
      <c r="I42" s="17">
        <f t="shared" si="46"/>
        <v>2479.9703484818347</v>
      </c>
      <c r="J42" s="17">
        <f t="shared" si="46"/>
        <v>545.34213046313391</v>
      </c>
      <c r="K42" s="17">
        <f t="shared" si="46"/>
        <v>1890.5425694515109</v>
      </c>
      <c r="L42" s="17">
        <f t="shared" si="46"/>
        <v>2123.2054167943406</v>
      </c>
      <c r="M42" s="17">
        <f t="shared" si="46"/>
        <v>19906.209603812837</v>
      </c>
      <c r="N42" s="17">
        <f t="shared" si="46"/>
        <v>1672.7434998091314</v>
      </c>
      <c r="O42" s="17">
        <f t="shared" si="46"/>
        <v>32420.13546276699</v>
      </c>
      <c r="P42" s="19"/>
      <c r="Q42" s="20" t="s">
        <v>59</v>
      </c>
      <c r="R42" s="17">
        <f>SUM(R4:R41)</f>
        <v>269.27677056851542</v>
      </c>
      <c r="S42" s="17">
        <f t="shared" ref="S42:AB42" si="47">SUM(S4:S41)</f>
        <v>689.88159633376654</v>
      </c>
      <c r="T42" s="17">
        <f t="shared" si="47"/>
        <v>167.58290886797323</v>
      </c>
      <c r="U42" s="17">
        <f t="shared" si="47"/>
        <v>2047.362909080689</v>
      </c>
      <c r="V42" s="17">
        <f t="shared" si="47"/>
        <v>606.75367579220881</v>
      </c>
      <c r="W42" s="17">
        <f t="shared" si="47"/>
        <v>21.264033311047932</v>
      </c>
      <c r="X42" s="17">
        <f t="shared" si="47"/>
        <v>2479.9703484818347</v>
      </c>
      <c r="Y42" s="17">
        <f t="shared" si="47"/>
        <v>545.34213046313391</v>
      </c>
      <c r="Z42" s="17">
        <f t="shared" si="47"/>
        <v>1890.5425694515109</v>
      </c>
      <c r="AA42" s="17">
        <f t="shared" si="47"/>
        <v>2123.2054167943406</v>
      </c>
      <c r="AB42" s="17">
        <f t="shared" si="47"/>
        <v>10841.182359145023</v>
      </c>
      <c r="AC42" s="19"/>
      <c r="AD42" s="20" t="s">
        <v>59</v>
      </c>
      <c r="AE42" s="17">
        <f>SUM(AE4:AE41)</f>
        <v>19906.209603812837</v>
      </c>
      <c r="AF42" s="17">
        <f t="shared" ref="AF42:AG42" si="48">SUM(AF4:AF41)</f>
        <v>1672.7434998091314</v>
      </c>
      <c r="AG42" s="17">
        <f t="shared" si="48"/>
        <v>21578.953103621967</v>
      </c>
      <c r="AH42" s="19"/>
      <c r="AI42" s="20" t="s">
        <v>59</v>
      </c>
      <c r="AJ42" s="17">
        <f>SUM(AJ4:AJ41)</f>
        <v>26449.071651281432</v>
      </c>
      <c r="AK42" s="17">
        <f t="shared" ref="AK42:AN42" si="49">SUM(AK4:AK41)</f>
        <v>4914.1461046030363</v>
      </c>
      <c r="AL42" s="17">
        <f t="shared" si="49"/>
        <v>710.84104975689343</v>
      </c>
      <c r="AM42" s="17">
        <f t="shared" si="49"/>
        <v>346.07665712561999</v>
      </c>
      <c r="AN42" s="17">
        <f t="shared" si="49"/>
        <v>32420.135462766983</v>
      </c>
      <c r="AO42" s="19"/>
      <c r="AP42" s="20" t="s">
        <v>59</v>
      </c>
      <c r="AQ42" s="17">
        <f>SUM(AQ4:AQ41)</f>
        <v>6958.3411382924105</v>
      </c>
      <c r="AR42" s="17">
        <f t="shared" ref="AR42:AU42" si="50">SUM(AR4:AR41)</f>
        <v>3068.7027830695965</v>
      </c>
      <c r="AS42" s="17">
        <f t="shared" si="50"/>
        <v>502.65366298845612</v>
      </c>
      <c r="AT42" s="17">
        <f t="shared" si="50"/>
        <v>311.4847747945596</v>
      </c>
      <c r="AU42" s="17">
        <f t="shared" si="50"/>
        <v>10841.182359145023</v>
      </c>
      <c r="AV42" s="19"/>
      <c r="AW42" s="20" t="s">
        <v>59</v>
      </c>
      <c r="AX42" s="17">
        <f>SUM(AX4:AX41)</f>
        <v>19490.730512989034</v>
      </c>
      <c r="AY42" s="17">
        <f t="shared" ref="AY42:BB42" si="51">SUM(AY4:AY41)</f>
        <v>1845.44332153344</v>
      </c>
      <c r="AZ42" s="17">
        <f t="shared" si="51"/>
        <v>208.18738676843739</v>
      </c>
      <c r="BA42" s="17">
        <f t="shared" si="51"/>
        <v>34.591882331060532</v>
      </c>
      <c r="BB42" s="17">
        <f t="shared" si="51"/>
        <v>21578.953103621963</v>
      </c>
      <c r="BC42" s="19"/>
      <c r="BD42" s="20" t="s">
        <v>59</v>
      </c>
      <c r="BE42" s="17">
        <v>215.3597877258307</v>
      </c>
      <c r="BF42" s="17">
        <v>40.322093507093953</v>
      </c>
      <c r="BG42" s="17">
        <v>13.594889335590711</v>
      </c>
      <c r="BH42" s="17">
        <v>0</v>
      </c>
      <c r="BI42" s="17">
        <v>269.27677056851542</v>
      </c>
      <c r="BJ42" s="19"/>
      <c r="BK42" s="20" t="s">
        <v>59</v>
      </c>
      <c r="BL42" s="17">
        <v>475.35056531965256</v>
      </c>
      <c r="BM42" s="17">
        <v>140.58495390435843</v>
      </c>
      <c r="BN42" s="17">
        <v>58.746955600041389</v>
      </c>
      <c r="BO42" s="17">
        <v>15.199121509714347</v>
      </c>
      <c r="BP42" s="17">
        <v>689.88159633376654</v>
      </c>
      <c r="BQ42" s="19"/>
      <c r="BR42" s="20" t="s">
        <v>59</v>
      </c>
      <c r="BS42" s="17">
        <v>20.65890386403888</v>
      </c>
      <c r="BT42" s="17">
        <v>33.070782142840947</v>
      </c>
      <c r="BU42" s="17">
        <v>45.652034088025573</v>
      </c>
      <c r="BV42" s="17">
        <v>68.201188773067827</v>
      </c>
      <c r="BW42" s="17">
        <v>167.58290886797323</v>
      </c>
      <c r="BX42" s="19"/>
      <c r="BY42" s="20" t="s">
        <v>59</v>
      </c>
      <c r="BZ42" s="17">
        <v>1045.2106021190143</v>
      </c>
      <c r="CA42" s="17">
        <v>866.09786326946073</v>
      </c>
      <c r="CB42" s="17">
        <v>97.065689319398672</v>
      </c>
      <c r="CC42" s="17">
        <v>38.988754372815549</v>
      </c>
      <c r="CD42" s="17">
        <v>2047.362909080689</v>
      </c>
      <c r="CE42" s="19"/>
      <c r="CF42" s="20" t="s">
        <v>59</v>
      </c>
      <c r="CG42" s="17">
        <v>449.29775774649539</v>
      </c>
      <c r="CH42" s="17">
        <v>136.66659874983128</v>
      </c>
      <c r="CI42" s="17">
        <v>14.665301859823931</v>
      </c>
      <c r="CJ42" s="17">
        <v>6.1240174360581383</v>
      </c>
      <c r="CK42" s="17">
        <v>606.75367579220881</v>
      </c>
      <c r="CL42" s="19"/>
      <c r="CM42" s="20" t="s">
        <v>59</v>
      </c>
      <c r="CN42" s="17">
        <v>0</v>
      </c>
      <c r="CO42" s="17">
        <v>0</v>
      </c>
      <c r="CP42" s="17">
        <v>9.4438410825557391</v>
      </c>
      <c r="CQ42" s="17">
        <v>11.820192228492189</v>
      </c>
      <c r="CR42" s="17">
        <v>21.264033311047932</v>
      </c>
      <c r="CS42" s="19"/>
      <c r="CT42" s="20" t="s">
        <v>59</v>
      </c>
      <c r="CU42" s="17">
        <v>1738.5958165057921</v>
      </c>
      <c r="CV42" s="17">
        <v>692.95704980015387</v>
      </c>
      <c r="CW42" s="17">
        <v>48.417482175889198</v>
      </c>
      <c r="CX42" s="17">
        <v>0</v>
      </c>
      <c r="CY42" s="17">
        <v>2479.9703484818347</v>
      </c>
      <c r="CZ42" s="19"/>
      <c r="DA42" s="20" t="s">
        <v>59</v>
      </c>
      <c r="DB42" s="17">
        <v>1108.7961689542981</v>
      </c>
      <c r="DC42" s="17">
        <v>653.588851631647</v>
      </c>
      <c r="DD42" s="17">
        <v>85.874666831641832</v>
      </c>
      <c r="DE42" s="17">
        <v>42.282882033923833</v>
      </c>
      <c r="DF42" s="17">
        <v>1890.5425694515109</v>
      </c>
      <c r="DG42" s="19"/>
      <c r="DH42" s="20" t="s">
        <v>59</v>
      </c>
      <c r="DI42" s="17">
        <v>289.54665641985173</v>
      </c>
      <c r="DJ42" s="17">
        <v>95.404541002930401</v>
      </c>
      <c r="DK42" s="17">
        <v>47.566710140782241</v>
      </c>
      <c r="DL42" s="17">
        <v>112.82422289956959</v>
      </c>
      <c r="DM42" s="17">
        <v>545.34213046313391</v>
      </c>
      <c r="DN42" s="19"/>
      <c r="DO42" s="20" t="s">
        <v>59</v>
      </c>
      <c r="DP42" s="17">
        <v>1615.524879637436</v>
      </c>
      <c r="DQ42" s="17">
        <v>410.0100490612798</v>
      </c>
      <c r="DR42" s="17">
        <v>81.626092554706773</v>
      </c>
      <c r="DS42" s="17">
        <v>16.044395540918085</v>
      </c>
      <c r="DT42" s="17">
        <v>2123.2054167943406</v>
      </c>
      <c r="DU42" s="19"/>
      <c r="DV42" s="20" t="s">
        <v>59</v>
      </c>
      <c r="DW42" s="17">
        <v>1071.8663538032288</v>
      </c>
      <c r="DX42" s="17">
        <v>423.28264148105455</v>
      </c>
      <c r="DY42" s="17">
        <v>149.42287626863313</v>
      </c>
      <c r="DZ42" s="17">
        <v>28.171628256214696</v>
      </c>
      <c r="EA42" s="17">
        <v>1672.7434998091314</v>
      </c>
      <c r="EB42" s="19"/>
      <c r="EC42" s="20" t="s">
        <v>59</v>
      </c>
      <c r="ED42" s="17">
        <v>18418.864159185796</v>
      </c>
      <c r="EE42" s="17">
        <v>1422.1606800523853</v>
      </c>
      <c r="EF42" s="17">
        <v>58.764510499804246</v>
      </c>
      <c r="EG42" s="17">
        <v>6.4202540748458317</v>
      </c>
      <c r="EH42" s="17">
        <v>19906.209603812837</v>
      </c>
    </row>
    <row r="43" spans="1:138" ht="10.199999999999999" customHeight="1" x14ac:dyDescent="0.25"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>
        <f>AB42+AG42</f>
        <v>32420.13546276699</v>
      </c>
      <c r="AJ43" s="17">
        <f>AJ42*4%</f>
        <v>1057.9628660512574</v>
      </c>
      <c r="AK43" s="17">
        <f t="shared" ref="AK43:AM43" si="52">AK42*4%</f>
        <v>196.56584418412146</v>
      </c>
      <c r="AL43" s="17">
        <f t="shared" si="52"/>
        <v>28.433641990275738</v>
      </c>
      <c r="AM43" s="17">
        <f t="shared" si="52"/>
        <v>13.843066285024801</v>
      </c>
      <c r="AN43" s="51">
        <f>O42</f>
        <v>32420.13546276699</v>
      </c>
      <c r="AQ43" s="22"/>
      <c r="AR43" s="22"/>
      <c r="AU43" s="51">
        <f>AB42</f>
        <v>10841.182359145023</v>
      </c>
      <c r="AX43" s="22"/>
      <c r="AY43" s="22"/>
      <c r="BB43" s="51">
        <f>AG42</f>
        <v>21578.953103621967</v>
      </c>
      <c r="BE43" s="22"/>
      <c r="BF43" s="22"/>
      <c r="BL43" s="22"/>
      <c r="BM43" s="22"/>
      <c r="BS43" s="22"/>
      <c r="BT43" s="22"/>
      <c r="BZ43" s="22"/>
      <c r="CA43" s="22"/>
      <c r="CG43" s="22"/>
      <c r="CH43" s="22"/>
      <c r="CN43" s="22"/>
      <c r="CO43" s="22"/>
      <c r="CU43" s="22"/>
      <c r="CV43" s="22"/>
      <c r="DB43" s="22"/>
      <c r="DC43" s="22"/>
      <c r="DI43" s="22"/>
      <c r="DJ43" s="22"/>
      <c r="DP43" s="22"/>
      <c r="DQ43" s="22"/>
      <c r="DW43" s="22"/>
      <c r="DX43" s="22"/>
      <c r="ED43" s="22"/>
      <c r="EE43" s="22"/>
    </row>
    <row r="44" spans="1:138" ht="10.199999999999999" customHeight="1" x14ac:dyDescent="0.25"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E44" s="23"/>
      <c r="AF44" s="23"/>
      <c r="AG44" s="23"/>
    </row>
    <row r="46" spans="1:138" ht="10.199999999999999" customHeight="1" x14ac:dyDescent="0.25">
      <c r="AN46" s="22"/>
      <c r="AU46" s="22"/>
      <c r="BB46" s="22"/>
      <c r="BI46" s="22"/>
      <c r="BP46" s="22"/>
      <c r="BW46" s="22"/>
      <c r="CD46" s="22"/>
      <c r="CK46" s="22"/>
      <c r="CR46" s="22"/>
      <c r="CY46" s="22"/>
      <c r="DF46" s="22"/>
      <c r="DM46" s="22"/>
      <c r="DT46" s="22"/>
      <c r="EA46" s="22"/>
      <c r="EH46" s="22"/>
    </row>
    <row r="47" spans="1:138" ht="10.199999999999999" customHeight="1" x14ac:dyDescent="0.25">
      <c r="B47" s="18" t="str">
        <f>A1</f>
        <v>Tabel 1 Jumlah Unit Usaha Aktif berdasarkan Jenis Kegiatan</v>
      </c>
      <c r="AN47" s="22"/>
      <c r="AU47" s="22"/>
      <c r="BB47" s="22"/>
      <c r="BI47" s="22"/>
      <c r="BP47" s="22"/>
      <c r="BW47" s="22"/>
      <c r="CD47" s="22"/>
      <c r="CK47" s="22"/>
      <c r="CR47" s="22"/>
      <c r="CY47" s="22"/>
      <c r="DF47" s="22"/>
      <c r="DM47" s="22"/>
      <c r="DT47" s="22"/>
      <c r="EA47" s="22"/>
      <c r="EH47" s="22"/>
    </row>
    <row r="48" spans="1:138" x14ac:dyDescent="0.25">
      <c r="B48" s="18" t="str">
        <f>P1</f>
        <v>Tabel 2 Jumlah Unit Usaha Aktif berdasarkan Jenis Kegiatan Pengolahan</v>
      </c>
    </row>
    <row r="49" spans="2:2" x14ac:dyDescent="0.25">
      <c r="B49" s="18" t="str">
        <f>AC1</f>
        <v>Tabel 3 Jumlah Unit Usaha Aktif berdasarkan Jenis Kegiatan Pemasaran</v>
      </c>
    </row>
    <row r="50" spans="2:2" x14ac:dyDescent="0.25">
      <c r="B50" s="18" t="str">
        <f>AH1</f>
        <v xml:space="preserve">Tabel 4 Jumlah Unit Usaha Aktif berdasarkan Skala Usaha </v>
      </c>
    </row>
    <row r="51" spans="2:2" x14ac:dyDescent="0.25">
      <c r="B51" s="18" t="str">
        <f>AO1</f>
        <v>Tabel 5 Jumlah Unit Usaha Aktif berdasarkan Skala Usaha pada Kegiatan Pengolahan</v>
      </c>
    </row>
    <row r="52" spans="2:2" x14ac:dyDescent="0.25">
      <c r="B52" s="18" t="str">
        <f>AV1</f>
        <v>Tabel 6 Jumlah Unit Usaha Aktif berdasarkan Skala Usaha pada Kegiatan Pemasaran</v>
      </c>
    </row>
    <row r="53" spans="2:2" x14ac:dyDescent="0.25">
      <c r="B53" s="18" t="str">
        <f>BC1</f>
        <v xml:space="preserve">Tabel 7 Jumlah Unit Usaha Aktif berdasarkan Skala Usaha pada Jenis Kegiatan Fermentasi </v>
      </c>
    </row>
    <row r="54" spans="2:2" x14ac:dyDescent="0.25">
      <c r="B54" s="18" t="str">
        <f>BJ1</f>
        <v xml:space="preserve">Tabel 8 Jumlah Unit Usaha Aktif berdasarkan Skala Usaha pada Jenis Kegiatan Pelumatan Daging Ikan </v>
      </c>
    </row>
    <row r="55" spans="2:2" x14ac:dyDescent="0.25">
      <c r="B55" s="18" t="str">
        <f>BQ1</f>
        <v xml:space="preserve">Tabel 9 Jumlah Unit Usaha Aktif berdasarkan Skala Usaha pada Jenis Kegiatan Pembekuan </v>
      </c>
    </row>
    <row r="56" spans="2:2" x14ac:dyDescent="0.25">
      <c r="B56" s="18" t="str">
        <f>BX1</f>
        <v xml:space="preserve">Tabel 10 Jumlah Unit Usaha Aktif berdasarkan Skala Usaha pada Jenis Kegiatan Pemindangan </v>
      </c>
    </row>
    <row r="57" spans="2:2" x14ac:dyDescent="0.25">
      <c r="B57" s="18" t="str">
        <f>CE1</f>
        <v xml:space="preserve">Tabel 11 Jumlah Unit Usaha Aktif berdasarkan Skala Usaha pada Jenis Kegiatan Penanganan Produk Segar  </v>
      </c>
    </row>
    <row r="58" spans="2:2" x14ac:dyDescent="0.25">
      <c r="B58" s="18" t="str">
        <f>CL1</f>
        <v xml:space="preserve">Tabel 12 Jumlah Unit Usaha Aktif berdasarkan Skala Usaha pada Jenis Kegiatan Pengalengan </v>
      </c>
    </row>
    <row r="59" spans="2:2" x14ac:dyDescent="0.25">
      <c r="B59" s="18" t="str">
        <f>CS1</f>
        <v xml:space="preserve">Tabel 13 Jumlah Unit Usaha Aktif berdasarkan Skala Usaha pada Jenis Kegiatan Pengasapan / Pemanggangan </v>
      </c>
    </row>
    <row r="60" spans="2:2" x14ac:dyDescent="0.25">
      <c r="B60" s="18" t="str">
        <f>CZ1</f>
        <v xml:space="preserve">Tabel 14 Jumlah Unit Usaha Aktif berdasarkan Skala Usaha pada Jenis Kegiatan Penggaraman / Pengeringan </v>
      </c>
    </row>
    <row r="61" spans="2:2" x14ac:dyDescent="0.25">
      <c r="B61" s="18" t="str">
        <f>DG1</f>
        <v xml:space="preserve">Tabel 15 Jumlah Unit Usaha Aktif berdasarkan Skala Usaha pada Jenis Kegiatan Pereduksian/Ekstraksi </v>
      </c>
    </row>
    <row r="62" spans="2:2" x14ac:dyDescent="0.25">
      <c r="B62" s="18" t="str">
        <f>DN1</f>
        <v xml:space="preserve">Tabel 16 Jumlah Unit Usaha Aktif berdasarkan Skala Usaha pada Jenis Kegiatan Pengolahan Lainnya </v>
      </c>
    </row>
    <row r="63" spans="2:2" x14ac:dyDescent="0.25">
      <c r="B63" s="18" t="str">
        <f>DU1</f>
        <v xml:space="preserve">Tabel 17 Jumlah Unit Usaha Aktif berdasarkan Skala Usaha pada Jenis Kegiatan Pengumpul/Pedagang Besar/Distributor </v>
      </c>
    </row>
    <row r="64" spans="2:2" x14ac:dyDescent="0.25">
      <c r="B64" s="18" t="str">
        <f>EB1</f>
        <v xml:space="preserve">Tabel 18 Jumlah Unit Usaha Aktif berdasarkan Skala Usaha pada Jenis Kegiatan Pengecer </v>
      </c>
    </row>
    <row r="67" spans="1:4" s="21" customFormat="1" x14ac:dyDescent="0.25">
      <c r="A67" s="67" t="s">
        <v>0</v>
      </c>
      <c r="B67" s="67" t="s">
        <v>4</v>
      </c>
      <c r="C67" s="77" t="s">
        <v>443</v>
      </c>
    </row>
    <row r="68" spans="1:4" x14ac:dyDescent="0.25">
      <c r="A68" s="72">
        <v>1</v>
      </c>
      <c r="B68" s="69" t="s">
        <v>9</v>
      </c>
      <c r="C68" s="34">
        <f>C42</f>
        <v>269.27677056851542</v>
      </c>
    </row>
    <row r="69" spans="1:4" x14ac:dyDescent="0.25">
      <c r="A69" s="72">
        <v>2</v>
      </c>
      <c r="B69" s="69" t="s">
        <v>10</v>
      </c>
      <c r="C69" s="34">
        <f>D42</f>
        <v>689.88159633376654</v>
      </c>
    </row>
    <row r="70" spans="1:4" x14ac:dyDescent="0.25">
      <c r="A70" s="72">
        <v>3</v>
      </c>
      <c r="B70" s="69" t="s">
        <v>11</v>
      </c>
      <c r="C70" s="34">
        <f>E42</f>
        <v>167.58290886797323</v>
      </c>
    </row>
    <row r="71" spans="1:4" x14ac:dyDescent="0.25">
      <c r="A71" s="72">
        <v>4</v>
      </c>
      <c r="B71" s="69" t="s">
        <v>12</v>
      </c>
      <c r="C71" s="34">
        <f>F42</f>
        <v>2047.362909080689</v>
      </c>
    </row>
    <row r="72" spans="1:4" x14ac:dyDescent="0.25">
      <c r="A72" s="72">
        <v>5</v>
      </c>
      <c r="B72" s="69" t="s">
        <v>13</v>
      </c>
      <c r="C72" s="34">
        <f>G42</f>
        <v>606.75367579220881</v>
      </c>
    </row>
    <row r="73" spans="1:4" x14ac:dyDescent="0.25">
      <c r="A73" s="72">
        <v>6</v>
      </c>
      <c r="B73" s="69" t="s">
        <v>14</v>
      </c>
      <c r="C73" s="34">
        <f>H42</f>
        <v>21.264033311047932</v>
      </c>
    </row>
    <row r="74" spans="1:4" x14ac:dyDescent="0.25">
      <c r="A74" s="72">
        <v>7</v>
      </c>
      <c r="B74" s="69" t="s">
        <v>15</v>
      </c>
      <c r="C74" s="34">
        <f>I42</f>
        <v>2479.9703484818347</v>
      </c>
    </row>
    <row r="75" spans="1:4" x14ac:dyDescent="0.25">
      <c r="A75" s="72">
        <v>8</v>
      </c>
      <c r="B75" s="69" t="s">
        <v>19</v>
      </c>
      <c r="C75" s="34">
        <f>J42</f>
        <v>545.34213046313391</v>
      </c>
    </row>
    <row r="76" spans="1:4" x14ac:dyDescent="0.25">
      <c r="A76" s="72">
        <v>9</v>
      </c>
      <c r="B76" s="69" t="s">
        <v>17</v>
      </c>
      <c r="C76" s="34">
        <f>K42</f>
        <v>1890.5425694515109</v>
      </c>
    </row>
    <row r="77" spans="1:4" x14ac:dyDescent="0.25">
      <c r="A77" s="72">
        <v>10</v>
      </c>
      <c r="B77" s="69" t="s">
        <v>18</v>
      </c>
      <c r="C77" s="34">
        <f>L42</f>
        <v>2123.2054167943406</v>
      </c>
    </row>
    <row r="78" spans="1:4" x14ac:dyDescent="0.25">
      <c r="A78" s="72">
        <v>11</v>
      </c>
      <c r="B78" s="69" t="s">
        <v>20</v>
      </c>
      <c r="C78" s="34">
        <f>M42</f>
        <v>19906.209603812837</v>
      </c>
    </row>
    <row r="79" spans="1:4" x14ac:dyDescent="0.25">
      <c r="A79" s="72">
        <v>12</v>
      </c>
      <c r="B79" s="69" t="s">
        <v>16</v>
      </c>
      <c r="C79" s="34">
        <f>N42</f>
        <v>1672.7434998091314</v>
      </c>
    </row>
    <row r="80" spans="1:4" x14ac:dyDescent="0.25">
      <c r="A80" s="72"/>
      <c r="B80" s="69" t="s">
        <v>400</v>
      </c>
      <c r="C80" s="34">
        <f>O42</f>
        <v>32420.13546276699</v>
      </c>
      <c r="D80" s="51">
        <f>SUM(C68:C79)</f>
        <v>32420.13546276699</v>
      </c>
    </row>
    <row r="81" spans="1:4" x14ac:dyDescent="0.25">
      <c r="A81" s="71"/>
      <c r="B81" s="66"/>
      <c r="C81" s="36"/>
    </row>
    <row r="82" spans="1:4" x14ac:dyDescent="0.25">
      <c r="A82" s="75"/>
      <c r="B82" s="75"/>
      <c r="C82" s="75"/>
    </row>
    <row r="83" spans="1:4" s="21" customFormat="1" x14ac:dyDescent="0.25">
      <c r="A83" s="67" t="s">
        <v>0</v>
      </c>
      <c r="B83" s="67" t="s">
        <v>2</v>
      </c>
      <c r="C83" s="77" t="s">
        <v>443</v>
      </c>
    </row>
    <row r="84" spans="1:4" x14ac:dyDescent="0.25">
      <c r="A84" s="72">
        <v>1</v>
      </c>
      <c r="B84" s="69" t="s">
        <v>5</v>
      </c>
      <c r="C84" s="34">
        <f>AJ42</f>
        <v>26449.071651281432</v>
      </c>
    </row>
    <row r="85" spans="1:4" x14ac:dyDescent="0.25">
      <c r="A85" s="72">
        <v>2</v>
      </c>
      <c r="B85" s="69" t="s">
        <v>6</v>
      </c>
      <c r="C85" s="34">
        <f>AK42</f>
        <v>4914.1461046030363</v>
      </c>
    </row>
    <row r="86" spans="1:4" x14ac:dyDescent="0.25">
      <c r="A86" s="72">
        <v>3</v>
      </c>
      <c r="B86" s="69" t="s">
        <v>7</v>
      </c>
      <c r="C86" s="34">
        <f>AL42</f>
        <v>710.84104975689343</v>
      </c>
    </row>
    <row r="87" spans="1:4" x14ac:dyDescent="0.25">
      <c r="A87" s="72">
        <v>4</v>
      </c>
      <c r="B87" s="69" t="s">
        <v>8</v>
      </c>
      <c r="C87" s="34">
        <f>AM42</f>
        <v>346.07665712561999</v>
      </c>
    </row>
    <row r="88" spans="1:4" x14ac:dyDescent="0.25">
      <c r="A88" s="72"/>
      <c r="B88" s="69" t="s">
        <v>400</v>
      </c>
      <c r="C88" s="34">
        <f>AN42</f>
        <v>32420.135462766983</v>
      </c>
      <c r="D88" s="51">
        <f>SUM(C84:C87)</f>
        <v>32420.135462766986</v>
      </c>
    </row>
    <row r="89" spans="1:4" x14ac:dyDescent="0.25">
      <c r="A89" s="71"/>
      <c r="B89" s="66"/>
      <c r="C89" s="66"/>
      <c r="D89" s="66"/>
    </row>
    <row r="91" spans="1:4" s="79" customFormat="1" x14ac:dyDescent="0.3">
      <c r="A91" s="84" t="s">
        <v>0</v>
      </c>
      <c r="B91" s="84" t="s">
        <v>60</v>
      </c>
      <c r="C91" s="77" t="s">
        <v>443</v>
      </c>
    </row>
    <row r="92" spans="1:4" x14ac:dyDescent="0.25">
      <c r="A92" s="72">
        <v>1</v>
      </c>
      <c r="B92" s="69" t="s">
        <v>401</v>
      </c>
      <c r="C92" s="34">
        <f>O4</f>
        <v>957.93566808278365</v>
      </c>
    </row>
    <row r="93" spans="1:4" x14ac:dyDescent="0.25">
      <c r="A93" s="72">
        <v>2</v>
      </c>
      <c r="B93" s="69" t="s">
        <v>402</v>
      </c>
      <c r="C93" s="34">
        <f t="shared" ref="C93:C120" si="53">O5</f>
        <v>967.53926213662714</v>
      </c>
    </row>
    <row r="94" spans="1:4" x14ac:dyDescent="0.25">
      <c r="A94" s="72">
        <v>3</v>
      </c>
      <c r="B94" s="69" t="s">
        <v>403</v>
      </c>
      <c r="C94" s="34">
        <f t="shared" si="53"/>
        <v>1329.5191411729268</v>
      </c>
    </row>
    <row r="95" spans="1:4" x14ac:dyDescent="0.25">
      <c r="A95" s="72">
        <v>4</v>
      </c>
      <c r="B95" s="69" t="s">
        <v>404</v>
      </c>
      <c r="C95" s="34">
        <f t="shared" si="53"/>
        <v>1164.7052296371248</v>
      </c>
    </row>
    <row r="96" spans="1:4" x14ac:dyDescent="0.25">
      <c r="A96" s="72">
        <v>5</v>
      </c>
      <c r="B96" s="69" t="s">
        <v>405</v>
      </c>
      <c r="C96" s="34">
        <f t="shared" si="53"/>
        <v>618.46345457463849</v>
      </c>
    </row>
    <row r="97" spans="1:3" x14ac:dyDescent="0.25">
      <c r="A97" s="72">
        <v>6</v>
      </c>
      <c r="B97" s="69" t="s">
        <v>406</v>
      </c>
      <c r="C97" s="34">
        <f t="shared" si="53"/>
        <v>1299.355364399592</v>
      </c>
    </row>
    <row r="98" spans="1:3" x14ac:dyDescent="0.25">
      <c r="A98" s="72">
        <v>7</v>
      </c>
      <c r="B98" s="69" t="s">
        <v>407</v>
      </c>
      <c r="C98" s="34">
        <f t="shared" si="53"/>
        <v>559.04861850362602</v>
      </c>
    </row>
    <row r="99" spans="1:3" x14ac:dyDescent="0.25">
      <c r="A99" s="72">
        <v>8</v>
      </c>
      <c r="B99" s="69" t="s">
        <v>408</v>
      </c>
      <c r="C99" s="34">
        <f t="shared" si="53"/>
        <v>528.65326228960532</v>
      </c>
    </row>
    <row r="100" spans="1:3" x14ac:dyDescent="0.25">
      <c r="A100" s="72">
        <v>9</v>
      </c>
      <c r="B100" s="69" t="s">
        <v>409</v>
      </c>
      <c r="C100" s="34">
        <f t="shared" si="53"/>
        <v>914.38865652721222</v>
      </c>
    </row>
    <row r="101" spans="1:3" x14ac:dyDescent="0.25">
      <c r="A101" s="72">
        <v>10</v>
      </c>
      <c r="B101" s="69" t="s">
        <v>410</v>
      </c>
      <c r="C101" s="34">
        <f t="shared" si="53"/>
        <v>2096.1771374450095</v>
      </c>
    </row>
    <row r="102" spans="1:3" x14ac:dyDescent="0.25">
      <c r="A102" s="72">
        <v>11</v>
      </c>
      <c r="B102" s="69" t="s">
        <v>411</v>
      </c>
      <c r="C102" s="34">
        <f t="shared" si="53"/>
        <v>905.44733952537354</v>
      </c>
    </row>
    <row r="103" spans="1:3" x14ac:dyDescent="0.25">
      <c r="A103" s="72">
        <v>12</v>
      </c>
      <c r="B103" s="69" t="s">
        <v>412</v>
      </c>
      <c r="C103" s="34">
        <f t="shared" si="53"/>
        <v>903.91462431554874</v>
      </c>
    </row>
    <row r="104" spans="1:3" x14ac:dyDescent="0.25">
      <c r="A104" s="72">
        <v>13</v>
      </c>
      <c r="B104" s="69" t="s">
        <v>413</v>
      </c>
      <c r="C104" s="34">
        <f t="shared" si="53"/>
        <v>1331.3804518003205</v>
      </c>
    </row>
    <row r="105" spans="1:3" x14ac:dyDescent="0.25">
      <c r="A105" s="72">
        <v>14</v>
      </c>
      <c r="B105" s="69" t="s">
        <v>414</v>
      </c>
      <c r="C105" s="34">
        <f t="shared" si="53"/>
        <v>305.49290355000016</v>
      </c>
    </row>
    <row r="106" spans="1:3" x14ac:dyDescent="0.25">
      <c r="A106" s="72">
        <v>15</v>
      </c>
      <c r="B106" s="69" t="s">
        <v>415</v>
      </c>
      <c r="C106" s="34">
        <f t="shared" si="53"/>
        <v>755.47117567110809</v>
      </c>
    </row>
    <row r="107" spans="1:3" x14ac:dyDescent="0.25">
      <c r="A107" s="72">
        <v>16</v>
      </c>
      <c r="B107" s="69" t="s">
        <v>416</v>
      </c>
      <c r="C107" s="34">
        <f t="shared" si="53"/>
        <v>439.33760408643025</v>
      </c>
    </row>
    <row r="108" spans="1:3" x14ac:dyDescent="0.25">
      <c r="A108" s="72">
        <v>17</v>
      </c>
      <c r="B108" s="69" t="s">
        <v>417</v>
      </c>
      <c r="C108" s="34">
        <f t="shared" si="53"/>
        <v>643.35575421319368</v>
      </c>
    </row>
    <row r="109" spans="1:3" x14ac:dyDescent="0.25">
      <c r="A109" s="72">
        <v>18</v>
      </c>
      <c r="B109" s="69" t="s">
        <v>418</v>
      </c>
      <c r="C109" s="34">
        <f t="shared" si="53"/>
        <v>160.47238352155642</v>
      </c>
    </row>
    <row r="110" spans="1:3" x14ac:dyDescent="0.25">
      <c r="A110" s="72">
        <v>19</v>
      </c>
      <c r="B110" s="69" t="s">
        <v>419</v>
      </c>
      <c r="C110" s="34">
        <f t="shared" si="53"/>
        <v>168.62852171675144</v>
      </c>
    </row>
    <row r="111" spans="1:3" x14ac:dyDescent="0.25">
      <c r="A111" s="72">
        <v>20</v>
      </c>
      <c r="B111" s="69" t="s">
        <v>420</v>
      </c>
      <c r="C111" s="34">
        <f t="shared" si="53"/>
        <v>189.28852097043335</v>
      </c>
    </row>
    <row r="112" spans="1:3" x14ac:dyDescent="0.25">
      <c r="A112" s="72">
        <v>21</v>
      </c>
      <c r="B112" s="69" t="s">
        <v>421</v>
      </c>
      <c r="C112" s="34">
        <f t="shared" si="53"/>
        <v>265.03689436650177</v>
      </c>
    </row>
    <row r="113" spans="1:3" x14ac:dyDescent="0.25">
      <c r="A113" s="72">
        <v>22</v>
      </c>
      <c r="B113" s="69" t="s">
        <v>422</v>
      </c>
      <c r="C113" s="34">
        <f t="shared" si="53"/>
        <v>882.16317490824611</v>
      </c>
    </row>
    <row r="114" spans="1:3" x14ac:dyDescent="0.25">
      <c r="A114" s="72">
        <v>23</v>
      </c>
      <c r="B114" s="69" t="s">
        <v>423</v>
      </c>
      <c r="C114" s="34">
        <f t="shared" si="53"/>
        <v>1498.7428646964563</v>
      </c>
    </row>
    <row r="115" spans="1:3" x14ac:dyDescent="0.25">
      <c r="A115" s="72">
        <v>24</v>
      </c>
      <c r="B115" s="69" t="s">
        <v>424</v>
      </c>
      <c r="C115" s="34">
        <f t="shared" si="53"/>
        <v>1671.6562319325583</v>
      </c>
    </row>
    <row r="116" spans="1:3" x14ac:dyDescent="0.25">
      <c r="A116" s="72">
        <v>25</v>
      </c>
      <c r="B116" s="69" t="s">
        <v>425</v>
      </c>
      <c r="C116" s="34">
        <f t="shared" si="53"/>
        <v>757.76848345921394</v>
      </c>
    </row>
    <row r="117" spans="1:3" x14ac:dyDescent="0.25">
      <c r="A117" s="72">
        <v>26</v>
      </c>
      <c r="B117" s="69" t="s">
        <v>426</v>
      </c>
      <c r="C117" s="34">
        <f t="shared" si="53"/>
        <v>1906.0150681801711</v>
      </c>
    </row>
    <row r="118" spans="1:3" x14ac:dyDescent="0.25">
      <c r="A118" s="72">
        <v>27</v>
      </c>
      <c r="B118" s="69" t="s">
        <v>427</v>
      </c>
      <c r="C118" s="34">
        <f t="shared" si="53"/>
        <v>1452.632892597785</v>
      </c>
    </row>
    <row r="119" spans="1:3" x14ac:dyDescent="0.25">
      <c r="A119" s="72">
        <v>28</v>
      </c>
      <c r="B119" s="69" t="s">
        <v>428</v>
      </c>
      <c r="C119" s="34">
        <f t="shared" si="53"/>
        <v>1939.9411357072629</v>
      </c>
    </row>
    <row r="120" spans="1:3" x14ac:dyDescent="0.25">
      <c r="A120" s="72">
        <v>29</v>
      </c>
      <c r="B120" s="69" t="s">
        <v>429</v>
      </c>
      <c r="C120" s="34">
        <f t="shared" si="53"/>
        <v>585.97265580564488</v>
      </c>
    </row>
    <row r="121" spans="1:3" x14ac:dyDescent="0.25">
      <c r="A121" s="72">
        <v>30</v>
      </c>
      <c r="B121" s="69" t="s">
        <v>430</v>
      </c>
      <c r="C121" s="34">
        <f>O33</f>
        <v>306.47631054397368</v>
      </c>
    </row>
    <row r="122" spans="1:3" x14ac:dyDescent="0.25">
      <c r="A122" s="72">
        <v>31</v>
      </c>
      <c r="B122" s="69" t="s">
        <v>431</v>
      </c>
      <c r="C122" s="34">
        <f t="shared" ref="C122:C129" si="54">O34</f>
        <v>170.29220198369353</v>
      </c>
    </row>
    <row r="123" spans="1:3" x14ac:dyDescent="0.25">
      <c r="A123" s="72">
        <v>32</v>
      </c>
      <c r="B123" s="69" t="s">
        <v>432</v>
      </c>
      <c r="C123" s="34">
        <f t="shared" si="54"/>
        <v>232.96441084915381</v>
      </c>
    </row>
    <row r="124" spans="1:3" x14ac:dyDescent="0.25">
      <c r="A124" s="72">
        <v>33</v>
      </c>
      <c r="B124" s="69" t="s">
        <v>433</v>
      </c>
      <c r="C124" s="34">
        <f t="shared" si="54"/>
        <v>995.2579550551352</v>
      </c>
    </row>
    <row r="125" spans="1:3" x14ac:dyDescent="0.25">
      <c r="A125" s="72">
        <v>34</v>
      </c>
      <c r="B125" s="69" t="s">
        <v>434</v>
      </c>
      <c r="C125" s="34">
        <f t="shared" si="54"/>
        <v>806.80874995585361</v>
      </c>
    </row>
    <row r="126" spans="1:3" x14ac:dyDescent="0.25">
      <c r="A126" s="72">
        <v>35</v>
      </c>
      <c r="B126" s="69" t="s">
        <v>435</v>
      </c>
      <c r="C126" s="34">
        <f t="shared" si="54"/>
        <v>122.37293691417752</v>
      </c>
    </row>
    <row r="127" spans="1:3" x14ac:dyDescent="0.25">
      <c r="A127" s="72">
        <v>36</v>
      </c>
      <c r="B127" s="69" t="s">
        <v>436</v>
      </c>
      <c r="C127" s="34">
        <f t="shared" si="54"/>
        <v>221.05455296666474</v>
      </c>
    </row>
    <row r="128" spans="1:3" x14ac:dyDescent="0.25">
      <c r="A128" s="72">
        <v>37</v>
      </c>
      <c r="B128" s="69" t="s">
        <v>437</v>
      </c>
      <c r="C128" s="34">
        <f t="shared" si="54"/>
        <v>2012.71809543981</v>
      </c>
    </row>
    <row r="129" spans="1:3" x14ac:dyDescent="0.25">
      <c r="A129" s="72">
        <v>38</v>
      </c>
      <c r="B129" s="69" t="s">
        <v>438</v>
      </c>
      <c r="C129" s="34">
        <f t="shared" si="54"/>
        <v>353.68577326482409</v>
      </c>
    </row>
    <row r="130" spans="1:3" x14ac:dyDescent="0.25">
      <c r="A130" s="72"/>
      <c r="B130" s="69" t="s">
        <v>400</v>
      </c>
      <c r="C130" s="34">
        <f>SUM(C92:C129)</f>
        <v>32420.13546276699</v>
      </c>
    </row>
  </sheetData>
  <mergeCells count="90">
    <mergeCell ref="AV1:BB1"/>
    <mergeCell ref="A1:O1"/>
    <mergeCell ref="P1:AB1"/>
    <mergeCell ref="AC1:AG1"/>
    <mergeCell ref="AH1:AN1"/>
    <mergeCell ref="AO1:AU1"/>
    <mergeCell ref="EB1:EH1"/>
    <mergeCell ref="BC1:BI1"/>
    <mergeCell ref="BJ1:BP1"/>
    <mergeCell ref="BQ1:BW1"/>
    <mergeCell ref="BX1:CD1"/>
    <mergeCell ref="CE1:CK1"/>
    <mergeCell ref="CL1:CR1"/>
    <mergeCell ref="CS1:CY1"/>
    <mergeCell ref="CZ1:DF1"/>
    <mergeCell ref="DG1:DM1"/>
    <mergeCell ref="DN1:DT1"/>
    <mergeCell ref="DU1:EA1"/>
    <mergeCell ref="AG2:AG3"/>
    <mergeCell ref="A2:A3"/>
    <mergeCell ref="B2:B3"/>
    <mergeCell ref="C2:N2"/>
    <mergeCell ref="O2:O3"/>
    <mergeCell ref="P2:P3"/>
    <mergeCell ref="Q2:Q3"/>
    <mergeCell ref="R2:AA2"/>
    <mergeCell ref="AB2:AB3"/>
    <mergeCell ref="AC2:AC3"/>
    <mergeCell ref="AD2:AD3"/>
    <mergeCell ref="AE2:AF2"/>
    <mergeCell ref="BB2:BB3"/>
    <mergeCell ref="AH2:AH3"/>
    <mergeCell ref="AI2:AI3"/>
    <mergeCell ref="AJ2:AM2"/>
    <mergeCell ref="AN2:AN3"/>
    <mergeCell ref="AO2:AO3"/>
    <mergeCell ref="AP2:AP3"/>
    <mergeCell ref="AQ2:AT2"/>
    <mergeCell ref="AU2:AU3"/>
    <mergeCell ref="AV2:AV3"/>
    <mergeCell ref="AW2:AW3"/>
    <mergeCell ref="AX2:BA2"/>
    <mergeCell ref="BW2:BW3"/>
    <mergeCell ref="BC2:BC3"/>
    <mergeCell ref="BD2:BD3"/>
    <mergeCell ref="BE2:BH2"/>
    <mergeCell ref="BI2:BI3"/>
    <mergeCell ref="BJ2:BJ3"/>
    <mergeCell ref="BK2:BK3"/>
    <mergeCell ref="BL2:BO2"/>
    <mergeCell ref="BP2:BP3"/>
    <mergeCell ref="BQ2:BQ3"/>
    <mergeCell ref="BR2:BR3"/>
    <mergeCell ref="BS2:BV2"/>
    <mergeCell ref="CR2:CR3"/>
    <mergeCell ref="BX2:BX3"/>
    <mergeCell ref="BY2:BY3"/>
    <mergeCell ref="BZ2:CC2"/>
    <mergeCell ref="CD2:CD3"/>
    <mergeCell ref="CE2:CE3"/>
    <mergeCell ref="CF2:CF3"/>
    <mergeCell ref="CG2:CJ2"/>
    <mergeCell ref="CK2:CK3"/>
    <mergeCell ref="CL2:CL3"/>
    <mergeCell ref="CM2:CM3"/>
    <mergeCell ref="CN2:CQ2"/>
    <mergeCell ref="DM2:DM3"/>
    <mergeCell ref="CS2:CS3"/>
    <mergeCell ref="CT2:CT3"/>
    <mergeCell ref="CU2:CX2"/>
    <mergeCell ref="CY2:CY3"/>
    <mergeCell ref="CZ2:CZ3"/>
    <mergeCell ref="DA2:DA3"/>
    <mergeCell ref="DB2:DE2"/>
    <mergeCell ref="DF2:DF3"/>
    <mergeCell ref="DG2:DG3"/>
    <mergeCell ref="DH2:DH3"/>
    <mergeCell ref="DI2:DL2"/>
    <mergeCell ref="EH2:EH3"/>
    <mergeCell ref="DN2:DN3"/>
    <mergeCell ref="DO2:DO3"/>
    <mergeCell ref="DP2:DS2"/>
    <mergeCell ref="DT2:DT3"/>
    <mergeCell ref="DU2:DU3"/>
    <mergeCell ref="DV2:DV3"/>
    <mergeCell ref="DW2:DZ2"/>
    <mergeCell ref="EA2:EA3"/>
    <mergeCell ref="EB2:EB3"/>
    <mergeCell ref="EC2:EC3"/>
    <mergeCell ref="ED2:EG2"/>
  </mergeCells>
  <pageMargins left="0.31496062992125984" right="0" top="0.59055118110236227" bottom="0.35433070866141736" header="0.31496062992125984" footer="0.31496062992125984"/>
  <pageSetup paperSize="9" scale="85" orientation="landscape" useFirstPageNumber="1" r:id="rId1"/>
  <headerFooter>
    <oddFooter>&amp;C&amp;P</oddFooter>
  </headerFooter>
  <colBreaks count="17" manualBreakCount="17">
    <brk id="15" max="1048575" man="1"/>
    <brk id="28" max="1048575" man="1"/>
    <brk id="33" max="1048575" man="1"/>
    <brk id="40" max="1048575" man="1"/>
    <brk id="47" max="1048575" man="1"/>
    <brk id="54" max="1048575" man="1"/>
    <brk id="61" max="1048575" man="1"/>
    <brk id="68" max="1048575" man="1"/>
    <brk id="75" max="1048575" man="1"/>
    <brk id="82" max="1048575" man="1"/>
    <brk id="89" max="1048575" man="1"/>
    <brk id="96" max="1048575" man="1"/>
    <brk id="103" max="1048575" man="1"/>
    <brk id="110" max="1048575" man="1"/>
    <brk id="117" max="1048575" man="1"/>
    <brk id="124" max="1048575" man="1"/>
    <brk id="131" max="4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49D9-D04F-4984-B901-BD0D47C2A67B}">
  <dimension ref="A1:EH130"/>
  <sheetViews>
    <sheetView tabSelected="1" view="pageBreakPreview" zoomScale="70" zoomScaleNormal="40" zoomScaleSheetLayoutView="70" workbookViewId="0">
      <selection activeCell="J47" sqref="J47"/>
    </sheetView>
  </sheetViews>
  <sheetFormatPr defaultColWidth="7.77734375" defaultRowHeight="10.199999999999999" customHeight="1" x14ac:dyDescent="0.2"/>
  <cols>
    <col min="1" max="1" width="4.6640625" style="9" customWidth="1"/>
    <col min="2" max="2" width="16.44140625" style="1" customWidth="1"/>
    <col min="3" max="3" width="9.33203125" style="1" customWidth="1"/>
    <col min="4" max="4" width="10.77734375" style="1" customWidth="1"/>
    <col min="5" max="5" width="9.6640625" style="1" customWidth="1"/>
    <col min="6" max="8" width="10.77734375" style="1" customWidth="1"/>
    <col min="9" max="9" width="11.77734375" style="1" customWidth="1"/>
    <col min="10" max="12" width="10.77734375" style="1" customWidth="1"/>
    <col min="13" max="13" width="8.5546875" style="1" customWidth="1"/>
    <col min="14" max="14" width="11" style="1" customWidth="1"/>
    <col min="15" max="15" width="10.77734375" style="1" customWidth="1"/>
    <col min="16" max="16" width="4.5546875" style="9" customWidth="1"/>
    <col min="17" max="17" width="16.109375" style="1" customWidth="1"/>
    <col min="18" max="28" width="11.88671875" style="1" customWidth="1"/>
    <col min="29" max="29" width="7.77734375" style="9"/>
    <col min="30" max="30" width="44.21875" style="1" customWidth="1"/>
    <col min="31" max="33" width="14.33203125" style="1" customWidth="1"/>
    <col min="34" max="34" width="7.77734375" style="9"/>
    <col min="35" max="35" width="44.21875" style="1" customWidth="1"/>
    <col min="36" max="38" width="10.109375" style="1" customWidth="1"/>
    <col min="39" max="40" width="10.88671875" style="1" customWidth="1"/>
    <col min="41" max="41" width="7.77734375" style="9"/>
    <col min="42" max="42" width="44.21875" style="1" customWidth="1"/>
    <col min="43" max="45" width="10.109375" style="1" customWidth="1"/>
    <col min="46" max="47" width="10.77734375" style="1" customWidth="1"/>
    <col min="48" max="48" width="7.77734375" style="9"/>
    <col min="49" max="49" width="44.21875" style="1" customWidth="1"/>
    <col min="50" max="52" width="10.109375" style="1" customWidth="1"/>
    <col min="53" max="54" width="10.88671875" style="1" customWidth="1"/>
    <col min="55" max="55" width="7.77734375" style="9"/>
    <col min="56" max="56" width="44.21875" style="1" customWidth="1"/>
    <col min="57" max="61" width="10.109375" style="1" customWidth="1"/>
    <col min="62" max="62" width="7.77734375" style="9"/>
    <col min="63" max="63" width="44.21875" style="1" customWidth="1"/>
    <col min="64" max="68" width="10.109375" style="1" customWidth="1"/>
    <col min="69" max="69" width="7.77734375" style="9"/>
    <col min="70" max="70" width="44.21875" style="1" customWidth="1"/>
    <col min="71" max="75" width="10.109375" style="1" customWidth="1"/>
    <col min="76" max="76" width="7.77734375" style="9"/>
    <col min="77" max="77" width="44.21875" style="1" customWidth="1"/>
    <col min="78" max="82" width="10.109375" style="1" customWidth="1"/>
    <col min="83" max="83" width="7.77734375" style="9"/>
    <col min="84" max="84" width="44.21875" style="1" customWidth="1"/>
    <col min="85" max="89" width="10.109375" style="1" customWidth="1"/>
    <col min="90" max="90" width="7.77734375" style="9"/>
    <col min="91" max="91" width="44.21875" style="1" customWidth="1"/>
    <col min="92" max="96" width="10.109375" style="1" customWidth="1"/>
    <col min="97" max="97" width="7.77734375" style="9"/>
    <col min="98" max="98" width="44.21875" style="1" customWidth="1"/>
    <col min="99" max="103" width="10.109375" style="1" customWidth="1"/>
    <col min="104" max="104" width="7.77734375" style="9"/>
    <col min="105" max="105" width="44.21875" style="1" customWidth="1"/>
    <col min="106" max="110" width="10.109375" style="1" customWidth="1"/>
    <col min="111" max="111" width="7.77734375" style="9"/>
    <col min="112" max="112" width="44.21875" style="1" customWidth="1"/>
    <col min="113" max="117" width="10.109375" style="1" customWidth="1"/>
    <col min="118" max="118" width="7.77734375" style="9"/>
    <col min="119" max="119" width="44.21875" style="1" customWidth="1"/>
    <col min="120" max="124" width="10.109375" style="1" customWidth="1"/>
    <col min="125" max="125" width="7.77734375" style="9"/>
    <col min="126" max="126" width="44.21875" style="1" customWidth="1"/>
    <col min="127" max="129" width="10.109375" style="1" customWidth="1"/>
    <col min="130" max="131" width="10.77734375" style="1" customWidth="1"/>
    <col min="132" max="132" width="7.77734375" style="9"/>
    <col min="133" max="133" width="44.21875" style="1" customWidth="1"/>
    <col min="134" max="138" width="10.109375" style="1" customWidth="1"/>
    <col min="139" max="16384" width="7.77734375" style="1"/>
  </cols>
  <sheetData>
    <row r="1" spans="1:138" s="38" customFormat="1" ht="21" customHeight="1" x14ac:dyDescent="0.3">
      <c r="A1" s="97" t="s">
        <v>159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 t="s">
        <v>160</v>
      </c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 t="s">
        <v>161</v>
      </c>
      <c r="AD1" s="97"/>
      <c r="AE1" s="97"/>
      <c r="AF1" s="97"/>
      <c r="AG1" s="97"/>
      <c r="AH1" s="97" t="s">
        <v>162</v>
      </c>
      <c r="AI1" s="97"/>
      <c r="AJ1" s="97"/>
      <c r="AK1" s="97"/>
      <c r="AL1" s="97"/>
      <c r="AM1" s="97"/>
      <c r="AN1" s="97"/>
      <c r="AO1" s="97" t="s">
        <v>163</v>
      </c>
      <c r="AP1" s="97"/>
      <c r="AQ1" s="97"/>
      <c r="AR1" s="97"/>
      <c r="AS1" s="97"/>
      <c r="AT1" s="97"/>
      <c r="AU1" s="97"/>
      <c r="AV1" s="97" t="s">
        <v>164</v>
      </c>
      <c r="AW1" s="97"/>
      <c r="AX1" s="97"/>
      <c r="AY1" s="97"/>
      <c r="AZ1" s="97"/>
      <c r="BA1" s="97"/>
      <c r="BB1" s="97"/>
      <c r="BC1" s="97" t="s">
        <v>165</v>
      </c>
      <c r="BD1" s="97"/>
      <c r="BE1" s="97"/>
      <c r="BF1" s="97"/>
      <c r="BG1" s="97"/>
      <c r="BH1" s="97"/>
      <c r="BI1" s="97"/>
      <c r="BJ1" s="97" t="s">
        <v>166</v>
      </c>
      <c r="BK1" s="97"/>
      <c r="BL1" s="97"/>
      <c r="BM1" s="97"/>
      <c r="BN1" s="97"/>
      <c r="BO1" s="97"/>
      <c r="BP1" s="97"/>
      <c r="BQ1" s="97" t="s">
        <v>167</v>
      </c>
      <c r="BR1" s="97"/>
      <c r="BS1" s="97"/>
      <c r="BT1" s="97"/>
      <c r="BU1" s="97"/>
      <c r="BV1" s="97"/>
      <c r="BW1" s="97"/>
      <c r="BX1" s="97" t="s">
        <v>168</v>
      </c>
      <c r="BY1" s="97"/>
      <c r="BZ1" s="97"/>
      <c r="CA1" s="97"/>
      <c r="CB1" s="97"/>
      <c r="CC1" s="97"/>
      <c r="CD1" s="97"/>
      <c r="CE1" s="97" t="s">
        <v>169</v>
      </c>
      <c r="CF1" s="97"/>
      <c r="CG1" s="97"/>
      <c r="CH1" s="97"/>
      <c r="CI1" s="97"/>
      <c r="CJ1" s="97"/>
      <c r="CK1" s="97"/>
      <c r="CL1" s="97" t="s">
        <v>170</v>
      </c>
      <c r="CM1" s="97"/>
      <c r="CN1" s="97"/>
      <c r="CO1" s="97"/>
      <c r="CP1" s="97"/>
      <c r="CQ1" s="97"/>
      <c r="CR1" s="97"/>
      <c r="CS1" s="97" t="s">
        <v>171</v>
      </c>
      <c r="CT1" s="97"/>
      <c r="CU1" s="97"/>
      <c r="CV1" s="97"/>
      <c r="CW1" s="97"/>
      <c r="CX1" s="97"/>
      <c r="CY1" s="97"/>
      <c r="CZ1" s="97" t="s">
        <v>172</v>
      </c>
      <c r="DA1" s="97"/>
      <c r="DB1" s="97"/>
      <c r="DC1" s="97"/>
      <c r="DD1" s="97"/>
      <c r="DE1" s="97"/>
      <c r="DF1" s="97"/>
      <c r="DG1" s="97" t="s">
        <v>173</v>
      </c>
      <c r="DH1" s="97"/>
      <c r="DI1" s="97"/>
      <c r="DJ1" s="97"/>
      <c r="DK1" s="97"/>
      <c r="DL1" s="97"/>
      <c r="DM1" s="97"/>
      <c r="DN1" s="97" t="s">
        <v>174</v>
      </c>
      <c r="DO1" s="97"/>
      <c r="DP1" s="97"/>
      <c r="DQ1" s="97"/>
      <c r="DR1" s="97"/>
      <c r="DS1" s="97"/>
      <c r="DT1" s="97"/>
      <c r="DU1" s="97" t="s">
        <v>175</v>
      </c>
      <c r="DV1" s="97"/>
      <c r="DW1" s="97"/>
      <c r="DX1" s="97"/>
      <c r="DY1" s="97"/>
      <c r="DZ1" s="97"/>
      <c r="EA1" s="97"/>
      <c r="EB1" s="97" t="s">
        <v>176</v>
      </c>
      <c r="EC1" s="97"/>
      <c r="ED1" s="97"/>
      <c r="EE1" s="97"/>
      <c r="EF1" s="97"/>
      <c r="EG1" s="97"/>
      <c r="EH1" s="97"/>
    </row>
    <row r="2" spans="1:138" s="10" customFormat="1" ht="21" customHeight="1" x14ac:dyDescent="0.3">
      <c r="A2" s="98" t="s">
        <v>0</v>
      </c>
      <c r="B2" s="98" t="s">
        <v>1</v>
      </c>
      <c r="C2" s="98" t="s">
        <v>4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 t="s">
        <v>3</v>
      </c>
      <c r="P2" s="98" t="s">
        <v>0</v>
      </c>
      <c r="Q2" s="98" t="s">
        <v>1</v>
      </c>
      <c r="R2" s="98" t="s">
        <v>4</v>
      </c>
      <c r="S2" s="98"/>
      <c r="T2" s="98"/>
      <c r="U2" s="98"/>
      <c r="V2" s="98"/>
      <c r="W2" s="98"/>
      <c r="X2" s="98"/>
      <c r="Y2" s="98"/>
      <c r="Z2" s="98"/>
      <c r="AA2" s="98"/>
      <c r="AB2" s="98" t="s">
        <v>3</v>
      </c>
      <c r="AC2" s="98" t="s">
        <v>0</v>
      </c>
      <c r="AD2" s="98" t="s">
        <v>1</v>
      </c>
      <c r="AE2" s="98" t="s">
        <v>4</v>
      </c>
      <c r="AF2" s="98"/>
      <c r="AG2" s="98" t="s">
        <v>3</v>
      </c>
      <c r="AH2" s="98" t="s">
        <v>0</v>
      </c>
      <c r="AI2" s="98" t="s">
        <v>1</v>
      </c>
      <c r="AJ2" s="98" t="s">
        <v>2</v>
      </c>
      <c r="AK2" s="98"/>
      <c r="AL2" s="98"/>
      <c r="AM2" s="98"/>
      <c r="AN2" s="98" t="s">
        <v>3</v>
      </c>
      <c r="AO2" s="98" t="s">
        <v>0</v>
      </c>
      <c r="AP2" s="98" t="s">
        <v>1</v>
      </c>
      <c r="AQ2" s="98" t="s">
        <v>2</v>
      </c>
      <c r="AR2" s="98"/>
      <c r="AS2" s="98"/>
      <c r="AT2" s="98"/>
      <c r="AU2" s="98" t="s">
        <v>3</v>
      </c>
      <c r="AV2" s="98" t="s">
        <v>0</v>
      </c>
      <c r="AW2" s="98" t="s">
        <v>1</v>
      </c>
      <c r="AX2" s="98" t="s">
        <v>2</v>
      </c>
      <c r="AY2" s="98"/>
      <c r="AZ2" s="98"/>
      <c r="BA2" s="98"/>
      <c r="BB2" s="98" t="s">
        <v>3</v>
      </c>
      <c r="BC2" s="98" t="s">
        <v>0</v>
      </c>
      <c r="BD2" s="98" t="s">
        <v>1</v>
      </c>
      <c r="BE2" s="98" t="s">
        <v>2</v>
      </c>
      <c r="BF2" s="98"/>
      <c r="BG2" s="98"/>
      <c r="BH2" s="98"/>
      <c r="BI2" s="98" t="s">
        <v>3</v>
      </c>
      <c r="BJ2" s="98" t="s">
        <v>0</v>
      </c>
      <c r="BK2" s="98" t="s">
        <v>1</v>
      </c>
      <c r="BL2" s="98" t="s">
        <v>2</v>
      </c>
      <c r="BM2" s="98"/>
      <c r="BN2" s="98"/>
      <c r="BO2" s="98"/>
      <c r="BP2" s="98" t="s">
        <v>3</v>
      </c>
      <c r="BQ2" s="98" t="s">
        <v>0</v>
      </c>
      <c r="BR2" s="98" t="s">
        <v>1</v>
      </c>
      <c r="BS2" s="98" t="s">
        <v>2</v>
      </c>
      <c r="BT2" s="98"/>
      <c r="BU2" s="98"/>
      <c r="BV2" s="98"/>
      <c r="BW2" s="98" t="s">
        <v>3</v>
      </c>
      <c r="BX2" s="98" t="s">
        <v>0</v>
      </c>
      <c r="BY2" s="98" t="s">
        <v>1</v>
      </c>
      <c r="BZ2" s="98" t="s">
        <v>2</v>
      </c>
      <c r="CA2" s="98"/>
      <c r="CB2" s="98"/>
      <c r="CC2" s="98"/>
      <c r="CD2" s="98" t="s">
        <v>3</v>
      </c>
      <c r="CE2" s="98" t="s">
        <v>0</v>
      </c>
      <c r="CF2" s="98" t="s">
        <v>1</v>
      </c>
      <c r="CG2" s="98" t="s">
        <v>2</v>
      </c>
      <c r="CH2" s="98"/>
      <c r="CI2" s="98"/>
      <c r="CJ2" s="98"/>
      <c r="CK2" s="98" t="s">
        <v>3</v>
      </c>
      <c r="CL2" s="98" t="s">
        <v>0</v>
      </c>
      <c r="CM2" s="98" t="s">
        <v>1</v>
      </c>
      <c r="CN2" s="98" t="s">
        <v>2</v>
      </c>
      <c r="CO2" s="98"/>
      <c r="CP2" s="98"/>
      <c r="CQ2" s="98"/>
      <c r="CR2" s="98" t="s">
        <v>3</v>
      </c>
      <c r="CS2" s="98" t="s">
        <v>0</v>
      </c>
      <c r="CT2" s="98" t="s">
        <v>1</v>
      </c>
      <c r="CU2" s="98" t="s">
        <v>2</v>
      </c>
      <c r="CV2" s="98"/>
      <c r="CW2" s="98"/>
      <c r="CX2" s="98"/>
      <c r="CY2" s="98" t="s">
        <v>3</v>
      </c>
      <c r="CZ2" s="98" t="s">
        <v>0</v>
      </c>
      <c r="DA2" s="98" t="s">
        <v>1</v>
      </c>
      <c r="DB2" s="98" t="s">
        <v>2</v>
      </c>
      <c r="DC2" s="98"/>
      <c r="DD2" s="98"/>
      <c r="DE2" s="98"/>
      <c r="DF2" s="98" t="s">
        <v>3</v>
      </c>
      <c r="DG2" s="98" t="s">
        <v>0</v>
      </c>
      <c r="DH2" s="98" t="s">
        <v>1</v>
      </c>
      <c r="DI2" s="98" t="s">
        <v>2</v>
      </c>
      <c r="DJ2" s="98"/>
      <c r="DK2" s="98"/>
      <c r="DL2" s="98"/>
      <c r="DM2" s="98" t="s">
        <v>3</v>
      </c>
      <c r="DN2" s="98" t="s">
        <v>0</v>
      </c>
      <c r="DO2" s="98" t="s">
        <v>1</v>
      </c>
      <c r="DP2" s="98" t="s">
        <v>2</v>
      </c>
      <c r="DQ2" s="98"/>
      <c r="DR2" s="98"/>
      <c r="DS2" s="98"/>
      <c r="DT2" s="98" t="s">
        <v>3</v>
      </c>
      <c r="DU2" s="98" t="s">
        <v>0</v>
      </c>
      <c r="DV2" s="98" t="s">
        <v>1</v>
      </c>
      <c r="DW2" s="98" t="s">
        <v>2</v>
      </c>
      <c r="DX2" s="98"/>
      <c r="DY2" s="98"/>
      <c r="DZ2" s="98"/>
      <c r="EA2" s="98" t="s">
        <v>3</v>
      </c>
      <c r="EB2" s="98" t="s">
        <v>0</v>
      </c>
      <c r="EC2" s="98" t="s">
        <v>1</v>
      </c>
      <c r="ED2" s="98" t="s">
        <v>2</v>
      </c>
      <c r="EE2" s="98"/>
      <c r="EF2" s="98"/>
      <c r="EG2" s="98"/>
      <c r="EH2" s="98" t="s">
        <v>3</v>
      </c>
    </row>
    <row r="3" spans="1:138" s="10" customFormat="1" ht="48.6" customHeight="1" x14ac:dyDescent="0.3">
      <c r="A3" s="98"/>
      <c r="B3" s="98"/>
      <c r="C3" s="11" t="s">
        <v>9</v>
      </c>
      <c r="D3" s="11" t="s">
        <v>10</v>
      </c>
      <c r="E3" s="11" t="s">
        <v>11</v>
      </c>
      <c r="F3" s="11" t="s">
        <v>12</v>
      </c>
      <c r="G3" s="24" t="s">
        <v>13</v>
      </c>
      <c r="H3" s="24" t="s">
        <v>14</v>
      </c>
      <c r="I3" s="24" t="s">
        <v>131</v>
      </c>
      <c r="J3" s="24" t="s">
        <v>132</v>
      </c>
      <c r="K3" s="24" t="s">
        <v>134</v>
      </c>
      <c r="L3" s="24" t="s">
        <v>18</v>
      </c>
      <c r="M3" s="24" t="s">
        <v>19</v>
      </c>
      <c r="N3" s="24" t="s">
        <v>133</v>
      </c>
      <c r="O3" s="98"/>
      <c r="P3" s="98"/>
      <c r="Q3" s="98"/>
      <c r="R3" s="11" t="s">
        <v>9</v>
      </c>
      <c r="S3" s="11" t="s">
        <v>10</v>
      </c>
      <c r="T3" s="11" t="s">
        <v>11</v>
      </c>
      <c r="U3" s="11" t="s">
        <v>12</v>
      </c>
      <c r="V3" s="24" t="s">
        <v>13</v>
      </c>
      <c r="W3" s="24" t="s">
        <v>14</v>
      </c>
      <c r="X3" s="24" t="s">
        <v>131</v>
      </c>
      <c r="Y3" s="24" t="s">
        <v>132</v>
      </c>
      <c r="Z3" s="24" t="s">
        <v>134</v>
      </c>
      <c r="AA3" s="24" t="s">
        <v>18</v>
      </c>
      <c r="AB3" s="98"/>
      <c r="AC3" s="98"/>
      <c r="AD3" s="98"/>
      <c r="AE3" s="24" t="s">
        <v>19</v>
      </c>
      <c r="AF3" s="24" t="s">
        <v>20</v>
      </c>
      <c r="AG3" s="98"/>
      <c r="AH3" s="98"/>
      <c r="AI3" s="98"/>
      <c r="AJ3" s="11" t="s">
        <v>5</v>
      </c>
      <c r="AK3" s="11" t="s">
        <v>6</v>
      </c>
      <c r="AL3" s="11" t="s">
        <v>7</v>
      </c>
      <c r="AM3" s="11" t="s">
        <v>8</v>
      </c>
      <c r="AN3" s="98"/>
      <c r="AO3" s="98"/>
      <c r="AP3" s="98"/>
      <c r="AQ3" s="11" t="s">
        <v>5</v>
      </c>
      <c r="AR3" s="11" t="s">
        <v>6</v>
      </c>
      <c r="AS3" s="11" t="s">
        <v>7</v>
      </c>
      <c r="AT3" s="11" t="s">
        <v>8</v>
      </c>
      <c r="AU3" s="98"/>
      <c r="AV3" s="98"/>
      <c r="AW3" s="98"/>
      <c r="AX3" s="11" t="s">
        <v>5</v>
      </c>
      <c r="AY3" s="11" t="s">
        <v>6</v>
      </c>
      <c r="AZ3" s="11" t="s">
        <v>7</v>
      </c>
      <c r="BA3" s="11" t="s">
        <v>8</v>
      </c>
      <c r="BB3" s="98"/>
      <c r="BC3" s="98"/>
      <c r="BD3" s="98"/>
      <c r="BE3" s="11" t="s">
        <v>5</v>
      </c>
      <c r="BF3" s="11" t="s">
        <v>6</v>
      </c>
      <c r="BG3" s="11" t="s">
        <v>7</v>
      </c>
      <c r="BH3" s="11" t="s">
        <v>8</v>
      </c>
      <c r="BI3" s="98"/>
      <c r="BJ3" s="98"/>
      <c r="BK3" s="98"/>
      <c r="BL3" s="11" t="s">
        <v>5</v>
      </c>
      <c r="BM3" s="11" t="s">
        <v>6</v>
      </c>
      <c r="BN3" s="11" t="s">
        <v>7</v>
      </c>
      <c r="BO3" s="11" t="s">
        <v>8</v>
      </c>
      <c r="BP3" s="98"/>
      <c r="BQ3" s="98"/>
      <c r="BR3" s="98"/>
      <c r="BS3" s="11" t="s">
        <v>5</v>
      </c>
      <c r="BT3" s="11" t="s">
        <v>6</v>
      </c>
      <c r="BU3" s="11" t="s">
        <v>7</v>
      </c>
      <c r="BV3" s="11" t="s">
        <v>8</v>
      </c>
      <c r="BW3" s="98"/>
      <c r="BX3" s="98"/>
      <c r="BY3" s="98"/>
      <c r="BZ3" s="11" t="s">
        <v>5</v>
      </c>
      <c r="CA3" s="11" t="s">
        <v>6</v>
      </c>
      <c r="CB3" s="11" t="s">
        <v>7</v>
      </c>
      <c r="CC3" s="11" t="s">
        <v>8</v>
      </c>
      <c r="CD3" s="98"/>
      <c r="CE3" s="98"/>
      <c r="CF3" s="98"/>
      <c r="CG3" s="11" t="s">
        <v>5</v>
      </c>
      <c r="CH3" s="11" t="s">
        <v>6</v>
      </c>
      <c r="CI3" s="11" t="s">
        <v>7</v>
      </c>
      <c r="CJ3" s="11" t="s">
        <v>8</v>
      </c>
      <c r="CK3" s="98"/>
      <c r="CL3" s="98"/>
      <c r="CM3" s="98"/>
      <c r="CN3" s="11" t="s">
        <v>5</v>
      </c>
      <c r="CO3" s="11" t="s">
        <v>6</v>
      </c>
      <c r="CP3" s="11" t="s">
        <v>7</v>
      </c>
      <c r="CQ3" s="11" t="s">
        <v>8</v>
      </c>
      <c r="CR3" s="98"/>
      <c r="CS3" s="98"/>
      <c r="CT3" s="98"/>
      <c r="CU3" s="11" t="s">
        <v>5</v>
      </c>
      <c r="CV3" s="11" t="s">
        <v>6</v>
      </c>
      <c r="CW3" s="11" t="s">
        <v>7</v>
      </c>
      <c r="CX3" s="11" t="s">
        <v>8</v>
      </c>
      <c r="CY3" s="98"/>
      <c r="CZ3" s="98"/>
      <c r="DA3" s="98"/>
      <c r="DB3" s="11" t="s">
        <v>5</v>
      </c>
      <c r="DC3" s="11" t="s">
        <v>6</v>
      </c>
      <c r="DD3" s="11" t="s">
        <v>7</v>
      </c>
      <c r="DE3" s="11" t="s">
        <v>8</v>
      </c>
      <c r="DF3" s="98"/>
      <c r="DG3" s="98"/>
      <c r="DH3" s="98"/>
      <c r="DI3" s="11" t="s">
        <v>5</v>
      </c>
      <c r="DJ3" s="11" t="s">
        <v>6</v>
      </c>
      <c r="DK3" s="11" t="s">
        <v>7</v>
      </c>
      <c r="DL3" s="11" t="s">
        <v>8</v>
      </c>
      <c r="DM3" s="98"/>
      <c r="DN3" s="98"/>
      <c r="DO3" s="98"/>
      <c r="DP3" s="11" t="s">
        <v>5</v>
      </c>
      <c r="DQ3" s="11" t="s">
        <v>6</v>
      </c>
      <c r="DR3" s="11" t="s">
        <v>7</v>
      </c>
      <c r="DS3" s="11" t="s">
        <v>8</v>
      </c>
      <c r="DT3" s="98"/>
      <c r="DU3" s="98"/>
      <c r="DV3" s="98"/>
      <c r="DW3" s="11" t="s">
        <v>5</v>
      </c>
      <c r="DX3" s="11" t="s">
        <v>6</v>
      </c>
      <c r="DY3" s="11" t="s">
        <v>7</v>
      </c>
      <c r="DZ3" s="11" t="s">
        <v>8</v>
      </c>
      <c r="EA3" s="98"/>
      <c r="EB3" s="98"/>
      <c r="EC3" s="98"/>
      <c r="ED3" s="11" t="s">
        <v>5</v>
      </c>
      <c r="EE3" s="11" t="s">
        <v>6</v>
      </c>
      <c r="EF3" s="11" t="s">
        <v>7</v>
      </c>
      <c r="EG3" s="11" t="s">
        <v>8</v>
      </c>
      <c r="EH3" s="98"/>
    </row>
    <row r="4" spans="1:138" ht="10.199999999999999" customHeight="1" x14ac:dyDescent="0.25">
      <c r="A4" s="7" t="s">
        <v>110</v>
      </c>
      <c r="B4" s="2" t="s">
        <v>38</v>
      </c>
      <c r="C4" s="3">
        <f>BI4</f>
        <v>40019.128214475466</v>
      </c>
      <c r="D4" s="3">
        <f>BP4</f>
        <v>1811718.115965019</v>
      </c>
      <c r="E4" s="3">
        <f>BW4</f>
        <v>2733668.1566247256</v>
      </c>
      <c r="F4" s="3">
        <f>CD4</f>
        <v>13344.480497561261</v>
      </c>
      <c r="G4" s="3">
        <f>CK4</f>
        <v>149341631.19138348</v>
      </c>
      <c r="H4" s="3">
        <f>CR4</f>
        <v>0</v>
      </c>
      <c r="I4" s="3">
        <f>CY4</f>
        <v>17517.567932014692</v>
      </c>
      <c r="J4" s="3">
        <f>DM4</f>
        <v>8403.9889116390732</v>
      </c>
      <c r="K4" s="3">
        <f>DF4</f>
        <v>11569.167820002149</v>
      </c>
      <c r="L4" s="3">
        <f>DT4</f>
        <v>42522.761355949449</v>
      </c>
      <c r="M4" s="3">
        <f>EH4</f>
        <v>63971.377395358446</v>
      </c>
      <c r="N4" s="3">
        <f>EA4</f>
        <v>4303.8454514308078</v>
      </c>
      <c r="O4" s="3">
        <f>SUM(C4:N4)</f>
        <v>154088669.78155166</v>
      </c>
      <c r="P4" s="7" t="s">
        <v>110</v>
      </c>
      <c r="Q4" s="2" t="s">
        <v>38</v>
      </c>
      <c r="R4" s="3">
        <f t="shared" ref="R4:AA4" si="0">C4</f>
        <v>40019.128214475466</v>
      </c>
      <c r="S4" s="3">
        <f t="shared" si="0"/>
        <v>1811718.115965019</v>
      </c>
      <c r="T4" s="3">
        <f t="shared" si="0"/>
        <v>2733668.1566247256</v>
      </c>
      <c r="U4" s="3">
        <f t="shared" si="0"/>
        <v>13344.480497561261</v>
      </c>
      <c r="V4" s="3">
        <f t="shared" si="0"/>
        <v>149341631.19138348</v>
      </c>
      <c r="W4" s="3">
        <f t="shared" si="0"/>
        <v>0</v>
      </c>
      <c r="X4" s="3">
        <f t="shared" si="0"/>
        <v>17517.567932014692</v>
      </c>
      <c r="Y4" s="3">
        <f t="shared" si="0"/>
        <v>8403.9889116390732</v>
      </c>
      <c r="Z4" s="3">
        <f t="shared" si="0"/>
        <v>11569.167820002149</v>
      </c>
      <c r="AA4" s="3">
        <f t="shared" si="0"/>
        <v>42522.761355949449</v>
      </c>
      <c r="AB4" s="3">
        <f>SUM(R4:AA4)</f>
        <v>154020394.55870485</v>
      </c>
      <c r="AC4" s="7" t="s">
        <v>110</v>
      </c>
      <c r="AD4" s="2" t="s">
        <v>38</v>
      </c>
      <c r="AE4" s="3">
        <f>M4</f>
        <v>63971.377395358446</v>
      </c>
      <c r="AF4" s="3">
        <f>N4</f>
        <v>4303.8454514308078</v>
      </c>
      <c r="AG4" s="3">
        <f>SUM(AE4:AF4)</f>
        <v>68275.222846789256</v>
      </c>
      <c r="AH4" s="7" t="s">
        <v>110</v>
      </c>
      <c r="AI4" s="2" t="s">
        <v>38</v>
      </c>
      <c r="AJ4" s="3">
        <f>AQ4+AX4</f>
        <v>152233423.83581331</v>
      </c>
      <c r="AK4" s="3">
        <f t="shared" ref="AK4:AM19" si="1">AR4+AY4</f>
        <v>1717480.3935485117</v>
      </c>
      <c r="AL4" s="3">
        <f t="shared" si="1"/>
        <v>137765.5521898187</v>
      </c>
      <c r="AM4" s="3">
        <f t="shared" si="1"/>
        <v>0</v>
      </c>
      <c r="AN4" s="3">
        <f>SUM(AJ4:AM4)</f>
        <v>154088669.78155166</v>
      </c>
      <c r="AO4" s="7" t="s">
        <v>110</v>
      </c>
      <c r="AP4" s="2" t="s">
        <v>38</v>
      </c>
      <c r="AQ4" s="3">
        <f>BE4+BL4+BS4+BZ4+CG4+CN4+CU4+DB4+DI4+DP4</f>
        <v>152167581.66120893</v>
      </c>
      <c r="AR4" s="3">
        <f t="shared" ref="AR4:AT19" si="2">BF4+BM4+BT4+CA4+CH4+CO4+CV4+DC4+DJ4+DQ4</f>
        <v>1715047.3453061008</v>
      </c>
      <c r="AS4" s="3">
        <f t="shared" si="2"/>
        <v>137765.5521898187</v>
      </c>
      <c r="AT4" s="3">
        <f t="shared" si="2"/>
        <v>0</v>
      </c>
      <c r="AU4" s="3">
        <f>SUM(AQ4:AT4)</f>
        <v>154020394.55870485</v>
      </c>
      <c r="AV4" s="7" t="s">
        <v>110</v>
      </c>
      <c r="AW4" s="2" t="s">
        <v>38</v>
      </c>
      <c r="AX4" s="3">
        <f>DW4+ED4</f>
        <v>65842.174604378335</v>
      </c>
      <c r="AY4" s="3">
        <f t="shared" ref="AY4:BA19" si="3">DX4+EE4</f>
        <v>2433.0482424109155</v>
      </c>
      <c r="AZ4" s="3">
        <f t="shared" si="3"/>
        <v>0</v>
      </c>
      <c r="BA4" s="3">
        <f t="shared" si="3"/>
        <v>0</v>
      </c>
      <c r="BB4" s="3">
        <f>SUM(AX4:BA4)</f>
        <v>68275.222846789256</v>
      </c>
      <c r="BC4" s="7" t="s">
        <v>110</v>
      </c>
      <c r="BD4" s="2" t="s">
        <v>38</v>
      </c>
      <c r="BE4" s="17">
        <v>40019.128214475466</v>
      </c>
      <c r="BF4" s="17">
        <v>0</v>
      </c>
      <c r="BG4" s="17">
        <v>0</v>
      </c>
      <c r="BH4" s="17">
        <v>0</v>
      </c>
      <c r="BI4" s="17">
        <v>40019.128214475466</v>
      </c>
      <c r="BJ4" s="7" t="s">
        <v>110</v>
      </c>
      <c r="BK4" s="2" t="s">
        <v>38</v>
      </c>
      <c r="BL4" s="3">
        <v>93609.313943588597</v>
      </c>
      <c r="BM4" s="3">
        <v>1580343.2498316115</v>
      </c>
      <c r="BN4" s="3">
        <v>137765.5521898187</v>
      </c>
      <c r="BO4" s="3">
        <v>0</v>
      </c>
      <c r="BP4" s="3">
        <v>1811718.115965019</v>
      </c>
      <c r="BQ4" s="7" t="s">
        <v>110</v>
      </c>
      <c r="BR4" s="2" t="s">
        <v>38</v>
      </c>
      <c r="BS4" s="3">
        <v>2733668.1566247256</v>
      </c>
      <c r="BT4" s="3">
        <v>0</v>
      </c>
      <c r="BU4" s="3">
        <v>0</v>
      </c>
      <c r="BV4" s="3">
        <v>0</v>
      </c>
      <c r="BW4" s="3">
        <v>2733668.1566247256</v>
      </c>
      <c r="BX4" s="7" t="s">
        <v>110</v>
      </c>
      <c r="BY4" s="2" t="s">
        <v>38</v>
      </c>
      <c r="BZ4" s="3">
        <v>13344.480497561261</v>
      </c>
      <c r="CA4" s="3">
        <v>0</v>
      </c>
      <c r="CB4" s="3">
        <v>0</v>
      </c>
      <c r="CC4" s="3">
        <v>0</v>
      </c>
      <c r="CD4" s="3">
        <v>13344.480497561261</v>
      </c>
      <c r="CE4" s="7" t="s">
        <v>110</v>
      </c>
      <c r="CF4" s="2" t="s">
        <v>38</v>
      </c>
      <c r="CG4" s="3">
        <v>149206927.095909</v>
      </c>
      <c r="CH4" s="3">
        <v>134704.09547448938</v>
      </c>
      <c r="CI4" s="3">
        <v>0</v>
      </c>
      <c r="CJ4" s="3">
        <v>0</v>
      </c>
      <c r="CK4" s="3">
        <v>149341631.19138348</v>
      </c>
      <c r="CL4" s="7" t="s">
        <v>110</v>
      </c>
      <c r="CM4" s="2" t="s">
        <v>38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7" t="s">
        <v>110</v>
      </c>
      <c r="CT4" s="2" t="s">
        <v>38</v>
      </c>
      <c r="CU4" s="3">
        <v>17517.567932014692</v>
      </c>
      <c r="CV4" s="3">
        <v>0</v>
      </c>
      <c r="CW4" s="3">
        <v>0</v>
      </c>
      <c r="CX4" s="3">
        <v>0</v>
      </c>
      <c r="CY4" s="3">
        <v>17517.567932014692</v>
      </c>
      <c r="CZ4" s="7" t="s">
        <v>110</v>
      </c>
      <c r="DA4" s="2" t="s">
        <v>38</v>
      </c>
      <c r="DB4" s="3">
        <v>11569.167820002149</v>
      </c>
      <c r="DC4" s="3">
        <v>0</v>
      </c>
      <c r="DD4" s="3">
        <v>0</v>
      </c>
      <c r="DE4" s="3">
        <v>0</v>
      </c>
      <c r="DF4" s="3">
        <v>11569.167820002149</v>
      </c>
      <c r="DG4" s="7" t="s">
        <v>110</v>
      </c>
      <c r="DH4" s="2" t="s">
        <v>38</v>
      </c>
      <c r="DI4" s="3">
        <v>8403.9889116390732</v>
      </c>
      <c r="DJ4" s="3">
        <v>0</v>
      </c>
      <c r="DK4" s="3">
        <v>0</v>
      </c>
      <c r="DL4" s="3">
        <v>0</v>
      </c>
      <c r="DM4" s="3">
        <v>8403.9889116390732</v>
      </c>
      <c r="DN4" s="7" t="s">
        <v>110</v>
      </c>
      <c r="DO4" s="2" t="s">
        <v>38</v>
      </c>
      <c r="DP4" s="3">
        <v>42522.761355949449</v>
      </c>
      <c r="DQ4" s="3">
        <v>0</v>
      </c>
      <c r="DR4" s="3">
        <v>0</v>
      </c>
      <c r="DS4" s="3">
        <v>0</v>
      </c>
      <c r="DT4" s="3">
        <v>42522.761355949449</v>
      </c>
      <c r="DU4" s="7" t="s">
        <v>110</v>
      </c>
      <c r="DV4" s="2" t="s">
        <v>38</v>
      </c>
      <c r="DW4" s="3">
        <v>1870.7972090198921</v>
      </c>
      <c r="DX4" s="3">
        <v>2433.0482424109155</v>
      </c>
      <c r="DY4" s="3">
        <v>0</v>
      </c>
      <c r="DZ4" s="3">
        <v>0</v>
      </c>
      <c r="EA4" s="3">
        <v>4303.8454514308078</v>
      </c>
      <c r="EB4" s="7" t="s">
        <v>110</v>
      </c>
      <c r="EC4" s="2" t="s">
        <v>38</v>
      </c>
      <c r="ED4" s="3">
        <v>63971.377395358446</v>
      </c>
      <c r="EE4" s="3">
        <v>0</v>
      </c>
      <c r="EF4" s="3">
        <v>0</v>
      </c>
      <c r="EG4" s="3">
        <v>0</v>
      </c>
      <c r="EH4" s="3">
        <v>63971.377395358446</v>
      </c>
    </row>
    <row r="5" spans="1:138" ht="10.199999999999999" customHeight="1" x14ac:dyDescent="0.25">
      <c r="A5" s="7" t="s">
        <v>113</v>
      </c>
      <c r="B5" s="2" t="s">
        <v>41</v>
      </c>
      <c r="C5" s="3">
        <f t="shared" ref="C5:C41" si="4">BI5</f>
        <v>0</v>
      </c>
      <c r="D5" s="3">
        <f t="shared" ref="D5:D41" si="5">BP5</f>
        <v>27586.032046666041</v>
      </c>
      <c r="E5" s="3">
        <f t="shared" ref="E5:E41" si="6">BW5</f>
        <v>0</v>
      </c>
      <c r="F5" s="3">
        <f t="shared" ref="F5:F41" si="7">CD5</f>
        <v>0</v>
      </c>
      <c r="G5" s="3">
        <f t="shared" ref="G5:G41" si="8">CK5</f>
        <v>803.63238777394247</v>
      </c>
      <c r="H5" s="3">
        <f t="shared" ref="H5:H41" si="9">CR5</f>
        <v>0</v>
      </c>
      <c r="I5" s="3">
        <f t="shared" ref="I5:I41" si="10">CY5</f>
        <v>0</v>
      </c>
      <c r="J5" s="3">
        <f t="shared" ref="J5:J41" si="11">DM5</f>
        <v>0</v>
      </c>
      <c r="K5" s="3">
        <f t="shared" ref="K5:K41" si="12">DF5</f>
        <v>0</v>
      </c>
      <c r="L5" s="3">
        <f t="shared" ref="L5:L41" si="13">DT5</f>
        <v>775129.51087125053</v>
      </c>
      <c r="M5" s="3">
        <f t="shared" ref="M5:M41" si="14">EH5</f>
        <v>112758.23515042865</v>
      </c>
      <c r="N5" s="3">
        <f t="shared" ref="N5:N41" si="15">EA5</f>
        <v>1629878.2416698094</v>
      </c>
      <c r="O5" s="3">
        <f t="shared" ref="O5:O41" si="16">SUM(C5:N5)</f>
        <v>2546155.6521259286</v>
      </c>
      <c r="P5" s="7" t="s">
        <v>113</v>
      </c>
      <c r="Q5" s="2" t="s">
        <v>41</v>
      </c>
      <c r="R5" s="3">
        <f t="shared" ref="R5:AA30" si="17">C5</f>
        <v>0</v>
      </c>
      <c r="S5" s="3">
        <f t="shared" si="17"/>
        <v>27586.032046666041</v>
      </c>
      <c r="T5" s="3">
        <f t="shared" si="17"/>
        <v>0</v>
      </c>
      <c r="U5" s="3">
        <f t="shared" si="17"/>
        <v>0</v>
      </c>
      <c r="V5" s="3">
        <f t="shared" si="17"/>
        <v>803.63238777394247</v>
      </c>
      <c r="W5" s="3">
        <f t="shared" si="17"/>
        <v>0</v>
      </c>
      <c r="X5" s="3">
        <f t="shared" si="17"/>
        <v>0</v>
      </c>
      <c r="Y5" s="3">
        <f t="shared" si="17"/>
        <v>0</v>
      </c>
      <c r="Z5" s="3">
        <f t="shared" si="17"/>
        <v>0</v>
      </c>
      <c r="AA5" s="3">
        <f t="shared" si="17"/>
        <v>775129.51087125053</v>
      </c>
      <c r="AB5" s="3">
        <f t="shared" ref="AB5:AB41" si="18">SUM(R5:AA5)</f>
        <v>803519.1753056905</v>
      </c>
      <c r="AC5" s="7" t="s">
        <v>113</v>
      </c>
      <c r="AD5" s="2" t="s">
        <v>41</v>
      </c>
      <c r="AE5" s="3">
        <f t="shared" ref="AE5:AF41" si="19">M5</f>
        <v>112758.23515042865</v>
      </c>
      <c r="AF5" s="3">
        <f t="shared" si="19"/>
        <v>1629878.2416698094</v>
      </c>
      <c r="AG5" s="3">
        <f t="shared" ref="AG5:AG41" si="20">SUM(AE5:AF5)</f>
        <v>1742636.4768202382</v>
      </c>
      <c r="AH5" s="7" t="s">
        <v>113</v>
      </c>
      <c r="AI5" s="2" t="s">
        <v>41</v>
      </c>
      <c r="AJ5" s="3">
        <f t="shared" ref="AJ5:AM41" si="21">AQ5+AX5</f>
        <v>921320.91554981517</v>
      </c>
      <c r="AK5" s="3">
        <f t="shared" si="1"/>
        <v>322273.5475880329</v>
      </c>
      <c r="AL5" s="3">
        <f t="shared" si="1"/>
        <v>1302561.1889880805</v>
      </c>
      <c r="AM5" s="3">
        <f t="shared" si="1"/>
        <v>0</v>
      </c>
      <c r="AN5" s="3">
        <f t="shared" ref="AN5:AN41" si="22">SUM(AJ5:AM5)</f>
        <v>2546155.6521259286</v>
      </c>
      <c r="AO5" s="7" t="s">
        <v>113</v>
      </c>
      <c r="AP5" s="2" t="s">
        <v>41</v>
      </c>
      <c r="AQ5" s="3">
        <f t="shared" ref="AQ5:AT41" si="23">BE5+BL5+BS5+BZ5+CG5+CN5+CU5+DB5+DI5+DP5</f>
        <v>802204.42082921905</v>
      </c>
      <c r="AR5" s="3">
        <f t="shared" si="2"/>
        <v>1314.7544764714855</v>
      </c>
      <c r="AS5" s="3">
        <f t="shared" si="2"/>
        <v>0</v>
      </c>
      <c r="AT5" s="3">
        <f t="shared" si="2"/>
        <v>0</v>
      </c>
      <c r="AU5" s="3">
        <f t="shared" ref="AU5:AU41" si="24">SUM(AQ5:AT5)</f>
        <v>803519.1753056905</v>
      </c>
      <c r="AV5" s="7" t="s">
        <v>113</v>
      </c>
      <c r="AW5" s="2" t="s">
        <v>41</v>
      </c>
      <c r="AX5" s="3">
        <f t="shared" ref="AX5:BA41" si="25">DW5+ED5</f>
        <v>119116.49472059612</v>
      </c>
      <c r="AY5" s="3">
        <f t="shared" si="3"/>
        <v>320958.79311156139</v>
      </c>
      <c r="AZ5" s="3">
        <f t="shared" si="3"/>
        <v>1302561.1889880805</v>
      </c>
      <c r="BA5" s="3">
        <f t="shared" si="3"/>
        <v>0</v>
      </c>
      <c r="BB5" s="3">
        <f t="shared" ref="BB5:BB41" si="26">SUM(AX5:BA5)</f>
        <v>1742636.4768202379</v>
      </c>
      <c r="BC5" s="7" t="s">
        <v>113</v>
      </c>
      <c r="BD5" s="2" t="s">
        <v>41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7" t="s">
        <v>113</v>
      </c>
      <c r="BK5" s="2" t="s">
        <v>41</v>
      </c>
      <c r="BL5" s="3">
        <v>26334.894722281886</v>
      </c>
      <c r="BM5" s="3">
        <v>1251.1373243841556</v>
      </c>
      <c r="BN5" s="3">
        <v>0</v>
      </c>
      <c r="BO5" s="3">
        <v>0</v>
      </c>
      <c r="BP5" s="3">
        <v>27586.032046666041</v>
      </c>
      <c r="BQ5" s="7" t="s">
        <v>113</v>
      </c>
      <c r="BR5" s="2" t="s">
        <v>41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7" t="s">
        <v>113</v>
      </c>
      <c r="BY5" s="2" t="s">
        <v>41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7" t="s">
        <v>113</v>
      </c>
      <c r="CF5" s="2" t="s">
        <v>41</v>
      </c>
      <c r="CG5" s="3">
        <v>803.63238777394247</v>
      </c>
      <c r="CH5" s="3">
        <v>0</v>
      </c>
      <c r="CI5" s="3">
        <v>0</v>
      </c>
      <c r="CJ5" s="3">
        <v>0</v>
      </c>
      <c r="CK5" s="3">
        <v>803.63238777394247</v>
      </c>
      <c r="CL5" s="7" t="s">
        <v>113</v>
      </c>
      <c r="CM5" s="2" t="s">
        <v>41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7" t="s">
        <v>113</v>
      </c>
      <c r="CT5" s="2" t="s">
        <v>41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7" t="s">
        <v>113</v>
      </c>
      <c r="DA5" s="2" t="s">
        <v>41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7" t="s">
        <v>113</v>
      </c>
      <c r="DH5" s="2" t="s">
        <v>41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7" t="s">
        <v>113</v>
      </c>
      <c r="DO5" s="2" t="s">
        <v>41</v>
      </c>
      <c r="DP5" s="3">
        <v>775065.89371916326</v>
      </c>
      <c r="DQ5" s="3">
        <v>63.617152087329949</v>
      </c>
      <c r="DR5" s="3">
        <v>0</v>
      </c>
      <c r="DS5" s="3">
        <v>0</v>
      </c>
      <c r="DT5" s="3">
        <v>775129.51087125053</v>
      </c>
      <c r="DU5" s="7" t="s">
        <v>113</v>
      </c>
      <c r="DV5" s="2" t="s">
        <v>41</v>
      </c>
      <c r="DW5" s="3">
        <v>21626.376071126662</v>
      </c>
      <c r="DX5" s="3">
        <v>305690.67661060218</v>
      </c>
      <c r="DY5" s="3">
        <v>1302561.1889880805</v>
      </c>
      <c r="DZ5" s="3">
        <v>0</v>
      </c>
      <c r="EA5" s="3">
        <v>1629878.2416698094</v>
      </c>
      <c r="EB5" s="7" t="s">
        <v>113</v>
      </c>
      <c r="EC5" s="2" t="s">
        <v>41</v>
      </c>
      <c r="ED5" s="3">
        <v>97490.118649469456</v>
      </c>
      <c r="EE5" s="3">
        <v>15268.116500959188</v>
      </c>
      <c r="EF5" s="3">
        <v>0</v>
      </c>
      <c r="EG5" s="3">
        <v>0</v>
      </c>
      <c r="EH5" s="3">
        <v>112758.23515042865</v>
      </c>
    </row>
    <row r="6" spans="1:138" ht="10.199999999999999" customHeight="1" x14ac:dyDescent="0.25">
      <c r="A6" s="7" t="s">
        <v>119</v>
      </c>
      <c r="B6" s="2" t="s">
        <v>47</v>
      </c>
      <c r="C6" s="3">
        <f t="shared" si="4"/>
        <v>0</v>
      </c>
      <c r="D6" s="3">
        <f t="shared" si="5"/>
        <v>17785.392485521705</v>
      </c>
      <c r="E6" s="3">
        <f t="shared" si="6"/>
        <v>7649326.3669805527</v>
      </c>
      <c r="F6" s="3">
        <f t="shared" si="7"/>
        <v>6513279.1781831039</v>
      </c>
      <c r="G6" s="3">
        <f t="shared" si="8"/>
        <v>0</v>
      </c>
      <c r="H6" s="3">
        <f t="shared" si="9"/>
        <v>0</v>
      </c>
      <c r="I6" s="3">
        <f t="shared" si="10"/>
        <v>745701.69070434186</v>
      </c>
      <c r="J6" s="3">
        <f t="shared" si="11"/>
        <v>0</v>
      </c>
      <c r="K6" s="3">
        <f t="shared" si="12"/>
        <v>1082926.806834372</v>
      </c>
      <c r="L6" s="3">
        <f t="shared" si="13"/>
        <v>2445.9910792749647</v>
      </c>
      <c r="M6" s="3">
        <f t="shared" si="14"/>
        <v>3702769.6508382573</v>
      </c>
      <c r="N6" s="3">
        <f t="shared" si="15"/>
        <v>3351243.1708025439</v>
      </c>
      <c r="O6" s="3">
        <f t="shared" si="16"/>
        <v>23065478.24790797</v>
      </c>
      <c r="P6" s="7" t="s">
        <v>119</v>
      </c>
      <c r="Q6" s="2" t="s">
        <v>47</v>
      </c>
      <c r="R6" s="3">
        <f t="shared" si="17"/>
        <v>0</v>
      </c>
      <c r="S6" s="3">
        <f t="shared" si="17"/>
        <v>17785.392485521705</v>
      </c>
      <c r="T6" s="3">
        <f t="shared" si="17"/>
        <v>7649326.3669805527</v>
      </c>
      <c r="U6" s="3">
        <f t="shared" si="17"/>
        <v>6513279.1781831039</v>
      </c>
      <c r="V6" s="3">
        <f t="shared" si="17"/>
        <v>0</v>
      </c>
      <c r="W6" s="3">
        <f t="shared" si="17"/>
        <v>0</v>
      </c>
      <c r="X6" s="3">
        <f t="shared" si="17"/>
        <v>745701.69070434186</v>
      </c>
      <c r="Y6" s="3">
        <f t="shared" si="17"/>
        <v>0</v>
      </c>
      <c r="Z6" s="3">
        <f t="shared" si="17"/>
        <v>1082926.806834372</v>
      </c>
      <c r="AA6" s="3">
        <f t="shared" si="17"/>
        <v>2445.9910792749647</v>
      </c>
      <c r="AB6" s="3">
        <f t="shared" si="18"/>
        <v>16011465.426267168</v>
      </c>
      <c r="AC6" s="7" t="s">
        <v>119</v>
      </c>
      <c r="AD6" s="2" t="s">
        <v>47</v>
      </c>
      <c r="AE6" s="3">
        <f t="shared" si="19"/>
        <v>3702769.6508382573</v>
      </c>
      <c r="AF6" s="3">
        <f t="shared" si="19"/>
        <v>3351243.1708025439</v>
      </c>
      <c r="AG6" s="3">
        <f t="shared" si="20"/>
        <v>7054012.8216408007</v>
      </c>
      <c r="AH6" s="7" t="s">
        <v>119</v>
      </c>
      <c r="AI6" s="2" t="s">
        <v>47</v>
      </c>
      <c r="AJ6" s="3">
        <f t="shared" si="21"/>
        <v>2631404.3880623146</v>
      </c>
      <c r="AK6" s="3">
        <f t="shared" si="1"/>
        <v>3742598.0770777669</v>
      </c>
      <c r="AL6" s="3">
        <f t="shared" si="1"/>
        <v>8215126.438652046</v>
      </c>
      <c r="AM6" s="3">
        <f t="shared" si="1"/>
        <v>8476349.3441158421</v>
      </c>
      <c r="AN6" s="3">
        <f t="shared" si="22"/>
        <v>23065478.24790797</v>
      </c>
      <c r="AO6" s="7" t="s">
        <v>119</v>
      </c>
      <c r="AP6" s="2" t="s">
        <v>47</v>
      </c>
      <c r="AQ6" s="3">
        <f t="shared" si="23"/>
        <v>773861.41290331015</v>
      </c>
      <c r="AR6" s="3">
        <f t="shared" si="2"/>
        <v>1681435.396226061</v>
      </c>
      <c r="AS6" s="3">
        <f t="shared" si="2"/>
        <v>5525139.3376332643</v>
      </c>
      <c r="AT6" s="3">
        <f t="shared" si="2"/>
        <v>8031029.279504532</v>
      </c>
      <c r="AU6" s="3">
        <f t="shared" si="24"/>
        <v>16011465.426267168</v>
      </c>
      <c r="AV6" s="7" t="s">
        <v>119</v>
      </c>
      <c r="AW6" s="2" t="s">
        <v>47</v>
      </c>
      <c r="AX6" s="3">
        <f t="shared" si="25"/>
        <v>1857542.9751590043</v>
      </c>
      <c r="AY6" s="3">
        <f t="shared" si="3"/>
        <v>2061162.6808517061</v>
      </c>
      <c r="AZ6" s="3">
        <f t="shared" si="3"/>
        <v>2689987.1010187813</v>
      </c>
      <c r="BA6" s="3">
        <f t="shared" si="3"/>
        <v>445320.06461130962</v>
      </c>
      <c r="BB6" s="3">
        <f t="shared" si="26"/>
        <v>7054012.8216408016</v>
      </c>
      <c r="BC6" s="7" t="s">
        <v>119</v>
      </c>
      <c r="BD6" s="2" t="s">
        <v>47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7" t="s">
        <v>119</v>
      </c>
      <c r="BK6" s="2" t="s">
        <v>47</v>
      </c>
      <c r="BL6" s="3">
        <v>17785.392485521705</v>
      </c>
      <c r="BM6" s="3">
        <v>0</v>
      </c>
      <c r="BN6" s="3">
        <v>0</v>
      </c>
      <c r="BO6" s="3">
        <v>0</v>
      </c>
      <c r="BP6" s="3">
        <v>17785.392485521705</v>
      </c>
      <c r="BQ6" s="7" t="s">
        <v>119</v>
      </c>
      <c r="BR6" s="2" t="s">
        <v>47</v>
      </c>
      <c r="BS6" s="3">
        <v>0</v>
      </c>
      <c r="BT6" s="3">
        <v>0</v>
      </c>
      <c r="BU6" s="3">
        <v>0</v>
      </c>
      <c r="BV6" s="3">
        <v>7649326.3669805527</v>
      </c>
      <c r="BW6" s="3">
        <v>7649326.3669805527</v>
      </c>
      <c r="BX6" s="7" t="s">
        <v>119</v>
      </c>
      <c r="BY6" s="2" t="s">
        <v>47</v>
      </c>
      <c r="BZ6" s="3">
        <v>16800</v>
      </c>
      <c r="CA6" s="3">
        <v>589636.92802586057</v>
      </c>
      <c r="CB6" s="3">
        <v>5525139.3376332643</v>
      </c>
      <c r="CC6" s="3">
        <v>381702.91252397967</v>
      </c>
      <c r="CD6" s="3">
        <v>6513279.1781831039</v>
      </c>
      <c r="CE6" s="7" t="s">
        <v>119</v>
      </c>
      <c r="CF6" s="2" t="s">
        <v>47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7" t="s">
        <v>119</v>
      </c>
      <c r="CM6" s="2" t="s">
        <v>47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7" t="s">
        <v>119</v>
      </c>
      <c r="CT6" s="2" t="s">
        <v>47</v>
      </c>
      <c r="CU6" s="3">
        <v>705553.16007237288</v>
      </c>
      <c r="CV6" s="3">
        <v>40148.530631969035</v>
      </c>
      <c r="CW6" s="3">
        <v>0</v>
      </c>
      <c r="CX6" s="3">
        <v>0</v>
      </c>
      <c r="CY6" s="3">
        <v>745701.69070434186</v>
      </c>
      <c r="CZ6" s="7" t="s">
        <v>119</v>
      </c>
      <c r="DA6" s="2" t="s">
        <v>47</v>
      </c>
      <c r="DB6" s="3">
        <v>31276.869266140588</v>
      </c>
      <c r="DC6" s="3">
        <v>1051649.9375682315</v>
      </c>
      <c r="DD6" s="3">
        <v>0</v>
      </c>
      <c r="DE6" s="3">
        <v>0</v>
      </c>
      <c r="DF6" s="3">
        <v>1082926.806834372</v>
      </c>
      <c r="DG6" s="7" t="s">
        <v>119</v>
      </c>
      <c r="DH6" s="2" t="s">
        <v>47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7" t="s">
        <v>119</v>
      </c>
      <c r="DO6" s="2" t="s">
        <v>47</v>
      </c>
      <c r="DP6" s="3">
        <v>2445.9910792749647</v>
      </c>
      <c r="DQ6" s="3">
        <v>0</v>
      </c>
      <c r="DR6" s="3">
        <v>0</v>
      </c>
      <c r="DS6" s="3">
        <v>0</v>
      </c>
      <c r="DT6" s="3">
        <v>2445.9910792749647</v>
      </c>
      <c r="DU6" s="7" t="s">
        <v>119</v>
      </c>
      <c r="DV6" s="2" t="s">
        <v>47</v>
      </c>
      <c r="DW6" s="3">
        <v>0</v>
      </c>
      <c r="DX6" s="3">
        <v>236787.25134987995</v>
      </c>
      <c r="DY6" s="3">
        <v>2669135.8548413543</v>
      </c>
      <c r="DZ6" s="3">
        <v>445320.06461130962</v>
      </c>
      <c r="EA6" s="3">
        <v>3351243.1708025439</v>
      </c>
      <c r="EB6" s="7" t="s">
        <v>119</v>
      </c>
      <c r="EC6" s="2" t="s">
        <v>47</v>
      </c>
      <c r="ED6" s="3">
        <v>1857542.9751590043</v>
      </c>
      <c r="EE6" s="3">
        <v>1824375.4295018262</v>
      </c>
      <c r="EF6" s="3">
        <v>20851.246177427056</v>
      </c>
      <c r="EG6" s="3">
        <v>0</v>
      </c>
      <c r="EH6" s="3">
        <v>3702769.6508382573</v>
      </c>
    </row>
    <row r="7" spans="1:138" ht="10.199999999999999" customHeight="1" x14ac:dyDescent="0.25">
      <c r="A7" s="7" t="s">
        <v>121</v>
      </c>
      <c r="B7" s="2" t="s">
        <v>49</v>
      </c>
      <c r="C7" s="3">
        <f t="shared" si="4"/>
        <v>0</v>
      </c>
      <c r="D7" s="3">
        <f t="shared" si="5"/>
        <v>2944.08963612963</v>
      </c>
      <c r="E7" s="3">
        <f t="shared" si="6"/>
        <v>19806488.341110241</v>
      </c>
      <c r="F7" s="3">
        <f t="shared" si="7"/>
        <v>365473.24462034169</v>
      </c>
      <c r="G7" s="3">
        <f t="shared" si="8"/>
        <v>29919.420932731973</v>
      </c>
      <c r="H7" s="3">
        <f t="shared" si="9"/>
        <v>0</v>
      </c>
      <c r="I7" s="3">
        <f t="shared" si="10"/>
        <v>6073986.5486845272</v>
      </c>
      <c r="J7" s="3">
        <f t="shared" si="11"/>
        <v>0</v>
      </c>
      <c r="K7" s="3">
        <f t="shared" si="12"/>
        <v>9602.1557067617723</v>
      </c>
      <c r="L7" s="3">
        <f t="shared" si="13"/>
        <v>15183.912952706954</v>
      </c>
      <c r="M7" s="3">
        <f t="shared" si="14"/>
        <v>2041502.4500033415</v>
      </c>
      <c r="N7" s="3">
        <f t="shared" si="15"/>
        <v>406884.73866540316</v>
      </c>
      <c r="O7" s="3">
        <f t="shared" si="16"/>
        <v>28751984.902312182</v>
      </c>
      <c r="P7" s="7" t="s">
        <v>121</v>
      </c>
      <c r="Q7" s="2" t="s">
        <v>49</v>
      </c>
      <c r="R7" s="3">
        <f t="shared" si="17"/>
        <v>0</v>
      </c>
      <c r="S7" s="3">
        <f t="shared" si="17"/>
        <v>2944.08963612963</v>
      </c>
      <c r="T7" s="3">
        <f t="shared" si="17"/>
        <v>19806488.341110241</v>
      </c>
      <c r="U7" s="3">
        <f t="shared" si="17"/>
        <v>365473.24462034169</v>
      </c>
      <c r="V7" s="3">
        <f t="shared" si="17"/>
        <v>29919.420932731973</v>
      </c>
      <c r="W7" s="3">
        <f t="shared" si="17"/>
        <v>0</v>
      </c>
      <c r="X7" s="3">
        <f t="shared" si="17"/>
        <v>6073986.5486845272</v>
      </c>
      <c r="Y7" s="3">
        <f t="shared" si="17"/>
        <v>0</v>
      </c>
      <c r="Z7" s="3">
        <f t="shared" si="17"/>
        <v>9602.1557067617723</v>
      </c>
      <c r="AA7" s="3">
        <f t="shared" si="17"/>
        <v>15183.912952706954</v>
      </c>
      <c r="AB7" s="3">
        <f t="shared" si="18"/>
        <v>26303597.713643439</v>
      </c>
      <c r="AC7" s="7" t="s">
        <v>121</v>
      </c>
      <c r="AD7" s="2" t="s">
        <v>49</v>
      </c>
      <c r="AE7" s="3">
        <f t="shared" si="19"/>
        <v>2041502.4500033415</v>
      </c>
      <c r="AF7" s="3">
        <f t="shared" si="19"/>
        <v>406884.73866540316</v>
      </c>
      <c r="AG7" s="3">
        <f t="shared" si="20"/>
        <v>2448387.1886687446</v>
      </c>
      <c r="AH7" s="7" t="s">
        <v>121</v>
      </c>
      <c r="AI7" s="2" t="s">
        <v>49</v>
      </c>
      <c r="AJ7" s="3">
        <f t="shared" si="21"/>
        <v>4834033.6205494227</v>
      </c>
      <c r="AK7" s="3">
        <f t="shared" si="1"/>
        <v>23499895.075451665</v>
      </c>
      <c r="AL7" s="3">
        <f t="shared" si="1"/>
        <v>418056.20631109056</v>
      </c>
      <c r="AM7" s="3">
        <f t="shared" si="1"/>
        <v>0</v>
      </c>
      <c r="AN7" s="3">
        <f t="shared" si="22"/>
        <v>28751984.902312178</v>
      </c>
      <c r="AO7" s="7" t="s">
        <v>121</v>
      </c>
      <c r="AP7" s="2" t="s">
        <v>49</v>
      </c>
      <c r="AQ7" s="3">
        <f t="shared" si="23"/>
        <v>3920298.8058401677</v>
      </c>
      <c r="AR7" s="3">
        <f t="shared" si="2"/>
        <v>21988481.722135935</v>
      </c>
      <c r="AS7" s="3">
        <f t="shared" si="2"/>
        <v>394817.18566733191</v>
      </c>
      <c r="AT7" s="3">
        <f t="shared" si="2"/>
        <v>0</v>
      </c>
      <c r="AU7" s="3">
        <f t="shared" si="24"/>
        <v>26303597.713643435</v>
      </c>
      <c r="AV7" s="7" t="s">
        <v>121</v>
      </c>
      <c r="AW7" s="2" t="s">
        <v>49</v>
      </c>
      <c r="AX7" s="3">
        <f t="shared" si="25"/>
        <v>913734.81470925501</v>
      </c>
      <c r="AY7" s="3">
        <f t="shared" si="3"/>
        <v>1511413.353315731</v>
      </c>
      <c r="AZ7" s="3">
        <f t="shared" si="3"/>
        <v>23239.02064375866</v>
      </c>
      <c r="BA7" s="3">
        <f t="shared" si="3"/>
        <v>0</v>
      </c>
      <c r="BB7" s="3">
        <f t="shared" si="26"/>
        <v>2448387.1886687446</v>
      </c>
      <c r="BC7" s="7" t="s">
        <v>121</v>
      </c>
      <c r="BD7" s="2" t="s">
        <v>49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7" t="s">
        <v>121</v>
      </c>
      <c r="BK7" s="2" t="s">
        <v>49</v>
      </c>
      <c r="BL7" s="3">
        <v>2944.08963612963</v>
      </c>
      <c r="BM7" s="3">
        <v>0</v>
      </c>
      <c r="BN7" s="3">
        <v>0</v>
      </c>
      <c r="BO7" s="3">
        <v>0</v>
      </c>
      <c r="BP7" s="3">
        <v>2944.08963612963</v>
      </c>
      <c r="BQ7" s="7" t="s">
        <v>121</v>
      </c>
      <c r="BR7" s="2" t="s">
        <v>49</v>
      </c>
      <c r="BS7" s="3">
        <v>1272.3430417465988</v>
      </c>
      <c r="BT7" s="3">
        <v>19427754.229017001</v>
      </c>
      <c r="BU7" s="3">
        <v>377461.76905149099</v>
      </c>
      <c r="BV7" s="3">
        <v>0</v>
      </c>
      <c r="BW7" s="3">
        <v>19806488.341110241</v>
      </c>
      <c r="BX7" s="7" t="s">
        <v>121</v>
      </c>
      <c r="BY7" s="2" t="s">
        <v>49</v>
      </c>
      <c r="BZ7" s="3">
        <v>358475.35789073538</v>
      </c>
      <c r="CA7" s="3">
        <v>6997.8867296062945</v>
      </c>
      <c r="CB7" s="3">
        <v>0</v>
      </c>
      <c r="CC7" s="3">
        <v>0</v>
      </c>
      <c r="CD7" s="3">
        <v>365473.24462034169</v>
      </c>
      <c r="CE7" s="7" t="s">
        <v>121</v>
      </c>
      <c r="CF7" s="2" t="s">
        <v>49</v>
      </c>
      <c r="CG7" s="3">
        <v>12513.71111111111</v>
      </c>
      <c r="CH7" s="3">
        <v>12434.43214544685</v>
      </c>
      <c r="CI7" s="3">
        <v>4971.2776761740142</v>
      </c>
      <c r="CJ7" s="3">
        <v>0</v>
      </c>
      <c r="CK7" s="3">
        <v>29919.420932731973</v>
      </c>
      <c r="CL7" s="7" t="s">
        <v>121</v>
      </c>
      <c r="CM7" s="2" t="s">
        <v>49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7" t="s">
        <v>121</v>
      </c>
      <c r="CT7" s="2" t="s">
        <v>49</v>
      </c>
      <c r="CU7" s="3">
        <v>3524107.3000523262</v>
      </c>
      <c r="CV7" s="3">
        <v>2537495.1096925344</v>
      </c>
      <c r="CW7" s="3">
        <v>12384.138939666896</v>
      </c>
      <c r="CX7" s="3">
        <v>0</v>
      </c>
      <c r="CY7" s="3">
        <v>6073986.5486845272</v>
      </c>
      <c r="CZ7" s="7" t="s">
        <v>121</v>
      </c>
      <c r="DA7" s="2" t="s">
        <v>49</v>
      </c>
      <c r="DB7" s="3">
        <v>9602.1557067617723</v>
      </c>
      <c r="DC7" s="3">
        <v>0</v>
      </c>
      <c r="DD7" s="3">
        <v>0</v>
      </c>
      <c r="DE7" s="3">
        <v>0</v>
      </c>
      <c r="DF7" s="3">
        <v>9602.1557067617723</v>
      </c>
      <c r="DG7" s="7" t="s">
        <v>121</v>
      </c>
      <c r="DH7" s="2" t="s">
        <v>49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7" t="s">
        <v>121</v>
      </c>
      <c r="DO7" s="2" t="s">
        <v>49</v>
      </c>
      <c r="DP7" s="3">
        <v>11383.848401357112</v>
      </c>
      <c r="DQ7" s="3">
        <v>3800.0645513498421</v>
      </c>
      <c r="DR7" s="3">
        <v>0</v>
      </c>
      <c r="DS7" s="3">
        <v>0</v>
      </c>
      <c r="DT7" s="3">
        <v>15183.912952706954</v>
      </c>
      <c r="DU7" s="7" t="s">
        <v>121</v>
      </c>
      <c r="DV7" s="2" t="s">
        <v>49</v>
      </c>
      <c r="DW7" s="3">
        <v>328453.89869842841</v>
      </c>
      <c r="DX7" s="3">
        <v>55191.81932321607</v>
      </c>
      <c r="DY7" s="3">
        <v>23239.02064375866</v>
      </c>
      <c r="DZ7" s="3">
        <v>0</v>
      </c>
      <c r="EA7" s="3">
        <v>406884.73866540316</v>
      </c>
      <c r="EB7" s="7" t="s">
        <v>121</v>
      </c>
      <c r="EC7" s="2" t="s">
        <v>49</v>
      </c>
      <c r="ED7" s="3">
        <v>585280.91601082659</v>
      </c>
      <c r="EE7" s="3">
        <v>1456221.5339925149</v>
      </c>
      <c r="EF7" s="3">
        <v>0</v>
      </c>
      <c r="EG7" s="3">
        <v>0</v>
      </c>
      <c r="EH7" s="3">
        <v>2041502.4500033415</v>
      </c>
    </row>
    <row r="8" spans="1:138" ht="10.199999999999999" customHeight="1" x14ac:dyDescent="0.25">
      <c r="A8" s="7" t="s">
        <v>95</v>
      </c>
      <c r="B8" s="2" t="s">
        <v>23</v>
      </c>
      <c r="C8" s="3">
        <f t="shared" si="4"/>
        <v>0</v>
      </c>
      <c r="D8" s="3">
        <f t="shared" si="5"/>
        <v>3606.4806930800255</v>
      </c>
      <c r="E8" s="3">
        <f t="shared" si="6"/>
        <v>0</v>
      </c>
      <c r="F8" s="3">
        <f t="shared" si="7"/>
        <v>0</v>
      </c>
      <c r="G8" s="3">
        <f t="shared" si="8"/>
        <v>71239.59156007845</v>
      </c>
      <c r="H8" s="3">
        <f t="shared" si="9"/>
        <v>0</v>
      </c>
      <c r="I8" s="3">
        <f t="shared" si="10"/>
        <v>264970.41671453963</v>
      </c>
      <c r="J8" s="3">
        <f t="shared" si="11"/>
        <v>82719992.52085793</v>
      </c>
      <c r="K8" s="3">
        <f t="shared" si="12"/>
        <v>0</v>
      </c>
      <c r="L8" s="3">
        <f t="shared" si="13"/>
        <v>13741.76348827844</v>
      </c>
      <c r="M8" s="3">
        <f t="shared" si="14"/>
        <v>2065891.1311154042</v>
      </c>
      <c r="N8" s="3">
        <f t="shared" si="15"/>
        <v>1501626.2826592429</v>
      </c>
      <c r="O8" s="3">
        <f t="shared" si="16"/>
        <v>86641068.187088564</v>
      </c>
      <c r="P8" s="7" t="s">
        <v>95</v>
      </c>
      <c r="Q8" s="2" t="s">
        <v>23</v>
      </c>
      <c r="R8" s="3">
        <f t="shared" si="17"/>
        <v>0</v>
      </c>
      <c r="S8" s="3">
        <f t="shared" si="17"/>
        <v>3606.4806930800255</v>
      </c>
      <c r="T8" s="3">
        <f t="shared" si="17"/>
        <v>0</v>
      </c>
      <c r="U8" s="3">
        <f t="shared" si="17"/>
        <v>0</v>
      </c>
      <c r="V8" s="3">
        <f t="shared" si="17"/>
        <v>71239.59156007845</v>
      </c>
      <c r="W8" s="3">
        <f t="shared" si="17"/>
        <v>0</v>
      </c>
      <c r="X8" s="3">
        <f t="shared" si="17"/>
        <v>264970.41671453963</v>
      </c>
      <c r="Y8" s="3">
        <f t="shared" si="17"/>
        <v>82719992.52085793</v>
      </c>
      <c r="Z8" s="3">
        <f t="shared" si="17"/>
        <v>0</v>
      </c>
      <c r="AA8" s="3">
        <f t="shared" si="17"/>
        <v>13741.76348827844</v>
      </c>
      <c r="AB8" s="3">
        <f t="shared" si="18"/>
        <v>83073550.77331391</v>
      </c>
      <c r="AC8" s="7" t="s">
        <v>95</v>
      </c>
      <c r="AD8" s="2" t="s">
        <v>23</v>
      </c>
      <c r="AE8" s="3">
        <f t="shared" si="19"/>
        <v>2065891.1311154042</v>
      </c>
      <c r="AF8" s="3">
        <f t="shared" si="19"/>
        <v>1501626.2826592429</v>
      </c>
      <c r="AG8" s="3">
        <f t="shared" si="20"/>
        <v>3567517.4137746468</v>
      </c>
      <c r="AH8" s="7" t="s">
        <v>95</v>
      </c>
      <c r="AI8" s="2" t="s">
        <v>23</v>
      </c>
      <c r="AJ8" s="3">
        <f t="shared" si="21"/>
        <v>85198922.826392516</v>
      </c>
      <c r="AK8" s="3">
        <f t="shared" si="1"/>
        <v>1368783.6041152303</v>
      </c>
      <c r="AL8" s="3">
        <f t="shared" si="1"/>
        <v>73361.756580805071</v>
      </c>
      <c r="AM8" s="3">
        <f t="shared" si="1"/>
        <v>0</v>
      </c>
      <c r="AN8" s="3">
        <f t="shared" si="22"/>
        <v>86641068.187088549</v>
      </c>
      <c r="AO8" s="7" t="s">
        <v>95</v>
      </c>
      <c r="AP8" s="2" t="s">
        <v>23</v>
      </c>
      <c r="AQ8" s="3">
        <f t="shared" si="23"/>
        <v>82929966.715860233</v>
      </c>
      <c r="AR8" s="3">
        <f t="shared" si="2"/>
        <v>89509.478179446713</v>
      </c>
      <c r="AS8" s="3">
        <f t="shared" si="2"/>
        <v>54074.579274230447</v>
      </c>
      <c r="AT8" s="3">
        <f t="shared" si="2"/>
        <v>0</v>
      </c>
      <c r="AU8" s="3">
        <f t="shared" si="24"/>
        <v>83073550.77331391</v>
      </c>
      <c r="AV8" s="7" t="s">
        <v>95</v>
      </c>
      <c r="AW8" s="2" t="s">
        <v>23</v>
      </c>
      <c r="AX8" s="3">
        <f t="shared" si="25"/>
        <v>2268956.1105322889</v>
      </c>
      <c r="AY8" s="3">
        <f t="shared" si="3"/>
        <v>1279274.1259357836</v>
      </c>
      <c r="AZ8" s="3">
        <f t="shared" si="3"/>
        <v>19287.17730657462</v>
      </c>
      <c r="BA8" s="3">
        <f t="shared" si="3"/>
        <v>0</v>
      </c>
      <c r="BB8" s="3">
        <f t="shared" si="26"/>
        <v>3567517.4137746473</v>
      </c>
      <c r="BC8" s="7" t="s">
        <v>95</v>
      </c>
      <c r="BD8" s="2" t="s">
        <v>23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7" t="s">
        <v>95</v>
      </c>
      <c r="BK8" s="2" t="s">
        <v>23</v>
      </c>
      <c r="BL8" s="3">
        <v>0</v>
      </c>
      <c r="BM8" s="3">
        <v>425.62308871352855</v>
      </c>
      <c r="BN8" s="3">
        <v>3180.8576043664971</v>
      </c>
      <c r="BO8" s="3">
        <v>0</v>
      </c>
      <c r="BP8" s="3">
        <v>3606.4806930800255</v>
      </c>
      <c r="BQ8" s="7" t="s">
        <v>95</v>
      </c>
      <c r="BR8" s="2" t="s">
        <v>23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7" t="s">
        <v>95</v>
      </c>
      <c r="BY8" s="2" t="s">
        <v>23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7" t="s">
        <v>95</v>
      </c>
      <c r="CF8" s="2" t="s">
        <v>23</v>
      </c>
      <c r="CG8" s="3">
        <v>21196.600734253519</v>
      </c>
      <c r="CH8" s="3">
        <v>50042.990825824934</v>
      </c>
      <c r="CI8" s="3">
        <v>0</v>
      </c>
      <c r="CJ8" s="3">
        <v>0</v>
      </c>
      <c r="CK8" s="3">
        <v>71239.59156007845</v>
      </c>
      <c r="CL8" s="7" t="s">
        <v>95</v>
      </c>
      <c r="CM8" s="2" t="s">
        <v>23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7" t="s">
        <v>95</v>
      </c>
      <c r="CT8" s="2" t="s">
        <v>23</v>
      </c>
      <c r="CU8" s="3">
        <v>237842.01505213039</v>
      </c>
      <c r="CV8" s="3">
        <v>27128.40166240924</v>
      </c>
      <c r="CW8" s="3">
        <v>0</v>
      </c>
      <c r="CX8" s="3">
        <v>0</v>
      </c>
      <c r="CY8" s="3">
        <v>264970.41671453963</v>
      </c>
      <c r="CZ8" s="7" t="s">
        <v>95</v>
      </c>
      <c r="DA8" s="2" t="s">
        <v>23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7" t="s">
        <v>95</v>
      </c>
      <c r="DH8" s="2" t="s">
        <v>23</v>
      </c>
      <c r="DI8" s="3">
        <v>82669098.799188063</v>
      </c>
      <c r="DJ8" s="3">
        <v>0</v>
      </c>
      <c r="DK8" s="3">
        <v>50893.721669863953</v>
      </c>
      <c r="DL8" s="3">
        <v>0</v>
      </c>
      <c r="DM8" s="3">
        <v>82719992.52085793</v>
      </c>
      <c r="DN8" s="7" t="s">
        <v>95</v>
      </c>
      <c r="DO8" s="2" t="s">
        <v>23</v>
      </c>
      <c r="DP8" s="3">
        <v>1829.3008857794421</v>
      </c>
      <c r="DQ8" s="3">
        <v>11912.462602498998</v>
      </c>
      <c r="DR8" s="3">
        <v>0</v>
      </c>
      <c r="DS8" s="3">
        <v>0</v>
      </c>
      <c r="DT8" s="3">
        <v>13741.76348827844</v>
      </c>
      <c r="DU8" s="7" t="s">
        <v>95</v>
      </c>
      <c r="DV8" s="2" t="s">
        <v>23</v>
      </c>
      <c r="DW8" s="3">
        <v>358768.35418050998</v>
      </c>
      <c r="DX8" s="3">
        <v>1129999.8102743498</v>
      </c>
      <c r="DY8" s="3">
        <v>12858.11820438308</v>
      </c>
      <c r="DZ8" s="3">
        <v>0</v>
      </c>
      <c r="EA8" s="3">
        <v>1501626.2826592429</v>
      </c>
      <c r="EB8" s="7" t="s">
        <v>95</v>
      </c>
      <c r="EC8" s="2" t="s">
        <v>23</v>
      </c>
      <c r="ED8" s="3">
        <v>1910187.7563517787</v>
      </c>
      <c r="EE8" s="3">
        <v>149274.31566143394</v>
      </c>
      <c r="EF8" s="3">
        <v>6429.0591021915398</v>
      </c>
      <c r="EG8" s="3">
        <v>0</v>
      </c>
      <c r="EH8" s="3">
        <v>2065891.1311154042</v>
      </c>
    </row>
    <row r="9" spans="1:138" ht="10.199999999999999" customHeight="1" x14ac:dyDescent="0.25">
      <c r="A9" s="7" t="s">
        <v>101</v>
      </c>
      <c r="B9" s="2" t="s">
        <v>29</v>
      </c>
      <c r="C9" s="3">
        <f t="shared" si="4"/>
        <v>0</v>
      </c>
      <c r="D9" s="3">
        <f t="shared" si="5"/>
        <v>22753.811357678813</v>
      </c>
      <c r="E9" s="3">
        <f t="shared" si="6"/>
        <v>0</v>
      </c>
      <c r="F9" s="3">
        <f t="shared" si="7"/>
        <v>0</v>
      </c>
      <c r="G9" s="3">
        <f t="shared" si="8"/>
        <v>22.132400613103485</v>
      </c>
      <c r="H9" s="3">
        <f t="shared" si="9"/>
        <v>0</v>
      </c>
      <c r="I9" s="3">
        <f t="shared" si="10"/>
        <v>3967.5080659640043</v>
      </c>
      <c r="J9" s="3">
        <f t="shared" si="11"/>
        <v>11786.741126077515</v>
      </c>
      <c r="K9" s="3">
        <f t="shared" si="12"/>
        <v>0</v>
      </c>
      <c r="L9" s="3">
        <f t="shared" si="13"/>
        <v>27593.905231193312</v>
      </c>
      <c r="M9" s="3">
        <f t="shared" si="14"/>
        <v>687011.31064072775</v>
      </c>
      <c r="N9" s="3">
        <f t="shared" si="15"/>
        <v>168431.15530841512</v>
      </c>
      <c r="O9" s="3">
        <f t="shared" si="16"/>
        <v>921566.56413066969</v>
      </c>
      <c r="P9" s="7" t="s">
        <v>101</v>
      </c>
      <c r="Q9" s="2" t="s">
        <v>29</v>
      </c>
      <c r="R9" s="3">
        <f t="shared" si="17"/>
        <v>0</v>
      </c>
      <c r="S9" s="3">
        <f t="shared" si="17"/>
        <v>22753.811357678813</v>
      </c>
      <c r="T9" s="3">
        <f t="shared" si="17"/>
        <v>0</v>
      </c>
      <c r="U9" s="3">
        <f t="shared" si="17"/>
        <v>0</v>
      </c>
      <c r="V9" s="3">
        <f t="shared" si="17"/>
        <v>22.132400613103485</v>
      </c>
      <c r="W9" s="3">
        <f t="shared" si="17"/>
        <v>0</v>
      </c>
      <c r="X9" s="3">
        <f t="shared" si="17"/>
        <v>3967.5080659640043</v>
      </c>
      <c r="Y9" s="3">
        <f t="shared" si="17"/>
        <v>11786.741126077515</v>
      </c>
      <c r="Z9" s="3">
        <f t="shared" si="17"/>
        <v>0</v>
      </c>
      <c r="AA9" s="3">
        <f t="shared" si="17"/>
        <v>27593.905231193312</v>
      </c>
      <c r="AB9" s="3">
        <f t="shared" si="18"/>
        <v>66124.098181526759</v>
      </c>
      <c r="AC9" s="7" t="s">
        <v>101</v>
      </c>
      <c r="AD9" s="2" t="s">
        <v>29</v>
      </c>
      <c r="AE9" s="3">
        <f t="shared" si="19"/>
        <v>687011.31064072775</v>
      </c>
      <c r="AF9" s="3">
        <f t="shared" si="19"/>
        <v>168431.15530841512</v>
      </c>
      <c r="AG9" s="3">
        <f t="shared" si="20"/>
        <v>855442.46594914282</v>
      </c>
      <c r="AH9" s="7" t="s">
        <v>101</v>
      </c>
      <c r="AI9" s="2" t="s">
        <v>29</v>
      </c>
      <c r="AJ9" s="3">
        <f t="shared" si="21"/>
        <v>390511.88925760717</v>
      </c>
      <c r="AK9" s="3">
        <f t="shared" si="1"/>
        <v>531054.67487306253</v>
      </c>
      <c r="AL9" s="3">
        <f t="shared" si="1"/>
        <v>0</v>
      </c>
      <c r="AM9" s="3">
        <f t="shared" si="1"/>
        <v>0</v>
      </c>
      <c r="AN9" s="3">
        <f t="shared" si="22"/>
        <v>921566.56413066969</v>
      </c>
      <c r="AO9" s="7" t="s">
        <v>101</v>
      </c>
      <c r="AP9" s="2" t="s">
        <v>29</v>
      </c>
      <c r="AQ9" s="3">
        <f t="shared" si="23"/>
        <v>24805.619880424216</v>
      </c>
      <c r="AR9" s="3">
        <f t="shared" si="2"/>
        <v>41318.478301102536</v>
      </c>
      <c r="AS9" s="3">
        <f t="shared" si="2"/>
        <v>0</v>
      </c>
      <c r="AT9" s="3">
        <f t="shared" si="2"/>
        <v>0</v>
      </c>
      <c r="AU9" s="3">
        <f t="shared" si="24"/>
        <v>66124.098181526759</v>
      </c>
      <c r="AV9" s="7" t="s">
        <v>101</v>
      </c>
      <c r="AW9" s="2" t="s">
        <v>29</v>
      </c>
      <c r="AX9" s="3">
        <f t="shared" si="25"/>
        <v>365706.26937718294</v>
      </c>
      <c r="AY9" s="3">
        <f t="shared" si="3"/>
        <v>489736.19657195994</v>
      </c>
      <c r="AZ9" s="3">
        <f t="shared" si="3"/>
        <v>0</v>
      </c>
      <c r="BA9" s="3">
        <f t="shared" si="3"/>
        <v>0</v>
      </c>
      <c r="BB9" s="3">
        <f t="shared" si="26"/>
        <v>855442.46594914282</v>
      </c>
      <c r="BC9" s="7" t="s">
        <v>101</v>
      </c>
      <c r="BD9" s="2" t="s">
        <v>29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7" t="s">
        <v>101</v>
      </c>
      <c r="BK9" s="2" t="s">
        <v>29</v>
      </c>
      <c r="BL9" s="3">
        <v>18632.252380100093</v>
      </c>
      <c r="BM9" s="3">
        <v>4121.5589775787184</v>
      </c>
      <c r="BN9" s="3">
        <v>0</v>
      </c>
      <c r="BO9" s="3">
        <v>0</v>
      </c>
      <c r="BP9" s="3">
        <v>22753.811357678813</v>
      </c>
      <c r="BQ9" s="7" t="s">
        <v>101</v>
      </c>
      <c r="BR9" s="2" t="s">
        <v>29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7" t="s">
        <v>101</v>
      </c>
      <c r="BY9" s="2" t="s">
        <v>29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7" t="s">
        <v>101</v>
      </c>
      <c r="CF9" s="2" t="s">
        <v>29</v>
      </c>
      <c r="CG9" s="3">
        <v>22.132400613103485</v>
      </c>
      <c r="CH9" s="3">
        <v>0</v>
      </c>
      <c r="CI9" s="3">
        <v>0</v>
      </c>
      <c r="CJ9" s="3">
        <v>0</v>
      </c>
      <c r="CK9" s="3">
        <v>22.132400613103485</v>
      </c>
      <c r="CL9" s="7" t="s">
        <v>101</v>
      </c>
      <c r="CM9" s="2" t="s">
        <v>29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7" t="s">
        <v>101</v>
      </c>
      <c r="CT9" s="2" t="s">
        <v>29</v>
      </c>
      <c r="CU9" s="3">
        <v>3099.40837176984</v>
      </c>
      <c r="CV9" s="3">
        <v>868.09969419416461</v>
      </c>
      <c r="CW9" s="3">
        <v>0</v>
      </c>
      <c r="CX9" s="3">
        <v>0</v>
      </c>
      <c r="CY9" s="3">
        <v>3967.5080659640043</v>
      </c>
      <c r="CZ9" s="7" t="s">
        <v>101</v>
      </c>
      <c r="DA9" s="2" t="s">
        <v>29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7" t="s">
        <v>101</v>
      </c>
      <c r="DH9" s="2" t="s">
        <v>29</v>
      </c>
      <c r="DI9" s="3">
        <v>0</v>
      </c>
      <c r="DJ9" s="3">
        <v>11786.741126077515</v>
      </c>
      <c r="DK9" s="3">
        <v>0</v>
      </c>
      <c r="DL9" s="3">
        <v>0</v>
      </c>
      <c r="DM9" s="3">
        <v>11786.741126077515</v>
      </c>
      <c r="DN9" s="7" t="s">
        <v>101</v>
      </c>
      <c r="DO9" s="2" t="s">
        <v>29</v>
      </c>
      <c r="DP9" s="3">
        <v>3051.8267279411757</v>
      </c>
      <c r="DQ9" s="3">
        <v>24542.078503252138</v>
      </c>
      <c r="DR9" s="3">
        <v>0</v>
      </c>
      <c r="DS9" s="3">
        <v>0</v>
      </c>
      <c r="DT9" s="3">
        <v>27593.905231193312</v>
      </c>
      <c r="DU9" s="7" t="s">
        <v>101</v>
      </c>
      <c r="DV9" s="2" t="s">
        <v>29</v>
      </c>
      <c r="DW9" s="3">
        <v>35821.706584319596</v>
      </c>
      <c r="DX9" s="3">
        <v>132609.44872409553</v>
      </c>
      <c r="DY9" s="3">
        <v>0</v>
      </c>
      <c r="DZ9" s="3">
        <v>0</v>
      </c>
      <c r="EA9" s="3">
        <v>168431.15530841512</v>
      </c>
      <c r="EB9" s="7" t="s">
        <v>101</v>
      </c>
      <c r="EC9" s="2" t="s">
        <v>29</v>
      </c>
      <c r="ED9" s="3">
        <v>329884.56279286335</v>
      </c>
      <c r="EE9" s="3">
        <v>357126.7478478644</v>
      </c>
      <c r="EF9" s="3">
        <v>0</v>
      </c>
      <c r="EG9" s="3">
        <v>0</v>
      </c>
      <c r="EH9" s="3">
        <v>687011.31064072775</v>
      </c>
    </row>
    <row r="10" spans="1:138" ht="10.199999999999999" customHeight="1" x14ac:dyDescent="0.25">
      <c r="A10" s="7" t="s">
        <v>106</v>
      </c>
      <c r="B10" s="2" t="s">
        <v>34</v>
      </c>
      <c r="C10" s="3">
        <f t="shared" si="4"/>
        <v>0</v>
      </c>
      <c r="D10" s="3">
        <f t="shared" si="5"/>
        <v>1125.1297972469927</v>
      </c>
      <c r="E10" s="3">
        <f t="shared" si="6"/>
        <v>51740210.300465278</v>
      </c>
      <c r="F10" s="3">
        <f t="shared" si="7"/>
        <v>748855.29540870851</v>
      </c>
      <c r="G10" s="3">
        <f t="shared" si="8"/>
        <v>2009.0156995050352</v>
      </c>
      <c r="H10" s="3">
        <f t="shared" si="9"/>
        <v>0</v>
      </c>
      <c r="I10" s="3">
        <f t="shared" si="10"/>
        <v>34929.901186586081</v>
      </c>
      <c r="J10" s="3">
        <f t="shared" si="11"/>
        <v>3194033.3626959021</v>
      </c>
      <c r="K10" s="3">
        <f t="shared" si="12"/>
        <v>12867.84707021008</v>
      </c>
      <c r="L10" s="3">
        <f t="shared" si="13"/>
        <v>1839828.2822457033</v>
      </c>
      <c r="M10" s="3">
        <f t="shared" si="14"/>
        <v>244158.73387681227</v>
      </c>
      <c r="N10" s="3">
        <f t="shared" si="15"/>
        <v>531148.48033394665</v>
      </c>
      <c r="O10" s="3">
        <f t="shared" si="16"/>
        <v>58349166.348779902</v>
      </c>
      <c r="P10" s="7" t="s">
        <v>106</v>
      </c>
      <c r="Q10" s="2" t="s">
        <v>34</v>
      </c>
      <c r="R10" s="3">
        <f t="shared" si="17"/>
        <v>0</v>
      </c>
      <c r="S10" s="3">
        <f t="shared" si="17"/>
        <v>1125.1297972469927</v>
      </c>
      <c r="T10" s="3">
        <f t="shared" si="17"/>
        <v>51740210.300465278</v>
      </c>
      <c r="U10" s="3">
        <f t="shared" si="17"/>
        <v>748855.29540870851</v>
      </c>
      <c r="V10" s="3">
        <f t="shared" si="17"/>
        <v>2009.0156995050352</v>
      </c>
      <c r="W10" s="3">
        <f t="shared" si="17"/>
        <v>0</v>
      </c>
      <c r="X10" s="3">
        <f t="shared" si="17"/>
        <v>34929.901186586081</v>
      </c>
      <c r="Y10" s="3">
        <f t="shared" si="17"/>
        <v>3194033.3626959021</v>
      </c>
      <c r="Z10" s="3">
        <f t="shared" si="17"/>
        <v>12867.84707021008</v>
      </c>
      <c r="AA10" s="3">
        <f t="shared" si="17"/>
        <v>1839828.2822457033</v>
      </c>
      <c r="AB10" s="3">
        <f t="shared" si="18"/>
        <v>57573859.134569146</v>
      </c>
      <c r="AC10" s="7" t="s">
        <v>106</v>
      </c>
      <c r="AD10" s="2" t="s">
        <v>34</v>
      </c>
      <c r="AE10" s="3">
        <f t="shared" si="19"/>
        <v>244158.73387681227</v>
      </c>
      <c r="AF10" s="3">
        <f t="shared" si="19"/>
        <v>531148.48033394665</v>
      </c>
      <c r="AG10" s="3">
        <f t="shared" si="20"/>
        <v>775307.21421075892</v>
      </c>
      <c r="AH10" s="7" t="s">
        <v>106</v>
      </c>
      <c r="AI10" s="2" t="s">
        <v>34</v>
      </c>
      <c r="AJ10" s="3">
        <f t="shared" si="21"/>
        <v>10358146.207061376</v>
      </c>
      <c r="AK10" s="3">
        <f t="shared" si="1"/>
        <v>185953.98482221071</v>
      </c>
      <c r="AL10" s="3">
        <f t="shared" si="1"/>
        <v>38535.607456787329</v>
      </c>
      <c r="AM10" s="3">
        <f t="shared" si="1"/>
        <v>47766530.549439527</v>
      </c>
      <c r="AN10" s="3">
        <f t="shared" si="22"/>
        <v>58349166.348779902</v>
      </c>
      <c r="AO10" s="7" t="s">
        <v>106</v>
      </c>
      <c r="AP10" s="2" t="s">
        <v>34</v>
      </c>
      <c r="AQ10" s="3">
        <f t="shared" si="23"/>
        <v>10069906.59254425</v>
      </c>
      <c r="AR10" s="3">
        <f t="shared" si="2"/>
        <v>135511.4800839012</v>
      </c>
      <c r="AS10" s="3">
        <f t="shared" si="2"/>
        <v>26024.859750331096</v>
      </c>
      <c r="AT10" s="3">
        <f t="shared" si="2"/>
        <v>47342416.20219066</v>
      </c>
      <c r="AU10" s="3">
        <f t="shared" si="24"/>
        <v>57573859.134569138</v>
      </c>
      <c r="AV10" s="7" t="s">
        <v>106</v>
      </c>
      <c r="AW10" s="2" t="s">
        <v>34</v>
      </c>
      <c r="AX10" s="3">
        <f t="shared" si="25"/>
        <v>288239.61451712681</v>
      </c>
      <c r="AY10" s="3">
        <f t="shared" si="3"/>
        <v>50442.504738309501</v>
      </c>
      <c r="AZ10" s="3">
        <f t="shared" si="3"/>
        <v>12510.747706456234</v>
      </c>
      <c r="BA10" s="3">
        <f t="shared" si="3"/>
        <v>424114.34724886628</v>
      </c>
      <c r="BB10" s="3">
        <f t="shared" si="26"/>
        <v>775307.2142107588</v>
      </c>
      <c r="BC10" s="7" t="s">
        <v>106</v>
      </c>
      <c r="BD10" s="2" t="s">
        <v>34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7" t="s">
        <v>106</v>
      </c>
      <c r="BK10" s="2" t="s">
        <v>34</v>
      </c>
      <c r="BL10" s="3">
        <v>1125.1297972469927</v>
      </c>
      <c r="BM10" s="3">
        <v>0</v>
      </c>
      <c r="BN10" s="3">
        <v>0</v>
      </c>
      <c r="BO10" s="3">
        <v>0</v>
      </c>
      <c r="BP10" s="3">
        <v>1125.1297972469927</v>
      </c>
      <c r="BQ10" s="7" t="s">
        <v>106</v>
      </c>
      <c r="BR10" s="2" t="s">
        <v>34</v>
      </c>
      <c r="BS10" s="3">
        <v>6074818.1258327235</v>
      </c>
      <c r="BT10" s="3">
        <v>104256.23088713529</v>
      </c>
      <c r="BU10" s="3">
        <v>0</v>
      </c>
      <c r="BV10" s="3">
        <v>45561135.943745419</v>
      </c>
      <c r="BW10" s="3">
        <v>51740210.300465278</v>
      </c>
      <c r="BX10" s="7" t="s">
        <v>106</v>
      </c>
      <c r="BY10" s="2" t="s">
        <v>34</v>
      </c>
      <c r="BZ10" s="3">
        <v>746734.72367246414</v>
      </c>
      <c r="CA10" s="3">
        <v>2120.5717362443315</v>
      </c>
      <c r="CB10" s="3">
        <v>0</v>
      </c>
      <c r="CC10" s="3">
        <v>0</v>
      </c>
      <c r="CD10" s="3">
        <v>748855.29540870851</v>
      </c>
      <c r="CE10" s="7" t="s">
        <v>106</v>
      </c>
      <c r="CF10" s="2" t="s">
        <v>34</v>
      </c>
      <c r="CG10" s="3">
        <v>2009.0156995050352</v>
      </c>
      <c r="CH10" s="3">
        <v>0</v>
      </c>
      <c r="CI10" s="3">
        <v>0</v>
      </c>
      <c r="CJ10" s="3">
        <v>0</v>
      </c>
      <c r="CK10" s="3">
        <v>2009.0156995050352</v>
      </c>
      <c r="CL10" s="7" t="s">
        <v>106</v>
      </c>
      <c r="CM10" s="2" t="s">
        <v>34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7" t="s">
        <v>106</v>
      </c>
      <c r="CT10" s="2" t="s">
        <v>34</v>
      </c>
      <c r="CU10" s="3">
        <v>8905.0414362549836</v>
      </c>
      <c r="CV10" s="3">
        <v>0</v>
      </c>
      <c r="CW10" s="3">
        <v>26024.859750331096</v>
      </c>
      <c r="CX10" s="3">
        <v>0</v>
      </c>
      <c r="CY10" s="3">
        <v>34929.901186586081</v>
      </c>
      <c r="CZ10" s="7" t="s">
        <v>106</v>
      </c>
      <c r="DA10" s="2" t="s">
        <v>34</v>
      </c>
      <c r="DB10" s="3">
        <v>12867.84707021008</v>
      </c>
      <c r="DC10" s="3">
        <v>0</v>
      </c>
      <c r="DD10" s="3">
        <v>0</v>
      </c>
      <c r="DE10" s="3">
        <v>0</v>
      </c>
      <c r="DF10" s="3">
        <v>12867.84707021008</v>
      </c>
      <c r="DG10" s="7" t="s">
        <v>106</v>
      </c>
      <c r="DH10" s="2" t="s">
        <v>34</v>
      </c>
      <c r="DI10" s="3">
        <v>3194033.3626959021</v>
      </c>
      <c r="DJ10" s="3">
        <v>0</v>
      </c>
      <c r="DK10" s="3">
        <v>0</v>
      </c>
      <c r="DL10" s="3">
        <v>0</v>
      </c>
      <c r="DM10" s="3">
        <v>3194033.3626959021</v>
      </c>
      <c r="DN10" s="7" t="s">
        <v>106</v>
      </c>
      <c r="DO10" s="2" t="s">
        <v>34</v>
      </c>
      <c r="DP10" s="3">
        <v>29413.346339943149</v>
      </c>
      <c r="DQ10" s="3">
        <v>29134.677460521583</v>
      </c>
      <c r="DR10" s="3">
        <v>0</v>
      </c>
      <c r="DS10" s="3">
        <v>1781280.2584452385</v>
      </c>
      <c r="DT10" s="3">
        <v>1839828.2822457033</v>
      </c>
      <c r="DU10" s="7" t="s">
        <v>106</v>
      </c>
      <c r="DV10" s="2" t="s">
        <v>34</v>
      </c>
      <c r="DW10" s="3">
        <v>45224.571493146446</v>
      </c>
      <c r="DX10" s="3">
        <v>49298.813885477626</v>
      </c>
      <c r="DY10" s="3">
        <v>12510.747706456234</v>
      </c>
      <c r="DZ10" s="3">
        <v>424114.34724886628</v>
      </c>
      <c r="EA10" s="3">
        <v>531148.48033394665</v>
      </c>
      <c r="EB10" s="7" t="s">
        <v>106</v>
      </c>
      <c r="EC10" s="2" t="s">
        <v>34</v>
      </c>
      <c r="ED10" s="3">
        <v>243015.0430239804</v>
      </c>
      <c r="EE10" s="3">
        <v>1143.6908528318741</v>
      </c>
      <c r="EF10" s="3">
        <v>0</v>
      </c>
      <c r="EG10" s="3">
        <v>0</v>
      </c>
      <c r="EH10" s="3">
        <v>244158.73387681227</v>
      </c>
    </row>
    <row r="11" spans="1:138" ht="10.199999999999999" customHeight="1" x14ac:dyDescent="0.25">
      <c r="A11" s="7" t="s">
        <v>103</v>
      </c>
      <c r="B11" s="2" t="s">
        <v>31</v>
      </c>
      <c r="C11" s="3">
        <f t="shared" si="4"/>
        <v>2533.5872261584996</v>
      </c>
      <c r="D11" s="3">
        <f t="shared" si="5"/>
        <v>2688.9450855230298</v>
      </c>
      <c r="E11" s="3">
        <f t="shared" si="6"/>
        <v>0</v>
      </c>
      <c r="F11" s="3">
        <f t="shared" si="7"/>
        <v>1257101.1198465277</v>
      </c>
      <c r="G11" s="3">
        <f t="shared" si="8"/>
        <v>0</v>
      </c>
      <c r="H11" s="3">
        <f t="shared" si="9"/>
        <v>0</v>
      </c>
      <c r="I11" s="3">
        <f t="shared" si="10"/>
        <v>79963.191029758978</v>
      </c>
      <c r="J11" s="3">
        <f t="shared" si="11"/>
        <v>3929.5825481635347</v>
      </c>
      <c r="K11" s="3">
        <f t="shared" si="12"/>
        <v>0</v>
      </c>
      <c r="L11" s="3">
        <f t="shared" si="13"/>
        <v>9169.9571025156929</v>
      </c>
      <c r="M11" s="3">
        <f t="shared" si="14"/>
        <v>6448277.285008138</v>
      </c>
      <c r="N11" s="3">
        <f t="shared" si="15"/>
        <v>916909.95483257074</v>
      </c>
      <c r="O11" s="3">
        <f t="shared" si="16"/>
        <v>8720573.6226793565</v>
      </c>
      <c r="P11" s="7" t="s">
        <v>103</v>
      </c>
      <c r="Q11" s="2" t="s">
        <v>31</v>
      </c>
      <c r="R11" s="3">
        <f t="shared" si="17"/>
        <v>2533.5872261584996</v>
      </c>
      <c r="S11" s="3">
        <f t="shared" si="17"/>
        <v>2688.9450855230298</v>
      </c>
      <c r="T11" s="3">
        <f t="shared" si="17"/>
        <v>0</v>
      </c>
      <c r="U11" s="3">
        <f t="shared" si="17"/>
        <v>1257101.1198465277</v>
      </c>
      <c r="V11" s="3">
        <f t="shared" si="17"/>
        <v>0</v>
      </c>
      <c r="W11" s="3">
        <f t="shared" si="17"/>
        <v>0</v>
      </c>
      <c r="X11" s="3">
        <f t="shared" si="17"/>
        <v>79963.191029758978</v>
      </c>
      <c r="Y11" s="3">
        <f t="shared" si="17"/>
        <v>3929.5825481635347</v>
      </c>
      <c r="Z11" s="3">
        <f t="shared" si="17"/>
        <v>0</v>
      </c>
      <c r="AA11" s="3">
        <f t="shared" si="17"/>
        <v>9169.9571025156929</v>
      </c>
      <c r="AB11" s="3">
        <f t="shared" si="18"/>
        <v>1355386.3828386473</v>
      </c>
      <c r="AC11" s="7" t="s">
        <v>103</v>
      </c>
      <c r="AD11" s="2" t="s">
        <v>31</v>
      </c>
      <c r="AE11" s="3">
        <f t="shared" si="19"/>
        <v>6448277.285008138</v>
      </c>
      <c r="AF11" s="3">
        <f t="shared" si="19"/>
        <v>916909.95483257074</v>
      </c>
      <c r="AG11" s="3">
        <f t="shared" si="20"/>
        <v>7365187.2398407087</v>
      </c>
      <c r="AH11" s="7" t="s">
        <v>103</v>
      </c>
      <c r="AI11" s="2" t="s">
        <v>31</v>
      </c>
      <c r="AJ11" s="3">
        <f t="shared" si="21"/>
        <v>4288482.2780194273</v>
      </c>
      <c r="AK11" s="3">
        <f t="shared" si="1"/>
        <v>3631605.9620607505</v>
      </c>
      <c r="AL11" s="3">
        <f t="shared" si="1"/>
        <v>800485.38259917835</v>
      </c>
      <c r="AM11" s="3">
        <f t="shared" si="1"/>
        <v>0</v>
      </c>
      <c r="AN11" s="3">
        <f t="shared" si="22"/>
        <v>8720573.6226793565</v>
      </c>
      <c r="AO11" s="7" t="s">
        <v>103</v>
      </c>
      <c r="AP11" s="2" t="s">
        <v>31</v>
      </c>
      <c r="AQ11" s="3">
        <f t="shared" si="23"/>
        <v>877690.72667567502</v>
      </c>
      <c r="AR11" s="3">
        <f t="shared" si="2"/>
        <v>477695.6561629725</v>
      </c>
      <c r="AS11" s="3">
        <f t="shared" si="2"/>
        <v>0</v>
      </c>
      <c r="AT11" s="3">
        <f t="shared" si="2"/>
        <v>0</v>
      </c>
      <c r="AU11" s="3">
        <f t="shared" si="24"/>
        <v>1355386.3828386476</v>
      </c>
      <c r="AV11" s="7" t="s">
        <v>103</v>
      </c>
      <c r="AW11" s="2" t="s">
        <v>31</v>
      </c>
      <c r="AX11" s="3">
        <f t="shared" si="25"/>
        <v>3410791.5513437525</v>
      </c>
      <c r="AY11" s="3">
        <f t="shared" si="3"/>
        <v>3153910.3058977779</v>
      </c>
      <c r="AZ11" s="3">
        <f t="shared" si="3"/>
        <v>800485.38259917835</v>
      </c>
      <c r="BA11" s="3">
        <f t="shared" si="3"/>
        <v>0</v>
      </c>
      <c r="BB11" s="3">
        <f t="shared" si="26"/>
        <v>7365187.2398407087</v>
      </c>
      <c r="BC11" s="7" t="s">
        <v>103</v>
      </c>
      <c r="BD11" s="2" t="s">
        <v>31</v>
      </c>
      <c r="BE11" s="17">
        <v>2533.5872261584996</v>
      </c>
      <c r="BF11" s="17">
        <v>0</v>
      </c>
      <c r="BG11" s="17">
        <v>0</v>
      </c>
      <c r="BH11" s="17">
        <v>0</v>
      </c>
      <c r="BI11" s="17">
        <v>2533.5872261584996</v>
      </c>
      <c r="BJ11" s="7" t="s">
        <v>103</v>
      </c>
      <c r="BK11" s="2" t="s">
        <v>31</v>
      </c>
      <c r="BL11" s="3">
        <v>1363.5877503703225</v>
      </c>
      <c r="BM11" s="3">
        <v>1325.357335152707</v>
      </c>
      <c r="BN11" s="3">
        <v>0</v>
      </c>
      <c r="BO11" s="3">
        <v>0</v>
      </c>
      <c r="BP11" s="3">
        <v>2688.9450855230298</v>
      </c>
      <c r="BQ11" s="7" t="s">
        <v>103</v>
      </c>
      <c r="BR11" s="2" t="s">
        <v>31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7" t="s">
        <v>103</v>
      </c>
      <c r="BY11" s="2" t="s">
        <v>31</v>
      </c>
      <c r="BZ11" s="3">
        <v>793560.28002298612</v>
      </c>
      <c r="CA11" s="3">
        <v>463540.83982354164</v>
      </c>
      <c r="CB11" s="3">
        <v>0</v>
      </c>
      <c r="CC11" s="3">
        <v>0</v>
      </c>
      <c r="CD11" s="3">
        <v>1257101.1198465277</v>
      </c>
      <c r="CE11" s="7" t="s">
        <v>103</v>
      </c>
      <c r="CF11" s="2" t="s">
        <v>31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7" t="s">
        <v>103</v>
      </c>
      <c r="CM11" s="2" t="s">
        <v>31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7" t="s">
        <v>103</v>
      </c>
      <c r="CT11" s="2" t="s">
        <v>31</v>
      </c>
      <c r="CU11" s="3">
        <v>70420.618216659481</v>
      </c>
      <c r="CV11" s="3">
        <v>9542.5728130994921</v>
      </c>
      <c r="CW11" s="3">
        <v>0</v>
      </c>
      <c r="CX11" s="3">
        <v>0</v>
      </c>
      <c r="CY11" s="3">
        <v>79963.191029758978</v>
      </c>
      <c r="CZ11" s="7" t="s">
        <v>103</v>
      </c>
      <c r="DA11" s="2" t="s">
        <v>31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7" t="s">
        <v>103</v>
      </c>
      <c r="DH11" s="2" t="s">
        <v>31</v>
      </c>
      <c r="DI11" s="3">
        <v>2551.210919604719</v>
      </c>
      <c r="DJ11" s="3">
        <v>1378.3716285588155</v>
      </c>
      <c r="DK11" s="3">
        <v>0</v>
      </c>
      <c r="DL11" s="3">
        <v>0</v>
      </c>
      <c r="DM11" s="3">
        <v>3929.5825481635347</v>
      </c>
      <c r="DN11" s="7" t="s">
        <v>103</v>
      </c>
      <c r="DO11" s="2" t="s">
        <v>31</v>
      </c>
      <c r="DP11" s="3">
        <v>7261.4425398957947</v>
      </c>
      <c r="DQ11" s="3">
        <v>1908.5145626198985</v>
      </c>
      <c r="DR11" s="3">
        <v>0</v>
      </c>
      <c r="DS11" s="3">
        <v>0</v>
      </c>
      <c r="DT11" s="3">
        <v>9169.9571025156929</v>
      </c>
      <c r="DU11" s="7" t="s">
        <v>103</v>
      </c>
      <c r="DV11" s="2" t="s">
        <v>31</v>
      </c>
      <c r="DW11" s="3">
        <v>72130.617051039837</v>
      </c>
      <c r="DX11" s="3">
        <v>44293.955182352562</v>
      </c>
      <c r="DY11" s="3">
        <v>800485.38259917835</v>
      </c>
      <c r="DZ11" s="3">
        <v>0</v>
      </c>
      <c r="EA11" s="3">
        <v>916909.95483257074</v>
      </c>
      <c r="EB11" s="7" t="s">
        <v>103</v>
      </c>
      <c r="EC11" s="2" t="s">
        <v>31</v>
      </c>
      <c r="ED11" s="3">
        <v>3338660.9342927127</v>
      </c>
      <c r="EE11" s="3">
        <v>3109616.3507154253</v>
      </c>
      <c r="EF11" s="3">
        <v>0</v>
      </c>
      <c r="EG11" s="3">
        <v>0</v>
      </c>
      <c r="EH11" s="3">
        <v>6448277.285008138</v>
      </c>
    </row>
    <row r="12" spans="1:138" ht="10.199999999999999" customHeight="1" x14ac:dyDescent="0.25">
      <c r="A12" s="7" t="s">
        <v>99</v>
      </c>
      <c r="B12" s="2" t="s">
        <v>27</v>
      </c>
      <c r="C12" s="3">
        <f t="shared" si="4"/>
        <v>99196.051213501778</v>
      </c>
      <c r="D12" s="3">
        <f t="shared" si="5"/>
        <v>20.855531346962902</v>
      </c>
      <c r="E12" s="3">
        <f t="shared" si="6"/>
        <v>0</v>
      </c>
      <c r="F12" s="3">
        <f t="shared" si="7"/>
        <v>6520141.7559000421</v>
      </c>
      <c r="G12" s="3">
        <f t="shared" si="8"/>
        <v>187928.07747757682</v>
      </c>
      <c r="H12" s="3">
        <f t="shared" si="9"/>
        <v>0</v>
      </c>
      <c r="I12" s="3">
        <f t="shared" si="10"/>
        <v>578779.56506897532</v>
      </c>
      <c r="J12" s="3">
        <f t="shared" si="11"/>
        <v>510.74770645623431</v>
      </c>
      <c r="K12" s="3">
        <f t="shared" si="12"/>
        <v>846573.28870133962</v>
      </c>
      <c r="L12" s="3">
        <f t="shared" si="13"/>
        <v>8642.3505834664156</v>
      </c>
      <c r="M12" s="3">
        <f t="shared" si="14"/>
        <v>2349771.1315107336</v>
      </c>
      <c r="N12" s="3">
        <f t="shared" si="15"/>
        <v>18024197.514315847</v>
      </c>
      <c r="O12" s="3">
        <f t="shared" si="16"/>
        <v>28615761.338009287</v>
      </c>
      <c r="P12" s="7" t="s">
        <v>99</v>
      </c>
      <c r="Q12" s="2" t="s">
        <v>27</v>
      </c>
      <c r="R12" s="3">
        <f t="shared" si="17"/>
        <v>99196.051213501778</v>
      </c>
      <c r="S12" s="3">
        <f t="shared" si="17"/>
        <v>20.855531346962902</v>
      </c>
      <c r="T12" s="3">
        <f t="shared" si="17"/>
        <v>0</v>
      </c>
      <c r="U12" s="3">
        <f t="shared" si="17"/>
        <v>6520141.7559000421</v>
      </c>
      <c r="V12" s="3">
        <f t="shared" si="17"/>
        <v>187928.07747757682</v>
      </c>
      <c r="W12" s="3">
        <f t="shared" si="17"/>
        <v>0</v>
      </c>
      <c r="X12" s="3">
        <f t="shared" si="17"/>
        <v>578779.56506897532</v>
      </c>
      <c r="Y12" s="3">
        <f t="shared" si="17"/>
        <v>510.74770645623431</v>
      </c>
      <c r="Z12" s="3">
        <f t="shared" si="17"/>
        <v>846573.28870133962</v>
      </c>
      <c r="AA12" s="3">
        <f t="shared" si="17"/>
        <v>8642.3505834664156</v>
      </c>
      <c r="AB12" s="3">
        <f t="shared" si="18"/>
        <v>8241792.6921827057</v>
      </c>
      <c r="AC12" s="7" t="s">
        <v>99</v>
      </c>
      <c r="AD12" s="2" t="s">
        <v>27</v>
      </c>
      <c r="AE12" s="3">
        <f t="shared" si="19"/>
        <v>2349771.1315107336</v>
      </c>
      <c r="AF12" s="3">
        <f t="shared" si="19"/>
        <v>18024197.514315847</v>
      </c>
      <c r="AG12" s="3">
        <f t="shared" si="20"/>
        <v>20373968.645826582</v>
      </c>
      <c r="AH12" s="7" t="s">
        <v>99</v>
      </c>
      <c r="AI12" s="2" t="s">
        <v>27</v>
      </c>
      <c r="AJ12" s="3">
        <f t="shared" si="21"/>
        <v>1934034.5857549158</v>
      </c>
      <c r="AK12" s="3">
        <f t="shared" si="1"/>
        <v>8426008.7193246931</v>
      </c>
      <c r="AL12" s="3">
        <f t="shared" si="1"/>
        <v>17574721.090988029</v>
      </c>
      <c r="AM12" s="3">
        <f t="shared" si="1"/>
        <v>680996.94194164569</v>
      </c>
      <c r="AN12" s="3">
        <f t="shared" si="22"/>
        <v>28615761.338009283</v>
      </c>
      <c r="AO12" s="7" t="s">
        <v>99</v>
      </c>
      <c r="AP12" s="2" t="s">
        <v>27</v>
      </c>
      <c r="AQ12" s="3">
        <f t="shared" si="23"/>
        <v>1605018.2732638814</v>
      </c>
      <c r="AR12" s="3">
        <f t="shared" si="2"/>
        <v>4754813.9550810931</v>
      </c>
      <c r="AS12" s="3">
        <f t="shared" si="2"/>
        <v>1881960.4638377295</v>
      </c>
      <c r="AT12" s="3">
        <f t="shared" si="2"/>
        <v>0</v>
      </c>
      <c r="AU12" s="3">
        <f t="shared" si="24"/>
        <v>8241792.6921827048</v>
      </c>
      <c r="AV12" s="7" t="s">
        <v>99</v>
      </c>
      <c r="AW12" s="2" t="s">
        <v>27</v>
      </c>
      <c r="AX12" s="3">
        <f t="shared" si="25"/>
        <v>329016.31249103439</v>
      </c>
      <c r="AY12" s="3">
        <f t="shared" si="3"/>
        <v>3671194.764243599</v>
      </c>
      <c r="AZ12" s="3">
        <f t="shared" si="3"/>
        <v>15692760.627150301</v>
      </c>
      <c r="BA12" s="3">
        <f t="shared" si="3"/>
        <v>680996.94194164569</v>
      </c>
      <c r="BB12" s="3">
        <f t="shared" si="26"/>
        <v>20373968.645826578</v>
      </c>
      <c r="BC12" s="7" t="s">
        <v>99</v>
      </c>
      <c r="BD12" s="2" t="s">
        <v>27</v>
      </c>
      <c r="BE12" s="17">
        <v>96711.78571428571</v>
      </c>
      <c r="BF12" s="17">
        <v>2484.2654992160733</v>
      </c>
      <c r="BG12" s="17">
        <v>0</v>
      </c>
      <c r="BH12" s="17">
        <v>0</v>
      </c>
      <c r="BI12" s="17">
        <v>99196.051213501778</v>
      </c>
      <c r="BJ12" s="7" t="s">
        <v>99</v>
      </c>
      <c r="BK12" s="2" t="s">
        <v>27</v>
      </c>
      <c r="BL12" s="3">
        <v>0</v>
      </c>
      <c r="BM12" s="3">
        <v>0</v>
      </c>
      <c r="BN12" s="3">
        <v>20.855531346962902</v>
      </c>
      <c r="BO12" s="3">
        <v>0</v>
      </c>
      <c r="BP12" s="3">
        <v>20.855531346962902</v>
      </c>
      <c r="BQ12" s="7" t="s">
        <v>99</v>
      </c>
      <c r="BR12" s="2" t="s">
        <v>27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7" t="s">
        <v>99</v>
      </c>
      <c r="BY12" s="2" t="s">
        <v>27</v>
      </c>
      <c r="BZ12" s="3">
        <v>576051.36985235754</v>
      </c>
      <c r="CA12" s="3">
        <v>4110231.6381231756</v>
      </c>
      <c r="CB12" s="3">
        <v>1833858.747924509</v>
      </c>
      <c r="CC12" s="3">
        <v>0</v>
      </c>
      <c r="CD12" s="3">
        <v>6520141.7559000421</v>
      </c>
      <c r="CE12" s="7" t="s">
        <v>99</v>
      </c>
      <c r="CF12" s="2" t="s">
        <v>27</v>
      </c>
      <c r="CG12" s="3">
        <v>171166.74341785716</v>
      </c>
      <c r="CH12" s="3">
        <v>16761.334059719658</v>
      </c>
      <c r="CI12" s="3">
        <v>0</v>
      </c>
      <c r="CJ12" s="3">
        <v>0</v>
      </c>
      <c r="CK12" s="3">
        <v>187928.07747757682</v>
      </c>
      <c r="CL12" s="7" t="s">
        <v>99</v>
      </c>
      <c r="CM12" s="2" t="s">
        <v>27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7" t="s">
        <v>99</v>
      </c>
      <c r="CT12" s="2" t="s">
        <v>27</v>
      </c>
      <c r="CU12" s="3">
        <v>40210.502442752302</v>
      </c>
      <c r="CV12" s="3">
        <v>492871.69154114532</v>
      </c>
      <c r="CW12" s="3">
        <v>45697.371085077742</v>
      </c>
      <c r="CX12" s="3">
        <v>0</v>
      </c>
      <c r="CY12" s="3">
        <v>578779.56506897532</v>
      </c>
      <c r="CZ12" s="7" t="s">
        <v>99</v>
      </c>
      <c r="DA12" s="2" t="s">
        <v>27</v>
      </c>
      <c r="DB12" s="3">
        <v>717889.28797576076</v>
      </c>
      <c r="DC12" s="3">
        <v>126300.51142878302</v>
      </c>
      <c r="DD12" s="3">
        <v>2383.4892967957603</v>
      </c>
      <c r="DE12" s="3">
        <v>0</v>
      </c>
      <c r="DF12" s="3">
        <v>846573.28870133962</v>
      </c>
      <c r="DG12" s="7" t="s">
        <v>99</v>
      </c>
      <c r="DH12" s="2" t="s">
        <v>27</v>
      </c>
      <c r="DI12" s="3">
        <v>510.74770645623431</v>
      </c>
      <c r="DJ12" s="3">
        <v>0</v>
      </c>
      <c r="DK12" s="3">
        <v>0</v>
      </c>
      <c r="DL12" s="3">
        <v>0</v>
      </c>
      <c r="DM12" s="3">
        <v>510.74770645623431</v>
      </c>
      <c r="DN12" s="7" t="s">
        <v>99</v>
      </c>
      <c r="DO12" s="2" t="s">
        <v>27</v>
      </c>
      <c r="DP12" s="3">
        <v>2477.8361544117647</v>
      </c>
      <c r="DQ12" s="3">
        <v>6164.5144290546505</v>
      </c>
      <c r="DR12" s="3">
        <v>0</v>
      </c>
      <c r="DS12" s="3">
        <v>0</v>
      </c>
      <c r="DT12" s="3">
        <v>8642.3505834664156</v>
      </c>
      <c r="DU12" s="7" t="s">
        <v>99</v>
      </c>
      <c r="DV12" s="2" t="s">
        <v>27</v>
      </c>
      <c r="DW12" s="3">
        <v>12106.137371954594</v>
      </c>
      <c r="DX12" s="3">
        <v>2484826.5896404982</v>
      </c>
      <c r="DY12" s="3">
        <v>14846267.845361749</v>
      </c>
      <c r="DZ12" s="3">
        <v>680996.94194164569</v>
      </c>
      <c r="EA12" s="3">
        <v>18024197.514315847</v>
      </c>
      <c r="EB12" s="7" t="s">
        <v>99</v>
      </c>
      <c r="EC12" s="2" t="s">
        <v>27</v>
      </c>
      <c r="ED12" s="3">
        <v>316910.17511907982</v>
      </c>
      <c r="EE12" s="3">
        <v>1186368.1746031009</v>
      </c>
      <c r="EF12" s="3">
        <v>846492.78178855265</v>
      </c>
      <c r="EG12" s="3">
        <v>0</v>
      </c>
      <c r="EH12" s="3">
        <v>2349771.1315107336</v>
      </c>
    </row>
    <row r="13" spans="1:138" ht="10.199999999999999" customHeight="1" x14ac:dyDescent="0.25">
      <c r="A13" s="7" t="s">
        <v>94</v>
      </c>
      <c r="B13" s="2" t="s">
        <v>22</v>
      </c>
      <c r="C13" s="3">
        <f t="shared" si="4"/>
        <v>0</v>
      </c>
      <c r="D13" s="3">
        <f t="shared" si="5"/>
        <v>6478.9950935176767</v>
      </c>
      <c r="E13" s="3">
        <f t="shared" si="6"/>
        <v>688999129.7466073</v>
      </c>
      <c r="F13" s="3">
        <f t="shared" si="7"/>
        <v>29740539.579370197</v>
      </c>
      <c r="G13" s="3">
        <f t="shared" si="8"/>
        <v>3066.9750481607803</v>
      </c>
      <c r="H13" s="3">
        <f t="shared" si="9"/>
        <v>303583895.28092885</v>
      </c>
      <c r="I13" s="3">
        <f t="shared" si="10"/>
        <v>139506.12298323525</v>
      </c>
      <c r="J13" s="3">
        <f t="shared" si="11"/>
        <v>661526973.19481862</v>
      </c>
      <c r="K13" s="3">
        <f t="shared" si="12"/>
        <v>26207126.357580151</v>
      </c>
      <c r="L13" s="3">
        <f t="shared" si="13"/>
        <v>29388.130940586318</v>
      </c>
      <c r="M13" s="3">
        <f t="shared" si="14"/>
        <v>2266041.6664188113</v>
      </c>
      <c r="N13" s="3">
        <f t="shared" si="15"/>
        <v>1098040793.0651333</v>
      </c>
      <c r="O13" s="3">
        <f t="shared" si="16"/>
        <v>2810542939.1149225</v>
      </c>
      <c r="P13" s="7" t="s">
        <v>94</v>
      </c>
      <c r="Q13" s="2" t="s">
        <v>22</v>
      </c>
      <c r="R13" s="3">
        <f t="shared" si="17"/>
        <v>0</v>
      </c>
      <c r="S13" s="3">
        <f t="shared" si="17"/>
        <v>6478.9950935176767</v>
      </c>
      <c r="T13" s="3">
        <f t="shared" si="17"/>
        <v>688999129.7466073</v>
      </c>
      <c r="U13" s="3">
        <f t="shared" si="17"/>
        <v>29740539.579370197</v>
      </c>
      <c r="V13" s="3">
        <f t="shared" si="17"/>
        <v>3066.9750481607803</v>
      </c>
      <c r="W13" s="3">
        <f t="shared" si="17"/>
        <v>303583895.28092885</v>
      </c>
      <c r="X13" s="3">
        <f t="shared" si="17"/>
        <v>139506.12298323525</v>
      </c>
      <c r="Y13" s="3">
        <f t="shared" si="17"/>
        <v>661526973.19481862</v>
      </c>
      <c r="Z13" s="3">
        <f t="shared" si="17"/>
        <v>26207126.357580151</v>
      </c>
      <c r="AA13" s="3">
        <f t="shared" si="17"/>
        <v>29388.130940586318</v>
      </c>
      <c r="AB13" s="3">
        <f t="shared" si="18"/>
        <v>1710236104.3833706</v>
      </c>
      <c r="AC13" s="7" t="s">
        <v>94</v>
      </c>
      <c r="AD13" s="2" t="s">
        <v>22</v>
      </c>
      <c r="AE13" s="3">
        <f t="shared" si="19"/>
        <v>2266041.6664188113</v>
      </c>
      <c r="AF13" s="3">
        <f t="shared" si="19"/>
        <v>1098040793.0651333</v>
      </c>
      <c r="AG13" s="3">
        <f t="shared" si="20"/>
        <v>1100306834.7315521</v>
      </c>
      <c r="AH13" s="7" t="s">
        <v>94</v>
      </c>
      <c r="AI13" s="2" t="s">
        <v>22</v>
      </c>
      <c r="AJ13" s="3">
        <f t="shared" si="21"/>
        <v>1997850.5587262767</v>
      </c>
      <c r="AK13" s="3">
        <f t="shared" si="1"/>
        <v>3111188.9971395219</v>
      </c>
      <c r="AL13" s="3">
        <f t="shared" si="1"/>
        <v>118569312.72295158</v>
      </c>
      <c r="AM13" s="3">
        <f t="shared" si="1"/>
        <v>2686864586.8361053</v>
      </c>
      <c r="AN13" s="3">
        <f t="shared" si="22"/>
        <v>2810542939.1149225</v>
      </c>
      <c r="AO13" s="7" t="s">
        <v>94</v>
      </c>
      <c r="AP13" s="2" t="s">
        <v>22</v>
      </c>
      <c r="AQ13" s="3">
        <f t="shared" si="23"/>
        <v>431394.32237181033</v>
      </c>
      <c r="AR13" s="3">
        <f t="shared" si="2"/>
        <v>2402855.5292566903</v>
      </c>
      <c r="AS13" s="3">
        <f t="shared" si="2"/>
        <v>118569312.72295158</v>
      </c>
      <c r="AT13" s="3">
        <f t="shared" si="2"/>
        <v>1588832541.8087907</v>
      </c>
      <c r="AU13" s="3">
        <f t="shared" si="24"/>
        <v>1710236104.3833709</v>
      </c>
      <c r="AV13" s="7" t="s">
        <v>94</v>
      </c>
      <c r="AW13" s="2" t="s">
        <v>22</v>
      </c>
      <c r="AX13" s="3">
        <f t="shared" si="25"/>
        <v>1566456.2363544663</v>
      </c>
      <c r="AY13" s="3">
        <f t="shared" si="3"/>
        <v>708333.46788283135</v>
      </c>
      <c r="AZ13" s="3">
        <f t="shared" si="3"/>
        <v>0</v>
      </c>
      <c r="BA13" s="3">
        <f t="shared" si="3"/>
        <v>1098032045.0273149</v>
      </c>
      <c r="BB13" s="3">
        <f t="shared" si="26"/>
        <v>1100306834.7315521</v>
      </c>
      <c r="BC13" s="7" t="s">
        <v>94</v>
      </c>
      <c r="BD13" s="2" t="s">
        <v>22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7" t="s">
        <v>94</v>
      </c>
      <c r="BK13" s="2" t="s">
        <v>22</v>
      </c>
      <c r="BL13" s="3">
        <v>1177.565752906848</v>
      </c>
      <c r="BM13" s="3">
        <v>0</v>
      </c>
      <c r="BN13" s="3">
        <v>0</v>
      </c>
      <c r="BO13" s="3">
        <v>5301.4293406108281</v>
      </c>
      <c r="BP13" s="3">
        <v>6478.9950935176767</v>
      </c>
      <c r="BQ13" s="7" t="s">
        <v>94</v>
      </c>
      <c r="BR13" s="2" t="s">
        <v>22</v>
      </c>
      <c r="BS13" s="3">
        <v>0</v>
      </c>
      <c r="BT13" s="3">
        <v>25372.640824163427</v>
      </c>
      <c r="BU13" s="3">
        <v>1908514.5626198982</v>
      </c>
      <c r="BV13" s="3">
        <v>687065242.5431633</v>
      </c>
      <c r="BW13" s="3">
        <v>688999129.7466073</v>
      </c>
      <c r="BX13" s="7" t="s">
        <v>94</v>
      </c>
      <c r="BY13" s="2" t="s">
        <v>22</v>
      </c>
      <c r="BZ13" s="3">
        <v>301260.77761362068</v>
      </c>
      <c r="CA13" s="3">
        <v>1574966.1875060606</v>
      </c>
      <c r="CB13" s="3">
        <v>0</v>
      </c>
      <c r="CC13" s="3">
        <v>27864312.614250515</v>
      </c>
      <c r="CD13" s="3">
        <v>29740539.579370197</v>
      </c>
      <c r="CE13" s="7" t="s">
        <v>94</v>
      </c>
      <c r="CF13" s="2" t="s">
        <v>22</v>
      </c>
      <c r="CG13" s="3">
        <v>1476.5462459775317</v>
      </c>
      <c r="CH13" s="3">
        <v>1590.4288021832485</v>
      </c>
      <c r="CI13" s="3">
        <v>0</v>
      </c>
      <c r="CJ13" s="3">
        <v>0</v>
      </c>
      <c r="CK13" s="3">
        <v>3066.9750481607803</v>
      </c>
      <c r="CL13" s="7" t="s">
        <v>94</v>
      </c>
      <c r="CM13" s="2" t="s">
        <v>22</v>
      </c>
      <c r="CN13" s="3">
        <v>0</v>
      </c>
      <c r="CO13" s="3">
        <v>0</v>
      </c>
      <c r="CP13" s="3">
        <v>111354067.39038023</v>
      </c>
      <c r="CQ13" s="3">
        <v>192229827.89054865</v>
      </c>
      <c r="CR13" s="3">
        <v>303583895.28092885</v>
      </c>
      <c r="CS13" s="7" t="s">
        <v>94</v>
      </c>
      <c r="CT13" s="2" t="s">
        <v>22</v>
      </c>
      <c r="CU13" s="3">
        <v>86058.147447702082</v>
      </c>
      <c r="CV13" s="3">
        <v>53447.975535533165</v>
      </c>
      <c r="CW13" s="3">
        <v>0</v>
      </c>
      <c r="CX13" s="3">
        <v>0</v>
      </c>
      <c r="CY13" s="3">
        <v>139506.12298323525</v>
      </c>
      <c r="CZ13" s="7" t="s">
        <v>94</v>
      </c>
      <c r="DA13" s="2" t="s">
        <v>22</v>
      </c>
      <c r="DB13" s="3">
        <v>12142.567843448131</v>
      </c>
      <c r="DC13" s="3">
        <v>742821.5254641166</v>
      </c>
      <c r="DD13" s="3">
        <v>5301.4293406108281</v>
      </c>
      <c r="DE13" s="3">
        <v>25446860.834931977</v>
      </c>
      <c r="DF13" s="3">
        <v>26207126.357580151</v>
      </c>
      <c r="DG13" s="7" t="s">
        <v>94</v>
      </c>
      <c r="DH13" s="2" t="s">
        <v>22</v>
      </c>
      <c r="DI13" s="3">
        <v>2045.2081109102128</v>
      </c>
      <c r="DJ13" s="3">
        <v>2502.1495412912468</v>
      </c>
      <c r="DK13" s="3">
        <v>5301429.3406108283</v>
      </c>
      <c r="DL13" s="3">
        <v>656220996.49655557</v>
      </c>
      <c r="DM13" s="3">
        <v>661526973.19481862</v>
      </c>
      <c r="DN13" s="7" t="s">
        <v>94</v>
      </c>
      <c r="DO13" s="2" t="s">
        <v>22</v>
      </c>
      <c r="DP13" s="3">
        <v>27233.509357244904</v>
      </c>
      <c r="DQ13" s="3">
        <v>2154.621583341414</v>
      </c>
      <c r="DR13" s="3">
        <v>0</v>
      </c>
      <c r="DS13" s="3">
        <v>0</v>
      </c>
      <c r="DT13" s="3">
        <v>29388.130940586318</v>
      </c>
      <c r="DU13" s="7" t="s">
        <v>94</v>
      </c>
      <c r="DV13" s="2" t="s">
        <v>22</v>
      </c>
      <c r="DW13" s="3">
        <v>8748.0378184864694</v>
      </c>
      <c r="DX13" s="3">
        <v>0</v>
      </c>
      <c r="DY13" s="3">
        <v>0</v>
      </c>
      <c r="DZ13" s="3">
        <v>1098032045.0273149</v>
      </c>
      <c r="EA13" s="3">
        <v>1098040793.0651333</v>
      </c>
      <c r="EB13" s="7" t="s">
        <v>94</v>
      </c>
      <c r="EC13" s="2" t="s">
        <v>22</v>
      </c>
      <c r="ED13" s="3">
        <v>1557708.1985359797</v>
      </c>
      <c r="EE13" s="3">
        <v>708333.46788283135</v>
      </c>
      <c r="EF13" s="3">
        <v>0</v>
      </c>
      <c r="EG13" s="3">
        <v>0</v>
      </c>
      <c r="EH13" s="3">
        <v>2266041.6664188113</v>
      </c>
    </row>
    <row r="14" spans="1:138" ht="10.199999999999999" customHeight="1" x14ac:dyDescent="0.25">
      <c r="A14" s="7" t="s">
        <v>97</v>
      </c>
      <c r="B14" s="2" t="s">
        <v>25</v>
      </c>
      <c r="C14" s="3">
        <f t="shared" si="4"/>
        <v>0</v>
      </c>
      <c r="D14" s="3">
        <f t="shared" si="5"/>
        <v>47185.130872045745</v>
      </c>
      <c r="E14" s="3">
        <f t="shared" si="6"/>
        <v>0</v>
      </c>
      <c r="F14" s="3">
        <f t="shared" si="7"/>
        <v>36934.682524192605</v>
      </c>
      <c r="G14" s="3">
        <f t="shared" si="8"/>
        <v>0</v>
      </c>
      <c r="H14" s="3">
        <f t="shared" si="9"/>
        <v>0</v>
      </c>
      <c r="I14" s="3">
        <f t="shared" si="10"/>
        <v>17.876169725968204</v>
      </c>
      <c r="J14" s="3">
        <f t="shared" si="11"/>
        <v>0</v>
      </c>
      <c r="K14" s="3">
        <f t="shared" si="12"/>
        <v>0</v>
      </c>
      <c r="L14" s="3">
        <f t="shared" si="13"/>
        <v>47611.12067730572</v>
      </c>
      <c r="M14" s="3">
        <f t="shared" si="14"/>
        <v>1037582.82389256</v>
      </c>
      <c r="N14" s="3">
        <f t="shared" si="15"/>
        <v>86199.117432925108</v>
      </c>
      <c r="O14" s="3">
        <f t="shared" si="16"/>
        <v>1255530.7515687551</v>
      </c>
      <c r="P14" s="7" t="s">
        <v>97</v>
      </c>
      <c r="Q14" s="2" t="s">
        <v>25</v>
      </c>
      <c r="R14" s="3">
        <f t="shared" si="17"/>
        <v>0</v>
      </c>
      <c r="S14" s="3">
        <f t="shared" si="17"/>
        <v>47185.130872045745</v>
      </c>
      <c r="T14" s="3">
        <f t="shared" si="17"/>
        <v>0</v>
      </c>
      <c r="U14" s="3">
        <f t="shared" si="17"/>
        <v>36934.682524192605</v>
      </c>
      <c r="V14" s="3">
        <f t="shared" si="17"/>
        <v>0</v>
      </c>
      <c r="W14" s="3">
        <f t="shared" si="17"/>
        <v>0</v>
      </c>
      <c r="X14" s="3">
        <f t="shared" si="17"/>
        <v>17.876169725968204</v>
      </c>
      <c r="Y14" s="3">
        <f t="shared" si="17"/>
        <v>0</v>
      </c>
      <c r="Z14" s="3">
        <f t="shared" si="17"/>
        <v>0</v>
      </c>
      <c r="AA14" s="3">
        <f t="shared" si="17"/>
        <v>47611.12067730572</v>
      </c>
      <c r="AB14" s="3">
        <f t="shared" si="18"/>
        <v>131748.81024327001</v>
      </c>
      <c r="AC14" s="7" t="s">
        <v>97</v>
      </c>
      <c r="AD14" s="2" t="s">
        <v>25</v>
      </c>
      <c r="AE14" s="3">
        <f t="shared" si="19"/>
        <v>1037582.82389256</v>
      </c>
      <c r="AF14" s="3">
        <f t="shared" si="19"/>
        <v>86199.117432925108</v>
      </c>
      <c r="AG14" s="3">
        <f t="shared" si="20"/>
        <v>1123781.941325485</v>
      </c>
      <c r="AH14" s="7" t="s">
        <v>97</v>
      </c>
      <c r="AI14" s="2" t="s">
        <v>25</v>
      </c>
      <c r="AJ14" s="3">
        <f t="shared" si="21"/>
        <v>1255530.7515687551</v>
      </c>
      <c r="AK14" s="3">
        <f t="shared" si="1"/>
        <v>0</v>
      </c>
      <c r="AL14" s="3">
        <f t="shared" si="1"/>
        <v>0</v>
      </c>
      <c r="AM14" s="3">
        <f t="shared" si="1"/>
        <v>0</v>
      </c>
      <c r="AN14" s="3">
        <f t="shared" si="22"/>
        <v>1255530.7515687551</v>
      </c>
      <c r="AO14" s="7" t="s">
        <v>97</v>
      </c>
      <c r="AP14" s="2" t="s">
        <v>25</v>
      </c>
      <c r="AQ14" s="3">
        <f t="shared" si="23"/>
        <v>131748.81024327001</v>
      </c>
      <c r="AR14" s="3">
        <f t="shared" si="2"/>
        <v>0</v>
      </c>
      <c r="AS14" s="3">
        <f t="shared" si="2"/>
        <v>0</v>
      </c>
      <c r="AT14" s="3">
        <f t="shared" si="2"/>
        <v>0</v>
      </c>
      <c r="AU14" s="3">
        <f t="shared" si="24"/>
        <v>131748.81024327001</v>
      </c>
      <c r="AV14" s="7" t="s">
        <v>97</v>
      </c>
      <c r="AW14" s="2" t="s">
        <v>25</v>
      </c>
      <c r="AX14" s="3">
        <f t="shared" si="25"/>
        <v>1123781.941325485</v>
      </c>
      <c r="AY14" s="3">
        <f t="shared" si="3"/>
        <v>0</v>
      </c>
      <c r="AZ14" s="3">
        <f t="shared" si="3"/>
        <v>0</v>
      </c>
      <c r="BA14" s="3">
        <f t="shared" si="3"/>
        <v>0</v>
      </c>
      <c r="BB14" s="3">
        <f t="shared" si="26"/>
        <v>1123781.941325485</v>
      </c>
      <c r="BC14" s="7" t="s">
        <v>97</v>
      </c>
      <c r="BD14" s="2" t="s">
        <v>25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7" t="s">
        <v>97</v>
      </c>
      <c r="BK14" s="2" t="s">
        <v>25</v>
      </c>
      <c r="BL14" s="3">
        <v>47185.130872045745</v>
      </c>
      <c r="BM14" s="3">
        <v>0</v>
      </c>
      <c r="BN14" s="3">
        <v>0</v>
      </c>
      <c r="BO14" s="3">
        <v>0</v>
      </c>
      <c r="BP14" s="3">
        <v>47185.130872045745</v>
      </c>
      <c r="BQ14" s="7" t="s">
        <v>97</v>
      </c>
      <c r="BR14" s="2" t="s">
        <v>25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7" t="s">
        <v>97</v>
      </c>
      <c r="BY14" s="2" t="s">
        <v>25</v>
      </c>
      <c r="BZ14" s="3">
        <v>36934.682524192605</v>
      </c>
      <c r="CA14" s="3">
        <v>0</v>
      </c>
      <c r="CB14" s="3">
        <v>0</v>
      </c>
      <c r="CC14" s="3">
        <v>0</v>
      </c>
      <c r="CD14" s="3">
        <v>36934.682524192605</v>
      </c>
      <c r="CE14" s="7" t="s">
        <v>97</v>
      </c>
      <c r="CF14" s="2" t="s">
        <v>25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7" t="s">
        <v>97</v>
      </c>
      <c r="CM14" s="2" t="s">
        <v>25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7" t="s">
        <v>97</v>
      </c>
      <c r="CT14" s="2" t="s">
        <v>25</v>
      </c>
      <c r="CU14" s="3">
        <v>17.876169725968204</v>
      </c>
      <c r="CV14" s="3">
        <v>0</v>
      </c>
      <c r="CW14" s="3">
        <v>0</v>
      </c>
      <c r="CX14" s="3">
        <v>0</v>
      </c>
      <c r="CY14" s="3">
        <v>17.876169725968204</v>
      </c>
      <c r="CZ14" s="7" t="s">
        <v>97</v>
      </c>
      <c r="DA14" s="2" t="s">
        <v>25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7" t="s">
        <v>97</v>
      </c>
      <c r="DH14" s="2" t="s">
        <v>25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7" t="s">
        <v>97</v>
      </c>
      <c r="DO14" s="2" t="s">
        <v>25</v>
      </c>
      <c r="DP14" s="3">
        <v>47611.12067730572</v>
      </c>
      <c r="DQ14" s="3">
        <v>0</v>
      </c>
      <c r="DR14" s="3">
        <v>0</v>
      </c>
      <c r="DS14" s="3">
        <v>0</v>
      </c>
      <c r="DT14" s="3">
        <v>47611.12067730572</v>
      </c>
      <c r="DU14" s="7" t="s">
        <v>97</v>
      </c>
      <c r="DV14" s="2" t="s">
        <v>25</v>
      </c>
      <c r="DW14" s="3">
        <v>86199.117432925108</v>
      </c>
      <c r="DX14" s="3">
        <v>0</v>
      </c>
      <c r="DY14" s="3">
        <v>0</v>
      </c>
      <c r="DZ14" s="3">
        <v>0</v>
      </c>
      <c r="EA14" s="3">
        <v>86199.117432925108</v>
      </c>
      <c r="EB14" s="7" t="s">
        <v>97</v>
      </c>
      <c r="EC14" s="2" t="s">
        <v>25</v>
      </c>
      <c r="ED14" s="3">
        <v>1037582.82389256</v>
      </c>
      <c r="EE14" s="3">
        <v>0</v>
      </c>
      <c r="EF14" s="3">
        <v>0</v>
      </c>
      <c r="EG14" s="3">
        <v>0</v>
      </c>
      <c r="EH14" s="3">
        <v>1037582.82389256</v>
      </c>
    </row>
    <row r="15" spans="1:138" ht="10.199999999999999" customHeight="1" x14ac:dyDescent="0.25">
      <c r="A15" s="7" t="s">
        <v>117</v>
      </c>
      <c r="B15" s="2" t="s">
        <v>45</v>
      </c>
      <c r="C15" s="3">
        <f t="shared" si="4"/>
        <v>0</v>
      </c>
      <c r="D15" s="3">
        <f t="shared" si="5"/>
        <v>0</v>
      </c>
      <c r="E15" s="3">
        <f t="shared" si="6"/>
        <v>62980980.566456646</v>
      </c>
      <c r="F15" s="3">
        <f t="shared" si="7"/>
        <v>999178.88896529388</v>
      </c>
      <c r="G15" s="3">
        <f t="shared" si="8"/>
        <v>11978.295221658382</v>
      </c>
      <c r="H15" s="3">
        <f t="shared" si="9"/>
        <v>0</v>
      </c>
      <c r="I15" s="3">
        <f t="shared" si="10"/>
        <v>0</v>
      </c>
      <c r="J15" s="3">
        <f t="shared" si="11"/>
        <v>1696.4291596160226</v>
      </c>
      <c r="K15" s="3">
        <f t="shared" si="12"/>
        <v>153370.84051733679</v>
      </c>
      <c r="L15" s="3">
        <f t="shared" si="13"/>
        <v>245814.62329320557</v>
      </c>
      <c r="M15" s="3">
        <f t="shared" si="14"/>
        <v>453368.10488349537</v>
      </c>
      <c r="N15" s="3">
        <f t="shared" si="15"/>
        <v>24480284.198665258</v>
      </c>
      <c r="O15" s="3">
        <f t="shared" si="16"/>
        <v>89326671.947162509</v>
      </c>
      <c r="P15" s="7" t="s">
        <v>117</v>
      </c>
      <c r="Q15" s="2" t="s">
        <v>45</v>
      </c>
      <c r="R15" s="3">
        <f t="shared" si="17"/>
        <v>0</v>
      </c>
      <c r="S15" s="3">
        <f t="shared" si="17"/>
        <v>0</v>
      </c>
      <c r="T15" s="3">
        <f t="shared" si="17"/>
        <v>62980980.566456646</v>
      </c>
      <c r="U15" s="3">
        <f t="shared" si="17"/>
        <v>999178.88896529388</v>
      </c>
      <c r="V15" s="3">
        <f t="shared" si="17"/>
        <v>11978.295221658382</v>
      </c>
      <c r="W15" s="3">
        <f t="shared" si="17"/>
        <v>0</v>
      </c>
      <c r="X15" s="3">
        <f t="shared" si="17"/>
        <v>0</v>
      </c>
      <c r="Y15" s="3">
        <f t="shared" si="17"/>
        <v>1696.4291596160226</v>
      </c>
      <c r="Z15" s="3">
        <f t="shared" si="17"/>
        <v>153370.84051733679</v>
      </c>
      <c r="AA15" s="3">
        <f t="shared" si="17"/>
        <v>245814.62329320557</v>
      </c>
      <c r="AB15" s="3">
        <f t="shared" si="18"/>
        <v>64393019.643613756</v>
      </c>
      <c r="AC15" s="7" t="s">
        <v>117</v>
      </c>
      <c r="AD15" s="2" t="s">
        <v>45</v>
      </c>
      <c r="AE15" s="3">
        <f t="shared" si="19"/>
        <v>453368.10488349537</v>
      </c>
      <c r="AF15" s="3">
        <f t="shared" si="19"/>
        <v>24480284.198665258</v>
      </c>
      <c r="AG15" s="3">
        <f t="shared" si="20"/>
        <v>24933652.303548753</v>
      </c>
      <c r="AH15" s="7" t="s">
        <v>117</v>
      </c>
      <c r="AI15" s="2" t="s">
        <v>45</v>
      </c>
      <c r="AJ15" s="3">
        <f t="shared" si="21"/>
        <v>1074188.6687258664</v>
      </c>
      <c r="AK15" s="3">
        <f t="shared" si="1"/>
        <v>6115444.3830042342</v>
      </c>
      <c r="AL15" s="3">
        <f t="shared" si="1"/>
        <v>70912.70277677814</v>
      </c>
      <c r="AM15" s="3">
        <f t="shared" si="1"/>
        <v>82066126.192655623</v>
      </c>
      <c r="AN15" s="3">
        <f t="shared" si="22"/>
        <v>89326671.947162509</v>
      </c>
      <c r="AO15" s="7" t="s">
        <v>117</v>
      </c>
      <c r="AP15" s="2" t="s">
        <v>45</v>
      </c>
      <c r="AQ15" s="3">
        <f t="shared" si="23"/>
        <v>741916.72294395685</v>
      </c>
      <c r="AR15" s="3">
        <f t="shared" si="2"/>
        <v>666520.90412710642</v>
      </c>
      <c r="AS15" s="3">
        <f t="shared" si="2"/>
        <v>3601.4500860474031</v>
      </c>
      <c r="AT15" s="3">
        <f t="shared" si="2"/>
        <v>62980980.566456646</v>
      </c>
      <c r="AU15" s="3">
        <f t="shared" si="24"/>
        <v>64393019.643613756</v>
      </c>
      <c r="AV15" s="7" t="s">
        <v>117</v>
      </c>
      <c r="AW15" s="2" t="s">
        <v>45</v>
      </c>
      <c r="AX15" s="3">
        <f t="shared" si="25"/>
        <v>332271.94578190963</v>
      </c>
      <c r="AY15" s="3">
        <f t="shared" si="3"/>
        <v>5448923.4788771281</v>
      </c>
      <c r="AZ15" s="3">
        <f t="shared" si="3"/>
        <v>67311.252690730733</v>
      </c>
      <c r="BA15" s="3">
        <f t="shared" si="3"/>
        <v>19085145.626198985</v>
      </c>
      <c r="BB15" s="3">
        <f t="shared" si="26"/>
        <v>24933652.303548753</v>
      </c>
      <c r="BC15" s="7" t="s">
        <v>117</v>
      </c>
      <c r="BD15" s="2" t="s">
        <v>45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7" t="s">
        <v>117</v>
      </c>
      <c r="BK15" s="2" t="s">
        <v>45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7" t="s">
        <v>117</v>
      </c>
      <c r="BR15" s="2" t="s">
        <v>45</v>
      </c>
      <c r="BS15" s="3">
        <v>0</v>
      </c>
      <c r="BT15" s="3">
        <v>0</v>
      </c>
      <c r="BU15" s="3">
        <v>0</v>
      </c>
      <c r="BV15" s="3">
        <v>62980980.566456646</v>
      </c>
      <c r="BW15" s="3">
        <v>62980980.566456646</v>
      </c>
      <c r="BX15" s="7" t="s">
        <v>117</v>
      </c>
      <c r="BY15" s="2" t="s">
        <v>45</v>
      </c>
      <c r="BZ15" s="3">
        <v>443088.48188976373</v>
      </c>
      <c r="CA15" s="3">
        <v>556069.12592109444</v>
      </c>
      <c r="CB15" s="3">
        <v>21.281154435676427</v>
      </c>
      <c r="CC15" s="3">
        <v>0</v>
      </c>
      <c r="CD15" s="3">
        <v>999178.88896529388</v>
      </c>
      <c r="CE15" s="7" t="s">
        <v>117</v>
      </c>
      <c r="CF15" s="2" t="s">
        <v>45</v>
      </c>
      <c r="CG15" s="3">
        <v>9296.4817721032359</v>
      </c>
      <c r="CH15" s="3">
        <v>2681.8134495551453</v>
      </c>
      <c r="CI15" s="3">
        <v>0</v>
      </c>
      <c r="CJ15" s="3">
        <v>0</v>
      </c>
      <c r="CK15" s="3">
        <v>11978.295221658382</v>
      </c>
      <c r="CL15" s="7" t="s">
        <v>117</v>
      </c>
      <c r="CM15" s="2" t="s">
        <v>45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7" t="s">
        <v>117</v>
      </c>
      <c r="CT15" s="2" t="s">
        <v>45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7" t="s">
        <v>117</v>
      </c>
      <c r="DA15" s="2" t="s">
        <v>45</v>
      </c>
      <c r="DB15" s="3">
        <v>42020.706829268289</v>
      </c>
      <c r="DC15" s="3">
        <v>107769.96475645677</v>
      </c>
      <c r="DD15" s="3">
        <v>3580.1689316117267</v>
      </c>
      <c r="DE15" s="3">
        <v>0</v>
      </c>
      <c r="DF15" s="3">
        <v>153370.84051733679</v>
      </c>
      <c r="DG15" s="7" t="s">
        <v>117</v>
      </c>
      <c r="DH15" s="2" t="s">
        <v>45</v>
      </c>
      <c r="DI15" s="3">
        <v>1696.4291596160226</v>
      </c>
      <c r="DJ15" s="3">
        <v>0</v>
      </c>
      <c r="DK15" s="3">
        <v>0</v>
      </c>
      <c r="DL15" s="3">
        <v>0</v>
      </c>
      <c r="DM15" s="3">
        <v>1696.4291596160226</v>
      </c>
      <c r="DN15" s="7" t="s">
        <v>117</v>
      </c>
      <c r="DO15" s="2" t="s">
        <v>45</v>
      </c>
      <c r="DP15" s="3">
        <v>245814.62329320557</v>
      </c>
      <c r="DQ15" s="3">
        <v>0</v>
      </c>
      <c r="DR15" s="3">
        <v>0</v>
      </c>
      <c r="DS15" s="3">
        <v>0</v>
      </c>
      <c r="DT15" s="3">
        <v>245814.62329320557</v>
      </c>
      <c r="DU15" s="7" t="s">
        <v>117</v>
      </c>
      <c r="DV15" s="2" t="s">
        <v>45</v>
      </c>
      <c r="DW15" s="3">
        <v>118001.6213592233</v>
      </c>
      <c r="DX15" s="3">
        <v>5209825.6984163187</v>
      </c>
      <c r="DY15" s="3">
        <v>67311.252690730733</v>
      </c>
      <c r="DZ15" s="3">
        <v>19085145.626198985</v>
      </c>
      <c r="EA15" s="3">
        <v>24480284.198665258</v>
      </c>
      <c r="EB15" s="7" t="s">
        <v>117</v>
      </c>
      <c r="EC15" s="2" t="s">
        <v>45</v>
      </c>
      <c r="ED15" s="3">
        <v>214270.32442268636</v>
      </c>
      <c r="EE15" s="3">
        <v>239097.78046080904</v>
      </c>
      <c r="EF15" s="3">
        <v>0</v>
      </c>
      <c r="EG15" s="3">
        <v>0</v>
      </c>
      <c r="EH15" s="3">
        <v>453368.10488349537</v>
      </c>
    </row>
    <row r="16" spans="1:138" ht="10.199999999999999" customHeight="1" x14ac:dyDescent="0.25">
      <c r="A16" s="7" t="s">
        <v>114</v>
      </c>
      <c r="B16" s="2" t="s">
        <v>42</v>
      </c>
      <c r="C16" s="3">
        <f t="shared" si="4"/>
        <v>2043270.3424553985</v>
      </c>
      <c r="D16" s="3">
        <f t="shared" si="5"/>
        <v>454029.74135277933</v>
      </c>
      <c r="E16" s="3">
        <f t="shared" si="6"/>
        <v>763405.82504795934</v>
      </c>
      <c r="F16" s="3">
        <f t="shared" si="7"/>
        <v>472428.78991344437</v>
      </c>
      <c r="G16" s="3">
        <f t="shared" si="8"/>
        <v>5107.477064562343</v>
      </c>
      <c r="H16" s="3">
        <f t="shared" si="9"/>
        <v>0</v>
      </c>
      <c r="I16" s="3">
        <f t="shared" si="10"/>
        <v>500946.79684116156</v>
      </c>
      <c r="J16" s="3">
        <f t="shared" si="11"/>
        <v>2239.4461538461583</v>
      </c>
      <c r="K16" s="3">
        <f t="shared" si="12"/>
        <v>174450.73159387693</v>
      </c>
      <c r="L16" s="3">
        <f t="shared" si="13"/>
        <v>195732.80690433382</v>
      </c>
      <c r="M16" s="3">
        <f t="shared" si="14"/>
        <v>2364852.641904654</v>
      </c>
      <c r="N16" s="3">
        <f t="shared" si="15"/>
        <v>11121.678173972699</v>
      </c>
      <c r="O16" s="3">
        <f t="shared" si="16"/>
        <v>6987586.2774059894</v>
      </c>
      <c r="P16" s="7" t="s">
        <v>114</v>
      </c>
      <c r="Q16" s="2" t="s">
        <v>42</v>
      </c>
      <c r="R16" s="3">
        <f t="shared" si="17"/>
        <v>2043270.3424553985</v>
      </c>
      <c r="S16" s="3">
        <f t="shared" si="17"/>
        <v>454029.74135277933</v>
      </c>
      <c r="T16" s="3">
        <f t="shared" si="17"/>
        <v>763405.82504795934</v>
      </c>
      <c r="U16" s="3">
        <f t="shared" si="17"/>
        <v>472428.78991344437</v>
      </c>
      <c r="V16" s="3">
        <f t="shared" si="17"/>
        <v>5107.477064562343</v>
      </c>
      <c r="W16" s="3">
        <f t="shared" si="17"/>
        <v>0</v>
      </c>
      <c r="X16" s="3">
        <f t="shared" si="17"/>
        <v>500946.79684116156</v>
      </c>
      <c r="Y16" s="3">
        <f t="shared" si="17"/>
        <v>2239.4461538461583</v>
      </c>
      <c r="Z16" s="3">
        <f t="shared" si="17"/>
        <v>174450.73159387693</v>
      </c>
      <c r="AA16" s="3">
        <f t="shared" si="17"/>
        <v>195732.80690433382</v>
      </c>
      <c r="AB16" s="3">
        <f t="shared" si="18"/>
        <v>4611611.9573273631</v>
      </c>
      <c r="AC16" s="7" t="s">
        <v>114</v>
      </c>
      <c r="AD16" s="2" t="s">
        <v>42</v>
      </c>
      <c r="AE16" s="3">
        <f t="shared" si="19"/>
        <v>2364852.641904654</v>
      </c>
      <c r="AF16" s="3">
        <f t="shared" si="19"/>
        <v>11121.678173972699</v>
      </c>
      <c r="AG16" s="3">
        <f t="shared" si="20"/>
        <v>2375974.3200786267</v>
      </c>
      <c r="AH16" s="7" t="s">
        <v>114</v>
      </c>
      <c r="AI16" s="2" t="s">
        <v>42</v>
      </c>
      <c r="AJ16" s="3">
        <f t="shared" si="21"/>
        <v>5182940.9475982077</v>
      </c>
      <c r="AK16" s="3">
        <f t="shared" si="1"/>
        <v>642334.31413946603</v>
      </c>
      <c r="AL16" s="3">
        <f t="shared" si="1"/>
        <v>17202.278096377322</v>
      </c>
      <c r="AM16" s="3">
        <f t="shared" si="1"/>
        <v>1145108.7375719389</v>
      </c>
      <c r="AN16" s="3">
        <f t="shared" si="22"/>
        <v>6987586.2774059894</v>
      </c>
      <c r="AO16" s="7" t="s">
        <v>114</v>
      </c>
      <c r="AP16" s="2" t="s">
        <v>42</v>
      </c>
      <c r="AQ16" s="3">
        <f t="shared" si="23"/>
        <v>2806966.6275195805</v>
      </c>
      <c r="AR16" s="3">
        <f t="shared" si="2"/>
        <v>642334.31413946603</v>
      </c>
      <c r="AS16" s="3">
        <f t="shared" si="2"/>
        <v>17202.278096377322</v>
      </c>
      <c r="AT16" s="3">
        <f t="shared" si="2"/>
        <v>1145108.7375719389</v>
      </c>
      <c r="AU16" s="3">
        <f t="shared" si="24"/>
        <v>4611611.9573273621</v>
      </c>
      <c r="AV16" s="7" t="s">
        <v>114</v>
      </c>
      <c r="AW16" s="2" t="s">
        <v>42</v>
      </c>
      <c r="AX16" s="3">
        <f t="shared" si="25"/>
        <v>2375974.3200786267</v>
      </c>
      <c r="AY16" s="3">
        <f t="shared" si="3"/>
        <v>0</v>
      </c>
      <c r="AZ16" s="3">
        <f t="shared" si="3"/>
        <v>0</v>
      </c>
      <c r="BA16" s="3">
        <f t="shared" si="3"/>
        <v>0</v>
      </c>
      <c r="BB16" s="3">
        <f t="shared" si="26"/>
        <v>2375974.3200786267</v>
      </c>
      <c r="BC16" s="7" t="s">
        <v>114</v>
      </c>
      <c r="BD16" s="2" t="s">
        <v>42</v>
      </c>
      <c r="BE16" s="17">
        <v>2043270.3424553985</v>
      </c>
      <c r="BF16" s="17">
        <v>0</v>
      </c>
      <c r="BG16" s="17">
        <v>0</v>
      </c>
      <c r="BH16" s="17">
        <v>0</v>
      </c>
      <c r="BI16" s="17">
        <v>2043270.3424553985</v>
      </c>
      <c r="BJ16" s="7" t="s">
        <v>114</v>
      </c>
      <c r="BK16" s="2" t="s">
        <v>42</v>
      </c>
      <c r="BL16" s="3">
        <v>0</v>
      </c>
      <c r="BM16" s="3">
        <v>454029.74135277933</v>
      </c>
      <c r="BN16" s="3">
        <v>0</v>
      </c>
      <c r="BO16" s="3">
        <v>0</v>
      </c>
      <c r="BP16" s="3">
        <v>454029.74135277933</v>
      </c>
      <c r="BQ16" s="7" t="s">
        <v>114</v>
      </c>
      <c r="BR16" s="2" t="s">
        <v>42</v>
      </c>
      <c r="BS16" s="3">
        <v>0</v>
      </c>
      <c r="BT16" s="3">
        <v>0</v>
      </c>
      <c r="BU16" s="3">
        <v>0</v>
      </c>
      <c r="BV16" s="3">
        <v>763405.82504795934</v>
      </c>
      <c r="BW16" s="3">
        <v>763405.82504795934</v>
      </c>
      <c r="BX16" s="7" t="s">
        <v>114</v>
      </c>
      <c r="BY16" s="2" t="s">
        <v>42</v>
      </c>
      <c r="BZ16" s="3">
        <v>73523.599293087376</v>
      </c>
      <c r="CA16" s="3">
        <v>0</v>
      </c>
      <c r="CB16" s="3">
        <v>17202.278096377322</v>
      </c>
      <c r="CC16" s="3">
        <v>381702.91252397967</v>
      </c>
      <c r="CD16" s="3">
        <v>472428.78991344437</v>
      </c>
      <c r="CE16" s="7" t="s">
        <v>114</v>
      </c>
      <c r="CF16" s="2" t="s">
        <v>42</v>
      </c>
      <c r="CG16" s="3">
        <v>5107.477064562343</v>
      </c>
      <c r="CH16" s="3">
        <v>0</v>
      </c>
      <c r="CI16" s="3">
        <v>0</v>
      </c>
      <c r="CJ16" s="3">
        <v>0</v>
      </c>
      <c r="CK16" s="3">
        <v>5107.477064562343</v>
      </c>
      <c r="CL16" s="7" t="s">
        <v>114</v>
      </c>
      <c r="CM16" s="2" t="s">
        <v>42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7" t="s">
        <v>114</v>
      </c>
      <c r="CT16" s="2" t="s">
        <v>42</v>
      </c>
      <c r="CU16" s="3">
        <v>500946.79684116156</v>
      </c>
      <c r="CV16" s="3">
        <v>0</v>
      </c>
      <c r="CW16" s="3">
        <v>0</v>
      </c>
      <c r="CX16" s="3">
        <v>0</v>
      </c>
      <c r="CY16" s="3">
        <v>500946.79684116156</v>
      </c>
      <c r="CZ16" s="7" t="s">
        <v>114</v>
      </c>
      <c r="DA16" s="2" t="s">
        <v>42</v>
      </c>
      <c r="DB16" s="3">
        <v>174450.73159387693</v>
      </c>
      <c r="DC16" s="3">
        <v>0</v>
      </c>
      <c r="DD16" s="3">
        <v>0</v>
      </c>
      <c r="DE16" s="3">
        <v>0</v>
      </c>
      <c r="DF16" s="3">
        <v>174450.73159387693</v>
      </c>
      <c r="DG16" s="7" t="s">
        <v>114</v>
      </c>
      <c r="DH16" s="2" t="s">
        <v>42</v>
      </c>
      <c r="DI16" s="3">
        <v>2239.4461538461583</v>
      </c>
      <c r="DJ16" s="3">
        <v>0</v>
      </c>
      <c r="DK16" s="3">
        <v>0</v>
      </c>
      <c r="DL16" s="3">
        <v>0</v>
      </c>
      <c r="DM16" s="3">
        <v>2239.4461538461583</v>
      </c>
      <c r="DN16" s="7" t="s">
        <v>114</v>
      </c>
      <c r="DO16" s="2" t="s">
        <v>42</v>
      </c>
      <c r="DP16" s="3">
        <v>7428.2341176470582</v>
      </c>
      <c r="DQ16" s="3">
        <v>188304.57278668677</v>
      </c>
      <c r="DR16" s="3">
        <v>0</v>
      </c>
      <c r="DS16" s="3">
        <v>0</v>
      </c>
      <c r="DT16" s="3">
        <v>195732.80690433382</v>
      </c>
      <c r="DU16" s="7" t="s">
        <v>114</v>
      </c>
      <c r="DV16" s="2" t="s">
        <v>42</v>
      </c>
      <c r="DW16" s="3">
        <v>11121.678173972699</v>
      </c>
      <c r="DX16" s="3">
        <v>0</v>
      </c>
      <c r="DY16" s="3">
        <v>0</v>
      </c>
      <c r="DZ16" s="3">
        <v>0</v>
      </c>
      <c r="EA16" s="3">
        <v>11121.678173972699</v>
      </c>
      <c r="EB16" s="7" t="s">
        <v>114</v>
      </c>
      <c r="EC16" s="2" t="s">
        <v>42</v>
      </c>
      <c r="ED16" s="3">
        <v>2364852.641904654</v>
      </c>
      <c r="EE16" s="3">
        <v>0</v>
      </c>
      <c r="EF16" s="3">
        <v>0</v>
      </c>
      <c r="EG16" s="3">
        <v>0</v>
      </c>
      <c r="EH16" s="3">
        <v>2364852.641904654</v>
      </c>
    </row>
    <row r="17" spans="1:138" ht="10.199999999999999" customHeight="1" x14ac:dyDescent="0.25">
      <c r="A17" s="7" t="s">
        <v>112</v>
      </c>
      <c r="B17" s="2" t="s">
        <v>40</v>
      </c>
      <c r="C17" s="3">
        <f t="shared" si="4"/>
        <v>0</v>
      </c>
      <c r="D17" s="3">
        <f t="shared" si="5"/>
        <v>0</v>
      </c>
      <c r="E17" s="3">
        <f t="shared" si="6"/>
        <v>277695548.66216439</v>
      </c>
      <c r="F17" s="3">
        <f t="shared" si="7"/>
        <v>191240.71385653946</v>
      </c>
      <c r="G17" s="3">
        <f t="shared" si="8"/>
        <v>13178.589999999991</v>
      </c>
      <c r="H17" s="3">
        <f t="shared" si="9"/>
        <v>2330508.3381325207</v>
      </c>
      <c r="I17" s="3">
        <f t="shared" si="10"/>
        <v>158362.42080475148</v>
      </c>
      <c r="J17" s="3">
        <f t="shared" si="11"/>
        <v>612.89724774748117</v>
      </c>
      <c r="K17" s="3">
        <f t="shared" si="12"/>
        <v>317718.9016660339</v>
      </c>
      <c r="L17" s="3">
        <f t="shared" si="13"/>
        <v>82110.438835853827</v>
      </c>
      <c r="M17" s="3">
        <f t="shared" si="14"/>
        <v>119160.02953401895</v>
      </c>
      <c r="N17" s="3">
        <f t="shared" si="15"/>
        <v>224730.37266819153</v>
      </c>
      <c r="O17" s="3">
        <f t="shared" si="16"/>
        <v>281133171.36491001</v>
      </c>
      <c r="P17" s="7" t="s">
        <v>112</v>
      </c>
      <c r="Q17" s="2" t="s">
        <v>40</v>
      </c>
      <c r="R17" s="3">
        <f t="shared" si="17"/>
        <v>0</v>
      </c>
      <c r="S17" s="3">
        <f t="shared" si="17"/>
        <v>0</v>
      </c>
      <c r="T17" s="3">
        <f t="shared" si="17"/>
        <v>277695548.66216439</v>
      </c>
      <c r="U17" s="3">
        <f t="shared" si="17"/>
        <v>191240.71385653946</v>
      </c>
      <c r="V17" s="3">
        <f t="shared" si="17"/>
        <v>13178.589999999991</v>
      </c>
      <c r="W17" s="3">
        <f t="shared" si="17"/>
        <v>2330508.3381325207</v>
      </c>
      <c r="X17" s="3">
        <f t="shared" si="17"/>
        <v>158362.42080475148</v>
      </c>
      <c r="Y17" s="3">
        <f t="shared" si="17"/>
        <v>612.89724774748117</v>
      </c>
      <c r="Z17" s="3">
        <f t="shared" si="17"/>
        <v>317718.9016660339</v>
      </c>
      <c r="AA17" s="3">
        <f t="shared" si="17"/>
        <v>82110.438835853827</v>
      </c>
      <c r="AB17" s="3">
        <f t="shared" si="18"/>
        <v>280789280.96270776</v>
      </c>
      <c r="AC17" s="7" t="s">
        <v>112</v>
      </c>
      <c r="AD17" s="2" t="s">
        <v>40</v>
      </c>
      <c r="AE17" s="3">
        <f t="shared" si="19"/>
        <v>119160.02953401895</v>
      </c>
      <c r="AF17" s="3">
        <f t="shared" si="19"/>
        <v>224730.37266819153</v>
      </c>
      <c r="AG17" s="3">
        <f t="shared" si="20"/>
        <v>343890.40220221051</v>
      </c>
      <c r="AH17" s="7" t="s">
        <v>112</v>
      </c>
      <c r="AI17" s="2" t="s">
        <v>40</v>
      </c>
      <c r="AJ17" s="3">
        <f t="shared" si="21"/>
        <v>1060132.228015075</v>
      </c>
      <c r="AK17" s="3">
        <f t="shared" si="1"/>
        <v>45921.850729939571</v>
      </c>
      <c r="AL17" s="3">
        <f t="shared" si="1"/>
        <v>0</v>
      </c>
      <c r="AM17" s="3">
        <f t="shared" si="1"/>
        <v>280027117.286165</v>
      </c>
      <c r="AN17" s="3">
        <f t="shared" si="22"/>
        <v>281133171.36491001</v>
      </c>
      <c r="AO17" s="7" t="s">
        <v>112</v>
      </c>
      <c r="AP17" s="2" t="s">
        <v>40</v>
      </c>
      <c r="AQ17" s="3">
        <f t="shared" si="23"/>
        <v>716241.82581286447</v>
      </c>
      <c r="AR17" s="3">
        <f t="shared" si="2"/>
        <v>45921.850729939571</v>
      </c>
      <c r="AS17" s="3">
        <f t="shared" si="2"/>
        <v>0</v>
      </c>
      <c r="AT17" s="3">
        <f t="shared" si="2"/>
        <v>280027117.286165</v>
      </c>
      <c r="AU17" s="3">
        <f t="shared" si="24"/>
        <v>280789280.96270782</v>
      </c>
      <c r="AV17" s="7" t="s">
        <v>112</v>
      </c>
      <c r="AW17" s="2" t="s">
        <v>40</v>
      </c>
      <c r="AX17" s="3">
        <f t="shared" si="25"/>
        <v>343890.40220221051</v>
      </c>
      <c r="AY17" s="3">
        <f t="shared" si="3"/>
        <v>0</v>
      </c>
      <c r="AZ17" s="3">
        <f t="shared" si="3"/>
        <v>0</v>
      </c>
      <c r="BA17" s="3">
        <f t="shared" si="3"/>
        <v>0</v>
      </c>
      <c r="BB17" s="3">
        <f t="shared" si="26"/>
        <v>343890.40220221051</v>
      </c>
      <c r="BC17" s="7" t="s">
        <v>112</v>
      </c>
      <c r="BD17" s="2" t="s">
        <v>40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7" t="s">
        <v>112</v>
      </c>
      <c r="BK17" s="2" t="s">
        <v>40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7" t="s">
        <v>112</v>
      </c>
      <c r="BR17" s="2" t="s">
        <v>40</v>
      </c>
      <c r="BS17" s="3">
        <v>0</v>
      </c>
      <c r="BT17" s="3">
        <v>0</v>
      </c>
      <c r="BU17" s="3">
        <v>0</v>
      </c>
      <c r="BV17" s="3">
        <v>277695548.66216439</v>
      </c>
      <c r="BW17" s="3">
        <v>277695548.66216439</v>
      </c>
      <c r="BX17" s="7" t="s">
        <v>112</v>
      </c>
      <c r="BY17" s="2" t="s">
        <v>40</v>
      </c>
      <c r="BZ17" s="3">
        <v>191240.71385653946</v>
      </c>
      <c r="CA17" s="3">
        <v>0</v>
      </c>
      <c r="CB17" s="3">
        <v>0</v>
      </c>
      <c r="CC17" s="3">
        <v>0</v>
      </c>
      <c r="CD17" s="3">
        <v>191240.71385653946</v>
      </c>
      <c r="CE17" s="7" t="s">
        <v>112</v>
      </c>
      <c r="CF17" s="2" t="s">
        <v>40</v>
      </c>
      <c r="CG17" s="3">
        <v>13178.589999999991</v>
      </c>
      <c r="CH17" s="3">
        <v>0</v>
      </c>
      <c r="CI17" s="3">
        <v>0</v>
      </c>
      <c r="CJ17" s="3">
        <v>0</v>
      </c>
      <c r="CK17" s="3">
        <v>13178.589999999991</v>
      </c>
      <c r="CL17" s="7" t="s">
        <v>112</v>
      </c>
      <c r="CM17" s="2" t="s">
        <v>40</v>
      </c>
      <c r="CN17" s="3">
        <v>0</v>
      </c>
      <c r="CO17" s="3">
        <v>0</v>
      </c>
      <c r="CP17" s="3">
        <v>0</v>
      </c>
      <c r="CQ17" s="3">
        <v>2330508.3381325207</v>
      </c>
      <c r="CR17" s="3">
        <v>2330508.3381325207</v>
      </c>
      <c r="CS17" s="7" t="s">
        <v>112</v>
      </c>
      <c r="CT17" s="2" t="s">
        <v>40</v>
      </c>
      <c r="CU17" s="3">
        <v>158362.42080475148</v>
      </c>
      <c r="CV17" s="3">
        <v>0</v>
      </c>
      <c r="CW17" s="3">
        <v>0</v>
      </c>
      <c r="CX17" s="3">
        <v>0</v>
      </c>
      <c r="CY17" s="3">
        <v>158362.42080475148</v>
      </c>
      <c r="CZ17" s="7" t="s">
        <v>112</v>
      </c>
      <c r="DA17" s="2" t="s">
        <v>40</v>
      </c>
      <c r="DB17" s="3">
        <v>271797.05093609431</v>
      </c>
      <c r="DC17" s="3">
        <v>45921.850729939571</v>
      </c>
      <c r="DD17" s="3">
        <v>0</v>
      </c>
      <c r="DE17" s="3">
        <v>0</v>
      </c>
      <c r="DF17" s="3">
        <v>317718.9016660339</v>
      </c>
      <c r="DG17" s="7" t="s">
        <v>112</v>
      </c>
      <c r="DH17" s="2" t="s">
        <v>40</v>
      </c>
      <c r="DI17" s="3">
        <v>612.89724774748117</v>
      </c>
      <c r="DJ17" s="3">
        <v>0</v>
      </c>
      <c r="DK17" s="3">
        <v>0</v>
      </c>
      <c r="DL17" s="3">
        <v>0</v>
      </c>
      <c r="DM17" s="3">
        <v>612.89724774748117</v>
      </c>
      <c r="DN17" s="7" t="s">
        <v>112</v>
      </c>
      <c r="DO17" s="2" t="s">
        <v>40</v>
      </c>
      <c r="DP17" s="3">
        <v>81050.152967731658</v>
      </c>
      <c r="DQ17" s="3">
        <v>0</v>
      </c>
      <c r="DR17" s="3">
        <v>0</v>
      </c>
      <c r="DS17" s="3">
        <v>1060.2858681221658</v>
      </c>
      <c r="DT17" s="3">
        <v>82110.438835853827</v>
      </c>
      <c r="DU17" s="7" t="s">
        <v>112</v>
      </c>
      <c r="DV17" s="2" t="s">
        <v>40</v>
      </c>
      <c r="DW17" s="3">
        <v>224730.37266819153</v>
      </c>
      <c r="DX17" s="3">
        <v>0</v>
      </c>
      <c r="DY17" s="3">
        <v>0</v>
      </c>
      <c r="DZ17" s="3">
        <v>0</v>
      </c>
      <c r="EA17" s="3">
        <v>224730.37266819153</v>
      </c>
      <c r="EB17" s="7" t="s">
        <v>112</v>
      </c>
      <c r="EC17" s="2" t="s">
        <v>40</v>
      </c>
      <c r="ED17" s="3">
        <v>119160.02953401895</v>
      </c>
      <c r="EE17" s="3">
        <v>0</v>
      </c>
      <c r="EF17" s="3">
        <v>0</v>
      </c>
      <c r="EG17" s="3">
        <v>0</v>
      </c>
      <c r="EH17" s="3">
        <v>119160.02953401895</v>
      </c>
    </row>
    <row r="18" spans="1:138" ht="10.199999999999999" customHeight="1" x14ac:dyDescent="0.25">
      <c r="A18" s="7" t="s">
        <v>116</v>
      </c>
      <c r="B18" s="2" t="s">
        <v>44</v>
      </c>
      <c r="C18" s="3">
        <f t="shared" si="4"/>
        <v>20392.722623554462</v>
      </c>
      <c r="D18" s="3">
        <f t="shared" si="5"/>
        <v>2913958.8327058628</v>
      </c>
      <c r="E18" s="3">
        <f t="shared" si="6"/>
        <v>47876431.358520925</v>
      </c>
      <c r="F18" s="3">
        <f t="shared" si="7"/>
        <v>10938.1097981372</v>
      </c>
      <c r="G18" s="3">
        <f t="shared" si="8"/>
        <v>94087.255407726698</v>
      </c>
      <c r="H18" s="3">
        <f t="shared" si="9"/>
        <v>47712.864065497459</v>
      </c>
      <c r="I18" s="3">
        <f t="shared" si="10"/>
        <v>32412.622214057628</v>
      </c>
      <c r="J18" s="3">
        <f t="shared" si="11"/>
        <v>146597.66156283623</v>
      </c>
      <c r="K18" s="3">
        <f t="shared" si="12"/>
        <v>61974.26971391603</v>
      </c>
      <c r="L18" s="3">
        <f t="shared" si="13"/>
        <v>10567679.673068989</v>
      </c>
      <c r="M18" s="3">
        <f t="shared" si="14"/>
        <v>138784.3904638837</v>
      </c>
      <c r="N18" s="3">
        <f t="shared" si="15"/>
        <v>256079934.68879318</v>
      </c>
      <c r="O18" s="3">
        <f t="shared" si="16"/>
        <v>317990904.44893855</v>
      </c>
      <c r="P18" s="7" t="s">
        <v>116</v>
      </c>
      <c r="Q18" s="2" t="s">
        <v>44</v>
      </c>
      <c r="R18" s="3">
        <f t="shared" si="17"/>
        <v>20392.722623554462</v>
      </c>
      <c r="S18" s="3">
        <f t="shared" si="17"/>
        <v>2913958.8327058628</v>
      </c>
      <c r="T18" s="3">
        <f t="shared" si="17"/>
        <v>47876431.358520925</v>
      </c>
      <c r="U18" s="3">
        <f t="shared" si="17"/>
        <v>10938.1097981372</v>
      </c>
      <c r="V18" s="3">
        <f t="shared" si="17"/>
        <v>94087.255407726698</v>
      </c>
      <c r="W18" s="3">
        <f t="shared" si="17"/>
        <v>47712.864065497459</v>
      </c>
      <c r="X18" s="3">
        <f t="shared" si="17"/>
        <v>32412.622214057628</v>
      </c>
      <c r="Y18" s="3">
        <f t="shared" si="17"/>
        <v>146597.66156283623</v>
      </c>
      <c r="Z18" s="3">
        <f t="shared" si="17"/>
        <v>61974.26971391603</v>
      </c>
      <c r="AA18" s="3">
        <f t="shared" si="17"/>
        <v>10567679.673068989</v>
      </c>
      <c r="AB18" s="3">
        <f t="shared" si="18"/>
        <v>61772185.369681507</v>
      </c>
      <c r="AC18" s="7" t="s">
        <v>116</v>
      </c>
      <c r="AD18" s="2" t="s">
        <v>44</v>
      </c>
      <c r="AE18" s="3">
        <f t="shared" si="19"/>
        <v>138784.3904638837</v>
      </c>
      <c r="AF18" s="3">
        <f t="shared" si="19"/>
        <v>256079934.68879318</v>
      </c>
      <c r="AG18" s="3">
        <f t="shared" si="20"/>
        <v>256218719.07925707</v>
      </c>
      <c r="AH18" s="7" t="s">
        <v>116</v>
      </c>
      <c r="AI18" s="2" t="s">
        <v>44</v>
      </c>
      <c r="AJ18" s="3">
        <f t="shared" si="21"/>
        <v>206507.41720148092</v>
      </c>
      <c r="AK18" s="3">
        <f t="shared" si="1"/>
        <v>6776149.684103339</v>
      </c>
      <c r="AL18" s="3">
        <f t="shared" si="1"/>
        <v>36739657.122113973</v>
      </c>
      <c r="AM18" s="3">
        <f t="shared" si="1"/>
        <v>274268590.22551978</v>
      </c>
      <c r="AN18" s="3">
        <f t="shared" si="22"/>
        <v>317990904.44893855</v>
      </c>
      <c r="AO18" s="7" t="s">
        <v>116</v>
      </c>
      <c r="AP18" s="2" t="s">
        <v>44</v>
      </c>
      <c r="AQ18" s="3">
        <f t="shared" si="23"/>
        <v>124224.70441063566</v>
      </c>
      <c r="AR18" s="3">
        <f t="shared" si="2"/>
        <v>936088.29360922729</v>
      </c>
      <c r="AS18" s="3">
        <f t="shared" si="2"/>
        <v>7909636.1391777862</v>
      </c>
      <c r="AT18" s="3">
        <f t="shared" si="2"/>
        <v>52802236.232483856</v>
      </c>
      <c r="AU18" s="3">
        <f t="shared" si="24"/>
        <v>61772185.369681507</v>
      </c>
      <c r="AV18" s="7" t="s">
        <v>116</v>
      </c>
      <c r="AW18" s="2" t="s">
        <v>44</v>
      </c>
      <c r="AX18" s="3">
        <f t="shared" si="25"/>
        <v>82282.712790845253</v>
      </c>
      <c r="AY18" s="3">
        <f t="shared" si="3"/>
        <v>5840061.3904941119</v>
      </c>
      <c r="AZ18" s="3">
        <f t="shared" si="3"/>
        <v>28830020.982936185</v>
      </c>
      <c r="BA18" s="3">
        <f t="shared" si="3"/>
        <v>221466353.99303591</v>
      </c>
      <c r="BB18" s="3">
        <f t="shared" si="26"/>
        <v>256218719.07925707</v>
      </c>
      <c r="BC18" s="7" t="s">
        <v>116</v>
      </c>
      <c r="BD18" s="2" t="s">
        <v>44</v>
      </c>
      <c r="BE18" s="17">
        <v>15285.893696566589</v>
      </c>
      <c r="BF18" s="17">
        <v>5106.8289269878724</v>
      </c>
      <c r="BG18" s="17">
        <v>0</v>
      </c>
      <c r="BH18" s="17">
        <v>0</v>
      </c>
      <c r="BI18" s="17">
        <v>20392.722623554462</v>
      </c>
      <c r="BJ18" s="7" t="s">
        <v>116</v>
      </c>
      <c r="BK18" s="2" t="s">
        <v>44</v>
      </c>
      <c r="BL18" s="3">
        <v>11818.238887993231</v>
      </c>
      <c r="BM18" s="3">
        <v>781568.85757353774</v>
      </c>
      <c r="BN18" s="3">
        <v>2120571.7362443316</v>
      </c>
      <c r="BO18" s="3">
        <v>0</v>
      </c>
      <c r="BP18" s="3">
        <v>2913958.8327058628</v>
      </c>
      <c r="BQ18" s="7" t="s">
        <v>116</v>
      </c>
      <c r="BR18" s="2" t="s">
        <v>44</v>
      </c>
      <c r="BS18" s="3">
        <v>0</v>
      </c>
      <c r="BT18" s="3">
        <v>43692.290228407495</v>
      </c>
      <c r="BU18" s="3">
        <v>5082012.865606796</v>
      </c>
      <c r="BV18" s="3">
        <v>42750726.202685721</v>
      </c>
      <c r="BW18" s="3">
        <v>47876431.358520925</v>
      </c>
      <c r="BX18" s="7" t="s">
        <v>116</v>
      </c>
      <c r="BY18" s="2" t="s">
        <v>44</v>
      </c>
      <c r="BZ18" s="3">
        <v>3976.1683971398343</v>
      </c>
      <c r="CA18" s="3">
        <v>5085.3292450289309</v>
      </c>
      <c r="CB18" s="3">
        <v>1876.6121559684352</v>
      </c>
      <c r="CC18" s="3">
        <v>0</v>
      </c>
      <c r="CD18" s="3">
        <v>10938.1097981372</v>
      </c>
      <c r="CE18" s="7" t="s">
        <v>116</v>
      </c>
      <c r="CF18" s="2" t="s">
        <v>44</v>
      </c>
      <c r="CG18" s="3">
        <v>35976.26798531392</v>
      </c>
      <c r="CH18" s="3">
        <v>58110.987422412778</v>
      </c>
      <c r="CI18" s="3">
        <v>0</v>
      </c>
      <c r="CJ18" s="3">
        <v>0</v>
      </c>
      <c r="CK18" s="3">
        <v>94087.255407726698</v>
      </c>
      <c r="CL18" s="7" t="s">
        <v>116</v>
      </c>
      <c r="CM18" s="2" t="s">
        <v>44</v>
      </c>
      <c r="CN18" s="3">
        <v>0</v>
      </c>
      <c r="CO18" s="3">
        <v>0</v>
      </c>
      <c r="CP18" s="3">
        <v>47712.864065497459</v>
      </c>
      <c r="CQ18" s="3">
        <v>0</v>
      </c>
      <c r="CR18" s="3">
        <v>47712.864065497459</v>
      </c>
      <c r="CS18" s="7" t="s">
        <v>116</v>
      </c>
      <c r="CT18" s="2" t="s">
        <v>44</v>
      </c>
      <c r="CU18" s="3">
        <v>20457.399037415598</v>
      </c>
      <c r="CV18" s="3">
        <v>11955.22317664203</v>
      </c>
      <c r="CW18" s="3">
        <v>0</v>
      </c>
      <c r="CX18" s="3">
        <v>0</v>
      </c>
      <c r="CY18" s="3">
        <v>32412.622214057628</v>
      </c>
      <c r="CZ18" s="7" t="s">
        <v>116</v>
      </c>
      <c r="DA18" s="2" t="s">
        <v>44</v>
      </c>
      <c r="DB18" s="3">
        <v>27847.444390243898</v>
      </c>
      <c r="DC18" s="3">
        <v>12836.285091779046</v>
      </c>
      <c r="DD18" s="3">
        <v>21290.540231893086</v>
      </c>
      <c r="DE18" s="3">
        <v>0</v>
      </c>
      <c r="DF18" s="3">
        <v>61974.26971391603</v>
      </c>
      <c r="DG18" s="7" t="s">
        <v>116</v>
      </c>
      <c r="DH18" s="2" t="s">
        <v>44</v>
      </c>
      <c r="DI18" s="3">
        <v>7170.0699047714324</v>
      </c>
      <c r="DJ18" s="3">
        <v>12193.287483404905</v>
      </c>
      <c r="DK18" s="3">
        <v>0</v>
      </c>
      <c r="DL18" s="3">
        <v>127234.30417465989</v>
      </c>
      <c r="DM18" s="3">
        <v>146597.66156283623</v>
      </c>
      <c r="DN18" s="7" t="s">
        <v>116</v>
      </c>
      <c r="DO18" s="2" t="s">
        <v>44</v>
      </c>
      <c r="DP18" s="3">
        <v>1693.222111191164</v>
      </c>
      <c r="DQ18" s="3">
        <v>5539.2044610265393</v>
      </c>
      <c r="DR18" s="3">
        <v>636171.52087329957</v>
      </c>
      <c r="DS18" s="3">
        <v>9924275.7256234717</v>
      </c>
      <c r="DT18" s="3">
        <v>10567679.673068989</v>
      </c>
      <c r="DU18" s="7" t="s">
        <v>116</v>
      </c>
      <c r="DV18" s="2" t="s">
        <v>44</v>
      </c>
      <c r="DW18" s="3">
        <v>4383.9611650485431</v>
      </c>
      <c r="DX18" s="3">
        <v>5779175.7516560247</v>
      </c>
      <c r="DY18" s="3">
        <v>28830020.982936185</v>
      </c>
      <c r="DZ18" s="3">
        <v>221466353.99303591</v>
      </c>
      <c r="EA18" s="3">
        <v>256079934.68879318</v>
      </c>
      <c r="EB18" s="7" t="s">
        <v>116</v>
      </c>
      <c r="EC18" s="2" t="s">
        <v>44</v>
      </c>
      <c r="ED18" s="3">
        <v>77898.751625796707</v>
      </c>
      <c r="EE18" s="3">
        <v>60885.638838087005</v>
      </c>
      <c r="EF18" s="3">
        <v>0</v>
      </c>
      <c r="EG18" s="3">
        <v>0</v>
      </c>
      <c r="EH18" s="3">
        <v>138784.3904638837</v>
      </c>
    </row>
    <row r="19" spans="1:138" ht="10.199999999999999" customHeight="1" x14ac:dyDescent="0.25">
      <c r="A19" s="7" t="s">
        <v>107</v>
      </c>
      <c r="B19" s="2" t="s">
        <v>35</v>
      </c>
      <c r="C19" s="3">
        <f t="shared" si="4"/>
        <v>0</v>
      </c>
      <c r="D19" s="3">
        <f t="shared" si="5"/>
        <v>1256.3248387141407</v>
      </c>
      <c r="E19" s="3">
        <f t="shared" si="6"/>
        <v>0</v>
      </c>
      <c r="F19" s="3">
        <f t="shared" si="7"/>
        <v>0</v>
      </c>
      <c r="G19" s="3">
        <f t="shared" si="8"/>
        <v>0</v>
      </c>
      <c r="H19" s="3">
        <f t="shared" si="9"/>
        <v>0</v>
      </c>
      <c r="I19" s="3">
        <f t="shared" si="10"/>
        <v>23813.386167253946</v>
      </c>
      <c r="J19" s="3">
        <f t="shared" si="11"/>
        <v>0</v>
      </c>
      <c r="K19" s="3">
        <f t="shared" si="12"/>
        <v>184.72042050167141</v>
      </c>
      <c r="L19" s="3">
        <f t="shared" si="13"/>
        <v>59473986.871143796</v>
      </c>
      <c r="M19" s="3">
        <f t="shared" si="14"/>
        <v>485366.46047518356</v>
      </c>
      <c r="N19" s="3">
        <f t="shared" si="15"/>
        <v>431313.04093492497</v>
      </c>
      <c r="O19" s="3">
        <f t="shared" si="16"/>
        <v>60415920.80398038</v>
      </c>
      <c r="P19" s="7" t="s">
        <v>107</v>
      </c>
      <c r="Q19" s="2" t="s">
        <v>35</v>
      </c>
      <c r="R19" s="3">
        <f t="shared" si="17"/>
        <v>0</v>
      </c>
      <c r="S19" s="3">
        <f t="shared" si="17"/>
        <v>1256.3248387141407</v>
      </c>
      <c r="T19" s="3">
        <f t="shared" si="17"/>
        <v>0</v>
      </c>
      <c r="U19" s="3">
        <f t="shared" si="17"/>
        <v>0</v>
      </c>
      <c r="V19" s="3">
        <f t="shared" si="17"/>
        <v>0</v>
      </c>
      <c r="W19" s="3">
        <f t="shared" si="17"/>
        <v>0</v>
      </c>
      <c r="X19" s="3">
        <f t="shared" si="17"/>
        <v>23813.386167253946</v>
      </c>
      <c r="Y19" s="3">
        <f t="shared" si="17"/>
        <v>0</v>
      </c>
      <c r="Z19" s="3">
        <f t="shared" si="17"/>
        <v>184.72042050167141</v>
      </c>
      <c r="AA19" s="3">
        <f t="shared" si="17"/>
        <v>59473986.871143796</v>
      </c>
      <c r="AB19" s="3">
        <f t="shared" si="18"/>
        <v>59499241.302570269</v>
      </c>
      <c r="AC19" s="7" t="s">
        <v>107</v>
      </c>
      <c r="AD19" s="2" t="s">
        <v>35</v>
      </c>
      <c r="AE19" s="3">
        <f t="shared" si="19"/>
        <v>485366.46047518356</v>
      </c>
      <c r="AF19" s="3">
        <f t="shared" si="19"/>
        <v>431313.04093492497</v>
      </c>
      <c r="AG19" s="3">
        <f t="shared" si="20"/>
        <v>916679.50141010853</v>
      </c>
      <c r="AH19" s="7" t="s">
        <v>107</v>
      </c>
      <c r="AI19" s="2" t="s">
        <v>35</v>
      </c>
      <c r="AJ19" s="3">
        <f t="shared" si="21"/>
        <v>53371781.664802425</v>
      </c>
      <c r="AK19" s="3">
        <f t="shared" si="1"/>
        <v>359077.46863180492</v>
      </c>
      <c r="AL19" s="3">
        <f t="shared" si="1"/>
        <v>5260.7013764992134</v>
      </c>
      <c r="AM19" s="3">
        <f t="shared" si="1"/>
        <v>6679800.9691696437</v>
      </c>
      <c r="AN19" s="3">
        <f t="shared" si="22"/>
        <v>60415920.803980373</v>
      </c>
      <c r="AO19" s="7" t="s">
        <v>107</v>
      </c>
      <c r="AP19" s="2" t="s">
        <v>35</v>
      </c>
      <c r="AQ19" s="3">
        <f t="shared" si="23"/>
        <v>52743149.341129668</v>
      </c>
      <c r="AR19" s="3">
        <f t="shared" si="2"/>
        <v>71030.290894454927</v>
      </c>
      <c r="AS19" s="3">
        <f t="shared" si="2"/>
        <v>5260.7013764992134</v>
      </c>
      <c r="AT19" s="3">
        <f t="shared" si="2"/>
        <v>6679800.9691696437</v>
      </c>
      <c r="AU19" s="3">
        <f t="shared" si="24"/>
        <v>59499241.302570269</v>
      </c>
      <c r="AV19" s="7" t="s">
        <v>107</v>
      </c>
      <c r="AW19" s="2" t="s">
        <v>35</v>
      </c>
      <c r="AX19" s="3">
        <f t="shared" si="25"/>
        <v>628632.32367275842</v>
      </c>
      <c r="AY19" s="3">
        <f t="shared" si="3"/>
        <v>288047.17773734999</v>
      </c>
      <c r="AZ19" s="3">
        <f t="shared" si="3"/>
        <v>0</v>
      </c>
      <c r="BA19" s="3">
        <f t="shared" si="3"/>
        <v>0</v>
      </c>
      <c r="BB19" s="3">
        <f t="shared" si="26"/>
        <v>916679.50141010841</v>
      </c>
      <c r="BC19" s="7" t="s">
        <v>107</v>
      </c>
      <c r="BD19" s="2" t="s">
        <v>35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7" t="s">
        <v>107</v>
      </c>
      <c r="BK19" s="2" t="s">
        <v>35</v>
      </c>
      <c r="BL19" s="3">
        <v>1256.3248387141407</v>
      </c>
      <c r="BM19" s="3">
        <v>0</v>
      </c>
      <c r="BN19" s="3">
        <v>0</v>
      </c>
      <c r="BO19" s="3">
        <v>0</v>
      </c>
      <c r="BP19" s="3">
        <v>1256.3248387141407</v>
      </c>
      <c r="BQ19" s="7" t="s">
        <v>107</v>
      </c>
      <c r="BR19" s="2" t="s">
        <v>35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7" t="s">
        <v>107</v>
      </c>
      <c r="BY19" s="2" t="s">
        <v>35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7" t="s">
        <v>107</v>
      </c>
      <c r="CF19" s="2" t="s">
        <v>35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7" t="s">
        <v>107</v>
      </c>
      <c r="CM19" s="2" t="s">
        <v>35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7" t="s">
        <v>107</v>
      </c>
      <c r="CT19" s="2" t="s">
        <v>35</v>
      </c>
      <c r="CU19" s="3">
        <v>21748.738008556451</v>
      </c>
      <c r="CV19" s="3">
        <v>2064.648158697496</v>
      </c>
      <c r="CW19" s="3">
        <v>0</v>
      </c>
      <c r="CX19" s="3">
        <v>0</v>
      </c>
      <c r="CY19" s="3">
        <v>23813.386167253946</v>
      </c>
      <c r="CZ19" s="7" t="s">
        <v>107</v>
      </c>
      <c r="DA19" s="2" t="s">
        <v>35</v>
      </c>
      <c r="DB19" s="3">
        <v>184.72042050167141</v>
      </c>
      <c r="DC19" s="3">
        <v>0</v>
      </c>
      <c r="DD19" s="3">
        <v>0</v>
      </c>
      <c r="DE19" s="3">
        <v>0</v>
      </c>
      <c r="DF19" s="3">
        <v>184.72042050167141</v>
      </c>
      <c r="DG19" s="7" t="s">
        <v>107</v>
      </c>
      <c r="DH19" s="2" t="s">
        <v>35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7" t="s">
        <v>107</v>
      </c>
      <c r="DO19" s="2" t="s">
        <v>35</v>
      </c>
      <c r="DP19" s="3">
        <v>52719959.557861894</v>
      </c>
      <c r="DQ19" s="3">
        <v>68965.642735757428</v>
      </c>
      <c r="DR19" s="3">
        <v>5260.7013764992134</v>
      </c>
      <c r="DS19" s="3">
        <v>6679800.9691696437</v>
      </c>
      <c r="DT19" s="3">
        <v>59473986.871143796</v>
      </c>
      <c r="DU19" s="7" t="s">
        <v>107</v>
      </c>
      <c r="DV19" s="2" t="s">
        <v>35</v>
      </c>
      <c r="DW19" s="3">
        <v>279247.52578424272</v>
      </c>
      <c r="DX19" s="3">
        <v>152065.51515068221</v>
      </c>
      <c r="DY19" s="3">
        <v>0</v>
      </c>
      <c r="DZ19" s="3">
        <v>0</v>
      </c>
      <c r="EA19" s="3">
        <v>431313.04093492497</v>
      </c>
      <c r="EB19" s="7" t="s">
        <v>107</v>
      </c>
      <c r="EC19" s="2" t="s">
        <v>35</v>
      </c>
      <c r="ED19" s="3">
        <v>349384.79788851575</v>
      </c>
      <c r="EE19" s="3">
        <v>135981.66258666778</v>
      </c>
      <c r="EF19" s="3">
        <v>0</v>
      </c>
      <c r="EG19" s="3">
        <v>0</v>
      </c>
      <c r="EH19" s="3">
        <v>485366.46047518356</v>
      </c>
    </row>
    <row r="20" spans="1:138" ht="10.199999999999999" customHeight="1" x14ac:dyDescent="0.25">
      <c r="A20" s="7" t="s">
        <v>100</v>
      </c>
      <c r="B20" s="2" t="s">
        <v>28</v>
      </c>
      <c r="C20" s="3">
        <f t="shared" si="4"/>
        <v>0</v>
      </c>
      <c r="D20" s="3">
        <f t="shared" si="5"/>
        <v>1173.772940161625</v>
      </c>
      <c r="E20" s="3">
        <f t="shared" si="6"/>
        <v>0</v>
      </c>
      <c r="F20" s="3">
        <f t="shared" si="7"/>
        <v>0</v>
      </c>
      <c r="G20" s="3">
        <f t="shared" si="8"/>
        <v>105112.29038297519</v>
      </c>
      <c r="H20" s="3">
        <f t="shared" si="9"/>
        <v>0</v>
      </c>
      <c r="I20" s="3">
        <f t="shared" si="10"/>
        <v>8070.2859860629715</v>
      </c>
      <c r="J20" s="3">
        <f t="shared" si="11"/>
        <v>0</v>
      </c>
      <c r="K20" s="3">
        <f t="shared" si="12"/>
        <v>895.04223290293169</v>
      </c>
      <c r="L20" s="3">
        <f t="shared" si="13"/>
        <v>3265.2229724121071</v>
      </c>
      <c r="M20" s="3">
        <f t="shared" si="14"/>
        <v>209479.44735775216</v>
      </c>
      <c r="N20" s="3">
        <f t="shared" si="15"/>
        <v>115101.18056355132</v>
      </c>
      <c r="O20" s="3">
        <f t="shared" si="16"/>
        <v>443097.24243581831</v>
      </c>
      <c r="P20" s="7" t="s">
        <v>100</v>
      </c>
      <c r="Q20" s="2" t="s">
        <v>28</v>
      </c>
      <c r="R20" s="3">
        <f t="shared" si="17"/>
        <v>0</v>
      </c>
      <c r="S20" s="3">
        <f t="shared" si="17"/>
        <v>1173.772940161625</v>
      </c>
      <c r="T20" s="3">
        <f t="shared" si="17"/>
        <v>0</v>
      </c>
      <c r="U20" s="3">
        <f t="shared" si="17"/>
        <v>0</v>
      </c>
      <c r="V20" s="3">
        <f t="shared" si="17"/>
        <v>105112.29038297519</v>
      </c>
      <c r="W20" s="3">
        <f t="shared" si="17"/>
        <v>0</v>
      </c>
      <c r="X20" s="3">
        <f t="shared" si="17"/>
        <v>8070.2859860629715</v>
      </c>
      <c r="Y20" s="3">
        <f t="shared" si="17"/>
        <v>0</v>
      </c>
      <c r="Z20" s="3">
        <f t="shared" si="17"/>
        <v>895.04223290293169</v>
      </c>
      <c r="AA20" s="3">
        <f t="shared" si="17"/>
        <v>3265.2229724121071</v>
      </c>
      <c r="AB20" s="3">
        <f t="shared" si="18"/>
        <v>118516.61451451483</v>
      </c>
      <c r="AC20" s="7" t="s">
        <v>100</v>
      </c>
      <c r="AD20" s="2" t="s">
        <v>28</v>
      </c>
      <c r="AE20" s="3">
        <f t="shared" si="19"/>
        <v>209479.44735775216</v>
      </c>
      <c r="AF20" s="3">
        <f t="shared" si="19"/>
        <v>115101.18056355132</v>
      </c>
      <c r="AG20" s="3">
        <f t="shared" si="20"/>
        <v>324580.6279213035</v>
      </c>
      <c r="AH20" s="7" t="s">
        <v>100</v>
      </c>
      <c r="AI20" s="2" t="s">
        <v>28</v>
      </c>
      <c r="AJ20" s="3">
        <f t="shared" si="21"/>
        <v>202736.35454239274</v>
      </c>
      <c r="AK20" s="3">
        <f t="shared" si="21"/>
        <v>166600.68278968462</v>
      </c>
      <c r="AL20" s="3">
        <f t="shared" si="21"/>
        <v>73760.20510374094</v>
      </c>
      <c r="AM20" s="3">
        <f t="shared" si="21"/>
        <v>0</v>
      </c>
      <c r="AN20" s="3">
        <f t="shared" si="22"/>
        <v>443097.24243581831</v>
      </c>
      <c r="AO20" s="7" t="s">
        <v>100</v>
      </c>
      <c r="AP20" s="2" t="s">
        <v>28</v>
      </c>
      <c r="AQ20" s="3">
        <f t="shared" si="23"/>
        <v>15138.742372603672</v>
      </c>
      <c r="AR20" s="3">
        <f t="shared" si="23"/>
        <v>103377.87214191115</v>
      </c>
      <c r="AS20" s="3">
        <f t="shared" si="23"/>
        <v>0</v>
      </c>
      <c r="AT20" s="3">
        <f t="shared" si="23"/>
        <v>0</v>
      </c>
      <c r="AU20" s="3">
        <f t="shared" si="24"/>
        <v>118516.61451451483</v>
      </c>
      <c r="AV20" s="7" t="s">
        <v>100</v>
      </c>
      <c r="AW20" s="2" t="s">
        <v>28</v>
      </c>
      <c r="AX20" s="3">
        <f t="shared" si="25"/>
        <v>187597.61216978906</v>
      </c>
      <c r="AY20" s="3">
        <f t="shared" si="25"/>
        <v>63222.810647773469</v>
      </c>
      <c r="AZ20" s="3">
        <f t="shared" si="25"/>
        <v>73760.20510374094</v>
      </c>
      <c r="BA20" s="3">
        <f t="shared" si="25"/>
        <v>0</v>
      </c>
      <c r="BB20" s="3">
        <f t="shared" si="26"/>
        <v>324580.6279213035</v>
      </c>
      <c r="BC20" s="7" t="s">
        <v>100</v>
      </c>
      <c r="BD20" s="2" t="s">
        <v>28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7" t="s">
        <v>100</v>
      </c>
      <c r="BK20" s="2" t="s">
        <v>28</v>
      </c>
      <c r="BL20" s="3">
        <v>1173.772940161625</v>
      </c>
      <c r="BM20" s="3">
        <v>0</v>
      </c>
      <c r="BN20" s="3">
        <v>0</v>
      </c>
      <c r="BO20" s="3">
        <v>0</v>
      </c>
      <c r="BP20" s="3">
        <v>1173.772940161625</v>
      </c>
      <c r="BQ20" s="7" t="s">
        <v>100</v>
      </c>
      <c r="BR20" s="2" t="s">
        <v>28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7" t="s">
        <v>100</v>
      </c>
      <c r="BY20" s="2" t="s">
        <v>28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7" t="s">
        <v>100</v>
      </c>
      <c r="CF20" s="2" t="s">
        <v>28</v>
      </c>
      <c r="CG20" s="3">
        <v>1734.4182410640367</v>
      </c>
      <c r="CH20" s="3">
        <v>103377.87214191115</v>
      </c>
      <c r="CI20" s="3">
        <v>0</v>
      </c>
      <c r="CJ20" s="3">
        <v>0</v>
      </c>
      <c r="CK20" s="3">
        <v>105112.29038297519</v>
      </c>
      <c r="CL20" s="7" t="s">
        <v>100</v>
      </c>
      <c r="CM20" s="2" t="s">
        <v>28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7" t="s">
        <v>100</v>
      </c>
      <c r="CT20" s="2" t="s">
        <v>28</v>
      </c>
      <c r="CU20" s="3">
        <v>8070.2859860629715</v>
      </c>
      <c r="CV20" s="3">
        <v>0</v>
      </c>
      <c r="CW20" s="3">
        <v>0</v>
      </c>
      <c r="CX20" s="3">
        <v>0</v>
      </c>
      <c r="CY20" s="3">
        <v>8070.2859860629715</v>
      </c>
      <c r="CZ20" s="7" t="s">
        <v>100</v>
      </c>
      <c r="DA20" s="2" t="s">
        <v>28</v>
      </c>
      <c r="DB20" s="3">
        <v>895.04223290293169</v>
      </c>
      <c r="DC20" s="3">
        <v>0</v>
      </c>
      <c r="DD20" s="3">
        <v>0</v>
      </c>
      <c r="DE20" s="3">
        <v>0</v>
      </c>
      <c r="DF20" s="3">
        <v>895.04223290293169</v>
      </c>
      <c r="DG20" s="7" t="s">
        <v>100</v>
      </c>
      <c r="DH20" s="2" t="s">
        <v>28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7" t="s">
        <v>100</v>
      </c>
      <c r="DO20" s="2" t="s">
        <v>28</v>
      </c>
      <c r="DP20" s="3">
        <v>3265.2229724121071</v>
      </c>
      <c r="DQ20" s="3">
        <v>0</v>
      </c>
      <c r="DR20" s="3">
        <v>0</v>
      </c>
      <c r="DS20" s="3">
        <v>0</v>
      </c>
      <c r="DT20" s="3">
        <v>3265.2229724121071</v>
      </c>
      <c r="DU20" s="7" t="s">
        <v>100</v>
      </c>
      <c r="DV20" s="2" t="s">
        <v>28</v>
      </c>
      <c r="DW20" s="3">
        <v>1333.0778633186453</v>
      </c>
      <c r="DX20" s="3">
        <v>45115.374661054077</v>
      </c>
      <c r="DY20" s="3">
        <v>68652.72803917859</v>
      </c>
      <c r="DZ20" s="3">
        <v>0</v>
      </c>
      <c r="EA20" s="3">
        <v>115101.18056355132</v>
      </c>
      <c r="EB20" s="7" t="s">
        <v>100</v>
      </c>
      <c r="EC20" s="2" t="s">
        <v>28</v>
      </c>
      <c r="ED20" s="3">
        <v>186264.53430647042</v>
      </c>
      <c r="EE20" s="3">
        <v>18107.435986719393</v>
      </c>
      <c r="EF20" s="3">
        <v>5107.477064562343</v>
      </c>
      <c r="EG20" s="3">
        <v>0</v>
      </c>
      <c r="EH20" s="3">
        <v>209479.44735775216</v>
      </c>
    </row>
    <row r="21" spans="1:138" ht="10.199999999999999" customHeight="1" x14ac:dyDescent="0.25">
      <c r="A21" s="7" t="s">
        <v>108</v>
      </c>
      <c r="B21" s="2" t="s">
        <v>36</v>
      </c>
      <c r="C21" s="3">
        <f t="shared" si="4"/>
        <v>0</v>
      </c>
      <c r="D21" s="3">
        <f t="shared" si="5"/>
        <v>0</v>
      </c>
      <c r="E21" s="3">
        <f t="shared" si="6"/>
        <v>0</v>
      </c>
      <c r="F21" s="3">
        <f t="shared" si="7"/>
        <v>0</v>
      </c>
      <c r="G21" s="3">
        <f t="shared" si="8"/>
        <v>0</v>
      </c>
      <c r="H21" s="3">
        <f t="shared" si="9"/>
        <v>0</v>
      </c>
      <c r="I21" s="3">
        <f t="shared" si="10"/>
        <v>0</v>
      </c>
      <c r="J21" s="3">
        <f t="shared" si="11"/>
        <v>0</v>
      </c>
      <c r="K21" s="3">
        <f t="shared" si="12"/>
        <v>0</v>
      </c>
      <c r="L21" s="3">
        <f t="shared" si="13"/>
        <v>13110.221293183791</v>
      </c>
      <c r="M21" s="3">
        <f t="shared" si="14"/>
        <v>43020.272877938631</v>
      </c>
      <c r="N21" s="3">
        <f t="shared" si="15"/>
        <v>39569.590718072221</v>
      </c>
      <c r="O21" s="3">
        <f t="shared" si="16"/>
        <v>95700.084889194637</v>
      </c>
      <c r="P21" s="7" t="s">
        <v>108</v>
      </c>
      <c r="Q21" s="2" t="s">
        <v>36</v>
      </c>
      <c r="R21" s="3">
        <f t="shared" si="17"/>
        <v>0</v>
      </c>
      <c r="S21" s="3">
        <f t="shared" si="17"/>
        <v>0</v>
      </c>
      <c r="T21" s="3">
        <f t="shared" si="17"/>
        <v>0</v>
      </c>
      <c r="U21" s="3">
        <f t="shared" si="17"/>
        <v>0</v>
      </c>
      <c r="V21" s="3">
        <f t="shared" si="17"/>
        <v>0</v>
      </c>
      <c r="W21" s="3">
        <f t="shared" si="17"/>
        <v>0</v>
      </c>
      <c r="X21" s="3">
        <f t="shared" si="17"/>
        <v>0</v>
      </c>
      <c r="Y21" s="3">
        <f t="shared" si="17"/>
        <v>0</v>
      </c>
      <c r="Z21" s="3">
        <f t="shared" si="17"/>
        <v>0</v>
      </c>
      <c r="AA21" s="3">
        <f t="shared" si="17"/>
        <v>13110.221293183791</v>
      </c>
      <c r="AB21" s="3">
        <f t="shared" si="18"/>
        <v>13110.221293183791</v>
      </c>
      <c r="AC21" s="7" t="s">
        <v>108</v>
      </c>
      <c r="AD21" s="2" t="s">
        <v>36</v>
      </c>
      <c r="AE21" s="3">
        <f t="shared" si="19"/>
        <v>43020.272877938631</v>
      </c>
      <c r="AF21" s="3">
        <f t="shared" si="19"/>
        <v>39569.590718072221</v>
      </c>
      <c r="AG21" s="3">
        <f t="shared" si="20"/>
        <v>82589.863596010851</v>
      </c>
      <c r="AH21" s="7" t="s">
        <v>108</v>
      </c>
      <c r="AI21" s="2" t="s">
        <v>36</v>
      </c>
      <c r="AJ21" s="3">
        <f t="shared" si="21"/>
        <v>68947.829769462303</v>
      </c>
      <c r="AK21" s="3">
        <f t="shared" si="21"/>
        <v>5546.5377572890175</v>
      </c>
      <c r="AL21" s="3">
        <f t="shared" si="21"/>
        <v>21205.717362443313</v>
      </c>
      <c r="AM21" s="3">
        <f t="shared" si="21"/>
        <v>0</v>
      </c>
      <c r="AN21" s="3">
        <f t="shared" si="22"/>
        <v>95700.084889194637</v>
      </c>
      <c r="AO21" s="7" t="s">
        <v>108</v>
      </c>
      <c r="AP21" s="2" t="s">
        <v>36</v>
      </c>
      <c r="AQ21" s="3">
        <f t="shared" si="23"/>
        <v>13110.221293183791</v>
      </c>
      <c r="AR21" s="3">
        <f t="shared" si="23"/>
        <v>0</v>
      </c>
      <c r="AS21" s="3">
        <f t="shared" si="23"/>
        <v>0</v>
      </c>
      <c r="AT21" s="3">
        <f t="shared" si="23"/>
        <v>0</v>
      </c>
      <c r="AU21" s="3">
        <f t="shared" si="24"/>
        <v>13110.221293183791</v>
      </c>
      <c r="AV21" s="7" t="s">
        <v>108</v>
      </c>
      <c r="AW21" s="2" t="s">
        <v>36</v>
      </c>
      <c r="AX21" s="3">
        <f t="shared" si="25"/>
        <v>55837.608476278518</v>
      </c>
      <c r="AY21" s="3">
        <f t="shared" si="25"/>
        <v>5546.5377572890175</v>
      </c>
      <c r="AZ21" s="3">
        <f t="shared" si="25"/>
        <v>21205.717362443313</v>
      </c>
      <c r="BA21" s="3">
        <f t="shared" si="25"/>
        <v>0</v>
      </c>
      <c r="BB21" s="3">
        <f t="shared" si="26"/>
        <v>82589.863596010837</v>
      </c>
      <c r="BC21" s="7" t="s">
        <v>108</v>
      </c>
      <c r="BD21" s="2" t="s">
        <v>36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7" t="s">
        <v>108</v>
      </c>
      <c r="BK21" s="2" t="s">
        <v>36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7" t="s">
        <v>108</v>
      </c>
      <c r="BR21" s="2" t="s">
        <v>36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7" t="s">
        <v>108</v>
      </c>
      <c r="BY21" s="2" t="s">
        <v>36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7" t="s">
        <v>108</v>
      </c>
      <c r="CF21" s="2" t="s">
        <v>36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7" t="s">
        <v>108</v>
      </c>
      <c r="CM21" s="2" t="s">
        <v>36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7" t="s">
        <v>108</v>
      </c>
      <c r="CT21" s="2" t="s">
        <v>36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7" t="s">
        <v>108</v>
      </c>
      <c r="DA21" s="2" t="s">
        <v>36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7" t="s">
        <v>108</v>
      </c>
      <c r="DH21" s="2" t="s">
        <v>36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7" t="s">
        <v>108</v>
      </c>
      <c r="DO21" s="2" t="s">
        <v>36</v>
      </c>
      <c r="DP21" s="3">
        <v>13110.221293183791</v>
      </c>
      <c r="DQ21" s="3">
        <v>0</v>
      </c>
      <c r="DR21" s="3">
        <v>0</v>
      </c>
      <c r="DS21" s="3">
        <v>0</v>
      </c>
      <c r="DT21" s="3">
        <v>13110.221293183791</v>
      </c>
      <c r="DU21" s="7" t="s">
        <v>108</v>
      </c>
      <c r="DV21" s="2" t="s">
        <v>36</v>
      </c>
      <c r="DW21" s="3">
        <v>12817.335598339891</v>
      </c>
      <c r="DX21" s="3">
        <v>5546.5377572890175</v>
      </c>
      <c r="DY21" s="3">
        <v>21205.717362443313</v>
      </c>
      <c r="DZ21" s="3">
        <v>0</v>
      </c>
      <c r="EA21" s="3">
        <v>39569.590718072221</v>
      </c>
      <c r="EB21" s="7" t="s">
        <v>108</v>
      </c>
      <c r="EC21" s="2" t="s">
        <v>36</v>
      </c>
      <c r="ED21" s="3">
        <v>43020.272877938631</v>
      </c>
      <c r="EE21" s="3">
        <v>0</v>
      </c>
      <c r="EF21" s="3">
        <v>0</v>
      </c>
      <c r="EG21" s="3">
        <v>0</v>
      </c>
      <c r="EH21" s="3">
        <v>43020.272877938631</v>
      </c>
    </row>
    <row r="22" spans="1:138" ht="10.199999999999999" customHeight="1" x14ac:dyDescent="0.25">
      <c r="A22" s="7" t="s">
        <v>104</v>
      </c>
      <c r="B22" s="2" t="s">
        <v>32</v>
      </c>
      <c r="C22" s="3">
        <f t="shared" si="4"/>
        <v>0</v>
      </c>
      <c r="D22" s="3">
        <f t="shared" si="5"/>
        <v>0</v>
      </c>
      <c r="E22" s="3">
        <f t="shared" si="6"/>
        <v>0</v>
      </c>
      <c r="F22" s="3">
        <f t="shared" si="7"/>
        <v>0</v>
      </c>
      <c r="G22" s="3">
        <f t="shared" si="8"/>
        <v>0</v>
      </c>
      <c r="H22" s="3">
        <f t="shared" si="9"/>
        <v>0</v>
      </c>
      <c r="I22" s="3">
        <f t="shared" si="10"/>
        <v>0</v>
      </c>
      <c r="J22" s="3">
        <f t="shared" si="11"/>
        <v>1577.0377790571486</v>
      </c>
      <c r="K22" s="3">
        <f t="shared" si="12"/>
        <v>15.960865826757322</v>
      </c>
      <c r="L22" s="3">
        <f t="shared" si="13"/>
        <v>2048885.6986261979</v>
      </c>
      <c r="M22" s="3">
        <f t="shared" si="14"/>
        <v>228468.7159573317</v>
      </c>
      <c r="N22" s="3">
        <f t="shared" si="15"/>
        <v>2966136.8537795739</v>
      </c>
      <c r="O22" s="3">
        <f t="shared" si="16"/>
        <v>5245084.2670079879</v>
      </c>
      <c r="P22" s="7" t="s">
        <v>104</v>
      </c>
      <c r="Q22" s="2" t="s">
        <v>32</v>
      </c>
      <c r="R22" s="3">
        <f t="shared" si="17"/>
        <v>0</v>
      </c>
      <c r="S22" s="3">
        <f t="shared" si="17"/>
        <v>0</v>
      </c>
      <c r="T22" s="3">
        <f t="shared" si="17"/>
        <v>0</v>
      </c>
      <c r="U22" s="3">
        <f t="shared" si="17"/>
        <v>0</v>
      </c>
      <c r="V22" s="3">
        <f t="shared" si="17"/>
        <v>0</v>
      </c>
      <c r="W22" s="3">
        <f t="shared" si="17"/>
        <v>0</v>
      </c>
      <c r="X22" s="3">
        <f t="shared" si="17"/>
        <v>0</v>
      </c>
      <c r="Y22" s="3">
        <f t="shared" si="17"/>
        <v>1577.0377790571486</v>
      </c>
      <c r="Z22" s="3">
        <f t="shared" si="17"/>
        <v>15.960865826757322</v>
      </c>
      <c r="AA22" s="3">
        <f t="shared" si="17"/>
        <v>2048885.6986261979</v>
      </c>
      <c r="AB22" s="3">
        <f t="shared" si="18"/>
        <v>2050478.6972710819</v>
      </c>
      <c r="AC22" s="7" t="s">
        <v>104</v>
      </c>
      <c r="AD22" s="2" t="s">
        <v>32</v>
      </c>
      <c r="AE22" s="3">
        <f t="shared" si="19"/>
        <v>228468.7159573317</v>
      </c>
      <c r="AF22" s="3">
        <f t="shared" si="19"/>
        <v>2966136.8537795739</v>
      </c>
      <c r="AG22" s="3">
        <f t="shared" si="20"/>
        <v>3194605.5697369054</v>
      </c>
      <c r="AH22" s="7" t="s">
        <v>104</v>
      </c>
      <c r="AI22" s="2" t="s">
        <v>32</v>
      </c>
      <c r="AJ22" s="3">
        <f t="shared" si="21"/>
        <v>587462.28796248068</v>
      </c>
      <c r="AK22" s="3">
        <f t="shared" si="21"/>
        <v>1058517.2141787165</v>
      </c>
      <c r="AL22" s="3">
        <f t="shared" si="21"/>
        <v>1595164.4741158967</v>
      </c>
      <c r="AM22" s="3">
        <f t="shared" si="21"/>
        <v>2003940.2907508933</v>
      </c>
      <c r="AN22" s="3">
        <f t="shared" si="22"/>
        <v>5245084.2670079879</v>
      </c>
      <c r="AO22" s="7" t="s">
        <v>104</v>
      </c>
      <c r="AP22" s="2" t="s">
        <v>32</v>
      </c>
      <c r="AQ22" s="3">
        <f t="shared" si="23"/>
        <v>6149.6596517850503</v>
      </c>
      <c r="AR22" s="3">
        <f t="shared" si="23"/>
        <v>40388.746868403498</v>
      </c>
      <c r="AS22" s="3">
        <f t="shared" si="23"/>
        <v>0</v>
      </c>
      <c r="AT22" s="3">
        <f t="shared" si="23"/>
        <v>2003940.2907508933</v>
      </c>
      <c r="AU22" s="3">
        <f t="shared" si="24"/>
        <v>2050478.6972710819</v>
      </c>
      <c r="AV22" s="7" t="s">
        <v>104</v>
      </c>
      <c r="AW22" s="2" t="s">
        <v>32</v>
      </c>
      <c r="AX22" s="3">
        <f t="shared" si="25"/>
        <v>581312.62831069564</v>
      </c>
      <c r="AY22" s="3">
        <f t="shared" si="25"/>
        <v>1018128.4673103131</v>
      </c>
      <c r="AZ22" s="3">
        <f t="shared" si="25"/>
        <v>1595164.4741158967</v>
      </c>
      <c r="BA22" s="3">
        <f t="shared" si="25"/>
        <v>0</v>
      </c>
      <c r="BB22" s="3">
        <f t="shared" si="26"/>
        <v>3194605.5697369054</v>
      </c>
      <c r="BC22" s="7" t="s">
        <v>104</v>
      </c>
      <c r="BD22" s="2" t="s">
        <v>32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7" t="s">
        <v>104</v>
      </c>
      <c r="BK22" s="2" t="s">
        <v>32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7" t="s">
        <v>104</v>
      </c>
      <c r="BR22" s="2" t="s">
        <v>32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7" t="s">
        <v>104</v>
      </c>
      <c r="BY22" s="2" t="s">
        <v>32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7" t="s">
        <v>104</v>
      </c>
      <c r="CF22" s="2" t="s">
        <v>32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7" t="s">
        <v>104</v>
      </c>
      <c r="CM22" s="2" t="s">
        <v>32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7" t="s">
        <v>104</v>
      </c>
      <c r="CT22" s="2" t="s">
        <v>32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7" t="s">
        <v>104</v>
      </c>
      <c r="DA22" s="2" t="s">
        <v>32</v>
      </c>
      <c r="DB22" s="3">
        <v>15.960865826757322</v>
      </c>
      <c r="DC22" s="3">
        <v>0</v>
      </c>
      <c r="DD22" s="3">
        <v>0</v>
      </c>
      <c r="DE22" s="3">
        <v>0</v>
      </c>
      <c r="DF22" s="3">
        <v>15.960865826757322</v>
      </c>
      <c r="DG22" s="7" t="s">
        <v>104</v>
      </c>
      <c r="DH22" s="2" t="s">
        <v>32</v>
      </c>
      <c r="DI22" s="3">
        <v>13.194315750119387</v>
      </c>
      <c r="DJ22" s="3">
        <v>1563.8434633070292</v>
      </c>
      <c r="DK22" s="3">
        <v>0</v>
      </c>
      <c r="DL22" s="3">
        <v>0</v>
      </c>
      <c r="DM22" s="3">
        <v>1577.0377790571486</v>
      </c>
      <c r="DN22" s="7" t="s">
        <v>104</v>
      </c>
      <c r="DO22" s="2" t="s">
        <v>32</v>
      </c>
      <c r="DP22" s="3">
        <v>6120.5044702081732</v>
      </c>
      <c r="DQ22" s="3">
        <v>38824.903405096469</v>
      </c>
      <c r="DR22" s="3">
        <v>0</v>
      </c>
      <c r="DS22" s="3">
        <v>2003940.2907508933</v>
      </c>
      <c r="DT22" s="3">
        <v>2048885.6986261979</v>
      </c>
      <c r="DU22" s="7" t="s">
        <v>104</v>
      </c>
      <c r="DV22" s="2" t="s">
        <v>32</v>
      </c>
      <c r="DW22" s="3">
        <v>412941.75501211669</v>
      </c>
      <c r="DX22" s="3">
        <v>958030.62465156033</v>
      </c>
      <c r="DY22" s="3">
        <v>1595164.4741158967</v>
      </c>
      <c r="DZ22" s="3">
        <v>0</v>
      </c>
      <c r="EA22" s="3">
        <v>2966136.8537795739</v>
      </c>
      <c r="EB22" s="7" t="s">
        <v>104</v>
      </c>
      <c r="EC22" s="2" t="s">
        <v>32</v>
      </c>
      <c r="ED22" s="3">
        <v>168370.87329857895</v>
      </c>
      <c r="EE22" s="3">
        <v>60097.842658752757</v>
      </c>
      <c r="EF22" s="3">
        <v>0</v>
      </c>
      <c r="EG22" s="3">
        <v>0</v>
      </c>
      <c r="EH22" s="3">
        <v>228468.7159573317</v>
      </c>
    </row>
    <row r="23" spans="1:138" ht="10.199999999999999" customHeight="1" x14ac:dyDescent="0.25">
      <c r="A23" s="7" t="s">
        <v>105</v>
      </c>
      <c r="B23" s="2" t="s">
        <v>33</v>
      </c>
      <c r="C23" s="3">
        <f t="shared" si="4"/>
        <v>0</v>
      </c>
      <c r="D23" s="3">
        <f t="shared" si="5"/>
        <v>18001.502229987538</v>
      </c>
      <c r="E23" s="3">
        <f t="shared" si="6"/>
        <v>47.669785935915201</v>
      </c>
      <c r="F23" s="3">
        <f t="shared" si="7"/>
        <v>680.99694194164567</v>
      </c>
      <c r="G23" s="3">
        <f t="shared" si="8"/>
        <v>4096419.6312235687</v>
      </c>
      <c r="H23" s="3">
        <f t="shared" si="9"/>
        <v>0</v>
      </c>
      <c r="I23" s="3">
        <f t="shared" si="10"/>
        <v>834.22125387851599</v>
      </c>
      <c r="J23" s="3">
        <f t="shared" si="11"/>
        <v>0</v>
      </c>
      <c r="K23" s="3">
        <f t="shared" si="12"/>
        <v>0</v>
      </c>
      <c r="L23" s="3">
        <f t="shared" si="13"/>
        <v>38770.422059855133</v>
      </c>
      <c r="M23" s="3">
        <f t="shared" si="14"/>
        <v>314600.95230136189</v>
      </c>
      <c r="N23" s="3">
        <f t="shared" si="15"/>
        <v>272626.30635278969</v>
      </c>
      <c r="O23" s="3">
        <f t="shared" si="16"/>
        <v>4741981.7021493185</v>
      </c>
      <c r="P23" s="7" t="s">
        <v>105</v>
      </c>
      <c r="Q23" s="2" t="s">
        <v>33</v>
      </c>
      <c r="R23" s="3">
        <f t="shared" si="17"/>
        <v>0</v>
      </c>
      <c r="S23" s="3">
        <f t="shared" si="17"/>
        <v>18001.502229987538</v>
      </c>
      <c r="T23" s="3">
        <f t="shared" si="17"/>
        <v>47.669785935915201</v>
      </c>
      <c r="U23" s="3">
        <f t="shared" si="17"/>
        <v>680.99694194164567</v>
      </c>
      <c r="V23" s="3">
        <f t="shared" si="17"/>
        <v>4096419.6312235687</v>
      </c>
      <c r="W23" s="3">
        <f t="shared" si="17"/>
        <v>0</v>
      </c>
      <c r="X23" s="3">
        <f t="shared" si="17"/>
        <v>834.22125387851599</v>
      </c>
      <c r="Y23" s="3">
        <f t="shared" si="17"/>
        <v>0</v>
      </c>
      <c r="Z23" s="3">
        <f t="shared" si="17"/>
        <v>0</v>
      </c>
      <c r="AA23" s="3">
        <f t="shared" si="17"/>
        <v>38770.422059855133</v>
      </c>
      <c r="AB23" s="3">
        <f t="shared" si="18"/>
        <v>4154754.443495167</v>
      </c>
      <c r="AC23" s="7" t="s">
        <v>105</v>
      </c>
      <c r="AD23" s="2" t="s">
        <v>33</v>
      </c>
      <c r="AE23" s="3">
        <f t="shared" si="19"/>
        <v>314600.95230136189</v>
      </c>
      <c r="AF23" s="3">
        <f t="shared" si="19"/>
        <v>272626.30635278969</v>
      </c>
      <c r="AG23" s="3">
        <f t="shared" si="20"/>
        <v>587227.25865415158</v>
      </c>
      <c r="AH23" s="7" t="s">
        <v>105</v>
      </c>
      <c r="AI23" s="2" t="s">
        <v>33</v>
      </c>
      <c r="AJ23" s="3">
        <f t="shared" si="21"/>
        <v>507965.06192181748</v>
      </c>
      <c r="AK23" s="3">
        <f t="shared" si="21"/>
        <v>4234016.6402275013</v>
      </c>
      <c r="AL23" s="3">
        <f t="shared" si="21"/>
        <v>0</v>
      </c>
      <c r="AM23" s="3">
        <f t="shared" si="21"/>
        <v>0</v>
      </c>
      <c r="AN23" s="3">
        <f t="shared" si="22"/>
        <v>4741981.7021493185</v>
      </c>
      <c r="AO23" s="7" t="s">
        <v>105</v>
      </c>
      <c r="AP23" s="2" t="s">
        <v>33</v>
      </c>
      <c r="AQ23" s="3">
        <f t="shared" si="23"/>
        <v>235022.18451639079</v>
      </c>
      <c r="AR23" s="3">
        <f t="shared" si="23"/>
        <v>3919732.2589787766</v>
      </c>
      <c r="AS23" s="3">
        <f t="shared" si="23"/>
        <v>0</v>
      </c>
      <c r="AT23" s="3">
        <f t="shared" si="23"/>
        <v>0</v>
      </c>
      <c r="AU23" s="3">
        <f t="shared" si="24"/>
        <v>4154754.4434951674</v>
      </c>
      <c r="AV23" s="7" t="s">
        <v>105</v>
      </c>
      <c r="AW23" s="2" t="s">
        <v>33</v>
      </c>
      <c r="AX23" s="3">
        <f t="shared" si="25"/>
        <v>272942.8774054267</v>
      </c>
      <c r="AY23" s="3">
        <f t="shared" si="25"/>
        <v>314284.38124872488</v>
      </c>
      <c r="AZ23" s="3">
        <f t="shared" si="25"/>
        <v>0</v>
      </c>
      <c r="BA23" s="3">
        <f t="shared" si="25"/>
        <v>0</v>
      </c>
      <c r="BB23" s="3">
        <f t="shared" si="26"/>
        <v>587227.25865415158</v>
      </c>
      <c r="BC23" s="7" t="s">
        <v>105</v>
      </c>
      <c r="BD23" s="2" t="s">
        <v>33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7" t="s">
        <v>105</v>
      </c>
      <c r="BK23" s="2" t="s">
        <v>33</v>
      </c>
      <c r="BL23" s="3">
        <v>15999.782596954541</v>
      </c>
      <c r="BM23" s="3">
        <v>2001.7196330329975</v>
      </c>
      <c r="BN23" s="3">
        <v>0</v>
      </c>
      <c r="BO23" s="3">
        <v>0</v>
      </c>
      <c r="BP23" s="3">
        <v>18001.502229987538</v>
      </c>
      <c r="BQ23" s="7" t="s">
        <v>105</v>
      </c>
      <c r="BR23" s="2" t="s">
        <v>33</v>
      </c>
      <c r="BS23" s="3">
        <v>47.669785935915201</v>
      </c>
      <c r="BT23" s="3">
        <v>0</v>
      </c>
      <c r="BU23" s="3">
        <v>0</v>
      </c>
      <c r="BV23" s="3">
        <v>0</v>
      </c>
      <c r="BW23" s="3">
        <v>47.669785935915201</v>
      </c>
      <c r="BX23" s="7" t="s">
        <v>105</v>
      </c>
      <c r="BY23" s="2" t="s">
        <v>33</v>
      </c>
      <c r="BZ23" s="3">
        <v>680.99694194164567</v>
      </c>
      <c r="CA23" s="3">
        <v>0</v>
      </c>
      <c r="CB23" s="3">
        <v>0</v>
      </c>
      <c r="CC23" s="3">
        <v>0</v>
      </c>
      <c r="CD23" s="3">
        <v>680.99694194164567</v>
      </c>
      <c r="CE23" s="7" t="s">
        <v>105</v>
      </c>
      <c r="CF23" s="2" t="s">
        <v>33</v>
      </c>
      <c r="CG23" s="3">
        <v>183693.39096040753</v>
      </c>
      <c r="CH23" s="3">
        <v>3912726.2402631612</v>
      </c>
      <c r="CI23" s="3">
        <v>0</v>
      </c>
      <c r="CJ23" s="3">
        <v>0</v>
      </c>
      <c r="CK23" s="3">
        <v>4096419.6312235687</v>
      </c>
      <c r="CL23" s="7" t="s">
        <v>105</v>
      </c>
      <c r="CM23" s="2" t="s">
        <v>33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7" t="s">
        <v>105</v>
      </c>
      <c r="CT23" s="2" t="s">
        <v>33</v>
      </c>
      <c r="CU23" s="3">
        <v>834.22125387851599</v>
      </c>
      <c r="CV23" s="3">
        <v>0</v>
      </c>
      <c r="CW23" s="3">
        <v>0</v>
      </c>
      <c r="CX23" s="3">
        <v>0</v>
      </c>
      <c r="CY23" s="3">
        <v>834.22125387851599</v>
      </c>
      <c r="CZ23" s="7" t="s">
        <v>105</v>
      </c>
      <c r="DA23" s="2" t="s">
        <v>33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7" t="s">
        <v>105</v>
      </c>
      <c r="DH23" s="2" t="s">
        <v>33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7" t="s">
        <v>105</v>
      </c>
      <c r="DO23" s="2" t="s">
        <v>33</v>
      </c>
      <c r="DP23" s="3">
        <v>33766.122977272636</v>
      </c>
      <c r="DQ23" s="3">
        <v>5004.2990825824936</v>
      </c>
      <c r="DR23" s="3">
        <v>0</v>
      </c>
      <c r="DS23" s="3">
        <v>0</v>
      </c>
      <c r="DT23" s="3">
        <v>38770.422059855133</v>
      </c>
      <c r="DU23" s="7" t="s">
        <v>105</v>
      </c>
      <c r="DV23" s="2" t="s">
        <v>33</v>
      </c>
      <c r="DW23" s="3">
        <v>3743.2826401987563</v>
      </c>
      <c r="DX23" s="3">
        <v>268883.02371259092</v>
      </c>
      <c r="DY23" s="3">
        <v>0</v>
      </c>
      <c r="DZ23" s="3">
        <v>0</v>
      </c>
      <c r="EA23" s="3">
        <v>272626.30635278969</v>
      </c>
      <c r="EB23" s="7" t="s">
        <v>105</v>
      </c>
      <c r="EC23" s="2" t="s">
        <v>33</v>
      </c>
      <c r="ED23" s="3">
        <v>269199.59476522793</v>
      </c>
      <c r="EE23" s="3">
        <v>45401.357536133961</v>
      </c>
      <c r="EF23" s="3">
        <v>0</v>
      </c>
      <c r="EG23" s="3">
        <v>0</v>
      </c>
      <c r="EH23" s="3">
        <v>314600.95230136189</v>
      </c>
    </row>
    <row r="24" spans="1:138" ht="10.199999999999999" customHeight="1" x14ac:dyDescent="0.25">
      <c r="A24" s="7" t="s">
        <v>109</v>
      </c>
      <c r="B24" s="2" t="s">
        <v>37</v>
      </c>
      <c r="C24" s="3">
        <f t="shared" si="4"/>
        <v>0</v>
      </c>
      <c r="D24" s="3">
        <f t="shared" si="5"/>
        <v>0</v>
      </c>
      <c r="E24" s="3">
        <f t="shared" si="6"/>
        <v>0</v>
      </c>
      <c r="F24" s="3">
        <f t="shared" si="7"/>
        <v>155236.29776078937</v>
      </c>
      <c r="G24" s="3">
        <f t="shared" si="8"/>
        <v>119273.82221966899</v>
      </c>
      <c r="H24" s="3">
        <f t="shared" si="9"/>
        <v>0</v>
      </c>
      <c r="I24" s="3">
        <f t="shared" si="10"/>
        <v>11413.199820256779</v>
      </c>
      <c r="J24" s="3">
        <f t="shared" si="11"/>
        <v>0</v>
      </c>
      <c r="K24" s="3">
        <f t="shared" si="12"/>
        <v>15638.434633070294</v>
      </c>
      <c r="L24" s="3">
        <f t="shared" si="13"/>
        <v>3606.6245661929111</v>
      </c>
      <c r="M24" s="3">
        <f t="shared" si="14"/>
        <v>471943.71525674878</v>
      </c>
      <c r="N24" s="3">
        <f t="shared" si="15"/>
        <v>62827.522745794398</v>
      </c>
      <c r="O24" s="3">
        <f t="shared" si="16"/>
        <v>839939.61700252153</v>
      </c>
      <c r="P24" s="7" t="s">
        <v>109</v>
      </c>
      <c r="Q24" s="2" t="s">
        <v>37</v>
      </c>
      <c r="R24" s="3">
        <f t="shared" si="17"/>
        <v>0</v>
      </c>
      <c r="S24" s="3">
        <f t="shared" si="17"/>
        <v>0</v>
      </c>
      <c r="T24" s="3">
        <f t="shared" si="17"/>
        <v>0</v>
      </c>
      <c r="U24" s="3">
        <f t="shared" si="17"/>
        <v>155236.29776078937</v>
      </c>
      <c r="V24" s="3">
        <f t="shared" si="17"/>
        <v>119273.82221966899</v>
      </c>
      <c r="W24" s="3">
        <f t="shared" si="17"/>
        <v>0</v>
      </c>
      <c r="X24" s="3">
        <f t="shared" si="17"/>
        <v>11413.199820256779</v>
      </c>
      <c r="Y24" s="3">
        <f t="shared" si="17"/>
        <v>0</v>
      </c>
      <c r="Z24" s="3">
        <f t="shared" si="17"/>
        <v>15638.434633070294</v>
      </c>
      <c r="AA24" s="3">
        <f t="shared" si="17"/>
        <v>3606.6245661929111</v>
      </c>
      <c r="AB24" s="3">
        <f t="shared" si="18"/>
        <v>305168.37899997836</v>
      </c>
      <c r="AC24" s="7" t="s">
        <v>109</v>
      </c>
      <c r="AD24" s="2" t="s">
        <v>37</v>
      </c>
      <c r="AE24" s="3">
        <f t="shared" si="19"/>
        <v>471943.71525674878</v>
      </c>
      <c r="AF24" s="3">
        <f t="shared" si="19"/>
        <v>62827.522745794398</v>
      </c>
      <c r="AG24" s="3">
        <f t="shared" si="20"/>
        <v>534771.23800254322</v>
      </c>
      <c r="AH24" s="7" t="s">
        <v>109</v>
      </c>
      <c r="AI24" s="2" t="s">
        <v>37</v>
      </c>
      <c r="AJ24" s="3">
        <f t="shared" si="21"/>
        <v>135290.52019532415</v>
      </c>
      <c r="AK24" s="3">
        <f t="shared" si="21"/>
        <v>679627.60139428498</v>
      </c>
      <c r="AL24" s="3">
        <f t="shared" si="21"/>
        <v>25021.495412912467</v>
      </c>
      <c r="AM24" s="3">
        <f t="shared" si="21"/>
        <v>0</v>
      </c>
      <c r="AN24" s="3">
        <f t="shared" si="22"/>
        <v>839939.61700252164</v>
      </c>
      <c r="AO24" s="7" t="s">
        <v>109</v>
      </c>
      <c r="AP24" s="2" t="s">
        <v>37</v>
      </c>
      <c r="AQ24" s="3">
        <f t="shared" si="23"/>
        <v>25028.347368436225</v>
      </c>
      <c r="AR24" s="3">
        <f t="shared" si="23"/>
        <v>255118.53621862966</v>
      </c>
      <c r="AS24" s="3">
        <f t="shared" si="23"/>
        <v>25021.495412912467</v>
      </c>
      <c r="AT24" s="3">
        <f t="shared" si="23"/>
        <v>0</v>
      </c>
      <c r="AU24" s="3">
        <f t="shared" si="24"/>
        <v>305168.3789999783</v>
      </c>
      <c r="AV24" s="7" t="s">
        <v>109</v>
      </c>
      <c r="AW24" s="2" t="s">
        <v>37</v>
      </c>
      <c r="AX24" s="3">
        <f t="shared" si="25"/>
        <v>110262.17282688791</v>
      </c>
      <c r="AY24" s="3">
        <f t="shared" si="25"/>
        <v>424509.0651756553</v>
      </c>
      <c r="AZ24" s="3">
        <f t="shared" si="25"/>
        <v>0</v>
      </c>
      <c r="BA24" s="3">
        <f t="shared" si="25"/>
        <v>0</v>
      </c>
      <c r="BB24" s="3">
        <f t="shared" si="26"/>
        <v>534771.23800254322</v>
      </c>
      <c r="BC24" s="7" t="s">
        <v>109</v>
      </c>
      <c r="BD24" s="2" t="s">
        <v>37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7" t="s">
        <v>109</v>
      </c>
      <c r="BK24" s="2" t="s">
        <v>37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7" t="s">
        <v>109</v>
      </c>
      <c r="BR24" s="2" t="s">
        <v>37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7" t="s">
        <v>109</v>
      </c>
      <c r="BY24" s="2" t="s">
        <v>37</v>
      </c>
      <c r="BZ24" s="3">
        <v>680.99694194164567</v>
      </c>
      <c r="CA24" s="3">
        <v>154555.30081884773</v>
      </c>
      <c r="CB24" s="3">
        <v>0</v>
      </c>
      <c r="CC24" s="3">
        <v>0</v>
      </c>
      <c r="CD24" s="3">
        <v>155236.29776078937</v>
      </c>
      <c r="CE24" s="7" t="s">
        <v>109</v>
      </c>
      <c r="CF24" s="2" t="s">
        <v>37</v>
      </c>
      <c r="CG24" s="3">
        <v>21785.384560572082</v>
      </c>
      <c r="CH24" s="3">
        <v>72466.942246184437</v>
      </c>
      <c r="CI24" s="3">
        <v>25021.495412912467</v>
      </c>
      <c r="CJ24" s="3">
        <v>0</v>
      </c>
      <c r="CK24" s="3">
        <v>119273.82221966899</v>
      </c>
      <c r="CL24" s="7" t="s">
        <v>109</v>
      </c>
      <c r="CM24" s="2" t="s">
        <v>37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7" t="s">
        <v>109</v>
      </c>
      <c r="CT24" s="2" t="s">
        <v>37</v>
      </c>
      <c r="CU24" s="3">
        <v>174.67004807007999</v>
      </c>
      <c r="CV24" s="3">
        <v>11238.529772186699</v>
      </c>
      <c r="CW24" s="3">
        <v>0</v>
      </c>
      <c r="CX24" s="3">
        <v>0</v>
      </c>
      <c r="CY24" s="3">
        <v>11413.199820256779</v>
      </c>
      <c r="CZ24" s="7" t="s">
        <v>109</v>
      </c>
      <c r="DA24" s="2" t="s">
        <v>37</v>
      </c>
      <c r="DB24" s="3">
        <v>0</v>
      </c>
      <c r="DC24" s="3">
        <v>15638.434633070294</v>
      </c>
      <c r="DD24" s="3">
        <v>0</v>
      </c>
      <c r="DE24" s="3">
        <v>0</v>
      </c>
      <c r="DF24" s="3">
        <v>15638.434633070294</v>
      </c>
      <c r="DG24" s="7" t="s">
        <v>109</v>
      </c>
      <c r="DH24" s="2" t="s">
        <v>37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7" t="s">
        <v>109</v>
      </c>
      <c r="DO24" s="2" t="s">
        <v>37</v>
      </c>
      <c r="DP24" s="3">
        <v>2387.2958178524204</v>
      </c>
      <c r="DQ24" s="3">
        <v>1219.3287483404906</v>
      </c>
      <c r="DR24" s="3">
        <v>0</v>
      </c>
      <c r="DS24" s="3">
        <v>0</v>
      </c>
      <c r="DT24" s="3">
        <v>3606.6245661929111</v>
      </c>
      <c r="DU24" s="7" t="s">
        <v>109</v>
      </c>
      <c r="DV24" s="2" t="s">
        <v>37</v>
      </c>
      <c r="DW24" s="3">
        <v>2004.8667541307984</v>
      </c>
      <c r="DX24" s="3">
        <v>60822.655991663603</v>
      </c>
      <c r="DY24" s="3">
        <v>0</v>
      </c>
      <c r="DZ24" s="3">
        <v>0</v>
      </c>
      <c r="EA24" s="3">
        <v>62827.522745794398</v>
      </c>
      <c r="EB24" s="7" t="s">
        <v>109</v>
      </c>
      <c r="EC24" s="2" t="s">
        <v>37</v>
      </c>
      <c r="ED24" s="3">
        <v>108257.30607275711</v>
      </c>
      <c r="EE24" s="3">
        <v>363686.40918399167</v>
      </c>
      <c r="EF24" s="3">
        <v>0</v>
      </c>
      <c r="EG24" s="3">
        <v>0</v>
      </c>
      <c r="EH24" s="3">
        <v>471943.71525674878</v>
      </c>
    </row>
    <row r="25" spans="1:138" ht="10.199999999999999" customHeight="1" x14ac:dyDescent="0.25">
      <c r="A25" s="7" t="s">
        <v>96</v>
      </c>
      <c r="B25" s="2" t="s">
        <v>24</v>
      </c>
      <c r="C25" s="3">
        <f t="shared" si="4"/>
        <v>0</v>
      </c>
      <c r="D25" s="3">
        <f t="shared" si="5"/>
        <v>9214.3922468750825</v>
      </c>
      <c r="E25" s="3">
        <f t="shared" si="6"/>
        <v>0</v>
      </c>
      <c r="F25" s="3">
        <f t="shared" si="7"/>
        <v>5035059.3995706094</v>
      </c>
      <c r="G25" s="3">
        <f t="shared" si="8"/>
        <v>37091.236893507172</v>
      </c>
      <c r="H25" s="3">
        <f t="shared" si="9"/>
        <v>0</v>
      </c>
      <c r="I25" s="3">
        <f t="shared" si="10"/>
        <v>353231.52459150541</v>
      </c>
      <c r="J25" s="3">
        <f t="shared" si="11"/>
        <v>0</v>
      </c>
      <c r="K25" s="3">
        <f t="shared" si="12"/>
        <v>8829.8930070948118</v>
      </c>
      <c r="L25" s="3">
        <f t="shared" si="13"/>
        <v>4281.783792410808</v>
      </c>
      <c r="M25" s="3">
        <f t="shared" si="14"/>
        <v>534841.90429959889</v>
      </c>
      <c r="N25" s="3">
        <f t="shared" si="15"/>
        <v>2275698.3919506483</v>
      </c>
      <c r="O25" s="3">
        <f t="shared" si="16"/>
        <v>8258248.52635225</v>
      </c>
      <c r="P25" s="7" t="s">
        <v>96</v>
      </c>
      <c r="Q25" s="2" t="s">
        <v>24</v>
      </c>
      <c r="R25" s="3">
        <f t="shared" si="17"/>
        <v>0</v>
      </c>
      <c r="S25" s="3">
        <f t="shared" si="17"/>
        <v>9214.3922468750825</v>
      </c>
      <c r="T25" s="3">
        <f t="shared" si="17"/>
        <v>0</v>
      </c>
      <c r="U25" s="3">
        <f t="shared" si="17"/>
        <v>5035059.3995706094</v>
      </c>
      <c r="V25" s="3">
        <f t="shared" si="17"/>
        <v>37091.236893507172</v>
      </c>
      <c r="W25" s="3">
        <f t="shared" si="17"/>
        <v>0</v>
      </c>
      <c r="X25" s="3">
        <f t="shared" si="17"/>
        <v>353231.52459150541</v>
      </c>
      <c r="Y25" s="3">
        <f t="shared" si="17"/>
        <v>0</v>
      </c>
      <c r="Z25" s="3">
        <f t="shared" si="17"/>
        <v>8829.8930070948118</v>
      </c>
      <c r="AA25" s="3">
        <f t="shared" si="17"/>
        <v>4281.783792410808</v>
      </c>
      <c r="AB25" s="3">
        <f t="shared" si="18"/>
        <v>5447708.2301020026</v>
      </c>
      <c r="AC25" s="7" t="s">
        <v>96</v>
      </c>
      <c r="AD25" s="2" t="s">
        <v>24</v>
      </c>
      <c r="AE25" s="3">
        <f t="shared" si="19"/>
        <v>534841.90429959889</v>
      </c>
      <c r="AF25" s="3">
        <f t="shared" si="19"/>
        <v>2275698.3919506483</v>
      </c>
      <c r="AG25" s="3">
        <f t="shared" si="20"/>
        <v>2810540.2962502474</v>
      </c>
      <c r="AH25" s="7" t="s">
        <v>96</v>
      </c>
      <c r="AI25" s="2" t="s">
        <v>24</v>
      </c>
      <c r="AJ25" s="3">
        <f t="shared" si="21"/>
        <v>5932707.5516025051</v>
      </c>
      <c r="AK25" s="3">
        <f t="shared" si="21"/>
        <v>2325540.9747497449</v>
      </c>
      <c r="AL25" s="3">
        <f t="shared" si="21"/>
        <v>0</v>
      </c>
      <c r="AM25" s="3">
        <f t="shared" si="21"/>
        <v>0</v>
      </c>
      <c r="AN25" s="3">
        <f t="shared" si="22"/>
        <v>8258248.52635225</v>
      </c>
      <c r="AO25" s="7" t="s">
        <v>96</v>
      </c>
      <c r="AP25" s="2" t="s">
        <v>24</v>
      </c>
      <c r="AQ25" s="3">
        <f t="shared" si="23"/>
        <v>5231641.9345293781</v>
      </c>
      <c r="AR25" s="3">
        <f t="shared" si="23"/>
        <v>216066.29557262507</v>
      </c>
      <c r="AS25" s="3">
        <f t="shared" si="23"/>
        <v>0</v>
      </c>
      <c r="AT25" s="3">
        <f t="shared" si="23"/>
        <v>0</v>
      </c>
      <c r="AU25" s="3">
        <f t="shared" si="24"/>
        <v>5447708.2301020036</v>
      </c>
      <c r="AV25" s="7" t="s">
        <v>96</v>
      </c>
      <c r="AW25" s="2" t="s">
        <v>24</v>
      </c>
      <c r="AX25" s="3">
        <f t="shared" si="25"/>
        <v>701065.61707312707</v>
      </c>
      <c r="AY25" s="3">
        <f t="shared" si="25"/>
        <v>2109474.6791771199</v>
      </c>
      <c r="AZ25" s="3">
        <f t="shared" si="25"/>
        <v>0</v>
      </c>
      <c r="BA25" s="3">
        <f t="shared" si="25"/>
        <v>0</v>
      </c>
      <c r="BB25" s="3">
        <f t="shared" si="26"/>
        <v>2810540.2962502469</v>
      </c>
      <c r="BC25" s="7" t="s">
        <v>96</v>
      </c>
      <c r="BD25" s="2" t="s">
        <v>24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7" t="s">
        <v>96</v>
      </c>
      <c r="BK25" s="2" t="s">
        <v>24</v>
      </c>
      <c r="BL25" s="3">
        <v>9214.3922468750825</v>
      </c>
      <c r="BM25" s="3">
        <v>0</v>
      </c>
      <c r="BN25" s="3">
        <v>0</v>
      </c>
      <c r="BO25" s="3">
        <v>0</v>
      </c>
      <c r="BP25" s="3">
        <v>9214.3922468750825</v>
      </c>
      <c r="BQ25" s="7" t="s">
        <v>96</v>
      </c>
      <c r="BR25" s="2" t="s">
        <v>24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7" t="s">
        <v>96</v>
      </c>
      <c r="BY25" s="2" t="s">
        <v>24</v>
      </c>
      <c r="BZ25" s="3">
        <v>5031954.1833539018</v>
      </c>
      <c r="CA25" s="3">
        <v>3105.2162167075876</v>
      </c>
      <c r="CB25" s="3">
        <v>0</v>
      </c>
      <c r="CC25" s="3">
        <v>0</v>
      </c>
      <c r="CD25" s="3">
        <v>5035059.3995706094</v>
      </c>
      <c r="CE25" s="7" t="s">
        <v>96</v>
      </c>
      <c r="CF25" s="2" t="s">
        <v>24</v>
      </c>
      <c r="CG25" s="3">
        <v>11345.827777777777</v>
      </c>
      <c r="CH25" s="3">
        <v>25745.409115729391</v>
      </c>
      <c r="CI25" s="3">
        <v>0</v>
      </c>
      <c r="CJ25" s="3">
        <v>0</v>
      </c>
      <c r="CK25" s="3">
        <v>37091.236893507172</v>
      </c>
      <c r="CL25" s="7" t="s">
        <v>96</v>
      </c>
      <c r="CM25" s="2" t="s">
        <v>24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7" t="s">
        <v>96</v>
      </c>
      <c r="CT25" s="2" t="s">
        <v>24</v>
      </c>
      <c r="CU25" s="3">
        <v>174031.61551432093</v>
      </c>
      <c r="CV25" s="3">
        <v>179199.90907718451</v>
      </c>
      <c r="CW25" s="3">
        <v>0</v>
      </c>
      <c r="CX25" s="3">
        <v>0</v>
      </c>
      <c r="CY25" s="3">
        <v>353231.52459150541</v>
      </c>
      <c r="CZ25" s="7" t="s">
        <v>96</v>
      </c>
      <c r="DA25" s="2" t="s">
        <v>24</v>
      </c>
      <c r="DB25" s="3">
        <v>814.13184409123744</v>
      </c>
      <c r="DC25" s="3">
        <v>8015.7611630035735</v>
      </c>
      <c r="DD25" s="3">
        <v>0</v>
      </c>
      <c r="DE25" s="3">
        <v>0</v>
      </c>
      <c r="DF25" s="3">
        <v>8829.8930070948118</v>
      </c>
      <c r="DG25" s="7" t="s">
        <v>96</v>
      </c>
      <c r="DH25" s="2" t="s">
        <v>24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7" t="s">
        <v>96</v>
      </c>
      <c r="DO25" s="2" t="s">
        <v>24</v>
      </c>
      <c r="DP25" s="3">
        <v>4281.783792410808</v>
      </c>
      <c r="DQ25" s="3">
        <v>0</v>
      </c>
      <c r="DR25" s="3">
        <v>0</v>
      </c>
      <c r="DS25" s="3">
        <v>0</v>
      </c>
      <c r="DT25" s="3">
        <v>4281.783792410808</v>
      </c>
      <c r="DU25" s="7" t="s">
        <v>96</v>
      </c>
      <c r="DV25" s="2" t="s">
        <v>24</v>
      </c>
      <c r="DW25" s="3">
        <v>193882.49838007771</v>
      </c>
      <c r="DX25" s="3">
        <v>2081815.8935705705</v>
      </c>
      <c r="DY25" s="3">
        <v>0</v>
      </c>
      <c r="DZ25" s="3">
        <v>0</v>
      </c>
      <c r="EA25" s="3">
        <v>2275698.3919506483</v>
      </c>
      <c r="EB25" s="7" t="s">
        <v>96</v>
      </c>
      <c r="EC25" s="2" t="s">
        <v>24</v>
      </c>
      <c r="ED25" s="3">
        <v>507183.1186930493</v>
      </c>
      <c r="EE25" s="3">
        <v>27658.785606549565</v>
      </c>
      <c r="EF25" s="3">
        <v>0</v>
      </c>
      <c r="EG25" s="3">
        <v>0</v>
      </c>
      <c r="EH25" s="3">
        <v>534841.90429959889</v>
      </c>
    </row>
    <row r="26" spans="1:138" ht="10.199999999999999" customHeight="1" x14ac:dyDescent="0.25">
      <c r="A26" s="7" t="s">
        <v>120</v>
      </c>
      <c r="B26" s="2" t="s">
        <v>48</v>
      </c>
      <c r="C26" s="3">
        <f t="shared" si="4"/>
        <v>2301.3257142857142</v>
      </c>
      <c r="D26" s="3">
        <f t="shared" si="5"/>
        <v>323.42212538785162</v>
      </c>
      <c r="E26" s="3">
        <f t="shared" si="6"/>
        <v>319256395.26979208</v>
      </c>
      <c r="F26" s="3">
        <f t="shared" si="7"/>
        <v>184259.71197582764</v>
      </c>
      <c r="G26" s="3">
        <f t="shared" si="8"/>
        <v>19273.350080883822</v>
      </c>
      <c r="H26" s="3">
        <f t="shared" si="9"/>
        <v>0</v>
      </c>
      <c r="I26" s="3">
        <f t="shared" si="10"/>
        <v>1065909.4145594984</v>
      </c>
      <c r="J26" s="3">
        <f t="shared" si="11"/>
        <v>71368.589381807251</v>
      </c>
      <c r="K26" s="3">
        <f t="shared" si="12"/>
        <v>4995773.5223942194</v>
      </c>
      <c r="L26" s="3">
        <f t="shared" si="13"/>
        <v>121628.02792096944</v>
      </c>
      <c r="M26" s="3">
        <f t="shared" si="14"/>
        <v>2846084.4454240105</v>
      </c>
      <c r="N26" s="3">
        <f t="shared" si="15"/>
        <v>1412148.2023681095</v>
      </c>
      <c r="O26" s="3">
        <f t="shared" si="16"/>
        <v>329975465.28173709</v>
      </c>
      <c r="P26" s="7" t="s">
        <v>120</v>
      </c>
      <c r="Q26" s="2" t="s">
        <v>48</v>
      </c>
      <c r="R26" s="3">
        <f t="shared" si="17"/>
        <v>2301.3257142857142</v>
      </c>
      <c r="S26" s="3">
        <f t="shared" si="17"/>
        <v>323.42212538785162</v>
      </c>
      <c r="T26" s="3">
        <f t="shared" si="17"/>
        <v>319256395.26979208</v>
      </c>
      <c r="U26" s="3">
        <f t="shared" si="17"/>
        <v>184259.71197582764</v>
      </c>
      <c r="V26" s="3">
        <f t="shared" si="17"/>
        <v>19273.350080883822</v>
      </c>
      <c r="W26" s="3">
        <f t="shared" si="17"/>
        <v>0</v>
      </c>
      <c r="X26" s="3">
        <f t="shared" si="17"/>
        <v>1065909.4145594984</v>
      </c>
      <c r="Y26" s="3">
        <f t="shared" si="17"/>
        <v>71368.589381807251</v>
      </c>
      <c r="Z26" s="3">
        <f t="shared" si="17"/>
        <v>4995773.5223942194</v>
      </c>
      <c r="AA26" s="3">
        <f t="shared" si="17"/>
        <v>121628.02792096944</v>
      </c>
      <c r="AB26" s="3">
        <f t="shared" si="18"/>
        <v>325717232.63394499</v>
      </c>
      <c r="AC26" s="7" t="s">
        <v>120</v>
      </c>
      <c r="AD26" s="2" t="s">
        <v>48</v>
      </c>
      <c r="AE26" s="3">
        <f t="shared" si="19"/>
        <v>2846084.4454240105</v>
      </c>
      <c r="AF26" s="3">
        <f t="shared" si="19"/>
        <v>1412148.2023681095</v>
      </c>
      <c r="AG26" s="3">
        <f t="shared" si="20"/>
        <v>4258232.6477921195</v>
      </c>
      <c r="AH26" s="7" t="s">
        <v>120</v>
      </c>
      <c r="AI26" s="2" t="s">
        <v>48</v>
      </c>
      <c r="AJ26" s="3">
        <f t="shared" si="21"/>
        <v>1328669.1595761541</v>
      </c>
      <c r="AK26" s="3">
        <f t="shared" si="21"/>
        <v>2103825.3128211703</v>
      </c>
      <c r="AL26" s="3">
        <f t="shared" si="21"/>
        <v>94467599.994760126</v>
      </c>
      <c r="AM26" s="3">
        <f t="shared" si="21"/>
        <v>232075370.81457964</v>
      </c>
      <c r="AN26" s="3">
        <f t="shared" si="22"/>
        <v>329975465.28173709</v>
      </c>
      <c r="AO26" s="7" t="s">
        <v>120</v>
      </c>
      <c r="AP26" s="2" t="s">
        <v>48</v>
      </c>
      <c r="AQ26" s="3">
        <f t="shared" si="23"/>
        <v>368292.2728441967</v>
      </c>
      <c r="AR26" s="3">
        <f t="shared" si="23"/>
        <v>572985.97870237264</v>
      </c>
      <c r="AS26" s="3">
        <f t="shared" si="23"/>
        <v>92700583.567818761</v>
      </c>
      <c r="AT26" s="3">
        <f t="shared" si="23"/>
        <v>232075370.81457964</v>
      </c>
      <c r="AU26" s="3">
        <f t="shared" si="24"/>
        <v>325717232.63394499</v>
      </c>
      <c r="AV26" s="7" t="s">
        <v>120</v>
      </c>
      <c r="AW26" s="2" t="s">
        <v>48</v>
      </c>
      <c r="AX26" s="3">
        <f t="shared" si="25"/>
        <v>960376.88673195732</v>
      </c>
      <c r="AY26" s="3">
        <f t="shared" si="25"/>
        <v>1530839.3341187977</v>
      </c>
      <c r="AZ26" s="3">
        <f t="shared" si="25"/>
        <v>1767016.4269413648</v>
      </c>
      <c r="BA26" s="3">
        <f t="shared" si="25"/>
        <v>0</v>
      </c>
      <c r="BB26" s="3">
        <f t="shared" si="26"/>
        <v>4258232.6477921195</v>
      </c>
      <c r="BC26" s="7" t="s">
        <v>120</v>
      </c>
      <c r="BD26" s="2" t="s">
        <v>48</v>
      </c>
      <c r="BE26" s="17">
        <v>2301.3257142857142</v>
      </c>
      <c r="BF26" s="17">
        <v>0</v>
      </c>
      <c r="BG26" s="17">
        <v>0</v>
      </c>
      <c r="BH26" s="17">
        <v>0</v>
      </c>
      <c r="BI26" s="17">
        <v>2301.3257142857142</v>
      </c>
      <c r="BJ26" s="7" t="s">
        <v>120</v>
      </c>
      <c r="BK26" s="2" t="s">
        <v>48</v>
      </c>
      <c r="BL26" s="3">
        <v>323.42212538785162</v>
      </c>
      <c r="BM26" s="3">
        <v>0</v>
      </c>
      <c r="BN26" s="3">
        <v>0</v>
      </c>
      <c r="BO26" s="3">
        <v>0</v>
      </c>
      <c r="BP26" s="3">
        <v>323.42212538785162</v>
      </c>
      <c r="BQ26" s="7" t="s">
        <v>120</v>
      </c>
      <c r="BR26" s="2" t="s">
        <v>48</v>
      </c>
      <c r="BS26" s="3">
        <v>0</v>
      </c>
      <c r="BT26" s="3">
        <v>2120.5717362443315</v>
      </c>
      <c r="BU26" s="3">
        <v>87687841.100174814</v>
      </c>
      <c r="BV26" s="3">
        <v>231566433.59788099</v>
      </c>
      <c r="BW26" s="3">
        <v>319256395.26979208</v>
      </c>
      <c r="BX26" s="7" t="s">
        <v>120</v>
      </c>
      <c r="BY26" s="2" t="s">
        <v>48</v>
      </c>
      <c r="BZ26" s="3">
        <v>63184.500875612452</v>
      </c>
      <c r="CA26" s="3">
        <v>53517.173485351537</v>
      </c>
      <c r="CB26" s="3">
        <v>67558.037614863671</v>
      </c>
      <c r="CC26" s="3">
        <v>0</v>
      </c>
      <c r="CD26" s="3">
        <v>184259.71197582764</v>
      </c>
      <c r="CE26" s="7" t="s">
        <v>120</v>
      </c>
      <c r="CF26" s="2" t="s">
        <v>48</v>
      </c>
      <c r="CG26" s="3">
        <v>1744.1244444444442</v>
      </c>
      <c r="CH26" s="3">
        <v>17529.225636439376</v>
      </c>
      <c r="CI26" s="3">
        <v>0</v>
      </c>
      <c r="CJ26" s="3">
        <v>0</v>
      </c>
      <c r="CK26" s="3">
        <v>19273.350080883822</v>
      </c>
      <c r="CL26" s="7" t="s">
        <v>120</v>
      </c>
      <c r="CM26" s="2" t="s">
        <v>48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7" t="s">
        <v>120</v>
      </c>
      <c r="CT26" s="2" t="s">
        <v>48</v>
      </c>
      <c r="CU26" s="3">
        <v>190205.06373010695</v>
      </c>
      <c r="CV26" s="3">
        <v>263090.43905400217</v>
      </c>
      <c r="CW26" s="3">
        <v>612613.91177538945</v>
      </c>
      <c r="CX26" s="3">
        <v>0</v>
      </c>
      <c r="CY26" s="3">
        <v>1065909.4145594984</v>
      </c>
      <c r="CZ26" s="7" t="s">
        <v>120</v>
      </c>
      <c r="DA26" s="2" t="s">
        <v>48</v>
      </c>
      <c r="DB26" s="3">
        <v>74890.383721716906</v>
      </c>
      <c r="DC26" s="3">
        <v>163029.7607081999</v>
      </c>
      <c r="DD26" s="3">
        <v>4248916.1612656638</v>
      </c>
      <c r="DE26" s="3">
        <v>508937.21669863956</v>
      </c>
      <c r="DF26" s="3">
        <v>4995773.5223942194</v>
      </c>
      <c r="DG26" s="7" t="s">
        <v>120</v>
      </c>
      <c r="DH26" s="2" t="s">
        <v>48</v>
      </c>
      <c r="DI26" s="3">
        <v>10630.850114995354</v>
      </c>
      <c r="DJ26" s="3">
        <v>10694.748440986967</v>
      </c>
      <c r="DK26" s="3">
        <v>50042.990825824934</v>
      </c>
      <c r="DL26" s="3">
        <v>0</v>
      </c>
      <c r="DM26" s="3">
        <v>71368.589381807251</v>
      </c>
      <c r="DN26" s="7" t="s">
        <v>120</v>
      </c>
      <c r="DO26" s="2" t="s">
        <v>48</v>
      </c>
      <c r="DP26" s="3">
        <v>25012.602117647031</v>
      </c>
      <c r="DQ26" s="3">
        <v>63004.059641148349</v>
      </c>
      <c r="DR26" s="3">
        <v>33611.366162174061</v>
      </c>
      <c r="DS26" s="3">
        <v>0</v>
      </c>
      <c r="DT26" s="3">
        <v>121628.02792096944</v>
      </c>
      <c r="DU26" s="7" t="s">
        <v>120</v>
      </c>
      <c r="DV26" s="2" t="s">
        <v>48</v>
      </c>
      <c r="DW26" s="3">
        <v>266896.56056058692</v>
      </c>
      <c r="DX26" s="3">
        <v>197427.5200367379</v>
      </c>
      <c r="DY26" s="3">
        <v>947824.12177078461</v>
      </c>
      <c r="DZ26" s="3">
        <v>0</v>
      </c>
      <c r="EA26" s="3">
        <v>1412148.2023681095</v>
      </c>
      <c r="EB26" s="7" t="s">
        <v>120</v>
      </c>
      <c r="EC26" s="2" t="s">
        <v>48</v>
      </c>
      <c r="ED26" s="3">
        <v>693480.32617137034</v>
      </c>
      <c r="EE26" s="3">
        <v>1333411.8140820598</v>
      </c>
      <c r="EF26" s="3">
        <v>819192.30517058016</v>
      </c>
      <c r="EG26" s="3">
        <v>0</v>
      </c>
      <c r="EH26" s="3">
        <v>2846084.4454240105</v>
      </c>
    </row>
    <row r="27" spans="1:138" ht="10.199999999999999" customHeight="1" x14ac:dyDescent="0.25">
      <c r="A27" s="7" t="s">
        <v>102</v>
      </c>
      <c r="B27" s="2" t="s">
        <v>30</v>
      </c>
      <c r="C27" s="3">
        <f t="shared" si="4"/>
        <v>1185.2481311508466</v>
      </c>
      <c r="D27" s="3">
        <f t="shared" si="5"/>
        <v>14876776.353574403</v>
      </c>
      <c r="E27" s="3">
        <f t="shared" si="6"/>
        <v>32851711.368344996</v>
      </c>
      <c r="F27" s="3">
        <f t="shared" si="7"/>
        <v>6203405.1313422872</v>
      </c>
      <c r="G27" s="3">
        <f t="shared" si="8"/>
        <v>238993.71526986247</v>
      </c>
      <c r="H27" s="3">
        <f t="shared" si="9"/>
        <v>12723.430417465988</v>
      </c>
      <c r="I27" s="3">
        <f t="shared" si="10"/>
        <v>153202.90403052751</v>
      </c>
      <c r="J27" s="3">
        <f t="shared" si="11"/>
        <v>16753862.137536414</v>
      </c>
      <c r="K27" s="3">
        <f t="shared" si="12"/>
        <v>1421139.1843783085</v>
      </c>
      <c r="L27" s="3">
        <f t="shared" si="13"/>
        <v>34068.464106998203</v>
      </c>
      <c r="M27" s="3">
        <f t="shared" si="14"/>
        <v>10058986.807936125</v>
      </c>
      <c r="N27" s="3">
        <f t="shared" si="15"/>
        <v>3723687.3272792529</v>
      </c>
      <c r="O27" s="3">
        <f t="shared" si="16"/>
        <v>86329742.072347775</v>
      </c>
      <c r="P27" s="7" t="s">
        <v>102</v>
      </c>
      <c r="Q27" s="2" t="s">
        <v>30</v>
      </c>
      <c r="R27" s="3">
        <f t="shared" si="17"/>
        <v>1185.2481311508466</v>
      </c>
      <c r="S27" s="3">
        <f t="shared" si="17"/>
        <v>14876776.353574403</v>
      </c>
      <c r="T27" s="3">
        <f t="shared" si="17"/>
        <v>32851711.368344996</v>
      </c>
      <c r="U27" s="3">
        <f t="shared" si="17"/>
        <v>6203405.1313422872</v>
      </c>
      <c r="V27" s="3">
        <f t="shared" si="17"/>
        <v>238993.71526986247</v>
      </c>
      <c r="W27" s="3">
        <f t="shared" si="17"/>
        <v>12723.430417465988</v>
      </c>
      <c r="X27" s="3">
        <f t="shared" si="17"/>
        <v>153202.90403052751</v>
      </c>
      <c r="Y27" s="3">
        <f t="shared" si="17"/>
        <v>16753862.137536414</v>
      </c>
      <c r="Z27" s="3">
        <f t="shared" si="17"/>
        <v>1421139.1843783085</v>
      </c>
      <c r="AA27" s="3">
        <f t="shared" si="17"/>
        <v>34068.464106998203</v>
      </c>
      <c r="AB27" s="3">
        <f t="shared" si="18"/>
        <v>72547067.937132403</v>
      </c>
      <c r="AC27" s="7" t="s">
        <v>102</v>
      </c>
      <c r="AD27" s="2" t="s">
        <v>30</v>
      </c>
      <c r="AE27" s="3">
        <f t="shared" si="19"/>
        <v>10058986.807936125</v>
      </c>
      <c r="AF27" s="3">
        <f t="shared" si="19"/>
        <v>3723687.3272792529</v>
      </c>
      <c r="AG27" s="3">
        <f t="shared" si="20"/>
        <v>13782674.135215377</v>
      </c>
      <c r="AH27" s="7" t="s">
        <v>102</v>
      </c>
      <c r="AI27" s="2" t="s">
        <v>30</v>
      </c>
      <c r="AJ27" s="3">
        <f t="shared" si="21"/>
        <v>2498549.9778340054</v>
      </c>
      <c r="AK27" s="3">
        <f t="shared" si="21"/>
        <v>14433465.974027142</v>
      </c>
      <c r="AL27" s="3">
        <f t="shared" si="21"/>
        <v>7264974.2485277317</v>
      </c>
      <c r="AM27" s="3">
        <f t="shared" si="21"/>
        <v>62132751.871958911</v>
      </c>
      <c r="AN27" s="3">
        <f t="shared" si="22"/>
        <v>86329742.07234779</v>
      </c>
      <c r="AO27" s="7" t="s">
        <v>102</v>
      </c>
      <c r="AP27" s="2" t="s">
        <v>30</v>
      </c>
      <c r="AQ27" s="3">
        <f t="shared" si="23"/>
        <v>1150047.1406964345</v>
      </c>
      <c r="AR27" s="3">
        <f t="shared" si="23"/>
        <v>3605523.2463090699</v>
      </c>
      <c r="AS27" s="3">
        <f t="shared" si="23"/>
        <v>5658745.6781679988</v>
      </c>
      <c r="AT27" s="3">
        <f t="shared" si="23"/>
        <v>62132751.871958911</v>
      </c>
      <c r="AU27" s="3">
        <f t="shared" si="24"/>
        <v>72547067.937132418</v>
      </c>
      <c r="AV27" s="7" t="s">
        <v>102</v>
      </c>
      <c r="AW27" s="2" t="s">
        <v>30</v>
      </c>
      <c r="AX27" s="3">
        <f t="shared" si="25"/>
        <v>1348502.8371375708</v>
      </c>
      <c r="AY27" s="3">
        <f t="shared" si="25"/>
        <v>10827942.727718072</v>
      </c>
      <c r="AZ27" s="3">
        <f t="shared" si="25"/>
        <v>1606228.5703597334</v>
      </c>
      <c r="BA27" s="3">
        <f t="shared" si="25"/>
        <v>0</v>
      </c>
      <c r="BB27" s="3">
        <f t="shared" si="26"/>
        <v>13782674.135215376</v>
      </c>
      <c r="BC27" s="7" t="s">
        <v>102</v>
      </c>
      <c r="BD27" s="2" t="s">
        <v>30</v>
      </c>
      <c r="BE27" s="17">
        <v>1185.2481311508466</v>
      </c>
      <c r="BF27" s="17">
        <v>0</v>
      </c>
      <c r="BG27" s="17">
        <v>0</v>
      </c>
      <c r="BH27" s="17">
        <v>0</v>
      </c>
      <c r="BI27" s="17">
        <v>1185.2481311508466</v>
      </c>
      <c r="BJ27" s="7" t="s">
        <v>102</v>
      </c>
      <c r="BK27" s="2" t="s">
        <v>30</v>
      </c>
      <c r="BL27" s="3">
        <v>28533.056391593927</v>
      </c>
      <c r="BM27" s="3">
        <v>4241.1434724886631</v>
      </c>
      <c r="BN27" s="3">
        <v>0</v>
      </c>
      <c r="BO27" s="3">
        <v>14844002.153710321</v>
      </c>
      <c r="BP27" s="3">
        <v>14876776.353574403</v>
      </c>
      <c r="BQ27" s="7" t="s">
        <v>102</v>
      </c>
      <c r="BR27" s="2" t="s">
        <v>30</v>
      </c>
      <c r="BS27" s="3">
        <v>607481.81258327235</v>
      </c>
      <c r="BT27" s="3">
        <v>1214963.6251665447</v>
      </c>
      <c r="BU27" s="3">
        <v>493032.92867680709</v>
      </c>
      <c r="BV27" s="3">
        <v>30536233.001918372</v>
      </c>
      <c r="BW27" s="3">
        <v>32851711.368344996</v>
      </c>
      <c r="BX27" s="7" t="s">
        <v>102</v>
      </c>
      <c r="BY27" s="2" t="s">
        <v>30</v>
      </c>
      <c r="BZ27" s="3">
        <v>126469.68402781202</v>
      </c>
      <c r="CA27" s="3">
        <v>923946.12824074994</v>
      </c>
      <c r="CB27" s="3">
        <v>5152989.3190737255</v>
      </c>
      <c r="CC27" s="3">
        <v>0</v>
      </c>
      <c r="CD27" s="3">
        <v>6203405.1313422872</v>
      </c>
      <c r="CE27" s="7" t="s">
        <v>102</v>
      </c>
      <c r="CF27" s="2" t="s">
        <v>30</v>
      </c>
      <c r="CG27" s="3">
        <v>212.81154435676427</v>
      </c>
      <c r="CH27" s="3">
        <v>238780.90372550572</v>
      </c>
      <c r="CI27" s="3">
        <v>0</v>
      </c>
      <c r="CJ27" s="3">
        <v>0</v>
      </c>
      <c r="CK27" s="3">
        <v>238993.71526986247</v>
      </c>
      <c r="CL27" s="7" t="s">
        <v>102</v>
      </c>
      <c r="CM27" s="2" t="s">
        <v>30</v>
      </c>
      <c r="CN27" s="3">
        <v>0</v>
      </c>
      <c r="CO27" s="3">
        <v>0</v>
      </c>
      <c r="CP27" s="3">
        <v>12723.430417465988</v>
      </c>
      <c r="CQ27" s="3">
        <v>0</v>
      </c>
      <c r="CR27" s="3">
        <v>12723.430417465988</v>
      </c>
      <c r="CS27" s="7" t="s">
        <v>102</v>
      </c>
      <c r="CT27" s="2" t="s">
        <v>30</v>
      </c>
      <c r="CU27" s="3">
        <v>141121.12274949288</v>
      </c>
      <c r="CV27" s="3">
        <v>12081.781281034635</v>
      </c>
      <c r="CW27" s="3">
        <v>0</v>
      </c>
      <c r="CX27" s="3">
        <v>0</v>
      </c>
      <c r="CY27" s="3">
        <v>153202.90403052751</v>
      </c>
      <c r="CZ27" s="7" t="s">
        <v>102</v>
      </c>
      <c r="DA27" s="2" t="s">
        <v>30</v>
      </c>
      <c r="DB27" s="3">
        <v>224177.56324689995</v>
      </c>
      <c r="DC27" s="3">
        <v>1196961.6211314085</v>
      </c>
      <c r="DD27" s="3">
        <v>0</v>
      </c>
      <c r="DE27" s="3">
        <v>0</v>
      </c>
      <c r="DF27" s="3">
        <v>1421139.1843783085</v>
      </c>
      <c r="DG27" s="7" t="s">
        <v>102</v>
      </c>
      <c r="DH27" s="2" t="s">
        <v>30</v>
      </c>
      <c r="DI27" s="3">
        <v>1345.4212061956271</v>
      </c>
      <c r="DJ27" s="3">
        <v>0</v>
      </c>
      <c r="DK27" s="3">
        <v>0</v>
      </c>
      <c r="DL27" s="3">
        <v>16752516.716330219</v>
      </c>
      <c r="DM27" s="3">
        <v>16753862.137536414</v>
      </c>
      <c r="DN27" s="7" t="s">
        <v>102</v>
      </c>
      <c r="DO27" s="2" t="s">
        <v>30</v>
      </c>
      <c r="DP27" s="3">
        <v>19520.420815660338</v>
      </c>
      <c r="DQ27" s="3">
        <v>14548.043291337866</v>
      </c>
      <c r="DR27" s="3">
        <v>0</v>
      </c>
      <c r="DS27" s="3">
        <v>0</v>
      </c>
      <c r="DT27" s="3">
        <v>34068.464106998203</v>
      </c>
      <c r="DU27" s="7" t="s">
        <v>102</v>
      </c>
      <c r="DV27" s="2" t="s">
        <v>30</v>
      </c>
      <c r="DW27" s="3">
        <v>423428.87512278423</v>
      </c>
      <c r="DX27" s="3">
        <v>1776732.179510264</v>
      </c>
      <c r="DY27" s="3">
        <v>1523526.2726462046</v>
      </c>
      <c r="DZ27" s="3">
        <v>0</v>
      </c>
      <c r="EA27" s="3">
        <v>3723687.3272792529</v>
      </c>
      <c r="EB27" s="7" t="s">
        <v>102</v>
      </c>
      <c r="EC27" s="2" t="s">
        <v>30</v>
      </c>
      <c r="ED27" s="3">
        <v>925073.96201478655</v>
      </c>
      <c r="EE27" s="3">
        <v>9051210.5482078083</v>
      </c>
      <c r="EF27" s="3">
        <v>82702.297713528926</v>
      </c>
      <c r="EG27" s="3">
        <v>0</v>
      </c>
      <c r="EH27" s="3">
        <v>10058986.807936125</v>
      </c>
    </row>
    <row r="28" spans="1:138" ht="10.199999999999999" customHeight="1" x14ac:dyDescent="0.25">
      <c r="A28" s="7" t="s">
        <v>98</v>
      </c>
      <c r="B28" s="2" t="s">
        <v>26</v>
      </c>
      <c r="C28" s="3">
        <f t="shared" si="4"/>
        <v>118739.68659072778</v>
      </c>
      <c r="D28" s="3">
        <f t="shared" si="5"/>
        <v>1326849.5402043001</v>
      </c>
      <c r="E28" s="3">
        <f t="shared" si="6"/>
        <v>2122904.3651542002</v>
      </c>
      <c r="F28" s="3">
        <f t="shared" si="7"/>
        <v>13864.963778008845</v>
      </c>
      <c r="G28" s="3">
        <f t="shared" si="8"/>
        <v>59215.8136650655</v>
      </c>
      <c r="H28" s="3">
        <f t="shared" si="9"/>
        <v>0</v>
      </c>
      <c r="I28" s="3">
        <f t="shared" si="10"/>
        <v>108209.47880718147</v>
      </c>
      <c r="J28" s="3">
        <f t="shared" si="11"/>
        <v>404869.86290116166</v>
      </c>
      <c r="K28" s="3">
        <f t="shared" si="12"/>
        <v>520769.7202845774</v>
      </c>
      <c r="L28" s="3">
        <f t="shared" si="13"/>
        <v>682595.53472121153</v>
      </c>
      <c r="M28" s="3">
        <f t="shared" si="14"/>
        <v>2207480.0116802272</v>
      </c>
      <c r="N28" s="3">
        <f t="shared" si="15"/>
        <v>9998361.8719772417</v>
      </c>
      <c r="O28" s="3">
        <f t="shared" si="16"/>
        <v>17563860.849763904</v>
      </c>
      <c r="P28" s="7" t="s">
        <v>98</v>
      </c>
      <c r="Q28" s="2" t="s">
        <v>26</v>
      </c>
      <c r="R28" s="3">
        <f t="shared" si="17"/>
        <v>118739.68659072778</v>
      </c>
      <c r="S28" s="3">
        <f t="shared" si="17"/>
        <v>1326849.5402043001</v>
      </c>
      <c r="T28" s="3">
        <f t="shared" si="17"/>
        <v>2122904.3651542002</v>
      </c>
      <c r="U28" s="3">
        <f t="shared" si="17"/>
        <v>13864.963778008845</v>
      </c>
      <c r="V28" s="3">
        <f t="shared" si="17"/>
        <v>59215.8136650655</v>
      </c>
      <c r="W28" s="3">
        <f t="shared" si="17"/>
        <v>0</v>
      </c>
      <c r="X28" s="3">
        <f t="shared" si="17"/>
        <v>108209.47880718147</v>
      </c>
      <c r="Y28" s="3">
        <f t="shared" si="17"/>
        <v>404869.86290116166</v>
      </c>
      <c r="Z28" s="3">
        <f t="shared" si="17"/>
        <v>520769.7202845774</v>
      </c>
      <c r="AA28" s="3">
        <f t="shared" si="17"/>
        <v>682595.53472121153</v>
      </c>
      <c r="AB28" s="3">
        <f t="shared" si="18"/>
        <v>5358018.9661064344</v>
      </c>
      <c r="AC28" s="7" t="s">
        <v>98</v>
      </c>
      <c r="AD28" s="2" t="s">
        <v>26</v>
      </c>
      <c r="AE28" s="3">
        <f t="shared" si="19"/>
        <v>2207480.0116802272</v>
      </c>
      <c r="AF28" s="3">
        <f t="shared" si="19"/>
        <v>9998361.8719772417</v>
      </c>
      <c r="AG28" s="3">
        <f t="shared" si="20"/>
        <v>12205841.883657468</v>
      </c>
      <c r="AH28" s="7" t="s">
        <v>98</v>
      </c>
      <c r="AI28" s="2" t="s">
        <v>26</v>
      </c>
      <c r="AJ28" s="3">
        <f t="shared" si="21"/>
        <v>1307019.3668525307</v>
      </c>
      <c r="AK28" s="3">
        <f t="shared" si="21"/>
        <v>11480580.461685235</v>
      </c>
      <c r="AL28" s="3">
        <f t="shared" si="21"/>
        <v>1541328.8375854101</v>
      </c>
      <c r="AM28" s="3">
        <f t="shared" si="21"/>
        <v>3234932.1836407278</v>
      </c>
      <c r="AN28" s="3">
        <f t="shared" si="22"/>
        <v>17563860.849763904</v>
      </c>
      <c r="AO28" s="7" t="s">
        <v>98</v>
      </c>
      <c r="AP28" s="2" t="s">
        <v>26</v>
      </c>
      <c r="AQ28" s="3">
        <f t="shared" si="23"/>
        <v>323166.56871750031</v>
      </c>
      <c r="AR28" s="3">
        <f t="shared" si="23"/>
        <v>1485260.937887426</v>
      </c>
      <c r="AS28" s="3">
        <f t="shared" si="23"/>
        <v>314659.27586078038</v>
      </c>
      <c r="AT28" s="3">
        <f t="shared" si="23"/>
        <v>3234932.1836407278</v>
      </c>
      <c r="AU28" s="3">
        <f t="shared" si="24"/>
        <v>5358018.9661064344</v>
      </c>
      <c r="AV28" s="7" t="s">
        <v>98</v>
      </c>
      <c r="AW28" s="2" t="s">
        <v>26</v>
      </c>
      <c r="AX28" s="3">
        <f t="shared" si="25"/>
        <v>983852.79813503055</v>
      </c>
      <c r="AY28" s="3">
        <f t="shared" si="25"/>
        <v>9995319.5237978082</v>
      </c>
      <c r="AZ28" s="3">
        <f t="shared" si="25"/>
        <v>1226669.5617246297</v>
      </c>
      <c r="BA28" s="3">
        <f t="shared" si="25"/>
        <v>0</v>
      </c>
      <c r="BB28" s="3">
        <f t="shared" si="26"/>
        <v>12205841.883657468</v>
      </c>
      <c r="BC28" s="7" t="s">
        <v>98</v>
      </c>
      <c r="BD28" s="2" t="s">
        <v>26</v>
      </c>
      <c r="BE28" s="17">
        <v>8787.3883365443471</v>
      </c>
      <c r="BF28" s="17">
        <v>96559.883900290937</v>
      </c>
      <c r="BG28" s="17">
        <v>13392.414353892502</v>
      </c>
      <c r="BH28" s="17">
        <v>0</v>
      </c>
      <c r="BI28" s="17">
        <v>118739.68659072778</v>
      </c>
      <c r="BJ28" s="7" t="s">
        <v>98</v>
      </c>
      <c r="BK28" s="2" t="s">
        <v>26</v>
      </c>
      <c r="BL28" s="3">
        <v>29716.313057851239</v>
      </c>
      <c r="BM28" s="3">
        <v>83064.690476101954</v>
      </c>
      <c r="BN28" s="3">
        <v>100768.37514207281</v>
      </c>
      <c r="BO28" s="3">
        <v>1113300.1615282742</v>
      </c>
      <c r="BP28" s="3">
        <v>1326849.5402043001</v>
      </c>
      <c r="BQ28" s="7" t="s">
        <v>98</v>
      </c>
      <c r="BR28" s="2" t="s">
        <v>26</v>
      </c>
      <c r="BS28" s="3">
        <v>0</v>
      </c>
      <c r="BT28" s="3">
        <v>1272.3430417465988</v>
      </c>
      <c r="BU28" s="3">
        <v>0</v>
      </c>
      <c r="BV28" s="3">
        <v>2121632.0221124538</v>
      </c>
      <c r="BW28" s="3">
        <v>2122904.3651542002</v>
      </c>
      <c r="BX28" s="7" t="s">
        <v>98</v>
      </c>
      <c r="BY28" s="2" t="s">
        <v>26</v>
      </c>
      <c r="BZ28" s="3">
        <v>6510.1988188976375</v>
      </c>
      <c r="CA28" s="3">
        <v>7354.7649591112076</v>
      </c>
      <c r="CB28" s="3">
        <v>0</v>
      </c>
      <c r="CC28" s="3">
        <v>0</v>
      </c>
      <c r="CD28" s="3">
        <v>13864.963778008845</v>
      </c>
      <c r="CE28" s="7" t="s">
        <v>98</v>
      </c>
      <c r="CF28" s="2" t="s">
        <v>26</v>
      </c>
      <c r="CG28" s="3">
        <v>1523.7899102779606</v>
      </c>
      <c r="CH28" s="3">
        <v>48324.965517067605</v>
      </c>
      <c r="CI28" s="3">
        <v>9367.0582377199298</v>
      </c>
      <c r="CJ28" s="3">
        <v>0</v>
      </c>
      <c r="CK28" s="3">
        <v>59215.8136650655</v>
      </c>
      <c r="CL28" s="7" t="s">
        <v>98</v>
      </c>
      <c r="CM28" s="2" t="s">
        <v>26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7" t="s">
        <v>98</v>
      </c>
      <c r="CT28" s="2" t="s">
        <v>26</v>
      </c>
      <c r="CU28" s="3">
        <v>32097.19283265746</v>
      </c>
      <c r="CV28" s="3">
        <v>58670.795525035996</v>
      </c>
      <c r="CW28" s="3">
        <v>17441.49044948801</v>
      </c>
      <c r="CX28" s="3">
        <v>0</v>
      </c>
      <c r="CY28" s="3">
        <v>108209.47880718147</v>
      </c>
      <c r="CZ28" s="7" t="s">
        <v>98</v>
      </c>
      <c r="DA28" s="2" t="s">
        <v>26</v>
      </c>
      <c r="DB28" s="3">
        <v>124752.11238687843</v>
      </c>
      <c r="DC28" s="3">
        <v>374679.80106529302</v>
      </c>
      <c r="DD28" s="3">
        <v>21337.806832405891</v>
      </c>
      <c r="DE28" s="3">
        <v>0</v>
      </c>
      <c r="DF28" s="3">
        <v>520769.7202845774</v>
      </c>
      <c r="DG28" s="7" t="s">
        <v>98</v>
      </c>
      <c r="DH28" s="2" t="s">
        <v>26</v>
      </c>
      <c r="DI28" s="3">
        <v>9960.9446153846147</v>
      </c>
      <c r="DJ28" s="3">
        <v>255306.49206676072</v>
      </c>
      <c r="DK28" s="3">
        <v>139602.42621901628</v>
      </c>
      <c r="DL28" s="3">
        <v>0</v>
      </c>
      <c r="DM28" s="3">
        <v>404869.86290116166</v>
      </c>
      <c r="DN28" s="7" t="s">
        <v>98</v>
      </c>
      <c r="DO28" s="2" t="s">
        <v>26</v>
      </c>
      <c r="DP28" s="3">
        <v>109818.62875900858</v>
      </c>
      <c r="DQ28" s="3">
        <v>560027.20133601793</v>
      </c>
      <c r="DR28" s="3">
        <v>12749.704626185026</v>
      </c>
      <c r="DS28" s="3">
        <v>0</v>
      </c>
      <c r="DT28" s="3">
        <v>682595.53472121153</v>
      </c>
      <c r="DU28" s="7" t="s">
        <v>98</v>
      </c>
      <c r="DV28" s="2" t="s">
        <v>26</v>
      </c>
      <c r="DW28" s="3">
        <v>38207.629010731238</v>
      </c>
      <c r="DX28" s="3">
        <v>8762853.3756374363</v>
      </c>
      <c r="DY28" s="3">
        <v>1197300.8673290734</v>
      </c>
      <c r="DZ28" s="3">
        <v>0</v>
      </c>
      <c r="EA28" s="3">
        <v>9998361.8719772417</v>
      </c>
      <c r="EB28" s="7" t="s">
        <v>98</v>
      </c>
      <c r="EC28" s="2" t="s">
        <v>26</v>
      </c>
      <c r="ED28" s="3">
        <v>945645.16912429931</v>
      </c>
      <c r="EE28" s="3">
        <v>1232466.1481603715</v>
      </c>
      <c r="EF28" s="3">
        <v>29368.694395556457</v>
      </c>
      <c r="EG28" s="3">
        <v>0</v>
      </c>
      <c r="EH28" s="3">
        <v>2207480.0116802272</v>
      </c>
    </row>
    <row r="29" spans="1:138" ht="10.199999999999999" customHeight="1" x14ac:dyDescent="0.25">
      <c r="A29" s="7" t="s">
        <v>93</v>
      </c>
      <c r="B29" s="2" t="s">
        <v>21</v>
      </c>
      <c r="C29" s="3">
        <f t="shared" si="4"/>
        <v>129.62644937454343</v>
      </c>
      <c r="D29" s="3">
        <f t="shared" si="5"/>
        <v>4803.0640685092822</v>
      </c>
      <c r="E29" s="3">
        <f t="shared" si="6"/>
        <v>0</v>
      </c>
      <c r="F29" s="3">
        <f t="shared" si="7"/>
        <v>15269.634589152618</v>
      </c>
      <c r="G29" s="3">
        <f t="shared" si="8"/>
        <v>0</v>
      </c>
      <c r="H29" s="3">
        <f t="shared" si="9"/>
        <v>0</v>
      </c>
      <c r="I29" s="3">
        <f t="shared" si="10"/>
        <v>4100.5644426920644</v>
      </c>
      <c r="J29" s="3">
        <f t="shared" si="11"/>
        <v>140.45561927546441</v>
      </c>
      <c r="K29" s="3">
        <f t="shared" si="12"/>
        <v>9826.7858300782827</v>
      </c>
      <c r="L29" s="3">
        <f t="shared" si="13"/>
        <v>3330.6432846088633</v>
      </c>
      <c r="M29" s="3">
        <f t="shared" si="14"/>
        <v>469038.02884524537</v>
      </c>
      <c r="N29" s="3">
        <f t="shared" si="15"/>
        <v>8037.5648022660389</v>
      </c>
      <c r="O29" s="3">
        <f t="shared" si="16"/>
        <v>514676.36793120252</v>
      </c>
      <c r="P29" s="7" t="s">
        <v>93</v>
      </c>
      <c r="Q29" s="2" t="s">
        <v>21</v>
      </c>
      <c r="R29" s="3">
        <f t="shared" si="17"/>
        <v>129.62644937454343</v>
      </c>
      <c r="S29" s="3">
        <f t="shared" si="17"/>
        <v>4803.0640685092822</v>
      </c>
      <c r="T29" s="3">
        <f t="shared" si="17"/>
        <v>0</v>
      </c>
      <c r="U29" s="3">
        <f t="shared" si="17"/>
        <v>15269.634589152618</v>
      </c>
      <c r="V29" s="3">
        <f t="shared" si="17"/>
        <v>0</v>
      </c>
      <c r="W29" s="3">
        <f t="shared" si="17"/>
        <v>0</v>
      </c>
      <c r="X29" s="3">
        <f t="shared" si="17"/>
        <v>4100.5644426920644</v>
      </c>
      <c r="Y29" s="3">
        <f t="shared" si="17"/>
        <v>140.45561927546441</v>
      </c>
      <c r="Z29" s="3">
        <f t="shared" si="17"/>
        <v>9826.7858300782827</v>
      </c>
      <c r="AA29" s="3">
        <f t="shared" si="17"/>
        <v>3330.6432846088633</v>
      </c>
      <c r="AB29" s="3">
        <f t="shared" si="18"/>
        <v>37600.774283691113</v>
      </c>
      <c r="AC29" s="7" t="s">
        <v>93</v>
      </c>
      <c r="AD29" s="2" t="s">
        <v>21</v>
      </c>
      <c r="AE29" s="3">
        <f t="shared" si="19"/>
        <v>469038.02884524537</v>
      </c>
      <c r="AF29" s="3">
        <f t="shared" si="19"/>
        <v>8037.5648022660389</v>
      </c>
      <c r="AG29" s="3">
        <f t="shared" si="20"/>
        <v>477075.59364751138</v>
      </c>
      <c r="AH29" s="7" t="s">
        <v>93</v>
      </c>
      <c r="AI29" s="2" t="s">
        <v>21</v>
      </c>
      <c r="AJ29" s="3">
        <f t="shared" si="21"/>
        <v>508833.41140691878</v>
      </c>
      <c r="AK29" s="3">
        <f t="shared" si="21"/>
        <v>4119.1830149939542</v>
      </c>
      <c r="AL29" s="3">
        <f t="shared" si="21"/>
        <v>1723.7735092897906</v>
      </c>
      <c r="AM29" s="3">
        <f t="shared" si="21"/>
        <v>0</v>
      </c>
      <c r="AN29" s="3">
        <f t="shared" si="22"/>
        <v>514676.36793120252</v>
      </c>
      <c r="AO29" s="7" t="s">
        <v>93</v>
      </c>
      <c r="AP29" s="2" t="s">
        <v>21</v>
      </c>
      <c r="AQ29" s="3">
        <f t="shared" si="23"/>
        <v>34142.158302380558</v>
      </c>
      <c r="AR29" s="3">
        <f t="shared" si="23"/>
        <v>3458.6159813105578</v>
      </c>
      <c r="AS29" s="3">
        <f t="shared" si="23"/>
        <v>0</v>
      </c>
      <c r="AT29" s="3">
        <f t="shared" si="23"/>
        <v>0</v>
      </c>
      <c r="AU29" s="3">
        <f t="shared" si="24"/>
        <v>37600.774283691113</v>
      </c>
      <c r="AV29" s="7" t="s">
        <v>93</v>
      </c>
      <c r="AW29" s="2" t="s">
        <v>21</v>
      </c>
      <c r="AX29" s="3">
        <f t="shared" si="25"/>
        <v>474691.25310453825</v>
      </c>
      <c r="AY29" s="3">
        <f t="shared" si="25"/>
        <v>660.5670336833964</v>
      </c>
      <c r="AZ29" s="3">
        <f t="shared" si="25"/>
        <v>1723.7735092897906</v>
      </c>
      <c r="BA29" s="3">
        <f t="shared" si="25"/>
        <v>0</v>
      </c>
      <c r="BB29" s="3">
        <f t="shared" si="26"/>
        <v>477075.59364751144</v>
      </c>
      <c r="BC29" s="7" t="s">
        <v>93</v>
      </c>
      <c r="BD29" s="2" t="s">
        <v>21</v>
      </c>
      <c r="BE29" s="17">
        <v>0</v>
      </c>
      <c r="BF29" s="17">
        <v>129.62644937454343</v>
      </c>
      <c r="BG29" s="17">
        <v>0</v>
      </c>
      <c r="BH29" s="17">
        <v>0</v>
      </c>
      <c r="BI29" s="17">
        <v>129.62644937454343</v>
      </c>
      <c r="BJ29" s="7" t="s">
        <v>93</v>
      </c>
      <c r="BK29" s="2" t="s">
        <v>21</v>
      </c>
      <c r="BL29" s="3">
        <v>3644.9196694214784</v>
      </c>
      <c r="BM29" s="3">
        <v>1158.1443990878038</v>
      </c>
      <c r="BN29" s="3">
        <v>0</v>
      </c>
      <c r="BO29" s="3">
        <v>0</v>
      </c>
      <c r="BP29" s="3">
        <v>4803.0640685092822</v>
      </c>
      <c r="BQ29" s="7" t="s">
        <v>93</v>
      </c>
      <c r="BR29" s="2" t="s">
        <v>21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7" t="s">
        <v>93</v>
      </c>
      <c r="BY29" s="2" t="s">
        <v>21</v>
      </c>
      <c r="BZ29" s="3">
        <v>15118.964015748028</v>
      </c>
      <c r="CA29" s="3">
        <v>150.67057340458913</v>
      </c>
      <c r="CB29" s="3">
        <v>0</v>
      </c>
      <c r="CC29" s="3">
        <v>0</v>
      </c>
      <c r="CD29" s="3">
        <v>15269.634589152618</v>
      </c>
      <c r="CE29" s="7" t="s">
        <v>93</v>
      </c>
      <c r="CF29" s="2" t="s">
        <v>21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7" t="s">
        <v>93</v>
      </c>
      <c r="CM29" s="2" t="s">
        <v>21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7" t="s">
        <v>93</v>
      </c>
      <c r="CT29" s="2" t="s">
        <v>21</v>
      </c>
      <c r="CU29" s="3">
        <v>3926.5697240259738</v>
      </c>
      <c r="CV29" s="3">
        <v>173.99471866609048</v>
      </c>
      <c r="CW29" s="3">
        <v>0</v>
      </c>
      <c r="CX29" s="3">
        <v>0</v>
      </c>
      <c r="CY29" s="3">
        <v>4100.5644426920644</v>
      </c>
      <c r="CZ29" s="7" t="s">
        <v>93</v>
      </c>
      <c r="DA29" s="2" t="s">
        <v>21</v>
      </c>
      <c r="DB29" s="3">
        <v>9584.9350402439031</v>
      </c>
      <c r="DC29" s="3">
        <v>241.85078983438015</v>
      </c>
      <c r="DD29" s="3">
        <v>0</v>
      </c>
      <c r="DE29" s="3">
        <v>0</v>
      </c>
      <c r="DF29" s="3">
        <v>9826.7858300782827</v>
      </c>
      <c r="DG29" s="7" t="s">
        <v>93</v>
      </c>
      <c r="DH29" s="2" t="s">
        <v>21</v>
      </c>
      <c r="DI29" s="3">
        <v>0</v>
      </c>
      <c r="DJ29" s="3">
        <v>140.45561927546441</v>
      </c>
      <c r="DK29" s="3">
        <v>0</v>
      </c>
      <c r="DL29" s="3">
        <v>0</v>
      </c>
      <c r="DM29" s="3">
        <v>140.45561927546441</v>
      </c>
      <c r="DN29" s="7" t="s">
        <v>93</v>
      </c>
      <c r="DO29" s="2" t="s">
        <v>21</v>
      </c>
      <c r="DP29" s="3">
        <v>1866.7698529411766</v>
      </c>
      <c r="DQ29" s="3">
        <v>1463.8734316676866</v>
      </c>
      <c r="DR29" s="3">
        <v>0</v>
      </c>
      <c r="DS29" s="3">
        <v>0</v>
      </c>
      <c r="DT29" s="3">
        <v>3330.6432846088633</v>
      </c>
      <c r="DU29" s="7" t="s">
        <v>93</v>
      </c>
      <c r="DV29" s="2" t="s">
        <v>21</v>
      </c>
      <c r="DW29" s="3">
        <v>6888.3824627395115</v>
      </c>
      <c r="DX29" s="3">
        <v>0</v>
      </c>
      <c r="DY29" s="3">
        <v>1149.1823395265271</v>
      </c>
      <c r="DZ29" s="3">
        <v>0</v>
      </c>
      <c r="EA29" s="3">
        <v>8037.5648022660389</v>
      </c>
      <c r="EB29" s="7" t="s">
        <v>93</v>
      </c>
      <c r="EC29" s="2" t="s">
        <v>21</v>
      </c>
      <c r="ED29" s="3">
        <v>467802.87064179871</v>
      </c>
      <c r="EE29" s="3">
        <v>660.5670336833964</v>
      </c>
      <c r="EF29" s="3">
        <v>574.59116976326357</v>
      </c>
      <c r="EG29" s="3">
        <v>0</v>
      </c>
      <c r="EH29" s="3">
        <v>469038.02884524537</v>
      </c>
    </row>
    <row r="30" spans="1:138" ht="10.199999999999999" customHeight="1" x14ac:dyDescent="0.25">
      <c r="A30" s="7" t="s">
        <v>115</v>
      </c>
      <c r="B30" s="2" t="s">
        <v>43</v>
      </c>
      <c r="C30" s="3">
        <f t="shared" si="4"/>
        <v>77271.712385207589</v>
      </c>
      <c r="D30" s="3">
        <f t="shared" si="5"/>
        <v>1843.2033479828067</v>
      </c>
      <c r="E30" s="3">
        <f t="shared" si="6"/>
        <v>1445271.089399518</v>
      </c>
      <c r="F30" s="3">
        <f t="shared" si="7"/>
        <v>2241145.3651891849</v>
      </c>
      <c r="G30" s="3">
        <f t="shared" si="8"/>
        <v>156182.74761310834</v>
      </c>
      <c r="H30" s="3">
        <f t="shared" si="9"/>
        <v>0</v>
      </c>
      <c r="I30" s="3">
        <f t="shared" si="10"/>
        <v>342947.09004802385</v>
      </c>
      <c r="J30" s="3">
        <f t="shared" si="11"/>
        <v>116021.53118556207</v>
      </c>
      <c r="K30" s="3">
        <f t="shared" si="12"/>
        <v>70845.994966172162</v>
      </c>
      <c r="L30" s="3">
        <f t="shared" si="13"/>
        <v>1613582.0792427449</v>
      </c>
      <c r="M30" s="3">
        <f t="shared" si="14"/>
        <v>6296736.102099116</v>
      </c>
      <c r="N30" s="3">
        <f t="shared" si="15"/>
        <v>25508977.177668449</v>
      </c>
      <c r="O30" s="3">
        <f t="shared" si="16"/>
        <v>37870824.093145072</v>
      </c>
      <c r="P30" s="7" t="s">
        <v>115</v>
      </c>
      <c r="Q30" s="2" t="s">
        <v>43</v>
      </c>
      <c r="R30" s="3">
        <f t="shared" si="17"/>
        <v>77271.712385207589</v>
      </c>
      <c r="S30" s="3">
        <f t="shared" si="17"/>
        <v>1843.2033479828067</v>
      </c>
      <c r="T30" s="3">
        <f t="shared" si="17"/>
        <v>1445271.089399518</v>
      </c>
      <c r="U30" s="3">
        <f t="shared" si="17"/>
        <v>2241145.3651891849</v>
      </c>
      <c r="V30" s="3">
        <f t="shared" si="17"/>
        <v>156182.74761310834</v>
      </c>
      <c r="W30" s="3">
        <f t="shared" ref="W30:AA41" si="27">H30</f>
        <v>0</v>
      </c>
      <c r="X30" s="3">
        <f t="shared" si="27"/>
        <v>342947.09004802385</v>
      </c>
      <c r="Y30" s="3">
        <f t="shared" si="27"/>
        <v>116021.53118556207</v>
      </c>
      <c r="Z30" s="3">
        <f t="shared" si="27"/>
        <v>70845.994966172162</v>
      </c>
      <c r="AA30" s="3">
        <f t="shared" si="27"/>
        <v>1613582.0792427449</v>
      </c>
      <c r="AB30" s="3">
        <f t="shared" si="18"/>
        <v>6065110.8133775052</v>
      </c>
      <c r="AC30" s="7" t="s">
        <v>115</v>
      </c>
      <c r="AD30" s="2" t="s">
        <v>43</v>
      </c>
      <c r="AE30" s="3">
        <f t="shared" si="19"/>
        <v>6296736.102099116</v>
      </c>
      <c r="AF30" s="3">
        <f t="shared" si="19"/>
        <v>25508977.177668449</v>
      </c>
      <c r="AG30" s="3">
        <f t="shared" si="20"/>
        <v>31805713.279767565</v>
      </c>
      <c r="AH30" s="7" t="s">
        <v>115</v>
      </c>
      <c r="AI30" s="2" t="s">
        <v>43</v>
      </c>
      <c r="AJ30" s="3">
        <f t="shared" si="21"/>
        <v>590809.51009437803</v>
      </c>
      <c r="AK30" s="3">
        <f t="shared" si="21"/>
        <v>8626597.6122292113</v>
      </c>
      <c r="AL30" s="3">
        <f t="shared" si="21"/>
        <v>28653416.970821477</v>
      </c>
      <c r="AM30" s="3">
        <f t="shared" si="21"/>
        <v>0</v>
      </c>
      <c r="AN30" s="3">
        <f t="shared" si="22"/>
        <v>37870824.093145065</v>
      </c>
      <c r="AO30" s="7" t="s">
        <v>115</v>
      </c>
      <c r="AP30" s="2" t="s">
        <v>43</v>
      </c>
      <c r="AQ30" s="3">
        <f t="shared" si="23"/>
        <v>186733.27925837811</v>
      </c>
      <c r="AR30" s="3">
        <f t="shared" si="23"/>
        <v>3384317.6668297732</v>
      </c>
      <c r="AS30" s="3">
        <f t="shared" si="23"/>
        <v>2494059.8672893532</v>
      </c>
      <c r="AT30" s="3">
        <f t="shared" si="23"/>
        <v>0</v>
      </c>
      <c r="AU30" s="3">
        <f t="shared" si="24"/>
        <v>6065110.8133775052</v>
      </c>
      <c r="AV30" s="7" t="s">
        <v>115</v>
      </c>
      <c r="AW30" s="2" t="s">
        <v>43</v>
      </c>
      <c r="AX30" s="3">
        <f t="shared" si="25"/>
        <v>404076.23083599994</v>
      </c>
      <c r="AY30" s="3">
        <f t="shared" si="25"/>
        <v>5242279.945399438</v>
      </c>
      <c r="AZ30" s="3">
        <f t="shared" si="25"/>
        <v>26159357.103532124</v>
      </c>
      <c r="BA30" s="3">
        <f t="shared" si="25"/>
        <v>0</v>
      </c>
      <c r="BB30" s="3">
        <f t="shared" si="26"/>
        <v>31805713.279767562</v>
      </c>
      <c r="BC30" s="7" t="s">
        <v>115</v>
      </c>
      <c r="BD30" s="2" t="s">
        <v>43</v>
      </c>
      <c r="BE30" s="17">
        <v>15450.021563927337</v>
      </c>
      <c r="BF30" s="17">
        <v>0</v>
      </c>
      <c r="BG30" s="17">
        <v>61821.690821280259</v>
      </c>
      <c r="BH30" s="17">
        <v>0</v>
      </c>
      <c r="BI30" s="17">
        <v>77271.712385207589</v>
      </c>
      <c r="BJ30" s="7" t="s">
        <v>115</v>
      </c>
      <c r="BK30" s="2" t="s">
        <v>43</v>
      </c>
      <c r="BL30" s="3">
        <v>1843.2033479828067</v>
      </c>
      <c r="BM30" s="3">
        <v>0</v>
      </c>
      <c r="BN30" s="3">
        <v>0</v>
      </c>
      <c r="BO30" s="3">
        <v>0</v>
      </c>
      <c r="BP30" s="3">
        <v>1843.2033479828067</v>
      </c>
      <c r="BQ30" s="7" t="s">
        <v>115</v>
      </c>
      <c r="BR30" s="2" t="s">
        <v>43</v>
      </c>
      <c r="BS30" s="3">
        <v>0</v>
      </c>
      <c r="BT30" s="3">
        <v>0</v>
      </c>
      <c r="BU30" s="3">
        <v>1445271.089399518</v>
      </c>
      <c r="BV30" s="3">
        <v>0</v>
      </c>
      <c r="BW30" s="3">
        <v>1445271.089399518</v>
      </c>
      <c r="BX30" s="7" t="s">
        <v>115</v>
      </c>
      <c r="BY30" s="2" t="s">
        <v>43</v>
      </c>
      <c r="BZ30" s="3">
        <v>72681.979366147396</v>
      </c>
      <c r="CA30" s="3">
        <v>2158795.9088376639</v>
      </c>
      <c r="CB30" s="3">
        <v>9667.476985373447</v>
      </c>
      <c r="CC30" s="3">
        <v>0</v>
      </c>
      <c r="CD30" s="3">
        <v>2241145.3651891849</v>
      </c>
      <c r="CE30" s="7" t="s">
        <v>115</v>
      </c>
      <c r="CF30" s="2" t="s">
        <v>43</v>
      </c>
      <c r="CG30" s="3">
        <v>13876.837951016545</v>
      </c>
      <c r="CH30" s="3">
        <v>21085.603148523354</v>
      </c>
      <c r="CI30" s="3">
        <v>121220.30651356844</v>
      </c>
      <c r="CJ30" s="3">
        <v>0</v>
      </c>
      <c r="CK30" s="3">
        <v>156182.74761310834</v>
      </c>
      <c r="CL30" s="7" t="s">
        <v>115</v>
      </c>
      <c r="CM30" s="2" t="s">
        <v>43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7" t="s">
        <v>115</v>
      </c>
      <c r="CT30" s="2" t="s">
        <v>43</v>
      </c>
      <c r="CU30" s="3">
        <v>1158.3173730633514</v>
      </c>
      <c r="CV30" s="3">
        <v>341788.77267496049</v>
      </c>
      <c r="CW30" s="3">
        <v>0</v>
      </c>
      <c r="CX30" s="3">
        <v>0</v>
      </c>
      <c r="CY30" s="3">
        <v>342947.09004802385</v>
      </c>
      <c r="CZ30" s="7" t="s">
        <v>115</v>
      </c>
      <c r="DA30" s="2" t="s">
        <v>43</v>
      </c>
      <c r="DB30" s="3">
        <v>55450.015872797354</v>
      </c>
      <c r="DC30" s="3">
        <v>15276.804628535019</v>
      </c>
      <c r="DD30" s="3">
        <v>119.174464839788</v>
      </c>
      <c r="DE30" s="3">
        <v>0</v>
      </c>
      <c r="DF30" s="3">
        <v>70845.994966172162</v>
      </c>
      <c r="DG30" s="7" t="s">
        <v>115</v>
      </c>
      <c r="DH30" s="2" t="s">
        <v>43</v>
      </c>
      <c r="DI30" s="3">
        <v>1510.6574283681666</v>
      </c>
      <c r="DJ30" s="3">
        <v>0</v>
      </c>
      <c r="DK30" s="3">
        <v>114510.8737571939</v>
      </c>
      <c r="DL30" s="3">
        <v>0</v>
      </c>
      <c r="DM30" s="3">
        <v>116021.53118556207</v>
      </c>
      <c r="DN30" s="7" t="s">
        <v>115</v>
      </c>
      <c r="DO30" s="2" t="s">
        <v>43</v>
      </c>
      <c r="DP30" s="3">
        <v>24762.246355075153</v>
      </c>
      <c r="DQ30" s="3">
        <v>847370.57754009054</v>
      </c>
      <c r="DR30" s="3">
        <v>741449.25534757925</v>
      </c>
      <c r="DS30" s="3">
        <v>0</v>
      </c>
      <c r="DT30" s="3">
        <v>1613582.0792427449</v>
      </c>
      <c r="DU30" s="7" t="s">
        <v>115</v>
      </c>
      <c r="DV30" s="2" t="s">
        <v>43</v>
      </c>
      <c r="DW30" s="3">
        <v>42334.744145104982</v>
      </c>
      <c r="DX30" s="3">
        <v>8062.6479007606049</v>
      </c>
      <c r="DY30" s="3">
        <v>25458579.785622582</v>
      </c>
      <c r="DZ30" s="3">
        <v>0</v>
      </c>
      <c r="EA30" s="3">
        <v>25508977.177668449</v>
      </c>
      <c r="EB30" s="7" t="s">
        <v>115</v>
      </c>
      <c r="EC30" s="2" t="s">
        <v>43</v>
      </c>
      <c r="ED30" s="3">
        <v>361741.48669089499</v>
      </c>
      <c r="EE30" s="3">
        <v>5234217.2974986779</v>
      </c>
      <c r="EF30" s="3">
        <v>700777.31790954305</v>
      </c>
      <c r="EG30" s="3">
        <v>0</v>
      </c>
      <c r="EH30" s="3">
        <v>6296736.102099116</v>
      </c>
    </row>
    <row r="31" spans="1:138" ht="10.199999999999999" customHeight="1" x14ac:dyDescent="0.25">
      <c r="A31" s="7" t="s">
        <v>111</v>
      </c>
      <c r="B31" s="2" t="s">
        <v>39</v>
      </c>
      <c r="C31" s="3">
        <f t="shared" si="4"/>
        <v>46247.534858723309</v>
      </c>
      <c r="D31" s="3">
        <f t="shared" si="5"/>
        <v>46461.789294851842</v>
      </c>
      <c r="E31" s="3">
        <f t="shared" si="6"/>
        <v>1208725.889659269</v>
      </c>
      <c r="F31" s="3">
        <f t="shared" si="7"/>
        <v>547291.74039405386</v>
      </c>
      <c r="G31" s="3">
        <f t="shared" si="8"/>
        <v>5004.2990825824936</v>
      </c>
      <c r="H31" s="3">
        <f t="shared" si="9"/>
        <v>0</v>
      </c>
      <c r="I31" s="3">
        <f t="shared" si="10"/>
        <v>13720.847314105091</v>
      </c>
      <c r="J31" s="3">
        <f t="shared" si="11"/>
        <v>87009.882085890364</v>
      </c>
      <c r="K31" s="3">
        <f t="shared" si="12"/>
        <v>1597235.4876874555</v>
      </c>
      <c r="L31" s="3">
        <f t="shared" si="13"/>
        <v>102687.26223136246</v>
      </c>
      <c r="M31" s="3">
        <f t="shared" si="14"/>
        <v>1369707.136255451</v>
      </c>
      <c r="N31" s="3">
        <f t="shared" si="15"/>
        <v>6483555.0820858702</v>
      </c>
      <c r="O31" s="3">
        <f t="shared" si="16"/>
        <v>11507646.950949615</v>
      </c>
      <c r="P31" s="7" t="s">
        <v>111</v>
      </c>
      <c r="Q31" s="2" t="s">
        <v>39</v>
      </c>
      <c r="R31" s="3">
        <f t="shared" ref="R31:V41" si="28">C31</f>
        <v>46247.534858723309</v>
      </c>
      <c r="S31" s="3">
        <f t="shared" si="28"/>
        <v>46461.789294851842</v>
      </c>
      <c r="T31" s="3">
        <f t="shared" si="28"/>
        <v>1208725.889659269</v>
      </c>
      <c r="U31" s="3">
        <f t="shared" si="28"/>
        <v>547291.74039405386</v>
      </c>
      <c r="V31" s="3">
        <f t="shared" si="28"/>
        <v>5004.2990825824936</v>
      </c>
      <c r="W31" s="3">
        <f t="shared" si="27"/>
        <v>0</v>
      </c>
      <c r="X31" s="3">
        <f t="shared" si="27"/>
        <v>13720.847314105091</v>
      </c>
      <c r="Y31" s="3">
        <f t="shared" si="27"/>
        <v>87009.882085890364</v>
      </c>
      <c r="Z31" s="3">
        <f t="shared" si="27"/>
        <v>1597235.4876874555</v>
      </c>
      <c r="AA31" s="3">
        <f t="shared" si="27"/>
        <v>102687.26223136246</v>
      </c>
      <c r="AB31" s="3">
        <f t="shared" si="18"/>
        <v>3654384.7326082936</v>
      </c>
      <c r="AC31" s="7" t="s">
        <v>111</v>
      </c>
      <c r="AD31" s="2" t="s">
        <v>39</v>
      </c>
      <c r="AE31" s="3">
        <f t="shared" si="19"/>
        <v>1369707.136255451</v>
      </c>
      <c r="AF31" s="3">
        <f t="shared" si="19"/>
        <v>6483555.0820858702</v>
      </c>
      <c r="AG31" s="3">
        <f t="shared" si="20"/>
        <v>7853262.2183413208</v>
      </c>
      <c r="AH31" s="7" t="s">
        <v>111</v>
      </c>
      <c r="AI31" s="2" t="s">
        <v>39</v>
      </c>
      <c r="AJ31" s="3">
        <f t="shared" si="21"/>
        <v>3361156.2669117004</v>
      </c>
      <c r="AK31" s="3">
        <f t="shared" si="21"/>
        <v>1212221.1065189522</v>
      </c>
      <c r="AL31" s="3">
        <f t="shared" si="21"/>
        <v>0</v>
      </c>
      <c r="AM31" s="3">
        <f t="shared" si="21"/>
        <v>6934269.5775189633</v>
      </c>
      <c r="AN31" s="3">
        <f t="shared" si="22"/>
        <v>11507646.950949617</v>
      </c>
      <c r="AO31" s="7" t="s">
        <v>111</v>
      </c>
      <c r="AP31" s="2" t="s">
        <v>39</v>
      </c>
      <c r="AQ31" s="3">
        <f t="shared" si="23"/>
        <v>1631115.7902526662</v>
      </c>
      <c r="AR31" s="3">
        <f t="shared" si="23"/>
        <v>814543.05269635888</v>
      </c>
      <c r="AS31" s="3">
        <f t="shared" si="23"/>
        <v>0</v>
      </c>
      <c r="AT31" s="3">
        <f t="shared" si="23"/>
        <v>1208725.889659269</v>
      </c>
      <c r="AU31" s="3">
        <f t="shared" si="24"/>
        <v>3654384.7326082941</v>
      </c>
      <c r="AV31" s="7" t="s">
        <v>111</v>
      </c>
      <c r="AW31" s="2" t="s">
        <v>39</v>
      </c>
      <c r="AX31" s="3">
        <f t="shared" si="25"/>
        <v>1730040.4766590339</v>
      </c>
      <c r="AY31" s="3">
        <f t="shared" si="25"/>
        <v>397678.05382259318</v>
      </c>
      <c r="AZ31" s="3">
        <f t="shared" si="25"/>
        <v>0</v>
      </c>
      <c r="BA31" s="3">
        <f t="shared" si="25"/>
        <v>5725543.6878596945</v>
      </c>
      <c r="BB31" s="3">
        <f t="shared" si="26"/>
        <v>7853262.2183413217</v>
      </c>
      <c r="BC31" s="7" t="s">
        <v>111</v>
      </c>
      <c r="BD31" s="2" t="s">
        <v>39</v>
      </c>
      <c r="BE31" s="17">
        <v>39495.033237877789</v>
      </c>
      <c r="BF31" s="17">
        <v>6752.5016208455181</v>
      </c>
      <c r="BG31" s="17">
        <v>0</v>
      </c>
      <c r="BH31" s="17">
        <v>0</v>
      </c>
      <c r="BI31" s="17">
        <v>46247.534858723309</v>
      </c>
      <c r="BJ31" s="7" t="s">
        <v>111</v>
      </c>
      <c r="BK31" s="2" t="s">
        <v>39</v>
      </c>
      <c r="BL31" s="3">
        <v>46461.789294851842</v>
      </c>
      <c r="BM31" s="3">
        <v>0</v>
      </c>
      <c r="BN31" s="3">
        <v>0</v>
      </c>
      <c r="BO31" s="3">
        <v>0</v>
      </c>
      <c r="BP31" s="3">
        <v>46461.789294851842</v>
      </c>
      <c r="BQ31" s="7" t="s">
        <v>111</v>
      </c>
      <c r="BR31" s="2" t="s">
        <v>39</v>
      </c>
      <c r="BS31" s="3">
        <v>0</v>
      </c>
      <c r="BT31" s="3">
        <v>0</v>
      </c>
      <c r="BU31" s="3">
        <v>0</v>
      </c>
      <c r="BV31" s="3">
        <v>1208725.889659269</v>
      </c>
      <c r="BW31" s="3">
        <v>1208725.889659269</v>
      </c>
      <c r="BX31" s="7" t="s">
        <v>111</v>
      </c>
      <c r="BY31" s="2" t="s">
        <v>39</v>
      </c>
      <c r="BZ31" s="3">
        <v>528158.47635804524</v>
      </c>
      <c r="CA31" s="3">
        <v>19133.264036008641</v>
      </c>
      <c r="CB31" s="3">
        <v>0</v>
      </c>
      <c r="CC31" s="3">
        <v>0</v>
      </c>
      <c r="CD31" s="3">
        <v>547291.74039405386</v>
      </c>
      <c r="CE31" s="7" t="s">
        <v>111</v>
      </c>
      <c r="CF31" s="2" t="s">
        <v>39</v>
      </c>
      <c r="CG31" s="3">
        <v>5004.2990825824936</v>
      </c>
      <c r="CH31" s="3">
        <v>0</v>
      </c>
      <c r="CI31" s="3">
        <v>0</v>
      </c>
      <c r="CJ31" s="3">
        <v>0</v>
      </c>
      <c r="CK31" s="3">
        <v>5004.2990825824936</v>
      </c>
      <c r="CL31" s="7" t="s">
        <v>111</v>
      </c>
      <c r="CM31" s="2" t="s">
        <v>39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7" t="s">
        <v>111</v>
      </c>
      <c r="CT31" s="2" t="s">
        <v>39</v>
      </c>
      <c r="CU31" s="3">
        <v>13720.847314105091</v>
      </c>
      <c r="CV31" s="3">
        <v>0</v>
      </c>
      <c r="CW31" s="3">
        <v>0</v>
      </c>
      <c r="CX31" s="3">
        <v>0</v>
      </c>
      <c r="CY31" s="3">
        <v>13720.847314105091</v>
      </c>
      <c r="CZ31" s="7" t="s">
        <v>111</v>
      </c>
      <c r="DA31" s="2" t="s">
        <v>39</v>
      </c>
      <c r="DB31" s="3">
        <v>844685.59155324916</v>
      </c>
      <c r="DC31" s="3">
        <v>752549.89613420644</v>
      </c>
      <c r="DD31" s="3">
        <v>0</v>
      </c>
      <c r="DE31" s="3">
        <v>0</v>
      </c>
      <c r="DF31" s="3">
        <v>1597235.4876874555</v>
      </c>
      <c r="DG31" s="7" t="s">
        <v>111</v>
      </c>
      <c r="DH31" s="2" t="s">
        <v>39</v>
      </c>
      <c r="DI31" s="3">
        <v>64661.248063986437</v>
      </c>
      <c r="DJ31" s="3">
        <v>22348.634021903923</v>
      </c>
      <c r="DK31" s="3">
        <v>0</v>
      </c>
      <c r="DL31" s="3">
        <v>0</v>
      </c>
      <c r="DM31" s="3">
        <v>87009.882085890364</v>
      </c>
      <c r="DN31" s="7" t="s">
        <v>111</v>
      </c>
      <c r="DO31" s="2" t="s">
        <v>39</v>
      </c>
      <c r="DP31" s="3">
        <v>88928.505347968079</v>
      </c>
      <c r="DQ31" s="3">
        <v>13758.756883394373</v>
      </c>
      <c r="DR31" s="3">
        <v>0</v>
      </c>
      <c r="DS31" s="3">
        <v>0</v>
      </c>
      <c r="DT31" s="3">
        <v>102687.26223136246</v>
      </c>
      <c r="DU31" s="7" t="s">
        <v>111</v>
      </c>
      <c r="DV31" s="2" t="s">
        <v>39</v>
      </c>
      <c r="DW31" s="3">
        <v>360333.34040358284</v>
      </c>
      <c r="DX31" s="3">
        <v>397678.05382259318</v>
      </c>
      <c r="DY31" s="3">
        <v>0</v>
      </c>
      <c r="DZ31" s="3">
        <v>5725543.6878596945</v>
      </c>
      <c r="EA31" s="3">
        <v>6483555.0820858702</v>
      </c>
      <c r="EB31" s="7" t="s">
        <v>111</v>
      </c>
      <c r="EC31" s="2" t="s">
        <v>39</v>
      </c>
      <c r="ED31" s="3">
        <v>1369707.136255451</v>
      </c>
      <c r="EE31" s="3">
        <v>0</v>
      </c>
      <c r="EF31" s="3">
        <v>0</v>
      </c>
      <c r="EG31" s="3">
        <v>0</v>
      </c>
      <c r="EH31" s="3">
        <v>1369707.136255451</v>
      </c>
    </row>
    <row r="32" spans="1:138" ht="10.199999999999999" customHeight="1" x14ac:dyDescent="0.25">
      <c r="A32" s="7" t="s">
        <v>118</v>
      </c>
      <c r="B32" s="2" t="s">
        <v>46</v>
      </c>
      <c r="C32" s="3">
        <f t="shared" si="4"/>
        <v>6855.6120088152074</v>
      </c>
      <c r="D32" s="3">
        <f t="shared" si="5"/>
        <v>0</v>
      </c>
      <c r="E32" s="3">
        <f t="shared" si="6"/>
        <v>911845.84658506257</v>
      </c>
      <c r="F32" s="3">
        <f t="shared" si="7"/>
        <v>6249.7965670270678</v>
      </c>
      <c r="G32" s="3">
        <f t="shared" si="8"/>
        <v>320.22780963773221</v>
      </c>
      <c r="H32" s="3">
        <f t="shared" si="9"/>
        <v>0</v>
      </c>
      <c r="I32" s="3">
        <f t="shared" si="10"/>
        <v>0</v>
      </c>
      <c r="J32" s="3">
        <f t="shared" si="11"/>
        <v>535.75492518262831</v>
      </c>
      <c r="K32" s="3">
        <f t="shared" si="12"/>
        <v>63149364.523504689</v>
      </c>
      <c r="L32" s="3">
        <f t="shared" si="13"/>
        <v>26488.469551626498</v>
      </c>
      <c r="M32" s="3">
        <f t="shared" si="14"/>
        <v>0</v>
      </c>
      <c r="N32" s="3">
        <f t="shared" si="15"/>
        <v>4146.0521297144242</v>
      </c>
      <c r="O32" s="3">
        <f t="shared" si="16"/>
        <v>64105806.283081755</v>
      </c>
      <c r="P32" s="7" t="s">
        <v>118</v>
      </c>
      <c r="Q32" s="2" t="s">
        <v>46</v>
      </c>
      <c r="R32" s="3">
        <f t="shared" si="28"/>
        <v>6855.6120088152074</v>
      </c>
      <c r="S32" s="3">
        <f t="shared" si="28"/>
        <v>0</v>
      </c>
      <c r="T32" s="3">
        <f t="shared" si="28"/>
        <v>911845.84658506257</v>
      </c>
      <c r="U32" s="3">
        <f t="shared" si="28"/>
        <v>6249.7965670270678</v>
      </c>
      <c r="V32" s="3">
        <f t="shared" si="28"/>
        <v>320.22780963773221</v>
      </c>
      <c r="W32" s="3">
        <f t="shared" si="27"/>
        <v>0</v>
      </c>
      <c r="X32" s="3">
        <f t="shared" si="27"/>
        <v>0</v>
      </c>
      <c r="Y32" s="3">
        <f t="shared" si="27"/>
        <v>535.75492518262831</v>
      </c>
      <c r="Z32" s="3">
        <f t="shared" si="27"/>
        <v>63149364.523504689</v>
      </c>
      <c r="AA32" s="3">
        <f t="shared" si="27"/>
        <v>26488.469551626498</v>
      </c>
      <c r="AB32" s="3">
        <f t="shared" si="18"/>
        <v>64101660.230952039</v>
      </c>
      <c r="AC32" s="7" t="s">
        <v>118</v>
      </c>
      <c r="AD32" s="2" t="s">
        <v>46</v>
      </c>
      <c r="AE32" s="3">
        <f t="shared" si="19"/>
        <v>0</v>
      </c>
      <c r="AF32" s="3">
        <f t="shared" si="19"/>
        <v>4146.0521297144242</v>
      </c>
      <c r="AG32" s="3">
        <f t="shared" si="20"/>
        <v>4146.0521297144242</v>
      </c>
      <c r="AH32" s="7" t="s">
        <v>118</v>
      </c>
      <c r="AI32" s="2" t="s">
        <v>46</v>
      </c>
      <c r="AJ32" s="3">
        <f t="shared" si="21"/>
        <v>22611.107408480562</v>
      </c>
      <c r="AK32" s="3">
        <f t="shared" si="21"/>
        <v>24964.167204517697</v>
      </c>
      <c r="AL32" s="3">
        <f t="shared" si="21"/>
        <v>1221449.320076735</v>
      </c>
      <c r="AM32" s="3">
        <f t="shared" si="21"/>
        <v>62836781.688392028</v>
      </c>
      <c r="AN32" s="3">
        <f t="shared" si="22"/>
        <v>64105806.283081762</v>
      </c>
      <c r="AO32" s="7" t="s">
        <v>118</v>
      </c>
      <c r="AP32" s="2" t="s">
        <v>46</v>
      </c>
      <c r="AQ32" s="3">
        <f t="shared" si="23"/>
        <v>18507.617587637491</v>
      </c>
      <c r="AR32" s="3">
        <f t="shared" si="23"/>
        <v>24921.604895646342</v>
      </c>
      <c r="AS32" s="3">
        <f t="shared" si="23"/>
        <v>1221449.320076735</v>
      </c>
      <c r="AT32" s="3">
        <f t="shared" si="23"/>
        <v>62836781.688392028</v>
      </c>
      <c r="AU32" s="3">
        <f t="shared" si="24"/>
        <v>64101660.230952047</v>
      </c>
      <c r="AV32" s="7" t="s">
        <v>118</v>
      </c>
      <c r="AW32" s="2" t="s">
        <v>46</v>
      </c>
      <c r="AX32" s="3">
        <f t="shared" si="25"/>
        <v>4103.4898208430714</v>
      </c>
      <c r="AY32" s="3">
        <f t="shared" si="25"/>
        <v>42.562308871352855</v>
      </c>
      <c r="AZ32" s="3">
        <f t="shared" si="25"/>
        <v>0</v>
      </c>
      <c r="BA32" s="3">
        <f t="shared" si="25"/>
        <v>0</v>
      </c>
      <c r="BB32" s="3">
        <f t="shared" si="26"/>
        <v>4146.0521297144242</v>
      </c>
      <c r="BC32" s="7" t="s">
        <v>118</v>
      </c>
      <c r="BD32" s="2" t="s">
        <v>46</v>
      </c>
      <c r="BE32" s="17">
        <v>1791.1257700778012</v>
      </c>
      <c r="BF32" s="17">
        <v>5064.486238737406</v>
      </c>
      <c r="BG32" s="17">
        <v>0</v>
      </c>
      <c r="BH32" s="17">
        <v>0</v>
      </c>
      <c r="BI32" s="17">
        <v>6855.6120088152074</v>
      </c>
      <c r="BJ32" s="7" t="s">
        <v>118</v>
      </c>
      <c r="BK32" s="2" t="s">
        <v>46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7" t="s">
        <v>118</v>
      </c>
      <c r="BR32" s="2" t="s">
        <v>46</v>
      </c>
      <c r="BS32" s="3">
        <v>0</v>
      </c>
      <c r="BT32" s="3">
        <v>0</v>
      </c>
      <c r="BU32" s="3">
        <v>0</v>
      </c>
      <c r="BV32" s="3">
        <v>911845.84658506257</v>
      </c>
      <c r="BW32" s="3">
        <v>911845.84658506257</v>
      </c>
      <c r="BX32" s="7" t="s">
        <v>118</v>
      </c>
      <c r="BY32" s="2" t="s">
        <v>46</v>
      </c>
      <c r="BZ32" s="3">
        <v>6249.7965670270678</v>
      </c>
      <c r="CA32" s="3">
        <v>0</v>
      </c>
      <c r="CB32" s="3">
        <v>0</v>
      </c>
      <c r="CC32" s="3">
        <v>0</v>
      </c>
      <c r="CD32" s="3">
        <v>6249.7965670270678</v>
      </c>
      <c r="CE32" s="7" t="s">
        <v>118</v>
      </c>
      <c r="CF32" s="2" t="s">
        <v>46</v>
      </c>
      <c r="CG32" s="3">
        <v>260.6405772178382</v>
      </c>
      <c r="CH32" s="3">
        <v>59.587232419894001</v>
      </c>
      <c r="CI32" s="3">
        <v>0</v>
      </c>
      <c r="CJ32" s="3">
        <v>0</v>
      </c>
      <c r="CK32" s="3">
        <v>320.22780963773221</v>
      </c>
      <c r="CL32" s="7" t="s">
        <v>118</v>
      </c>
      <c r="CM32" s="2" t="s">
        <v>46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7" t="s">
        <v>118</v>
      </c>
      <c r="CT32" s="2" t="s">
        <v>46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7" t="s">
        <v>118</v>
      </c>
      <c r="DA32" s="2" t="s">
        <v>46</v>
      </c>
      <c r="DB32" s="3">
        <v>0</v>
      </c>
      <c r="DC32" s="3">
        <v>2979.3616209946999</v>
      </c>
      <c r="DD32" s="3">
        <v>1221449.320076735</v>
      </c>
      <c r="DE32" s="3">
        <v>61924935.841806963</v>
      </c>
      <c r="DF32" s="3">
        <v>63149364.523504689</v>
      </c>
      <c r="DG32" s="7" t="s">
        <v>118</v>
      </c>
      <c r="DH32" s="2" t="s">
        <v>46</v>
      </c>
      <c r="DI32" s="3">
        <v>535.75492518262831</v>
      </c>
      <c r="DJ32" s="3">
        <v>0</v>
      </c>
      <c r="DK32" s="3">
        <v>0</v>
      </c>
      <c r="DL32" s="3">
        <v>0</v>
      </c>
      <c r="DM32" s="3">
        <v>535.75492518262831</v>
      </c>
      <c r="DN32" s="7" t="s">
        <v>118</v>
      </c>
      <c r="DO32" s="2" t="s">
        <v>46</v>
      </c>
      <c r="DP32" s="3">
        <v>9670.2997481321563</v>
      </c>
      <c r="DQ32" s="3">
        <v>16818.169803494344</v>
      </c>
      <c r="DR32" s="3">
        <v>0</v>
      </c>
      <c r="DS32" s="3">
        <v>0</v>
      </c>
      <c r="DT32" s="3">
        <v>26488.469551626498</v>
      </c>
      <c r="DU32" s="7" t="s">
        <v>118</v>
      </c>
      <c r="DV32" s="2" t="s">
        <v>46</v>
      </c>
      <c r="DW32" s="3">
        <v>4103.4898208430714</v>
      </c>
      <c r="DX32" s="3">
        <v>42.562308871352855</v>
      </c>
      <c r="DY32" s="3">
        <v>0</v>
      </c>
      <c r="DZ32" s="3">
        <v>0</v>
      </c>
      <c r="EA32" s="3">
        <v>4146.0521297144242</v>
      </c>
      <c r="EB32" s="7" t="s">
        <v>118</v>
      </c>
      <c r="EC32" s="2" t="s">
        <v>46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</row>
    <row r="33" spans="1:138" ht="10.199999999999999" customHeight="1" x14ac:dyDescent="0.25">
      <c r="A33" s="7" t="s">
        <v>124</v>
      </c>
      <c r="B33" s="2" t="s">
        <v>52</v>
      </c>
      <c r="C33" s="3">
        <f t="shared" si="4"/>
        <v>0</v>
      </c>
      <c r="D33" s="3">
        <f t="shared" si="5"/>
        <v>1959.6212355152477</v>
      </c>
      <c r="E33" s="3">
        <f t="shared" si="6"/>
        <v>0</v>
      </c>
      <c r="F33" s="3">
        <f t="shared" si="7"/>
        <v>89239.5236484458</v>
      </c>
      <c r="G33" s="3">
        <f t="shared" si="8"/>
        <v>378130.17148364842</v>
      </c>
      <c r="H33" s="3">
        <f t="shared" si="9"/>
        <v>15904288.021832487</v>
      </c>
      <c r="I33" s="3">
        <f t="shared" si="10"/>
        <v>20.429908258249373</v>
      </c>
      <c r="J33" s="3">
        <f t="shared" si="11"/>
        <v>289.42370032519943</v>
      </c>
      <c r="K33" s="3">
        <f t="shared" si="12"/>
        <v>0</v>
      </c>
      <c r="L33" s="3">
        <f t="shared" si="13"/>
        <v>255134.92248623644</v>
      </c>
      <c r="M33" s="3">
        <f t="shared" si="14"/>
        <v>563214.10584579781</v>
      </c>
      <c r="N33" s="3">
        <f t="shared" si="15"/>
        <v>84427.343550243633</v>
      </c>
      <c r="O33" s="3">
        <f t="shared" si="16"/>
        <v>17276703.563690957</v>
      </c>
      <c r="P33" s="7" t="s">
        <v>124</v>
      </c>
      <c r="Q33" s="2" t="s">
        <v>52</v>
      </c>
      <c r="R33" s="3">
        <f t="shared" si="28"/>
        <v>0</v>
      </c>
      <c r="S33" s="3">
        <f t="shared" si="28"/>
        <v>1959.6212355152477</v>
      </c>
      <c r="T33" s="3">
        <f t="shared" si="28"/>
        <v>0</v>
      </c>
      <c r="U33" s="3">
        <f t="shared" si="28"/>
        <v>89239.5236484458</v>
      </c>
      <c r="V33" s="3">
        <f t="shared" si="28"/>
        <v>378130.17148364842</v>
      </c>
      <c r="W33" s="3">
        <f t="shared" si="27"/>
        <v>15904288.021832487</v>
      </c>
      <c r="X33" s="3">
        <f t="shared" si="27"/>
        <v>20.429908258249373</v>
      </c>
      <c r="Y33" s="3">
        <f t="shared" si="27"/>
        <v>289.42370032519943</v>
      </c>
      <c r="Z33" s="3">
        <f t="shared" si="27"/>
        <v>0</v>
      </c>
      <c r="AA33" s="3">
        <f t="shared" si="27"/>
        <v>255134.92248623644</v>
      </c>
      <c r="AB33" s="3">
        <f t="shared" si="18"/>
        <v>16629062.114294916</v>
      </c>
      <c r="AC33" s="7" t="s">
        <v>124</v>
      </c>
      <c r="AD33" s="2" t="s">
        <v>52</v>
      </c>
      <c r="AE33" s="3">
        <f t="shared" si="19"/>
        <v>563214.10584579781</v>
      </c>
      <c r="AF33" s="3">
        <f t="shared" si="19"/>
        <v>84427.343550243633</v>
      </c>
      <c r="AG33" s="3">
        <f t="shared" si="20"/>
        <v>647641.44939604145</v>
      </c>
      <c r="AH33" s="7" t="s">
        <v>124</v>
      </c>
      <c r="AI33" s="2" t="s">
        <v>52</v>
      </c>
      <c r="AJ33" s="3">
        <f t="shared" si="21"/>
        <v>1073713.4387677214</v>
      </c>
      <c r="AK33" s="3">
        <f t="shared" si="21"/>
        <v>30055.494900421345</v>
      </c>
      <c r="AL33" s="3">
        <f t="shared" si="21"/>
        <v>16029658.455745403</v>
      </c>
      <c r="AM33" s="3">
        <f t="shared" si="21"/>
        <v>143276.17427741145</v>
      </c>
      <c r="AN33" s="3">
        <f t="shared" si="22"/>
        <v>17276703.563690957</v>
      </c>
      <c r="AO33" s="7" t="s">
        <v>124</v>
      </c>
      <c r="AP33" s="2" t="s">
        <v>52</v>
      </c>
      <c r="AQ33" s="3">
        <f t="shared" si="23"/>
        <v>540544.62755689421</v>
      </c>
      <c r="AR33" s="3">
        <f t="shared" si="23"/>
        <v>1329.3916230488583</v>
      </c>
      <c r="AS33" s="3">
        <f t="shared" si="23"/>
        <v>15943911.920837561</v>
      </c>
      <c r="AT33" s="3">
        <f t="shared" si="23"/>
        <v>143276.17427741145</v>
      </c>
      <c r="AU33" s="3">
        <f t="shared" si="24"/>
        <v>16629062.114294915</v>
      </c>
      <c r="AV33" s="7" t="s">
        <v>124</v>
      </c>
      <c r="AW33" s="2" t="s">
        <v>52</v>
      </c>
      <c r="AX33" s="3">
        <f t="shared" si="25"/>
        <v>533168.8112108272</v>
      </c>
      <c r="AY33" s="3">
        <f t="shared" si="25"/>
        <v>28726.103277372487</v>
      </c>
      <c r="AZ33" s="3">
        <f t="shared" si="25"/>
        <v>85746.534907841851</v>
      </c>
      <c r="BA33" s="3">
        <f t="shared" si="25"/>
        <v>0</v>
      </c>
      <c r="BB33" s="3">
        <f t="shared" si="26"/>
        <v>647641.44939604145</v>
      </c>
      <c r="BC33" s="7" t="s">
        <v>124</v>
      </c>
      <c r="BD33" s="2" t="s">
        <v>52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7" t="s">
        <v>124</v>
      </c>
      <c r="BK33" s="2" t="s">
        <v>52</v>
      </c>
      <c r="BL33" s="3">
        <v>1891.5215413210831</v>
      </c>
      <c r="BM33" s="3">
        <v>0</v>
      </c>
      <c r="BN33" s="3">
        <v>68.09969419416457</v>
      </c>
      <c r="BO33" s="3">
        <v>0</v>
      </c>
      <c r="BP33" s="3">
        <v>1959.6212355152477</v>
      </c>
      <c r="BQ33" s="7" t="s">
        <v>124</v>
      </c>
      <c r="BR33" s="2" t="s">
        <v>52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7" t="s">
        <v>124</v>
      </c>
      <c r="BY33" s="2" t="s">
        <v>52</v>
      </c>
      <c r="BZ33" s="3">
        <v>87469.274412960382</v>
      </c>
      <c r="CA33" s="3">
        <v>0</v>
      </c>
      <c r="CB33" s="3">
        <v>1770.2492354854114</v>
      </c>
      <c r="CC33" s="3">
        <v>0</v>
      </c>
      <c r="CD33" s="3">
        <v>89239.5236484458</v>
      </c>
      <c r="CE33" s="7" t="s">
        <v>124</v>
      </c>
      <c r="CF33" s="2" t="s">
        <v>52</v>
      </c>
      <c r="CG33" s="3">
        <v>234853.99720623696</v>
      </c>
      <c r="CH33" s="3">
        <v>0</v>
      </c>
      <c r="CI33" s="3">
        <v>0</v>
      </c>
      <c r="CJ33" s="3">
        <v>143276.17427741145</v>
      </c>
      <c r="CK33" s="3">
        <v>378130.17148364842</v>
      </c>
      <c r="CL33" s="7" t="s">
        <v>124</v>
      </c>
      <c r="CM33" s="2" t="s">
        <v>52</v>
      </c>
      <c r="CN33" s="3">
        <v>0</v>
      </c>
      <c r="CO33" s="3">
        <v>0</v>
      </c>
      <c r="CP33" s="3">
        <v>15904288.021832487</v>
      </c>
      <c r="CQ33" s="3">
        <v>0</v>
      </c>
      <c r="CR33" s="3">
        <v>15904288.021832487</v>
      </c>
      <c r="CS33" s="7" t="s">
        <v>124</v>
      </c>
      <c r="CT33" s="2" t="s">
        <v>52</v>
      </c>
      <c r="CU33" s="3">
        <v>20.429908258249373</v>
      </c>
      <c r="CV33" s="3">
        <v>0</v>
      </c>
      <c r="CW33" s="3">
        <v>0</v>
      </c>
      <c r="CX33" s="3">
        <v>0</v>
      </c>
      <c r="CY33" s="3">
        <v>20.429908258249373</v>
      </c>
      <c r="CZ33" s="7" t="s">
        <v>124</v>
      </c>
      <c r="DA33" s="2" t="s">
        <v>52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7" t="s">
        <v>124</v>
      </c>
      <c r="DH33" s="2" t="s">
        <v>52</v>
      </c>
      <c r="DI33" s="3">
        <v>228.13397555045134</v>
      </c>
      <c r="DJ33" s="3">
        <v>61.289724774748116</v>
      </c>
      <c r="DK33" s="3">
        <v>0</v>
      </c>
      <c r="DL33" s="3">
        <v>0</v>
      </c>
      <c r="DM33" s="3">
        <v>289.42370032519943</v>
      </c>
      <c r="DN33" s="7" t="s">
        <v>124</v>
      </c>
      <c r="DO33" s="2" t="s">
        <v>52</v>
      </c>
      <c r="DP33" s="3">
        <v>216081.27051256705</v>
      </c>
      <c r="DQ33" s="3">
        <v>1268.1018982741102</v>
      </c>
      <c r="DR33" s="3">
        <v>37785.55007539528</v>
      </c>
      <c r="DS33" s="3">
        <v>0</v>
      </c>
      <c r="DT33" s="3">
        <v>255134.92248623644</v>
      </c>
      <c r="DU33" s="7" t="s">
        <v>124</v>
      </c>
      <c r="DV33" s="2" t="s">
        <v>52</v>
      </c>
      <c r="DW33" s="3">
        <v>14384.872572815531</v>
      </c>
      <c r="DX33" s="3">
        <v>0</v>
      </c>
      <c r="DY33" s="3">
        <v>70042.470977428107</v>
      </c>
      <c r="DZ33" s="3">
        <v>0</v>
      </c>
      <c r="EA33" s="3">
        <v>84427.343550243633</v>
      </c>
      <c r="EB33" s="7" t="s">
        <v>124</v>
      </c>
      <c r="EC33" s="2" t="s">
        <v>52</v>
      </c>
      <c r="ED33" s="3">
        <v>518783.93863801163</v>
      </c>
      <c r="EE33" s="3">
        <v>28726.103277372487</v>
      </c>
      <c r="EF33" s="3">
        <v>15704.063930413744</v>
      </c>
      <c r="EG33" s="3">
        <v>0</v>
      </c>
      <c r="EH33" s="3">
        <v>563214.10584579781</v>
      </c>
    </row>
    <row r="34" spans="1:138" ht="10.199999999999999" customHeight="1" x14ac:dyDescent="0.25">
      <c r="A34" s="7" t="s">
        <v>123</v>
      </c>
      <c r="B34" s="2" t="s">
        <v>51</v>
      </c>
      <c r="C34" s="3">
        <f t="shared" si="4"/>
        <v>0</v>
      </c>
      <c r="D34" s="3">
        <f t="shared" si="5"/>
        <v>9285.862303555261</v>
      </c>
      <c r="E34" s="3">
        <f t="shared" si="6"/>
        <v>0</v>
      </c>
      <c r="F34" s="3">
        <f t="shared" si="7"/>
        <v>3517.9204683537623</v>
      </c>
      <c r="G34" s="3">
        <f t="shared" si="8"/>
        <v>0</v>
      </c>
      <c r="H34" s="3">
        <f t="shared" si="9"/>
        <v>0</v>
      </c>
      <c r="I34" s="3">
        <f t="shared" si="10"/>
        <v>1347.8443374158169</v>
      </c>
      <c r="J34" s="3">
        <f t="shared" si="11"/>
        <v>0</v>
      </c>
      <c r="K34" s="3">
        <f t="shared" si="12"/>
        <v>935.35836211036747</v>
      </c>
      <c r="L34" s="3">
        <f t="shared" si="13"/>
        <v>112713.35295867154</v>
      </c>
      <c r="M34" s="3">
        <f t="shared" si="14"/>
        <v>804416.89901558682</v>
      </c>
      <c r="N34" s="3">
        <f t="shared" si="15"/>
        <v>11437.406267743621</v>
      </c>
      <c r="O34" s="3">
        <f t="shared" si="16"/>
        <v>943654.64371343725</v>
      </c>
      <c r="P34" s="7" t="s">
        <v>123</v>
      </c>
      <c r="Q34" s="2" t="s">
        <v>51</v>
      </c>
      <c r="R34" s="3">
        <f t="shared" si="28"/>
        <v>0</v>
      </c>
      <c r="S34" s="3">
        <f t="shared" si="28"/>
        <v>9285.862303555261</v>
      </c>
      <c r="T34" s="3">
        <f t="shared" si="28"/>
        <v>0</v>
      </c>
      <c r="U34" s="3">
        <f t="shared" si="28"/>
        <v>3517.9204683537623</v>
      </c>
      <c r="V34" s="3">
        <f t="shared" si="28"/>
        <v>0</v>
      </c>
      <c r="W34" s="3">
        <f t="shared" si="27"/>
        <v>0</v>
      </c>
      <c r="X34" s="3">
        <f t="shared" si="27"/>
        <v>1347.8443374158169</v>
      </c>
      <c r="Y34" s="3">
        <f t="shared" si="27"/>
        <v>0</v>
      </c>
      <c r="Z34" s="3">
        <f t="shared" si="27"/>
        <v>935.35836211036747</v>
      </c>
      <c r="AA34" s="3">
        <f t="shared" si="27"/>
        <v>112713.35295867154</v>
      </c>
      <c r="AB34" s="3">
        <f t="shared" si="18"/>
        <v>127800.33843010676</v>
      </c>
      <c r="AC34" s="7" t="s">
        <v>123</v>
      </c>
      <c r="AD34" s="2" t="s">
        <v>51</v>
      </c>
      <c r="AE34" s="3">
        <f t="shared" si="19"/>
        <v>804416.89901558682</v>
      </c>
      <c r="AF34" s="3">
        <f t="shared" si="19"/>
        <v>11437.406267743621</v>
      </c>
      <c r="AG34" s="3">
        <f t="shared" si="20"/>
        <v>815854.3052833305</v>
      </c>
      <c r="AH34" s="7" t="s">
        <v>123</v>
      </c>
      <c r="AI34" s="2" t="s">
        <v>51</v>
      </c>
      <c r="AJ34" s="3">
        <f t="shared" si="21"/>
        <v>143194.5854295372</v>
      </c>
      <c r="AK34" s="3">
        <f t="shared" si="21"/>
        <v>696161.54601773852</v>
      </c>
      <c r="AL34" s="3">
        <f t="shared" si="21"/>
        <v>0</v>
      </c>
      <c r="AM34" s="3">
        <f t="shared" si="21"/>
        <v>104298.51226616147</v>
      </c>
      <c r="AN34" s="3">
        <f t="shared" si="22"/>
        <v>943654.64371343725</v>
      </c>
      <c r="AO34" s="7" t="s">
        <v>123</v>
      </c>
      <c r="AP34" s="2" t="s">
        <v>51</v>
      </c>
      <c r="AQ34" s="3">
        <f t="shared" si="23"/>
        <v>28129.779560779185</v>
      </c>
      <c r="AR34" s="3">
        <f t="shared" si="23"/>
        <v>99670.558869327564</v>
      </c>
      <c r="AS34" s="3">
        <f t="shared" si="23"/>
        <v>0</v>
      </c>
      <c r="AT34" s="3">
        <f t="shared" si="23"/>
        <v>0</v>
      </c>
      <c r="AU34" s="3">
        <f t="shared" si="24"/>
        <v>127800.33843010676</v>
      </c>
      <c r="AV34" s="7" t="s">
        <v>123</v>
      </c>
      <c r="AW34" s="2" t="s">
        <v>51</v>
      </c>
      <c r="AX34" s="3">
        <f t="shared" si="25"/>
        <v>115064.80586875801</v>
      </c>
      <c r="AY34" s="3">
        <f t="shared" si="25"/>
        <v>596490.98714841099</v>
      </c>
      <c r="AZ34" s="3">
        <f t="shared" si="25"/>
        <v>0</v>
      </c>
      <c r="BA34" s="3">
        <f t="shared" si="25"/>
        <v>104298.51226616147</v>
      </c>
      <c r="BB34" s="3">
        <f t="shared" si="26"/>
        <v>815854.3052833305</v>
      </c>
      <c r="BC34" s="7" t="s">
        <v>123</v>
      </c>
      <c r="BD34" s="2" t="s">
        <v>51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7" t="s">
        <v>123</v>
      </c>
      <c r="BK34" s="2" t="s">
        <v>51</v>
      </c>
      <c r="BL34" s="3">
        <v>7123.9863337580646</v>
      </c>
      <c r="BM34" s="3">
        <v>2161.8759697971968</v>
      </c>
      <c r="BN34" s="3">
        <v>0</v>
      </c>
      <c r="BO34" s="3">
        <v>0</v>
      </c>
      <c r="BP34" s="3">
        <v>9285.862303555261</v>
      </c>
      <c r="BQ34" s="7" t="s">
        <v>123</v>
      </c>
      <c r="BR34" s="2" t="s">
        <v>51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7" t="s">
        <v>123</v>
      </c>
      <c r="BY34" s="2" t="s">
        <v>51</v>
      </c>
      <c r="BZ34" s="3">
        <v>191.95601300980141</v>
      </c>
      <c r="CA34" s="3">
        <v>3325.9644553439607</v>
      </c>
      <c r="CB34" s="3">
        <v>0</v>
      </c>
      <c r="CC34" s="3">
        <v>0</v>
      </c>
      <c r="CD34" s="3">
        <v>3517.9204683537623</v>
      </c>
      <c r="CE34" s="7" t="s">
        <v>123</v>
      </c>
      <c r="CF34" s="2" t="s">
        <v>51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7" t="s">
        <v>123</v>
      </c>
      <c r="CM34" s="2" t="s">
        <v>51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7" t="s">
        <v>123</v>
      </c>
      <c r="CT34" s="2" t="s">
        <v>51</v>
      </c>
      <c r="CU34" s="3">
        <v>1347.8443374158169</v>
      </c>
      <c r="CV34" s="3">
        <v>0</v>
      </c>
      <c r="CW34" s="3">
        <v>0</v>
      </c>
      <c r="CX34" s="3">
        <v>0</v>
      </c>
      <c r="CY34" s="3">
        <v>1347.8443374158169</v>
      </c>
      <c r="CZ34" s="7" t="s">
        <v>123</v>
      </c>
      <c r="DA34" s="2" t="s">
        <v>51</v>
      </c>
      <c r="DB34" s="3">
        <v>935.35836211036747</v>
      </c>
      <c r="DC34" s="3">
        <v>0</v>
      </c>
      <c r="DD34" s="3">
        <v>0</v>
      </c>
      <c r="DE34" s="3">
        <v>0</v>
      </c>
      <c r="DF34" s="3">
        <v>935.35836211036747</v>
      </c>
      <c r="DG34" s="7" t="s">
        <v>123</v>
      </c>
      <c r="DH34" s="2" t="s">
        <v>51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7" t="s">
        <v>123</v>
      </c>
      <c r="DO34" s="2" t="s">
        <v>51</v>
      </c>
      <c r="DP34" s="3">
        <v>18530.634514485133</v>
      </c>
      <c r="DQ34" s="3">
        <v>94182.718444186408</v>
      </c>
      <c r="DR34" s="3">
        <v>0</v>
      </c>
      <c r="DS34" s="3">
        <v>0</v>
      </c>
      <c r="DT34" s="3">
        <v>112713.35295867154</v>
      </c>
      <c r="DU34" s="7" t="s">
        <v>123</v>
      </c>
      <c r="DV34" s="2" t="s">
        <v>51</v>
      </c>
      <c r="DW34" s="3">
        <v>0</v>
      </c>
      <c r="DX34" s="3">
        <v>11437.406267743621</v>
      </c>
      <c r="DY34" s="3">
        <v>0</v>
      </c>
      <c r="DZ34" s="3">
        <v>0</v>
      </c>
      <c r="EA34" s="3">
        <v>11437.406267743621</v>
      </c>
      <c r="EB34" s="7" t="s">
        <v>123</v>
      </c>
      <c r="EC34" s="2" t="s">
        <v>51</v>
      </c>
      <c r="ED34" s="3">
        <v>115064.80586875801</v>
      </c>
      <c r="EE34" s="3">
        <v>585053.58088066732</v>
      </c>
      <c r="EF34" s="3">
        <v>0</v>
      </c>
      <c r="EG34" s="3">
        <v>104298.51226616147</v>
      </c>
      <c r="EH34" s="3">
        <v>804416.89901558682</v>
      </c>
    </row>
    <row r="35" spans="1:138" ht="10.199999999999999" customHeight="1" x14ac:dyDescent="0.25">
      <c r="A35" s="7" t="s">
        <v>126</v>
      </c>
      <c r="B35" s="2" t="s">
        <v>54</v>
      </c>
      <c r="C35" s="3">
        <f t="shared" si="4"/>
        <v>0</v>
      </c>
      <c r="D35" s="3">
        <f t="shared" si="5"/>
        <v>0</v>
      </c>
      <c r="E35" s="3">
        <f t="shared" si="6"/>
        <v>0</v>
      </c>
      <c r="F35" s="3">
        <f t="shared" si="7"/>
        <v>3342.3115507757775</v>
      </c>
      <c r="G35" s="3">
        <f t="shared" si="8"/>
        <v>0</v>
      </c>
      <c r="H35" s="3">
        <f t="shared" si="9"/>
        <v>0</v>
      </c>
      <c r="I35" s="3">
        <f t="shared" si="10"/>
        <v>165.32243119368704</v>
      </c>
      <c r="J35" s="3">
        <f t="shared" si="11"/>
        <v>0</v>
      </c>
      <c r="K35" s="3">
        <f t="shared" si="12"/>
        <v>0</v>
      </c>
      <c r="L35" s="3">
        <f t="shared" si="13"/>
        <v>1280.567115242208</v>
      </c>
      <c r="M35" s="3">
        <f t="shared" si="14"/>
        <v>0</v>
      </c>
      <c r="N35" s="3">
        <f t="shared" si="15"/>
        <v>0</v>
      </c>
      <c r="O35" s="3">
        <f t="shared" si="16"/>
        <v>4788.2010972116723</v>
      </c>
      <c r="P35" s="7" t="s">
        <v>126</v>
      </c>
      <c r="Q35" s="2" t="s">
        <v>54</v>
      </c>
      <c r="R35" s="3">
        <f t="shared" si="28"/>
        <v>0</v>
      </c>
      <c r="S35" s="3">
        <f t="shared" si="28"/>
        <v>0</v>
      </c>
      <c r="T35" s="3">
        <f t="shared" si="28"/>
        <v>0</v>
      </c>
      <c r="U35" s="3">
        <f t="shared" si="28"/>
        <v>3342.3115507757775</v>
      </c>
      <c r="V35" s="3">
        <f t="shared" si="28"/>
        <v>0</v>
      </c>
      <c r="W35" s="3">
        <f t="shared" si="27"/>
        <v>0</v>
      </c>
      <c r="X35" s="3">
        <f t="shared" si="27"/>
        <v>165.32243119368704</v>
      </c>
      <c r="Y35" s="3">
        <f t="shared" si="27"/>
        <v>0</v>
      </c>
      <c r="Z35" s="3">
        <f t="shared" si="27"/>
        <v>0</v>
      </c>
      <c r="AA35" s="3">
        <f t="shared" si="27"/>
        <v>1280.567115242208</v>
      </c>
      <c r="AB35" s="3">
        <f t="shared" si="18"/>
        <v>4788.2010972116723</v>
      </c>
      <c r="AC35" s="7" t="s">
        <v>126</v>
      </c>
      <c r="AD35" s="2" t="s">
        <v>54</v>
      </c>
      <c r="AE35" s="3">
        <f t="shared" si="19"/>
        <v>0</v>
      </c>
      <c r="AF35" s="3">
        <f t="shared" si="19"/>
        <v>0</v>
      </c>
      <c r="AG35" s="3">
        <f t="shared" si="20"/>
        <v>0</v>
      </c>
      <c r="AH35" s="7" t="s">
        <v>126</v>
      </c>
      <c r="AI35" s="2" t="s">
        <v>54</v>
      </c>
      <c r="AJ35" s="3">
        <f t="shared" si="21"/>
        <v>4631.8167508809693</v>
      </c>
      <c r="AK35" s="3">
        <f t="shared" si="21"/>
        <v>156.38434633070293</v>
      </c>
      <c r="AL35" s="3">
        <f t="shared" si="21"/>
        <v>0</v>
      </c>
      <c r="AM35" s="3">
        <f t="shared" si="21"/>
        <v>0</v>
      </c>
      <c r="AN35" s="3">
        <f t="shared" si="22"/>
        <v>4788.2010972116723</v>
      </c>
      <c r="AO35" s="7" t="s">
        <v>126</v>
      </c>
      <c r="AP35" s="2" t="s">
        <v>54</v>
      </c>
      <c r="AQ35" s="3">
        <f t="shared" si="23"/>
        <v>4631.8167508809693</v>
      </c>
      <c r="AR35" s="3">
        <f t="shared" si="23"/>
        <v>156.38434633070293</v>
      </c>
      <c r="AS35" s="3">
        <f t="shared" si="23"/>
        <v>0</v>
      </c>
      <c r="AT35" s="3">
        <f t="shared" si="23"/>
        <v>0</v>
      </c>
      <c r="AU35" s="3">
        <f t="shared" si="24"/>
        <v>4788.2010972116723</v>
      </c>
      <c r="AV35" s="7" t="s">
        <v>126</v>
      </c>
      <c r="AW35" s="2" t="s">
        <v>54</v>
      </c>
      <c r="AX35" s="3">
        <f t="shared" si="25"/>
        <v>0</v>
      </c>
      <c r="AY35" s="3">
        <f t="shared" si="25"/>
        <v>0</v>
      </c>
      <c r="AZ35" s="3">
        <f t="shared" si="25"/>
        <v>0</v>
      </c>
      <c r="BA35" s="3">
        <f t="shared" si="25"/>
        <v>0</v>
      </c>
      <c r="BB35" s="3">
        <f t="shared" si="26"/>
        <v>0</v>
      </c>
      <c r="BC35" s="7" t="s">
        <v>126</v>
      </c>
      <c r="BD35" s="2" t="s">
        <v>54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7" t="s">
        <v>126</v>
      </c>
      <c r="BK35" s="2" t="s">
        <v>54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7" t="s">
        <v>126</v>
      </c>
      <c r="BR35" s="2" t="s">
        <v>54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7" t="s">
        <v>126</v>
      </c>
      <c r="BY35" s="2" t="s">
        <v>54</v>
      </c>
      <c r="BZ35" s="3">
        <v>3342.3115507757775</v>
      </c>
      <c r="CA35" s="3">
        <v>0</v>
      </c>
      <c r="CB35" s="3">
        <v>0</v>
      </c>
      <c r="CC35" s="3">
        <v>0</v>
      </c>
      <c r="CD35" s="3">
        <v>3342.3115507757775</v>
      </c>
      <c r="CE35" s="7" t="s">
        <v>126</v>
      </c>
      <c r="CF35" s="2" t="s">
        <v>54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7" t="s">
        <v>126</v>
      </c>
      <c r="CM35" s="2" t="s">
        <v>54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7" t="s">
        <v>126</v>
      </c>
      <c r="CT35" s="2" t="s">
        <v>54</v>
      </c>
      <c r="CU35" s="3">
        <v>8.9380848629841019</v>
      </c>
      <c r="CV35" s="3">
        <v>156.38434633070293</v>
      </c>
      <c r="CW35" s="3">
        <v>0</v>
      </c>
      <c r="CX35" s="3">
        <v>0</v>
      </c>
      <c r="CY35" s="3">
        <v>165.32243119368704</v>
      </c>
      <c r="CZ35" s="7" t="s">
        <v>126</v>
      </c>
      <c r="DA35" s="2" t="s">
        <v>54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7" t="s">
        <v>126</v>
      </c>
      <c r="DH35" s="2" t="s">
        <v>54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7" t="s">
        <v>126</v>
      </c>
      <c r="DO35" s="2" t="s">
        <v>54</v>
      </c>
      <c r="DP35" s="3">
        <v>1280.567115242208</v>
      </c>
      <c r="DQ35" s="3">
        <v>0</v>
      </c>
      <c r="DR35" s="3">
        <v>0</v>
      </c>
      <c r="DS35" s="3">
        <v>0</v>
      </c>
      <c r="DT35" s="3">
        <v>1280.567115242208</v>
      </c>
      <c r="DU35" s="7" t="s">
        <v>126</v>
      </c>
      <c r="DV35" s="2" t="s">
        <v>54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7" t="s">
        <v>126</v>
      </c>
      <c r="EC35" s="2" t="s">
        <v>54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</row>
    <row r="36" spans="1:138" ht="10.199999999999999" customHeight="1" x14ac:dyDescent="0.25">
      <c r="A36" s="7" t="s">
        <v>129</v>
      </c>
      <c r="B36" s="2" t="s">
        <v>57</v>
      </c>
      <c r="C36" s="3">
        <f t="shared" si="4"/>
        <v>7206.0018787938161</v>
      </c>
      <c r="D36" s="3">
        <f t="shared" si="5"/>
        <v>6372696.2352711959</v>
      </c>
      <c r="E36" s="3">
        <f t="shared" si="6"/>
        <v>459814600.4934094</v>
      </c>
      <c r="F36" s="3">
        <f t="shared" si="7"/>
        <v>92548.297778754262</v>
      </c>
      <c r="G36" s="3">
        <f t="shared" si="8"/>
        <v>559107.3126333222</v>
      </c>
      <c r="H36" s="3">
        <f t="shared" si="9"/>
        <v>0</v>
      </c>
      <c r="I36" s="3">
        <f t="shared" si="10"/>
        <v>33967.080585911644</v>
      </c>
      <c r="J36" s="3">
        <f t="shared" si="11"/>
        <v>24989.43846644798</v>
      </c>
      <c r="K36" s="3">
        <f t="shared" si="12"/>
        <v>1184006.2980837594</v>
      </c>
      <c r="L36" s="3">
        <f t="shared" si="13"/>
        <v>23571.10146280703</v>
      </c>
      <c r="M36" s="3">
        <f t="shared" si="14"/>
        <v>2347784.8256629067</v>
      </c>
      <c r="N36" s="3">
        <f t="shared" si="15"/>
        <v>79977405.498266354</v>
      </c>
      <c r="O36" s="3">
        <f t="shared" si="16"/>
        <v>550437882.58349967</v>
      </c>
      <c r="P36" s="7" t="s">
        <v>129</v>
      </c>
      <c r="Q36" s="2" t="s">
        <v>57</v>
      </c>
      <c r="R36" s="3">
        <f t="shared" si="28"/>
        <v>7206.0018787938161</v>
      </c>
      <c r="S36" s="3">
        <f t="shared" si="28"/>
        <v>6372696.2352711959</v>
      </c>
      <c r="T36" s="3">
        <f t="shared" si="28"/>
        <v>459814600.4934094</v>
      </c>
      <c r="U36" s="3">
        <f t="shared" si="28"/>
        <v>92548.297778754262</v>
      </c>
      <c r="V36" s="3">
        <f t="shared" si="28"/>
        <v>559107.3126333222</v>
      </c>
      <c r="W36" s="3">
        <f t="shared" si="27"/>
        <v>0</v>
      </c>
      <c r="X36" s="3">
        <f t="shared" si="27"/>
        <v>33967.080585911644</v>
      </c>
      <c r="Y36" s="3">
        <f t="shared" si="27"/>
        <v>24989.43846644798</v>
      </c>
      <c r="Z36" s="3">
        <f t="shared" si="27"/>
        <v>1184006.2980837594</v>
      </c>
      <c r="AA36" s="3">
        <f t="shared" si="27"/>
        <v>23571.10146280703</v>
      </c>
      <c r="AB36" s="3">
        <f t="shared" si="18"/>
        <v>468112692.25957036</v>
      </c>
      <c r="AC36" s="7" t="s">
        <v>129</v>
      </c>
      <c r="AD36" s="2" t="s">
        <v>57</v>
      </c>
      <c r="AE36" s="3">
        <f t="shared" si="19"/>
        <v>2347784.8256629067</v>
      </c>
      <c r="AF36" s="3">
        <f t="shared" si="19"/>
        <v>79977405.498266354</v>
      </c>
      <c r="AG36" s="3">
        <f t="shared" si="20"/>
        <v>82325190.323929265</v>
      </c>
      <c r="AH36" s="7" t="s">
        <v>129</v>
      </c>
      <c r="AI36" s="2" t="s">
        <v>57</v>
      </c>
      <c r="AJ36" s="3">
        <f t="shared" si="21"/>
        <v>3792827.8275596378</v>
      </c>
      <c r="AK36" s="3">
        <f t="shared" si="21"/>
        <v>1379155.2469971268</v>
      </c>
      <c r="AL36" s="3">
        <f t="shared" si="21"/>
        <v>342580.44623699924</v>
      </c>
      <c r="AM36" s="3">
        <f t="shared" si="21"/>
        <v>544923319.06270587</v>
      </c>
      <c r="AN36" s="3">
        <f t="shared" si="22"/>
        <v>550437882.58349967</v>
      </c>
      <c r="AO36" s="7" t="s">
        <v>129</v>
      </c>
      <c r="AP36" s="2" t="s">
        <v>57</v>
      </c>
      <c r="AQ36" s="3">
        <f t="shared" si="23"/>
        <v>708883.39313513052</v>
      </c>
      <c r="AR36" s="3">
        <f t="shared" si="23"/>
        <v>787441.46937135397</v>
      </c>
      <c r="AS36" s="3">
        <f t="shared" si="23"/>
        <v>154202.5753982935</v>
      </c>
      <c r="AT36" s="3">
        <f t="shared" si="23"/>
        <v>466462164.82166564</v>
      </c>
      <c r="AU36" s="3">
        <f t="shared" si="24"/>
        <v>468112692.25957042</v>
      </c>
      <c r="AV36" s="7" t="s">
        <v>129</v>
      </c>
      <c r="AW36" s="2" t="s">
        <v>57</v>
      </c>
      <c r="AX36" s="3">
        <f t="shared" si="25"/>
        <v>3083944.4344245074</v>
      </c>
      <c r="AY36" s="3">
        <f t="shared" si="25"/>
        <v>591713.77762577299</v>
      </c>
      <c r="AZ36" s="3">
        <f t="shared" si="25"/>
        <v>188377.87083870574</v>
      </c>
      <c r="BA36" s="3">
        <f t="shared" si="25"/>
        <v>78461154.241040275</v>
      </c>
      <c r="BB36" s="3">
        <f t="shared" si="26"/>
        <v>82325190.323929265</v>
      </c>
      <c r="BC36" s="7" t="s">
        <v>129</v>
      </c>
      <c r="BD36" s="2" t="s">
        <v>57</v>
      </c>
      <c r="BE36" s="17">
        <v>6243.2623105388893</v>
      </c>
      <c r="BF36" s="17">
        <v>962.73956825492655</v>
      </c>
      <c r="BG36" s="17">
        <v>0</v>
      </c>
      <c r="BH36" s="17">
        <v>0</v>
      </c>
      <c r="BI36" s="17">
        <v>7206.0018787938161</v>
      </c>
      <c r="BJ36" s="7" t="s">
        <v>129</v>
      </c>
      <c r="BK36" s="2" t="s">
        <v>57</v>
      </c>
      <c r="BL36" s="3">
        <v>7948.6089553718994</v>
      </c>
      <c r="BM36" s="3">
        <v>0</v>
      </c>
      <c r="BN36" s="3">
        <v>3032.4175828293942</v>
      </c>
      <c r="BO36" s="3">
        <v>6361715.2087329943</v>
      </c>
      <c r="BP36" s="3">
        <v>6372696.2352711959</v>
      </c>
      <c r="BQ36" s="7" t="s">
        <v>129</v>
      </c>
      <c r="BR36" s="2" t="s">
        <v>57</v>
      </c>
      <c r="BS36" s="3">
        <v>0</v>
      </c>
      <c r="BT36" s="3">
        <v>25021.495412912467</v>
      </c>
      <c r="BU36" s="3">
        <v>70832.297587847614</v>
      </c>
      <c r="BV36" s="3">
        <v>459718746.70040864</v>
      </c>
      <c r="BW36" s="3">
        <v>459814600.4934094</v>
      </c>
      <c r="BX36" s="7" t="s">
        <v>129</v>
      </c>
      <c r="BY36" s="2" t="s">
        <v>57</v>
      </c>
      <c r="BZ36" s="3">
        <v>35695.769530043734</v>
      </c>
      <c r="CA36" s="3">
        <v>1187.5201722968256</v>
      </c>
      <c r="CB36" s="3">
        <v>55665.008076413702</v>
      </c>
      <c r="CC36" s="3">
        <v>0</v>
      </c>
      <c r="CD36" s="3">
        <v>92548.297778754262</v>
      </c>
      <c r="CE36" s="7" t="s">
        <v>129</v>
      </c>
      <c r="CF36" s="2" t="s">
        <v>57</v>
      </c>
      <c r="CG36" s="3">
        <v>222014.16712284286</v>
      </c>
      <c r="CH36" s="3">
        <v>325279.44036786212</v>
      </c>
      <c r="CI36" s="3">
        <v>11813.705142617171</v>
      </c>
      <c r="CJ36" s="3">
        <v>0</v>
      </c>
      <c r="CK36" s="3">
        <v>559107.3126333222</v>
      </c>
      <c r="CL36" s="7" t="s">
        <v>129</v>
      </c>
      <c r="CM36" s="2" t="s">
        <v>57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7" t="s">
        <v>129</v>
      </c>
      <c r="CT36" s="2" t="s">
        <v>57</v>
      </c>
      <c r="CU36" s="3">
        <v>32328.938919662902</v>
      </c>
      <c r="CV36" s="3">
        <v>1638.1416662487461</v>
      </c>
      <c r="CW36" s="3">
        <v>0</v>
      </c>
      <c r="CX36" s="3">
        <v>0</v>
      </c>
      <c r="CY36" s="3">
        <v>33967.080585911644</v>
      </c>
      <c r="CZ36" s="7" t="s">
        <v>129</v>
      </c>
      <c r="DA36" s="2" t="s">
        <v>57</v>
      </c>
      <c r="DB36" s="3">
        <v>382602.43392807373</v>
      </c>
      <c r="DC36" s="3">
        <v>419700.95163170598</v>
      </c>
      <c r="DD36" s="3">
        <v>0</v>
      </c>
      <c r="DE36" s="3">
        <v>381702.91252397967</v>
      </c>
      <c r="DF36" s="3">
        <v>1184006.2980837594</v>
      </c>
      <c r="DG36" s="7" t="s">
        <v>129</v>
      </c>
      <c r="DH36" s="2" t="s">
        <v>57</v>
      </c>
      <c r="DI36" s="3">
        <v>1339.7621779830736</v>
      </c>
      <c r="DJ36" s="3">
        <v>11795.680282859093</v>
      </c>
      <c r="DK36" s="3">
        <v>11853.996005605813</v>
      </c>
      <c r="DL36" s="3">
        <v>0</v>
      </c>
      <c r="DM36" s="3">
        <v>24989.43846644798</v>
      </c>
      <c r="DN36" s="7" t="s">
        <v>129</v>
      </c>
      <c r="DO36" s="2" t="s">
        <v>57</v>
      </c>
      <c r="DP36" s="3">
        <v>20710.450190613428</v>
      </c>
      <c r="DQ36" s="3">
        <v>1855.50026921379</v>
      </c>
      <c r="DR36" s="3">
        <v>1005.1510029798131</v>
      </c>
      <c r="DS36" s="3">
        <v>0</v>
      </c>
      <c r="DT36" s="3">
        <v>23571.10146280703</v>
      </c>
      <c r="DU36" s="7" t="s">
        <v>129</v>
      </c>
      <c r="DV36" s="2" t="s">
        <v>57</v>
      </c>
      <c r="DW36" s="3">
        <v>752254.74823969521</v>
      </c>
      <c r="DX36" s="3">
        <v>575618.63814767846</v>
      </c>
      <c r="DY36" s="3">
        <v>188377.87083870574</v>
      </c>
      <c r="DZ36" s="3">
        <v>78461154.241040275</v>
      </c>
      <c r="EA36" s="3">
        <v>79977405.498266354</v>
      </c>
      <c r="EB36" s="7" t="s">
        <v>129</v>
      </c>
      <c r="EC36" s="2" t="s">
        <v>57</v>
      </c>
      <c r="ED36" s="3">
        <v>2331689.6861848123</v>
      </c>
      <c r="EE36" s="3">
        <v>16095.139478094476</v>
      </c>
      <c r="EF36" s="3">
        <v>0</v>
      </c>
      <c r="EG36" s="3">
        <v>0</v>
      </c>
      <c r="EH36" s="3">
        <v>2347784.8256629067</v>
      </c>
    </row>
    <row r="37" spans="1:138" ht="10.199999999999999" customHeight="1" x14ac:dyDescent="0.25">
      <c r="A37" s="7" t="s">
        <v>128</v>
      </c>
      <c r="B37" s="2" t="s">
        <v>56</v>
      </c>
      <c r="C37" s="3">
        <f t="shared" si="4"/>
        <v>1517.5625982578399</v>
      </c>
      <c r="D37" s="3">
        <f t="shared" si="5"/>
        <v>8534.0591244789157</v>
      </c>
      <c r="E37" s="3">
        <f t="shared" si="6"/>
        <v>1719.174464839788</v>
      </c>
      <c r="F37" s="3">
        <f t="shared" si="7"/>
        <v>669944.94905074069</v>
      </c>
      <c r="G37" s="3">
        <f t="shared" si="8"/>
        <v>1407.1695163349727</v>
      </c>
      <c r="H37" s="3">
        <f t="shared" si="9"/>
        <v>848228.69449773256</v>
      </c>
      <c r="I37" s="3">
        <f t="shared" si="10"/>
        <v>27681404.50589668</v>
      </c>
      <c r="J37" s="3">
        <f t="shared" si="11"/>
        <v>1134.9136811476874</v>
      </c>
      <c r="K37" s="3">
        <f t="shared" si="12"/>
        <v>12806917.873734556</v>
      </c>
      <c r="L37" s="3">
        <f t="shared" si="13"/>
        <v>9553130.5359435193</v>
      </c>
      <c r="M37" s="3">
        <f t="shared" si="14"/>
        <v>999954.77644957544</v>
      </c>
      <c r="N37" s="3">
        <f t="shared" si="15"/>
        <v>23157745.053214218</v>
      </c>
      <c r="O37" s="3">
        <f t="shared" si="16"/>
        <v>75731639.268172085</v>
      </c>
      <c r="P37" s="7" t="s">
        <v>128</v>
      </c>
      <c r="Q37" s="2" t="s">
        <v>56</v>
      </c>
      <c r="R37" s="3">
        <f t="shared" si="28"/>
        <v>1517.5625982578399</v>
      </c>
      <c r="S37" s="3">
        <f t="shared" si="28"/>
        <v>8534.0591244789157</v>
      </c>
      <c r="T37" s="3">
        <f t="shared" si="28"/>
        <v>1719.174464839788</v>
      </c>
      <c r="U37" s="3">
        <f t="shared" si="28"/>
        <v>669944.94905074069</v>
      </c>
      <c r="V37" s="3">
        <f t="shared" si="28"/>
        <v>1407.1695163349727</v>
      </c>
      <c r="W37" s="3">
        <f t="shared" si="27"/>
        <v>848228.69449773256</v>
      </c>
      <c r="X37" s="3">
        <f t="shared" si="27"/>
        <v>27681404.50589668</v>
      </c>
      <c r="Y37" s="3">
        <f t="shared" si="27"/>
        <v>1134.9136811476874</v>
      </c>
      <c r="Z37" s="3">
        <f t="shared" si="27"/>
        <v>12806917.873734556</v>
      </c>
      <c r="AA37" s="3">
        <f t="shared" si="27"/>
        <v>9553130.5359435193</v>
      </c>
      <c r="AB37" s="3">
        <f t="shared" si="18"/>
        <v>51573939.438508287</v>
      </c>
      <c r="AC37" s="7" t="s">
        <v>128</v>
      </c>
      <c r="AD37" s="2" t="s">
        <v>56</v>
      </c>
      <c r="AE37" s="3">
        <f t="shared" si="19"/>
        <v>999954.77644957544</v>
      </c>
      <c r="AF37" s="3">
        <f t="shared" si="19"/>
        <v>23157745.053214218</v>
      </c>
      <c r="AG37" s="3">
        <f t="shared" si="20"/>
        <v>24157699.829663794</v>
      </c>
      <c r="AH37" s="7" t="s">
        <v>128</v>
      </c>
      <c r="AI37" s="2" t="s">
        <v>56</v>
      </c>
      <c r="AJ37" s="3">
        <f t="shared" si="21"/>
        <v>37648761.989895716</v>
      </c>
      <c r="AK37" s="3">
        <f t="shared" si="21"/>
        <v>12757393.182670336</v>
      </c>
      <c r="AL37" s="3">
        <f t="shared" si="21"/>
        <v>24477255.401108295</v>
      </c>
      <c r="AM37" s="3">
        <f t="shared" si="21"/>
        <v>848228.69449773256</v>
      </c>
      <c r="AN37" s="3">
        <f t="shared" si="22"/>
        <v>75731639.268172085</v>
      </c>
      <c r="AO37" s="7" t="s">
        <v>128</v>
      </c>
      <c r="AP37" s="2" t="s">
        <v>56</v>
      </c>
      <c r="AQ37" s="3">
        <f t="shared" si="23"/>
        <v>37104177.581963442</v>
      </c>
      <c r="AR37" s="3">
        <f t="shared" si="23"/>
        <v>12014184.718806172</v>
      </c>
      <c r="AS37" s="3">
        <f t="shared" si="23"/>
        <v>1607348.4432409401</v>
      </c>
      <c r="AT37" s="3">
        <f t="shared" si="23"/>
        <v>848228.69449773256</v>
      </c>
      <c r="AU37" s="3">
        <f t="shared" si="24"/>
        <v>51573939.438508287</v>
      </c>
      <c r="AV37" s="7" t="s">
        <v>128</v>
      </c>
      <c r="AW37" s="2" t="s">
        <v>56</v>
      </c>
      <c r="AX37" s="3">
        <f t="shared" si="25"/>
        <v>544584.40793227649</v>
      </c>
      <c r="AY37" s="3">
        <f t="shared" si="25"/>
        <v>743208.46386416408</v>
      </c>
      <c r="AZ37" s="3">
        <f t="shared" si="25"/>
        <v>22869906.957867354</v>
      </c>
      <c r="BA37" s="3">
        <f t="shared" si="25"/>
        <v>0</v>
      </c>
      <c r="BB37" s="3">
        <f t="shared" si="26"/>
        <v>24157699.829663794</v>
      </c>
      <c r="BC37" s="7" t="s">
        <v>128</v>
      </c>
      <c r="BD37" s="2" t="s">
        <v>56</v>
      </c>
      <c r="BE37" s="17">
        <v>1517.5625982578399</v>
      </c>
      <c r="BF37" s="17">
        <v>0</v>
      </c>
      <c r="BG37" s="17">
        <v>0</v>
      </c>
      <c r="BH37" s="17">
        <v>0</v>
      </c>
      <c r="BI37" s="17">
        <v>1517.5625982578399</v>
      </c>
      <c r="BJ37" s="7" t="s">
        <v>128</v>
      </c>
      <c r="BK37" s="2" t="s">
        <v>56</v>
      </c>
      <c r="BL37" s="3">
        <v>8534.0591244789157</v>
      </c>
      <c r="BM37" s="3">
        <v>0</v>
      </c>
      <c r="BN37" s="3">
        <v>0</v>
      </c>
      <c r="BO37" s="3">
        <v>0</v>
      </c>
      <c r="BP37" s="3">
        <v>8534.0591244789157</v>
      </c>
      <c r="BQ37" s="7" t="s">
        <v>128</v>
      </c>
      <c r="BR37" s="2" t="s">
        <v>56</v>
      </c>
      <c r="BS37" s="3">
        <v>1719.174464839788</v>
      </c>
      <c r="BT37" s="3">
        <v>0</v>
      </c>
      <c r="BU37" s="3">
        <v>0</v>
      </c>
      <c r="BV37" s="3">
        <v>0</v>
      </c>
      <c r="BW37" s="3">
        <v>1719.174464839788</v>
      </c>
      <c r="BX37" s="7" t="s">
        <v>128</v>
      </c>
      <c r="BY37" s="2" t="s">
        <v>56</v>
      </c>
      <c r="BZ37" s="3">
        <v>8532.9015329170179</v>
      </c>
      <c r="CA37" s="3">
        <v>657113.25432181696</v>
      </c>
      <c r="CB37" s="3">
        <v>4298.7931960066389</v>
      </c>
      <c r="CC37" s="3">
        <v>0</v>
      </c>
      <c r="CD37" s="3">
        <v>669944.94905074069</v>
      </c>
      <c r="CE37" s="7" t="s">
        <v>128</v>
      </c>
      <c r="CF37" s="2" t="s">
        <v>56</v>
      </c>
      <c r="CG37" s="3">
        <v>1407.1695163349727</v>
      </c>
      <c r="CH37" s="3">
        <v>0</v>
      </c>
      <c r="CI37" s="3">
        <v>0</v>
      </c>
      <c r="CJ37" s="3">
        <v>0</v>
      </c>
      <c r="CK37" s="3">
        <v>1407.1695163349727</v>
      </c>
      <c r="CL37" s="7" t="s">
        <v>128</v>
      </c>
      <c r="CM37" s="2" t="s">
        <v>56</v>
      </c>
      <c r="CN37" s="3">
        <v>0</v>
      </c>
      <c r="CO37" s="3">
        <v>0</v>
      </c>
      <c r="CP37" s="3">
        <v>0</v>
      </c>
      <c r="CQ37" s="3">
        <v>848228.69449773256</v>
      </c>
      <c r="CR37" s="3">
        <v>848228.69449773256</v>
      </c>
      <c r="CS37" s="7" t="s">
        <v>128</v>
      </c>
      <c r="CT37" s="2" t="s">
        <v>56</v>
      </c>
      <c r="CU37" s="3">
        <v>27426778.811922893</v>
      </c>
      <c r="CV37" s="3">
        <v>242114.94626732735</v>
      </c>
      <c r="CW37" s="3">
        <v>12510.747706456234</v>
      </c>
      <c r="CX37" s="3">
        <v>0</v>
      </c>
      <c r="CY37" s="3">
        <v>27681404.50589668</v>
      </c>
      <c r="CZ37" s="7" t="s">
        <v>128</v>
      </c>
      <c r="DA37" s="2" t="s">
        <v>56</v>
      </c>
      <c r="DB37" s="3">
        <v>9516651.0925133899</v>
      </c>
      <c r="DC37" s="3">
        <v>1699727.8788826896</v>
      </c>
      <c r="DD37" s="3">
        <v>1590538.9023384773</v>
      </c>
      <c r="DE37" s="3">
        <v>0</v>
      </c>
      <c r="DF37" s="3">
        <v>12806917.873734556</v>
      </c>
      <c r="DG37" s="7" t="s">
        <v>128</v>
      </c>
      <c r="DH37" s="2" t="s">
        <v>56</v>
      </c>
      <c r="DI37" s="3">
        <v>1134.9136811476874</v>
      </c>
      <c r="DJ37" s="3">
        <v>0</v>
      </c>
      <c r="DK37" s="3">
        <v>0</v>
      </c>
      <c r="DL37" s="3">
        <v>0</v>
      </c>
      <c r="DM37" s="3">
        <v>1134.9136811476874</v>
      </c>
      <c r="DN37" s="7" t="s">
        <v>128</v>
      </c>
      <c r="DO37" s="2" t="s">
        <v>56</v>
      </c>
      <c r="DP37" s="3">
        <v>137901.89660918241</v>
      </c>
      <c r="DQ37" s="3">
        <v>9415228.6393343378</v>
      </c>
      <c r="DR37" s="3">
        <v>0</v>
      </c>
      <c r="DS37" s="3">
        <v>0</v>
      </c>
      <c r="DT37" s="3">
        <v>9553130.5359435193</v>
      </c>
      <c r="DU37" s="7" t="s">
        <v>128</v>
      </c>
      <c r="DV37" s="2" t="s">
        <v>56</v>
      </c>
      <c r="DW37" s="3">
        <v>21227.677975893093</v>
      </c>
      <c r="DX37" s="3">
        <v>266610.41737097199</v>
      </c>
      <c r="DY37" s="3">
        <v>22869906.957867354</v>
      </c>
      <c r="DZ37" s="3">
        <v>0</v>
      </c>
      <c r="EA37" s="3">
        <v>23157745.053214218</v>
      </c>
      <c r="EB37" s="7" t="s">
        <v>128</v>
      </c>
      <c r="EC37" s="2" t="s">
        <v>56</v>
      </c>
      <c r="ED37" s="3">
        <v>523356.72995638335</v>
      </c>
      <c r="EE37" s="3">
        <v>476598.04649319209</v>
      </c>
      <c r="EF37" s="3">
        <v>0</v>
      </c>
      <c r="EG37" s="3">
        <v>0</v>
      </c>
      <c r="EH37" s="3">
        <v>999954.77644957544</v>
      </c>
    </row>
    <row r="38" spans="1:138" ht="10.199999999999999" customHeight="1" x14ac:dyDescent="0.25">
      <c r="A38" s="7" t="s">
        <v>127</v>
      </c>
      <c r="B38" s="2" t="s">
        <v>55</v>
      </c>
      <c r="C38" s="3">
        <f t="shared" si="4"/>
        <v>0</v>
      </c>
      <c r="D38" s="3">
        <f t="shared" si="5"/>
        <v>0</v>
      </c>
      <c r="E38" s="3">
        <f t="shared" si="6"/>
        <v>0</v>
      </c>
      <c r="F38" s="3">
        <f t="shared" si="7"/>
        <v>54469.99295673392</v>
      </c>
      <c r="G38" s="3">
        <f t="shared" si="8"/>
        <v>0</v>
      </c>
      <c r="H38" s="3">
        <f t="shared" si="9"/>
        <v>0</v>
      </c>
      <c r="I38" s="3">
        <f t="shared" si="10"/>
        <v>53544.43634016937</v>
      </c>
      <c r="J38" s="3">
        <f t="shared" si="11"/>
        <v>0</v>
      </c>
      <c r="K38" s="3">
        <f t="shared" si="12"/>
        <v>0</v>
      </c>
      <c r="L38" s="3">
        <f t="shared" si="13"/>
        <v>21307.488615355869</v>
      </c>
      <c r="M38" s="3">
        <f t="shared" si="14"/>
        <v>109539.0562439971</v>
      </c>
      <c r="N38" s="3">
        <f t="shared" si="15"/>
        <v>0</v>
      </c>
      <c r="O38" s="3">
        <f t="shared" si="16"/>
        <v>238860.97415625624</v>
      </c>
      <c r="P38" s="7" t="s">
        <v>127</v>
      </c>
      <c r="Q38" s="2" t="s">
        <v>55</v>
      </c>
      <c r="R38" s="3">
        <f t="shared" si="28"/>
        <v>0</v>
      </c>
      <c r="S38" s="3">
        <f t="shared" si="28"/>
        <v>0</v>
      </c>
      <c r="T38" s="3">
        <f t="shared" si="28"/>
        <v>0</v>
      </c>
      <c r="U38" s="3">
        <f t="shared" si="28"/>
        <v>54469.99295673392</v>
      </c>
      <c r="V38" s="3">
        <f t="shared" si="28"/>
        <v>0</v>
      </c>
      <c r="W38" s="3">
        <f t="shared" si="27"/>
        <v>0</v>
      </c>
      <c r="X38" s="3">
        <f t="shared" si="27"/>
        <v>53544.43634016937</v>
      </c>
      <c r="Y38" s="3">
        <f t="shared" si="27"/>
        <v>0</v>
      </c>
      <c r="Z38" s="3">
        <f t="shared" si="27"/>
        <v>0</v>
      </c>
      <c r="AA38" s="3">
        <f t="shared" si="27"/>
        <v>21307.488615355869</v>
      </c>
      <c r="AB38" s="3">
        <f t="shared" si="18"/>
        <v>129321.91791225914</v>
      </c>
      <c r="AC38" s="7" t="s">
        <v>127</v>
      </c>
      <c r="AD38" s="2" t="s">
        <v>55</v>
      </c>
      <c r="AE38" s="3">
        <f t="shared" si="19"/>
        <v>109539.0562439971</v>
      </c>
      <c r="AF38" s="3">
        <f t="shared" si="19"/>
        <v>0</v>
      </c>
      <c r="AG38" s="3">
        <f t="shared" si="20"/>
        <v>109539.0562439971</v>
      </c>
      <c r="AH38" s="7" t="s">
        <v>127</v>
      </c>
      <c r="AI38" s="2" t="s">
        <v>55</v>
      </c>
      <c r="AJ38" s="3">
        <f t="shared" si="21"/>
        <v>183688.81267145078</v>
      </c>
      <c r="AK38" s="3">
        <f t="shared" si="21"/>
        <v>55172.161484805452</v>
      </c>
      <c r="AL38" s="3">
        <f t="shared" si="21"/>
        <v>0</v>
      </c>
      <c r="AM38" s="3">
        <f t="shared" si="21"/>
        <v>0</v>
      </c>
      <c r="AN38" s="3">
        <f t="shared" si="22"/>
        <v>238860.97415625624</v>
      </c>
      <c r="AO38" s="7" t="s">
        <v>127</v>
      </c>
      <c r="AP38" s="2" t="s">
        <v>55</v>
      </c>
      <c r="AQ38" s="3">
        <f t="shared" si="23"/>
        <v>74149.7564274537</v>
      </c>
      <c r="AR38" s="3">
        <f t="shared" si="23"/>
        <v>55172.161484805452</v>
      </c>
      <c r="AS38" s="3">
        <f t="shared" si="23"/>
        <v>0</v>
      </c>
      <c r="AT38" s="3">
        <f t="shared" si="23"/>
        <v>0</v>
      </c>
      <c r="AU38" s="3">
        <f t="shared" si="24"/>
        <v>129321.91791225914</v>
      </c>
      <c r="AV38" s="7" t="s">
        <v>127</v>
      </c>
      <c r="AW38" s="2" t="s">
        <v>55</v>
      </c>
      <c r="AX38" s="3">
        <f t="shared" si="25"/>
        <v>109539.0562439971</v>
      </c>
      <c r="AY38" s="3">
        <f t="shared" si="25"/>
        <v>0</v>
      </c>
      <c r="AZ38" s="3">
        <f t="shared" si="25"/>
        <v>0</v>
      </c>
      <c r="BA38" s="3">
        <f t="shared" si="25"/>
        <v>0</v>
      </c>
      <c r="BB38" s="3">
        <f t="shared" si="26"/>
        <v>109539.0562439971</v>
      </c>
      <c r="BC38" s="7" t="s">
        <v>127</v>
      </c>
      <c r="BD38" s="2" t="s">
        <v>55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7" t="s">
        <v>127</v>
      </c>
      <c r="BK38" s="2" t="s">
        <v>55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7" t="s">
        <v>127</v>
      </c>
      <c r="BR38" s="2" t="s">
        <v>55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7" t="s">
        <v>127</v>
      </c>
      <c r="BY38" s="2" t="s">
        <v>55</v>
      </c>
      <c r="BZ38" s="3">
        <v>54469.99295673392</v>
      </c>
      <c r="CA38" s="3">
        <v>0</v>
      </c>
      <c r="CB38" s="3">
        <v>0</v>
      </c>
      <c r="CC38" s="3">
        <v>0</v>
      </c>
      <c r="CD38" s="3">
        <v>54469.99295673392</v>
      </c>
      <c r="CE38" s="7" t="s">
        <v>127</v>
      </c>
      <c r="CF38" s="2" t="s">
        <v>55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7" t="s">
        <v>127</v>
      </c>
      <c r="CM38" s="2" t="s">
        <v>55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7" t="s">
        <v>127</v>
      </c>
      <c r="CT38" s="2" t="s">
        <v>55</v>
      </c>
      <c r="CU38" s="3">
        <v>0</v>
      </c>
      <c r="CV38" s="3">
        <v>53544.43634016937</v>
      </c>
      <c r="CW38" s="3">
        <v>0</v>
      </c>
      <c r="CX38" s="3">
        <v>0</v>
      </c>
      <c r="CY38" s="3">
        <v>53544.43634016937</v>
      </c>
      <c r="CZ38" s="7" t="s">
        <v>127</v>
      </c>
      <c r="DA38" s="2" t="s">
        <v>55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7" t="s">
        <v>127</v>
      </c>
      <c r="DH38" s="2" t="s">
        <v>55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7" t="s">
        <v>127</v>
      </c>
      <c r="DO38" s="2" t="s">
        <v>55</v>
      </c>
      <c r="DP38" s="3">
        <v>19679.763470719783</v>
      </c>
      <c r="DQ38" s="3">
        <v>1627.7251446360854</v>
      </c>
      <c r="DR38" s="3">
        <v>0</v>
      </c>
      <c r="DS38" s="3">
        <v>0</v>
      </c>
      <c r="DT38" s="3">
        <v>21307.488615355869</v>
      </c>
      <c r="DU38" s="7" t="s">
        <v>127</v>
      </c>
      <c r="DV38" s="2" t="s">
        <v>55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7" t="s">
        <v>127</v>
      </c>
      <c r="EC38" s="2" t="s">
        <v>55</v>
      </c>
      <c r="ED38" s="3">
        <v>109539.0562439971</v>
      </c>
      <c r="EE38" s="3">
        <v>0</v>
      </c>
      <c r="EF38" s="3">
        <v>0</v>
      </c>
      <c r="EG38" s="3">
        <v>0</v>
      </c>
      <c r="EH38" s="3">
        <v>109539.0562439971</v>
      </c>
    </row>
    <row r="39" spans="1:138" ht="10.199999999999999" customHeight="1" x14ac:dyDescent="0.25">
      <c r="A39" s="7" t="s">
        <v>125</v>
      </c>
      <c r="B39" s="2" t="s">
        <v>53</v>
      </c>
      <c r="C39" s="3">
        <f t="shared" si="4"/>
        <v>0</v>
      </c>
      <c r="D39" s="3">
        <f t="shared" si="5"/>
        <v>20311.942109355681</v>
      </c>
      <c r="E39" s="3">
        <f t="shared" si="6"/>
        <v>0</v>
      </c>
      <c r="F39" s="3">
        <f t="shared" si="7"/>
        <v>308223.00269549876</v>
      </c>
      <c r="G39" s="3">
        <f t="shared" si="8"/>
        <v>747076.1068394857</v>
      </c>
      <c r="H39" s="3">
        <f t="shared" si="9"/>
        <v>0</v>
      </c>
      <c r="I39" s="3">
        <f t="shared" si="10"/>
        <v>0</v>
      </c>
      <c r="J39" s="3">
        <f t="shared" si="11"/>
        <v>0</v>
      </c>
      <c r="K39" s="3">
        <f t="shared" si="12"/>
        <v>640.06856271257357</v>
      </c>
      <c r="L39" s="3">
        <f t="shared" si="13"/>
        <v>1394.9063944310274</v>
      </c>
      <c r="M39" s="3">
        <f t="shared" si="14"/>
        <v>253536.27592504246</v>
      </c>
      <c r="N39" s="3">
        <f t="shared" si="15"/>
        <v>62924.049222185939</v>
      </c>
      <c r="O39" s="3">
        <f t="shared" si="16"/>
        <v>1394106.3517487121</v>
      </c>
      <c r="P39" s="7" t="s">
        <v>125</v>
      </c>
      <c r="Q39" s="2" t="s">
        <v>53</v>
      </c>
      <c r="R39" s="3">
        <f t="shared" si="28"/>
        <v>0</v>
      </c>
      <c r="S39" s="3">
        <f t="shared" si="28"/>
        <v>20311.942109355681</v>
      </c>
      <c r="T39" s="3">
        <f t="shared" si="28"/>
        <v>0</v>
      </c>
      <c r="U39" s="3">
        <f t="shared" si="28"/>
        <v>308223.00269549876</v>
      </c>
      <c r="V39" s="3">
        <f t="shared" si="28"/>
        <v>747076.1068394857</v>
      </c>
      <c r="W39" s="3">
        <f t="shared" si="27"/>
        <v>0</v>
      </c>
      <c r="X39" s="3">
        <f t="shared" si="27"/>
        <v>0</v>
      </c>
      <c r="Y39" s="3">
        <f t="shared" si="27"/>
        <v>0</v>
      </c>
      <c r="Z39" s="3">
        <f t="shared" si="27"/>
        <v>640.06856271257357</v>
      </c>
      <c r="AA39" s="3">
        <f t="shared" si="27"/>
        <v>1394.9063944310274</v>
      </c>
      <c r="AB39" s="3">
        <f t="shared" si="18"/>
        <v>1077646.0266014838</v>
      </c>
      <c r="AC39" s="7" t="s">
        <v>125</v>
      </c>
      <c r="AD39" s="2" t="s">
        <v>53</v>
      </c>
      <c r="AE39" s="3">
        <f t="shared" si="19"/>
        <v>253536.27592504246</v>
      </c>
      <c r="AF39" s="3">
        <f t="shared" si="19"/>
        <v>62924.049222185939</v>
      </c>
      <c r="AG39" s="3">
        <f t="shared" si="20"/>
        <v>316460.32514722837</v>
      </c>
      <c r="AH39" s="7" t="s">
        <v>125</v>
      </c>
      <c r="AI39" s="2" t="s">
        <v>53</v>
      </c>
      <c r="AJ39" s="3">
        <f t="shared" si="21"/>
        <v>629405.8521423284</v>
      </c>
      <c r="AK39" s="3">
        <f t="shared" si="21"/>
        <v>764700.49960638373</v>
      </c>
      <c r="AL39" s="3">
        <f t="shared" si="21"/>
        <v>0</v>
      </c>
      <c r="AM39" s="3">
        <f t="shared" si="21"/>
        <v>0</v>
      </c>
      <c r="AN39" s="3">
        <f t="shared" si="22"/>
        <v>1394106.3517487121</v>
      </c>
      <c r="AO39" s="7" t="s">
        <v>125</v>
      </c>
      <c r="AP39" s="2" t="s">
        <v>53</v>
      </c>
      <c r="AQ39" s="3">
        <f t="shared" si="23"/>
        <v>414603.65773775737</v>
      </c>
      <c r="AR39" s="3">
        <f t="shared" si="23"/>
        <v>663042.36886372638</v>
      </c>
      <c r="AS39" s="3">
        <f t="shared" si="23"/>
        <v>0</v>
      </c>
      <c r="AT39" s="3">
        <f t="shared" si="23"/>
        <v>0</v>
      </c>
      <c r="AU39" s="3">
        <f t="shared" si="24"/>
        <v>1077646.0266014838</v>
      </c>
      <c r="AV39" s="7" t="s">
        <v>125</v>
      </c>
      <c r="AW39" s="2" t="s">
        <v>53</v>
      </c>
      <c r="AX39" s="3">
        <f t="shared" si="25"/>
        <v>214802.19440457103</v>
      </c>
      <c r="AY39" s="3">
        <f t="shared" si="25"/>
        <v>101658.13074265739</v>
      </c>
      <c r="AZ39" s="3">
        <f t="shared" si="25"/>
        <v>0</v>
      </c>
      <c r="BA39" s="3">
        <f t="shared" si="25"/>
        <v>0</v>
      </c>
      <c r="BB39" s="3">
        <f t="shared" si="26"/>
        <v>316460.32514722843</v>
      </c>
      <c r="BC39" s="7" t="s">
        <v>125</v>
      </c>
      <c r="BD39" s="2" t="s">
        <v>53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7" t="s">
        <v>125</v>
      </c>
      <c r="BK39" s="2" t="s">
        <v>53</v>
      </c>
      <c r="BL39" s="3">
        <v>20223.412506903267</v>
      </c>
      <c r="BM39" s="3">
        <v>88.52960245241394</v>
      </c>
      <c r="BN39" s="3">
        <v>0</v>
      </c>
      <c r="BO39" s="3">
        <v>0</v>
      </c>
      <c r="BP39" s="3">
        <v>20311.942109355681</v>
      </c>
      <c r="BQ39" s="7" t="s">
        <v>125</v>
      </c>
      <c r="BR39" s="2" t="s">
        <v>53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7" t="s">
        <v>125</v>
      </c>
      <c r="BY39" s="2" t="s">
        <v>53</v>
      </c>
      <c r="BZ39" s="3">
        <v>308223.00269549876</v>
      </c>
      <c r="CA39" s="3">
        <v>0</v>
      </c>
      <c r="CB39" s="3">
        <v>0</v>
      </c>
      <c r="CC39" s="3">
        <v>0</v>
      </c>
      <c r="CD39" s="3">
        <v>308223.00269549876</v>
      </c>
      <c r="CE39" s="7" t="s">
        <v>125</v>
      </c>
      <c r="CF39" s="2" t="s">
        <v>53</v>
      </c>
      <c r="CG39" s="3">
        <v>84122.267578211715</v>
      </c>
      <c r="CH39" s="3">
        <v>662953.83926127397</v>
      </c>
      <c r="CI39" s="3">
        <v>0</v>
      </c>
      <c r="CJ39" s="3">
        <v>0</v>
      </c>
      <c r="CK39" s="3">
        <v>747076.1068394857</v>
      </c>
      <c r="CL39" s="7" t="s">
        <v>125</v>
      </c>
      <c r="CM39" s="2" t="s">
        <v>53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7" t="s">
        <v>125</v>
      </c>
      <c r="CT39" s="2" t="s">
        <v>53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7" t="s">
        <v>125</v>
      </c>
      <c r="DA39" s="2" t="s">
        <v>53</v>
      </c>
      <c r="DB39" s="3">
        <v>640.06856271257357</v>
      </c>
      <c r="DC39" s="3">
        <v>0</v>
      </c>
      <c r="DD39" s="3">
        <v>0</v>
      </c>
      <c r="DE39" s="3">
        <v>0</v>
      </c>
      <c r="DF39" s="3">
        <v>640.06856271257357</v>
      </c>
      <c r="DG39" s="7" t="s">
        <v>125</v>
      </c>
      <c r="DH39" s="2" t="s">
        <v>53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7" t="s">
        <v>125</v>
      </c>
      <c r="DO39" s="2" t="s">
        <v>53</v>
      </c>
      <c r="DP39" s="3">
        <v>1394.9063944310274</v>
      </c>
      <c r="DQ39" s="3">
        <v>0</v>
      </c>
      <c r="DR39" s="3">
        <v>0</v>
      </c>
      <c r="DS39" s="3">
        <v>0</v>
      </c>
      <c r="DT39" s="3">
        <v>1394.9063944310274</v>
      </c>
      <c r="DU39" s="7" t="s">
        <v>125</v>
      </c>
      <c r="DV39" s="2" t="s">
        <v>53</v>
      </c>
      <c r="DW39" s="3">
        <v>6535.314840269617</v>
      </c>
      <c r="DX39" s="3">
        <v>56388.734381916322</v>
      </c>
      <c r="DY39" s="3">
        <v>0</v>
      </c>
      <c r="DZ39" s="3">
        <v>0</v>
      </c>
      <c r="EA39" s="3">
        <v>62924.049222185939</v>
      </c>
      <c r="EB39" s="7" t="s">
        <v>125</v>
      </c>
      <c r="EC39" s="2" t="s">
        <v>53</v>
      </c>
      <c r="ED39" s="3">
        <v>208266.8795643014</v>
      </c>
      <c r="EE39" s="3">
        <v>45269.39636074107</v>
      </c>
      <c r="EF39" s="3">
        <v>0</v>
      </c>
      <c r="EG39" s="3">
        <v>0</v>
      </c>
      <c r="EH39" s="3">
        <v>253536.27592504246</v>
      </c>
    </row>
    <row r="40" spans="1:138" ht="10.199999999999999" customHeight="1" x14ac:dyDescent="0.25">
      <c r="A40" s="7" t="s">
        <v>130</v>
      </c>
      <c r="B40" s="2" t="s">
        <v>58</v>
      </c>
      <c r="C40" s="3">
        <f t="shared" si="4"/>
        <v>0</v>
      </c>
      <c r="D40" s="3">
        <f t="shared" si="5"/>
        <v>1402006.9188479499</v>
      </c>
      <c r="E40" s="3">
        <f t="shared" si="6"/>
        <v>10602.858681221656</v>
      </c>
      <c r="F40" s="3">
        <f t="shared" si="7"/>
        <v>6.8099694194164568</v>
      </c>
      <c r="G40" s="3">
        <f t="shared" si="8"/>
        <v>417.02492354854115</v>
      </c>
      <c r="H40" s="3">
        <f t="shared" si="9"/>
        <v>0</v>
      </c>
      <c r="I40" s="3">
        <f t="shared" si="10"/>
        <v>429278.07916344795</v>
      </c>
      <c r="J40" s="3">
        <f t="shared" si="11"/>
        <v>0</v>
      </c>
      <c r="K40" s="3">
        <f t="shared" si="12"/>
        <v>10592.904381623359</v>
      </c>
      <c r="L40" s="3">
        <f t="shared" si="13"/>
        <v>213125915.49042386</v>
      </c>
      <c r="M40" s="3">
        <f t="shared" si="14"/>
        <v>1248830.0358630572</v>
      </c>
      <c r="N40" s="3">
        <f t="shared" si="15"/>
        <v>184568911.47324178</v>
      </c>
      <c r="O40" s="3">
        <f t="shared" si="16"/>
        <v>400796561.59549594</v>
      </c>
      <c r="P40" s="7" t="s">
        <v>130</v>
      </c>
      <c r="Q40" s="2" t="s">
        <v>58</v>
      </c>
      <c r="R40" s="3">
        <f t="shared" si="28"/>
        <v>0</v>
      </c>
      <c r="S40" s="3">
        <f t="shared" si="28"/>
        <v>1402006.9188479499</v>
      </c>
      <c r="T40" s="3">
        <f t="shared" si="28"/>
        <v>10602.858681221656</v>
      </c>
      <c r="U40" s="3">
        <f t="shared" si="28"/>
        <v>6.8099694194164568</v>
      </c>
      <c r="V40" s="3">
        <f t="shared" si="28"/>
        <v>417.02492354854115</v>
      </c>
      <c r="W40" s="3">
        <f t="shared" si="27"/>
        <v>0</v>
      </c>
      <c r="X40" s="3">
        <f t="shared" si="27"/>
        <v>429278.07916344795</v>
      </c>
      <c r="Y40" s="3">
        <f t="shared" si="27"/>
        <v>0</v>
      </c>
      <c r="Z40" s="3">
        <f t="shared" si="27"/>
        <v>10592.904381623359</v>
      </c>
      <c r="AA40" s="3">
        <f t="shared" si="27"/>
        <v>213125915.49042386</v>
      </c>
      <c r="AB40" s="3">
        <f t="shared" si="18"/>
        <v>214978820.08639106</v>
      </c>
      <c r="AC40" s="7" t="s">
        <v>130</v>
      </c>
      <c r="AD40" s="2" t="s">
        <v>58</v>
      </c>
      <c r="AE40" s="3">
        <f t="shared" si="19"/>
        <v>1248830.0358630572</v>
      </c>
      <c r="AF40" s="3">
        <f t="shared" si="19"/>
        <v>184568911.47324178</v>
      </c>
      <c r="AG40" s="3">
        <f t="shared" si="20"/>
        <v>185817741.50910485</v>
      </c>
      <c r="AH40" s="7" t="s">
        <v>130</v>
      </c>
      <c r="AI40" s="2" t="s">
        <v>58</v>
      </c>
      <c r="AJ40" s="3">
        <f t="shared" si="21"/>
        <v>428117.8063886562</v>
      </c>
      <c r="AK40" s="3">
        <f t="shared" si="21"/>
        <v>2702971.1942615951</v>
      </c>
      <c r="AL40" s="3">
        <f t="shared" si="21"/>
        <v>2401503.8175834706</v>
      </c>
      <c r="AM40" s="3">
        <f t="shared" si="21"/>
        <v>395263968.77726221</v>
      </c>
      <c r="AN40" s="3">
        <f t="shared" si="22"/>
        <v>400796561.59549594</v>
      </c>
      <c r="AO40" s="7" t="s">
        <v>130</v>
      </c>
      <c r="AP40" s="2" t="s">
        <v>58</v>
      </c>
      <c r="AQ40" s="3">
        <f t="shared" si="23"/>
        <v>26760.870701947468</v>
      </c>
      <c r="AR40" s="3">
        <f t="shared" si="23"/>
        <v>1823996.8644525826</v>
      </c>
      <c r="AS40" s="3">
        <f t="shared" si="23"/>
        <v>0</v>
      </c>
      <c r="AT40" s="3">
        <f t="shared" si="23"/>
        <v>213128062.35123655</v>
      </c>
      <c r="AU40" s="3">
        <f t="shared" si="24"/>
        <v>214978820.08639109</v>
      </c>
      <c r="AV40" s="7" t="s">
        <v>130</v>
      </c>
      <c r="AW40" s="2" t="s">
        <v>58</v>
      </c>
      <c r="AX40" s="3">
        <f t="shared" si="25"/>
        <v>401356.93568670872</v>
      </c>
      <c r="AY40" s="3">
        <f t="shared" si="25"/>
        <v>878974.32980901271</v>
      </c>
      <c r="AZ40" s="3">
        <f t="shared" si="25"/>
        <v>2401503.8175834706</v>
      </c>
      <c r="BA40" s="3">
        <f t="shared" si="25"/>
        <v>182135906.42602563</v>
      </c>
      <c r="BB40" s="3">
        <f t="shared" si="26"/>
        <v>185817741.50910482</v>
      </c>
      <c r="BC40" s="7" t="s">
        <v>130</v>
      </c>
      <c r="BD40" s="2" t="s">
        <v>58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7" t="s">
        <v>130</v>
      </c>
      <c r="BK40" s="2" t="s">
        <v>58</v>
      </c>
      <c r="BL40" s="3">
        <v>1000.8598165164988</v>
      </c>
      <c r="BM40" s="3">
        <v>1401006.0590314334</v>
      </c>
      <c r="BN40" s="3">
        <v>0</v>
      </c>
      <c r="BO40" s="3">
        <v>0</v>
      </c>
      <c r="BP40" s="3">
        <v>1402006.9188479499</v>
      </c>
      <c r="BQ40" s="7" t="s">
        <v>130</v>
      </c>
      <c r="BR40" s="2" t="s">
        <v>58</v>
      </c>
      <c r="BS40" s="3">
        <v>0</v>
      </c>
      <c r="BT40" s="3">
        <v>0</v>
      </c>
      <c r="BU40" s="3">
        <v>0</v>
      </c>
      <c r="BV40" s="3">
        <v>10602.858681221656</v>
      </c>
      <c r="BW40" s="3">
        <v>10602.858681221656</v>
      </c>
      <c r="BX40" s="7" t="s">
        <v>130</v>
      </c>
      <c r="BY40" s="2" t="s">
        <v>58</v>
      </c>
      <c r="BZ40" s="3">
        <v>6.8099694194164568</v>
      </c>
      <c r="CA40" s="3">
        <v>0</v>
      </c>
      <c r="CB40" s="3">
        <v>0</v>
      </c>
      <c r="CC40" s="3">
        <v>0</v>
      </c>
      <c r="CD40" s="3">
        <v>6.8099694194164568</v>
      </c>
      <c r="CE40" s="7" t="s">
        <v>130</v>
      </c>
      <c r="CF40" s="2" t="s">
        <v>58</v>
      </c>
      <c r="CG40" s="3">
        <v>417.02492354854115</v>
      </c>
      <c r="CH40" s="3">
        <v>0</v>
      </c>
      <c r="CI40" s="3">
        <v>0</v>
      </c>
      <c r="CJ40" s="3">
        <v>0</v>
      </c>
      <c r="CK40" s="3">
        <v>417.02492354854115</v>
      </c>
      <c r="CL40" s="7" t="s">
        <v>130</v>
      </c>
      <c r="CM40" s="2" t="s">
        <v>58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7" t="s">
        <v>130</v>
      </c>
      <c r="CT40" s="2" t="s">
        <v>58</v>
      </c>
      <c r="CU40" s="3">
        <v>16598.160265340641</v>
      </c>
      <c r="CV40" s="3">
        <v>412679.91889810731</v>
      </c>
      <c r="CW40" s="3">
        <v>0</v>
      </c>
      <c r="CX40" s="3">
        <v>0</v>
      </c>
      <c r="CY40" s="3">
        <v>429278.07916344795</v>
      </c>
      <c r="CZ40" s="7" t="s">
        <v>130</v>
      </c>
      <c r="DA40" s="2" t="s">
        <v>58</v>
      </c>
      <c r="DB40" s="3">
        <v>282.01785858158405</v>
      </c>
      <c r="DC40" s="3">
        <v>10310.886523041774</v>
      </c>
      <c r="DD40" s="3">
        <v>0</v>
      </c>
      <c r="DE40" s="3">
        <v>0</v>
      </c>
      <c r="DF40" s="3">
        <v>10592.904381623359</v>
      </c>
      <c r="DG40" s="7" t="s">
        <v>130</v>
      </c>
      <c r="DH40" s="2" t="s">
        <v>58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7" t="s">
        <v>130</v>
      </c>
      <c r="DO40" s="2" t="s">
        <v>58</v>
      </c>
      <c r="DP40" s="3">
        <v>8455.9978685407859</v>
      </c>
      <c r="DQ40" s="3">
        <v>0</v>
      </c>
      <c r="DR40" s="3">
        <v>0</v>
      </c>
      <c r="DS40" s="3">
        <v>213117459.49255532</v>
      </c>
      <c r="DT40" s="3">
        <v>213125915.49042386</v>
      </c>
      <c r="DU40" s="7" t="s">
        <v>130</v>
      </c>
      <c r="DV40" s="2" t="s">
        <v>58</v>
      </c>
      <c r="DW40" s="3">
        <v>31548.899418600173</v>
      </c>
      <c r="DX40" s="3">
        <v>0</v>
      </c>
      <c r="DY40" s="3">
        <v>2401456.1477975347</v>
      </c>
      <c r="DZ40" s="3">
        <v>182135906.42602563</v>
      </c>
      <c r="EA40" s="3">
        <v>184568911.47324178</v>
      </c>
      <c r="EB40" s="7" t="s">
        <v>130</v>
      </c>
      <c r="EC40" s="2" t="s">
        <v>58</v>
      </c>
      <c r="ED40" s="3">
        <v>369808.03626810852</v>
      </c>
      <c r="EE40" s="3">
        <v>878974.32980901271</v>
      </c>
      <c r="EF40" s="3">
        <v>47.669785935915201</v>
      </c>
      <c r="EG40" s="3">
        <v>0</v>
      </c>
      <c r="EH40" s="3">
        <v>1248830.0358630572</v>
      </c>
    </row>
    <row r="41" spans="1:138" ht="10.199999999999999" customHeight="1" x14ac:dyDescent="0.25">
      <c r="A41" s="7" t="s">
        <v>122</v>
      </c>
      <c r="B41" s="2" t="s">
        <v>50</v>
      </c>
      <c r="C41" s="3">
        <f t="shared" si="4"/>
        <v>0</v>
      </c>
      <c r="D41" s="3">
        <f t="shared" si="5"/>
        <v>2442.9576575123824</v>
      </c>
      <c r="E41" s="3">
        <f t="shared" si="6"/>
        <v>0</v>
      </c>
      <c r="F41" s="3">
        <f t="shared" si="7"/>
        <v>1205.887329067436</v>
      </c>
      <c r="G41" s="3">
        <f t="shared" si="8"/>
        <v>151.8199053081463</v>
      </c>
      <c r="H41" s="3">
        <f t="shared" si="9"/>
        <v>0</v>
      </c>
      <c r="I41" s="3">
        <f t="shared" si="10"/>
        <v>0</v>
      </c>
      <c r="J41" s="3">
        <f t="shared" si="11"/>
        <v>0</v>
      </c>
      <c r="K41" s="3">
        <f t="shared" si="12"/>
        <v>104.73555526572613</v>
      </c>
      <c r="L41" s="3">
        <f t="shared" si="13"/>
        <v>8947.7003875852461</v>
      </c>
      <c r="M41" s="3">
        <f t="shared" si="14"/>
        <v>253276.11309635217</v>
      </c>
      <c r="N41" s="3">
        <f t="shared" si="15"/>
        <v>0</v>
      </c>
      <c r="O41" s="3">
        <f t="shared" si="16"/>
        <v>266129.21393109113</v>
      </c>
      <c r="P41" s="7" t="s">
        <v>122</v>
      </c>
      <c r="Q41" s="2" t="s">
        <v>50</v>
      </c>
      <c r="R41" s="3">
        <f t="shared" si="28"/>
        <v>0</v>
      </c>
      <c r="S41" s="3">
        <f t="shared" si="28"/>
        <v>2442.9576575123824</v>
      </c>
      <c r="T41" s="3">
        <f t="shared" si="28"/>
        <v>0</v>
      </c>
      <c r="U41" s="3">
        <f t="shared" si="28"/>
        <v>1205.887329067436</v>
      </c>
      <c r="V41" s="3">
        <f t="shared" si="28"/>
        <v>151.8199053081463</v>
      </c>
      <c r="W41" s="3">
        <f t="shared" si="27"/>
        <v>0</v>
      </c>
      <c r="X41" s="3">
        <f t="shared" si="27"/>
        <v>0</v>
      </c>
      <c r="Y41" s="3">
        <f t="shared" si="27"/>
        <v>0</v>
      </c>
      <c r="Z41" s="3">
        <f t="shared" si="27"/>
        <v>104.73555526572613</v>
      </c>
      <c r="AA41" s="3">
        <f t="shared" si="27"/>
        <v>8947.7003875852461</v>
      </c>
      <c r="AB41" s="3">
        <f t="shared" si="18"/>
        <v>12853.100834738936</v>
      </c>
      <c r="AC41" s="7" t="s">
        <v>122</v>
      </c>
      <c r="AD41" s="2" t="s">
        <v>50</v>
      </c>
      <c r="AE41" s="3">
        <f t="shared" si="19"/>
        <v>253276.11309635217</v>
      </c>
      <c r="AF41" s="3">
        <f t="shared" si="19"/>
        <v>0</v>
      </c>
      <c r="AG41" s="3">
        <f t="shared" si="20"/>
        <v>253276.11309635217</v>
      </c>
      <c r="AH41" s="7" t="s">
        <v>122</v>
      </c>
      <c r="AI41" s="2" t="s">
        <v>50</v>
      </c>
      <c r="AJ41" s="3">
        <f t="shared" si="21"/>
        <v>34971.326177937801</v>
      </c>
      <c r="AK41" s="3">
        <f t="shared" si="21"/>
        <v>231157.88775315331</v>
      </c>
      <c r="AL41" s="3">
        <f t="shared" si="21"/>
        <v>0</v>
      </c>
      <c r="AM41" s="3">
        <f t="shared" si="21"/>
        <v>0</v>
      </c>
      <c r="AN41" s="3">
        <f t="shared" si="22"/>
        <v>266129.21393109113</v>
      </c>
      <c r="AO41" s="7" t="s">
        <v>122</v>
      </c>
      <c r="AP41" s="2" t="s">
        <v>50</v>
      </c>
      <c r="AQ41" s="3">
        <f t="shared" si="23"/>
        <v>11576.199813812269</v>
      </c>
      <c r="AR41" s="3">
        <f t="shared" si="23"/>
        <v>1276.9010209266667</v>
      </c>
      <c r="AS41" s="3">
        <f t="shared" si="23"/>
        <v>0</v>
      </c>
      <c r="AT41" s="3">
        <f t="shared" si="23"/>
        <v>0</v>
      </c>
      <c r="AU41" s="3">
        <f t="shared" si="24"/>
        <v>12853.100834738936</v>
      </c>
      <c r="AV41" s="7" t="s">
        <v>122</v>
      </c>
      <c r="AW41" s="2" t="s">
        <v>50</v>
      </c>
      <c r="AX41" s="3">
        <f t="shared" si="25"/>
        <v>23395.126364125532</v>
      </c>
      <c r="AY41" s="3">
        <f t="shared" si="25"/>
        <v>229880.98673222665</v>
      </c>
      <c r="AZ41" s="3">
        <f t="shared" si="25"/>
        <v>0</v>
      </c>
      <c r="BA41" s="3">
        <f t="shared" si="25"/>
        <v>0</v>
      </c>
      <c r="BB41" s="3">
        <f t="shared" si="26"/>
        <v>253276.11309635217</v>
      </c>
      <c r="BC41" s="7" t="s">
        <v>122</v>
      </c>
      <c r="BD41" s="2" t="s">
        <v>50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7" t="s">
        <v>122</v>
      </c>
      <c r="BK41" s="2" t="s">
        <v>50</v>
      </c>
      <c r="BL41" s="3">
        <v>2442.9576575123824</v>
      </c>
      <c r="BM41" s="3">
        <v>0</v>
      </c>
      <c r="BN41" s="3">
        <v>0</v>
      </c>
      <c r="BO41" s="3">
        <v>0</v>
      </c>
      <c r="BP41" s="3">
        <v>2442.9576575123824</v>
      </c>
      <c r="BQ41" s="7" t="s">
        <v>122</v>
      </c>
      <c r="BR41" s="2" t="s">
        <v>50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7" t="s">
        <v>122</v>
      </c>
      <c r="BY41" s="2" t="s">
        <v>50</v>
      </c>
      <c r="BZ41" s="3">
        <v>1205.887329067436</v>
      </c>
      <c r="CA41" s="3">
        <v>0</v>
      </c>
      <c r="CB41" s="3">
        <v>0</v>
      </c>
      <c r="CC41" s="3">
        <v>0</v>
      </c>
      <c r="CD41" s="3">
        <v>1205.887329067436</v>
      </c>
      <c r="CE41" s="7" t="s">
        <v>122</v>
      </c>
      <c r="CF41" s="2" t="s">
        <v>50</v>
      </c>
      <c r="CG41" s="3">
        <v>62.439056678305313</v>
      </c>
      <c r="CH41" s="3">
        <v>89.380848629840997</v>
      </c>
      <c r="CI41" s="3">
        <v>0</v>
      </c>
      <c r="CJ41" s="3">
        <v>0</v>
      </c>
      <c r="CK41" s="3">
        <v>151.8199053081463</v>
      </c>
      <c r="CL41" s="7" t="s">
        <v>122</v>
      </c>
      <c r="CM41" s="2" t="s">
        <v>50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7" t="s">
        <v>122</v>
      </c>
      <c r="CT41" s="2" t="s">
        <v>50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7" t="s">
        <v>122</v>
      </c>
      <c r="DA41" s="2" t="s">
        <v>50</v>
      </c>
      <c r="DB41" s="3">
        <v>104.73555526572613</v>
      </c>
      <c r="DC41" s="3">
        <v>0</v>
      </c>
      <c r="DD41" s="3">
        <v>0</v>
      </c>
      <c r="DE41" s="3">
        <v>0</v>
      </c>
      <c r="DF41" s="3">
        <v>104.73555526572613</v>
      </c>
      <c r="DG41" s="7" t="s">
        <v>122</v>
      </c>
      <c r="DH41" s="2" t="s">
        <v>50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7" t="s">
        <v>122</v>
      </c>
      <c r="DO41" s="2" t="s">
        <v>50</v>
      </c>
      <c r="DP41" s="3">
        <v>7760.1802152884202</v>
      </c>
      <c r="DQ41" s="3">
        <v>1187.5201722968256</v>
      </c>
      <c r="DR41" s="3">
        <v>0</v>
      </c>
      <c r="DS41" s="3">
        <v>0</v>
      </c>
      <c r="DT41" s="3">
        <v>8947.7003875852461</v>
      </c>
      <c r="DU41" s="7" t="s">
        <v>122</v>
      </c>
      <c r="DV41" s="2" t="s">
        <v>50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7" t="s">
        <v>122</v>
      </c>
      <c r="EC41" s="2" t="s">
        <v>50</v>
      </c>
      <c r="ED41" s="3">
        <v>23395.126364125532</v>
      </c>
      <c r="EE41" s="3">
        <v>229880.98673222665</v>
      </c>
      <c r="EF41" s="3">
        <v>0</v>
      </c>
      <c r="EG41" s="3">
        <v>0</v>
      </c>
      <c r="EH41" s="3">
        <v>253276.11309635217</v>
      </c>
    </row>
    <row r="42" spans="1:138" ht="10.199999999999999" customHeight="1" x14ac:dyDescent="0.25">
      <c r="A42" s="8"/>
      <c r="B42" s="4" t="s">
        <v>59</v>
      </c>
      <c r="C42" s="3">
        <f>SUM(C4:C41)</f>
        <v>2466866.142348425</v>
      </c>
      <c r="D42" s="3">
        <f t="shared" ref="D42:O42" si="29">SUM(D4:D41)</f>
        <v>29415822.514043149</v>
      </c>
      <c r="E42" s="3">
        <f t="shared" si="29"/>
        <v>1977869013.3492548</v>
      </c>
      <c r="F42" s="3">
        <f t="shared" si="29"/>
        <v>62494417.572440766</v>
      </c>
      <c r="G42" s="3">
        <f t="shared" si="29"/>
        <v>156284148.39412633</v>
      </c>
      <c r="H42" s="3">
        <f t="shared" si="29"/>
        <v>322727356.62987447</v>
      </c>
      <c r="I42" s="3">
        <f t="shared" si="29"/>
        <v>38916242.844083704</v>
      </c>
      <c r="J42" s="3">
        <f t="shared" si="29"/>
        <v>765078575.60005105</v>
      </c>
      <c r="K42" s="3">
        <f t="shared" si="29"/>
        <v>114671896.8760889</v>
      </c>
      <c r="L42" s="3">
        <f t="shared" si="29"/>
        <v>301176278.61993188</v>
      </c>
      <c r="M42" s="3">
        <f t="shared" si="29"/>
        <v>56212207.051505029</v>
      </c>
      <c r="N42" s="3">
        <f t="shared" si="29"/>
        <v>1746622723.4940248</v>
      </c>
      <c r="O42" s="3">
        <f t="shared" si="29"/>
        <v>5573935549.0877752</v>
      </c>
      <c r="P42" s="8"/>
      <c r="Q42" s="4" t="s">
        <v>59</v>
      </c>
      <c r="R42" s="3">
        <f>SUM(R4:R41)</f>
        <v>2466866.142348425</v>
      </c>
      <c r="S42" s="3">
        <f t="shared" ref="S42:AB42" si="30">SUM(S4:S41)</f>
        <v>29415822.514043149</v>
      </c>
      <c r="T42" s="3">
        <f t="shared" si="30"/>
        <v>1977869013.3492548</v>
      </c>
      <c r="U42" s="3">
        <f t="shared" si="30"/>
        <v>62494417.572440766</v>
      </c>
      <c r="V42" s="3">
        <f t="shared" si="30"/>
        <v>156284148.39412633</v>
      </c>
      <c r="W42" s="3">
        <f t="shared" si="30"/>
        <v>322727356.62987447</v>
      </c>
      <c r="X42" s="3">
        <f t="shared" si="30"/>
        <v>38916242.844083704</v>
      </c>
      <c r="Y42" s="3">
        <f t="shared" si="30"/>
        <v>765078575.60005105</v>
      </c>
      <c r="Z42" s="3">
        <f t="shared" si="30"/>
        <v>114671896.8760889</v>
      </c>
      <c r="AA42" s="3">
        <f t="shared" si="30"/>
        <v>301176278.61993188</v>
      </c>
      <c r="AB42" s="3">
        <f t="shared" si="30"/>
        <v>3771100618.5422435</v>
      </c>
      <c r="AC42" s="8"/>
      <c r="AD42" s="4" t="s">
        <v>59</v>
      </c>
      <c r="AE42" s="3">
        <f>SUM(AE4:AE41)</f>
        <v>56212207.051505029</v>
      </c>
      <c r="AF42" s="3">
        <f t="shared" ref="AF42:AG42" si="31">SUM(AF4:AF41)</f>
        <v>1746622723.4940248</v>
      </c>
      <c r="AG42" s="3">
        <f t="shared" si="31"/>
        <v>1802834930.5455294</v>
      </c>
      <c r="AH42" s="8"/>
      <c r="AI42" s="4" t="s">
        <v>59</v>
      </c>
      <c r="AJ42" s="3">
        <f>SUM(AJ4:AJ41)</f>
        <v>387931284.64496076</v>
      </c>
      <c r="AK42" s="3">
        <f t="shared" ref="AK42:AN42" si="32">SUM(AK4:AK41)</f>
        <v>125448317.80324659</v>
      </c>
      <c r="AL42" s="3">
        <f t="shared" si="32"/>
        <v>362079601.90903103</v>
      </c>
      <c r="AM42" s="3">
        <f t="shared" si="32"/>
        <v>4698476344.7305355</v>
      </c>
      <c r="AN42" s="3">
        <f t="shared" si="32"/>
        <v>5573935549.0877752</v>
      </c>
      <c r="AO42" s="8"/>
      <c r="AP42" s="4" t="s">
        <v>59</v>
      </c>
      <c r="AQ42" s="3">
        <f>SUM(AQ4:AQ41)</f>
        <v>359018530.18447691</v>
      </c>
      <c r="AR42" s="3">
        <f t="shared" ref="AR42:AU42" si="33">SUM(AR4:AR41)</f>
        <v>65521845.080630548</v>
      </c>
      <c r="AS42" s="3">
        <f t="shared" si="33"/>
        <v>254644777.41414434</v>
      </c>
      <c r="AT42" s="3">
        <f t="shared" si="33"/>
        <v>3091915465.8629918</v>
      </c>
      <c r="AU42" s="3">
        <f t="shared" si="33"/>
        <v>3771100618.542244</v>
      </c>
      <c r="AV42" s="8"/>
      <c r="AW42" s="4" t="s">
        <v>59</v>
      </c>
      <c r="AX42" s="3">
        <f>SUM(AX4:AX41)</f>
        <v>28912754.460483875</v>
      </c>
      <c r="AY42" s="3">
        <f t="shared" ref="AY42:BB42" si="34">SUM(AY4:AY41)</f>
        <v>59926472.722616017</v>
      </c>
      <c r="AZ42" s="3">
        <f t="shared" si="34"/>
        <v>107434824.49488664</v>
      </c>
      <c r="BA42" s="3">
        <f t="shared" si="34"/>
        <v>1606560878.8675432</v>
      </c>
      <c r="BB42" s="3">
        <f t="shared" si="34"/>
        <v>1802834930.5455291</v>
      </c>
      <c r="BC42" s="8"/>
      <c r="BD42" s="4" t="s">
        <v>59</v>
      </c>
      <c r="BE42" s="17">
        <v>2274591.7049695449</v>
      </c>
      <c r="BF42" s="17">
        <v>117060.33220370726</v>
      </c>
      <c r="BG42" s="17">
        <v>75214.105175172765</v>
      </c>
      <c r="BH42" s="17">
        <v>0</v>
      </c>
      <c r="BI42" s="17">
        <v>2466866.142348425</v>
      </c>
      <c r="BJ42" s="8"/>
      <c r="BK42" s="4" t="s">
        <v>59</v>
      </c>
      <c r="BL42" s="3">
        <v>409307.97867384169</v>
      </c>
      <c r="BM42" s="3">
        <v>4316787.6880681515</v>
      </c>
      <c r="BN42" s="3">
        <v>2365407.8939889604</v>
      </c>
      <c r="BO42" s="3">
        <v>22324318.9533122</v>
      </c>
      <c r="BP42" s="3">
        <v>29415822.514043149</v>
      </c>
      <c r="BQ42" s="8"/>
      <c r="BR42" s="4" t="s">
        <v>59</v>
      </c>
      <c r="BS42" s="3">
        <v>9419007.2823332436</v>
      </c>
      <c r="BT42" s="3">
        <v>20844453.426314157</v>
      </c>
      <c r="BU42" s="3">
        <v>97064966.613117173</v>
      </c>
      <c r="BV42" s="3">
        <v>1850540586.0274899</v>
      </c>
      <c r="BW42" s="3">
        <v>1977869013.3492548</v>
      </c>
      <c r="BX42" s="8"/>
      <c r="BY42" s="4" t="s">
        <v>59</v>
      </c>
      <c r="BZ42" s="3">
        <v>9905818.3187679481</v>
      </c>
      <c r="CA42" s="3">
        <v>11290833.673227914</v>
      </c>
      <c r="CB42" s="3">
        <v>12670047.141146421</v>
      </c>
      <c r="CC42" s="3">
        <v>28627718.439298477</v>
      </c>
      <c r="CD42" s="3">
        <v>62494417.572440766</v>
      </c>
      <c r="CE42" s="8"/>
      <c r="CF42" s="4" t="s">
        <v>59</v>
      </c>
      <c r="CG42" s="3">
        <v>150263732.88518164</v>
      </c>
      <c r="CH42" s="3">
        <v>5704745.4916843409</v>
      </c>
      <c r="CI42" s="3">
        <v>172393.84298299201</v>
      </c>
      <c r="CJ42" s="3">
        <v>143276.17427741145</v>
      </c>
      <c r="CK42" s="3">
        <v>156284148.39412633</v>
      </c>
      <c r="CL42" s="8"/>
      <c r="CM42" s="4" t="s">
        <v>59</v>
      </c>
      <c r="CN42" s="3">
        <v>0</v>
      </c>
      <c r="CO42" s="3">
        <v>0</v>
      </c>
      <c r="CP42" s="3">
        <v>127318791.70669568</v>
      </c>
      <c r="CQ42" s="3">
        <v>195408564.92317891</v>
      </c>
      <c r="CR42" s="3">
        <v>322727356.62987447</v>
      </c>
      <c r="CS42" s="8"/>
      <c r="CT42" s="4" t="s">
        <v>59</v>
      </c>
      <c r="CU42" s="3">
        <v>33437670.021849811</v>
      </c>
      <c r="CV42" s="3">
        <v>4751900.3025274789</v>
      </c>
      <c r="CW42" s="3">
        <v>726672.51970640942</v>
      </c>
      <c r="CX42" s="3">
        <v>0</v>
      </c>
      <c r="CY42" s="3">
        <v>38916242.844083704</v>
      </c>
      <c r="CZ42" s="8"/>
      <c r="DA42" s="4" t="s">
        <v>59</v>
      </c>
      <c r="DB42" s="3">
        <v>12548129.993397048</v>
      </c>
      <c r="DC42" s="3">
        <v>6746413.0839512888</v>
      </c>
      <c r="DD42" s="3">
        <v>7114916.9927790333</v>
      </c>
      <c r="DE42" s="3">
        <v>88262436.805961564</v>
      </c>
      <c r="DF42" s="3">
        <v>114671896.8760889</v>
      </c>
      <c r="DG42" s="8"/>
      <c r="DH42" s="4" t="s">
        <v>59</v>
      </c>
      <c r="DI42" s="3">
        <v>85979723.0405031</v>
      </c>
      <c r="DJ42" s="3">
        <v>329771.69339920039</v>
      </c>
      <c r="DK42" s="3">
        <v>5668333.3490883335</v>
      </c>
      <c r="DL42" s="3">
        <v>673100747.5170604</v>
      </c>
      <c r="DM42" s="3">
        <v>765078575.60005105</v>
      </c>
      <c r="DN42" s="8"/>
      <c r="DO42" s="4" t="s">
        <v>59</v>
      </c>
      <c r="DP42" s="3">
        <v>54780548.958800778</v>
      </c>
      <c r="DQ42" s="3">
        <v>11419879.389254311</v>
      </c>
      <c r="DR42" s="3">
        <v>1468033.2494641121</v>
      </c>
      <c r="DS42" s="3">
        <v>233507817.02241269</v>
      </c>
      <c r="DT42" s="3">
        <v>301176278.61993188</v>
      </c>
      <c r="DU42" s="8"/>
      <c r="DV42" s="4" t="s">
        <v>59</v>
      </c>
      <c r="DW42" s="3">
        <v>4203302.1238834644</v>
      </c>
      <c r="DX42" s="3">
        <v>31055264.024185613</v>
      </c>
      <c r="DY42" s="3">
        <v>104907576.99067858</v>
      </c>
      <c r="DZ42" s="3">
        <v>1606456580.3552771</v>
      </c>
      <c r="EA42" s="3">
        <v>1746622723.4940248</v>
      </c>
      <c r="EB42" s="8"/>
      <c r="EC42" s="4" t="s">
        <v>59</v>
      </c>
      <c r="ED42" s="3">
        <v>24709452.336600404</v>
      </c>
      <c r="EE42" s="3">
        <v>28871208.698430404</v>
      </c>
      <c r="EF42" s="3">
        <v>2527247.5042080549</v>
      </c>
      <c r="EG42" s="3">
        <v>104298.51226616147</v>
      </c>
      <c r="EH42" s="3">
        <v>56212207.051505029</v>
      </c>
    </row>
    <row r="43" spans="1:138" ht="10.199999999999999" customHeight="1" x14ac:dyDescent="0.2">
      <c r="O43" s="52">
        <f>AB42+AG42</f>
        <v>5573935549.0877724</v>
      </c>
      <c r="AJ43" s="5"/>
      <c r="AK43" s="5"/>
      <c r="AN43" s="52">
        <f>O42</f>
        <v>5573935549.0877752</v>
      </c>
      <c r="AQ43" s="5"/>
      <c r="AR43" s="5"/>
      <c r="AU43" s="52">
        <f>AB42</f>
        <v>3771100618.5422435</v>
      </c>
      <c r="AX43" s="5"/>
      <c r="AY43" s="5"/>
      <c r="BB43" s="52">
        <f>AG42</f>
        <v>1802834930.5455294</v>
      </c>
      <c r="BE43" s="5"/>
      <c r="BF43" s="5"/>
      <c r="BL43" s="5"/>
      <c r="BM43" s="5"/>
      <c r="BS43" s="5"/>
      <c r="BT43" s="5"/>
      <c r="BZ43" s="5"/>
      <c r="CA43" s="5"/>
      <c r="CG43" s="5"/>
      <c r="CH43" s="5"/>
      <c r="CN43" s="5"/>
      <c r="CO43" s="5"/>
      <c r="CU43" s="5"/>
      <c r="CV43" s="5"/>
      <c r="DB43" s="5"/>
      <c r="DC43" s="5"/>
      <c r="DI43" s="5"/>
      <c r="DJ43" s="5"/>
      <c r="DP43" s="5"/>
      <c r="DQ43" s="5"/>
      <c r="DW43" s="5"/>
      <c r="DX43" s="5"/>
      <c r="ED43" s="5"/>
      <c r="EE43" s="5"/>
    </row>
    <row r="44" spans="1:138" ht="10.199999999999999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E44" s="6"/>
      <c r="AF44" s="6"/>
      <c r="AG44" s="6"/>
    </row>
    <row r="46" spans="1:138" ht="10.199999999999999" customHeight="1" x14ac:dyDescent="0.2">
      <c r="AN46" s="5"/>
      <c r="AU46" s="5"/>
      <c r="BB46" s="5"/>
      <c r="BI46" s="5"/>
      <c r="BP46" s="5"/>
      <c r="BW46" s="5"/>
      <c r="CD46" s="5"/>
      <c r="CK46" s="5"/>
      <c r="CR46" s="5"/>
      <c r="CY46" s="5"/>
      <c r="DF46" s="5"/>
      <c r="DM46" s="5"/>
      <c r="DT46" s="5"/>
      <c r="EA46" s="5"/>
      <c r="EH46" s="5"/>
    </row>
    <row r="47" spans="1:138" ht="10.199999999999999" customHeight="1" x14ac:dyDescent="0.25">
      <c r="B47" s="18" t="str">
        <f>A1</f>
        <v>Tabel 19 Jumlah Kapasitas (Kg) berdasarkan Jenis Kegiatan</v>
      </c>
      <c r="AN47" s="5"/>
      <c r="AU47" s="5"/>
      <c r="BB47" s="5"/>
      <c r="BI47" s="5"/>
      <c r="BP47" s="5"/>
      <c r="BW47" s="5"/>
      <c r="CD47" s="5"/>
      <c r="CK47" s="5"/>
      <c r="CR47" s="5"/>
      <c r="CY47" s="5"/>
      <c r="DF47" s="5"/>
      <c r="DM47" s="5"/>
      <c r="DT47" s="5"/>
      <c r="EA47" s="5"/>
      <c r="EH47" s="5"/>
    </row>
    <row r="48" spans="1:138" ht="10.199999999999999" customHeight="1" x14ac:dyDescent="0.25">
      <c r="B48" s="18" t="str">
        <f>P1</f>
        <v>Tabel 20 Jumlah Kapasitas (Kg) berdasarkan Jenis Kegiatan Pengolahan</v>
      </c>
    </row>
    <row r="49" spans="2:2" ht="10.199999999999999" customHeight="1" x14ac:dyDescent="0.25">
      <c r="B49" s="18" t="str">
        <f>AC1</f>
        <v>Tabel 21 Jumlah Kapasitas (Kg) berdasarkan Jenis Kegiatan Pemasaran</v>
      </c>
    </row>
    <row r="50" spans="2:2" ht="10.199999999999999" customHeight="1" x14ac:dyDescent="0.25">
      <c r="B50" s="18" t="str">
        <f>AH1</f>
        <v xml:space="preserve">Tabel 22 Jumlah Kapasitas (Kg) berdasarkan Skala Usaha </v>
      </c>
    </row>
    <row r="51" spans="2:2" ht="10.199999999999999" customHeight="1" x14ac:dyDescent="0.25">
      <c r="B51" s="18" t="str">
        <f>AO1</f>
        <v>Tabel 23 Jumlah Kapasitas (Kg) berdasarkan Skala Usaha pada Kegiatan Pengolahan</v>
      </c>
    </row>
    <row r="52" spans="2:2" ht="10.199999999999999" customHeight="1" x14ac:dyDescent="0.25">
      <c r="B52" s="18" t="str">
        <f>AV1</f>
        <v>Tabel 24 Jumlah Kapasitas (Kg) berdasarkan Skala Usaha pada Kegiatan Pemasaran</v>
      </c>
    </row>
    <row r="53" spans="2:2" ht="10.199999999999999" customHeight="1" x14ac:dyDescent="0.25">
      <c r="B53" s="18" t="str">
        <f>BC1</f>
        <v xml:space="preserve">Tabel 25 Jumlah Kapasitas (Kg) berdasarkan Skala Usaha pada Jenis Kegiatan Fermentasi </v>
      </c>
    </row>
    <row r="54" spans="2:2" ht="10.199999999999999" customHeight="1" x14ac:dyDescent="0.25">
      <c r="B54" s="18" t="str">
        <f>BJ1</f>
        <v xml:space="preserve">Tabel 26 Jumlah Kapasitas (Kg) berdasarkan Skala Usaha pada Jenis Kegiatan Pelumatan Daging Ikan </v>
      </c>
    </row>
    <row r="55" spans="2:2" ht="10.199999999999999" customHeight="1" x14ac:dyDescent="0.25">
      <c r="B55" s="18" t="str">
        <f>BQ1</f>
        <v xml:space="preserve">Tabel 27 Jumlah Kapasitas (Kg) berdasarkan Skala Usaha pada Jenis Kegiatan Pembekuan </v>
      </c>
    </row>
    <row r="56" spans="2:2" ht="10.199999999999999" customHeight="1" x14ac:dyDescent="0.25">
      <c r="B56" s="18" t="str">
        <f>BX1</f>
        <v xml:space="preserve">Tabel 28 Jumlah Kapasitas (Kg) berdasarkan Skala Usaha pada Jenis Kegiatan Pemindangan </v>
      </c>
    </row>
    <row r="57" spans="2:2" ht="10.199999999999999" customHeight="1" x14ac:dyDescent="0.25">
      <c r="B57" s="18" t="str">
        <f>CE1</f>
        <v xml:space="preserve">Tabel 29 Jumlah Kapasitas (Kg) berdasarkan Skala Usaha pada Jenis Kegiatan Penanganan Produk Segar  </v>
      </c>
    </row>
    <row r="58" spans="2:2" ht="10.199999999999999" customHeight="1" x14ac:dyDescent="0.25">
      <c r="B58" s="18" t="str">
        <f>CL1</f>
        <v xml:space="preserve">Tabel 30 Jumlah Kapasitas (Kg) berdasarkan Skala Usaha pada Jenis Kegiatan Pengalengan </v>
      </c>
    </row>
    <row r="59" spans="2:2" ht="10.199999999999999" customHeight="1" x14ac:dyDescent="0.25">
      <c r="B59" s="18" t="str">
        <f>CS1</f>
        <v xml:space="preserve">Tabel 31 Jumlah Kapasitas (Kg) berdasarkan Skala Usaha pada Jenis Kegiatan Pengasapan / Pemanggangan </v>
      </c>
    </row>
    <row r="60" spans="2:2" ht="10.199999999999999" customHeight="1" x14ac:dyDescent="0.25">
      <c r="B60" s="18" t="str">
        <f>CZ1</f>
        <v xml:space="preserve">Tabel 32 Jumlah Kapasitas (Kg) berdasarkan Skala Usaha pada Jenis Kegiatan Penggaraman / Pengeringan </v>
      </c>
    </row>
    <row r="61" spans="2:2" ht="10.199999999999999" customHeight="1" x14ac:dyDescent="0.25">
      <c r="B61" s="18" t="str">
        <f>DG1</f>
        <v xml:space="preserve">Tabel 33 Jumlah Kapasitas (Kg) berdasarkan Skala Usaha pada Jenis Kegiatan Pereduksian/Ekstraksi </v>
      </c>
    </row>
    <row r="62" spans="2:2" ht="10.199999999999999" customHeight="1" x14ac:dyDescent="0.25">
      <c r="B62" s="18" t="str">
        <f>DN1</f>
        <v xml:space="preserve">Tabel 34 Jumlah Kapasitas (Kg) berdasarkan Skala Usaha pada Jenis Kegiatan Pengolahan Lainnya </v>
      </c>
    </row>
    <row r="63" spans="2:2" ht="10.199999999999999" customHeight="1" x14ac:dyDescent="0.25">
      <c r="B63" s="18" t="str">
        <f>DU1</f>
        <v xml:space="preserve">Tabel 35 Jumlah Kapasitas (Kg) berdasarkan Skala Usaha pada Jenis Kegiatan Pengumpul/Pedagang Besar/Distributor </v>
      </c>
    </row>
    <row r="64" spans="2:2" ht="10.199999999999999" customHeight="1" x14ac:dyDescent="0.25">
      <c r="B64" s="18" t="str">
        <f>EB1</f>
        <v xml:space="preserve">Tabel 36 Jumlah Kapasitas (Kg) berdasarkan Skala Usaha pada Jenis Kegiatan Pengecer </v>
      </c>
    </row>
    <row r="67" spans="1:132" s="21" customFormat="1" ht="12" x14ac:dyDescent="0.25">
      <c r="A67" s="67" t="s">
        <v>0</v>
      </c>
      <c r="B67" s="67" t="s">
        <v>4</v>
      </c>
      <c r="C67" s="77" t="s">
        <v>444</v>
      </c>
    </row>
    <row r="68" spans="1:132" s="18" customFormat="1" ht="12" x14ac:dyDescent="0.25">
      <c r="A68" s="72">
        <v>1</v>
      </c>
      <c r="B68" s="69" t="s">
        <v>9</v>
      </c>
      <c r="C68" s="34">
        <f>C42</f>
        <v>2466866.142348425</v>
      </c>
      <c r="P68" s="21"/>
      <c r="AC68" s="21"/>
      <c r="AH68" s="21"/>
      <c r="AO68" s="21"/>
      <c r="AV68" s="21"/>
      <c r="BC68" s="21"/>
      <c r="BJ68" s="21"/>
      <c r="BQ68" s="21"/>
      <c r="BX68" s="21"/>
      <c r="CE68" s="21"/>
      <c r="CL68" s="21"/>
      <c r="CS68" s="21"/>
      <c r="CZ68" s="21"/>
      <c r="DG68" s="21"/>
      <c r="DN68" s="21"/>
      <c r="DU68" s="21"/>
      <c r="EB68" s="21"/>
    </row>
    <row r="69" spans="1:132" s="18" customFormat="1" ht="12" x14ac:dyDescent="0.25">
      <c r="A69" s="72">
        <v>2</v>
      </c>
      <c r="B69" s="69" t="s">
        <v>10</v>
      </c>
      <c r="C69" s="34">
        <f>D42</f>
        <v>29415822.514043149</v>
      </c>
      <c r="P69" s="21"/>
      <c r="AC69" s="21"/>
      <c r="AH69" s="21"/>
      <c r="AO69" s="21"/>
      <c r="AV69" s="21"/>
      <c r="BC69" s="21"/>
      <c r="BJ69" s="21"/>
      <c r="BQ69" s="21"/>
      <c r="BX69" s="21"/>
      <c r="CE69" s="21"/>
      <c r="CL69" s="21"/>
      <c r="CS69" s="21"/>
      <c r="CZ69" s="21"/>
      <c r="DG69" s="21"/>
      <c r="DN69" s="21"/>
      <c r="DU69" s="21"/>
      <c r="EB69" s="21"/>
    </row>
    <row r="70" spans="1:132" s="18" customFormat="1" ht="12" x14ac:dyDescent="0.25">
      <c r="A70" s="72">
        <v>3</v>
      </c>
      <c r="B70" s="69" t="s">
        <v>11</v>
      </c>
      <c r="C70" s="34">
        <f>E42</f>
        <v>1977869013.3492548</v>
      </c>
      <c r="P70" s="21"/>
      <c r="AC70" s="21"/>
      <c r="AH70" s="21"/>
      <c r="AO70" s="21"/>
      <c r="AV70" s="21"/>
      <c r="BC70" s="21"/>
      <c r="BJ70" s="21"/>
      <c r="BQ70" s="21"/>
      <c r="BX70" s="21"/>
      <c r="CE70" s="21"/>
      <c r="CL70" s="21"/>
      <c r="CS70" s="21"/>
      <c r="CZ70" s="21"/>
      <c r="DG70" s="21"/>
      <c r="DN70" s="21"/>
      <c r="DU70" s="21"/>
      <c r="EB70" s="21"/>
    </row>
    <row r="71" spans="1:132" s="18" customFormat="1" ht="12" x14ac:dyDescent="0.25">
      <c r="A71" s="72">
        <v>4</v>
      </c>
      <c r="B71" s="69" t="s">
        <v>12</v>
      </c>
      <c r="C71" s="34">
        <f>F42</f>
        <v>62494417.572440766</v>
      </c>
      <c r="P71" s="21"/>
      <c r="AC71" s="21"/>
      <c r="AH71" s="21"/>
      <c r="AO71" s="21"/>
      <c r="AV71" s="21"/>
      <c r="BC71" s="21"/>
      <c r="BJ71" s="21"/>
      <c r="BQ71" s="21"/>
      <c r="BX71" s="21"/>
      <c r="CE71" s="21"/>
      <c r="CL71" s="21"/>
      <c r="CS71" s="21"/>
      <c r="CZ71" s="21"/>
      <c r="DG71" s="21"/>
      <c r="DN71" s="21"/>
      <c r="DU71" s="21"/>
      <c r="EB71" s="21"/>
    </row>
    <row r="72" spans="1:132" s="18" customFormat="1" ht="12" x14ac:dyDescent="0.25">
      <c r="A72" s="72">
        <v>5</v>
      </c>
      <c r="B72" s="69" t="s">
        <v>13</v>
      </c>
      <c r="C72" s="34">
        <f>G42</f>
        <v>156284148.39412633</v>
      </c>
      <c r="P72" s="21"/>
      <c r="AC72" s="21"/>
      <c r="AH72" s="21"/>
      <c r="AO72" s="21"/>
      <c r="AV72" s="21"/>
      <c r="BC72" s="21"/>
      <c r="BJ72" s="21"/>
      <c r="BQ72" s="21"/>
      <c r="BX72" s="21"/>
      <c r="CE72" s="21"/>
      <c r="CL72" s="21"/>
      <c r="CS72" s="21"/>
      <c r="CZ72" s="21"/>
      <c r="DG72" s="21"/>
      <c r="DN72" s="21"/>
      <c r="DU72" s="21"/>
      <c r="EB72" s="21"/>
    </row>
    <row r="73" spans="1:132" s="18" customFormat="1" ht="12" x14ac:dyDescent="0.25">
      <c r="A73" s="72">
        <v>6</v>
      </c>
      <c r="B73" s="69" t="s">
        <v>14</v>
      </c>
      <c r="C73" s="34">
        <f>H42</f>
        <v>322727356.62987447</v>
      </c>
      <c r="P73" s="21"/>
      <c r="AC73" s="21"/>
      <c r="AH73" s="21"/>
      <c r="AO73" s="21"/>
      <c r="AV73" s="21"/>
      <c r="BC73" s="21"/>
      <c r="BJ73" s="21"/>
      <c r="BQ73" s="21"/>
      <c r="BX73" s="21"/>
      <c r="CE73" s="21"/>
      <c r="CL73" s="21"/>
      <c r="CS73" s="21"/>
      <c r="CZ73" s="21"/>
      <c r="DG73" s="21"/>
      <c r="DN73" s="21"/>
      <c r="DU73" s="21"/>
      <c r="EB73" s="21"/>
    </row>
    <row r="74" spans="1:132" s="18" customFormat="1" ht="12" x14ac:dyDescent="0.25">
      <c r="A74" s="72">
        <v>7</v>
      </c>
      <c r="B74" s="69" t="s">
        <v>15</v>
      </c>
      <c r="C74" s="34">
        <f>I42</f>
        <v>38916242.844083704</v>
      </c>
      <c r="P74" s="21"/>
      <c r="AC74" s="21"/>
      <c r="AH74" s="21"/>
      <c r="AO74" s="21"/>
      <c r="AV74" s="21"/>
      <c r="BC74" s="21"/>
      <c r="BJ74" s="21"/>
      <c r="BQ74" s="21"/>
      <c r="BX74" s="21"/>
      <c r="CE74" s="21"/>
      <c r="CL74" s="21"/>
      <c r="CS74" s="21"/>
      <c r="CZ74" s="21"/>
      <c r="DG74" s="21"/>
      <c r="DN74" s="21"/>
      <c r="DU74" s="21"/>
      <c r="EB74" s="21"/>
    </row>
    <row r="75" spans="1:132" s="18" customFormat="1" ht="12" x14ac:dyDescent="0.25">
      <c r="A75" s="72">
        <v>8</v>
      </c>
      <c r="B75" s="69" t="s">
        <v>19</v>
      </c>
      <c r="C75" s="34">
        <f>J42</f>
        <v>765078575.60005105</v>
      </c>
      <c r="P75" s="21"/>
      <c r="AC75" s="21"/>
      <c r="AH75" s="21"/>
      <c r="AO75" s="21"/>
      <c r="AV75" s="21"/>
      <c r="BC75" s="21"/>
      <c r="BJ75" s="21"/>
      <c r="BQ75" s="21"/>
      <c r="BX75" s="21"/>
      <c r="CE75" s="21"/>
      <c r="CL75" s="21"/>
      <c r="CS75" s="21"/>
      <c r="CZ75" s="21"/>
      <c r="DG75" s="21"/>
      <c r="DN75" s="21"/>
      <c r="DU75" s="21"/>
      <c r="EB75" s="21"/>
    </row>
    <row r="76" spans="1:132" s="18" customFormat="1" ht="12" x14ac:dyDescent="0.25">
      <c r="A76" s="72">
        <v>9</v>
      </c>
      <c r="B76" s="69" t="s">
        <v>17</v>
      </c>
      <c r="C76" s="34">
        <f>K42</f>
        <v>114671896.8760889</v>
      </c>
      <c r="P76" s="21"/>
      <c r="AC76" s="21"/>
      <c r="AH76" s="21"/>
      <c r="AO76" s="21"/>
      <c r="AV76" s="21"/>
      <c r="BC76" s="21"/>
      <c r="BJ76" s="21"/>
      <c r="BQ76" s="21"/>
      <c r="BX76" s="21"/>
      <c r="CE76" s="21"/>
      <c r="CL76" s="21"/>
      <c r="CS76" s="21"/>
      <c r="CZ76" s="21"/>
      <c r="DG76" s="21"/>
      <c r="DN76" s="21"/>
      <c r="DU76" s="21"/>
      <c r="EB76" s="21"/>
    </row>
    <row r="77" spans="1:132" s="18" customFormat="1" ht="12" x14ac:dyDescent="0.25">
      <c r="A77" s="72">
        <v>10</v>
      </c>
      <c r="B77" s="69" t="s">
        <v>18</v>
      </c>
      <c r="C77" s="34">
        <f>L42</f>
        <v>301176278.61993188</v>
      </c>
      <c r="P77" s="21"/>
      <c r="AC77" s="21"/>
      <c r="AH77" s="21"/>
      <c r="AO77" s="21"/>
      <c r="AV77" s="21"/>
      <c r="BC77" s="21"/>
      <c r="BJ77" s="21"/>
      <c r="BQ77" s="21"/>
      <c r="BX77" s="21"/>
      <c r="CE77" s="21"/>
      <c r="CL77" s="21"/>
      <c r="CS77" s="21"/>
      <c r="CZ77" s="21"/>
      <c r="DG77" s="21"/>
      <c r="DN77" s="21"/>
      <c r="DU77" s="21"/>
      <c r="EB77" s="21"/>
    </row>
    <row r="78" spans="1:132" s="18" customFormat="1" ht="12" x14ac:dyDescent="0.25">
      <c r="A78" s="72">
        <v>11</v>
      </c>
      <c r="B78" s="69" t="s">
        <v>20</v>
      </c>
      <c r="C78" s="34">
        <f>M42</f>
        <v>56212207.051505029</v>
      </c>
      <c r="P78" s="21"/>
      <c r="AC78" s="21"/>
      <c r="AH78" s="21"/>
      <c r="AO78" s="21"/>
      <c r="AV78" s="21"/>
      <c r="BC78" s="21"/>
      <c r="BJ78" s="21"/>
      <c r="BQ78" s="21"/>
      <c r="BX78" s="21"/>
      <c r="CE78" s="21"/>
      <c r="CL78" s="21"/>
      <c r="CS78" s="21"/>
      <c r="CZ78" s="21"/>
      <c r="DG78" s="21"/>
      <c r="DN78" s="21"/>
      <c r="DU78" s="21"/>
      <c r="EB78" s="21"/>
    </row>
    <row r="79" spans="1:132" s="18" customFormat="1" ht="12" x14ac:dyDescent="0.25">
      <c r="A79" s="72">
        <v>12</v>
      </c>
      <c r="B79" s="69" t="s">
        <v>16</v>
      </c>
      <c r="C79" s="34">
        <f>N42</f>
        <v>1746622723.4940248</v>
      </c>
      <c r="P79" s="21"/>
      <c r="AC79" s="21"/>
      <c r="AH79" s="21"/>
      <c r="AO79" s="21"/>
      <c r="AV79" s="21"/>
      <c r="BC79" s="21"/>
      <c r="BJ79" s="21"/>
      <c r="BQ79" s="21"/>
      <c r="BX79" s="21"/>
      <c r="CE79" s="21"/>
      <c r="CL79" s="21"/>
      <c r="CS79" s="21"/>
      <c r="CZ79" s="21"/>
      <c r="DG79" s="21"/>
      <c r="DN79" s="21"/>
      <c r="DU79" s="21"/>
      <c r="EB79" s="21"/>
    </row>
    <row r="80" spans="1:132" s="18" customFormat="1" ht="12" x14ac:dyDescent="0.25">
      <c r="A80" s="72"/>
      <c r="B80" s="69" t="s">
        <v>400</v>
      </c>
      <c r="C80" s="34">
        <f>O42</f>
        <v>5573935549.0877752</v>
      </c>
      <c r="D80" s="51">
        <f>SUM(C68:C79)</f>
        <v>5573935549.0877733</v>
      </c>
      <c r="P80" s="21"/>
      <c r="AC80" s="21"/>
      <c r="AH80" s="21"/>
      <c r="AO80" s="21"/>
      <c r="AV80" s="21"/>
      <c r="BC80" s="21"/>
      <c r="BJ80" s="21"/>
      <c r="BQ80" s="21"/>
      <c r="BX80" s="21"/>
      <c r="CE80" s="21"/>
      <c r="CL80" s="21"/>
      <c r="CS80" s="21"/>
      <c r="CZ80" s="21"/>
      <c r="DG80" s="21"/>
      <c r="DN80" s="21"/>
      <c r="DU80" s="21"/>
      <c r="EB80" s="21"/>
    </row>
    <row r="81" spans="1:132" s="18" customFormat="1" ht="12" x14ac:dyDescent="0.25">
      <c r="A81" s="71"/>
      <c r="B81" s="66"/>
      <c r="C81" s="36"/>
      <c r="P81" s="21"/>
      <c r="AC81" s="21"/>
      <c r="AH81" s="21"/>
      <c r="AO81" s="21"/>
      <c r="AV81" s="21"/>
      <c r="BC81" s="21"/>
      <c r="BJ81" s="21"/>
      <c r="BQ81" s="21"/>
      <c r="BX81" s="21"/>
      <c r="CE81" s="21"/>
      <c r="CL81" s="21"/>
      <c r="CS81" s="21"/>
      <c r="CZ81" s="21"/>
      <c r="DG81" s="21"/>
      <c r="DN81" s="21"/>
      <c r="DU81" s="21"/>
      <c r="EB81" s="21"/>
    </row>
    <row r="82" spans="1:132" s="18" customFormat="1" ht="12" x14ac:dyDescent="0.25">
      <c r="A82" s="75"/>
      <c r="B82" s="75"/>
      <c r="C82" s="75"/>
      <c r="P82" s="21"/>
      <c r="AC82" s="21"/>
      <c r="AH82" s="21"/>
      <c r="AO82" s="21"/>
      <c r="AV82" s="21"/>
      <c r="BC82" s="21"/>
      <c r="BJ82" s="21"/>
      <c r="BQ82" s="21"/>
      <c r="BX82" s="21"/>
      <c r="CE82" s="21"/>
      <c r="CL82" s="21"/>
      <c r="CS82" s="21"/>
      <c r="CZ82" s="21"/>
      <c r="DG82" s="21"/>
      <c r="DN82" s="21"/>
      <c r="DU82" s="21"/>
      <c r="EB82" s="21"/>
    </row>
    <row r="83" spans="1:132" s="21" customFormat="1" ht="12" x14ac:dyDescent="0.25">
      <c r="A83" s="67" t="s">
        <v>0</v>
      </c>
      <c r="B83" s="67" t="s">
        <v>2</v>
      </c>
      <c r="C83" s="77" t="s">
        <v>444</v>
      </c>
    </row>
    <row r="84" spans="1:132" s="18" customFormat="1" ht="12" x14ac:dyDescent="0.25">
      <c r="A84" s="72">
        <v>1</v>
      </c>
      <c r="B84" s="69" t="s">
        <v>5</v>
      </c>
      <c r="C84" s="34">
        <f>AJ42</f>
        <v>387931284.64496076</v>
      </c>
      <c r="P84" s="21"/>
      <c r="AC84" s="21"/>
      <c r="AH84" s="21"/>
      <c r="AO84" s="21"/>
      <c r="AV84" s="21"/>
      <c r="BC84" s="21"/>
      <c r="BJ84" s="21"/>
      <c r="BQ84" s="21"/>
      <c r="BX84" s="21"/>
      <c r="CE84" s="21"/>
      <c r="CL84" s="21"/>
      <c r="CS84" s="21"/>
      <c r="CZ84" s="21"/>
      <c r="DG84" s="21"/>
      <c r="DN84" s="21"/>
      <c r="DU84" s="21"/>
      <c r="EB84" s="21"/>
    </row>
    <row r="85" spans="1:132" s="18" customFormat="1" ht="12" x14ac:dyDescent="0.25">
      <c r="A85" s="72">
        <v>2</v>
      </c>
      <c r="B85" s="69" t="s">
        <v>6</v>
      </c>
      <c r="C85" s="34">
        <f>AK42</f>
        <v>125448317.80324659</v>
      </c>
      <c r="P85" s="21"/>
      <c r="AC85" s="21"/>
      <c r="AH85" s="21"/>
      <c r="AO85" s="21"/>
      <c r="AV85" s="21"/>
      <c r="BC85" s="21"/>
      <c r="BJ85" s="21"/>
      <c r="BQ85" s="21"/>
      <c r="BX85" s="21"/>
      <c r="CE85" s="21"/>
      <c r="CL85" s="21"/>
      <c r="CS85" s="21"/>
      <c r="CZ85" s="21"/>
      <c r="DG85" s="21"/>
      <c r="DN85" s="21"/>
      <c r="DU85" s="21"/>
      <c r="EB85" s="21"/>
    </row>
    <row r="86" spans="1:132" s="18" customFormat="1" ht="12" x14ac:dyDescent="0.25">
      <c r="A86" s="72">
        <v>3</v>
      </c>
      <c r="B86" s="69" t="s">
        <v>7</v>
      </c>
      <c r="C86" s="34">
        <f>AL42</f>
        <v>362079601.90903103</v>
      </c>
      <c r="P86" s="21"/>
      <c r="AC86" s="21"/>
      <c r="AH86" s="21"/>
      <c r="AO86" s="21"/>
      <c r="AV86" s="21"/>
      <c r="BC86" s="21"/>
      <c r="BJ86" s="21"/>
      <c r="BQ86" s="21"/>
      <c r="BX86" s="21"/>
      <c r="CE86" s="21"/>
      <c r="CL86" s="21"/>
      <c r="CS86" s="21"/>
      <c r="CZ86" s="21"/>
      <c r="DG86" s="21"/>
      <c r="DN86" s="21"/>
      <c r="DU86" s="21"/>
      <c r="EB86" s="21"/>
    </row>
    <row r="87" spans="1:132" s="18" customFormat="1" ht="12" x14ac:dyDescent="0.25">
      <c r="A87" s="72">
        <v>4</v>
      </c>
      <c r="B87" s="69" t="s">
        <v>8</v>
      </c>
      <c r="C87" s="34">
        <f>AM42</f>
        <v>4698476344.7305355</v>
      </c>
      <c r="P87" s="21"/>
      <c r="AC87" s="21"/>
      <c r="AH87" s="21"/>
      <c r="AO87" s="21"/>
      <c r="AV87" s="21"/>
      <c r="BC87" s="21"/>
      <c r="BJ87" s="21"/>
      <c r="BQ87" s="21"/>
      <c r="BX87" s="21"/>
      <c r="CE87" s="21"/>
      <c r="CL87" s="21"/>
      <c r="CS87" s="21"/>
      <c r="CZ87" s="21"/>
      <c r="DG87" s="21"/>
      <c r="DN87" s="21"/>
      <c r="DU87" s="21"/>
      <c r="EB87" s="21"/>
    </row>
    <row r="88" spans="1:132" s="18" customFormat="1" ht="12" x14ac:dyDescent="0.25">
      <c r="A88" s="72"/>
      <c r="B88" s="69" t="s">
        <v>400</v>
      </c>
      <c r="C88" s="34">
        <f>AN42</f>
        <v>5573935549.0877752</v>
      </c>
      <c r="D88" s="51">
        <f>SUM(C84:C87)</f>
        <v>5573935549.0877743</v>
      </c>
      <c r="P88" s="21"/>
      <c r="AC88" s="21"/>
      <c r="AH88" s="21"/>
      <c r="AO88" s="21"/>
      <c r="AV88" s="21"/>
      <c r="BC88" s="21"/>
      <c r="BJ88" s="21"/>
      <c r="BQ88" s="21"/>
      <c r="BX88" s="21"/>
      <c r="CE88" s="21"/>
      <c r="CL88" s="21"/>
      <c r="CS88" s="21"/>
      <c r="CZ88" s="21"/>
      <c r="DG88" s="21"/>
      <c r="DN88" s="21"/>
      <c r="DU88" s="21"/>
      <c r="EB88" s="21"/>
    </row>
    <row r="89" spans="1:132" s="18" customFormat="1" ht="12" x14ac:dyDescent="0.25">
      <c r="A89" s="71"/>
      <c r="B89" s="66"/>
      <c r="C89" s="66"/>
      <c r="D89" s="66"/>
      <c r="P89" s="21"/>
      <c r="AC89" s="21"/>
      <c r="AH89" s="21"/>
      <c r="AO89" s="21"/>
      <c r="AV89" s="21"/>
      <c r="BC89" s="21"/>
      <c r="BJ89" s="21"/>
      <c r="BQ89" s="21"/>
      <c r="BX89" s="21"/>
      <c r="CE89" s="21"/>
      <c r="CL89" s="21"/>
      <c r="CS89" s="21"/>
      <c r="CZ89" s="21"/>
      <c r="DG89" s="21"/>
      <c r="DN89" s="21"/>
      <c r="DU89" s="21"/>
      <c r="EB89" s="21"/>
    </row>
    <row r="90" spans="1:132" s="18" customFormat="1" ht="12" x14ac:dyDescent="0.25">
      <c r="A90" s="21"/>
      <c r="P90" s="21"/>
      <c r="AC90" s="21"/>
      <c r="AH90" s="21"/>
      <c r="AO90" s="21"/>
      <c r="AV90" s="21"/>
      <c r="BC90" s="21"/>
      <c r="BJ90" s="21"/>
      <c r="BQ90" s="21"/>
      <c r="BX90" s="21"/>
      <c r="CE90" s="21"/>
      <c r="CL90" s="21"/>
      <c r="CS90" s="21"/>
      <c r="CZ90" s="21"/>
      <c r="DG90" s="21"/>
      <c r="DN90" s="21"/>
      <c r="DU90" s="21"/>
      <c r="EB90" s="21"/>
    </row>
    <row r="91" spans="1:132" s="79" customFormat="1" ht="12" x14ac:dyDescent="0.3">
      <c r="A91" s="84" t="s">
        <v>0</v>
      </c>
      <c r="B91" s="84" t="s">
        <v>60</v>
      </c>
      <c r="C91" s="77" t="s">
        <v>444</v>
      </c>
    </row>
    <row r="92" spans="1:132" s="18" customFormat="1" ht="12" x14ac:dyDescent="0.25">
      <c r="A92" s="72">
        <v>1</v>
      </c>
      <c r="B92" s="69" t="s">
        <v>401</v>
      </c>
      <c r="C92" s="34">
        <f>O4</f>
        <v>154088669.78155166</v>
      </c>
      <c r="P92" s="21"/>
      <c r="AC92" s="21"/>
      <c r="AH92" s="21"/>
      <c r="AO92" s="21"/>
      <c r="AV92" s="21"/>
      <c r="BC92" s="21"/>
      <c r="BJ92" s="21"/>
      <c r="BQ92" s="21"/>
      <c r="BX92" s="21"/>
      <c r="CE92" s="21"/>
      <c r="CL92" s="21"/>
      <c r="CS92" s="21"/>
      <c r="CZ92" s="21"/>
      <c r="DG92" s="21"/>
      <c r="DN92" s="21"/>
      <c r="DU92" s="21"/>
      <c r="EB92" s="21"/>
    </row>
    <row r="93" spans="1:132" s="18" customFormat="1" ht="12" x14ac:dyDescent="0.25">
      <c r="A93" s="72">
        <v>2</v>
      </c>
      <c r="B93" s="69" t="s">
        <v>402</v>
      </c>
      <c r="C93" s="34">
        <f t="shared" ref="C93:C120" si="35">O5</f>
        <v>2546155.6521259286</v>
      </c>
      <c r="P93" s="21"/>
      <c r="AC93" s="21"/>
      <c r="AH93" s="21"/>
      <c r="AO93" s="21"/>
      <c r="AV93" s="21"/>
      <c r="BC93" s="21"/>
      <c r="BJ93" s="21"/>
      <c r="BQ93" s="21"/>
      <c r="BX93" s="21"/>
      <c r="CE93" s="21"/>
      <c r="CL93" s="21"/>
      <c r="CS93" s="21"/>
      <c r="CZ93" s="21"/>
      <c r="DG93" s="21"/>
      <c r="DN93" s="21"/>
      <c r="DU93" s="21"/>
      <c r="EB93" s="21"/>
    </row>
    <row r="94" spans="1:132" s="18" customFormat="1" ht="12" x14ac:dyDescent="0.25">
      <c r="A94" s="72">
        <v>3</v>
      </c>
      <c r="B94" s="69" t="s">
        <v>403</v>
      </c>
      <c r="C94" s="34">
        <f t="shared" si="35"/>
        <v>23065478.24790797</v>
      </c>
      <c r="P94" s="21"/>
      <c r="AC94" s="21"/>
      <c r="AH94" s="21"/>
      <c r="AO94" s="21"/>
      <c r="AV94" s="21"/>
      <c r="BC94" s="21"/>
      <c r="BJ94" s="21"/>
      <c r="BQ94" s="21"/>
      <c r="BX94" s="21"/>
      <c r="CE94" s="21"/>
      <c r="CL94" s="21"/>
      <c r="CS94" s="21"/>
      <c r="CZ94" s="21"/>
      <c r="DG94" s="21"/>
      <c r="DN94" s="21"/>
      <c r="DU94" s="21"/>
      <c r="EB94" s="21"/>
    </row>
    <row r="95" spans="1:132" s="18" customFormat="1" ht="12" x14ac:dyDescent="0.25">
      <c r="A95" s="72">
        <v>4</v>
      </c>
      <c r="B95" s="69" t="s">
        <v>404</v>
      </c>
      <c r="C95" s="34">
        <f t="shared" si="35"/>
        <v>28751984.902312182</v>
      </c>
      <c r="P95" s="21"/>
      <c r="AC95" s="21"/>
      <c r="AH95" s="21"/>
      <c r="AO95" s="21"/>
      <c r="AV95" s="21"/>
      <c r="BC95" s="21"/>
      <c r="BJ95" s="21"/>
      <c r="BQ95" s="21"/>
      <c r="BX95" s="21"/>
      <c r="CE95" s="21"/>
      <c r="CL95" s="21"/>
      <c r="CS95" s="21"/>
      <c r="CZ95" s="21"/>
      <c r="DG95" s="21"/>
      <c r="DN95" s="21"/>
      <c r="DU95" s="21"/>
      <c r="EB95" s="21"/>
    </row>
    <row r="96" spans="1:132" s="18" customFormat="1" ht="12" x14ac:dyDescent="0.25">
      <c r="A96" s="72">
        <v>5</v>
      </c>
      <c r="B96" s="69" t="s">
        <v>405</v>
      </c>
      <c r="C96" s="34">
        <f t="shared" si="35"/>
        <v>86641068.187088564</v>
      </c>
      <c r="P96" s="21"/>
      <c r="AC96" s="21"/>
      <c r="AH96" s="21"/>
      <c r="AO96" s="21"/>
      <c r="AV96" s="21"/>
      <c r="BC96" s="21"/>
      <c r="BJ96" s="21"/>
      <c r="BQ96" s="21"/>
      <c r="BX96" s="21"/>
      <c r="CE96" s="21"/>
      <c r="CL96" s="21"/>
      <c r="CS96" s="21"/>
      <c r="CZ96" s="21"/>
      <c r="DG96" s="21"/>
      <c r="DN96" s="21"/>
      <c r="DU96" s="21"/>
      <c r="EB96" s="21"/>
    </row>
    <row r="97" spans="1:132" s="18" customFormat="1" ht="12" x14ac:dyDescent="0.25">
      <c r="A97" s="72">
        <v>6</v>
      </c>
      <c r="B97" s="69" t="s">
        <v>406</v>
      </c>
      <c r="C97" s="34">
        <f t="shared" si="35"/>
        <v>921566.56413066969</v>
      </c>
      <c r="P97" s="21"/>
      <c r="AC97" s="21"/>
      <c r="AH97" s="21"/>
      <c r="AO97" s="21"/>
      <c r="AV97" s="21"/>
      <c r="BC97" s="21"/>
      <c r="BJ97" s="21"/>
      <c r="BQ97" s="21"/>
      <c r="BX97" s="21"/>
      <c r="CE97" s="21"/>
      <c r="CL97" s="21"/>
      <c r="CS97" s="21"/>
      <c r="CZ97" s="21"/>
      <c r="DG97" s="21"/>
      <c r="DN97" s="21"/>
      <c r="DU97" s="21"/>
      <c r="EB97" s="21"/>
    </row>
    <row r="98" spans="1:132" s="18" customFormat="1" ht="12" x14ac:dyDescent="0.25">
      <c r="A98" s="72">
        <v>7</v>
      </c>
      <c r="B98" s="69" t="s">
        <v>407</v>
      </c>
      <c r="C98" s="34">
        <f t="shared" si="35"/>
        <v>58349166.348779902</v>
      </c>
      <c r="P98" s="21"/>
      <c r="AC98" s="21"/>
      <c r="AH98" s="21"/>
      <c r="AO98" s="21"/>
      <c r="AV98" s="21"/>
      <c r="BC98" s="21"/>
      <c r="BJ98" s="21"/>
      <c r="BQ98" s="21"/>
      <c r="BX98" s="21"/>
      <c r="CE98" s="21"/>
      <c r="CL98" s="21"/>
      <c r="CS98" s="21"/>
      <c r="CZ98" s="21"/>
      <c r="DG98" s="21"/>
      <c r="DN98" s="21"/>
      <c r="DU98" s="21"/>
      <c r="EB98" s="21"/>
    </row>
    <row r="99" spans="1:132" s="18" customFormat="1" ht="12" x14ac:dyDescent="0.25">
      <c r="A99" s="72">
        <v>8</v>
      </c>
      <c r="B99" s="69" t="s">
        <v>408</v>
      </c>
      <c r="C99" s="34">
        <f t="shared" si="35"/>
        <v>8720573.6226793565</v>
      </c>
      <c r="P99" s="21"/>
      <c r="AC99" s="21"/>
      <c r="AH99" s="21"/>
      <c r="AO99" s="21"/>
      <c r="AV99" s="21"/>
      <c r="BC99" s="21"/>
      <c r="BJ99" s="21"/>
      <c r="BQ99" s="21"/>
      <c r="BX99" s="21"/>
      <c r="CE99" s="21"/>
      <c r="CL99" s="21"/>
      <c r="CS99" s="21"/>
      <c r="CZ99" s="21"/>
      <c r="DG99" s="21"/>
      <c r="DN99" s="21"/>
      <c r="DU99" s="21"/>
      <c r="EB99" s="21"/>
    </row>
    <row r="100" spans="1:132" s="18" customFormat="1" ht="12" x14ac:dyDescent="0.25">
      <c r="A100" s="72">
        <v>9</v>
      </c>
      <c r="B100" s="69" t="s">
        <v>409</v>
      </c>
      <c r="C100" s="34">
        <f t="shared" si="35"/>
        <v>28615761.338009287</v>
      </c>
      <c r="P100" s="21"/>
      <c r="AC100" s="21"/>
      <c r="AH100" s="21"/>
      <c r="AO100" s="21"/>
      <c r="AV100" s="21"/>
      <c r="BC100" s="21"/>
      <c r="BJ100" s="21"/>
      <c r="BQ100" s="21"/>
      <c r="BX100" s="21"/>
      <c r="CE100" s="21"/>
      <c r="CL100" s="21"/>
      <c r="CS100" s="21"/>
      <c r="CZ100" s="21"/>
      <c r="DG100" s="21"/>
      <c r="DN100" s="21"/>
      <c r="DU100" s="21"/>
      <c r="EB100" s="21"/>
    </row>
    <row r="101" spans="1:132" s="18" customFormat="1" ht="12" x14ac:dyDescent="0.25">
      <c r="A101" s="72">
        <v>10</v>
      </c>
      <c r="B101" s="69" t="s">
        <v>410</v>
      </c>
      <c r="C101" s="34">
        <f t="shared" si="35"/>
        <v>2810542939.1149225</v>
      </c>
      <c r="P101" s="21"/>
      <c r="AC101" s="21"/>
      <c r="AH101" s="21"/>
      <c r="AO101" s="21"/>
      <c r="AV101" s="21"/>
      <c r="BC101" s="21"/>
      <c r="BJ101" s="21"/>
      <c r="BQ101" s="21"/>
      <c r="BX101" s="21"/>
      <c r="CE101" s="21"/>
      <c r="CL101" s="21"/>
      <c r="CS101" s="21"/>
      <c r="CZ101" s="21"/>
      <c r="DG101" s="21"/>
      <c r="DN101" s="21"/>
      <c r="DU101" s="21"/>
      <c r="EB101" s="21"/>
    </row>
    <row r="102" spans="1:132" s="18" customFormat="1" ht="12" x14ac:dyDescent="0.25">
      <c r="A102" s="72">
        <v>11</v>
      </c>
      <c r="B102" s="69" t="s">
        <v>411</v>
      </c>
      <c r="C102" s="34">
        <f t="shared" si="35"/>
        <v>1255530.7515687551</v>
      </c>
      <c r="P102" s="21"/>
      <c r="AC102" s="21"/>
      <c r="AH102" s="21"/>
      <c r="AO102" s="21"/>
      <c r="AV102" s="21"/>
      <c r="BC102" s="21"/>
      <c r="BJ102" s="21"/>
      <c r="BQ102" s="21"/>
      <c r="BX102" s="21"/>
      <c r="CE102" s="21"/>
      <c r="CL102" s="21"/>
      <c r="CS102" s="21"/>
      <c r="CZ102" s="21"/>
      <c r="DG102" s="21"/>
      <c r="DN102" s="21"/>
      <c r="DU102" s="21"/>
      <c r="EB102" s="21"/>
    </row>
    <row r="103" spans="1:132" s="18" customFormat="1" ht="12" x14ac:dyDescent="0.25">
      <c r="A103" s="72">
        <v>12</v>
      </c>
      <c r="B103" s="69" t="s">
        <v>412</v>
      </c>
      <c r="C103" s="34">
        <f t="shared" si="35"/>
        <v>89326671.947162509</v>
      </c>
      <c r="P103" s="21"/>
      <c r="AC103" s="21"/>
      <c r="AH103" s="21"/>
      <c r="AO103" s="21"/>
      <c r="AV103" s="21"/>
      <c r="BC103" s="21"/>
      <c r="BJ103" s="21"/>
      <c r="BQ103" s="21"/>
      <c r="BX103" s="21"/>
      <c r="CE103" s="21"/>
      <c r="CL103" s="21"/>
      <c r="CS103" s="21"/>
      <c r="CZ103" s="21"/>
      <c r="DG103" s="21"/>
      <c r="DN103" s="21"/>
      <c r="DU103" s="21"/>
      <c r="EB103" s="21"/>
    </row>
    <row r="104" spans="1:132" s="18" customFormat="1" ht="12" x14ac:dyDescent="0.25">
      <c r="A104" s="72">
        <v>13</v>
      </c>
      <c r="B104" s="69" t="s">
        <v>413</v>
      </c>
      <c r="C104" s="34">
        <f t="shared" si="35"/>
        <v>6987586.2774059894</v>
      </c>
      <c r="P104" s="21"/>
      <c r="AC104" s="21"/>
      <c r="AH104" s="21"/>
      <c r="AO104" s="21"/>
      <c r="AV104" s="21"/>
      <c r="BC104" s="21"/>
      <c r="BJ104" s="21"/>
      <c r="BQ104" s="21"/>
      <c r="BX104" s="21"/>
      <c r="CE104" s="21"/>
      <c r="CL104" s="21"/>
      <c r="CS104" s="21"/>
      <c r="CZ104" s="21"/>
      <c r="DG104" s="21"/>
      <c r="DN104" s="21"/>
      <c r="DU104" s="21"/>
      <c r="EB104" s="21"/>
    </row>
    <row r="105" spans="1:132" s="18" customFormat="1" ht="12" x14ac:dyDescent="0.25">
      <c r="A105" s="72">
        <v>14</v>
      </c>
      <c r="B105" s="69" t="s">
        <v>414</v>
      </c>
      <c r="C105" s="34">
        <f t="shared" si="35"/>
        <v>281133171.36491001</v>
      </c>
      <c r="P105" s="21"/>
      <c r="AC105" s="21"/>
      <c r="AH105" s="21"/>
      <c r="AO105" s="21"/>
      <c r="AV105" s="21"/>
      <c r="BC105" s="21"/>
      <c r="BJ105" s="21"/>
      <c r="BQ105" s="21"/>
      <c r="BX105" s="21"/>
      <c r="CE105" s="21"/>
      <c r="CL105" s="21"/>
      <c r="CS105" s="21"/>
      <c r="CZ105" s="21"/>
      <c r="DG105" s="21"/>
      <c r="DN105" s="21"/>
      <c r="DU105" s="21"/>
      <c r="EB105" s="21"/>
    </row>
    <row r="106" spans="1:132" s="18" customFormat="1" ht="12" x14ac:dyDescent="0.25">
      <c r="A106" s="72">
        <v>15</v>
      </c>
      <c r="B106" s="69" t="s">
        <v>415</v>
      </c>
      <c r="C106" s="34">
        <f t="shared" si="35"/>
        <v>317990904.44893855</v>
      </c>
      <c r="P106" s="21"/>
      <c r="AC106" s="21"/>
      <c r="AH106" s="21"/>
      <c r="AO106" s="21"/>
      <c r="AV106" s="21"/>
      <c r="BC106" s="21"/>
      <c r="BJ106" s="21"/>
      <c r="BQ106" s="21"/>
      <c r="BX106" s="21"/>
      <c r="CE106" s="21"/>
      <c r="CL106" s="21"/>
      <c r="CS106" s="21"/>
      <c r="CZ106" s="21"/>
      <c r="DG106" s="21"/>
      <c r="DN106" s="21"/>
      <c r="DU106" s="21"/>
      <c r="EB106" s="21"/>
    </row>
    <row r="107" spans="1:132" s="18" customFormat="1" ht="12" x14ac:dyDescent="0.25">
      <c r="A107" s="72">
        <v>16</v>
      </c>
      <c r="B107" s="69" t="s">
        <v>416</v>
      </c>
      <c r="C107" s="34">
        <f t="shared" si="35"/>
        <v>60415920.80398038</v>
      </c>
      <c r="P107" s="21"/>
      <c r="AC107" s="21"/>
      <c r="AH107" s="21"/>
      <c r="AO107" s="21"/>
      <c r="AV107" s="21"/>
      <c r="BC107" s="21"/>
      <c r="BJ107" s="21"/>
      <c r="BQ107" s="21"/>
      <c r="BX107" s="21"/>
      <c r="CE107" s="21"/>
      <c r="CL107" s="21"/>
      <c r="CS107" s="21"/>
      <c r="CZ107" s="21"/>
      <c r="DG107" s="21"/>
      <c r="DN107" s="21"/>
      <c r="DU107" s="21"/>
      <c r="EB107" s="21"/>
    </row>
    <row r="108" spans="1:132" s="18" customFormat="1" ht="12" x14ac:dyDescent="0.25">
      <c r="A108" s="72">
        <v>17</v>
      </c>
      <c r="B108" s="69" t="s">
        <v>417</v>
      </c>
      <c r="C108" s="34">
        <f t="shared" si="35"/>
        <v>443097.24243581831</v>
      </c>
      <c r="P108" s="21"/>
      <c r="AC108" s="21"/>
      <c r="AH108" s="21"/>
      <c r="AO108" s="21"/>
      <c r="AV108" s="21"/>
      <c r="BC108" s="21"/>
      <c r="BJ108" s="21"/>
      <c r="BQ108" s="21"/>
      <c r="BX108" s="21"/>
      <c r="CE108" s="21"/>
      <c r="CL108" s="21"/>
      <c r="CS108" s="21"/>
      <c r="CZ108" s="21"/>
      <c r="DG108" s="21"/>
      <c r="DN108" s="21"/>
      <c r="DU108" s="21"/>
      <c r="EB108" s="21"/>
    </row>
    <row r="109" spans="1:132" s="18" customFormat="1" ht="12" x14ac:dyDescent="0.25">
      <c r="A109" s="72">
        <v>18</v>
      </c>
      <c r="B109" s="69" t="s">
        <v>418</v>
      </c>
      <c r="C109" s="34">
        <f t="shared" si="35"/>
        <v>95700.084889194637</v>
      </c>
      <c r="P109" s="21"/>
      <c r="AC109" s="21"/>
      <c r="AH109" s="21"/>
      <c r="AO109" s="21"/>
      <c r="AV109" s="21"/>
      <c r="BC109" s="21"/>
      <c r="BJ109" s="21"/>
      <c r="BQ109" s="21"/>
      <c r="BX109" s="21"/>
      <c r="CE109" s="21"/>
      <c r="CL109" s="21"/>
      <c r="CS109" s="21"/>
      <c r="CZ109" s="21"/>
      <c r="DG109" s="21"/>
      <c r="DN109" s="21"/>
      <c r="DU109" s="21"/>
      <c r="EB109" s="21"/>
    </row>
    <row r="110" spans="1:132" s="18" customFormat="1" ht="12" x14ac:dyDescent="0.25">
      <c r="A110" s="72">
        <v>19</v>
      </c>
      <c r="B110" s="69" t="s">
        <v>419</v>
      </c>
      <c r="C110" s="34">
        <f t="shared" si="35"/>
        <v>5245084.2670079879</v>
      </c>
      <c r="P110" s="21"/>
      <c r="AC110" s="21"/>
      <c r="AH110" s="21"/>
      <c r="AO110" s="21"/>
      <c r="AV110" s="21"/>
      <c r="BC110" s="21"/>
      <c r="BJ110" s="21"/>
      <c r="BQ110" s="21"/>
      <c r="BX110" s="21"/>
      <c r="CE110" s="21"/>
      <c r="CL110" s="21"/>
      <c r="CS110" s="21"/>
      <c r="CZ110" s="21"/>
      <c r="DG110" s="21"/>
      <c r="DN110" s="21"/>
      <c r="DU110" s="21"/>
      <c r="EB110" s="21"/>
    </row>
    <row r="111" spans="1:132" s="18" customFormat="1" ht="12" x14ac:dyDescent="0.25">
      <c r="A111" s="72">
        <v>20</v>
      </c>
      <c r="B111" s="69" t="s">
        <v>420</v>
      </c>
      <c r="C111" s="34">
        <f t="shared" si="35"/>
        <v>4741981.7021493185</v>
      </c>
      <c r="P111" s="21"/>
      <c r="AC111" s="21"/>
      <c r="AH111" s="21"/>
      <c r="AO111" s="21"/>
      <c r="AV111" s="21"/>
      <c r="BC111" s="21"/>
      <c r="BJ111" s="21"/>
      <c r="BQ111" s="21"/>
      <c r="BX111" s="21"/>
      <c r="CE111" s="21"/>
      <c r="CL111" s="21"/>
      <c r="CS111" s="21"/>
      <c r="CZ111" s="21"/>
      <c r="DG111" s="21"/>
      <c r="DN111" s="21"/>
      <c r="DU111" s="21"/>
      <c r="EB111" s="21"/>
    </row>
    <row r="112" spans="1:132" s="18" customFormat="1" ht="12" x14ac:dyDescent="0.25">
      <c r="A112" s="72">
        <v>21</v>
      </c>
      <c r="B112" s="69" t="s">
        <v>421</v>
      </c>
      <c r="C112" s="34">
        <f t="shared" si="35"/>
        <v>839939.61700252153</v>
      </c>
      <c r="P112" s="21"/>
      <c r="AC112" s="21"/>
      <c r="AH112" s="21"/>
      <c r="AO112" s="21"/>
      <c r="AV112" s="21"/>
      <c r="BC112" s="21"/>
      <c r="BJ112" s="21"/>
      <c r="BQ112" s="21"/>
      <c r="BX112" s="21"/>
      <c r="CE112" s="21"/>
      <c r="CL112" s="21"/>
      <c r="CS112" s="21"/>
      <c r="CZ112" s="21"/>
      <c r="DG112" s="21"/>
      <c r="DN112" s="21"/>
      <c r="DU112" s="21"/>
      <c r="EB112" s="21"/>
    </row>
    <row r="113" spans="1:132" s="18" customFormat="1" ht="12" x14ac:dyDescent="0.25">
      <c r="A113" s="72">
        <v>22</v>
      </c>
      <c r="B113" s="69" t="s">
        <v>422</v>
      </c>
      <c r="C113" s="34">
        <f t="shared" si="35"/>
        <v>8258248.52635225</v>
      </c>
      <c r="P113" s="21"/>
      <c r="AC113" s="21"/>
      <c r="AH113" s="21"/>
      <c r="AO113" s="21"/>
      <c r="AV113" s="21"/>
      <c r="BC113" s="21"/>
      <c r="BJ113" s="21"/>
      <c r="BQ113" s="21"/>
      <c r="BX113" s="21"/>
      <c r="CE113" s="21"/>
      <c r="CL113" s="21"/>
      <c r="CS113" s="21"/>
      <c r="CZ113" s="21"/>
      <c r="DG113" s="21"/>
      <c r="DN113" s="21"/>
      <c r="DU113" s="21"/>
      <c r="EB113" s="21"/>
    </row>
    <row r="114" spans="1:132" s="18" customFormat="1" ht="12" x14ac:dyDescent="0.25">
      <c r="A114" s="72">
        <v>23</v>
      </c>
      <c r="B114" s="69" t="s">
        <v>423</v>
      </c>
      <c r="C114" s="34">
        <f t="shared" si="35"/>
        <v>329975465.28173709</v>
      </c>
      <c r="P114" s="21"/>
      <c r="AC114" s="21"/>
      <c r="AH114" s="21"/>
      <c r="AO114" s="21"/>
      <c r="AV114" s="21"/>
      <c r="BC114" s="21"/>
      <c r="BJ114" s="21"/>
      <c r="BQ114" s="21"/>
      <c r="BX114" s="21"/>
      <c r="CE114" s="21"/>
      <c r="CL114" s="21"/>
      <c r="CS114" s="21"/>
      <c r="CZ114" s="21"/>
      <c r="DG114" s="21"/>
      <c r="DN114" s="21"/>
      <c r="DU114" s="21"/>
      <c r="EB114" s="21"/>
    </row>
    <row r="115" spans="1:132" s="18" customFormat="1" ht="12" x14ac:dyDescent="0.25">
      <c r="A115" s="72">
        <v>24</v>
      </c>
      <c r="B115" s="69" t="s">
        <v>424</v>
      </c>
      <c r="C115" s="34">
        <f t="shared" si="35"/>
        <v>86329742.072347775</v>
      </c>
      <c r="P115" s="21"/>
      <c r="AC115" s="21"/>
      <c r="AH115" s="21"/>
      <c r="AO115" s="21"/>
      <c r="AV115" s="21"/>
      <c r="BC115" s="21"/>
      <c r="BJ115" s="21"/>
      <c r="BQ115" s="21"/>
      <c r="BX115" s="21"/>
      <c r="CE115" s="21"/>
      <c r="CL115" s="21"/>
      <c r="CS115" s="21"/>
      <c r="CZ115" s="21"/>
      <c r="DG115" s="21"/>
      <c r="DN115" s="21"/>
      <c r="DU115" s="21"/>
      <c r="EB115" s="21"/>
    </row>
    <row r="116" spans="1:132" s="18" customFormat="1" ht="12" x14ac:dyDescent="0.25">
      <c r="A116" s="72">
        <v>25</v>
      </c>
      <c r="B116" s="69" t="s">
        <v>425</v>
      </c>
      <c r="C116" s="34">
        <f t="shared" si="35"/>
        <v>17563860.849763904</v>
      </c>
      <c r="P116" s="21"/>
      <c r="AC116" s="21"/>
      <c r="AH116" s="21"/>
      <c r="AO116" s="21"/>
      <c r="AV116" s="21"/>
      <c r="BC116" s="21"/>
      <c r="BJ116" s="21"/>
      <c r="BQ116" s="21"/>
      <c r="BX116" s="21"/>
      <c r="CE116" s="21"/>
      <c r="CL116" s="21"/>
      <c r="CS116" s="21"/>
      <c r="CZ116" s="21"/>
      <c r="DG116" s="21"/>
      <c r="DN116" s="21"/>
      <c r="DU116" s="21"/>
      <c r="EB116" s="21"/>
    </row>
    <row r="117" spans="1:132" s="18" customFormat="1" ht="12" x14ac:dyDescent="0.25">
      <c r="A117" s="72">
        <v>26</v>
      </c>
      <c r="B117" s="69" t="s">
        <v>426</v>
      </c>
      <c r="C117" s="34">
        <f t="shared" si="35"/>
        <v>514676.36793120252</v>
      </c>
      <c r="P117" s="21"/>
      <c r="AC117" s="21"/>
      <c r="AH117" s="21"/>
      <c r="AO117" s="21"/>
      <c r="AV117" s="21"/>
      <c r="BC117" s="21"/>
      <c r="BJ117" s="21"/>
      <c r="BQ117" s="21"/>
      <c r="BX117" s="21"/>
      <c r="CE117" s="21"/>
      <c r="CL117" s="21"/>
      <c r="CS117" s="21"/>
      <c r="CZ117" s="21"/>
      <c r="DG117" s="21"/>
      <c r="DN117" s="21"/>
      <c r="DU117" s="21"/>
      <c r="EB117" s="21"/>
    </row>
    <row r="118" spans="1:132" s="18" customFormat="1" ht="12" x14ac:dyDescent="0.25">
      <c r="A118" s="72">
        <v>27</v>
      </c>
      <c r="B118" s="69" t="s">
        <v>427</v>
      </c>
      <c r="C118" s="34">
        <f t="shared" si="35"/>
        <v>37870824.093145072</v>
      </c>
      <c r="P118" s="21"/>
      <c r="AC118" s="21"/>
      <c r="AH118" s="21"/>
      <c r="AO118" s="21"/>
      <c r="AV118" s="21"/>
      <c r="BC118" s="21"/>
      <c r="BJ118" s="21"/>
      <c r="BQ118" s="21"/>
      <c r="BX118" s="21"/>
      <c r="CE118" s="21"/>
      <c r="CL118" s="21"/>
      <c r="CS118" s="21"/>
      <c r="CZ118" s="21"/>
      <c r="DG118" s="21"/>
      <c r="DN118" s="21"/>
      <c r="DU118" s="21"/>
      <c r="EB118" s="21"/>
    </row>
    <row r="119" spans="1:132" s="18" customFormat="1" ht="12" x14ac:dyDescent="0.25">
      <c r="A119" s="72">
        <v>28</v>
      </c>
      <c r="B119" s="69" t="s">
        <v>428</v>
      </c>
      <c r="C119" s="34">
        <f t="shared" si="35"/>
        <v>11507646.950949615</v>
      </c>
      <c r="P119" s="21"/>
      <c r="AC119" s="21"/>
      <c r="AH119" s="21"/>
      <c r="AO119" s="21"/>
      <c r="AV119" s="21"/>
      <c r="BC119" s="21"/>
      <c r="BJ119" s="21"/>
      <c r="BQ119" s="21"/>
      <c r="BX119" s="21"/>
      <c r="CE119" s="21"/>
      <c r="CL119" s="21"/>
      <c r="CS119" s="21"/>
      <c r="CZ119" s="21"/>
      <c r="DG119" s="21"/>
      <c r="DN119" s="21"/>
      <c r="DU119" s="21"/>
      <c r="EB119" s="21"/>
    </row>
    <row r="120" spans="1:132" s="18" customFormat="1" ht="12" x14ac:dyDescent="0.25">
      <c r="A120" s="72">
        <v>29</v>
      </c>
      <c r="B120" s="69" t="s">
        <v>429</v>
      </c>
      <c r="C120" s="34">
        <f t="shared" si="35"/>
        <v>64105806.283081755</v>
      </c>
      <c r="P120" s="21"/>
      <c r="AC120" s="21"/>
      <c r="AH120" s="21"/>
      <c r="AO120" s="21"/>
      <c r="AV120" s="21"/>
      <c r="BC120" s="21"/>
      <c r="BJ120" s="21"/>
      <c r="BQ120" s="21"/>
      <c r="BX120" s="21"/>
      <c r="CE120" s="21"/>
      <c r="CL120" s="21"/>
      <c r="CS120" s="21"/>
      <c r="CZ120" s="21"/>
      <c r="DG120" s="21"/>
      <c r="DN120" s="21"/>
      <c r="DU120" s="21"/>
      <c r="EB120" s="21"/>
    </row>
    <row r="121" spans="1:132" s="18" customFormat="1" ht="12" x14ac:dyDescent="0.25">
      <c r="A121" s="72">
        <v>30</v>
      </c>
      <c r="B121" s="69" t="s">
        <v>430</v>
      </c>
      <c r="C121" s="34">
        <f>O33</f>
        <v>17276703.563690957</v>
      </c>
      <c r="P121" s="21"/>
      <c r="AC121" s="21"/>
      <c r="AH121" s="21"/>
      <c r="AO121" s="21"/>
      <c r="AV121" s="21"/>
      <c r="BC121" s="21"/>
      <c r="BJ121" s="21"/>
      <c r="BQ121" s="21"/>
      <c r="BX121" s="21"/>
      <c r="CE121" s="21"/>
      <c r="CL121" s="21"/>
      <c r="CS121" s="21"/>
      <c r="CZ121" s="21"/>
      <c r="DG121" s="21"/>
      <c r="DN121" s="21"/>
      <c r="DU121" s="21"/>
      <c r="EB121" s="21"/>
    </row>
    <row r="122" spans="1:132" s="18" customFormat="1" ht="12" x14ac:dyDescent="0.25">
      <c r="A122" s="72">
        <v>31</v>
      </c>
      <c r="B122" s="69" t="s">
        <v>431</v>
      </c>
      <c r="C122" s="34">
        <f t="shared" ref="C122:C129" si="36">O34</f>
        <v>943654.64371343725</v>
      </c>
      <c r="P122" s="21"/>
      <c r="AC122" s="21"/>
      <c r="AH122" s="21"/>
      <c r="AO122" s="21"/>
      <c r="AV122" s="21"/>
      <c r="BC122" s="21"/>
      <c r="BJ122" s="21"/>
      <c r="BQ122" s="21"/>
      <c r="BX122" s="21"/>
      <c r="CE122" s="21"/>
      <c r="CL122" s="21"/>
      <c r="CS122" s="21"/>
      <c r="CZ122" s="21"/>
      <c r="DG122" s="21"/>
      <c r="DN122" s="21"/>
      <c r="DU122" s="21"/>
      <c r="EB122" s="21"/>
    </row>
    <row r="123" spans="1:132" s="18" customFormat="1" ht="12" x14ac:dyDescent="0.25">
      <c r="A123" s="72">
        <v>32</v>
      </c>
      <c r="B123" s="69" t="s">
        <v>432</v>
      </c>
      <c r="C123" s="34">
        <f t="shared" si="36"/>
        <v>4788.2010972116723</v>
      </c>
      <c r="P123" s="21"/>
      <c r="AC123" s="21"/>
      <c r="AH123" s="21"/>
      <c r="AO123" s="21"/>
      <c r="AV123" s="21"/>
      <c r="BC123" s="21"/>
      <c r="BJ123" s="21"/>
      <c r="BQ123" s="21"/>
      <c r="BX123" s="21"/>
      <c r="CE123" s="21"/>
      <c r="CL123" s="21"/>
      <c r="CS123" s="21"/>
      <c r="CZ123" s="21"/>
      <c r="DG123" s="21"/>
      <c r="DN123" s="21"/>
      <c r="DU123" s="21"/>
      <c r="EB123" s="21"/>
    </row>
    <row r="124" spans="1:132" s="18" customFormat="1" ht="12" x14ac:dyDescent="0.25">
      <c r="A124" s="72">
        <v>33</v>
      </c>
      <c r="B124" s="69" t="s">
        <v>433</v>
      </c>
      <c r="C124" s="34">
        <f t="shared" si="36"/>
        <v>550437882.58349967</v>
      </c>
      <c r="P124" s="21"/>
      <c r="AC124" s="21"/>
      <c r="AH124" s="21"/>
      <c r="AO124" s="21"/>
      <c r="AV124" s="21"/>
      <c r="BC124" s="21"/>
      <c r="BJ124" s="21"/>
      <c r="BQ124" s="21"/>
      <c r="BX124" s="21"/>
      <c r="CE124" s="21"/>
      <c r="CL124" s="21"/>
      <c r="CS124" s="21"/>
      <c r="CZ124" s="21"/>
      <c r="DG124" s="21"/>
      <c r="DN124" s="21"/>
      <c r="DU124" s="21"/>
      <c r="EB124" s="21"/>
    </row>
    <row r="125" spans="1:132" s="18" customFormat="1" ht="12" x14ac:dyDescent="0.25">
      <c r="A125" s="72">
        <v>34</v>
      </c>
      <c r="B125" s="69" t="s">
        <v>434</v>
      </c>
      <c r="C125" s="34">
        <f t="shared" si="36"/>
        <v>75731639.268172085</v>
      </c>
      <c r="P125" s="21"/>
      <c r="AC125" s="21"/>
      <c r="AH125" s="21"/>
      <c r="AO125" s="21"/>
      <c r="AV125" s="21"/>
      <c r="BC125" s="21"/>
      <c r="BJ125" s="21"/>
      <c r="BQ125" s="21"/>
      <c r="BX125" s="21"/>
      <c r="CE125" s="21"/>
      <c r="CL125" s="21"/>
      <c r="CS125" s="21"/>
      <c r="CZ125" s="21"/>
      <c r="DG125" s="21"/>
      <c r="DN125" s="21"/>
      <c r="DU125" s="21"/>
      <c r="EB125" s="21"/>
    </row>
    <row r="126" spans="1:132" s="18" customFormat="1" ht="12" x14ac:dyDescent="0.25">
      <c r="A126" s="72">
        <v>35</v>
      </c>
      <c r="B126" s="69" t="s">
        <v>435</v>
      </c>
      <c r="C126" s="34">
        <f t="shared" si="36"/>
        <v>238860.97415625624</v>
      </c>
      <c r="P126" s="21"/>
      <c r="AC126" s="21"/>
      <c r="AH126" s="21"/>
      <c r="AO126" s="21"/>
      <c r="AV126" s="21"/>
      <c r="BC126" s="21"/>
      <c r="BJ126" s="21"/>
      <c r="BQ126" s="21"/>
      <c r="BX126" s="21"/>
      <c r="CE126" s="21"/>
      <c r="CL126" s="21"/>
      <c r="CS126" s="21"/>
      <c r="CZ126" s="21"/>
      <c r="DG126" s="21"/>
      <c r="DN126" s="21"/>
      <c r="DU126" s="21"/>
      <c r="EB126" s="21"/>
    </row>
    <row r="127" spans="1:132" s="18" customFormat="1" ht="12" x14ac:dyDescent="0.25">
      <c r="A127" s="72">
        <v>36</v>
      </c>
      <c r="B127" s="69" t="s">
        <v>436</v>
      </c>
      <c r="C127" s="34">
        <f t="shared" si="36"/>
        <v>1394106.3517487121</v>
      </c>
      <c r="P127" s="21"/>
      <c r="AC127" s="21"/>
      <c r="AH127" s="21"/>
      <c r="AO127" s="21"/>
      <c r="AV127" s="21"/>
      <c r="BC127" s="21"/>
      <c r="BJ127" s="21"/>
      <c r="BQ127" s="21"/>
      <c r="BX127" s="21"/>
      <c r="CE127" s="21"/>
      <c r="CL127" s="21"/>
      <c r="CS127" s="21"/>
      <c r="CZ127" s="21"/>
      <c r="DG127" s="21"/>
      <c r="DN127" s="21"/>
      <c r="DU127" s="21"/>
      <c r="EB127" s="21"/>
    </row>
    <row r="128" spans="1:132" s="18" customFormat="1" ht="12" x14ac:dyDescent="0.25">
      <c r="A128" s="72">
        <v>37</v>
      </c>
      <c r="B128" s="69" t="s">
        <v>437</v>
      </c>
      <c r="C128" s="34">
        <f t="shared" si="36"/>
        <v>400796561.59549594</v>
      </c>
      <c r="P128" s="21"/>
      <c r="AC128" s="21"/>
      <c r="AH128" s="21"/>
      <c r="AO128" s="21"/>
      <c r="AV128" s="21"/>
      <c r="BC128" s="21"/>
      <c r="BJ128" s="21"/>
      <c r="BQ128" s="21"/>
      <c r="BX128" s="21"/>
      <c r="CE128" s="21"/>
      <c r="CL128" s="21"/>
      <c r="CS128" s="21"/>
      <c r="CZ128" s="21"/>
      <c r="DG128" s="21"/>
      <c r="DN128" s="21"/>
      <c r="DU128" s="21"/>
      <c r="EB128" s="21"/>
    </row>
    <row r="129" spans="1:132" s="18" customFormat="1" ht="12" x14ac:dyDescent="0.25">
      <c r="A129" s="72">
        <v>38</v>
      </c>
      <c r="B129" s="69" t="s">
        <v>438</v>
      </c>
      <c r="C129" s="34">
        <f t="shared" si="36"/>
        <v>266129.21393109113</v>
      </c>
      <c r="P129" s="21"/>
      <c r="AC129" s="21"/>
      <c r="AH129" s="21"/>
      <c r="AO129" s="21"/>
      <c r="AV129" s="21"/>
      <c r="BC129" s="21"/>
      <c r="BJ129" s="21"/>
      <c r="BQ129" s="21"/>
      <c r="BX129" s="21"/>
      <c r="CE129" s="21"/>
      <c r="CL129" s="21"/>
      <c r="CS129" s="21"/>
      <c r="CZ129" s="21"/>
      <c r="DG129" s="21"/>
      <c r="DN129" s="21"/>
      <c r="DU129" s="21"/>
      <c r="EB129" s="21"/>
    </row>
    <row r="130" spans="1:132" s="18" customFormat="1" ht="12" x14ac:dyDescent="0.25">
      <c r="A130" s="72"/>
      <c r="B130" s="69" t="s">
        <v>400</v>
      </c>
      <c r="C130" s="34">
        <f>SUM(C92:C129)</f>
        <v>5573935549.0877752</v>
      </c>
      <c r="P130" s="21"/>
      <c r="AC130" s="21"/>
      <c r="AH130" s="21"/>
      <c r="AO130" s="21"/>
      <c r="AV130" s="21"/>
      <c r="BC130" s="21"/>
      <c r="BJ130" s="21"/>
      <c r="BQ130" s="21"/>
      <c r="BX130" s="21"/>
      <c r="CE130" s="21"/>
      <c r="CL130" s="21"/>
      <c r="CS130" s="21"/>
      <c r="CZ130" s="21"/>
      <c r="DG130" s="21"/>
      <c r="DN130" s="21"/>
      <c r="DU130" s="21"/>
      <c r="EB130" s="21"/>
    </row>
  </sheetData>
  <mergeCells count="90">
    <mergeCell ref="A2:A3"/>
    <mergeCell ref="B2:B3"/>
    <mergeCell ref="C2:N2"/>
    <mergeCell ref="AB2:AB3"/>
    <mergeCell ref="AC2:AC3"/>
    <mergeCell ref="AD2:AD3"/>
    <mergeCell ref="O2:O3"/>
    <mergeCell ref="AX2:BA2"/>
    <mergeCell ref="DG2:DG3"/>
    <mergeCell ref="DH2:DH3"/>
    <mergeCell ref="CY2:CY3"/>
    <mergeCell ref="CK2:CK3"/>
    <mergeCell ref="CL2:CL3"/>
    <mergeCell ref="CM2:CM3"/>
    <mergeCell ref="CN2:CQ2"/>
    <mergeCell ref="CR2:CR3"/>
    <mergeCell ref="BW2:BW3"/>
    <mergeCell ref="BP2:BP3"/>
    <mergeCell ref="BQ2:BQ3"/>
    <mergeCell ref="BR2:BR3"/>
    <mergeCell ref="BS2:BV2"/>
    <mergeCell ref="DI2:DL2"/>
    <mergeCell ref="AW2:AW3"/>
    <mergeCell ref="AH2:AH3"/>
    <mergeCell ref="AI2:AI3"/>
    <mergeCell ref="AJ2:AM2"/>
    <mergeCell ref="AN2:AN3"/>
    <mergeCell ref="AO2:AO3"/>
    <mergeCell ref="AP2:AP3"/>
    <mergeCell ref="AQ2:AT2"/>
    <mergeCell ref="AU2:AU3"/>
    <mergeCell ref="AV2:AV3"/>
    <mergeCell ref="BB2:BB3"/>
    <mergeCell ref="DF2:DF3"/>
    <mergeCell ref="CS2:CS3"/>
    <mergeCell ref="CT2:CT3"/>
    <mergeCell ref="CU2:CX2"/>
    <mergeCell ref="EB2:EB3"/>
    <mergeCell ref="EC2:EC3"/>
    <mergeCell ref="ED2:EG2"/>
    <mergeCell ref="EH2:EH3"/>
    <mergeCell ref="CZ2:CZ3"/>
    <mergeCell ref="DA2:DA3"/>
    <mergeCell ref="DB2:DE2"/>
    <mergeCell ref="DM2:DM3"/>
    <mergeCell ref="DN2:DN3"/>
    <mergeCell ref="DO2:DO3"/>
    <mergeCell ref="DP2:DS2"/>
    <mergeCell ref="DT2:DT3"/>
    <mergeCell ref="DU2:DU3"/>
    <mergeCell ref="DV2:DV3"/>
    <mergeCell ref="DW2:DZ2"/>
    <mergeCell ref="EA2:EA3"/>
    <mergeCell ref="AV1:BB1"/>
    <mergeCell ref="A1:O1"/>
    <mergeCell ref="P1:AB1"/>
    <mergeCell ref="CG2:CJ2"/>
    <mergeCell ref="BX2:BX3"/>
    <mergeCell ref="BY2:BY3"/>
    <mergeCell ref="BZ2:CC2"/>
    <mergeCell ref="CD2:CD3"/>
    <mergeCell ref="CE2:CE3"/>
    <mergeCell ref="CF2:CF3"/>
    <mergeCell ref="AE2:AF2"/>
    <mergeCell ref="AG2:AG3"/>
    <mergeCell ref="P2:P3"/>
    <mergeCell ref="Q2:Q3"/>
    <mergeCell ref="R2:AA2"/>
    <mergeCell ref="BL2:BO2"/>
    <mergeCell ref="CL1:CR1"/>
    <mergeCell ref="CS1:CY1"/>
    <mergeCell ref="EB1:EH1"/>
    <mergeCell ref="AC1:AG1"/>
    <mergeCell ref="BC2:BC3"/>
    <mergeCell ref="BD2:BD3"/>
    <mergeCell ref="BE2:BH2"/>
    <mergeCell ref="BI2:BI3"/>
    <mergeCell ref="BJ2:BJ3"/>
    <mergeCell ref="BK2:BK3"/>
    <mergeCell ref="CZ1:DF1"/>
    <mergeCell ref="DN1:DT1"/>
    <mergeCell ref="DU1:EA1"/>
    <mergeCell ref="DG1:DM1"/>
    <mergeCell ref="AH1:AN1"/>
    <mergeCell ref="AO1:AU1"/>
    <mergeCell ref="BC1:BI1"/>
    <mergeCell ref="BJ1:BP1"/>
    <mergeCell ref="BQ1:BW1"/>
    <mergeCell ref="BX1:CD1"/>
    <mergeCell ref="CE1:CK1"/>
  </mergeCells>
  <pageMargins left="0.23622047244094491" right="0" top="0.59055118110236227" bottom="0.35433070866141736" header="0.31496062992125984" footer="0.31496062992125984"/>
  <pageSetup paperSize="9" scale="90" firstPageNumber="19" orientation="landscape" useFirstPageNumber="1" r:id="rId1"/>
  <headerFooter>
    <oddFooter>&amp;C&amp;P</oddFooter>
  </headerFooter>
  <colBreaks count="17" manualBreakCount="17">
    <brk id="15" max="1048575" man="1"/>
    <brk id="28" max="1048575" man="1"/>
    <brk id="33" max="1048575" man="1"/>
    <brk id="40" max="1048575" man="1"/>
    <brk id="47" max="1048575" man="1"/>
    <brk id="54" max="1048575" man="1"/>
    <brk id="61" max="1048575" man="1"/>
    <brk id="68" max="1048575" man="1"/>
    <brk id="75" max="1048575" man="1"/>
    <brk id="82" max="1048575" man="1"/>
    <brk id="89" max="1048575" man="1"/>
    <brk id="96" max="1048575" man="1"/>
    <brk id="103" max="1048575" man="1"/>
    <brk id="110" max="1048575" man="1"/>
    <brk id="117" max="1048575" man="1"/>
    <brk id="124" max="1048575" man="1"/>
    <brk id="131" max="41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2775-484C-48DB-8130-6078E97BC7B6}">
  <dimension ref="A1:EH130"/>
  <sheetViews>
    <sheetView view="pageBreakPreview" zoomScale="70" zoomScaleNormal="85" zoomScaleSheetLayoutView="70" workbookViewId="0">
      <selection activeCell="B2" sqref="B1:B1048576"/>
    </sheetView>
  </sheetViews>
  <sheetFormatPr defaultColWidth="7.77734375" defaultRowHeight="10.199999999999999" customHeight="1" x14ac:dyDescent="0.2"/>
  <cols>
    <col min="1" max="1" width="4.6640625" style="9" customWidth="1"/>
    <col min="2" max="2" width="16" style="1" customWidth="1"/>
    <col min="3" max="3" width="13" style="1" customWidth="1"/>
    <col min="4" max="4" width="12" style="1" bestFit="1" customWidth="1"/>
    <col min="5" max="5" width="14.109375" style="1" bestFit="1" customWidth="1"/>
    <col min="6" max="6" width="12.6640625" style="1" bestFit="1" customWidth="1"/>
    <col min="7" max="7" width="12.88671875" style="1" bestFit="1" customWidth="1"/>
    <col min="8" max="8" width="12.44140625" style="1" bestFit="1" customWidth="1"/>
    <col min="9" max="10" width="13.5546875" style="1" bestFit="1" customWidth="1"/>
    <col min="11" max="11" width="13" style="1" bestFit="1" customWidth="1"/>
    <col min="12" max="12" width="13.33203125" style="1" bestFit="1" customWidth="1"/>
    <col min="13" max="13" width="13.21875" style="1" bestFit="1" customWidth="1"/>
    <col min="14" max="14" width="13.33203125" style="1" bestFit="1" customWidth="1"/>
    <col min="15" max="15" width="14.109375" style="1" customWidth="1"/>
    <col min="16" max="16" width="4.5546875" style="9" customWidth="1"/>
    <col min="17" max="17" width="16.109375" style="1" customWidth="1"/>
    <col min="18" max="18" width="10.88671875" style="1" bestFit="1" customWidth="1"/>
    <col min="19" max="19" width="12" style="1" bestFit="1" customWidth="1"/>
    <col min="20" max="20" width="14.109375" style="1" bestFit="1" customWidth="1"/>
    <col min="21" max="21" width="12.6640625" style="1" bestFit="1" customWidth="1"/>
    <col min="22" max="22" width="12.88671875" style="1" bestFit="1" customWidth="1"/>
    <col min="23" max="23" width="12.44140625" style="1" bestFit="1" customWidth="1"/>
    <col min="24" max="25" width="13.5546875" style="1" bestFit="1" customWidth="1"/>
    <col min="26" max="26" width="13" style="1" bestFit="1" customWidth="1"/>
    <col min="27" max="27" width="13.33203125" style="1" bestFit="1" customWidth="1"/>
    <col min="28" max="28" width="14" style="1" bestFit="1" customWidth="1"/>
    <col min="29" max="29" width="7.77734375" style="9"/>
    <col min="30" max="30" width="44.21875" style="1" customWidth="1"/>
    <col min="31" max="33" width="14.33203125" style="1" customWidth="1"/>
    <col min="34" max="34" width="7.77734375" style="9"/>
    <col min="35" max="35" width="44.21875" style="1" customWidth="1"/>
    <col min="36" max="40" width="14.5546875" style="1" customWidth="1"/>
    <col min="41" max="41" width="7.77734375" style="9"/>
    <col min="42" max="42" width="44.21875" style="1" customWidth="1"/>
    <col min="43" max="47" width="14.33203125" style="1" customWidth="1"/>
    <col min="48" max="48" width="7.77734375" style="9"/>
    <col min="49" max="49" width="44.21875" style="1" customWidth="1"/>
    <col min="50" max="54" width="14.5546875" style="1" customWidth="1"/>
    <col min="55" max="55" width="7.77734375" style="9"/>
    <col min="56" max="56" width="44.21875" style="1" customWidth="1"/>
    <col min="57" max="61" width="14.5546875" style="1" customWidth="1"/>
    <col min="62" max="62" width="7.77734375" style="9"/>
    <col min="63" max="63" width="44.21875" style="1" customWidth="1"/>
    <col min="64" max="68" width="14.5546875" style="1" customWidth="1"/>
    <col min="69" max="69" width="7.77734375" style="9"/>
    <col min="70" max="70" width="44.21875" style="1" customWidth="1"/>
    <col min="71" max="75" width="14.44140625" style="1" customWidth="1"/>
    <col min="76" max="76" width="7.77734375" style="9"/>
    <col min="77" max="77" width="44.21875" style="1" customWidth="1"/>
    <col min="78" max="82" width="14.33203125" style="1" customWidth="1"/>
    <col min="83" max="83" width="7.77734375" style="9"/>
    <col min="84" max="84" width="44.21875" style="1" customWidth="1"/>
    <col min="85" max="89" width="14.33203125" style="1" customWidth="1"/>
    <col min="90" max="90" width="7.77734375" style="9"/>
    <col min="91" max="91" width="44.21875" style="1" customWidth="1"/>
    <col min="92" max="96" width="14.44140625" style="1" customWidth="1"/>
    <col min="97" max="97" width="7.77734375" style="9"/>
    <col min="98" max="98" width="44.21875" style="1" customWidth="1"/>
    <col min="99" max="103" width="14.5546875" style="1" customWidth="1"/>
    <col min="104" max="104" width="7.77734375" style="9"/>
    <col min="105" max="105" width="44.21875" style="1" customWidth="1"/>
    <col min="106" max="110" width="14.21875" style="1" customWidth="1"/>
    <col min="111" max="111" width="7.77734375" style="9"/>
    <col min="112" max="112" width="44.21875" style="1" customWidth="1"/>
    <col min="113" max="114" width="9.44140625" style="1" bestFit="1" customWidth="1"/>
    <col min="115" max="115" width="11.6640625" style="1" bestFit="1" customWidth="1"/>
    <col min="116" max="117" width="13.5546875" style="1" bestFit="1" customWidth="1"/>
    <col min="118" max="118" width="7.77734375" style="9"/>
    <col min="119" max="119" width="44.21875" style="1" customWidth="1"/>
    <col min="120" max="124" width="14.44140625" style="1" customWidth="1"/>
    <col min="125" max="125" width="7.77734375" style="9"/>
    <col min="126" max="126" width="44.21875" style="1" customWidth="1"/>
    <col min="127" max="131" width="14.44140625" style="1" customWidth="1"/>
    <col min="132" max="132" width="7.77734375" style="9"/>
    <col min="133" max="133" width="44.21875" style="1" customWidth="1"/>
    <col min="134" max="138" width="14.44140625" style="1" customWidth="1"/>
    <col min="139" max="16384" width="7.77734375" style="1"/>
  </cols>
  <sheetData>
    <row r="1" spans="1:138" s="38" customFormat="1" ht="21" customHeight="1" x14ac:dyDescent="0.3">
      <c r="A1" s="97" t="s">
        <v>177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 t="s">
        <v>178</v>
      </c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 t="s">
        <v>179</v>
      </c>
      <c r="AD1" s="97"/>
      <c r="AE1" s="97"/>
      <c r="AF1" s="97"/>
      <c r="AG1" s="97"/>
      <c r="AH1" s="97" t="s">
        <v>180</v>
      </c>
      <c r="AI1" s="97"/>
      <c r="AJ1" s="97"/>
      <c r="AK1" s="97"/>
      <c r="AL1" s="97"/>
      <c r="AM1" s="97"/>
      <c r="AN1" s="97"/>
      <c r="AO1" s="97" t="s">
        <v>181</v>
      </c>
      <c r="AP1" s="97"/>
      <c r="AQ1" s="97"/>
      <c r="AR1" s="97"/>
      <c r="AS1" s="97"/>
      <c r="AT1" s="97"/>
      <c r="AU1" s="97"/>
      <c r="AV1" s="97" t="s">
        <v>182</v>
      </c>
      <c r="AW1" s="97"/>
      <c r="AX1" s="97"/>
      <c r="AY1" s="97"/>
      <c r="AZ1" s="97"/>
      <c r="BA1" s="97"/>
      <c r="BB1" s="97"/>
      <c r="BC1" s="97" t="s">
        <v>183</v>
      </c>
      <c r="BD1" s="97"/>
      <c r="BE1" s="97"/>
      <c r="BF1" s="97"/>
      <c r="BG1" s="97"/>
      <c r="BH1" s="97"/>
      <c r="BI1" s="97"/>
      <c r="BJ1" s="97" t="s">
        <v>184</v>
      </c>
      <c r="BK1" s="97"/>
      <c r="BL1" s="97"/>
      <c r="BM1" s="97"/>
      <c r="BN1" s="97"/>
      <c r="BO1" s="97"/>
      <c r="BP1" s="97"/>
      <c r="BQ1" s="97" t="s">
        <v>185</v>
      </c>
      <c r="BR1" s="97"/>
      <c r="BS1" s="97"/>
      <c r="BT1" s="97"/>
      <c r="BU1" s="97"/>
      <c r="BV1" s="97"/>
      <c r="BW1" s="97"/>
      <c r="BX1" s="97" t="s">
        <v>186</v>
      </c>
      <c r="BY1" s="97"/>
      <c r="BZ1" s="97"/>
      <c r="CA1" s="97"/>
      <c r="CB1" s="97"/>
      <c r="CC1" s="97"/>
      <c r="CD1" s="97"/>
      <c r="CE1" s="97" t="s">
        <v>187</v>
      </c>
      <c r="CF1" s="97"/>
      <c r="CG1" s="97"/>
      <c r="CH1" s="97"/>
      <c r="CI1" s="97"/>
      <c r="CJ1" s="97"/>
      <c r="CK1" s="97"/>
      <c r="CL1" s="97" t="s">
        <v>188</v>
      </c>
      <c r="CM1" s="97"/>
      <c r="CN1" s="97"/>
      <c r="CO1" s="97"/>
      <c r="CP1" s="97"/>
      <c r="CQ1" s="97"/>
      <c r="CR1" s="97"/>
      <c r="CS1" s="97" t="s">
        <v>189</v>
      </c>
      <c r="CT1" s="97"/>
      <c r="CU1" s="97"/>
      <c r="CV1" s="97"/>
      <c r="CW1" s="97"/>
      <c r="CX1" s="97"/>
      <c r="CY1" s="97"/>
      <c r="CZ1" s="97" t="s">
        <v>190</v>
      </c>
      <c r="DA1" s="97"/>
      <c r="DB1" s="97"/>
      <c r="DC1" s="97"/>
      <c r="DD1" s="97"/>
      <c r="DE1" s="97"/>
      <c r="DF1" s="97"/>
      <c r="DG1" s="97" t="s">
        <v>191</v>
      </c>
      <c r="DH1" s="97"/>
      <c r="DI1" s="97"/>
      <c r="DJ1" s="97"/>
      <c r="DK1" s="97"/>
      <c r="DL1" s="97"/>
      <c r="DM1" s="97"/>
      <c r="DN1" s="97" t="s">
        <v>192</v>
      </c>
      <c r="DO1" s="97"/>
      <c r="DP1" s="97"/>
      <c r="DQ1" s="97"/>
      <c r="DR1" s="97"/>
      <c r="DS1" s="97"/>
      <c r="DT1" s="97"/>
      <c r="DU1" s="97" t="s">
        <v>193</v>
      </c>
      <c r="DV1" s="97"/>
      <c r="DW1" s="97"/>
      <c r="DX1" s="97"/>
      <c r="DY1" s="97"/>
      <c r="DZ1" s="97"/>
      <c r="EA1" s="97"/>
      <c r="EB1" s="97" t="s">
        <v>194</v>
      </c>
      <c r="EC1" s="97"/>
      <c r="ED1" s="97"/>
      <c r="EE1" s="97"/>
      <c r="EF1" s="97"/>
      <c r="EG1" s="97"/>
      <c r="EH1" s="97"/>
    </row>
    <row r="2" spans="1:138" s="10" customFormat="1" ht="21" customHeight="1" x14ac:dyDescent="0.3">
      <c r="A2" s="98" t="s">
        <v>0</v>
      </c>
      <c r="B2" s="98" t="s">
        <v>1</v>
      </c>
      <c r="C2" s="98" t="s">
        <v>4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 t="s">
        <v>3</v>
      </c>
      <c r="P2" s="98" t="s">
        <v>0</v>
      </c>
      <c r="Q2" s="98" t="s">
        <v>1</v>
      </c>
      <c r="R2" s="98" t="s">
        <v>4</v>
      </c>
      <c r="S2" s="98"/>
      <c r="T2" s="98"/>
      <c r="U2" s="98"/>
      <c r="V2" s="98"/>
      <c r="W2" s="98"/>
      <c r="X2" s="98"/>
      <c r="Y2" s="98"/>
      <c r="Z2" s="98"/>
      <c r="AA2" s="98"/>
      <c r="AB2" s="98" t="s">
        <v>3</v>
      </c>
      <c r="AC2" s="98" t="s">
        <v>0</v>
      </c>
      <c r="AD2" s="98" t="s">
        <v>1</v>
      </c>
      <c r="AE2" s="98" t="s">
        <v>4</v>
      </c>
      <c r="AF2" s="98"/>
      <c r="AG2" s="98" t="s">
        <v>3</v>
      </c>
      <c r="AH2" s="98" t="s">
        <v>0</v>
      </c>
      <c r="AI2" s="98" t="s">
        <v>1</v>
      </c>
      <c r="AJ2" s="98" t="s">
        <v>2</v>
      </c>
      <c r="AK2" s="98"/>
      <c r="AL2" s="98"/>
      <c r="AM2" s="98"/>
      <c r="AN2" s="98" t="s">
        <v>3</v>
      </c>
      <c r="AO2" s="98" t="s">
        <v>0</v>
      </c>
      <c r="AP2" s="98" t="s">
        <v>1</v>
      </c>
      <c r="AQ2" s="98" t="s">
        <v>2</v>
      </c>
      <c r="AR2" s="98"/>
      <c r="AS2" s="98"/>
      <c r="AT2" s="98"/>
      <c r="AU2" s="98" t="s">
        <v>3</v>
      </c>
      <c r="AV2" s="98" t="s">
        <v>0</v>
      </c>
      <c r="AW2" s="98" t="s">
        <v>1</v>
      </c>
      <c r="AX2" s="98" t="s">
        <v>2</v>
      </c>
      <c r="AY2" s="98"/>
      <c r="AZ2" s="98"/>
      <c r="BA2" s="98"/>
      <c r="BB2" s="98" t="s">
        <v>3</v>
      </c>
      <c r="BC2" s="98" t="s">
        <v>0</v>
      </c>
      <c r="BD2" s="98" t="s">
        <v>1</v>
      </c>
      <c r="BE2" s="98" t="s">
        <v>2</v>
      </c>
      <c r="BF2" s="98"/>
      <c r="BG2" s="98"/>
      <c r="BH2" s="98"/>
      <c r="BI2" s="98" t="s">
        <v>3</v>
      </c>
      <c r="BJ2" s="98" t="s">
        <v>0</v>
      </c>
      <c r="BK2" s="98" t="s">
        <v>1</v>
      </c>
      <c r="BL2" s="98" t="s">
        <v>2</v>
      </c>
      <c r="BM2" s="98"/>
      <c r="BN2" s="98"/>
      <c r="BO2" s="98"/>
      <c r="BP2" s="98" t="s">
        <v>3</v>
      </c>
      <c r="BQ2" s="98" t="s">
        <v>0</v>
      </c>
      <c r="BR2" s="98" t="s">
        <v>1</v>
      </c>
      <c r="BS2" s="98" t="s">
        <v>2</v>
      </c>
      <c r="BT2" s="98"/>
      <c r="BU2" s="98"/>
      <c r="BV2" s="98"/>
      <c r="BW2" s="98" t="s">
        <v>3</v>
      </c>
      <c r="BX2" s="98" t="s">
        <v>0</v>
      </c>
      <c r="BY2" s="98" t="s">
        <v>1</v>
      </c>
      <c r="BZ2" s="98" t="s">
        <v>2</v>
      </c>
      <c r="CA2" s="98"/>
      <c r="CB2" s="98"/>
      <c r="CC2" s="98"/>
      <c r="CD2" s="98" t="s">
        <v>3</v>
      </c>
      <c r="CE2" s="98" t="s">
        <v>0</v>
      </c>
      <c r="CF2" s="98" t="s">
        <v>1</v>
      </c>
      <c r="CG2" s="98" t="s">
        <v>2</v>
      </c>
      <c r="CH2" s="98"/>
      <c r="CI2" s="98"/>
      <c r="CJ2" s="98"/>
      <c r="CK2" s="98" t="s">
        <v>3</v>
      </c>
      <c r="CL2" s="98" t="s">
        <v>0</v>
      </c>
      <c r="CM2" s="98" t="s">
        <v>1</v>
      </c>
      <c r="CN2" s="98" t="s">
        <v>2</v>
      </c>
      <c r="CO2" s="98"/>
      <c r="CP2" s="98"/>
      <c r="CQ2" s="98"/>
      <c r="CR2" s="98" t="s">
        <v>3</v>
      </c>
      <c r="CS2" s="98" t="s">
        <v>0</v>
      </c>
      <c r="CT2" s="98" t="s">
        <v>1</v>
      </c>
      <c r="CU2" s="98" t="s">
        <v>2</v>
      </c>
      <c r="CV2" s="98"/>
      <c r="CW2" s="98"/>
      <c r="CX2" s="98"/>
      <c r="CY2" s="98" t="s">
        <v>3</v>
      </c>
      <c r="CZ2" s="98" t="s">
        <v>0</v>
      </c>
      <c r="DA2" s="98" t="s">
        <v>1</v>
      </c>
      <c r="DB2" s="98" t="s">
        <v>2</v>
      </c>
      <c r="DC2" s="98"/>
      <c r="DD2" s="98"/>
      <c r="DE2" s="98"/>
      <c r="DF2" s="98" t="s">
        <v>3</v>
      </c>
      <c r="DG2" s="98" t="s">
        <v>0</v>
      </c>
      <c r="DH2" s="98" t="s">
        <v>1</v>
      </c>
      <c r="DI2" s="98" t="s">
        <v>2</v>
      </c>
      <c r="DJ2" s="98"/>
      <c r="DK2" s="98"/>
      <c r="DL2" s="98"/>
      <c r="DM2" s="98" t="s">
        <v>3</v>
      </c>
      <c r="DN2" s="98" t="s">
        <v>0</v>
      </c>
      <c r="DO2" s="98" t="s">
        <v>1</v>
      </c>
      <c r="DP2" s="98" t="s">
        <v>2</v>
      </c>
      <c r="DQ2" s="98"/>
      <c r="DR2" s="98"/>
      <c r="DS2" s="98"/>
      <c r="DT2" s="98" t="s">
        <v>3</v>
      </c>
      <c r="DU2" s="98" t="s">
        <v>0</v>
      </c>
      <c r="DV2" s="98" t="s">
        <v>1</v>
      </c>
      <c r="DW2" s="98" t="s">
        <v>2</v>
      </c>
      <c r="DX2" s="98"/>
      <c r="DY2" s="98"/>
      <c r="DZ2" s="98"/>
      <c r="EA2" s="98" t="s">
        <v>3</v>
      </c>
      <c r="EB2" s="98" t="s">
        <v>0</v>
      </c>
      <c r="EC2" s="98" t="s">
        <v>1</v>
      </c>
      <c r="ED2" s="98" t="s">
        <v>2</v>
      </c>
      <c r="EE2" s="98"/>
      <c r="EF2" s="98"/>
      <c r="EG2" s="98"/>
      <c r="EH2" s="98" t="s">
        <v>3</v>
      </c>
    </row>
    <row r="3" spans="1:138" s="10" customFormat="1" ht="48.6" customHeight="1" x14ac:dyDescent="0.3">
      <c r="A3" s="98"/>
      <c r="B3" s="98"/>
      <c r="C3" s="11" t="s">
        <v>9</v>
      </c>
      <c r="D3" s="11" t="s">
        <v>10</v>
      </c>
      <c r="E3" s="11" t="s">
        <v>11</v>
      </c>
      <c r="F3" s="11" t="s">
        <v>12</v>
      </c>
      <c r="G3" s="24" t="s">
        <v>13</v>
      </c>
      <c r="H3" s="24" t="s">
        <v>14</v>
      </c>
      <c r="I3" s="24" t="s">
        <v>131</v>
      </c>
      <c r="J3" s="24" t="s">
        <v>132</v>
      </c>
      <c r="K3" s="24" t="s">
        <v>134</v>
      </c>
      <c r="L3" s="24" t="s">
        <v>18</v>
      </c>
      <c r="M3" s="24" t="s">
        <v>19</v>
      </c>
      <c r="N3" s="24" t="s">
        <v>133</v>
      </c>
      <c r="O3" s="98"/>
      <c r="P3" s="98"/>
      <c r="Q3" s="98"/>
      <c r="R3" s="11" t="s">
        <v>9</v>
      </c>
      <c r="S3" s="11" t="s">
        <v>10</v>
      </c>
      <c r="T3" s="11" t="s">
        <v>11</v>
      </c>
      <c r="U3" s="11" t="s">
        <v>12</v>
      </c>
      <c r="V3" s="24" t="s">
        <v>13</v>
      </c>
      <c r="W3" s="24" t="s">
        <v>14</v>
      </c>
      <c r="X3" s="24" t="s">
        <v>131</v>
      </c>
      <c r="Y3" s="24" t="s">
        <v>132</v>
      </c>
      <c r="Z3" s="24" t="s">
        <v>134</v>
      </c>
      <c r="AA3" s="24" t="s">
        <v>18</v>
      </c>
      <c r="AB3" s="98"/>
      <c r="AC3" s="98"/>
      <c r="AD3" s="98"/>
      <c r="AE3" s="24" t="s">
        <v>19</v>
      </c>
      <c r="AF3" s="24" t="s">
        <v>20</v>
      </c>
      <c r="AG3" s="98"/>
      <c r="AH3" s="98"/>
      <c r="AI3" s="98"/>
      <c r="AJ3" s="11" t="s">
        <v>5</v>
      </c>
      <c r="AK3" s="11" t="s">
        <v>6</v>
      </c>
      <c r="AL3" s="11" t="s">
        <v>7</v>
      </c>
      <c r="AM3" s="11" t="s">
        <v>8</v>
      </c>
      <c r="AN3" s="98"/>
      <c r="AO3" s="98"/>
      <c r="AP3" s="98"/>
      <c r="AQ3" s="11" t="s">
        <v>5</v>
      </c>
      <c r="AR3" s="11" t="s">
        <v>6</v>
      </c>
      <c r="AS3" s="11" t="s">
        <v>7</v>
      </c>
      <c r="AT3" s="11" t="s">
        <v>8</v>
      </c>
      <c r="AU3" s="98"/>
      <c r="AV3" s="98"/>
      <c r="AW3" s="98"/>
      <c r="AX3" s="11" t="s">
        <v>5</v>
      </c>
      <c r="AY3" s="11" t="s">
        <v>6</v>
      </c>
      <c r="AZ3" s="11" t="s">
        <v>7</v>
      </c>
      <c r="BA3" s="11" t="s">
        <v>8</v>
      </c>
      <c r="BB3" s="98"/>
      <c r="BC3" s="98"/>
      <c r="BD3" s="98"/>
      <c r="BE3" s="11" t="s">
        <v>5</v>
      </c>
      <c r="BF3" s="11" t="s">
        <v>6</v>
      </c>
      <c r="BG3" s="11" t="s">
        <v>7</v>
      </c>
      <c r="BH3" s="11" t="s">
        <v>8</v>
      </c>
      <c r="BI3" s="98"/>
      <c r="BJ3" s="98"/>
      <c r="BK3" s="98"/>
      <c r="BL3" s="11" t="s">
        <v>5</v>
      </c>
      <c r="BM3" s="11" t="s">
        <v>6</v>
      </c>
      <c r="BN3" s="11" t="s">
        <v>7</v>
      </c>
      <c r="BO3" s="11" t="s">
        <v>8</v>
      </c>
      <c r="BP3" s="98"/>
      <c r="BQ3" s="98"/>
      <c r="BR3" s="98"/>
      <c r="BS3" s="11" t="s">
        <v>5</v>
      </c>
      <c r="BT3" s="11" t="s">
        <v>6</v>
      </c>
      <c r="BU3" s="11" t="s">
        <v>7</v>
      </c>
      <c r="BV3" s="11" t="s">
        <v>8</v>
      </c>
      <c r="BW3" s="98"/>
      <c r="BX3" s="98"/>
      <c r="BY3" s="98"/>
      <c r="BZ3" s="11" t="s">
        <v>5</v>
      </c>
      <c r="CA3" s="11" t="s">
        <v>6</v>
      </c>
      <c r="CB3" s="11" t="s">
        <v>7</v>
      </c>
      <c r="CC3" s="11" t="s">
        <v>8</v>
      </c>
      <c r="CD3" s="98"/>
      <c r="CE3" s="98"/>
      <c r="CF3" s="98"/>
      <c r="CG3" s="11" t="s">
        <v>5</v>
      </c>
      <c r="CH3" s="11" t="s">
        <v>6</v>
      </c>
      <c r="CI3" s="11" t="s">
        <v>7</v>
      </c>
      <c r="CJ3" s="11" t="s">
        <v>8</v>
      </c>
      <c r="CK3" s="98"/>
      <c r="CL3" s="98"/>
      <c r="CM3" s="98"/>
      <c r="CN3" s="11" t="s">
        <v>5</v>
      </c>
      <c r="CO3" s="11" t="s">
        <v>6</v>
      </c>
      <c r="CP3" s="11" t="s">
        <v>7</v>
      </c>
      <c r="CQ3" s="11" t="s">
        <v>8</v>
      </c>
      <c r="CR3" s="98"/>
      <c r="CS3" s="98"/>
      <c r="CT3" s="98"/>
      <c r="CU3" s="11" t="s">
        <v>5</v>
      </c>
      <c r="CV3" s="11" t="s">
        <v>6</v>
      </c>
      <c r="CW3" s="11" t="s">
        <v>7</v>
      </c>
      <c r="CX3" s="11" t="s">
        <v>8</v>
      </c>
      <c r="CY3" s="98"/>
      <c r="CZ3" s="98"/>
      <c r="DA3" s="98"/>
      <c r="DB3" s="11" t="s">
        <v>5</v>
      </c>
      <c r="DC3" s="11" t="s">
        <v>6</v>
      </c>
      <c r="DD3" s="11" t="s">
        <v>7</v>
      </c>
      <c r="DE3" s="11" t="s">
        <v>8</v>
      </c>
      <c r="DF3" s="98"/>
      <c r="DG3" s="98"/>
      <c r="DH3" s="98"/>
      <c r="DI3" s="11" t="s">
        <v>5</v>
      </c>
      <c r="DJ3" s="11" t="s">
        <v>6</v>
      </c>
      <c r="DK3" s="11" t="s">
        <v>7</v>
      </c>
      <c r="DL3" s="11" t="s">
        <v>8</v>
      </c>
      <c r="DM3" s="98"/>
      <c r="DN3" s="98"/>
      <c r="DO3" s="98"/>
      <c r="DP3" s="11" t="s">
        <v>5</v>
      </c>
      <c r="DQ3" s="11" t="s">
        <v>6</v>
      </c>
      <c r="DR3" s="11" t="s">
        <v>7</v>
      </c>
      <c r="DS3" s="11" t="s">
        <v>8</v>
      </c>
      <c r="DT3" s="98"/>
      <c r="DU3" s="98"/>
      <c r="DV3" s="98"/>
      <c r="DW3" s="11" t="s">
        <v>5</v>
      </c>
      <c r="DX3" s="11" t="s">
        <v>6</v>
      </c>
      <c r="DY3" s="11" t="s">
        <v>7</v>
      </c>
      <c r="DZ3" s="11" t="s">
        <v>8</v>
      </c>
      <c r="EA3" s="98"/>
      <c r="EB3" s="98"/>
      <c r="EC3" s="98"/>
      <c r="ED3" s="11" t="s">
        <v>5</v>
      </c>
      <c r="EE3" s="11" t="s">
        <v>6</v>
      </c>
      <c r="EF3" s="11" t="s">
        <v>7</v>
      </c>
      <c r="EG3" s="11" t="s">
        <v>8</v>
      </c>
      <c r="EH3" s="98"/>
    </row>
    <row r="4" spans="1:138" ht="10.199999999999999" customHeight="1" x14ac:dyDescent="0.2">
      <c r="A4" s="7" t="s">
        <v>110</v>
      </c>
      <c r="B4" s="2" t="s">
        <v>38</v>
      </c>
      <c r="C4" s="3">
        <f>BI4</f>
        <v>358628134.16759849</v>
      </c>
      <c r="D4" s="3">
        <f>BP4</f>
        <v>11758127042.565924</v>
      </c>
      <c r="E4" s="3">
        <f>BW4</f>
        <v>14356019762.711655</v>
      </c>
      <c r="F4" s="3">
        <f>CD4</f>
        <v>93142053.880616203</v>
      </c>
      <c r="G4" s="3">
        <f>CK4</f>
        <v>36944261179.998459</v>
      </c>
      <c r="H4" s="3">
        <f>CR4</f>
        <v>0</v>
      </c>
      <c r="I4" s="3">
        <f>CY4</f>
        <v>292580507.20378578</v>
      </c>
      <c r="J4" s="3">
        <f>DM4</f>
        <v>846337.6621930626</v>
      </c>
      <c r="K4" s="3">
        <f>DF4</f>
        <v>1043965135.2161163</v>
      </c>
      <c r="L4" s="3">
        <f>DT4</f>
        <v>820871139.42038059</v>
      </c>
      <c r="M4" s="3">
        <f>EH4</f>
        <v>1147751160.911953</v>
      </c>
      <c r="N4" s="3">
        <f>EA4</f>
        <v>49709115.917308763</v>
      </c>
      <c r="O4" s="3">
        <f>SUM(C4:N4)</f>
        <v>66865901569.655983</v>
      </c>
      <c r="P4" s="7" t="s">
        <v>110</v>
      </c>
      <c r="Q4" s="2" t="s">
        <v>38</v>
      </c>
      <c r="R4" s="3">
        <f t="shared" ref="R4:AA4" si="0">C4</f>
        <v>358628134.16759849</v>
      </c>
      <c r="S4" s="3">
        <f t="shared" si="0"/>
        <v>11758127042.565924</v>
      </c>
      <c r="T4" s="3">
        <f t="shared" si="0"/>
        <v>14356019762.711655</v>
      </c>
      <c r="U4" s="3">
        <f t="shared" si="0"/>
        <v>93142053.880616203</v>
      </c>
      <c r="V4" s="3">
        <f t="shared" si="0"/>
        <v>36944261179.998459</v>
      </c>
      <c r="W4" s="3">
        <f t="shared" si="0"/>
        <v>0</v>
      </c>
      <c r="X4" s="3">
        <f t="shared" si="0"/>
        <v>292580507.20378578</v>
      </c>
      <c r="Y4" s="3">
        <f t="shared" si="0"/>
        <v>846337.6621930626</v>
      </c>
      <c r="Z4" s="3">
        <f t="shared" si="0"/>
        <v>1043965135.2161163</v>
      </c>
      <c r="AA4" s="3">
        <f t="shared" si="0"/>
        <v>820871139.42038059</v>
      </c>
      <c r="AB4" s="3">
        <f>SUM(R4:AA4)</f>
        <v>65668441292.826729</v>
      </c>
      <c r="AC4" s="7" t="s">
        <v>110</v>
      </c>
      <c r="AD4" s="2" t="s">
        <v>38</v>
      </c>
      <c r="AE4" s="3">
        <f>M4</f>
        <v>1147751160.911953</v>
      </c>
      <c r="AF4" s="3">
        <f>N4</f>
        <v>49709115.917308763</v>
      </c>
      <c r="AG4" s="3">
        <f>SUM(AE4:AF4)</f>
        <v>1197460276.8292618</v>
      </c>
      <c r="AH4" s="7" t="s">
        <v>110</v>
      </c>
      <c r="AI4" s="2" t="s">
        <v>38</v>
      </c>
      <c r="AJ4" s="3">
        <f>AQ4+AX4</f>
        <v>50400450937.094337</v>
      </c>
      <c r="AK4" s="3">
        <f t="shared" ref="AK4:AM19" si="1">AR4+AY4</f>
        <v>12532029072.779701</v>
      </c>
      <c r="AL4" s="3">
        <f t="shared" si="1"/>
        <v>3933421559.7819533</v>
      </c>
      <c r="AM4" s="3">
        <f t="shared" si="1"/>
        <v>0</v>
      </c>
      <c r="AN4" s="3">
        <f>SUM(AJ4:AM4)</f>
        <v>66865901569.655991</v>
      </c>
      <c r="AO4" s="7" t="s">
        <v>110</v>
      </c>
      <c r="AP4" s="2" t="s">
        <v>38</v>
      </c>
      <c r="AQ4" s="3">
        <f>BE4+BL4+BS4+BZ4+CG4+CN4+CU4+DB4+DI4+DP4</f>
        <v>49239744284.939064</v>
      </c>
      <c r="AR4" s="3">
        <f t="shared" ref="AR4:AT19" si="2">BF4+BM4+BT4+CA4+CH4+CO4+CV4+DC4+DJ4+DQ4</f>
        <v>12495275448.105713</v>
      </c>
      <c r="AS4" s="3">
        <f t="shared" si="2"/>
        <v>3933421559.7819533</v>
      </c>
      <c r="AT4" s="3">
        <f t="shared" si="2"/>
        <v>0</v>
      </c>
      <c r="AU4" s="3">
        <f>SUM(AQ4:AT4)</f>
        <v>65668441292.826729</v>
      </c>
      <c r="AV4" s="7" t="s">
        <v>110</v>
      </c>
      <c r="AW4" s="2" t="s">
        <v>38</v>
      </c>
      <c r="AX4" s="3">
        <f>DW4+ED4</f>
        <v>1160706652.1552725</v>
      </c>
      <c r="AY4" s="3">
        <f t="shared" ref="AY4:BA19" si="3">DX4+EE4</f>
        <v>36753624.673989162</v>
      </c>
      <c r="AZ4" s="3">
        <f t="shared" si="3"/>
        <v>0</v>
      </c>
      <c r="BA4" s="3">
        <f t="shared" si="3"/>
        <v>0</v>
      </c>
      <c r="BB4" s="3">
        <f>SUM(AX4:BA4)</f>
        <v>1197460276.8292615</v>
      </c>
      <c r="BC4" s="7" t="s">
        <v>110</v>
      </c>
      <c r="BD4" s="2" t="s">
        <v>38</v>
      </c>
      <c r="BE4" s="3">
        <v>358628134.16759849</v>
      </c>
      <c r="BF4" s="3">
        <v>0</v>
      </c>
      <c r="BG4" s="3">
        <v>0</v>
      </c>
      <c r="BH4" s="3">
        <v>0</v>
      </c>
      <c r="BI4" s="3">
        <v>358628134.16759849</v>
      </c>
      <c r="BJ4" s="7" t="s">
        <v>110</v>
      </c>
      <c r="BK4" s="2" t="s">
        <v>38</v>
      </c>
      <c r="BL4" s="3">
        <v>775706040.53019369</v>
      </c>
      <c r="BM4" s="3">
        <v>7048999442.2537775</v>
      </c>
      <c r="BN4" s="3">
        <v>3933421559.7819533</v>
      </c>
      <c r="BO4" s="3">
        <v>0</v>
      </c>
      <c r="BP4" s="3">
        <v>11758127042.565924</v>
      </c>
      <c r="BQ4" s="7" t="s">
        <v>110</v>
      </c>
      <c r="BR4" s="2" t="s">
        <v>38</v>
      </c>
      <c r="BS4" s="3">
        <v>14356019762.711655</v>
      </c>
      <c r="BT4" s="3">
        <v>0</v>
      </c>
      <c r="BU4" s="3">
        <v>0</v>
      </c>
      <c r="BV4" s="3">
        <v>0</v>
      </c>
      <c r="BW4" s="3">
        <v>14356019762.711655</v>
      </c>
      <c r="BX4" s="7" t="s">
        <v>110</v>
      </c>
      <c r="BY4" s="2" t="s">
        <v>38</v>
      </c>
      <c r="BZ4" s="3">
        <v>93142053.880616203</v>
      </c>
      <c r="CA4" s="3">
        <v>0</v>
      </c>
      <c r="CB4" s="3">
        <v>0</v>
      </c>
      <c r="CC4" s="3">
        <v>0</v>
      </c>
      <c r="CD4" s="3">
        <v>93142053.880616203</v>
      </c>
      <c r="CE4" s="7" t="s">
        <v>110</v>
      </c>
      <c r="CF4" s="2" t="s">
        <v>38</v>
      </c>
      <c r="CG4" s="3">
        <v>31497985174.146523</v>
      </c>
      <c r="CH4" s="3">
        <v>5446276005.8519344</v>
      </c>
      <c r="CI4" s="3">
        <v>0</v>
      </c>
      <c r="CJ4" s="3">
        <v>0</v>
      </c>
      <c r="CK4" s="3">
        <v>36944261179.998459</v>
      </c>
      <c r="CL4" s="7" t="s">
        <v>110</v>
      </c>
      <c r="CM4" s="2" t="s">
        <v>38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7" t="s">
        <v>110</v>
      </c>
      <c r="CT4" s="2" t="s">
        <v>38</v>
      </c>
      <c r="CU4" s="3">
        <v>292580507.20378578</v>
      </c>
      <c r="CV4" s="3">
        <v>0</v>
      </c>
      <c r="CW4" s="3">
        <v>0</v>
      </c>
      <c r="CX4" s="3">
        <v>0</v>
      </c>
      <c r="CY4" s="3">
        <v>292580507.20378578</v>
      </c>
      <c r="CZ4" s="7" t="s">
        <v>110</v>
      </c>
      <c r="DA4" s="2" t="s">
        <v>38</v>
      </c>
      <c r="DB4" s="3">
        <v>1043965135.2161163</v>
      </c>
      <c r="DC4" s="3">
        <v>0</v>
      </c>
      <c r="DD4" s="3">
        <v>0</v>
      </c>
      <c r="DE4" s="3">
        <v>0</v>
      </c>
      <c r="DF4" s="3">
        <v>1043965135.2161163</v>
      </c>
      <c r="DG4" s="7" t="s">
        <v>110</v>
      </c>
      <c r="DH4" s="2" t="s">
        <v>38</v>
      </c>
      <c r="DI4" s="3">
        <v>846337.6621930626</v>
      </c>
      <c r="DJ4" s="3">
        <v>0</v>
      </c>
      <c r="DK4" s="3">
        <v>0</v>
      </c>
      <c r="DL4" s="3">
        <v>0</v>
      </c>
      <c r="DM4" s="3">
        <v>846337.6621930626</v>
      </c>
      <c r="DN4" s="7" t="s">
        <v>110</v>
      </c>
      <c r="DO4" s="2" t="s">
        <v>38</v>
      </c>
      <c r="DP4" s="3">
        <v>820871139.42038059</v>
      </c>
      <c r="DQ4" s="3">
        <v>0</v>
      </c>
      <c r="DR4" s="3">
        <v>0</v>
      </c>
      <c r="DS4" s="3">
        <v>0</v>
      </c>
      <c r="DT4" s="3">
        <v>820871139.42038059</v>
      </c>
      <c r="DU4" s="7" t="s">
        <v>110</v>
      </c>
      <c r="DV4" s="2" t="s">
        <v>38</v>
      </c>
      <c r="DW4" s="3">
        <v>12955491.243319605</v>
      </c>
      <c r="DX4" s="3">
        <v>36753624.673989162</v>
      </c>
      <c r="DY4" s="3">
        <v>0</v>
      </c>
      <c r="DZ4" s="3">
        <v>0</v>
      </c>
      <c r="EA4" s="3">
        <v>49709115.917308763</v>
      </c>
      <c r="EB4" s="7" t="s">
        <v>110</v>
      </c>
      <c r="EC4" s="2" t="s">
        <v>38</v>
      </c>
      <c r="ED4" s="3">
        <v>1147751160.911953</v>
      </c>
      <c r="EE4" s="3">
        <v>0</v>
      </c>
      <c r="EF4" s="3">
        <v>0</v>
      </c>
      <c r="EG4" s="3">
        <v>0</v>
      </c>
      <c r="EH4" s="3">
        <v>1147751160.911953</v>
      </c>
    </row>
    <row r="5" spans="1:138" ht="10.199999999999999" customHeight="1" x14ac:dyDescent="0.2">
      <c r="A5" s="7" t="s">
        <v>113</v>
      </c>
      <c r="B5" s="2" t="s">
        <v>41</v>
      </c>
      <c r="C5" s="3">
        <f t="shared" ref="C5:C41" si="4">BI5</f>
        <v>0</v>
      </c>
      <c r="D5" s="3">
        <f t="shared" ref="D5:D41" si="5">BP5</f>
        <v>95338975.177103013</v>
      </c>
      <c r="E5" s="3">
        <f t="shared" ref="E5:E41" si="6">BW5</f>
        <v>0</v>
      </c>
      <c r="F5" s="3">
        <f t="shared" ref="F5:F41" si="7">CD5</f>
        <v>0</v>
      </c>
      <c r="G5" s="3">
        <f t="shared" ref="G5:G41" si="8">CK5</f>
        <v>45385633.38209945</v>
      </c>
      <c r="H5" s="3">
        <f t="shared" ref="H5:H41" si="9">CR5</f>
        <v>0</v>
      </c>
      <c r="I5" s="3">
        <f t="shared" ref="I5:I41" si="10">CY5</f>
        <v>0</v>
      </c>
      <c r="J5" s="3">
        <f t="shared" ref="J5:J41" si="11">DM5</f>
        <v>0</v>
      </c>
      <c r="K5" s="3">
        <f t="shared" ref="K5:K41" si="12">DF5</f>
        <v>0</v>
      </c>
      <c r="L5" s="3">
        <f t="shared" ref="L5:L41" si="13">DT5</f>
        <v>16327055319.755274</v>
      </c>
      <c r="M5" s="3">
        <f t="shared" ref="M5:M41" si="14">EH5</f>
        <v>2466662337.0982108</v>
      </c>
      <c r="N5" s="3">
        <f t="shared" ref="N5:N41" si="15">EA5</f>
        <v>18922898330.138351</v>
      </c>
      <c r="O5" s="3">
        <f t="shared" ref="O5:O41" si="16">SUM(C5:N5)</f>
        <v>37857340595.551041</v>
      </c>
      <c r="P5" s="7" t="s">
        <v>113</v>
      </c>
      <c r="Q5" s="2" t="s">
        <v>41</v>
      </c>
      <c r="R5" s="3">
        <f t="shared" ref="R5:AA30" si="17">C5</f>
        <v>0</v>
      </c>
      <c r="S5" s="3">
        <f t="shared" si="17"/>
        <v>95338975.177103013</v>
      </c>
      <c r="T5" s="3">
        <f t="shared" si="17"/>
        <v>0</v>
      </c>
      <c r="U5" s="3">
        <f t="shared" si="17"/>
        <v>0</v>
      </c>
      <c r="V5" s="3">
        <f t="shared" si="17"/>
        <v>45385633.38209945</v>
      </c>
      <c r="W5" s="3">
        <f t="shared" si="17"/>
        <v>0</v>
      </c>
      <c r="X5" s="3">
        <f t="shared" si="17"/>
        <v>0</v>
      </c>
      <c r="Y5" s="3">
        <f t="shared" si="17"/>
        <v>0</v>
      </c>
      <c r="Z5" s="3">
        <f t="shared" si="17"/>
        <v>0</v>
      </c>
      <c r="AA5" s="3">
        <f t="shared" si="17"/>
        <v>16327055319.755274</v>
      </c>
      <c r="AB5" s="3">
        <f t="shared" ref="AB5:AB41" si="18">SUM(R5:AA5)</f>
        <v>16467779928.314476</v>
      </c>
      <c r="AC5" s="7" t="s">
        <v>113</v>
      </c>
      <c r="AD5" s="2" t="s">
        <v>41</v>
      </c>
      <c r="AE5" s="3">
        <f t="shared" ref="AE5:AF41" si="19">M5</f>
        <v>2466662337.0982108</v>
      </c>
      <c r="AF5" s="3">
        <f t="shared" si="19"/>
        <v>18922898330.138351</v>
      </c>
      <c r="AG5" s="3">
        <f t="shared" ref="AG5:AG41" si="20">SUM(AE5:AF5)</f>
        <v>21389560667.236561</v>
      </c>
      <c r="AH5" s="7" t="s">
        <v>113</v>
      </c>
      <c r="AI5" s="2" t="s">
        <v>41</v>
      </c>
      <c r="AJ5" s="3">
        <f t="shared" ref="AJ5:AM41" si="21">AQ5+AX5</f>
        <v>18903357471.0816</v>
      </c>
      <c r="AK5" s="3">
        <f t="shared" si="1"/>
        <v>3159937521.3761859</v>
      </c>
      <c r="AL5" s="3">
        <f t="shared" si="1"/>
        <v>15794045603.093256</v>
      </c>
      <c r="AM5" s="3">
        <f t="shared" si="1"/>
        <v>0</v>
      </c>
      <c r="AN5" s="3">
        <f t="shared" ref="AN5:AN41" si="22">SUM(AJ5:AM5)</f>
        <v>37857340595.551041</v>
      </c>
      <c r="AO5" s="7" t="s">
        <v>113</v>
      </c>
      <c r="AP5" s="2" t="s">
        <v>41</v>
      </c>
      <c r="AQ5" s="3">
        <f t="shared" ref="AQ5:AT41" si="23">BE5+BL5+BS5+BZ5+CG5+CN5+CU5+DB5+DI5+DP5</f>
        <v>16460839368.099482</v>
      </c>
      <c r="AR5" s="3">
        <f t="shared" si="2"/>
        <v>6940560.2149955155</v>
      </c>
      <c r="AS5" s="3">
        <f t="shared" si="2"/>
        <v>0</v>
      </c>
      <c r="AT5" s="3">
        <f t="shared" si="2"/>
        <v>0</v>
      </c>
      <c r="AU5" s="3">
        <f t="shared" ref="AU5:AU41" si="24">SUM(AQ5:AT5)</f>
        <v>16467779928.314478</v>
      </c>
      <c r="AV5" s="7" t="s">
        <v>113</v>
      </c>
      <c r="AW5" s="2" t="s">
        <v>41</v>
      </c>
      <c r="AX5" s="3">
        <f t="shared" ref="AX5:BA41" si="25">DW5+ED5</f>
        <v>2442518102.9821177</v>
      </c>
      <c r="AY5" s="3">
        <f t="shared" si="3"/>
        <v>3152996961.1611905</v>
      </c>
      <c r="AZ5" s="3">
        <f t="shared" si="3"/>
        <v>15794045603.093256</v>
      </c>
      <c r="BA5" s="3">
        <f t="shared" si="3"/>
        <v>0</v>
      </c>
      <c r="BB5" s="3">
        <f t="shared" ref="BB5:BB41" si="26">SUM(AX5:BA5)</f>
        <v>21389560667.236565</v>
      </c>
      <c r="BC5" s="7" t="s">
        <v>113</v>
      </c>
      <c r="BD5" s="2" t="s">
        <v>41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7" t="s">
        <v>113</v>
      </c>
      <c r="BK5" s="2" t="s">
        <v>41</v>
      </c>
      <c r="BL5" s="3">
        <v>89359415.607260719</v>
      </c>
      <c r="BM5" s="3">
        <v>5979559.5698422901</v>
      </c>
      <c r="BN5" s="3">
        <v>0</v>
      </c>
      <c r="BO5" s="3">
        <v>0</v>
      </c>
      <c r="BP5" s="3">
        <v>95338975.177103013</v>
      </c>
      <c r="BQ5" s="7" t="s">
        <v>113</v>
      </c>
      <c r="BR5" s="2" t="s">
        <v>41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7" t="s">
        <v>113</v>
      </c>
      <c r="BY5" s="2" t="s">
        <v>41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7" t="s">
        <v>113</v>
      </c>
      <c r="CF5" s="2" t="s">
        <v>41</v>
      </c>
      <c r="CG5" s="3">
        <v>45385633.38209945</v>
      </c>
      <c r="CH5" s="3">
        <v>0</v>
      </c>
      <c r="CI5" s="3">
        <v>0</v>
      </c>
      <c r="CJ5" s="3">
        <v>0</v>
      </c>
      <c r="CK5" s="3">
        <v>45385633.38209945</v>
      </c>
      <c r="CL5" s="7" t="s">
        <v>113</v>
      </c>
      <c r="CM5" s="2" t="s">
        <v>41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7" t="s">
        <v>113</v>
      </c>
      <c r="CT5" s="2" t="s">
        <v>41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7" t="s">
        <v>113</v>
      </c>
      <c r="DA5" s="2" t="s">
        <v>41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7" t="s">
        <v>113</v>
      </c>
      <c r="DH5" s="2" t="s">
        <v>41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7" t="s">
        <v>113</v>
      </c>
      <c r="DO5" s="2" t="s">
        <v>41</v>
      </c>
      <c r="DP5" s="3">
        <v>16326094319.110121</v>
      </c>
      <c r="DQ5" s="3">
        <v>961000.64515322528</v>
      </c>
      <c r="DR5" s="3">
        <v>0</v>
      </c>
      <c r="DS5" s="3">
        <v>0</v>
      </c>
      <c r="DT5" s="3">
        <v>16327055319.755274</v>
      </c>
      <c r="DU5" s="7" t="s">
        <v>113</v>
      </c>
      <c r="DV5" s="2" t="s">
        <v>41</v>
      </c>
      <c r="DW5" s="3">
        <v>232122604.59143329</v>
      </c>
      <c r="DX5" s="3">
        <v>2896730122.4536638</v>
      </c>
      <c r="DY5" s="3">
        <v>15794045603.093256</v>
      </c>
      <c r="DZ5" s="3">
        <v>0</v>
      </c>
      <c r="EA5" s="3">
        <v>18922898330.138351</v>
      </c>
      <c r="EB5" s="7" t="s">
        <v>113</v>
      </c>
      <c r="EC5" s="2" t="s">
        <v>41</v>
      </c>
      <c r="ED5" s="3">
        <v>2210395498.3906841</v>
      </c>
      <c r="EE5" s="3">
        <v>256266838.70752674</v>
      </c>
      <c r="EF5" s="3">
        <v>0</v>
      </c>
      <c r="EG5" s="3">
        <v>0</v>
      </c>
      <c r="EH5" s="3">
        <v>2466662337.0982108</v>
      </c>
    </row>
    <row r="6" spans="1:138" ht="10.199999999999999" customHeight="1" x14ac:dyDescent="0.2">
      <c r="A6" s="7" t="s">
        <v>119</v>
      </c>
      <c r="B6" s="2" t="s">
        <v>47</v>
      </c>
      <c r="C6" s="3">
        <f t="shared" si="4"/>
        <v>0</v>
      </c>
      <c r="D6" s="3">
        <f t="shared" si="5"/>
        <v>219628821.49220571</v>
      </c>
      <c r="E6" s="3">
        <f t="shared" si="6"/>
        <v>105005337160.40907</v>
      </c>
      <c r="F6" s="3">
        <f t="shared" si="7"/>
        <v>178043875281.72897</v>
      </c>
      <c r="G6" s="3">
        <f t="shared" si="8"/>
        <v>0</v>
      </c>
      <c r="H6" s="3">
        <f t="shared" si="9"/>
        <v>0</v>
      </c>
      <c r="I6" s="3">
        <f t="shared" si="10"/>
        <v>12769862066.974789</v>
      </c>
      <c r="J6" s="3">
        <f t="shared" si="11"/>
        <v>0</v>
      </c>
      <c r="K6" s="3">
        <f t="shared" si="12"/>
        <v>15123165256.200117</v>
      </c>
      <c r="L6" s="3">
        <f t="shared" si="13"/>
        <v>56267002.444981381</v>
      </c>
      <c r="M6" s="3">
        <f t="shared" si="14"/>
        <v>46269116145.134239</v>
      </c>
      <c r="N6" s="3">
        <f t="shared" si="15"/>
        <v>51920165510.696404</v>
      </c>
      <c r="O6" s="3">
        <f t="shared" si="16"/>
        <v>409407417245.08081</v>
      </c>
      <c r="P6" s="7" t="s">
        <v>119</v>
      </c>
      <c r="Q6" s="2" t="s">
        <v>47</v>
      </c>
      <c r="R6" s="3">
        <f t="shared" si="17"/>
        <v>0</v>
      </c>
      <c r="S6" s="3">
        <f t="shared" si="17"/>
        <v>219628821.49220571</v>
      </c>
      <c r="T6" s="3">
        <f t="shared" si="17"/>
        <v>105005337160.40907</v>
      </c>
      <c r="U6" s="3">
        <f t="shared" si="17"/>
        <v>178043875281.72897</v>
      </c>
      <c r="V6" s="3">
        <f t="shared" si="17"/>
        <v>0</v>
      </c>
      <c r="W6" s="3">
        <f t="shared" si="17"/>
        <v>0</v>
      </c>
      <c r="X6" s="3">
        <f t="shared" si="17"/>
        <v>12769862066.974789</v>
      </c>
      <c r="Y6" s="3">
        <f t="shared" si="17"/>
        <v>0</v>
      </c>
      <c r="Z6" s="3">
        <f t="shared" si="17"/>
        <v>15123165256.200117</v>
      </c>
      <c r="AA6" s="3">
        <f t="shared" si="17"/>
        <v>56267002.444981381</v>
      </c>
      <c r="AB6" s="3">
        <f t="shared" si="18"/>
        <v>311218135589.25018</v>
      </c>
      <c r="AC6" s="7" t="s">
        <v>119</v>
      </c>
      <c r="AD6" s="2" t="s">
        <v>47</v>
      </c>
      <c r="AE6" s="3">
        <f t="shared" si="19"/>
        <v>46269116145.134239</v>
      </c>
      <c r="AF6" s="3">
        <f t="shared" si="19"/>
        <v>51920165510.696404</v>
      </c>
      <c r="AG6" s="3">
        <f t="shared" si="20"/>
        <v>98189281655.830643</v>
      </c>
      <c r="AH6" s="7" t="s">
        <v>119</v>
      </c>
      <c r="AI6" s="2" t="s">
        <v>47</v>
      </c>
      <c r="AJ6" s="3">
        <f t="shared" si="21"/>
        <v>40321977367.586472</v>
      </c>
      <c r="AK6" s="3">
        <f t="shared" si="1"/>
        <v>52780547020.340256</v>
      </c>
      <c r="AL6" s="3">
        <f t="shared" si="1"/>
        <v>195069322578.60162</v>
      </c>
      <c r="AM6" s="3">
        <f t="shared" si="1"/>
        <v>121235570278.55244</v>
      </c>
      <c r="AN6" s="3">
        <f t="shared" si="22"/>
        <v>409407417245.08075</v>
      </c>
      <c r="AO6" s="7" t="s">
        <v>119</v>
      </c>
      <c r="AP6" s="2" t="s">
        <v>47</v>
      </c>
      <c r="AQ6" s="3">
        <f t="shared" si="23"/>
        <v>12557357872.973949</v>
      </c>
      <c r="AR6" s="3">
        <f t="shared" si="2"/>
        <v>27492477949.974815</v>
      </c>
      <c r="AS6" s="3">
        <f t="shared" si="2"/>
        <v>162746071423.12527</v>
      </c>
      <c r="AT6" s="3">
        <f t="shared" si="2"/>
        <v>108422228343.1761</v>
      </c>
      <c r="AU6" s="3">
        <f t="shared" si="24"/>
        <v>311218135589.25012</v>
      </c>
      <c r="AV6" s="7" t="s">
        <v>119</v>
      </c>
      <c r="AW6" s="2" t="s">
        <v>47</v>
      </c>
      <c r="AX6" s="3">
        <f t="shared" si="25"/>
        <v>27764619494.612526</v>
      </c>
      <c r="AY6" s="3">
        <f t="shared" si="3"/>
        <v>25288069070.365444</v>
      </c>
      <c r="AZ6" s="3">
        <f t="shared" si="3"/>
        <v>32323251155.476334</v>
      </c>
      <c r="BA6" s="3">
        <f t="shared" si="3"/>
        <v>12813341935.376337</v>
      </c>
      <c r="BB6" s="3">
        <f t="shared" si="26"/>
        <v>98189281655.830643</v>
      </c>
      <c r="BC6" s="7" t="s">
        <v>119</v>
      </c>
      <c r="BD6" s="2" t="s">
        <v>47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7" t="s">
        <v>119</v>
      </c>
      <c r="BK6" s="2" t="s">
        <v>47</v>
      </c>
      <c r="BL6" s="3">
        <v>219628821.49220571</v>
      </c>
      <c r="BM6" s="3">
        <v>0</v>
      </c>
      <c r="BN6" s="3">
        <v>0</v>
      </c>
      <c r="BO6" s="3">
        <v>0</v>
      </c>
      <c r="BP6" s="3">
        <v>219628821.49220571</v>
      </c>
      <c r="BQ6" s="7" t="s">
        <v>119</v>
      </c>
      <c r="BR6" s="2" t="s">
        <v>47</v>
      </c>
      <c r="BS6" s="3">
        <v>0</v>
      </c>
      <c r="BT6" s="3">
        <v>0</v>
      </c>
      <c r="BU6" s="3">
        <v>0</v>
      </c>
      <c r="BV6" s="3">
        <v>105005337160.40907</v>
      </c>
      <c r="BW6" s="3">
        <v>105005337160.40907</v>
      </c>
      <c r="BX6" s="7" t="s">
        <v>119</v>
      </c>
      <c r="BY6" s="2" t="s">
        <v>47</v>
      </c>
      <c r="BZ6" s="3">
        <v>231200000</v>
      </c>
      <c r="CA6" s="3">
        <v>11649712675.83667</v>
      </c>
      <c r="CB6" s="3">
        <v>162746071423.12527</v>
      </c>
      <c r="CC6" s="3">
        <v>3416891182.7670231</v>
      </c>
      <c r="CD6" s="3">
        <v>178043875281.72897</v>
      </c>
      <c r="CE6" s="7" t="s">
        <v>119</v>
      </c>
      <c r="CF6" s="2" t="s">
        <v>47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7" t="s">
        <v>119</v>
      </c>
      <c r="CM6" s="2" t="s">
        <v>47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7" t="s">
        <v>119</v>
      </c>
      <c r="CT6" s="2" t="s">
        <v>47</v>
      </c>
      <c r="CU6" s="3">
        <v>11832559637.513378</v>
      </c>
      <c r="CV6" s="3">
        <v>937302429.46141016</v>
      </c>
      <c r="CW6" s="3">
        <v>0</v>
      </c>
      <c r="CX6" s="3">
        <v>0</v>
      </c>
      <c r="CY6" s="3">
        <v>12769862066.974789</v>
      </c>
      <c r="CZ6" s="7" t="s">
        <v>119</v>
      </c>
      <c r="DA6" s="2" t="s">
        <v>47</v>
      </c>
      <c r="DB6" s="3">
        <v>217702411.52338436</v>
      </c>
      <c r="DC6" s="3">
        <v>14905462844.676733</v>
      </c>
      <c r="DD6" s="3">
        <v>0</v>
      </c>
      <c r="DE6" s="3">
        <v>0</v>
      </c>
      <c r="DF6" s="3">
        <v>15123165256.200117</v>
      </c>
      <c r="DG6" s="7" t="s">
        <v>119</v>
      </c>
      <c r="DH6" s="2" t="s">
        <v>47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7" t="s">
        <v>119</v>
      </c>
      <c r="DO6" s="2" t="s">
        <v>47</v>
      </c>
      <c r="DP6" s="3">
        <v>56267002.444981381</v>
      </c>
      <c r="DQ6" s="3">
        <v>0</v>
      </c>
      <c r="DR6" s="3">
        <v>0</v>
      </c>
      <c r="DS6" s="3">
        <v>0</v>
      </c>
      <c r="DT6" s="3">
        <v>56267002.444981381</v>
      </c>
      <c r="DU6" s="7" t="s">
        <v>119</v>
      </c>
      <c r="DV6" s="2" t="s">
        <v>47</v>
      </c>
      <c r="DW6" s="3">
        <v>705664000</v>
      </c>
      <c r="DX6" s="3">
        <v>6345786053.8325109</v>
      </c>
      <c r="DY6" s="3">
        <v>32055373521.48756</v>
      </c>
      <c r="DZ6" s="3">
        <v>12813341935.376337</v>
      </c>
      <c r="EA6" s="3">
        <v>51920165510.696404</v>
      </c>
      <c r="EB6" s="7" t="s">
        <v>119</v>
      </c>
      <c r="EC6" s="2" t="s">
        <v>47</v>
      </c>
      <c r="ED6" s="3">
        <v>27058955494.612526</v>
      </c>
      <c r="EE6" s="3">
        <v>18942283016.532932</v>
      </c>
      <c r="EF6" s="3">
        <v>267877633.98877388</v>
      </c>
      <c r="EG6" s="3">
        <v>0</v>
      </c>
      <c r="EH6" s="3">
        <v>46269116145.134239</v>
      </c>
    </row>
    <row r="7" spans="1:138" ht="10.199999999999999" customHeight="1" x14ac:dyDescent="0.2">
      <c r="A7" s="7" t="s">
        <v>121</v>
      </c>
      <c r="B7" s="2" t="s">
        <v>49</v>
      </c>
      <c r="C7" s="3">
        <f t="shared" si="4"/>
        <v>0</v>
      </c>
      <c r="D7" s="3">
        <f t="shared" si="5"/>
        <v>81610133.851087958</v>
      </c>
      <c r="E7" s="3">
        <f t="shared" si="6"/>
        <v>24879012578.507843</v>
      </c>
      <c r="F7" s="3">
        <f t="shared" si="7"/>
        <v>8294951632.014204</v>
      </c>
      <c r="G7" s="3">
        <f t="shared" si="8"/>
        <v>732796576.17914701</v>
      </c>
      <c r="H7" s="3">
        <f t="shared" si="9"/>
        <v>0</v>
      </c>
      <c r="I7" s="3">
        <f t="shared" si="10"/>
        <v>112421249882.84357</v>
      </c>
      <c r="J7" s="3">
        <f t="shared" si="11"/>
        <v>0</v>
      </c>
      <c r="K7" s="3">
        <f t="shared" si="12"/>
        <v>132646215.87929592</v>
      </c>
      <c r="L7" s="3">
        <f t="shared" si="13"/>
        <v>832785410.0737052</v>
      </c>
      <c r="M7" s="3">
        <f t="shared" si="14"/>
        <v>58441963491.516792</v>
      </c>
      <c r="N7" s="3">
        <f t="shared" si="15"/>
        <v>10553645234.8281</v>
      </c>
      <c r="O7" s="3">
        <f t="shared" si="16"/>
        <v>216370661155.69373</v>
      </c>
      <c r="P7" s="7" t="s">
        <v>121</v>
      </c>
      <c r="Q7" s="2" t="s">
        <v>49</v>
      </c>
      <c r="R7" s="3">
        <f t="shared" si="17"/>
        <v>0</v>
      </c>
      <c r="S7" s="3">
        <f t="shared" si="17"/>
        <v>81610133.851087958</v>
      </c>
      <c r="T7" s="3">
        <f t="shared" si="17"/>
        <v>24879012578.507843</v>
      </c>
      <c r="U7" s="3">
        <f t="shared" si="17"/>
        <v>8294951632.014204</v>
      </c>
      <c r="V7" s="3">
        <f t="shared" si="17"/>
        <v>732796576.17914701</v>
      </c>
      <c r="W7" s="3">
        <f t="shared" si="17"/>
        <v>0</v>
      </c>
      <c r="X7" s="3">
        <f t="shared" si="17"/>
        <v>112421249882.84357</v>
      </c>
      <c r="Y7" s="3">
        <f t="shared" si="17"/>
        <v>0</v>
      </c>
      <c r="Z7" s="3">
        <f t="shared" si="17"/>
        <v>132646215.87929592</v>
      </c>
      <c r="AA7" s="3">
        <f t="shared" si="17"/>
        <v>832785410.0737052</v>
      </c>
      <c r="AB7" s="3">
        <f t="shared" si="18"/>
        <v>147375052429.34885</v>
      </c>
      <c r="AC7" s="7" t="s">
        <v>121</v>
      </c>
      <c r="AD7" s="2" t="s">
        <v>49</v>
      </c>
      <c r="AE7" s="3">
        <f t="shared" si="19"/>
        <v>58441963491.516792</v>
      </c>
      <c r="AF7" s="3">
        <f t="shared" si="19"/>
        <v>10553645234.8281</v>
      </c>
      <c r="AG7" s="3">
        <f t="shared" si="20"/>
        <v>68995608726.344894</v>
      </c>
      <c r="AH7" s="7" t="s">
        <v>121</v>
      </c>
      <c r="AI7" s="2" t="s">
        <v>49</v>
      </c>
      <c r="AJ7" s="3">
        <f t="shared" si="21"/>
        <v>102146362368.81564</v>
      </c>
      <c r="AK7" s="3">
        <f t="shared" si="1"/>
        <v>107868447200.25803</v>
      </c>
      <c r="AL7" s="3">
        <f t="shared" si="1"/>
        <v>6348697470.7061481</v>
      </c>
      <c r="AM7" s="3">
        <f t="shared" si="1"/>
        <v>7154115.9139184542</v>
      </c>
      <c r="AN7" s="3">
        <f t="shared" si="22"/>
        <v>216370661155.69373</v>
      </c>
      <c r="AO7" s="7" t="s">
        <v>121</v>
      </c>
      <c r="AP7" s="2" t="s">
        <v>49</v>
      </c>
      <c r="AQ7" s="3">
        <f t="shared" si="23"/>
        <v>73839790682.46817</v>
      </c>
      <c r="AR7" s="3">
        <f t="shared" si="2"/>
        <v>67607115945.351318</v>
      </c>
      <c r="AS7" s="3">
        <f t="shared" si="2"/>
        <v>5928145801.5293627</v>
      </c>
      <c r="AT7" s="3">
        <f t="shared" si="2"/>
        <v>0</v>
      </c>
      <c r="AU7" s="3">
        <f t="shared" si="24"/>
        <v>147375052429.34885</v>
      </c>
      <c r="AV7" s="7" t="s">
        <v>121</v>
      </c>
      <c r="AW7" s="2" t="s">
        <v>49</v>
      </c>
      <c r="AX7" s="3">
        <f t="shared" si="25"/>
        <v>28306571686.347473</v>
      </c>
      <c r="AY7" s="3">
        <f t="shared" si="3"/>
        <v>40261331254.906715</v>
      </c>
      <c r="AZ7" s="3">
        <f t="shared" si="3"/>
        <v>420551669.17678595</v>
      </c>
      <c r="BA7" s="3">
        <f t="shared" si="3"/>
        <v>7154115.9139184542</v>
      </c>
      <c r="BB7" s="3">
        <f t="shared" si="26"/>
        <v>68995608726.344894</v>
      </c>
      <c r="BC7" s="7" t="s">
        <v>121</v>
      </c>
      <c r="BD7" s="2" t="s">
        <v>49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7" t="s">
        <v>121</v>
      </c>
      <c r="BK7" s="2" t="s">
        <v>49</v>
      </c>
      <c r="BL7" s="3">
        <v>81610133.851087958</v>
      </c>
      <c r="BM7" s="3">
        <v>0</v>
      </c>
      <c r="BN7" s="3">
        <v>0</v>
      </c>
      <c r="BO7" s="3">
        <v>0</v>
      </c>
      <c r="BP7" s="3">
        <v>81610133.851087958</v>
      </c>
      <c r="BQ7" s="7" t="s">
        <v>121</v>
      </c>
      <c r="BR7" s="2" t="s">
        <v>49</v>
      </c>
      <c r="BS7" s="3">
        <v>46128030.967354812</v>
      </c>
      <c r="BT7" s="3">
        <v>19066880676.621136</v>
      </c>
      <c r="BU7" s="3">
        <v>5766003870.9193516</v>
      </c>
      <c r="BV7" s="3">
        <v>0</v>
      </c>
      <c r="BW7" s="3">
        <v>24879012578.507843</v>
      </c>
      <c r="BX7" s="7" t="s">
        <v>121</v>
      </c>
      <c r="BY7" s="2" t="s">
        <v>49</v>
      </c>
      <c r="BZ7" s="3">
        <v>8167885991.155055</v>
      </c>
      <c r="CA7" s="3">
        <v>127065640.85914867</v>
      </c>
      <c r="CB7" s="3">
        <v>0</v>
      </c>
      <c r="CC7" s="3">
        <v>0</v>
      </c>
      <c r="CD7" s="3">
        <v>8294951632.014204</v>
      </c>
      <c r="CE7" s="7" t="s">
        <v>121</v>
      </c>
      <c r="CF7" s="2" t="s">
        <v>49</v>
      </c>
      <c r="CG7" s="3">
        <v>346838320.98765433</v>
      </c>
      <c r="CH7" s="3">
        <v>253799544.7102617</v>
      </c>
      <c r="CI7" s="3">
        <v>132158710.48123103</v>
      </c>
      <c r="CJ7" s="3">
        <v>0</v>
      </c>
      <c r="CK7" s="3">
        <v>732796576.17914701</v>
      </c>
      <c r="CL7" s="7" t="s">
        <v>121</v>
      </c>
      <c r="CM7" s="2" t="s">
        <v>49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7" t="s">
        <v>121</v>
      </c>
      <c r="CT7" s="2" t="s">
        <v>49</v>
      </c>
      <c r="CU7" s="3">
        <v>64434454159.982414</v>
      </c>
      <c r="CV7" s="3">
        <v>47956812502.732361</v>
      </c>
      <c r="CW7" s="3">
        <v>29983220.128780626</v>
      </c>
      <c r="CX7" s="3">
        <v>0</v>
      </c>
      <c r="CY7" s="3">
        <v>112421249882.84357</v>
      </c>
      <c r="CZ7" s="7" t="s">
        <v>121</v>
      </c>
      <c r="DA7" s="2" t="s">
        <v>49</v>
      </c>
      <c r="DB7" s="3">
        <v>132646215.87929592</v>
      </c>
      <c r="DC7" s="3">
        <v>0</v>
      </c>
      <c r="DD7" s="3">
        <v>0</v>
      </c>
      <c r="DE7" s="3">
        <v>0</v>
      </c>
      <c r="DF7" s="3">
        <v>132646215.87929592</v>
      </c>
      <c r="DG7" s="7" t="s">
        <v>121</v>
      </c>
      <c r="DH7" s="2" t="s">
        <v>49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7" t="s">
        <v>121</v>
      </c>
      <c r="DO7" s="2" t="s">
        <v>49</v>
      </c>
      <c r="DP7" s="3">
        <v>630227829.64529765</v>
      </c>
      <c r="DQ7" s="3">
        <v>202557580.42840758</v>
      </c>
      <c r="DR7" s="3">
        <v>0</v>
      </c>
      <c r="DS7" s="3">
        <v>0</v>
      </c>
      <c r="DT7" s="3">
        <v>832785410.0737052</v>
      </c>
      <c r="DU7" s="7" t="s">
        <v>121</v>
      </c>
      <c r="DV7" s="2" t="s">
        <v>49</v>
      </c>
      <c r="DW7" s="3">
        <v>8574903649.7305861</v>
      </c>
      <c r="DX7" s="3">
        <v>1558189915.9207284</v>
      </c>
      <c r="DY7" s="3">
        <v>420551669.17678595</v>
      </c>
      <c r="DZ7" s="3">
        <v>0</v>
      </c>
      <c r="EA7" s="3">
        <v>10553645234.8281</v>
      </c>
      <c r="EB7" s="7" t="s">
        <v>121</v>
      </c>
      <c r="EC7" s="2" t="s">
        <v>49</v>
      </c>
      <c r="ED7" s="3">
        <v>19731668036.616886</v>
      </c>
      <c r="EE7" s="3">
        <v>38703141338.985985</v>
      </c>
      <c r="EF7" s="3">
        <v>0</v>
      </c>
      <c r="EG7" s="3">
        <v>7154115.9139184542</v>
      </c>
      <c r="EH7" s="3">
        <v>58441963491.516792</v>
      </c>
    </row>
    <row r="8" spans="1:138" ht="10.199999999999999" customHeight="1" x14ac:dyDescent="0.2">
      <c r="A8" s="7" t="s">
        <v>95</v>
      </c>
      <c r="B8" s="2" t="s">
        <v>23</v>
      </c>
      <c r="C8" s="3">
        <f t="shared" si="4"/>
        <v>0</v>
      </c>
      <c r="D8" s="3">
        <f t="shared" si="5"/>
        <v>25186214.947058942</v>
      </c>
      <c r="E8" s="3">
        <f t="shared" si="6"/>
        <v>0</v>
      </c>
      <c r="F8" s="3">
        <f t="shared" si="7"/>
        <v>0</v>
      </c>
      <c r="G8" s="3">
        <f t="shared" si="8"/>
        <v>655795206.62918723</v>
      </c>
      <c r="H8" s="3">
        <f t="shared" si="9"/>
        <v>0</v>
      </c>
      <c r="I8" s="3">
        <f t="shared" si="10"/>
        <v>3339180355.3379192</v>
      </c>
      <c r="J8" s="3">
        <f t="shared" si="11"/>
        <v>117067519317.55463</v>
      </c>
      <c r="K8" s="3">
        <f t="shared" si="12"/>
        <v>0</v>
      </c>
      <c r="L8" s="3">
        <f t="shared" si="13"/>
        <v>49166770.844064102</v>
      </c>
      <c r="M8" s="3">
        <f t="shared" si="14"/>
        <v>32517744899.523926</v>
      </c>
      <c r="N8" s="3">
        <f t="shared" si="15"/>
        <v>12429459823.321848</v>
      </c>
      <c r="O8" s="3">
        <f t="shared" si="16"/>
        <v>166084052588.15863</v>
      </c>
      <c r="P8" s="7" t="s">
        <v>95</v>
      </c>
      <c r="Q8" s="2" t="s">
        <v>23</v>
      </c>
      <c r="R8" s="3">
        <f t="shared" si="17"/>
        <v>0</v>
      </c>
      <c r="S8" s="3">
        <f t="shared" si="17"/>
        <v>25186214.947058942</v>
      </c>
      <c r="T8" s="3">
        <f t="shared" si="17"/>
        <v>0</v>
      </c>
      <c r="U8" s="3">
        <f t="shared" si="17"/>
        <v>0</v>
      </c>
      <c r="V8" s="3">
        <f t="shared" si="17"/>
        <v>655795206.62918723</v>
      </c>
      <c r="W8" s="3">
        <f t="shared" si="17"/>
        <v>0</v>
      </c>
      <c r="X8" s="3">
        <f t="shared" si="17"/>
        <v>3339180355.3379192</v>
      </c>
      <c r="Y8" s="3">
        <f t="shared" si="17"/>
        <v>117067519317.55463</v>
      </c>
      <c r="Z8" s="3">
        <f t="shared" si="17"/>
        <v>0</v>
      </c>
      <c r="AA8" s="3">
        <f t="shared" si="17"/>
        <v>49166770.844064102</v>
      </c>
      <c r="AB8" s="3">
        <f t="shared" si="18"/>
        <v>121136847865.31287</v>
      </c>
      <c r="AC8" s="7" t="s">
        <v>95</v>
      </c>
      <c r="AD8" s="2" t="s">
        <v>23</v>
      </c>
      <c r="AE8" s="3">
        <f t="shared" si="19"/>
        <v>32517744899.523926</v>
      </c>
      <c r="AF8" s="3">
        <f t="shared" si="19"/>
        <v>12429459823.321848</v>
      </c>
      <c r="AG8" s="3">
        <f t="shared" si="20"/>
        <v>44947204722.845772</v>
      </c>
      <c r="AH8" s="7" t="s">
        <v>95</v>
      </c>
      <c r="AI8" s="2" t="s">
        <v>23</v>
      </c>
      <c r="AJ8" s="3">
        <f t="shared" si="21"/>
        <v>143521642566.6568</v>
      </c>
      <c r="AK8" s="3">
        <f t="shared" si="1"/>
        <v>14003760649.586786</v>
      </c>
      <c r="AL8" s="3">
        <f t="shared" si="1"/>
        <v>8558649371.9150467</v>
      </c>
      <c r="AM8" s="3">
        <f t="shared" si="1"/>
        <v>0</v>
      </c>
      <c r="AN8" s="3">
        <f t="shared" si="22"/>
        <v>166084052588.15863</v>
      </c>
      <c r="AO8" s="7" t="s">
        <v>95</v>
      </c>
      <c r="AP8" s="2" t="s">
        <v>23</v>
      </c>
      <c r="AQ8" s="3">
        <f t="shared" si="23"/>
        <v>111934450272.21939</v>
      </c>
      <c r="AR8" s="3">
        <f t="shared" si="2"/>
        <v>1882776012.5097415</v>
      </c>
      <c r="AS8" s="3">
        <f t="shared" si="2"/>
        <v>7319621580.5837317</v>
      </c>
      <c r="AT8" s="3">
        <f t="shared" si="2"/>
        <v>0</v>
      </c>
      <c r="AU8" s="3">
        <f t="shared" si="24"/>
        <v>121136847865.31285</v>
      </c>
      <c r="AV8" s="7" t="s">
        <v>95</v>
      </c>
      <c r="AW8" s="2" t="s">
        <v>23</v>
      </c>
      <c r="AX8" s="3">
        <f t="shared" si="25"/>
        <v>31587192294.437416</v>
      </c>
      <c r="AY8" s="3">
        <f t="shared" si="3"/>
        <v>12120984637.077045</v>
      </c>
      <c r="AZ8" s="3">
        <f t="shared" si="3"/>
        <v>1239027791.331315</v>
      </c>
      <c r="BA8" s="3">
        <f t="shared" si="3"/>
        <v>0</v>
      </c>
      <c r="BB8" s="3">
        <f t="shared" si="26"/>
        <v>44947204722.845779</v>
      </c>
      <c r="BC8" s="7" t="s">
        <v>95</v>
      </c>
      <c r="BD8" s="2" t="s">
        <v>23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7" t="s">
        <v>95</v>
      </c>
      <c r="BK8" s="2" t="s">
        <v>23</v>
      </c>
      <c r="BL8" s="3">
        <v>0</v>
      </c>
      <c r="BM8" s="3">
        <v>9169537.5278385207</v>
      </c>
      <c r="BN8" s="3">
        <v>16016677.419220421</v>
      </c>
      <c r="BO8" s="3">
        <v>0</v>
      </c>
      <c r="BP8" s="3">
        <v>25186214.947058942</v>
      </c>
      <c r="BQ8" s="7" t="s">
        <v>95</v>
      </c>
      <c r="BR8" s="2" t="s">
        <v>23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7" t="s">
        <v>95</v>
      </c>
      <c r="BY8" s="2" t="s">
        <v>23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7" t="s">
        <v>95</v>
      </c>
      <c r="CF8" s="2" t="s">
        <v>23</v>
      </c>
      <c r="CG8" s="3">
        <v>158189694.57573721</v>
      </c>
      <c r="CH8" s="3">
        <v>497605512.05344999</v>
      </c>
      <c r="CI8" s="3">
        <v>0</v>
      </c>
      <c r="CJ8" s="3">
        <v>0</v>
      </c>
      <c r="CK8" s="3">
        <v>655795206.62918723</v>
      </c>
      <c r="CL8" s="7" t="s">
        <v>95</v>
      </c>
      <c r="CM8" s="2" t="s">
        <v>23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7" t="s">
        <v>95</v>
      </c>
      <c r="CT8" s="2" t="s">
        <v>23</v>
      </c>
      <c r="CU8" s="3">
        <v>1976993766.3888786</v>
      </c>
      <c r="CV8" s="3">
        <v>1362186588.9490404</v>
      </c>
      <c r="CW8" s="3">
        <v>0</v>
      </c>
      <c r="CX8" s="3">
        <v>0</v>
      </c>
      <c r="CY8" s="3">
        <v>3339180355.3379192</v>
      </c>
      <c r="CZ8" s="7" t="s">
        <v>95</v>
      </c>
      <c r="DA8" s="2" t="s">
        <v>23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7" t="s">
        <v>95</v>
      </c>
      <c r="DH8" s="2" t="s">
        <v>23</v>
      </c>
      <c r="DI8" s="3">
        <v>109763914414.39012</v>
      </c>
      <c r="DJ8" s="3">
        <v>0</v>
      </c>
      <c r="DK8" s="3">
        <v>7303604903.1645117</v>
      </c>
      <c r="DL8" s="3">
        <v>0</v>
      </c>
      <c r="DM8" s="3">
        <v>117067519317.55463</v>
      </c>
      <c r="DN8" s="7" t="s">
        <v>95</v>
      </c>
      <c r="DO8" s="2" t="s">
        <v>23</v>
      </c>
      <c r="DP8" s="3">
        <v>35352396.864651658</v>
      </c>
      <c r="DQ8" s="3">
        <v>13814373.979412444</v>
      </c>
      <c r="DR8" s="3">
        <v>0</v>
      </c>
      <c r="DS8" s="3">
        <v>0</v>
      </c>
      <c r="DT8" s="3">
        <v>49166770.844064102</v>
      </c>
      <c r="DU8" s="7" t="s">
        <v>95</v>
      </c>
      <c r="DV8" s="2" t="s">
        <v>23</v>
      </c>
      <c r="DW8" s="3">
        <v>2742586981.5052638</v>
      </c>
      <c r="DX8" s="3">
        <v>8844969342.5786381</v>
      </c>
      <c r="DY8" s="3">
        <v>841903499.23794484</v>
      </c>
      <c r="DZ8" s="3">
        <v>0</v>
      </c>
      <c r="EA8" s="3">
        <v>12429459823.321848</v>
      </c>
      <c r="EB8" s="7" t="s">
        <v>95</v>
      </c>
      <c r="EC8" s="2" t="s">
        <v>23</v>
      </c>
      <c r="ED8" s="3">
        <v>28844605312.932152</v>
      </c>
      <c r="EE8" s="3">
        <v>3276015294.4984064</v>
      </c>
      <c r="EF8" s="3">
        <v>397124292.09337026</v>
      </c>
      <c r="EG8" s="3">
        <v>0</v>
      </c>
      <c r="EH8" s="3">
        <v>32517744899.523926</v>
      </c>
    </row>
    <row r="9" spans="1:138" ht="10.199999999999999" customHeight="1" x14ac:dyDescent="0.2">
      <c r="A9" s="7" t="s">
        <v>101</v>
      </c>
      <c r="B9" s="2" t="s">
        <v>29</v>
      </c>
      <c r="C9" s="3">
        <f t="shared" si="4"/>
        <v>0</v>
      </c>
      <c r="D9" s="3">
        <f t="shared" si="5"/>
        <v>376395203.13058007</v>
      </c>
      <c r="E9" s="3">
        <f t="shared" si="6"/>
        <v>0</v>
      </c>
      <c r="F9" s="3">
        <f t="shared" si="7"/>
        <v>0</v>
      </c>
      <c r="G9" s="3">
        <f t="shared" si="8"/>
        <v>410795.28124716569</v>
      </c>
      <c r="H9" s="3">
        <f t="shared" si="9"/>
        <v>0</v>
      </c>
      <c r="I9" s="3">
        <f t="shared" si="10"/>
        <v>92017499.769025803</v>
      </c>
      <c r="J9" s="3">
        <f t="shared" si="11"/>
        <v>9746783.6881811488</v>
      </c>
      <c r="K9" s="3">
        <f t="shared" si="12"/>
        <v>0</v>
      </c>
      <c r="L9" s="3">
        <f t="shared" si="13"/>
        <v>2298452371.435215</v>
      </c>
      <c r="M9" s="3">
        <f t="shared" si="14"/>
        <v>31392509691.537212</v>
      </c>
      <c r="N9" s="3">
        <f t="shared" si="15"/>
        <v>3494622627.2108293</v>
      </c>
      <c r="O9" s="3">
        <f t="shared" si="16"/>
        <v>37664154972.052292</v>
      </c>
      <c r="P9" s="7" t="s">
        <v>101</v>
      </c>
      <c r="Q9" s="2" t="s">
        <v>29</v>
      </c>
      <c r="R9" s="3">
        <f t="shared" si="17"/>
        <v>0</v>
      </c>
      <c r="S9" s="3">
        <f t="shared" si="17"/>
        <v>376395203.13058007</v>
      </c>
      <c r="T9" s="3">
        <f t="shared" si="17"/>
        <v>0</v>
      </c>
      <c r="U9" s="3">
        <f t="shared" si="17"/>
        <v>0</v>
      </c>
      <c r="V9" s="3">
        <f t="shared" si="17"/>
        <v>410795.28124716569</v>
      </c>
      <c r="W9" s="3">
        <f t="shared" si="17"/>
        <v>0</v>
      </c>
      <c r="X9" s="3">
        <f t="shared" si="17"/>
        <v>92017499.769025803</v>
      </c>
      <c r="Y9" s="3">
        <f t="shared" si="17"/>
        <v>9746783.6881811488</v>
      </c>
      <c r="Z9" s="3">
        <f t="shared" si="17"/>
        <v>0</v>
      </c>
      <c r="AA9" s="3">
        <f t="shared" si="17"/>
        <v>2298452371.435215</v>
      </c>
      <c r="AB9" s="3">
        <f t="shared" si="18"/>
        <v>2777022653.3042493</v>
      </c>
      <c r="AC9" s="7" t="s">
        <v>101</v>
      </c>
      <c r="AD9" s="2" t="s">
        <v>29</v>
      </c>
      <c r="AE9" s="3">
        <f t="shared" si="19"/>
        <v>31392509691.537212</v>
      </c>
      <c r="AF9" s="3">
        <f t="shared" si="19"/>
        <v>3494622627.2108293</v>
      </c>
      <c r="AG9" s="3">
        <f t="shared" si="20"/>
        <v>34887132318.748039</v>
      </c>
      <c r="AH9" s="7" t="s">
        <v>101</v>
      </c>
      <c r="AI9" s="2" t="s">
        <v>29</v>
      </c>
      <c r="AJ9" s="3">
        <f t="shared" si="21"/>
        <v>10597617491.403767</v>
      </c>
      <c r="AK9" s="3">
        <f t="shared" si="1"/>
        <v>27066537480.648521</v>
      </c>
      <c r="AL9" s="3">
        <f t="shared" si="1"/>
        <v>0</v>
      </c>
      <c r="AM9" s="3">
        <f t="shared" si="1"/>
        <v>0</v>
      </c>
      <c r="AN9" s="3">
        <f t="shared" si="22"/>
        <v>37664154972.052292</v>
      </c>
      <c r="AO9" s="7" t="s">
        <v>101</v>
      </c>
      <c r="AP9" s="2" t="s">
        <v>29</v>
      </c>
      <c r="AQ9" s="3">
        <f t="shared" si="23"/>
        <v>340775057.69220376</v>
      </c>
      <c r="AR9" s="3">
        <f t="shared" si="2"/>
        <v>2436247595.6120458</v>
      </c>
      <c r="AS9" s="3">
        <f t="shared" si="2"/>
        <v>0</v>
      </c>
      <c r="AT9" s="3">
        <f t="shared" si="2"/>
        <v>0</v>
      </c>
      <c r="AU9" s="3">
        <f t="shared" si="24"/>
        <v>2777022653.3042498</v>
      </c>
      <c r="AV9" s="7" t="s">
        <v>101</v>
      </c>
      <c r="AW9" s="2" t="s">
        <v>29</v>
      </c>
      <c r="AX9" s="3">
        <f t="shared" si="25"/>
        <v>10256842433.711563</v>
      </c>
      <c r="AY9" s="3">
        <f t="shared" si="3"/>
        <v>24630289885.036476</v>
      </c>
      <c r="AZ9" s="3">
        <f t="shared" si="3"/>
        <v>0</v>
      </c>
      <c r="BA9" s="3">
        <f t="shared" si="3"/>
        <v>0</v>
      </c>
      <c r="BB9" s="3">
        <f t="shared" si="26"/>
        <v>34887132318.748039</v>
      </c>
      <c r="BC9" s="7" t="s">
        <v>101</v>
      </c>
      <c r="BD9" s="2" t="s">
        <v>29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7" t="s">
        <v>101</v>
      </c>
      <c r="BK9" s="2" t="s">
        <v>29</v>
      </c>
      <c r="BL9" s="3">
        <v>238457594.28965536</v>
      </c>
      <c r="BM9" s="3">
        <v>137937608.84092474</v>
      </c>
      <c r="BN9" s="3">
        <v>0</v>
      </c>
      <c r="BO9" s="3">
        <v>0</v>
      </c>
      <c r="BP9" s="3">
        <v>376395203.13058007</v>
      </c>
      <c r="BQ9" s="7" t="s">
        <v>101</v>
      </c>
      <c r="BR9" s="2" t="s">
        <v>29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7" t="s">
        <v>101</v>
      </c>
      <c r="BY9" s="2" t="s">
        <v>29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7" t="s">
        <v>101</v>
      </c>
      <c r="CF9" s="2" t="s">
        <v>29</v>
      </c>
      <c r="CG9" s="3">
        <v>410795.28124716569</v>
      </c>
      <c r="CH9" s="3">
        <v>0</v>
      </c>
      <c r="CI9" s="3">
        <v>0</v>
      </c>
      <c r="CJ9" s="3">
        <v>0</v>
      </c>
      <c r="CK9" s="3">
        <v>410795.28124716569</v>
      </c>
      <c r="CL9" s="7" t="s">
        <v>101</v>
      </c>
      <c r="CM9" s="2" t="s">
        <v>29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7" t="s">
        <v>101</v>
      </c>
      <c r="CT9" s="2" t="s">
        <v>29</v>
      </c>
      <c r="CU9" s="3">
        <v>56183592.263458103</v>
      </c>
      <c r="CV9" s="3">
        <v>35833907.505567707</v>
      </c>
      <c r="CW9" s="3">
        <v>0</v>
      </c>
      <c r="CX9" s="3">
        <v>0</v>
      </c>
      <c r="CY9" s="3">
        <v>92017499.769025803</v>
      </c>
      <c r="CZ9" s="7" t="s">
        <v>101</v>
      </c>
      <c r="DA9" s="2" t="s">
        <v>29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7" t="s">
        <v>101</v>
      </c>
      <c r="DH9" s="2" t="s">
        <v>29</v>
      </c>
      <c r="DI9" s="3">
        <v>0</v>
      </c>
      <c r="DJ9" s="3">
        <v>9746783.6881811488</v>
      </c>
      <c r="DK9" s="3">
        <v>0</v>
      </c>
      <c r="DL9" s="3">
        <v>0</v>
      </c>
      <c r="DM9" s="3">
        <v>9746783.6881811488</v>
      </c>
      <c r="DN9" s="7" t="s">
        <v>101</v>
      </c>
      <c r="DO9" s="2" t="s">
        <v>29</v>
      </c>
      <c r="DP9" s="3">
        <v>45723075.857843138</v>
      </c>
      <c r="DQ9" s="3">
        <v>2252729295.5773721</v>
      </c>
      <c r="DR9" s="3">
        <v>0</v>
      </c>
      <c r="DS9" s="3">
        <v>0</v>
      </c>
      <c r="DT9" s="3">
        <v>2298452371.435215</v>
      </c>
      <c r="DU9" s="7" t="s">
        <v>101</v>
      </c>
      <c r="DV9" s="2" t="s">
        <v>29</v>
      </c>
      <c r="DW9" s="3">
        <v>500948410.33325279</v>
      </c>
      <c r="DX9" s="3">
        <v>2993674216.8775764</v>
      </c>
      <c r="DY9" s="3">
        <v>0</v>
      </c>
      <c r="DZ9" s="3">
        <v>0</v>
      </c>
      <c r="EA9" s="3">
        <v>3494622627.2108293</v>
      </c>
      <c r="EB9" s="7" t="s">
        <v>101</v>
      </c>
      <c r="EC9" s="2" t="s">
        <v>29</v>
      </c>
      <c r="ED9" s="3">
        <v>9755894023.3783112</v>
      </c>
      <c r="EE9" s="3">
        <v>21636615668.158901</v>
      </c>
      <c r="EF9" s="3">
        <v>0</v>
      </c>
      <c r="EG9" s="3">
        <v>0</v>
      </c>
      <c r="EH9" s="3">
        <v>31392509691.537212</v>
      </c>
    </row>
    <row r="10" spans="1:138" ht="10.199999999999999" customHeight="1" x14ac:dyDescent="0.2">
      <c r="A10" s="7" t="s">
        <v>106</v>
      </c>
      <c r="B10" s="2" t="s">
        <v>34</v>
      </c>
      <c r="C10" s="3">
        <f t="shared" si="4"/>
        <v>0</v>
      </c>
      <c r="D10" s="3">
        <f t="shared" si="5"/>
        <v>32481645.313865852</v>
      </c>
      <c r="E10" s="3">
        <f t="shared" si="6"/>
        <v>446735393766.04041</v>
      </c>
      <c r="F10" s="3">
        <f t="shared" si="7"/>
        <v>11672252280.721823</v>
      </c>
      <c r="G10" s="3">
        <f t="shared" si="8"/>
        <v>30884502.049005304</v>
      </c>
      <c r="H10" s="3">
        <f t="shared" si="9"/>
        <v>0</v>
      </c>
      <c r="I10" s="3">
        <f t="shared" si="10"/>
        <v>827392528.67769241</v>
      </c>
      <c r="J10" s="3">
        <f t="shared" si="11"/>
        <v>8266722593.8865108</v>
      </c>
      <c r="K10" s="3">
        <f t="shared" si="12"/>
        <v>876078288.12231016</v>
      </c>
      <c r="L10" s="3">
        <f t="shared" si="13"/>
        <v>45815143017.892159</v>
      </c>
      <c r="M10" s="3">
        <f t="shared" si="14"/>
        <v>8344796318.7431545</v>
      </c>
      <c r="N10" s="3">
        <f t="shared" si="15"/>
        <v>10138244055.059837</v>
      </c>
      <c r="O10" s="3">
        <f t="shared" si="16"/>
        <v>532739388996.50671</v>
      </c>
      <c r="P10" s="7" t="s">
        <v>106</v>
      </c>
      <c r="Q10" s="2" t="s">
        <v>34</v>
      </c>
      <c r="R10" s="3">
        <f t="shared" si="17"/>
        <v>0</v>
      </c>
      <c r="S10" s="3">
        <f t="shared" si="17"/>
        <v>32481645.313865852</v>
      </c>
      <c r="T10" s="3">
        <f t="shared" si="17"/>
        <v>446735393766.04041</v>
      </c>
      <c r="U10" s="3">
        <f t="shared" si="17"/>
        <v>11672252280.721823</v>
      </c>
      <c r="V10" s="3">
        <f t="shared" si="17"/>
        <v>30884502.049005304</v>
      </c>
      <c r="W10" s="3">
        <f t="shared" si="17"/>
        <v>0</v>
      </c>
      <c r="X10" s="3">
        <f t="shared" si="17"/>
        <v>827392528.67769241</v>
      </c>
      <c r="Y10" s="3">
        <f t="shared" si="17"/>
        <v>8266722593.8865108</v>
      </c>
      <c r="Z10" s="3">
        <f t="shared" si="17"/>
        <v>876078288.12231016</v>
      </c>
      <c r="AA10" s="3">
        <f t="shared" si="17"/>
        <v>45815143017.892159</v>
      </c>
      <c r="AB10" s="3">
        <f t="shared" si="18"/>
        <v>514256348622.70374</v>
      </c>
      <c r="AC10" s="7" t="s">
        <v>106</v>
      </c>
      <c r="AD10" s="2" t="s">
        <v>34</v>
      </c>
      <c r="AE10" s="3">
        <f t="shared" si="19"/>
        <v>8344796318.7431545</v>
      </c>
      <c r="AF10" s="3">
        <f t="shared" si="19"/>
        <v>10138244055.059837</v>
      </c>
      <c r="AG10" s="3">
        <f t="shared" si="20"/>
        <v>18483040373.802994</v>
      </c>
      <c r="AH10" s="7" t="s">
        <v>106</v>
      </c>
      <c r="AI10" s="2" t="s">
        <v>34</v>
      </c>
      <c r="AJ10" s="3">
        <f t="shared" si="21"/>
        <v>158808106410.71725</v>
      </c>
      <c r="AK10" s="3">
        <f t="shared" si="1"/>
        <v>3380665149.027698</v>
      </c>
      <c r="AL10" s="3">
        <f t="shared" si="1"/>
        <v>274588301.66415203</v>
      </c>
      <c r="AM10" s="3">
        <f t="shared" si="1"/>
        <v>370276029135.09772</v>
      </c>
      <c r="AN10" s="3">
        <f t="shared" si="22"/>
        <v>532739388996.50684</v>
      </c>
      <c r="AO10" s="7" t="s">
        <v>106</v>
      </c>
      <c r="AP10" s="2" t="s">
        <v>34</v>
      </c>
      <c r="AQ10" s="3">
        <f t="shared" si="23"/>
        <v>149760268420.71689</v>
      </c>
      <c r="AR10" s="3">
        <f t="shared" si="2"/>
        <v>1840803556.4731431</v>
      </c>
      <c r="AS10" s="3">
        <f t="shared" si="2"/>
        <v>67252671.641881183</v>
      </c>
      <c r="AT10" s="3">
        <f t="shared" si="2"/>
        <v>362588023973.87189</v>
      </c>
      <c r="AU10" s="3">
        <f t="shared" si="24"/>
        <v>514256348622.7038</v>
      </c>
      <c r="AV10" s="7" t="s">
        <v>106</v>
      </c>
      <c r="AW10" s="2" t="s">
        <v>34</v>
      </c>
      <c r="AX10" s="3">
        <f t="shared" si="25"/>
        <v>9047837990.0003643</v>
      </c>
      <c r="AY10" s="3">
        <f t="shared" si="3"/>
        <v>1539861592.5545549</v>
      </c>
      <c r="AZ10" s="3">
        <f t="shared" si="3"/>
        <v>207335630.02227083</v>
      </c>
      <c r="BA10" s="3">
        <f t="shared" si="3"/>
        <v>7688005161.2258015</v>
      </c>
      <c r="BB10" s="3">
        <f t="shared" si="26"/>
        <v>18483040373.802994</v>
      </c>
      <c r="BC10" s="7" t="s">
        <v>106</v>
      </c>
      <c r="BD10" s="2" t="s">
        <v>34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7" t="s">
        <v>106</v>
      </c>
      <c r="BK10" s="2" t="s">
        <v>34</v>
      </c>
      <c r="BL10" s="3">
        <v>32481645.313865852</v>
      </c>
      <c r="BM10" s="3">
        <v>0</v>
      </c>
      <c r="BN10" s="3">
        <v>0</v>
      </c>
      <c r="BO10" s="3">
        <v>0</v>
      </c>
      <c r="BP10" s="3">
        <v>32481645.313865852</v>
      </c>
      <c r="BQ10" s="7" t="s">
        <v>106</v>
      </c>
      <c r="BR10" s="2" t="s">
        <v>34</v>
      </c>
      <c r="BS10" s="3">
        <v>127609064557.43695</v>
      </c>
      <c r="BT10" s="3">
        <v>103667815.01113541</v>
      </c>
      <c r="BU10" s="3">
        <v>0</v>
      </c>
      <c r="BV10" s="3">
        <v>319022661393.59235</v>
      </c>
      <c r="BW10" s="3">
        <v>446735393766.04041</v>
      </c>
      <c r="BX10" s="7" t="s">
        <v>106</v>
      </c>
      <c r="BY10" s="2" t="s">
        <v>34</v>
      </c>
      <c r="BZ10" s="3">
        <v>11658371160.291832</v>
      </c>
      <c r="CA10" s="3">
        <v>13881120.429991031</v>
      </c>
      <c r="CB10" s="3">
        <v>0</v>
      </c>
      <c r="CC10" s="3">
        <v>0</v>
      </c>
      <c r="CD10" s="3">
        <v>11672252280.721823</v>
      </c>
      <c r="CE10" s="7" t="s">
        <v>106</v>
      </c>
      <c r="CF10" s="2" t="s">
        <v>34</v>
      </c>
      <c r="CG10" s="3">
        <v>30884502.049005304</v>
      </c>
      <c r="CH10" s="3">
        <v>0</v>
      </c>
      <c r="CI10" s="3">
        <v>0</v>
      </c>
      <c r="CJ10" s="3">
        <v>0</v>
      </c>
      <c r="CK10" s="3">
        <v>30884502.049005304</v>
      </c>
      <c r="CL10" s="7" t="s">
        <v>106</v>
      </c>
      <c r="CM10" s="2" t="s">
        <v>34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7" t="s">
        <v>106</v>
      </c>
      <c r="CT10" s="2" t="s">
        <v>34</v>
      </c>
      <c r="CU10" s="3">
        <v>760139857.03581119</v>
      </c>
      <c r="CV10" s="3">
        <v>0</v>
      </c>
      <c r="CW10" s="3">
        <v>67252671.641881183</v>
      </c>
      <c r="CX10" s="3">
        <v>0</v>
      </c>
      <c r="CY10" s="3">
        <v>827392528.67769241</v>
      </c>
      <c r="CZ10" s="7" t="s">
        <v>106</v>
      </c>
      <c r="DA10" s="2" t="s">
        <v>34</v>
      </c>
      <c r="DB10" s="3">
        <v>876078288.12231016</v>
      </c>
      <c r="DC10" s="3">
        <v>0</v>
      </c>
      <c r="DD10" s="3">
        <v>0</v>
      </c>
      <c r="DE10" s="3">
        <v>0</v>
      </c>
      <c r="DF10" s="3">
        <v>876078288.12231016</v>
      </c>
      <c r="DG10" s="7" t="s">
        <v>106</v>
      </c>
      <c r="DH10" s="2" t="s">
        <v>34</v>
      </c>
      <c r="DI10" s="3">
        <v>8266722593.8865108</v>
      </c>
      <c r="DJ10" s="3">
        <v>0</v>
      </c>
      <c r="DK10" s="3">
        <v>0</v>
      </c>
      <c r="DL10" s="3">
        <v>0</v>
      </c>
      <c r="DM10" s="3">
        <v>8266722593.8865108</v>
      </c>
      <c r="DN10" s="7" t="s">
        <v>106</v>
      </c>
      <c r="DO10" s="2" t="s">
        <v>34</v>
      </c>
      <c r="DP10" s="3">
        <v>526525816.58059812</v>
      </c>
      <c r="DQ10" s="3">
        <v>1723254621.0320168</v>
      </c>
      <c r="DR10" s="3">
        <v>0</v>
      </c>
      <c r="DS10" s="3">
        <v>43565362580.279541</v>
      </c>
      <c r="DT10" s="3">
        <v>45815143017.892159</v>
      </c>
      <c r="DU10" s="7" t="s">
        <v>106</v>
      </c>
      <c r="DV10" s="2" t="s">
        <v>34</v>
      </c>
      <c r="DW10" s="3">
        <v>720924369.34663093</v>
      </c>
      <c r="DX10" s="3">
        <v>1521978894.4651341</v>
      </c>
      <c r="DY10" s="3">
        <v>207335630.02227083</v>
      </c>
      <c r="DZ10" s="3">
        <v>7688005161.2258015</v>
      </c>
      <c r="EA10" s="3">
        <v>10138244055.059837</v>
      </c>
      <c r="EB10" s="7" t="s">
        <v>106</v>
      </c>
      <c r="EC10" s="2" t="s">
        <v>34</v>
      </c>
      <c r="ED10" s="3">
        <v>8326913620.6537333</v>
      </c>
      <c r="EE10" s="3">
        <v>17882698.089420859</v>
      </c>
      <c r="EF10" s="3">
        <v>0</v>
      </c>
      <c r="EG10" s="3">
        <v>0</v>
      </c>
      <c r="EH10" s="3">
        <v>8344796318.7431545</v>
      </c>
    </row>
    <row r="11" spans="1:138" ht="10.199999999999999" customHeight="1" x14ac:dyDescent="0.2">
      <c r="A11" s="7" t="s">
        <v>103</v>
      </c>
      <c r="B11" s="2" t="s">
        <v>31</v>
      </c>
      <c r="C11" s="3">
        <f t="shared" si="4"/>
        <v>30078834.804862007</v>
      </c>
      <c r="D11" s="3">
        <f t="shared" si="5"/>
        <v>52651066.915495977</v>
      </c>
      <c r="E11" s="3">
        <f t="shared" si="6"/>
        <v>0</v>
      </c>
      <c r="F11" s="3">
        <f t="shared" si="7"/>
        <v>27876611413.367432</v>
      </c>
      <c r="G11" s="3">
        <f t="shared" si="8"/>
        <v>0</v>
      </c>
      <c r="H11" s="3">
        <f t="shared" si="9"/>
        <v>0</v>
      </c>
      <c r="I11" s="3">
        <f t="shared" si="10"/>
        <v>2347134596.2728581</v>
      </c>
      <c r="J11" s="3">
        <f t="shared" si="11"/>
        <v>112652273.91799586</v>
      </c>
      <c r="K11" s="3">
        <f t="shared" si="12"/>
        <v>0</v>
      </c>
      <c r="L11" s="3">
        <f t="shared" si="13"/>
        <v>270166816.46610975</v>
      </c>
      <c r="M11" s="3">
        <f t="shared" si="14"/>
        <v>235468534192.86157</v>
      </c>
      <c r="N11" s="3">
        <f t="shared" si="15"/>
        <v>13186276091.039352</v>
      </c>
      <c r="O11" s="3">
        <f t="shared" si="16"/>
        <v>279344105285.64569</v>
      </c>
      <c r="P11" s="7" t="s">
        <v>103</v>
      </c>
      <c r="Q11" s="2" t="s">
        <v>31</v>
      </c>
      <c r="R11" s="3">
        <f t="shared" si="17"/>
        <v>30078834.804862007</v>
      </c>
      <c r="S11" s="3">
        <f t="shared" si="17"/>
        <v>52651066.915495977</v>
      </c>
      <c r="T11" s="3">
        <f t="shared" si="17"/>
        <v>0</v>
      </c>
      <c r="U11" s="3">
        <f t="shared" si="17"/>
        <v>27876611413.367432</v>
      </c>
      <c r="V11" s="3">
        <f t="shared" si="17"/>
        <v>0</v>
      </c>
      <c r="W11" s="3">
        <f t="shared" si="17"/>
        <v>0</v>
      </c>
      <c r="X11" s="3">
        <f t="shared" si="17"/>
        <v>2347134596.2728581</v>
      </c>
      <c r="Y11" s="3">
        <f t="shared" si="17"/>
        <v>112652273.91799586</v>
      </c>
      <c r="Z11" s="3">
        <f t="shared" si="17"/>
        <v>0</v>
      </c>
      <c r="AA11" s="3">
        <f t="shared" si="17"/>
        <v>270166816.46610975</v>
      </c>
      <c r="AB11" s="3">
        <f t="shared" si="18"/>
        <v>30689295001.744755</v>
      </c>
      <c r="AC11" s="7" t="s">
        <v>103</v>
      </c>
      <c r="AD11" s="2" t="s">
        <v>31</v>
      </c>
      <c r="AE11" s="3">
        <f t="shared" si="19"/>
        <v>235468534192.86157</v>
      </c>
      <c r="AF11" s="3">
        <f t="shared" si="19"/>
        <v>13186276091.039352</v>
      </c>
      <c r="AG11" s="3">
        <f t="shared" si="20"/>
        <v>248654810283.90094</v>
      </c>
      <c r="AH11" s="7" t="s">
        <v>103</v>
      </c>
      <c r="AI11" s="2" t="s">
        <v>31</v>
      </c>
      <c r="AJ11" s="3">
        <f t="shared" si="21"/>
        <v>171648769717.45587</v>
      </c>
      <c r="AK11" s="3">
        <f t="shared" si="1"/>
        <v>100265658392.05479</v>
      </c>
      <c r="AL11" s="3">
        <f t="shared" si="1"/>
        <v>7429677176.1350174</v>
      </c>
      <c r="AM11" s="3">
        <f t="shared" si="1"/>
        <v>0</v>
      </c>
      <c r="AN11" s="3">
        <f t="shared" si="22"/>
        <v>279344105285.64569</v>
      </c>
      <c r="AO11" s="7" t="s">
        <v>103</v>
      </c>
      <c r="AP11" s="2" t="s">
        <v>31</v>
      </c>
      <c r="AQ11" s="3">
        <f t="shared" si="23"/>
        <v>21312301994.402542</v>
      </c>
      <c r="AR11" s="3">
        <f t="shared" si="2"/>
        <v>9376993007.3422108</v>
      </c>
      <c r="AS11" s="3">
        <f t="shared" si="2"/>
        <v>0</v>
      </c>
      <c r="AT11" s="3">
        <f t="shared" si="2"/>
        <v>0</v>
      </c>
      <c r="AU11" s="3">
        <f t="shared" si="24"/>
        <v>30689295001.744751</v>
      </c>
      <c r="AV11" s="7" t="s">
        <v>103</v>
      </c>
      <c r="AW11" s="2" t="s">
        <v>31</v>
      </c>
      <c r="AX11" s="3">
        <f t="shared" si="25"/>
        <v>150336467723.05334</v>
      </c>
      <c r="AY11" s="3">
        <f t="shared" si="3"/>
        <v>90888665384.712585</v>
      </c>
      <c r="AZ11" s="3">
        <f t="shared" si="3"/>
        <v>7429677176.1350174</v>
      </c>
      <c r="BA11" s="3">
        <f t="shared" si="3"/>
        <v>0</v>
      </c>
      <c r="BB11" s="3">
        <f t="shared" si="26"/>
        <v>248654810283.90094</v>
      </c>
      <c r="BC11" s="7" t="s">
        <v>103</v>
      </c>
      <c r="BD11" s="2" t="s">
        <v>31</v>
      </c>
      <c r="BE11" s="3">
        <v>30078834.804862007</v>
      </c>
      <c r="BF11" s="3">
        <v>0</v>
      </c>
      <c r="BG11" s="3">
        <v>0</v>
      </c>
      <c r="BH11" s="3">
        <v>0</v>
      </c>
      <c r="BI11" s="3">
        <v>30078834.804862007</v>
      </c>
      <c r="BJ11" s="7" t="s">
        <v>103</v>
      </c>
      <c r="BK11" s="2" t="s">
        <v>31</v>
      </c>
      <c r="BL11" s="3">
        <v>52117177.668188632</v>
      </c>
      <c r="BM11" s="3">
        <v>533889.24730734737</v>
      </c>
      <c r="BN11" s="3">
        <v>0</v>
      </c>
      <c r="BO11" s="3">
        <v>0</v>
      </c>
      <c r="BP11" s="3">
        <v>52651066.915495977</v>
      </c>
      <c r="BQ11" s="7" t="s">
        <v>103</v>
      </c>
      <c r="BR11" s="2" t="s">
        <v>31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7" t="s">
        <v>103</v>
      </c>
      <c r="BY11" s="2" t="s">
        <v>31</v>
      </c>
      <c r="BZ11" s="3">
        <v>18724385779.141613</v>
      </c>
      <c r="CA11" s="3">
        <v>9152225634.2258167</v>
      </c>
      <c r="CB11" s="3">
        <v>0</v>
      </c>
      <c r="CC11" s="3">
        <v>0</v>
      </c>
      <c r="CD11" s="3">
        <v>27876611413.367432</v>
      </c>
      <c r="CE11" s="7" t="s">
        <v>103</v>
      </c>
      <c r="CF11" s="2" t="s">
        <v>31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7" t="s">
        <v>103</v>
      </c>
      <c r="CM11" s="2" t="s">
        <v>31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7" t="s">
        <v>103</v>
      </c>
      <c r="CT11" s="2" t="s">
        <v>31</v>
      </c>
      <c r="CU11" s="3">
        <v>2216865619.9298654</v>
      </c>
      <c r="CV11" s="3">
        <v>130268976.34299275</v>
      </c>
      <c r="CW11" s="3">
        <v>0</v>
      </c>
      <c r="CX11" s="3">
        <v>0</v>
      </c>
      <c r="CY11" s="3">
        <v>2347134596.2728581</v>
      </c>
      <c r="CZ11" s="7" t="s">
        <v>103</v>
      </c>
      <c r="DA11" s="2" t="s">
        <v>31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7" t="s">
        <v>103</v>
      </c>
      <c r="DH11" s="2" t="s">
        <v>31</v>
      </c>
      <c r="DI11" s="3">
        <v>57127792.198031731</v>
      </c>
      <c r="DJ11" s="3">
        <v>55524481.719964124</v>
      </c>
      <c r="DK11" s="3">
        <v>0</v>
      </c>
      <c r="DL11" s="3">
        <v>0</v>
      </c>
      <c r="DM11" s="3">
        <v>112652273.91799586</v>
      </c>
      <c r="DN11" s="7" t="s">
        <v>103</v>
      </c>
      <c r="DO11" s="2" t="s">
        <v>31</v>
      </c>
      <c r="DP11" s="3">
        <v>231726790.65998077</v>
      </c>
      <c r="DQ11" s="3">
        <v>38440025.806129009</v>
      </c>
      <c r="DR11" s="3">
        <v>0</v>
      </c>
      <c r="DS11" s="3">
        <v>0</v>
      </c>
      <c r="DT11" s="3">
        <v>270166816.46610975</v>
      </c>
      <c r="DU11" s="7" t="s">
        <v>103</v>
      </c>
      <c r="DV11" s="2" t="s">
        <v>31</v>
      </c>
      <c r="DW11" s="3">
        <v>4058707108.3837237</v>
      </c>
      <c r="DX11" s="3">
        <v>1697891806.5206103</v>
      </c>
      <c r="DY11" s="3">
        <v>7429677176.1350174</v>
      </c>
      <c r="DZ11" s="3">
        <v>0</v>
      </c>
      <c r="EA11" s="3">
        <v>13186276091.039352</v>
      </c>
      <c r="EB11" s="7" t="s">
        <v>103</v>
      </c>
      <c r="EC11" s="2" t="s">
        <v>31</v>
      </c>
      <c r="ED11" s="3">
        <v>146277760614.66962</v>
      </c>
      <c r="EE11" s="3">
        <v>89190773578.191971</v>
      </c>
      <c r="EF11" s="3">
        <v>0</v>
      </c>
      <c r="EG11" s="3">
        <v>0</v>
      </c>
      <c r="EH11" s="3">
        <v>235468534192.86157</v>
      </c>
    </row>
    <row r="12" spans="1:138" ht="10.199999999999999" customHeight="1" x14ac:dyDescent="0.2">
      <c r="A12" s="7" t="s">
        <v>99</v>
      </c>
      <c r="B12" s="2" t="s">
        <v>27</v>
      </c>
      <c r="C12" s="3">
        <f t="shared" si="4"/>
        <v>1181825266.2353504</v>
      </c>
      <c r="D12" s="3">
        <f t="shared" si="5"/>
        <v>898614.67772817507</v>
      </c>
      <c r="E12" s="3">
        <f t="shared" si="6"/>
        <v>0</v>
      </c>
      <c r="F12" s="3">
        <f t="shared" si="7"/>
        <v>114043498228.42117</v>
      </c>
      <c r="G12" s="3">
        <f t="shared" si="8"/>
        <v>1355389288.5053685</v>
      </c>
      <c r="H12" s="3">
        <f t="shared" si="9"/>
        <v>0</v>
      </c>
      <c r="I12" s="3">
        <f t="shared" si="10"/>
        <v>16243931822.319893</v>
      </c>
      <c r="J12" s="3">
        <f t="shared" si="11"/>
        <v>7188917.4218254006</v>
      </c>
      <c r="K12" s="3">
        <f t="shared" si="12"/>
        <v>7187683181.3679276</v>
      </c>
      <c r="L12" s="3">
        <f t="shared" si="13"/>
        <v>345956929.24648613</v>
      </c>
      <c r="M12" s="3">
        <f t="shared" si="14"/>
        <v>63492924569.939331</v>
      </c>
      <c r="N12" s="3">
        <f t="shared" si="15"/>
        <v>133601551427.1377</v>
      </c>
      <c r="O12" s="3">
        <f t="shared" si="16"/>
        <v>337460848245.27283</v>
      </c>
      <c r="P12" s="7" t="s">
        <v>99</v>
      </c>
      <c r="Q12" s="2" t="s">
        <v>27</v>
      </c>
      <c r="R12" s="3">
        <f t="shared" si="17"/>
        <v>1181825266.2353504</v>
      </c>
      <c r="S12" s="3">
        <f t="shared" si="17"/>
        <v>898614.67772817507</v>
      </c>
      <c r="T12" s="3">
        <f t="shared" si="17"/>
        <v>0</v>
      </c>
      <c r="U12" s="3">
        <f t="shared" si="17"/>
        <v>114043498228.42117</v>
      </c>
      <c r="V12" s="3">
        <f t="shared" si="17"/>
        <v>1355389288.5053685</v>
      </c>
      <c r="W12" s="3">
        <f t="shared" si="17"/>
        <v>0</v>
      </c>
      <c r="X12" s="3">
        <f t="shared" si="17"/>
        <v>16243931822.319893</v>
      </c>
      <c r="Y12" s="3">
        <f t="shared" si="17"/>
        <v>7188917.4218254006</v>
      </c>
      <c r="Z12" s="3">
        <f t="shared" si="17"/>
        <v>7187683181.3679276</v>
      </c>
      <c r="AA12" s="3">
        <f t="shared" si="17"/>
        <v>345956929.24648613</v>
      </c>
      <c r="AB12" s="3">
        <f t="shared" si="18"/>
        <v>140366372248.19577</v>
      </c>
      <c r="AC12" s="7" t="s">
        <v>99</v>
      </c>
      <c r="AD12" s="2" t="s">
        <v>27</v>
      </c>
      <c r="AE12" s="3">
        <f t="shared" si="19"/>
        <v>63492924569.939331</v>
      </c>
      <c r="AF12" s="3">
        <f t="shared" si="19"/>
        <v>133601551427.1377</v>
      </c>
      <c r="AG12" s="3">
        <f t="shared" si="20"/>
        <v>197094475997.07703</v>
      </c>
      <c r="AH12" s="7" t="s">
        <v>99</v>
      </c>
      <c r="AI12" s="2" t="s">
        <v>27</v>
      </c>
      <c r="AJ12" s="3">
        <f t="shared" si="21"/>
        <v>20762455927.382023</v>
      </c>
      <c r="AK12" s="3">
        <f t="shared" si="1"/>
        <v>131847451661.22397</v>
      </c>
      <c r="AL12" s="3">
        <f t="shared" si="1"/>
        <v>181168454385.48685</v>
      </c>
      <c r="AM12" s="3">
        <f t="shared" si="1"/>
        <v>3682486271.1799502</v>
      </c>
      <c r="AN12" s="3">
        <f t="shared" si="22"/>
        <v>337460848245.27277</v>
      </c>
      <c r="AO12" s="7" t="s">
        <v>99</v>
      </c>
      <c r="AP12" s="2" t="s">
        <v>27</v>
      </c>
      <c r="AQ12" s="3">
        <f t="shared" si="23"/>
        <v>11896315260.112032</v>
      </c>
      <c r="AR12" s="3">
        <f t="shared" si="2"/>
        <v>84750818942.147141</v>
      </c>
      <c r="AS12" s="3">
        <f t="shared" si="2"/>
        <v>43719238045.936577</v>
      </c>
      <c r="AT12" s="3">
        <f t="shared" si="2"/>
        <v>0</v>
      </c>
      <c r="AU12" s="3">
        <f t="shared" si="24"/>
        <v>140366372248.19574</v>
      </c>
      <c r="AV12" s="7" t="s">
        <v>99</v>
      </c>
      <c r="AW12" s="2" t="s">
        <v>27</v>
      </c>
      <c r="AX12" s="3">
        <f t="shared" si="25"/>
        <v>8866140667.2699909</v>
      </c>
      <c r="AY12" s="3">
        <f t="shared" si="3"/>
        <v>47096632719.076836</v>
      </c>
      <c r="AZ12" s="3">
        <f t="shared" si="3"/>
        <v>137449216339.55026</v>
      </c>
      <c r="BA12" s="3">
        <f t="shared" si="3"/>
        <v>3682486271.1799502</v>
      </c>
      <c r="BB12" s="3">
        <f t="shared" si="26"/>
        <v>197094475997.07706</v>
      </c>
      <c r="BC12" s="7" t="s">
        <v>99</v>
      </c>
      <c r="BD12" s="2" t="s">
        <v>27</v>
      </c>
      <c r="BE12" s="3">
        <v>1092669285.7142859</v>
      </c>
      <c r="BF12" s="3">
        <v>89155980.521064416</v>
      </c>
      <c r="BG12" s="3">
        <v>0</v>
      </c>
      <c r="BH12" s="3">
        <v>0</v>
      </c>
      <c r="BI12" s="3">
        <v>1181825266.2353504</v>
      </c>
      <c r="BJ12" s="7" t="s">
        <v>99</v>
      </c>
      <c r="BK12" s="2" t="s">
        <v>27</v>
      </c>
      <c r="BL12" s="3">
        <v>0</v>
      </c>
      <c r="BM12" s="3">
        <v>0</v>
      </c>
      <c r="BN12" s="3">
        <v>898614.67772817507</v>
      </c>
      <c r="BO12" s="3">
        <v>0</v>
      </c>
      <c r="BP12" s="3">
        <v>898614.67772817507</v>
      </c>
      <c r="BQ12" s="7" t="s">
        <v>99</v>
      </c>
      <c r="BR12" s="2" t="s">
        <v>27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7" t="s">
        <v>99</v>
      </c>
      <c r="BY12" s="2" t="s">
        <v>27</v>
      </c>
      <c r="BZ12" s="3">
        <v>2929674965.3292565</v>
      </c>
      <c r="CA12" s="3">
        <v>68669131760.645409</v>
      </c>
      <c r="CB12" s="3">
        <v>42444691502.44651</v>
      </c>
      <c r="CC12" s="3">
        <v>0</v>
      </c>
      <c r="CD12" s="3">
        <v>114043498228.42117</v>
      </c>
      <c r="CE12" s="7" t="s">
        <v>99</v>
      </c>
      <c r="CF12" s="2" t="s">
        <v>27</v>
      </c>
      <c r="CG12" s="3">
        <v>1331986559.7452209</v>
      </c>
      <c r="CH12" s="3">
        <v>23402728.760147478</v>
      </c>
      <c r="CI12" s="3">
        <v>0</v>
      </c>
      <c r="CJ12" s="3">
        <v>0</v>
      </c>
      <c r="CK12" s="3">
        <v>1355389288.5053685</v>
      </c>
      <c r="CL12" s="7" t="s">
        <v>99</v>
      </c>
      <c r="CM12" s="2" t="s">
        <v>27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7" t="s">
        <v>99</v>
      </c>
      <c r="CT12" s="2" t="s">
        <v>27</v>
      </c>
      <c r="CU12" s="3">
        <v>608371889.10621428</v>
      </c>
      <c r="CV12" s="3">
        <v>14375468248.682501</v>
      </c>
      <c r="CW12" s="3">
        <v>1260091684.531178</v>
      </c>
      <c r="CX12" s="3">
        <v>0</v>
      </c>
      <c r="CY12" s="3">
        <v>16243931822.319893</v>
      </c>
      <c r="CZ12" s="7" t="s">
        <v>99</v>
      </c>
      <c r="DA12" s="2" t="s">
        <v>27</v>
      </c>
      <c r="DB12" s="3">
        <v>5804222086.2266006</v>
      </c>
      <c r="DC12" s="3">
        <v>1369904850.8601704</v>
      </c>
      <c r="DD12" s="3">
        <v>13556244.281156469</v>
      </c>
      <c r="DE12" s="3">
        <v>0</v>
      </c>
      <c r="DF12" s="3">
        <v>7187683181.3679276</v>
      </c>
      <c r="DG12" s="7" t="s">
        <v>99</v>
      </c>
      <c r="DH12" s="2" t="s">
        <v>27</v>
      </c>
      <c r="DI12" s="3">
        <v>7188917.4218254006</v>
      </c>
      <c r="DJ12" s="3">
        <v>0</v>
      </c>
      <c r="DK12" s="3">
        <v>0</v>
      </c>
      <c r="DL12" s="3">
        <v>0</v>
      </c>
      <c r="DM12" s="3">
        <v>7188917.4218254006</v>
      </c>
      <c r="DN12" s="7" t="s">
        <v>99</v>
      </c>
      <c r="DO12" s="2" t="s">
        <v>27</v>
      </c>
      <c r="DP12" s="3">
        <v>122201556.56862745</v>
      </c>
      <c r="DQ12" s="3">
        <v>223755372.67785868</v>
      </c>
      <c r="DR12" s="3">
        <v>0</v>
      </c>
      <c r="DS12" s="3">
        <v>0</v>
      </c>
      <c r="DT12" s="3">
        <v>345956929.24648613</v>
      </c>
      <c r="DU12" s="7" t="s">
        <v>99</v>
      </c>
      <c r="DV12" s="2" t="s">
        <v>27</v>
      </c>
      <c r="DW12" s="3">
        <v>230764556.21478742</v>
      </c>
      <c r="DX12" s="3">
        <v>22807064770.259735</v>
      </c>
      <c r="DY12" s="3">
        <v>106881235829.48323</v>
      </c>
      <c r="DZ12" s="3">
        <v>3682486271.1799502</v>
      </c>
      <c r="EA12" s="3">
        <v>133601551427.1377</v>
      </c>
      <c r="EB12" s="7" t="s">
        <v>99</v>
      </c>
      <c r="EC12" s="2" t="s">
        <v>27</v>
      </c>
      <c r="ED12" s="3">
        <v>8635376111.0552044</v>
      </c>
      <c r="EE12" s="3">
        <v>24289567948.817101</v>
      </c>
      <c r="EF12" s="3">
        <v>30567980510.06702</v>
      </c>
      <c r="EG12" s="3">
        <v>0</v>
      </c>
      <c r="EH12" s="3">
        <v>63492924569.939331</v>
      </c>
    </row>
    <row r="13" spans="1:138" ht="10.199999999999999" customHeight="1" x14ac:dyDescent="0.2">
      <c r="A13" s="7" t="s">
        <v>94</v>
      </c>
      <c r="B13" s="2" t="s">
        <v>22</v>
      </c>
      <c r="C13" s="3">
        <f t="shared" si="4"/>
        <v>0</v>
      </c>
      <c r="D13" s="3">
        <f t="shared" si="5"/>
        <v>214027815.8606405</v>
      </c>
      <c r="E13" s="3">
        <f t="shared" si="6"/>
        <v>4165760682168.7559</v>
      </c>
      <c r="F13" s="3">
        <f t="shared" si="7"/>
        <v>307793753544.7998</v>
      </c>
      <c r="G13" s="3">
        <f t="shared" si="8"/>
        <v>22304706.331951402</v>
      </c>
      <c r="H13" s="3">
        <f t="shared" si="9"/>
        <v>608538189131.81738</v>
      </c>
      <c r="I13" s="3">
        <f t="shared" si="10"/>
        <v>1619298481.3930116</v>
      </c>
      <c r="J13" s="3">
        <f t="shared" si="11"/>
        <v>2426894867042.6489</v>
      </c>
      <c r="K13" s="3">
        <f t="shared" si="12"/>
        <v>16252406725.137053</v>
      </c>
      <c r="L13" s="3">
        <f t="shared" si="13"/>
        <v>75815556.683653429</v>
      </c>
      <c r="M13" s="3">
        <f t="shared" si="14"/>
        <v>106045219945.63852</v>
      </c>
      <c r="N13" s="3">
        <f t="shared" si="15"/>
        <v>1126271144365.7832</v>
      </c>
      <c r="O13" s="3">
        <f t="shared" si="16"/>
        <v>8759487709484.8496</v>
      </c>
      <c r="P13" s="7" t="s">
        <v>94</v>
      </c>
      <c r="Q13" s="2" t="s">
        <v>22</v>
      </c>
      <c r="R13" s="3">
        <f t="shared" si="17"/>
        <v>0</v>
      </c>
      <c r="S13" s="3">
        <f t="shared" si="17"/>
        <v>214027815.8606405</v>
      </c>
      <c r="T13" s="3">
        <f t="shared" si="17"/>
        <v>4165760682168.7559</v>
      </c>
      <c r="U13" s="3">
        <f t="shared" si="17"/>
        <v>307793753544.7998</v>
      </c>
      <c r="V13" s="3">
        <f t="shared" si="17"/>
        <v>22304706.331951402</v>
      </c>
      <c r="W13" s="3">
        <f t="shared" si="17"/>
        <v>608538189131.81738</v>
      </c>
      <c r="X13" s="3">
        <f t="shared" si="17"/>
        <v>1619298481.3930116</v>
      </c>
      <c r="Y13" s="3">
        <f t="shared" si="17"/>
        <v>2426894867042.6489</v>
      </c>
      <c r="Z13" s="3">
        <f t="shared" si="17"/>
        <v>16252406725.137053</v>
      </c>
      <c r="AA13" s="3">
        <f t="shared" si="17"/>
        <v>75815556.683653429</v>
      </c>
      <c r="AB13" s="3">
        <f t="shared" si="18"/>
        <v>7527171345173.4277</v>
      </c>
      <c r="AC13" s="7" t="s">
        <v>94</v>
      </c>
      <c r="AD13" s="2" t="s">
        <v>22</v>
      </c>
      <c r="AE13" s="3">
        <f t="shared" si="19"/>
        <v>106045219945.63852</v>
      </c>
      <c r="AF13" s="3">
        <f t="shared" si="19"/>
        <v>1126271144365.7832</v>
      </c>
      <c r="AG13" s="3">
        <f t="shared" si="20"/>
        <v>1232316364311.4216</v>
      </c>
      <c r="AH13" s="7" t="s">
        <v>94</v>
      </c>
      <c r="AI13" s="2" t="s">
        <v>22</v>
      </c>
      <c r="AJ13" s="3">
        <f t="shared" si="21"/>
        <v>86807080869.430618</v>
      </c>
      <c r="AK13" s="3">
        <f t="shared" si="1"/>
        <v>45124620796.489441</v>
      </c>
      <c r="AL13" s="3">
        <f t="shared" si="1"/>
        <v>244119483595.95093</v>
      </c>
      <c r="AM13" s="3">
        <f t="shared" si="1"/>
        <v>8383436524222.9775</v>
      </c>
      <c r="AN13" s="3">
        <f t="shared" si="22"/>
        <v>8759487709484.8486</v>
      </c>
      <c r="AO13" s="7" t="s">
        <v>94</v>
      </c>
      <c r="AP13" s="2" t="s">
        <v>22</v>
      </c>
      <c r="AQ13" s="3">
        <f t="shared" si="23"/>
        <v>3649190802.455184</v>
      </c>
      <c r="AR13" s="3">
        <f t="shared" si="2"/>
        <v>22098735897.430897</v>
      </c>
      <c r="AS13" s="3">
        <f t="shared" si="2"/>
        <v>244119483595.95093</v>
      </c>
      <c r="AT13" s="3">
        <f t="shared" si="2"/>
        <v>7257303934877.5898</v>
      </c>
      <c r="AU13" s="3">
        <f t="shared" si="24"/>
        <v>7527171345173.4268</v>
      </c>
      <c r="AV13" s="7" t="s">
        <v>94</v>
      </c>
      <c r="AW13" s="2" t="s">
        <v>22</v>
      </c>
      <c r="AX13" s="3">
        <f t="shared" si="25"/>
        <v>83157890066.975433</v>
      </c>
      <c r="AY13" s="3">
        <f t="shared" si="3"/>
        <v>23025884899.05854</v>
      </c>
      <c r="AZ13" s="3">
        <f t="shared" si="3"/>
        <v>0</v>
      </c>
      <c r="BA13" s="3">
        <f t="shared" si="3"/>
        <v>1126132589345.3877</v>
      </c>
      <c r="BB13" s="3">
        <f t="shared" si="26"/>
        <v>1232316364311.4216</v>
      </c>
      <c r="BC13" s="7" t="s">
        <v>94</v>
      </c>
      <c r="BD13" s="2" t="s">
        <v>22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7" t="s">
        <v>94</v>
      </c>
      <c r="BK13" s="2" t="s">
        <v>22</v>
      </c>
      <c r="BL13" s="3">
        <v>472116.93770153855</v>
      </c>
      <c r="BM13" s="3">
        <v>0</v>
      </c>
      <c r="BN13" s="3">
        <v>0</v>
      </c>
      <c r="BO13" s="3">
        <v>213555698.92293894</v>
      </c>
      <c r="BP13" s="3">
        <v>214027815.8606405</v>
      </c>
      <c r="BQ13" s="7" t="s">
        <v>94</v>
      </c>
      <c r="BR13" s="2" t="s">
        <v>22</v>
      </c>
      <c r="BS13" s="3">
        <v>0</v>
      </c>
      <c r="BT13" s="3">
        <v>184479989.07562381</v>
      </c>
      <c r="BU13" s="3">
        <v>3863222593.5159655</v>
      </c>
      <c r="BV13" s="3">
        <v>4161712979586.1641</v>
      </c>
      <c r="BW13" s="3">
        <v>4165760682168.7559</v>
      </c>
      <c r="BX13" s="7" t="s">
        <v>94</v>
      </c>
      <c r="BY13" s="2" t="s">
        <v>22</v>
      </c>
      <c r="BZ13" s="3">
        <v>2393607969.5957303</v>
      </c>
      <c r="CA13" s="3">
        <v>17224629049.603195</v>
      </c>
      <c r="CB13" s="3">
        <v>0</v>
      </c>
      <c r="CC13" s="3">
        <v>288175516525.60089</v>
      </c>
      <c r="CD13" s="3">
        <v>307793753544.7998</v>
      </c>
      <c r="CE13" s="7" t="s">
        <v>94</v>
      </c>
      <c r="CF13" s="2" t="s">
        <v>22</v>
      </c>
      <c r="CG13" s="3">
        <v>6288028.9127309807</v>
      </c>
      <c r="CH13" s="3">
        <v>16016677.419220421</v>
      </c>
      <c r="CI13" s="3">
        <v>0</v>
      </c>
      <c r="CJ13" s="3">
        <v>0</v>
      </c>
      <c r="CK13" s="3">
        <v>22304706.331951402</v>
      </c>
      <c r="CL13" s="7" t="s">
        <v>94</v>
      </c>
      <c r="CM13" s="2" t="s">
        <v>22</v>
      </c>
      <c r="CN13" s="3">
        <v>0</v>
      </c>
      <c r="CO13" s="3">
        <v>0</v>
      </c>
      <c r="CP13" s="3">
        <v>220132907492.92645</v>
      </c>
      <c r="CQ13" s="3">
        <v>388405281638.89087</v>
      </c>
      <c r="CR13" s="3">
        <v>608538189131.81738</v>
      </c>
      <c r="CS13" s="7" t="s">
        <v>94</v>
      </c>
      <c r="CT13" s="2" t="s">
        <v>22</v>
      </c>
      <c r="CU13" s="3">
        <v>1006991276.0584959</v>
      </c>
      <c r="CV13" s="3">
        <v>612307205.33451569</v>
      </c>
      <c r="CW13" s="3">
        <v>0</v>
      </c>
      <c r="CX13" s="3">
        <v>0</v>
      </c>
      <c r="CY13" s="3">
        <v>1619298481.3930116</v>
      </c>
      <c r="CZ13" s="7" t="s">
        <v>94</v>
      </c>
      <c r="DA13" s="2" t="s">
        <v>22</v>
      </c>
      <c r="DB13" s="3">
        <v>191216970.95351833</v>
      </c>
      <c r="DC13" s="3">
        <v>3946174954.2852077</v>
      </c>
      <c r="DD13" s="3">
        <v>1437229853.751379</v>
      </c>
      <c r="DE13" s="3">
        <v>10677784946.146948</v>
      </c>
      <c r="DF13" s="3">
        <v>16252406725.137053</v>
      </c>
      <c r="DG13" s="7" t="s">
        <v>94</v>
      </c>
      <c r="DH13" s="2" t="s">
        <v>22</v>
      </c>
      <c r="DI13" s="3">
        <v>17774105.778742425</v>
      </c>
      <c r="DJ13" s="3">
        <v>72152799.247750238</v>
      </c>
      <c r="DK13" s="3">
        <v>18686123655.757156</v>
      </c>
      <c r="DL13" s="3">
        <v>2408118816481.8652</v>
      </c>
      <c r="DM13" s="3">
        <v>2426894867042.6489</v>
      </c>
      <c r="DN13" s="7" t="s">
        <v>94</v>
      </c>
      <c r="DO13" s="2" t="s">
        <v>22</v>
      </c>
      <c r="DP13" s="3">
        <v>32840334.218263894</v>
      </c>
      <c r="DQ13" s="3">
        <v>42975222.465389535</v>
      </c>
      <c r="DR13" s="3">
        <v>0</v>
      </c>
      <c r="DS13" s="3">
        <v>0</v>
      </c>
      <c r="DT13" s="3">
        <v>75815556.683653429</v>
      </c>
      <c r="DU13" s="7" t="s">
        <v>94</v>
      </c>
      <c r="DV13" s="2" t="s">
        <v>22</v>
      </c>
      <c r="DW13" s="3">
        <v>138555020.39545482</v>
      </c>
      <c r="DX13" s="3">
        <v>0</v>
      </c>
      <c r="DY13" s="3">
        <v>0</v>
      </c>
      <c r="DZ13" s="3">
        <v>1126132589345.3877</v>
      </c>
      <c r="EA13" s="3">
        <v>1126271144365.7832</v>
      </c>
      <c r="EB13" s="7" t="s">
        <v>94</v>
      </c>
      <c r="EC13" s="2" t="s">
        <v>22</v>
      </c>
      <c r="ED13" s="3">
        <v>83019335046.579971</v>
      </c>
      <c r="EE13" s="3">
        <v>23025884899.05854</v>
      </c>
      <c r="EF13" s="3">
        <v>0</v>
      </c>
      <c r="EG13" s="3">
        <v>0</v>
      </c>
      <c r="EH13" s="3">
        <v>106045219945.63852</v>
      </c>
    </row>
    <row r="14" spans="1:138" ht="10.199999999999999" customHeight="1" x14ac:dyDescent="0.2">
      <c r="A14" s="7" t="s">
        <v>97</v>
      </c>
      <c r="B14" s="2" t="s">
        <v>25</v>
      </c>
      <c r="C14" s="3">
        <f t="shared" si="4"/>
        <v>0</v>
      </c>
      <c r="D14" s="3">
        <f t="shared" si="5"/>
        <v>345589598.39752626</v>
      </c>
      <c r="E14" s="3">
        <f t="shared" si="6"/>
        <v>0</v>
      </c>
      <c r="F14" s="3">
        <f t="shared" si="7"/>
        <v>126465330.7448535</v>
      </c>
      <c r="G14" s="3">
        <f t="shared" si="8"/>
        <v>0</v>
      </c>
      <c r="H14" s="3">
        <f t="shared" si="9"/>
        <v>0</v>
      </c>
      <c r="I14" s="3">
        <f t="shared" si="10"/>
        <v>288840.43212691339</v>
      </c>
      <c r="J14" s="3">
        <f t="shared" si="11"/>
        <v>0</v>
      </c>
      <c r="K14" s="3">
        <f t="shared" si="12"/>
        <v>0</v>
      </c>
      <c r="L14" s="3">
        <f t="shared" si="13"/>
        <v>530886576.84108371</v>
      </c>
      <c r="M14" s="3">
        <f t="shared" si="14"/>
        <v>2680847054.3624077</v>
      </c>
      <c r="N14" s="3">
        <f t="shared" si="15"/>
        <v>515150101.01607865</v>
      </c>
      <c r="O14" s="3">
        <f t="shared" si="16"/>
        <v>4199227501.7940764</v>
      </c>
      <c r="P14" s="7" t="s">
        <v>97</v>
      </c>
      <c r="Q14" s="2" t="s">
        <v>25</v>
      </c>
      <c r="R14" s="3">
        <f t="shared" si="17"/>
        <v>0</v>
      </c>
      <c r="S14" s="3">
        <f t="shared" si="17"/>
        <v>345589598.39752626</v>
      </c>
      <c r="T14" s="3">
        <f t="shared" si="17"/>
        <v>0</v>
      </c>
      <c r="U14" s="3">
        <f t="shared" si="17"/>
        <v>126465330.7448535</v>
      </c>
      <c r="V14" s="3">
        <f t="shared" si="17"/>
        <v>0</v>
      </c>
      <c r="W14" s="3">
        <f t="shared" si="17"/>
        <v>0</v>
      </c>
      <c r="X14" s="3">
        <f t="shared" si="17"/>
        <v>288840.43212691339</v>
      </c>
      <c r="Y14" s="3">
        <f t="shared" si="17"/>
        <v>0</v>
      </c>
      <c r="Z14" s="3">
        <f t="shared" si="17"/>
        <v>0</v>
      </c>
      <c r="AA14" s="3">
        <f t="shared" si="17"/>
        <v>530886576.84108371</v>
      </c>
      <c r="AB14" s="3">
        <f t="shared" si="18"/>
        <v>1003230346.4155904</v>
      </c>
      <c r="AC14" s="7" t="s">
        <v>97</v>
      </c>
      <c r="AD14" s="2" t="s">
        <v>25</v>
      </c>
      <c r="AE14" s="3">
        <f t="shared" si="19"/>
        <v>2680847054.3624077</v>
      </c>
      <c r="AF14" s="3">
        <f t="shared" si="19"/>
        <v>515150101.01607865</v>
      </c>
      <c r="AG14" s="3">
        <f t="shared" si="20"/>
        <v>3195997155.3784862</v>
      </c>
      <c r="AH14" s="7" t="s">
        <v>97</v>
      </c>
      <c r="AI14" s="2" t="s">
        <v>25</v>
      </c>
      <c r="AJ14" s="3">
        <f t="shared" si="21"/>
        <v>4199227501.7940764</v>
      </c>
      <c r="AK14" s="3">
        <f t="shared" si="1"/>
        <v>0</v>
      </c>
      <c r="AL14" s="3">
        <f t="shared" si="1"/>
        <v>0</v>
      </c>
      <c r="AM14" s="3">
        <f t="shared" si="1"/>
        <v>0</v>
      </c>
      <c r="AN14" s="3">
        <f t="shared" si="22"/>
        <v>4199227501.7940764</v>
      </c>
      <c r="AO14" s="7" t="s">
        <v>97</v>
      </c>
      <c r="AP14" s="2" t="s">
        <v>25</v>
      </c>
      <c r="AQ14" s="3">
        <f t="shared" si="23"/>
        <v>1003230346.4155904</v>
      </c>
      <c r="AR14" s="3">
        <f t="shared" si="2"/>
        <v>0</v>
      </c>
      <c r="AS14" s="3">
        <f t="shared" si="2"/>
        <v>0</v>
      </c>
      <c r="AT14" s="3">
        <f t="shared" si="2"/>
        <v>0</v>
      </c>
      <c r="AU14" s="3">
        <f t="shared" si="24"/>
        <v>1003230346.4155904</v>
      </c>
      <c r="AV14" s="7" t="s">
        <v>97</v>
      </c>
      <c r="AW14" s="2" t="s">
        <v>25</v>
      </c>
      <c r="AX14" s="3">
        <f t="shared" si="25"/>
        <v>3195997155.3784862</v>
      </c>
      <c r="AY14" s="3">
        <f t="shared" si="3"/>
        <v>0</v>
      </c>
      <c r="AZ14" s="3">
        <f t="shared" si="3"/>
        <v>0</v>
      </c>
      <c r="BA14" s="3">
        <f t="shared" si="3"/>
        <v>0</v>
      </c>
      <c r="BB14" s="3">
        <f t="shared" si="26"/>
        <v>3195997155.3784862</v>
      </c>
      <c r="BC14" s="7" t="s">
        <v>97</v>
      </c>
      <c r="BD14" s="2" t="s">
        <v>25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7" t="s">
        <v>97</v>
      </c>
      <c r="BK14" s="2" t="s">
        <v>25</v>
      </c>
      <c r="BL14" s="3">
        <v>345589598.39752626</v>
      </c>
      <c r="BM14" s="3">
        <v>0</v>
      </c>
      <c r="BN14" s="3">
        <v>0</v>
      </c>
      <c r="BO14" s="3">
        <v>0</v>
      </c>
      <c r="BP14" s="3">
        <v>345589598.39752626</v>
      </c>
      <c r="BQ14" s="7" t="s">
        <v>97</v>
      </c>
      <c r="BR14" s="2" t="s">
        <v>25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7" t="s">
        <v>97</v>
      </c>
      <c r="BY14" s="2" t="s">
        <v>25</v>
      </c>
      <c r="BZ14" s="3">
        <v>126465330.7448535</v>
      </c>
      <c r="CA14" s="3">
        <v>0</v>
      </c>
      <c r="CB14" s="3">
        <v>0</v>
      </c>
      <c r="CC14" s="3">
        <v>0</v>
      </c>
      <c r="CD14" s="3">
        <v>126465330.7448535</v>
      </c>
      <c r="CE14" s="7" t="s">
        <v>97</v>
      </c>
      <c r="CF14" s="2" t="s">
        <v>25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7" t="s">
        <v>97</v>
      </c>
      <c r="CM14" s="2" t="s">
        <v>25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7" t="s">
        <v>97</v>
      </c>
      <c r="CT14" s="2" t="s">
        <v>25</v>
      </c>
      <c r="CU14" s="3">
        <v>288840.43212691339</v>
      </c>
      <c r="CV14" s="3">
        <v>0</v>
      </c>
      <c r="CW14" s="3">
        <v>0</v>
      </c>
      <c r="CX14" s="3">
        <v>0</v>
      </c>
      <c r="CY14" s="3">
        <v>288840.43212691339</v>
      </c>
      <c r="CZ14" s="7" t="s">
        <v>97</v>
      </c>
      <c r="DA14" s="2" t="s">
        <v>25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7" t="s">
        <v>97</v>
      </c>
      <c r="DH14" s="2" t="s">
        <v>25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7" t="s">
        <v>97</v>
      </c>
      <c r="DO14" s="2" t="s">
        <v>25</v>
      </c>
      <c r="DP14" s="3">
        <v>530886576.84108371</v>
      </c>
      <c r="DQ14" s="3">
        <v>0</v>
      </c>
      <c r="DR14" s="3">
        <v>0</v>
      </c>
      <c r="DS14" s="3">
        <v>0</v>
      </c>
      <c r="DT14" s="3">
        <v>530886576.84108371</v>
      </c>
      <c r="DU14" s="7" t="s">
        <v>97</v>
      </c>
      <c r="DV14" s="2" t="s">
        <v>25</v>
      </c>
      <c r="DW14" s="3">
        <v>515150101.01607865</v>
      </c>
      <c r="DX14" s="3">
        <v>0</v>
      </c>
      <c r="DY14" s="3">
        <v>0</v>
      </c>
      <c r="DZ14" s="3">
        <v>0</v>
      </c>
      <c r="EA14" s="3">
        <v>515150101.01607865</v>
      </c>
      <c r="EB14" s="7" t="s">
        <v>97</v>
      </c>
      <c r="EC14" s="2" t="s">
        <v>25</v>
      </c>
      <c r="ED14" s="3">
        <v>2680847054.3624077</v>
      </c>
      <c r="EE14" s="3">
        <v>0</v>
      </c>
      <c r="EF14" s="3">
        <v>0</v>
      </c>
      <c r="EG14" s="3">
        <v>0</v>
      </c>
      <c r="EH14" s="3">
        <v>2680847054.3624077</v>
      </c>
    </row>
    <row r="15" spans="1:138" ht="10.199999999999999" customHeight="1" x14ac:dyDescent="0.2">
      <c r="A15" s="7" t="s">
        <v>117</v>
      </c>
      <c r="B15" s="2" t="s">
        <v>45</v>
      </c>
      <c r="C15" s="3">
        <f t="shared" si="4"/>
        <v>0</v>
      </c>
      <c r="D15" s="3">
        <f t="shared" si="5"/>
        <v>0</v>
      </c>
      <c r="E15" s="3">
        <f t="shared" si="6"/>
        <v>3690750248564.4297</v>
      </c>
      <c r="F15" s="3">
        <f t="shared" si="7"/>
        <v>6578381241.4821243</v>
      </c>
      <c r="G15" s="3">
        <f t="shared" si="8"/>
        <v>123365164.84046896</v>
      </c>
      <c r="H15" s="3">
        <f t="shared" si="9"/>
        <v>0</v>
      </c>
      <c r="I15" s="3">
        <f t="shared" si="10"/>
        <v>0</v>
      </c>
      <c r="J15" s="3">
        <f t="shared" si="11"/>
        <v>2474311.5108965458</v>
      </c>
      <c r="K15" s="3">
        <f t="shared" si="12"/>
        <v>1952646302.3238666</v>
      </c>
      <c r="L15" s="3">
        <f t="shared" si="13"/>
        <v>3473096157.4697814</v>
      </c>
      <c r="M15" s="3">
        <f t="shared" si="14"/>
        <v>4609170469.078846</v>
      </c>
      <c r="N15" s="3">
        <f t="shared" si="15"/>
        <v>1141374507622.8311</v>
      </c>
      <c r="O15" s="3">
        <f t="shared" si="16"/>
        <v>4848863889833.9658</v>
      </c>
      <c r="P15" s="7" t="s">
        <v>117</v>
      </c>
      <c r="Q15" s="2" t="s">
        <v>45</v>
      </c>
      <c r="R15" s="3">
        <f t="shared" si="17"/>
        <v>0</v>
      </c>
      <c r="S15" s="3">
        <f t="shared" si="17"/>
        <v>0</v>
      </c>
      <c r="T15" s="3">
        <f t="shared" si="17"/>
        <v>3690750248564.4297</v>
      </c>
      <c r="U15" s="3">
        <f t="shared" si="17"/>
        <v>6578381241.4821243</v>
      </c>
      <c r="V15" s="3">
        <f t="shared" si="17"/>
        <v>123365164.84046896</v>
      </c>
      <c r="W15" s="3">
        <f t="shared" si="17"/>
        <v>0</v>
      </c>
      <c r="X15" s="3">
        <f t="shared" si="17"/>
        <v>0</v>
      </c>
      <c r="Y15" s="3">
        <f t="shared" si="17"/>
        <v>2474311.5108965458</v>
      </c>
      <c r="Z15" s="3">
        <f t="shared" si="17"/>
        <v>1952646302.3238666</v>
      </c>
      <c r="AA15" s="3">
        <f t="shared" si="17"/>
        <v>3473096157.4697814</v>
      </c>
      <c r="AB15" s="3">
        <f t="shared" si="18"/>
        <v>3702880211742.0562</v>
      </c>
      <c r="AC15" s="7" t="s">
        <v>117</v>
      </c>
      <c r="AD15" s="2" t="s">
        <v>45</v>
      </c>
      <c r="AE15" s="3">
        <f t="shared" si="19"/>
        <v>4609170469.078846</v>
      </c>
      <c r="AF15" s="3">
        <f t="shared" si="19"/>
        <v>1141374507622.8311</v>
      </c>
      <c r="AG15" s="3">
        <f t="shared" si="20"/>
        <v>1145983678091.9099</v>
      </c>
      <c r="AH15" s="7" t="s">
        <v>117</v>
      </c>
      <c r="AI15" s="2" t="s">
        <v>45</v>
      </c>
      <c r="AJ15" s="3">
        <f t="shared" si="21"/>
        <v>7679546189.0357304</v>
      </c>
      <c r="AK15" s="3">
        <f t="shared" si="1"/>
        <v>85266966921.896255</v>
      </c>
      <c r="AL15" s="3">
        <f t="shared" si="1"/>
        <v>600872164.8423574</v>
      </c>
      <c r="AM15" s="3">
        <f t="shared" si="1"/>
        <v>4755316504558.1924</v>
      </c>
      <c r="AN15" s="3">
        <f t="shared" si="22"/>
        <v>4848863889833.9668</v>
      </c>
      <c r="AO15" s="7" t="s">
        <v>117</v>
      </c>
      <c r="AP15" s="2" t="s">
        <v>45</v>
      </c>
      <c r="AQ15" s="3">
        <f t="shared" si="23"/>
        <v>4479329903.1201048</v>
      </c>
      <c r="AR15" s="3">
        <f t="shared" si="2"/>
        <v>7603554577.4541607</v>
      </c>
      <c r="AS15" s="3">
        <f t="shared" si="2"/>
        <v>47078697.052872069</v>
      </c>
      <c r="AT15" s="3">
        <f t="shared" si="2"/>
        <v>3690750248564.4297</v>
      </c>
      <c r="AU15" s="3">
        <f t="shared" si="24"/>
        <v>3702880211742.0566</v>
      </c>
      <c r="AV15" s="7" t="s">
        <v>117</v>
      </c>
      <c r="AW15" s="2" t="s">
        <v>45</v>
      </c>
      <c r="AX15" s="3">
        <f t="shared" si="25"/>
        <v>3200216285.9156251</v>
      </c>
      <c r="AY15" s="3">
        <f t="shared" si="3"/>
        <v>77663412344.442093</v>
      </c>
      <c r="AZ15" s="3">
        <f t="shared" si="3"/>
        <v>553793467.78948534</v>
      </c>
      <c r="BA15" s="3">
        <f t="shared" si="3"/>
        <v>1064566255993.7626</v>
      </c>
      <c r="BB15" s="3">
        <f t="shared" si="26"/>
        <v>1145983678091.9097</v>
      </c>
      <c r="BC15" s="7" t="s">
        <v>117</v>
      </c>
      <c r="BD15" s="2" t="s">
        <v>45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7" t="s">
        <v>117</v>
      </c>
      <c r="BK15" s="2" t="s">
        <v>45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7" t="s">
        <v>117</v>
      </c>
      <c r="BR15" s="2" t="s">
        <v>45</v>
      </c>
      <c r="BS15" s="3">
        <v>0</v>
      </c>
      <c r="BT15" s="3">
        <v>0</v>
      </c>
      <c r="BU15" s="3">
        <v>0</v>
      </c>
      <c r="BV15" s="3">
        <v>3690750248564.4297</v>
      </c>
      <c r="BW15" s="3">
        <v>3690750248564.4297</v>
      </c>
      <c r="BX15" s="7" t="s">
        <v>117</v>
      </c>
      <c r="BY15" s="2" t="s">
        <v>45</v>
      </c>
      <c r="BZ15" s="3">
        <v>816903543.30708671</v>
      </c>
      <c r="CA15" s="3">
        <v>5761455691.2849703</v>
      </c>
      <c r="CB15" s="3">
        <v>22006.890066812448</v>
      </c>
      <c r="CC15" s="3">
        <v>0</v>
      </c>
      <c r="CD15" s="3">
        <v>6578381241.4821243</v>
      </c>
      <c r="CE15" s="7" t="s">
        <v>117</v>
      </c>
      <c r="CF15" s="2" t="s">
        <v>45</v>
      </c>
      <c r="CG15" s="3">
        <v>61482949.368925147</v>
      </c>
      <c r="CH15" s="3">
        <v>61882215.471543811</v>
      </c>
      <c r="CI15" s="3">
        <v>0</v>
      </c>
      <c r="CJ15" s="3">
        <v>0</v>
      </c>
      <c r="CK15" s="3">
        <v>123365164.84046896</v>
      </c>
      <c r="CL15" s="7" t="s">
        <v>117</v>
      </c>
      <c r="CM15" s="2" t="s">
        <v>45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7" t="s">
        <v>117</v>
      </c>
      <c r="CT15" s="2" t="s">
        <v>45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7" t="s">
        <v>117</v>
      </c>
      <c r="DA15" s="2" t="s">
        <v>45</v>
      </c>
      <c r="DB15" s="3">
        <v>125372941.46341464</v>
      </c>
      <c r="DC15" s="3">
        <v>1780216670.6976466</v>
      </c>
      <c r="DD15" s="3">
        <v>47056690.162805259</v>
      </c>
      <c r="DE15" s="3">
        <v>0</v>
      </c>
      <c r="DF15" s="3">
        <v>1952646302.3238666</v>
      </c>
      <c r="DG15" s="7" t="s">
        <v>117</v>
      </c>
      <c r="DH15" s="2" t="s">
        <v>45</v>
      </c>
      <c r="DI15" s="3">
        <v>2474311.5108965458</v>
      </c>
      <c r="DJ15" s="3">
        <v>0</v>
      </c>
      <c r="DK15" s="3">
        <v>0</v>
      </c>
      <c r="DL15" s="3">
        <v>0</v>
      </c>
      <c r="DM15" s="3">
        <v>2474311.5108965458</v>
      </c>
      <c r="DN15" s="7" t="s">
        <v>117</v>
      </c>
      <c r="DO15" s="2" t="s">
        <v>45</v>
      </c>
      <c r="DP15" s="3">
        <v>3473096157.4697814</v>
      </c>
      <c r="DQ15" s="3">
        <v>0</v>
      </c>
      <c r="DR15" s="3">
        <v>0</v>
      </c>
      <c r="DS15" s="3">
        <v>0</v>
      </c>
      <c r="DT15" s="3">
        <v>3473096157.4697814</v>
      </c>
      <c r="DU15" s="7" t="s">
        <v>117</v>
      </c>
      <c r="DV15" s="2" t="s">
        <v>45</v>
      </c>
      <c r="DW15" s="3">
        <v>378880000</v>
      </c>
      <c r="DX15" s="3">
        <v>75875578161.27887</v>
      </c>
      <c r="DY15" s="3">
        <v>553793467.78948534</v>
      </c>
      <c r="DZ15" s="3">
        <v>1064566255993.7626</v>
      </c>
      <c r="EA15" s="3">
        <v>1141374507622.8311</v>
      </c>
      <c r="EB15" s="7" t="s">
        <v>117</v>
      </c>
      <c r="EC15" s="2" t="s">
        <v>45</v>
      </c>
      <c r="ED15" s="3">
        <v>2821336285.9156251</v>
      </c>
      <c r="EE15" s="3">
        <v>1787834183.1632214</v>
      </c>
      <c r="EF15" s="3">
        <v>0</v>
      </c>
      <c r="EG15" s="3">
        <v>0</v>
      </c>
      <c r="EH15" s="3">
        <v>4609170469.078846</v>
      </c>
    </row>
    <row r="16" spans="1:138" ht="10.199999999999999" customHeight="1" x14ac:dyDescent="0.2">
      <c r="A16" s="7" t="s">
        <v>114</v>
      </c>
      <c r="B16" s="2" t="s">
        <v>42</v>
      </c>
      <c r="C16" s="3">
        <f t="shared" si="4"/>
        <v>58621428.571428575</v>
      </c>
      <c r="D16" s="3">
        <f t="shared" si="5"/>
        <v>988199829.32838094</v>
      </c>
      <c r="E16" s="3">
        <f t="shared" si="6"/>
        <v>7688005161.2258015</v>
      </c>
      <c r="F16" s="3">
        <f t="shared" si="7"/>
        <v>162905623536.02563</v>
      </c>
      <c r="G16" s="3">
        <f t="shared" si="8"/>
        <v>267750495.81288481</v>
      </c>
      <c r="H16" s="3">
        <f t="shared" si="9"/>
        <v>0</v>
      </c>
      <c r="I16" s="3">
        <f t="shared" si="10"/>
        <v>1062683382.8137615</v>
      </c>
      <c r="J16" s="3">
        <f t="shared" si="11"/>
        <v>26933846.153846152</v>
      </c>
      <c r="K16" s="3">
        <f t="shared" si="12"/>
        <v>2090794591.5139189</v>
      </c>
      <c r="L16" s="3">
        <f t="shared" si="13"/>
        <v>4606278823.2545433</v>
      </c>
      <c r="M16" s="3">
        <f t="shared" si="14"/>
        <v>9941016998.563036</v>
      </c>
      <c r="N16" s="3">
        <f t="shared" si="15"/>
        <v>84002030.503523022</v>
      </c>
      <c r="O16" s="3">
        <f t="shared" si="16"/>
        <v>189719910123.76675</v>
      </c>
      <c r="P16" s="7" t="s">
        <v>114</v>
      </c>
      <c r="Q16" s="2" t="s">
        <v>42</v>
      </c>
      <c r="R16" s="3">
        <f t="shared" si="17"/>
        <v>58621428.571428575</v>
      </c>
      <c r="S16" s="3">
        <f t="shared" si="17"/>
        <v>988199829.32838094</v>
      </c>
      <c r="T16" s="3">
        <f t="shared" si="17"/>
        <v>7688005161.2258015</v>
      </c>
      <c r="U16" s="3">
        <f t="shared" si="17"/>
        <v>162905623536.02563</v>
      </c>
      <c r="V16" s="3">
        <f t="shared" si="17"/>
        <v>267750495.81288481</v>
      </c>
      <c r="W16" s="3">
        <f t="shared" si="17"/>
        <v>0</v>
      </c>
      <c r="X16" s="3">
        <f t="shared" si="17"/>
        <v>1062683382.8137615</v>
      </c>
      <c r="Y16" s="3">
        <f t="shared" si="17"/>
        <v>26933846.153846152</v>
      </c>
      <c r="Z16" s="3">
        <f t="shared" si="17"/>
        <v>2090794591.5139189</v>
      </c>
      <c r="AA16" s="3">
        <f t="shared" si="17"/>
        <v>4606278823.2545433</v>
      </c>
      <c r="AB16" s="3">
        <f t="shared" si="18"/>
        <v>179694891094.7002</v>
      </c>
      <c r="AC16" s="7" t="s">
        <v>114</v>
      </c>
      <c r="AD16" s="2" t="s">
        <v>42</v>
      </c>
      <c r="AE16" s="3">
        <f t="shared" si="19"/>
        <v>9941016998.563036</v>
      </c>
      <c r="AF16" s="3">
        <f t="shared" si="19"/>
        <v>84002030.503523022</v>
      </c>
      <c r="AG16" s="3">
        <f t="shared" si="20"/>
        <v>10025019029.066559</v>
      </c>
      <c r="AH16" s="7" t="s">
        <v>114</v>
      </c>
      <c r="AI16" s="2" t="s">
        <v>42</v>
      </c>
      <c r="AJ16" s="3">
        <f t="shared" si="21"/>
        <v>14789949333.191437</v>
      </c>
      <c r="AK16" s="3">
        <f t="shared" si="1"/>
        <v>5488545528.3999176</v>
      </c>
      <c r="AL16" s="3">
        <f t="shared" si="1"/>
        <v>155773850531.10733</v>
      </c>
      <c r="AM16" s="3">
        <f t="shared" si="1"/>
        <v>13667564731.068092</v>
      </c>
      <c r="AN16" s="3">
        <f t="shared" si="22"/>
        <v>189719910123.76675</v>
      </c>
      <c r="AO16" s="7" t="s">
        <v>114</v>
      </c>
      <c r="AP16" s="2" t="s">
        <v>42</v>
      </c>
      <c r="AQ16" s="3">
        <f t="shared" si="23"/>
        <v>4764930304.1248779</v>
      </c>
      <c r="AR16" s="3">
        <f t="shared" si="2"/>
        <v>5488545528.3999176</v>
      </c>
      <c r="AS16" s="3">
        <f t="shared" si="2"/>
        <v>155773850531.10733</v>
      </c>
      <c r="AT16" s="3">
        <f t="shared" si="2"/>
        <v>13667564731.068092</v>
      </c>
      <c r="AU16" s="3">
        <f t="shared" si="24"/>
        <v>179694891094.70023</v>
      </c>
      <c r="AV16" s="7" t="s">
        <v>114</v>
      </c>
      <c r="AW16" s="2" t="s">
        <v>42</v>
      </c>
      <c r="AX16" s="3">
        <f t="shared" si="25"/>
        <v>10025019029.066559</v>
      </c>
      <c r="AY16" s="3">
        <f t="shared" si="3"/>
        <v>0</v>
      </c>
      <c r="AZ16" s="3">
        <f t="shared" si="3"/>
        <v>0</v>
      </c>
      <c r="BA16" s="3">
        <f t="shared" si="3"/>
        <v>0</v>
      </c>
      <c r="BB16" s="3">
        <f t="shared" si="26"/>
        <v>10025019029.066559</v>
      </c>
      <c r="BC16" s="7" t="s">
        <v>114</v>
      </c>
      <c r="BD16" s="2" t="s">
        <v>42</v>
      </c>
      <c r="BE16" s="3">
        <v>58621428.571428575</v>
      </c>
      <c r="BF16" s="3">
        <v>0</v>
      </c>
      <c r="BG16" s="3">
        <v>0</v>
      </c>
      <c r="BH16" s="3">
        <v>0</v>
      </c>
      <c r="BI16" s="3">
        <v>58621428.571428575</v>
      </c>
      <c r="BJ16" s="7" t="s">
        <v>114</v>
      </c>
      <c r="BK16" s="2" t="s">
        <v>42</v>
      </c>
      <c r="BL16" s="3">
        <v>0</v>
      </c>
      <c r="BM16" s="3">
        <v>988199829.32838094</v>
      </c>
      <c r="BN16" s="3">
        <v>0</v>
      </c>
      <c r="BO16" s="3">
        <v>0</v>
      </c>
      <c r="BP16" s="3">
        <v>988199829.32838094</v>
      </c>
      <c r="BQ16" s="7" t="s">
        <v>114</v>
      </c>
      <c r="BR16" s="2" t="s">
        <v>42</v>
      </c>
      <c r="BS16" s="3">
        <v>0</v>
      </c>
      <c r="BT16" s="3">
        <v>0</v>
      </c>
      <c r="BU16" s="3">
        <v>0</v>
      </c>
      <c r="BV16" s="3">
        <v>7688005161.2258015</v>
      </c>
      <c r="BW16" s="3">
        <v>7688005161.2258015</v>
      </c>
      <c r="BX16" s="7" t="s">
        <v>114</v>
      </c>
      <c r="BY16" s="2" t="s">
        <v>42</v>
      </c>
      <c r="BZ16" s="3">
        <v>1152213435.0760322</v>
      </c>
      <c r="CA16" s="3">
        <v>0</v>
      </c>
      <c r="CB16" s="3">
        <v>155773850531.10733</v>
      </c>
      <c r="CC16" s="3">
        <v>5979559569.8422899</v>
      </c>
      <c r="CD16" s="3">
        <v>162905623536.02563</v>
      </c>
      <c r="CE16" s="7" t="s">
        <v>114</v>
      </c>
      <c r="CF16" s="2" t="s">
        <v>42</v>
      </c>
      <c r="CG16" s="3">
        <v>267750495.81288481</v>
      </c>
      <c r="CH16" s="3">
        <v>0</v>
      </c>
      <c r="CI16" s="3">
        <v>0</v>
      </c>
      <c r="CJ16" s="3">
        <v>0</v>
      </c>
      <c r="CK16" s="3">
        <v>267750495.81288481</v>
      </c>
      <c r="CL16" s="7" t="s">
        <v>114</v>
      </c>
      <c r="CM16" s="2" t="s">
        <v>42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7" t="s">
        <v>114</v>
      </c>
      <c r="CT16" s="2" t="s">
        <v>42</v>
      </c>
      <c r="CU16" s="3">
        <v>1062683382.8137615</v>
      </c>
      <c r="CV16" s="3">
        <v>0</v>
      </c>
      <c r="CW16" s="3">
        <v>0</v>
      </c>
      <c r="CX16" s="3">
        <v>0</v>
      </c>
      <c r="CY16" s="3">
        <v>1062683382.8137615</v>
      </c>
      <c r="CZ16" s="7" t="s">
        <v>114</v>
      </c>
      <c r="DA16" s="2" t="s">
        <v>42</v>
      </c>
      <c r="DB16" s="3">
        <v>2090794591.5139189</v>
      </c>
      <c r="DC16" s="3">
        <v>0</v>
      </c>
      <c r="DD16" s="3">
        <v>0</v>
      </c>
      <c r="DE16" s="3">
        <v>0</v>
      </c>
      <c r="DF16" s="3">
        <v>2090794591.5139189</v>
      </c>
      <c r="DG16" s="7" t="s">
        <v>114</v>
      </c>
      <c r="DH16" s="2" t="s">
        <v>42</v>
      </c>
      <c r="DI16" s="3">
        <v>26933846.153846152</v>
      </c>
      <c r="DJ16" s="3">
        <v>0</v>
      </c>
      <c r="DK16" s="3">
        <v>0</v>
      </c>
      <c r="DL16" s="3">
        <v>0</v>
      </c>
      <c r="DM16" s="3">
        <v>26933846.153846152</v>
      </c>
      <c r="DN16" s="7" t="s">
        <v>114</v>
      </c>
      <c r="DO16" s="2" t="s">
        <v>42</v>
      </c>
      <c r="DP16" s="3">
        <v>105933124.18300653</v>
      </c>
      <c r="DQ16" s="3">
        <v>4500345699.071537</v>
      </c>
      <c r="DR16" s="3">
        <v>0</v>
      </c>
      <c r="DS16" s="3">
        <v>0</v>
      </c>
      <c r="DT16" s="3">
        <v>4606278823.2545433</v>
      </c>
      <c r="DU16" s="7" t="s">
        <v>114</v>
      </c>
      <c r="DV16" s="2" t="s">
        <v>42</v>
      </c>
      <c r="DW16" s="3">
        <v>84002030.503523022</v>
      </c>
      <c r="DX16" s="3">
        <v>0</v>
      </c>
      <c r="DY16" s="3">
        <v>0</v>
      </c>
      <c r="DZ16" s="3">
        <v>0</v>
      </c>
      <c r="EA16" s="3">
        <v>84002030.503523022</v>
      </c>
      <c r="EB16" s="7" t="s">
        <v>114</v>
      </c>
      <c r="EC16" s="2" t="s">
        <v>42</v>
      </c>
      <c r="ED16" s="3">
        <v>9941016998.563036</v>
      </c>
      <c r="EE16" s="3">
        <v>0</v>
      </c>
      <c r="EF16" s="3">
        <v>0</v>
      </c>
      <c r="EG16" s="3">
        <v>0</v>
      </c>
      <c r="EH16" s="3">
        <v>9941016998.563036</v>
      </c>
    </row>
    <row r="17" spans="1:138" ht="10.199999999999999" customHeight="1" x14ac:dyDescent="0.2">
      <c r="A17" s="7" t="s">
        <v>112</v>
      </c>
      <c r="B17" s="2" t="s">
        <v>40</v>
      </c>
      <c r="C17" s="3">
        <f t="shared" si="4"/>
        <v>0</v>
      </c>
      <c r="D17" s="3">
        <f t="shared" si="5"/>
        <v>0</v>
      </c>
      <c r="E17" s="3">
        <f t="shared" si="6"/>
        <v>5285989261691.626</v>
      </c>
      <c r="F17" s="3">
        <f t="shared" si="7"/>
        <v>3369753858.5048995</v>
      </c>
      <c r="G17" s="3">
        <f t="shared" si="8"/>
        <v>121347901.2345679</v>
      </c>
      <c r="H17" s="3">
        <f t="shared" si="9"/>
        <v>8730156971.9697437</v>
      </c>
      <c r="I17" s="3">
        <f t="shared" si="10"/>
        <v>1760479686.592067</v>
      </c>
      <c r="J17" s="3">
        <f t="shared" si="11"/>
        <v>5281653.6160349883</v>
      </c>
      <c r="K17" s="3">
        <f t="shared" si="12"/>
        <v>7652049607.3779373</v>
      </c>
      <c r="L17" s="3">
        <f t="shared" si="13"/>
        <v>3664889214.3527756</v>
      </c>
      <c r="M17" s="3">
        <f t="shared" si="14"/>
        <v>5880412056.7487841</v>
      </c>
      <c r="N17" s="3">
        <f t="shared" si="15"/>
        <v>4884752369.9033604</v>
      </c>
      <c r="O17" s="3">
        <f t="shared" si="16"/>
        <v>5322058385011.9258</v>
      </c>
      <c r="P17" s="7" t="s">
        <v>112</v>
      </c>
      <c r="Q17" s="2" t="s">
        <v>40</v>
      </c>
      <c r="R17" s="3">
        <f t="shared" si="17"/>
        <v>0</v>
      </c>
      <c r="S17" s="3">
        <f t="shared" si="17"/>
        <v>0</v>
      </c>
      <c r="T17" s="3">
        <f t="shared" si="17"/>
        <v>5285989261691.626</v>
      </c>
      <c r="U17" s="3">
        <f t="shared" si="17"/>
        <v>3369753858.5048995</v>
      </c>
      <c r="V17" s="3">
        <f t="shared" si="17"/>
        <v>121347901.2345679</v>
      </c>
      <c r="W17" s="3">
        <f t="shared" si="17"/>
        <v>8730156971.9697437</v>
      </c>
      <c r="X17" s="3">
        <f t="shared" si="17"/>
        <v>1760479686.592067</v>
      </c>
      <c r="Y17" s="3">
        <f t="shared" si="17"/>
        <v>5281653.6160349883</v>
      </c>
      <c r="Z17" s="3">
        <f t="shared" si="17"/>
        <v>7652049607.3779373</v>
      </c>
      <c r="AA17" s="3">
        <f t="shared" si="17"/>
        <v>3664889214.3527756</v>
      </c>
      <c r="AB17" s="3">
        <f t="shared" si="18"/>
        <v>5311293220585.2734</v>
      </c>
      <c r="AC17" s="7" t="s">
        <v>112</v>
      </c>
      <c r="AD17" s="2" t="s">
        <v>40</v>
      </c>
      <c r="AE17" s="3">
        <f t="shared" si="19"/>
        <v>5880412056.7487841</v>
      </c>
      <c r="AF17" s="3">
        <f t="shared" si="19"/>
        <v>4884752369.9033604</v>
      </c>
      <c r="AG17" s="3">
        <f t="shared" si="20"/>
        <v>10765164426.652145</v>
      </c>
      <c r="AH17" s="7" t="s">
        <v>112</v>
      </c>
      <c r="AI17" s="2" t="s">
        <v>40</v>
      </c>
      <c r="AJ17" s="3">
        <f t="shared" si="21"/>
        <v>26093923686.159752</v>
      </c>
      <c r="AK17" s="3">
        <f t="shared" si="1"/>
        <v>756427223.03499091</v>
      </c>
      <c r="AL17" s="3">
        <f t="shared" si="1"/>
        <v>0</v>
      </c>
      <c r="AM17" s="3">
        <f t="shared" si="1"/>
        <v>5295208034102.7314</v>
      </c>
      <c r="AN17" s="3">
        <f t="shared" si="22"/>
        <v>5322058385011.9258</v>
      </c>
      <c r="AO17" s="7" t="s">
        <v>112</v>
      </c>
      <c r="AP17" s="2" t="s">
        <v>40</v>
      </c>
      <c r="AQ17" s="3">
        <f t="shared" si="23"/>
        <v>15328759259.507607</v>
      </c>
      <c r="AR17" s="3">
        <f t="shared" si="2"/>
        <v>756427223.03499091</v>
      </c>
      <c r="AS17" s="3">
        <f t="shared" si="2"/>
        <v>0</v>
      </c>
      <c r="AT17" s="3">
        <f t="shared" si="2"/>
        <v>5295208034102.7314</v>
      </c>
      <c r="AU17" s="3">
        <f t="shared" si="24"/>
        <v>5311293220585.2744</v>
      </c>
      <c r="AV17" s="7" t="s">
        <v>112</v>
      </c>
      <c r="AW17" s="2" t="s">
        <v>40</v>
      </c>
      <c r="AX17" s="3">
        <f t="shared" si="25"/>
        <v>10765164426.652145</v>
      </c>
      <c r="AY17" s="3">
        <f t="shared" si="3"/>
        <v>0</v>
      </c>
      <c r="AZ17" s="3">
        <f t="shared" si="3"/>
        <v>0</v>
      </c>
      <c r="BA17" s="3">
        <f t="shared" si="3"/>
        <v>0</v>
      </c>
      <c r="BB17" s="3">
        <f t="shared" si="26"/>
        <v>10765164426.652145</v>
      </c>
      <c r="BC17" s="7" t="s">
        <v>112</v>
      </c>
      <c r="BD17" s="2" t="s">
        <v>40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7" t="s">
        <v>112</v>
      </c>
      <c r="BK17" s="2" t="s">
        <v>40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7" t="s">
        <v>112</v>
      </c>
      <c r="BR17" s="2" t="s">
        <v>40</v>
      </c>
      <c r="BS17" s="3">
        <v>0</v>
      </c>
      <c r="BT17" s="3">
        <v>0</v>
      </c>
      <c r="BU17" s="3">
        <v>0</v>
      </c>
      <c r="BV17" s="3">
        <v>5285989261691.626</v>
      </c>
      <c r="BW17" s="3">
        <v>5285989261691.626</v>
      </c>
      <c r="BX17" s="7" t="s">
        <v>112</v>
      </c>
      <c r="BY17" s="2" t="s">
        <v>40</v>
      </c>
      <c r="BZ17" s="3">
        <v>3369753858.5048995</v>
      </c>
      <c r="CA17" s="3">
        <v>0</v>
      </c>
      <c r="CB17" s="3">
        <v>0</v>
      </c>
      <c r="CC17" s="3">
        <v>0</v>
      </c>
      <c r="CD17" s="3">
        <v>3369753858.5048995</v>
      </c>
      <c r="CE17" s="7" t="s">
        <v>112</v>
      </c>
      <c r="CF17" s="2" t="s">
        <v>40</v>
      </c>
      <c r="CG17" s="3">
        <v>121347901.2345679</v>
      </c>
      <c r="CH17" s="3">
        <v>0</v>
      </c>
      <c r="CI17" s="3">
        <v>0</v>
      </c>
      <c r="CJ17" s="3">
        <v>0</v>
      </c>
      <c r="CK17" s="3">
        <v>121347901.2345679</v>
      </c>
      <c r="CL17" s="7" t="s">
        <v>112</v>
      </c>
      <c r="CM17" s="2" t="s">
        <v>40</v>
      </c>
      <c r="CN17" s="3">
        <v>0</v>
      </c>
      <c r="CO17" s="3">
        <v>0</v>
      </c>
      <c r="CP17" s="3">
        <v>0</v>
      </c>
      <c r="CQ17" s="3">
        <v>8730156971.9697437</v>
      </c>
      <c r="CR17" s="3">
        <v>8730156971.9697437</v>
      </c>
      <c r="CS17" s="7" t="s">
        <v>112</v>
      </c>
      <c r="CT17" s="2" t="s">
        <v>40</v>
      </c>
      <c r="CU17" s="3">
        <v>1760479686.592067</v>
      </c>
      <c r="CV17" s="3">
        <v>0</v>
      </c>
      <c r="CW17" s="3">
        <v>0</v>
      </c>
      <c r="CX17" s="3">
        <v>0</v>
      </c>
      <c r="CY17" s="3">
        <v>1760479686.592067</v>
      </c>
      <c r="CZ17" s="7" t="s">
        <v>112</v>
      </c>
      <c r="DA17" s="2" t="s">
        <v>40</v>
      </c>
      <c r="DB17" s="3">
        <v>6895622384.3429461</v>
      </c>
      <c r="DC17" s="3">
        <v>756427223.03499091</v>
      </c>
      <c r="DD17" s="3">
        <v>0</v>
      </c>
      <c r="DE17" s="3">
        <v>0</v>
      </c>
      <c r="DF17" s="3">
        <v>7652049607.3779373</v>
      </c>
      <c r="DG17" s="7" t="s">
        <v>112</v>
      </c>
      <c r="DH17" s="2" t="s">
        <v>40</v>
      </c>
      <c r="DI17" s="3">
        <v>5281653.6160349883</v>
      </c>
      <c r="DJ17" s="3">
        <v>0</v>
      </c>
      <c r="DK17" s="3">
        <v>0</v>
      </c>
      <c r="DL17" s="3">
        <v>0</v>
      </c>
      <c r="DM17" s="3">
        <v>5281653.6160349883</v>
      </c>
      <c r="DN17" s="7" t="s">
        <v>112</v>
      </c>
      <c r="DO17" s="2" t="s">
        <v>40</v>
      </c>
      <c r="DP17" s="3">
        <v>3176273775.2170911</v>
      </c>
      <c r="DQ17" s="3">
        <v>0</v>
      </c>
      <c r="DR17" s="3">
        <v>0</v>
      </c>
      <c r="DS17" s="3">
        <v>488615439.13568431</v>
      </c>
      <c r="DT17" s="3">
        <v>3664889214.3527756</v>
      </c>
      <c r="DU17" s="7" t="s">
        <v>112</v>
      </c>
      <c r="DV17" s="2" t="s">
        <v>40</v>
      </c>
      <c r="DW17" s="3">
        <v>4884752369.9033604</v>
      </c>
      <c r="DX17" s="3">
        <v>0</v>
      </c>
      <c r="DY17" s="3">
        <v>0</v>
      </c>
      <c r="DZ17" s="3">
        <v>0</v>
      </c>
      <c r="EA17" s="3">
        <v>4884752369.9033604</v>
      </c>
      <c r="EB17" s="7" t="s">
        <v>112</v>
      </c>
      <c r="EC17" s="2" t="s">
        <v>40</v>
      </c>
      <c r="ED17" s="3">
        <v>5880412056.7487841</v>
      </c>
      <c r="EE17" s="3">
        <v>0</v>
      </c>
      <c r="EF17" s="3">
        <v>0</v>
      </c>
      <c r="EG17" s="3">
        <v>0</v>
      </c>
      <c r="EH17" s="3">
        <v>5880412056.7487841</v>
      </c>
    </row>
    <row r="18" spans="1:138" ht="10.199999999999999" customHeight="1" x14ac:dyDescent="0.2">
      <c r="A18" s="7" t="s">
        <v>116</v>
      </c>
      <c r="B18" s="2" t="s">
        <v>44</v>
      </c>
      <c r="C18" s="3">
        <f t="shared" si="4"/>
        <v>717639107.54551852</v>
      </c>
      <c r="D18" s="3">
        <f t="shared" si="5"/>
        <v>10659726758.41094</v>
      </c>
      <c r="E18" s="3">
        <f t="shared" si="6"/>
        <v>434898633063.31665</v>
      </c>
      <c r="F18" s="3">
        <f t="shared" si="7"/>
        <v>536994474.99397886</v>
      </c>
      <c r="G18" s="3">
        <f t="shared" si="8"/>
        <v>3757485697.7676377</v>
      </c>
      <c r="H18" s="3">
        <f t="shared" si="9"/>
        <v>4057558279.53584</v>
      </c>
      <c r="I18" s="3">
        <f t="shared" si="10"/>
        <v>944546259.56278646</v>
      </c>
      <c r="J18" s="3">
        <f t="shared" si="11"/>
        <v>43029359679.131577</v>
      </c>
      <c r="K18" s="3">
        <f t="shared" si="12"/>
        <v>5100219276.8188267</v>
      </c>
      <c r="L18" s="3">
        <f t="shared" si="13"/>
        <v>125467530642.87857</v>
      </c>
      <c r="M18" s="3">
        <f t="shared" si="14"/>
        <v>3226635482.1459222</v>
      </c>
      <c r="N18" s="3">
        <f t="shared" si="15"/>
        <v>2008134305464.3948</v>
      </c>
      <c r="O18" s="3">
        <f t="shared" si="16"/>
        <v>2640530634186.5029</v>
      </c>
      <c r="P18" s="7" t="s">
        <v>116</v>
      </c>
      <c r="Q18" s="2" t="s">
        <v>44</v>
      </c>
      <c r="R18" s="3">
        <f t="shared" si="17"/>
        <v>717639107.54551852</v>
      </c>
      <c r="S18" s="3">
        <f t="shared" si="17"/>
        <v>10659726758.41094</v>
      </c>
      <c r="T18" s="3">
        <f t="shared" si="17"/>
        <v>434898633063.31665</v>
      </c>
      <c r="U18" s="3">
        <f t="shared" si="17"/>
        <v>536994474.99397886</v>
      </c>
      <c r="V18" s="3">
        <f t="shared" si="17"/>
        <v>3757485697.7676377</v>
      </c>
      <c r="W18" s="3">
        <f t="shared" si="17"/>
        <v>4057558279.53584</v>
      </c>
      <c r="X18" s="3">
        <f t="shared" si="17"/>
        <v>944546259.56278646</v>
      </c>
      <c r="Y18" s="3">
        <f t="shared" si="17"/>
        <v>43029359679.131577</v>
      </c>
      <c r="Z18" s="3">
        <f t="shared" si="17"/>
        <v>5100219276.8188267</v>
      </c>
      <c r="AA18" s="3">
        <f t="shared" si="17"/>
        <v>125467530642.87857</v>
      </c>
      <c r="AB18" s="3">
        <f t="shared" si="18"/>
        <v>629169693239.9624</v>
      </c>
      <c r="AC18" s="7" t="s">
        <v>116</v>
      </c>
      <c r="AD18" s="2" t="s">
        <v>44</v>
      </c>
      <c r="AE18" s="3">
        <f t="shared" si="19"/>
        <v>3226635482.1459222</v>
      </c>
      <c r="AF18" s="3">
        <f t="shared" si="19"/>
        <v>2008134305464.3948</v>
      </c>
      <c r="AG18" s="3">
        <f t="shared" si="20"/>
        <v>2011360940946.5408</v>
      </c>
      <c r="AH18" s="7" t="s">
        <v>116</v>
      </c>
      <c r="AI18" s="2" t="s">
        <v>44</v>
      </c>
      <c r="AJ18" s="3">
        <f t="shared" si="21"/>
        <v>5443525770.5436316</v>
      </c>
      <c r="AK18" s="3">
        <f t="shared" si="1"/>
        <v>136919678819.23134</v>
      </c>
      <c r="AL18" s="3">
        <f t="shared" si="1"/>
        <v>750922311410.93311</v>
      </c>
      <c r="AM18" s="3">
        <f t="shared" si="1"/>
        <v>1747245118185.7949</v>
      </c>
      <c r="AN18" s="3">
        <f t="shared" si="22"/>
        <v>2640530634186.5029</v>
      </c>
      <c r="AO18" s="7" t="s">
        <v>116</v>
      </c>
      <c r="AP18" s="2" t="s">
        <v>44</v>
      </c>
      <c r="AQ18" s="3">
        <f t="shared" si="23"/>
        <v>3374865722.1473694</v>
      </c>
      <c r="AR18" s="3">
        <f t="shared" si="2"/>
        <v>6813121038.7637148</v>
      </c>
      <c r="AS18" s="3">
        <f t="shared" si="2"/>
        <v>314825856510.85114</v>
      </c>
      <c r="AT18" s="3">
        <f t="shared" si="2"/>
        <v>304155849968.20007</v>
      </c>
      <c r="AU18" s="3">
        <f t="shared" si="24"/>
        <v>629169693239.96228</v>
      </c>
      <c r="AV18" s="7" t="s">
        <v>116</v>
      </c>
      <c r="AW18" s="2" t="s">
        <v>44</v>
      </c>
      <c r="AX18" s="3">
        <f t="shared" si="25"/>
        <v>2068660048.3962622</v>
      </c>
      <c r="AY18" s="3">
        <f t="shared" si="3"/>
        <v>130106557780.46762</v>
      </c>
      <c r="AZ18" s="3">
        <f t="shared" si="3"/>
        <v>436096454900.08203</v>
      </c>
      <c r="BA18" s="3">
        <f t="shared" si="3"/>
        <v>1443089268217.5947</v>
      </c>
      <c r="BB18" s="3">
        <f t="shared" si="26"/>
        <v>2011360940946.5405</v>
      </c>
      <c r="BC18" s="7" t="s">
        <v>116</v>
      </c>
      <c r="BD18" s="2" t="s">
        <v>44</v>
      </c>
      <c r="BE18" s="3">
        <v>488408418.66123229</v>
      </c>
      <c r="BF18" s="3">
        <v>229230688.88428625</v>
      </c>
      <c r="BG18" s="3">
        <v>0</v>
      </c>
      <c r="BH18" s="3">
        <v>0</v>
      </c>
      <c r="BI18" s="3">
        <v>717639107.54551852</v>
      </c>
      <c r="BJ18" s="7" t="s">
        <v>116</v>
      </c>
      <c r="BK18" s="2" t="s">
        <v>44</v>
      </c>
      <c r="BL18" s="3">
        <v>752157218.81840706</v>
      </c>
      <c r="BM18" s="3">
        <v>1020876240.3122751</v>
      </c>
      <c r="BN18" s="3">
        <v>8886693299.2802582</v>
      </c>
      <c r="BO18" s="3">
        <v>0</v>
      </c>
      <c r="BP18" s="3">
        <v>10659726758.41094</v>
      </c>
      <c r="BQ18" s="7" t="s">
        <v>116</v>
      </c>
      <c r="BR18" s="2" t="s">
        <v>44</v>
      </c>
      <c r="BS18" s="3">
        <v>0</v>
      </c>
      <c r="BT18" s="3">
        <v>1238714749.1283243</v>
      </c>
      <c r="BU18" s="3">
        <v>282493235497.39246</v>
      </c>
      <c r="BV18" s="3">
        <v>151166682816.79587</v>
      </c>
      <c r="BW18" s="3">
        <v>434898633063.31665</v>
      </c>
      <c r="BX18" s="7" t="s">
        <v>116</v>
      </c>
      <c r="BY18" s="2" t="s">
        <v>44</v>
      </c>
      <c r="BZ18" s="3">
        <v>291244876.11334085</v>
      </c>
      <c r="CA18" s="3">
        <v>162815346.87172967</v>
      </c>
      <c r="CB18" s="3">
        <v>82934252.008908331</v>
      </c>
      <c r="CC18" s="3">
        <v>0</v>
      </c>
      <c r="CD18" s="3">
        <v>536994474.99397886</v>
      </c>
      <c r="CE18" s="7" t="s">
        <v>116</v>
      </c>
      <c r="CF18" s="2" t="s">
        <v>44</v>
      </c>
      <c r="CG18" s="3">
        <v>760872237.07019043</v>
      </c>
      <c r="CH18" s="3">
        <v>2996613460.6974473</v>
      </c>
      <c r="CI18" s="3">
        <v>0</v>
      </c>
      <c r="CJ18" s="3">
        <v>0</v>
      </c>
      <c r="CK18" s="3">
        <v>3757485697.7676377</v>
      </c>
      <c r="CL18" s="7" t="s">
        <v>116</v>
      </c>
      <c r="CM18" s="2" t="s">
        <v>44</v>
      </c>
      <c r="CN18" s="3">
        <v>0</v>
      </c>
      <c r="CO18" s="3">
        <v>0</v>
      </c>
      <c r="CP18" s="3">
        <v>4057558279.53584</v>
      </c>
      <c r="CQ18" s="3">
        <v>0</v>
      </c>
      <c r="CR18" s="3">
        <v>4057558279.53584</v>
      </c>
      <c r="CS18" s="7" t="s">
        <v>116</v>
      </c>
      <c r="CT18" s="2" t="s">
        <v>44</v>
      </c>
      <c r="CU18" s="3">
        <v>373736254.34808969</v>
      </c>
      <c r="CV18" s="3">
        <v>570810005.21469676</v>
      </c>
      <c r="CW18" s="3">
        <v>0</v>
      </c>
      <c r="CX18" s="3">
        <v>0</v>
      </c>
      <c r="CY18" s="3">
        <v>944546259.56278646</v>
      </c>
      <c r="CZ18" s="7" t="s">
        <v>116</v>
      </c>
      <c r="DA18" s="2" t="s">
        <v>44</v>
      </c>
      <c r="DB18" s="3">
        <v>390818678.0487805</v>
      </c>
      <c r="DC18" s="3">
        <v>352864340.74209183</v>
      </c>
      <c r="DD18" s="3">
        <v>4356536258.0279541</v>
      </c>
      <c r="DE18" s="3">
        <v>0</v>
      </c>
      <c r="DF18" s="3">
        <v>5100219276.8188267</v>
      </c>
      <c r="DG18" s="7" t="s">
        <v>116</v>
      </c>
      <c r="DH18" s="2" t="s">
        <v>44</v>
      </c>
      <c r="DI18" s="3">
        <v>195211811.96417367</v>
      </c>
      <c r="DJ18" s="3">
        <v>123008082.57961284</v>
      </c>
      <c r="DK18" s="3">
        <v>0</v>
      </c>
      <c r="DL18" s="3">
        <v>42711139784.587791</v>
      </c>
      <c r="DM18" s="3">
        <v>43029359679.131577</v>
      </c>
      <c r="DN18" s="7" t="s">
        <v>116</v>
      </c>
      <c r="DO18" s="2" t="s">
        <v>44</v>
      </c>
      <c r="DP18" s="3">
        <v>122416227.12315457</v>
      </c>
      <c r="DQ18" s="3">
        <v>118188124.33325103</v>
      </c>
      <c r="DR18" s="3">
        <v>14948898924.605726</v>
      </c>
      <c r="DS18" s="3">
        <v>110278027366.81644</v>
      </c>
      <c r="DT18" s="3">
        <v>125467530642.87857</v>
      </c>
      <c r="DU18" s="7" t="s">
        <v>116</v>
      </c>
      <c r="DV18" s="2" t="s">
        <v>44</v>
      </c>
      <c r="DW18" s="3">
        <v>235320000</v>
      </c>
      <c r="DX18" s="3">
        <v>128713262346.71796</v>
      </c>
      <c r="DY18" s="3">
        <v>436096454900.08203</v>
      </c>
      <c r="DZ18" s="3">
        <v>1443089268217.5947</v>
      </c>
      <c r="EA18" s="3">
        <v>2008134305464.3948</v>
      </c>
      <c r="EB18" s="7" t="s">
        <v>116</v>
      </c>
      <c r="EC18" s="2" t="s">
        <v>44</v>
      </c>
      <c r="ED18" s="3">
        <v>1833340048.3962622</v>
      </c>
      <c r="EE18" s="3">
        <v>1393295433.74966</v>
      </c>
      <c r="EF18" s="3">
        <v>0</v>
      </c>
      <c r="EG18" s="3">
        <v>0</v>
      </c>
      <c r="EH18" s="3">
        <v>3226635482.1459222</v>
      </c>
    </row>
    <row r="19" spans="1:138" ht="10.199999999999999" customHeight="1" x14ac:dyDescent="0.2">
      <c r="A19" s="7" t="s">
        <v>107</v>
      </c>
      <c r="B19" s="2" t="s">
        <v>35</v>
      </c>
      <c r="C19" s="3">
        <f t="shared" si="4"/>
        <v>0</v>
      </c>
      <c r="D19" s="3">
        <f t="shared" si="5"/>
        <v>1902159.1419994989</v>
      </c>
      <c r="E19" s="3">
        <f t="shared" si="6"/>
        <v>0</v>
      </c>
      <c r="F19" s="3">
        <f t="shared" si="7"/>
        <v>0</v>
      </c>
      <c r="G19" s="3">
        <f t="shared" si="8"/>
        <v>0</v>
      </c>
      <c r="H19" s="3">
        <f t="shared" si="9"/>
        <v>0</v>
      </c>
      <c r="I19" s="3">
        <f t="shared" si="10"/>
        <v>673050308.21054745</v>
      </c>
      <c r="J19" s="3">
        <f t="shared" si="11"/>
        <v>0</v>
      </c>
      <c r="K19" s="3">
        <f t="shared" si="12"/>
        <v>5982206.2831618506</v>
      </c>
      <c r="L19" s="3">
        <f t="shared" si="13"/>
        <v>148271405513.12231</v>
      </c>
      <c r="M19" s="3">
        <f t="shared" si="14"/>
        <v>19908610470.980988</v>
      </c>
      <c r="N19" s="3">
        <f t="shared" si="15"/>
        <v>29544230793.618359</v>
      </c>
      <c r="O19" s="3">
        <f t="shared" si="16"/>
        <v>198405181451.35736</v>
      </c>
      <c r="P19" s="7" t="s">
        <v>107</v>
      </c>
      <c r="Q19" s="2" t="s">
        <v>35</v>
      </c>
      <c r="R19" s="3">
        <f t="shared" si="17"/>
        <v>0</v>
      </c>
      <c r="S19" s="3">
        <f t="shared" si="17"/>
        <v>1902159.1419994989</v>
      </c>
      <c r="T19" s="3">
        <f t="shared" si="17"/>
        <v>0</v>
      </c>
      <c r="U19" s="3">
        <f t="shared" si="17"/>
        <v>0</v>
      </c>
      <c r="V19" s="3">
        <f t="shared" si="17"/>
        <v>0</v>
      </c>
      <c r="W19" s="3">
        <f t="shared" si="17"/>
        <v>0</v>
      </c>
      <c r="X19" s="3">
        <f t="shared" si="17"/>
        <v>673050308.21054745</v>
      </c>
      <c r="Y19" s="3">
        <f t="shared" si="17"/>
        <v>0</v>
      </c>
      <c r="Z19" s="3">
        <f t="shared" si="17"/>
        <v>5982206.2831618506</v>
      </c>
      <c r="AA19" s="3">
        <f t="shared" si="17"/>
        <v>148271405513.12231</v>
      </c>
      <c r="AB19" s="3">
        <f t="shared" si="18"/>
        <v>148952340186.75803</v>
      </c>
      <c r="AC19" s="7" t="s">
        <v>107</v>
      </c>
      <c r="AD19" s="2" t="s">
        <v>35</v>
      </c>
      <c r="AE19" s="3">
        <f t="shared" si="19"/>
        <v>19908610470.980988</v>
      </c>
      <c r="AF19" s="3">
        <f t="shared" si="19"/>
        <v>29544230793.618359</v>
      </c>
      <c r="AG19" s="3">
        <f t="shared" si="20"/>
        <v>49452841264.59935</v>
      </c>
      <c r="AH19" s="7" t="s">
        <v>107</v>
      </c>
      <c r="AI19" s="2" t="s">
        <v>35</v>
      </c>
      <c r="AJ19" s="3">
        <f t="shared" si="21"/>
        <v>139950241523.05237</v>
      </c>
      <c r="AK19" s="3">
        <f t="shared" si="1"/>
        <v>10018782102.184958</v>
      </c>
      <c r="AL19" s="3">
        <f t="shared" si="1"/>
        <v>196594884.59685791</v>
      </c>
      <c r="AM19" s="3">
        <f t="shared" si="1"/>
        <v>48239562941.523148</v>
      </c>
      <c r="AN19" s="3">
        <f t="shared" si="22"/>
        <v>198405181451.35736</v>
      </c>
      <c r="AO19" s="7" t="s">
        <v>107</v>
      </c>
      <c r="AP19" s="2" t="s">
        <v>35</v>
      </c>
      <c r="AQ19" s="3">
        <f t="shared" si="23"/>
        <v>98926339500.427048</v>
      </c>
      <c r="AR19" s="3">
        <f t="shared" si="2"/>
        <v>1589842860.2109509</v>
      </c>
      <c r="AS19" s="3">
        <f t="shared" si="2"/>
        <v>196594884.59685791</v>
      </c>
      <c r="AT19" s="3">
        <f t="shared" si="2"/>
        <v>48239562941.523148</v>
      </c>
      <c r="AU19" s="3">
        <f t="shared" si="24"/>
        <v>148952340186.758</v>
      </c>
      <c r="AV19" s="7" t="s">
        <v>107</v>
      </c>
      <c r="AW19" s="2" t="s">
        <v>35</v>
      </c>
      <c r="AX19" s="3">
        <f t="shared" si="25"/>
        <v>41023902022.625336</v>
      </c>
      <c r="AY19" s="3">
        <f t="shared" si="3"/>
        <v>8428939241.9740067</v>
      </c>
      <c r="AZ19" s="3">
        <f t="shared" si="3"/>
        <v>0</v>
      </c>
      <c r="BA19" s="3">
        <f t="shared" si="3"/>
        <v>0</v>
      </c>
      <c r="BB19" s="3">
        <f t="shared" si="26"/>
        <v>49452841264.599342</v>
      </c>
      <c r="BC19" s="7" t="s">
        <v>107</v>
      </c>
      <c r="BD19" s="2" t="s">
        <v>35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7" t="s">
        <v>107</v>
      </c>
      <c r="BK19" s="2" t="s">
        <v>35</v>
      </c>
      <c r="BL19" s="3">
        <v>1902159.1419994989</v>
      </c>
      <c r="BM19" s="3">
        <v>0</v>
      </c>
      <c r="BN19" s="3">
        <v>0</v>
      </c>
      <c r="BO19" s="3">
        <v>0</v>
      </c>
      <c r="BP19" s="3">
        <v>1902159.1419994989</v>
      </c>
      <c r="BQ19" s="7" t="s">
        <v>107</v>
      </c>
      <c r="BR19" s="2" t="s">
        <v>35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7" t="s">
        <v>107</v>
      </c>
      <c r="BY19" s="2" t="s">
        <v>35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7" t="s">
        <v>107</v>
      </c>
      <c r="CF19" s="2" t="s">
        <v>35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7" t="s">
        <v>107</v>
      </c>
      <c r="CM19" s="2" t="s">
        <v>35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7" t="s">
        <v>107</v>
      </c>
      <c r="CT19" s="2" t="s">
        <v>35</v>
      </c>
      <c r="CU19" s="3">
        <v>647638677.23461521</v>
      </c>
      <c r="CV19" s="3">
        <v>25411630.975932274</v>
      </c>
      <c r="CW19" s="3">
        <v>0</v>
      </c>
      <c r="CX19" s="3">
        <v>0</v>
      </c>
      <c r="CY19" s="3">
        <v>673050308.21054745</v>
      </c>
      <c r="CZ19" s="7" t="s">
        <v>107</v>
      </c>
      <c r="DA19" s="2" t="s">
        <v>35</v>
      </c>
      <c r="DB19" s="3">
        <v>5982206.2831618506</v>
      </c>
      <c r="DC19" s="3">
        <v>0</v>
      </c>
      <c r="DD19" s="3">
        <v>0</v>
      </c>
      <c r="DE19" s="3">
        <v>0</v>
      </c>
      <c r="DF19" s="3">
        <v>5982206.2831618506</v>
      </c>
      <c r="DG19" s="7" t="s">
        <v>107</v>
      </c>
      <c r="DH19" s="2" t="s">
        <v>35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7" t="s">
        <v>107</v>
      </c>
      <c r="DO19" s="2" t="s">
        <v>35</v>
      </c>
      <c r="DP19" s="3">
        <v>98270816457.767273</v>
      </c>
      <c r="DQ19" s="3">
        <v>1564431229.2350185</v>
      </c>
      <c r="DR19" s="3">
        <v>196594884.59685791</v>
      </c>
      <c r="DS19" s="3">
        <v>48239562941.523148</v>
      </c>
      <c r="DT19" s="3">
        <v>148271405513.12231</v>
      </c>
      <c r="DU19" s="7" t="s">
        <v>107</v>
      </c>
      <c r="DV19" s="2" t="s">
        <v>35</v>
      </c>
      <c r="DW19" s="3">
        <v>24975551059.837761</v>
      </c>
      <c r="DX19" s="3">
        <v>4568679733.7805967</v>
      </c>
      <c r="DY19" s="3">
        <v>0</v>
      </c>
      <c r="DZ19" s="3">
        <v>0</v>
      </c>
      <c r="EA19" s="3">
        <v>29544230793.618359</v>
      </c>
      <c r="EB19" s="7" t="s">
        <v>107</v>
      </c>
      <c r="EC19" s="2" t="s">
        <v>35</v>
      </c>
      <c r="ED19" s="3">
        <v>16048350962.787579</v>
      </c>
      <c r="EE19" s="3">
        <v>3860259508.1934099</v>
      </c>
      <c r="EF19" s="3">
        <v>0</v>
      </c>
      <c r="EG19" s="3">
        <v>0</v>
      </c>
      <c r="EH19" s="3">
        <v>19908610470.980988</v>
      </c>
    </row>
    <row r="20" spans="1:138" ht="10.199999999999999" customHeight="1" x14ac:dyDescent="0.2">
      <c r="A20" s="7" t="s">
        <v>100</v>
      </c>
      <c r="B20" s="2" t="s">
        <v>28</v>
      </c>
      <c r="C20" s="3">
        <f t="shared" si="4"/>
        <v>0</v>
      </c>
      <c r="D20" s="3">
        <f t="shared" si="5"/>
        <v>13120750.297857363</v>
      </c>
      <c r="E20" s="3">
        <f t="shared" si="6"/>
        <v>0</v>
      </c>
      <c r="F20" s="3">
        <f t="shared" si="7"/>
        <v>0</v>
      </c>
      <c r="G20" s="3">
        <f t="shared" si="8"/>
        <v>1921713253.7619157</v>
      </c>
      <c r="H20" s="3">
        <f t="shared" si="9"/>
        <v>0</v>
      </c>
      <c r="I20" s="3">
        <f t="shared" si="10"/>
        <v>187549769.78753331</v>
      </c>
      <c r="J20" s="3">
        <f t="shared" si="11"/>
        <v>0</v>
      </c>
      <c r="K20" s="3">
        <f t="shared" si="12"/>
        <v>75291457.167531013</v>
      </c>
      <c r="L20" s="3">
        <f t="shared" si="13"/>
        <v>72946167.384204999</v>
      </c>
      <c r="M20" s="3">
        <f t="shared" si="14"/>
        <v>6614258971.668005</v>
      </c>
      <c r="N20" s="3">
        <f t="shared" si="15"/>
        <v>1873733191.7993269</v>
      </c>
      <c r="O20" s="3">
        <f t="shared" si="16"/>
        <v>10758613561.866375</v>
      </c>
      <c r="P20" s="7" t="s">
        <v>100</v>
      </c>
      <c r="Q20" s="2" t="s">
        <v>28</v>
      </c>
      <c r="R20" s="3">
        <f t="shared" si="17"/>
        <v>0</v>
      </c>
      <c r="S20" s="3">
        <f t="shared" si="17"/>
        <v>13120750.297857363</v>
      </c>
      <c r="T20" s="3">
        <f t="shared" si="17"/>
        <v>0</v>
      </c>
      <c r="U20" s="3">
        <f t="shared" si="17"/>
        <v>0</v>
      </c>
      <c r="V20" s="3">
        <f t="shared" si="17"/>
        <v>1921713253.7619157</v>
      </c>
      <c r="W20" s="3">
        <f t="shared" si="17"/>
        <v>0</v>
      </c>
      <c r="X20" s="3">
        <f t="shared" si="17"/>
        <v>187549769.78753331</v>
      </c>
      <c r="Y20" s="3">
        <f t="shared" si="17"/>
        <v>0</v>
      </c>
      <c r="Z20" s="3">
        <f t="shared" si="17"/>
        <v>75291457.167531013</v>
      </c>
      <c r="AA20" s="3">
        <f t="shared" si="17"/>
        <v>72946167.384204999</v>
      </c>
      <c r="AB20" s="3">
        <f t="shared" si="18"/>
        <v>2270621398.3990421</v>
      </c>
      <c r="AC20" s="7" t="s">
        <v>100</v>
      </c>
      <c r="AD20" s="2" t="s">
        <v>28</v>
      </c>
      <c r="AE20" s="3">
        <f t="shared" si="19"/>
        <v>6614258971.668005</v>
      </c>
      <c r="AF20" s="3">
        <f t="shared" si="19"/>
        <v>1873733191.7993269</v>
      </c>
      <c r="AG20" s="3">
        <f t="shared" si="20"/>
        <v>8487992163.4673319</v>
      </c>
      <c r="AH20" s="7" t="s">
        <v>100</v>
      </c>
      <c r="AI20" s="2" t="s">
        <v>28</v>
      </c>
      <c r="AJ20" s="3">
        <f t="shared" si="21"/>
        <v>6742356247.5702419</v>
      </c>
      <c r="AK20" s="3">
        <f t="shared" si="21"/>
        <v>2962623570.0041895</v>
      </c>
      <c r="AL20" s="3">
        <f t="shared" si="21"/>
        <v>1053633744.2919432</v>
      </c>
      <c r="AM20" s="3">
        <f t="shared" si="21"/>
        <v>0</v>
      </c>
      <c r="AN20" s="3">
        <f t="shared" si="22"/>
        <v>10758613561.866375</v>
      </c>
      <c r="AO20" s="7" t="s">
        <v>100</v>
      </c>
      <c r="AP20" s="2" t="s">
        <v>28</v>
      </c>
      <c r="AQ20" s="3">
        <f t="shared" si="23"/>
        <v>382094963.8987624</v>
      </c>
      <c r="AR20" s="3">
        <f t="shared" si="23"/>
        <v>1888526434.5002799</v>
      </c>
      <c r="AS20" s="3">
        <f t="shared" si="23"/>
        <v>0</v>
      </c>
      <c r="AT20" s="3">
        <f t="shared" si="23"/>
        <v>0</v>
      </c>
      <c r="AU20" s="3">
        <f t="shared" si="24"/>
        <v>2270621398.3990421</v>
      </c>
      <c r="AV20" s="7" t="s">
        <v>100</v>
      </c>
      <c r="AW20" s="2" t="s">
        <v>28</v>
      </c>
      <c r="AX20" s="3">
        <f t="shared" si="25"/>
        <v>6360261283.6714792</v>
      </c>
      <c r="AY20" s="3">
        <f t="shared" si="25"/>
        <v>1074097135.5039093</v>
      </c>
      <c r="AZ20" s="3">
        <f t="shared" si="25"/>
        <v>1053633744.2919432</v>
      </c>
      <c r="BA20" s="3">
        <f t="shared" si="25"/>
        <v>0</v>
      </c>
      <c r="BB20" s="3">
        <f t="shared" si="26"/>
        <v>8487992163.4673319</v>
      </c>
      <c r="BC20" s="7" t="s">
        <v>100</v>
      </c>
      <c r="BD20" s="2" t="s">
        <v>28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7" t="s">
        <v>100</v>
      </c>
      <c r="BK20" s="2" t="s">
        <v>28</v>
      </c>
      <c r="BL20" s="3">
        <v>13120750.297857363</v>
      </c>
      <c r="BM20" s="3">
        <v>0</v>
      </c>
      <c r="BN20" s="3">
        <v>0</v>
      </c>
      <c r="BO20" s="3">
        <v>0</v>
      </c>
      <c r="BP20" s="3">
        <v>13120750.297857363</v>
      </c>
      <c r="BQ20" s="7" t="s">
        <v>100</v>
      </c>
      <c r="BR20" s="2" t="s">
        <v>28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7" t="s">
        <v>100</v>
      </c>
      <c r="BY20" s="2" t="s">
        <v>28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7" t="s">
        <v>100</v>
      </c>
      <c r="CF20" s="2" t="s">
        <v>28</v>
      </c>
      <c r="CG20" s="3">
        <v>33186819.261635724</v>
      </c>
      <c r="CH20" s="3">
        <v>1888526434.5002799</v>
      </c>
      <c r="CI20" s="3">
        <v>0</v>
      </c>
      <c r="CJ20" s="3">
        <v>0</v>
      </c>
      <c r="CK20" s="3">
        <v>1921713253.7619157</v>
      </c>
      <c r="CL20" s="7" t="s">
        <v>100</v>
      </c>
      <c r="CM20" s="2" t="s">
        <v>28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7" t="s">
        <v>100</v>
      </c>
      <c r="CT20" s="2" t="s">
        <v>28</v>
      </c>
      <c r="CU20" s="3">
        <v>187549769.78753331</v>
      </c>
      <c r="CV20" s="3">
        <v>0</v>
      </c>
      <c r="CW20" s="3">
        <v>0</v>
      </c>
      <c r="CX20" s="3">
        <v>0</v>
      </c>
      <c r="CY20" s="3">
        <v>187549769.78753331</v>
      </c>
      <c r="CZ20" s="7" t="s">
        <v>100</v>
      </c>
      <c r="DA20" s="2" t="s">
        <v>28</v>
      </c>
      <c r="DB20" s="3">
        <v>75291457.167531013</v>
      </c>
      <c r="DC20" s="3">
        <v>0</v>
      </c>
      <c r="DD20" s="3">
        <v>0</v>
      </c>
      <c r="DE20" s="3">
        <v>0</v>
      </c>
      <c r="DF20" s="3">
        <v>75291457.167531013</v>
      </c>
      <c r="DG20" s="7" t="s">
        <v>100</v>
      </c>
      <c r="DH20" s="2" t="s">
        <v>28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7" t="s">
        <v>100</v>
      </c>
      <c r="DO20" s="2" t="s">
        <v>28</v>
      </c>
      <c r="DP20" s="3">
        <v>72946167.384204999</v>
      </c>
      <c r="DQ20" s="3">
        <v>0</v>
      </c>
      <c r="DR20" s="3">
        <v>0</v>
      </c>
      <c r="DS20" s="3">
        <v>0</v>
      </c>
      <c r="DT20" s="3">
        <v>72946167.384204999</v>
      </c>
      <c r="DU20" s="7" t="s">
        <v>100</v>
      </c>
      <c r="DV20" s="2" t="s">
        <v>28</v>
      </c>
      <c r="DW20" s="3">
        <v>44033941.104129873</v>
      </c>
      <c r="DX20" s="3">
        <v>841205901.00101852</v>
      </c>
      <c r="DY20" s="3">
        <v>988493349.69417834</v>
      </c>
      <c r="DZ20" s="3">
        <v>0</v>
      </c>
      <c r="EA20" s="3">
        <v>1873733191.7993269</v>
      </c>
      <c r="EB20" s="7" t="s">
        <v>100</v>
      </c>
      <c r="EC20" s="2" t="s">
        <v>28</v>
      </c>
      <c r="ED20" s="3">
        <v>6316227342.5673494</v>
      </c>
      <c r="EE20" s="3">
        <v>232891234.50289077</v>
      </c>
      <c r="EF20" s="3">
        <v>65140394.597764857</v>
      </c>
      <c r="EG20" s="3">
        <v>0</v>
      </c>
      <c r="EH20" s="3">
        <v>6614258971.668005</v>
      </c>
    </row>
    <row r="21" spans="1:138" ht="10.199999999999999" customHeight="1" x14ac:dyDescent="0.2">
      <c r="A21" s="7" t="s">
        <v>108</v>
      </c>
      <c r="B21" s="2" t="s">
        <v>36</v>
      </c>
      <c r="C21" s="3">
        <f t="shared" si="4"/>
        <v>0</v>
      </c>
      <c r="D21" s="3">
        <f t="shared" si="5"/>
        <v>0</v>
      </c>
      <c r="E21" s="3">
        <f t="shared" si="6"/>
        <v>0</v>
      </c>
      <c r="F21" s="3">
        <f t="shared" si="7"/>
        <v>0</v>
      </c>
      <c r="G21" s="3">
        <f t="shared" si="8"/>
        <v>0</v>
      </c>
      <c r="H21" s="3">
        <f t="shared" si="9"/>
        <v>0</v>
      </c>
      <c r="I21" s="3">
        <f t="shared" si="10"/>
        <v>0</v>
      </c>
      <c r="J21" s="3">
        <f t="shared" si="11"/>
        <v>0</v>
      </c>
      <c r="K21" s="3">
        <f t="shared" si="12"/>
        <v>0</v>
      </c>
      <c r="L21" s="3">
        <f t="shared" si="13"/>
        <v>44660464.621235199</v>
      </c>
      <c r="M21" s="3">
        <f t="shared" si="14"/>
        <v>1190072527.0352473</v>
      </c>
      <c r="N21" s="3">
        <f t="shared" si="15"/>
        <v>1012145024.1982512</v>
      </c>
      <c r="O21" s="3">
        <f t="shared" si="16"/>
        <v>2246878015.8547335</v>
      </c>
      <c r="P21" s="7" t="s">
        <v>108</v>
      </c>
      <c r="Q21" s="2" t="s">
        <v>36</v>
      </c>
      <c r="R21" s="3">
        <f t="shared" si="17"/>
        <v>0</v>
      </c>
      <c r="S21" s="3">
        <f t="shared" si="17"/>
        <v>0</v>
      </c>
      <c r="T21" s="3">
        <f t="shared" si="17"/>
        <v>0</v>
      </c>
      <c r="U21" s="3">
        <f t="shared" si="17"/>
        <v>0</v>
      </c>
      <c r="V21" s="3">
        <f t="shared" si="17"/>
        <v>0</v>
      </c>
      <c r="W21" s="3">
        <f t="shared" si="17"/>
        <v>0</v>
      </c>
      <c r="X21" s="3">
        <f t="shared" si="17"/>
        <v>0</v>
      </c>
      <c r="Y21" s="3">
        <f t="shared" si="17"/>
        <v>0</v>
      </c>
      <c r="Z21" s="3">
        <f t="shared" si="17"/>
        <v>0</v>
      </c>
      <c r="AA21" s="3">
        <f t="shared" si="17"/>
        <v>44660464.621235199</v>
      </c>
      <c r="AB21" s="3">
        <f t="shared" si="18"/>
        <v>44660464.621235199</v>
      </c>
      <c r="AC21" s="7" t="s">
        <v>108</v>
      </c>
      <c r="AD21" s="2" t="s">
        <v>36</v>
      </c>
      <c r="AE21" s="3">
        <f t="shared" si="19"/>
        <v>1190072527.0352473</v>
      </c>
      <c r="AF21" s="3">
        <f t="shared" si="19"/>
        <v>1012145024.1982512</v>
      </c>
      <c r="AG21" s="3">
        <f t="shared" si="20"/>
        <v>2202217551.2334986</v>
      </c>
      <c r="AH21" s="7" t="s">
        <v>108</v>
      </c>
      <c r="AI21" s="2" t="s">
        <v>36</v>
      </c>
      <c r="AJ21" s="3">
        <f t="shared" si="21"/>
        <v>1360481412.1558123</v>
      </c>
      <c r="AK21" s="3">
        <f t="shared" si="21"/>
        <v>619451980.04524767</v>
      </c>
      <c r="AL21" s="3">
        <f t="shared" si="21"/>
        <v>266944623.65367368</v>
      </c>
      <c r="AM21" s="3">
        <f t="shared" si="21"/>
        <v>0</v>
      </c>
      <c r="AN21" s="3">
        <f t="shared" si="22"/>
        <v>2246878015.8547335</v>
      </c>
      <c r="AO21" s="7" t="s">
        <v>108</v>
      </c>
      <c r="AP21" s="2" t="s">
        <v>36</v>
      </c>
      <c r="AQ21" s="3">
        <f t="shared" si="23"/>
        <v>44660464.621235199</v>
      </c>
      <c r="AR21" s="3">
        <f t="shared" si="23"/>
        <v>0</v>
      </c>
      <c r="AS21" s="3">
        <f t="shared" si="23"/>
        <v>0</v>
      </c>
      <c r="AT21" s="3">
        <f t="shared" si="23"/>
        <v>0</v>
      </c>
      <c r="AU21" s="3">
        <f t="shared" si="24"/>
        <v>44660464.621235199</v>
      </c>
      <c r="AV21" s="7" t="s">
        <v>108</v>
      </c>
      <c r="AW21" s="2" t="s">
        <v>36</v>
      </c>
      <c r="AX21" s="3">
        <f t="shared" si="25"/>
        <v>1315820947.5345771</v>
      </c>
      <c r="AY21" s="3">
        <f t="shared" si="25"/>
        <v>619451980.04524767</v>
      </c>
      <c r="AZ21" s="3">
        <f t="shared" si="25"/>
        <v>266944623.65367368</v>
      </c>
      <c r="BA21" s="3">
        <f t="shared" si="25"/>
        <v>0</v>
      </c>
      <c r="BB21" s="3">
        <f t="shared" si="26"/>
        <v>2202217551.2334986</v>
      </c>
      <c r="BC21" s="7" t="s">
        <v>108</v>
      </c>
      <c r="BD21" s="2" t="s">
        <v>36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7" t="s">
        <v>108</v>
      </c>
      <c r="BK21" s="2" t="s">
        <v>36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7" t="s">
        <v>108</v>
      </c>
      <c r="BR21" s="2" t="s">
        <v>36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7" t="s">
        <v>108</v>
      </c>
      <c r="BY21" s="2" t="s">
        <v>36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7" t="s">
        <v>108</v>
      </c>
      <c r="CF21" s="2" t="s">
        <v>36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7" t="s">
        <v>108</v>
      </c>
      <c r="CM21" s="2" t="s">
        <v>36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7" t="s">
        <v>108</v>
      </c>
      <c r="CT21" s="2" t="s">
        <v>36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7" t="s">
        <v>108</v>
      </c>
      <c r="DA21" s="2" t="s">
        <v>36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7" t="s">
        <v>108</v>
      </c>
      <c r="DH21" s="2" t="s">
        <v>36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7" t="s">
        <v>108</v>
      </c>
      <c r="DO21" s="2" t="s">
        <v>36</v>
      </c>
      <c r="DP21" s="3">
        <v>44660464.621235199</v>
      </c>
      <c r="DQ21" s="3">
        <v>0</v>
      </c>
      <c r="DR21" s="3">
        <v>0</v>
      </c>
      <c r="DS21" s="3">
        <v>0</v>
      </c>
      <c r="DT21" s="3">
        <v>44660464.621235199</v>
      </c>
      <c r="DU21" s="7" t="s">
        <v>108</v>
      </c>
      <c r="DV21" s="2" t="s">
        <v>36</v>
      </c>
      <c r="DW21" s="3">
        <v>125748420.49932986</v>
      </c>
      <c r="DX21" s="3">
        <v>619451980.04524767</v>
      </c>
      <c r="DY21" s="3">
        <v>266944623.65367368</v>
      </c>
      <c r="DZ21" s="3">
        <v>0</v>
      </c>
      <c r="EA21" s="3">
        <v>1012145024.1982512</v>
      </c>
      <c r="EB21" s="7" t="s">
        <v>108</v>
      </c>
      <c r="EC21" s="2" t="s">
        <v>36</v>
      </c>
      <c r="ED21" s="3">
        <v>1190072527.0352473</v>
      </c>
      <c r="EE21" s="3">
        <v>0</v>
      </c>
      <c r="EF21" s="3">
        <v>0</v>
      </c>
      <c r="EG21" s="3">
        <v>0</v>
      </c>
      <c r="EH21" s="3">
        <v>1190072527.0352473</v>
      </c>
    </row>
    <row r="22" spans="1:138" ht="10.199999999999999" customHeight="1" x14ac:dyDescent="0.2">
      <c r="A22" s="7" t="s">
        <v>104</v>
      </c>
      <c r="B22" s="2" t="s">
        <v>32</v>
      </c>
      <c r="C22" s="3">
        <f t="shared" si="4"/>
        <v>0</v>
      </c>
      <c r="D22" s="3">
        <f t="shared" si="5"/>
        <v>0</v>
      </c>
      <c r="E22" s="3">
        <f t="shared" si="6"/>
        <v>0</v>
      </c>
      <c r="F22" s="3">
        <f t="shared" si="7"/>
        <v>0</v>
      </c>
      <c r="G22" s="3">
        <f t="shared" si="8"/>
        <v>0</v>
      </c>
      <c r="H22" s="3">
        <f t="shared" si="9"/>
        <v>0</v>
      </c>
      <c r="I22" s="3">
        <f t="shared" si="10"/>
        <v>0</v>
      </c>
      <c r="J22" s="3">
        <f t="shared" si="11"/>
        <v>121701100.94890814</v>
      </c>
      <c r="K22" s="3">
        <f t="shared" si="12"/>
        <v>284255.66336299415</v>
      </c>
      <c r="L22" s="3">
        <f t="shared" si="13"/>
        <v>247686811013.42615</v>
      </c>
      <c r="M22" s="3">
        <f t="shared" si="14"/>
        <v>7038420837.4933758</v>
      </c>
      <c r="N22" s="3">
        <f t="shared" si="15"/>
        <v>91740635822.317047</v>
      </c>
      <c r="O22" s="3">
        <f t="shared" si="16"/>
        <v>346587853029.84888</v>
      </c>
      <c r="P22" s="7" t="s">
        <v>104</v>
      </c>
      <c r="Q22" s="2" t="s">
        <v>32</v>
      </c>
      <c r="R22" s="3">
        <f t="shared" si="17"/>
        <v>0</v>
      </c>
      <c r="S22" s="3">
        <f t="shared" si="17"/>
        <v>0</v>
      </c>
      <c r="T22" s="3">
        <f t="shared" si="17"/>
        <v>0</v>
      </c>
      <c r="U22" s="3">
        <f t="shared" si="17"/>
        <v>0</v>
      </c>
      <c r="V22" s="3">
        <f t="shared" si="17"/>
        <v>0</v>
      </c>
      <c r="W22" s="3">
        <f t="shared" si="17"/>
        <v>0</v>
      </c>
      <c r="X22" s="3">
        <f t="shared" si="17"/>
        <v>0</v>
      </c>
      <c r="Y22" s="3">
        <f t="shared" si="17"/>
        <v>121701100.94890814</v>
      </c>
      <c r="Z22" s="3">
        <f t="shared" si="17"/>
        <v>284255.66336299415</v>
      </c>
      <c r="AA22" s="3">
        <f t="shared" si="17"/>
        <v>247686811013.42615</v>
      </c>
      <c r="AB22" s="3">
        <f t="shared" si="18"/>
        <v>247808796370.03842</v>
      </c>
      <c r="AC22" s="7" t="s">
        <v>104</v>
      </c>
      <c r="AD22" s="2" t="s">
        <v>32</v>
      </c>
      <c r="AE22" s="3">
        <f t="shared" si="19"/>
        <v>7038420837.4933758</v>
      </c>
      <c r="AF22" s="3">
        <f t="shared" si="19"/>
        <v>91740635822.317047</v>
      </c>
      <c r="AG22" s="3">
        <f t="shared" si="20"/>
        <v>98779056659.810425</v>
      </c>
      <c r="AH22" s="7" t="s">
        <v>104</v>
      </c>
      <c r="AI22" s="2" t="s">
        <v>32</v>
      </c>
      <c r="AJ22" s="3">
        <f t="shared" si="21"/>
        <v>13680241910.171225</v>
      </c>
      <c r="AK22" s="3">
        <f t="shared" si="21"/>
        <v>23027918685.954445</v>
      </c>
      <c r="AL22" s="3">
        <f t="shared" si="21"/>
        <v>64030100719.657425</v>
      </c>
      <c r="AM22" s="3">
        <f t="shared" si="21"/>
        <v>245849591714.06577</v>
      </c>
      <c r="AN22" s="3">
        <f t="shared" si="22"/>
        <v>346587853029.84888</v>
      </c>
      <c r="AO22" s="7" t="s">
        <v>104</v>
      </c>
      <c r="AP22" s="2" t="s">
        <v>32</v>
      </c>
      <c r="AQ22" s="3">
        <f t="shared" si="23"/>
        <v>34183302.734251201</v>
      </c>
      <c r="AR22" s="3">
        <f t="shared" si="23"/>
        <v>1925021353.2384095</v>
      </c>
      <c r="AS22" s="3">
        <f t="shared" si="23"/>
        <v>0</v>
      </c>
      <c r="AT22" s="3">
        <f t="shared" si="23"/>
        <v>245849591714.06577</v>
      </c>
      <c r="AU22" s="3">
        <f t="shared" si="24"/>
        <v>247808796370.03842</v>
      </c>
      <c r="AV22" s="7" t="s">
        <v>104</v>
      </c>
      <c r="AW22" s="2" t="s">
        <v>32</v>
      </c>
      <c r="AX22" s="3">
        <f t="shared" si="25"/>
        <v>13646058607.436974</v>
      </c>
      <c r="AY22" s="3">
        <f t="shared" si="25"/>
        <v>21102897332.716034</v>
      </c>
      <c r="AZ22" s="3">
        <f t="shared" si="25"/>
        <v>64030100719.657425</v>
      </c>
      <c r="BA22" s="3">
        <f t="shared" si="25"/>
        <v>0</v>
      </c>
      <c r="BB22" s="3">
        <f t="shared" si="26"/>
        <v>98779056659.810425</v>
      </c>
      <c r="BC22" s="7" t="s">
        <v>104</v>
      </c>
      <c r="BD22" s="2" t="s">
        <v>32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7" t="s">
        <v>104</v>
      </c>
      <c r="BK22" s="2" t="s">
        <v>32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7" t="s">
        <v>104</v>
      </c>
      <c r="BR22" s="2" t="s">
        <v>32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7" t="s">
        <v>104</v>
      </c>
      <c r="BY22" s="2" t="s">
        <v>32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7" t="s">
        <v>104</v>
      </c>
      <c r="CF22" s="2" t="s">
        <v>32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7" t="s">
        <v>104</v>
      </c>
      <c r="CM22" s="2" t="s">
        <v>32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7" t="s">
        <v>104</v>
      </c>
      <c r="CT22" s="2" t="s">
        <v>32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7" t="s">
        <v>104</v>
      </c>
      <c r="DA22" s="2" t="s">
        <v>32</v>
      </c>
      <c r="DB22" s="3">
        <v>284255.66336299415</v>
      </c>
      <c r="DC22" s="3">
        <v>0</v>
      </c>
      <c r="DD22" s="3">
        <v>0</v>
      </c>
      <c r="DE22" s="3">
        <v>0</v>
      </c>
      <c r="DF22" s="3">
        <v>284255.66336299415</v>
      </c>
      <c r="DG22" s="7" t="s">
        <v>104</v>
      </c>
      <c r="DH22" s="2" t="s">
        <v>32</v>
      </c>
      <c r="DI22" s="3">
        <v>285356.00786633481</v>
      </c>
      <c r="DJ22" s="3">
        <v>121415744.9410418</v>
      </c>
      <c r="DK22" s="3">
        <v>0</v>
      </c>
      <c r="DL22" s="3">
        <v>0</v>
      </c>
      <c r="DM22" s="3">
        <v>121701100.94890814</v>
      </c>
      <c r="DN22" s="7" t="s">
        <v>104</v>
      </c>
      <c r="DO22" s="2" t="s">
        <v>32</v>
      </c>
      <c r="DP22" s="3">
        <v>33613691.063021876</v>
      </c>
      <c r="DQ22" s="3">
        <v>1803605608.2973678</v>
      </c>
      <c r="DR22" s="3">
        <v>0</v>
      </c>
      <c r="DS22" s="3">
        <v>245849591714.06577</v>
      </c>
      <c r="DT22" s="3">
        <v>247686811013.42615</v>
      </c>
      <c r="DU22" s="7" t="s">
        <v>104</v>
      </c>
      <c r="DV22" s="2" t="s">
        <v>32</v>
      </c>
      <c r="DW22" s="3">
        <v>7893000604.6609478</v>
      </c>
      <c r="DX22" s="3">
        <v>19817534497.998684</v>
      </c>
      <c r="DY22" s="3">
        <v>64030100719.657425</v>
      </c>
      <c r="DZ22" s="3">
        <v>0</v>
      </c>
      <c r="EA22" s="3">
        <v>91740635822.317047</v>
      </c>
      <c r="EB22" s="7" t="s">
        <v>104</v>
      </c>
      <c r="EC22" s="2" t="s">
        <v>32</v>
      </c>
      <c r="ED22" s="3">
        <v>5753058002.7760267</v>
      </c>
      <c r="EE22" s="3">
        <v>1285362834.7173493</v>
      </c>
      <c r="EF22" s="3">
        <v>0</v>
      </c>
      <c r="EG22" s="3">
        <v>0</v>
      </c>
      <c r="EH22" s="3">
        <v>7038420837.4933758</v>
      </c>
    </row>
    <row r="23" spans="1:138" ht="10.199999999999999" customHeight="1" x14ac:dyDescent="0.2">
      <c r="A23" s="7" t="s">
        <v>105</v>
      </c>
      <c r="B23" s="2" t="s">
        <v>33</v>
      </c>
      <c r="C23" s="3">
        <f t="shared" si="4"/>
        <v>0</v>
      </c>
      <c r="D23" s="3">
        <f t="shared" si="5"/>
        <v>259981342.36138156</v>
      </c>
      <c r="E23" s="3">
        <f t="shared" si="6"/>
        <v>1684260.6531133794</v>
      </c>
      <c r="F23" s="3">
        <f t="shared" si="7"/>
        <v>5611756.9670371749</v>
      </c>
      <c r="G23" s="3">
        <f t="shared" si="8"/>
        <v>32544956415.552036</v>
      </c>
      <c r="H23" s="3">
        <f t="shared" si="9"/>
        <v>0</v>
      </c>
      <c r="I23" s="3">
        <f t="shared" si="10"/>
        <v>7045139.0733888932</v>
      </c>
      <c r="J23" s="3">
        <f t="shared" si="11"/>
        <v>0</v>
      </c>
      <c r="K23" s="3">
        <f t="shared" si="12"/>
        <v>0</v>
      </c>
      <c r="L23" s="3">
        <f t="shared" si="13"/>
        <v>113444882.38212851</v>
      </c>
      <c r="M23" s="3">
        <f t="shared" si="14"/>
        <v>13923458542.841694</v>
      </c>
      <c r="N23" s="3">
        <f t="shared" si="15"/>
        <v>7058146715.6398544</v>
      </c>
      <c r="O23" s="3">
        <f t="shared" si="16"/>
        <v>53914329055.470634</v>
      </c>
      <c r="P23" s="7" t="s">
        <v>105</v>
      </c>
      <c r="Q23" s="2" t="s">
        <v>33</v>
      </c>
      <c r="R23" s="3">
        <f t="shared" si="17"/>
        <v>0</v>
      </c>
      <c r="S23" s="3">
        <f t="shared" si="17"/>
        <v>259981342.36138156</v>
      </c>
      <c r="T23" s="3">
        <f t="shared" si="17"/>
        <v>1684260.6531133794</v>
      </c>
      <c r="U23" s="3">
        <f t="shared" si="17"/>
        <v>5611756.9670371749</v>
      </c>
      <c r="V23" s="3">
        <f t="shared" si="17"/>
        <v>32544956415.552036</v>
      </c>
      <c r="W23" s="3">
        <f t="shared" si="17"/>
        <v>0</v>
      </c>
      <c r="X23" s="3">
        <f t="shared" si="17"/>
        <v>7045139.0733888932</v>
      </c>
      <c r="Y23" s="3">
        <f t="shared" si="17"/>
        <v>0</v>
      </c>
      <c r="Z23" s="3">
        <f t="shared" si="17"/>
        <v>0</v>
      </c>
      <c r="AA23" s="3">
        <f t="shared" si="17"/>
        <v>113444882.38212851</v>
      </c>
      <c r="AB23" s="3">
        <f t="shared" si="18"/>
        <v>32932723796.989086</v>
      </c>
      <c r="AC23" s="7" t="s">
        <v>105</v>
      </c>
      <c r="AD23" s="2" t="s">
        <v>33</v>
      </c>
      <c r="AE23" s="3">
        <f t="shared" si="19"/>
        <v>13923458542.841694</v>
      </c>
      <c r="AF23" s="3">
        <f t="shared" si="19"/>
        <v>7058146715.6398544</v>
      </c>
      <c r="AG23" s="3">
        <f t="shared" si="20"/>
        <v>20981605258.481548</v>
      </c>
      <c r="AH23" s="7" t="s">
        <v>105</v>
      </c>
      <c r="AI23" s="2" t="s">
        <v>33</v>
      </c>
      <c r="AJ23" s="3">
        <f t="shared" si="21"/>
        <v>15595097545.263332</v>
      </c>
      <c r="AK23" s="3">
        <f t="shared" si="21"/>
        <v>38319231510.207306</v>
      </c>
      <c r="AL23" s="3">
        <f t="shared" si="21"/>
        <v>0</v>
      </c>
      <c r="AM23" s="3">
        <f t="shared" si="21"/>
        <v>0</v>
      </c>
      <c r="AN23" s="3">
        <f t="shared" si="22"/>
        <v>53914329055.470642</v>
      </c>
      <c r="AO23" s="7" t="s">
        <v>105</v>
      </c>
      <c r="AP23" s="2" t="s">
        <v>33</v>
      </c>
      <c r="AQ23" s="3">
        <f t="shared" si="23"/>
        <v>2687653509.8717403</v>
      </c>
      <c r="AR23" s="3">
        <f t="shared" si="23"/>
        <v>30245070287.117348</v>
      </c>
      <c r="AS23" s="3">
        <f t="shared" si="23"/>
        <v>0</v>
      </c>
      <c r="AT23" s="3">
        <f t="shared" si="23"/>
        <v>0</v>
      </c>
      <c r="AU23" s="3">
        <f t="shared" si="24"/>
        <v>32932723796.98909</v>
      </c>
      <c r="AV23" s="7" t="s">
        <v>105</v>
      </c>
      <c r="AW23" s="2" t="s">
        <v>33</v>
      </c>
      <c r="AX23" s="3">
        <f t="shared" si="25"/>
        <v>12907444035.391592</v>
      </c>
      <c r="AY23" s="3">
        <f t="shared" si="25"/>
        <v>8074161223.0899563</v>
      </c>
      <c r="AZ23" s="3">
        <f t="shared" si="25"/>
        <v>0</v>
      </c>
      <c r="BA23" s="3">
        <f t="shared" si="25"/>
        <v>0</v>
      </c>
      <c r="BB23" s="3">
        <f t="shared" si="26"/>
        <v>20981605258.481548</v>
      </c>
      <c r="BC23" s="7" t="s">
        <v>105</v>
      </c>
      <c r="BD23" s="2" t="s">
        <v>33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7" t="s">
        <v>105</v>
      </c>
      <c r="BK23" s="2" t="s">
        <v>33</v>
      </c>
      <c r="BL23" s="3">
        <v>243394491.95959988</v>
      </c>
      <c r="BM23" s="3">
        <v>16586850.401781665</v>
      </c>
      <c r="BN23" s="3">
        <v>0</v>
      </c>
      <c r="BO23" s="3">
        <v>0</v>
      </c>
      <c r="BP23" s="3">
        <v>259981342.36138156</v>
      </c>
      <c r="BQ23" s="7" t="s">
        <v>105</v>
      </c>
      <c r="BR23" s="2" t="s">
        <v>33</v>
      </c>
      <c r="BS23" s="3">
        <v>1684260.6531133794</v>
      </c>
      <c r="BT23" s="3">
        <v>0</v>
      </c>
      <c r="BU23" s="3">
        <v>0</v>
      </c>
      <c r="BV23" s="3">
        <v>0</v>
      </c>
      <c r="BW23" s="3">
        <v>1684260.6531133794</v>
      </c>
      <c r="BX23" s="7" t="s">
        <v>105</v>
      </c>
      <c r="BY23" s="2" t="s">
        <v>33</v>
      </c>
      <c r="BZ23" s="3">
        <v>5611756.9670371749</v>
      </c>
      <c r="CA23" s="3">
        <v>0</v>
      </c>
      <c r="CB23" s="3">
        <v>0</v>
      </c>
      <c r="CC23" s="3">
        <v>0</v>
      </c>
      <c r="CD23" s="3">
        <v>5611756.9670371749</v>
      </c>
      <c r="CE23" s="7" t="s">
        <v>105</v>
      </c>
      <c r="CF23" s="2" t="s">
        <v>33</v>
      </c>
      <c r="CG23" s="3">
        <v>2347573323.3398128</v>
      </c>
      <c r="CH23" s="3">
        <v>30197383092.212223</v>
      </c>
      <c r="CI23" s="3">
        <v>0</v>
      </c>
      <c r="CJ23" s="3">
        <v>0</v>
      </c>
      <c r="CK23" s="3">
        <v>32544956415.552036</v>
      </c>
      <c r="CL23" s="7" t="s">
        <v>105</v>
      </c>
      <c r="CM23" s="2" t="s">
        <v>33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7" t="s">
        <v>105</v>
      </c>
      <c r="CT23" s="2" t="s">
        <v>33</v>
      </c>
      <c r="CU23" s="3">
        <v>7045139.0733888932</v>
      </c>
      <c r="CV23" s="3">
        <v>0</v>
      </c>
      <c r="CW23" s="3">
        <v>0</v>
      </c>
      <c r="CX23" s="3">
        <v>0</v>
      </c>
      <c r="CY23" s="3">
        <v>7045139.0733888932</v>
      </c>
      <c r="CZ23" s="7" t="s">
        <v>105</v>
      </c>
      <c r="DA23" s="2" t="s">
        <v>33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7" t="s">
        <v>105</v>
      </c>
      <c r="DH23" s="2" t="s">
        <v>33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7" t="s">
        <v>105</v>
      </c>
      <c r="DO23" s="2" t="s">
        <v>33</v>
      </c>
      <c r="DP23" s="3">
        <v>82344537.878787875</v>
      </c>
      <c r="DQ23" s="3">
        <v>31100344.503340624</v>
      </c>
      <c r="DR23" s="3">
        <v>0</v>
      </c>
      <c r="DS23" s="3">
        <v>0</v>
      </c>
      <c r="DT23" s="3">
        <v>113444882.38212851</v>
      </c>
      <c r="DU23" s="7" t="s">
        <v>105</v>
      </c>
      <c r="DV23" s="2" t="s">
        <v>33</v>
      </c>
      <c r="DW23" s="3">
        <v>87649022.768488765</v>
      </c>
      <c r="DX23" s="3">
        <v>6970497692.8713655</v>
      </c>
      <c r="DY23" s="3">
        <v>0</v>
      </c>
      <c r="DZ23" s="3">
        <v>0</v>
      </c>
      <c r="EA23" s="3">
        <v>7058146715.6398544</v>
      </c>
      <c r="EB23" s="7" t="s">
        <v>105</v>
      </c>
      <c r="EC23" s="2" t="s">
        <v>33</v>
      </c>
      <c r="ED23" s="3">
        <v>12819795012.623104</v>
      </c>
      <c r="EE23" s="3">
        <v>1103663530.2185903</v>
      </c>
      <c r="EF23" s="3">
        <v>0</v>
      </c>
      <c r="EG23" s="3">
        <v>0</v>
      </c>
      <c r="EH23" s="3">
        <v>13923458542.841694</v>
      </c>
    </row>
    <row r="24" spans="1:138" ht="10.199999999999999" customHeight="1" x14ac:dyDescent="0.2">
      <c r="A24" s="7" t="s">
        <v>109</v>
      </c>
      <c r="B24" s="2" t="s">
        <v>37</v>
      </c>
      <c r="C24" s="3">
        <f t="shared" si="4"/>
        <v>0</v>
      </c>
      <c r="D24" s="3">
        <f t="shared" si="5"/>
        <v>0</v>
      </c>
      <c r="E24" s="3">
        <f t="shared" si="6"/>
        <v>0</v>
      </c>
      <c r="F24" s="3">
        <f t="shared" si="7"/>
        <v>5806782393.8078289</v>
      </c>
      <c r="G24" s="3">
        <f t="shared" si="8"/>
        <v>2504605478.0822377</v>
      </c>
      <c r="H24" s="3">
        <f t="shared" si="9"/>
        <v>0</v>
      </c>
      <c r="I24" s="3">
        <f t="shared" si="10"/>
        <v>255210883.05599672</v>
      </c>
      <c r="J24" s="3">
        <f t="shared" si="11"/>
        <v>0</v>
      </c>
      <c r="K24" s="3">
        <f t="shared" si="12"/>
        <v>82934252.008908331</v>
      </c>
      <c r="L24" s="3">
        <f t="shared" si="13"/>
        <v>126117413.84201051</v>
      </c>
      <c r="M24" s="3">
        <f t="shared" si="14"/>
        <v>15345674487.73638</v>
      </c>
      <c r="N24" s="3">
        <f t="shared" si="15"/>
        <v>1114713288.8625286</v>
      </c>
      <c r="O24" s="3">
        <f t="shared" si="16"/>
        <v>25236038197.395893</v>
      </c>
      <c r="P24" s="7" t="s">
        <v>109</v>
      </c>
      <c r="Q24" s="2" t="s">
        <v>37</v>
      </c>
      <c r="R24" s="3">
        <f t="shared" si="17"/>
        <v>0</v>
      </c>
      <c r="S24" s="3">
        <f t="shared" si="17"/>
        <v>0</v>
      </c>
      <c r="T24" s="3">
        <f t="shared" si="17"/>
        <v>0</v>
      </c>
      <c r="U24" s="3">
        <f t="shared" si="17"/>
        <v>5806782393.8078289</v>
      </c>
      <c r="V24" s="3">
        <f t="shared" si="17"/>
        <v>2504605478.0822377</v>
      </c>
      <c r="W24" s="3">
        <f t="shared" si="17"/>
        <v>0</v>
      </c>
      <c r="X24" s="3">
        <f t="shared" si="17"/>
        <v>255210883.05599672</v>
      </c>
      <c r="Y24" s="3">
        <f t="shared" si="17"/>
        <v>0</v>
      </c>
      <c r="Z24" s="3">
        <f t="shared" si="17"/>
        <v>82934252.008908331</v>
      </c>
      <c r="AA24" s="3">
        <f t="shared" si="17"/>
        <v>126117413.84201051</v>
      </c>
      <c r="AB24" s="3">
        <f t="shared" si="18"/>
        <v>8775650420.7969818</v>
      </c>
      <c r="AC24" s="7" t="s">
        <v>109</v>
      </c>
      <c r="AD24" s="2" t="s">
        <v>37</v>
      </c>
      <c r="AE24" s="3">
        <f t="shared" si="19"/>
        <v>15345674487.73638</v>
      </c>
      <c r="AF24" s="3">
        <f t="shared" si="19"/>
        <v>1114713288.8625286</v>
      </c>
      <c r="AG24" s="3">
        <f t="shared" si="20"/>
        <v>16460387776.598907</v>
      </c>
      <c r="AH24" s="7" t="s">
        <v>109</v>
      </c>
      <c r="AI24" s="2" t="s">
        <v>37</v>
      </c>
      <c r="AJ24" s="3">
        <f t="shared" si="21"/>
        <v>3688468655.0994492</v>
      </c>
      <c r="AK24" s="3">
        <f t="shared" si="21"/>
        <v>21049964030.242989</v>
      </c>
      <c r="AL24" s="3">
        <f t="shared" si="21"/>
        <v>497605512.05344999</v>
      </c>
      <c r="AM24" s="3">
        <f t="shared" si="21"/>
        <v>0</v>
      </c>
      <c r="AN24" s="3">
        <f t="shared" si="22"/>
        <v>25236038197.395889</v>
      </c>
      <c r="AO24" s="7" t="s">
        <v>109</v>
      </c>
      <c r="AP24" s="2" t="s">
        <v>37</v>
      </c>
      <c r="AQ24" s="3">
        <f t="shared" si="23"/>
        <v>433321794.13868839</v>
      </c>
      <c r="AR24" s="3">
        <f t="shared" si="23"/>
        <v>7844723114.6048431</v>
      </c>
      <c r="AS24" s="3">
        <f t="shared" si="23"/>
        <v>497605512.05344999</v>
      </c>
      <c r="AT24" s="3">
        <f t="shared" si="23"/>
        <v>0</v>
      </c>
      <c r="AU24" s="3">
        <f t="shared" si="24"/>
        <v>8775650420.7969818</v>
      </c>
      <c r="AV24" s="7" t="s">
        <v>109</v>
      </c>
      <c r="AW24" s="2" t="s">
        <v>37</v>
      </c>
      <c r="AX24" s="3">
        <f t="shared" si="25"/>
        <v>3255146860.9607606</v>
      </c>
      <c r="AY24" s="3">
        <f t="shared" si="25"/>
        <v>13205240915.638147</v>
      </c>
      <c r="AZ24" s="3">
        <f t="shared" si="25"/>
        <v>0</v>
      </c>
      <c r="BA24" s="3">
        <f t="shared" si="25"/>
        <v>0</v>
      </c>
      <c r="BB24" s="3">
        <f t="shared" si="26"/>
        <v>16460387776.598907</v>
      </c>
      <c r="BC24" s="7" t="s">
        <v>109</v>
      </c>
      <c r="BD24" s="2" t="s">
        <v>37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7" t="s">
        <v>109</v>
      </c>
      <c r="BK24" s="2" t="s">
        <v>37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7" t="s">
        <v>109</v>
      </c>
      <c r="BR24" s="2" t="s">
        <v>37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7" t="s">
        <v>109</v>
      </c>
      <c r="BY24" s="2" t="s">
        <v>37</v>
      </c>
      <c r="BZ24" s="3">
        <v>11150157.633851642</v>
      </c>
      <c r="CA24" s="3">
        <v>5795632236.1739769</v>
      </c>
      <c r="CB24" s="3">
        <v>0</v>
      </c>
      <c r="CC24" s="3">
        <v>0</v>
      </c>
      <c r="CD24" s="3">
        <v>5806782393.8078289</v>
      </c>
      <c r="CE24" s="7" t="s">
        <v>109</v>
      </c>
      <c r="CF24" s="2" t="s">
        <v>37</v>
      </c>
      <c r="CG24" s="3">
        <v>294365676.57975143</v>
      </c>
      <c r="CH24" s="3">
        <v>1712634289.4490364</v>
      </c>
      <c r="CI24" s="3">
        <v>497605512.05344999</v>
      </c>
      <c r="CJ24" s="3">
        <v>0</v>
      </c>
      <c r="CK24" s="3">
        <v>2504605478.0822377</v>
      </c>
      <c r="CL24" s="7" t="s">
        <v>109</v>
      </c>
      <c r="CM24" s="2" t="s">
        <v>37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7" t="s">
        <v>109</v>
      </c>
      <c r="CT24" s="2" t="s">
        <v>37</v>
      </c>
      <c r="CU24" s="3">
        <v>3332924.9647814129</v>
      </c>
      <c r="CV24" s="3">
        <v>251877958.09121531</v>
      </c>
      <c r="CW24" s="3">
        <v>0</v>
      </c>
      <c r="CX24" s="3">
        <v>0</v>
      </c>
      <c r="CY24" s="3">
        <v>255210883.05599672</v>
      </c>
      <c r="CZ24" s="7" t="s">
        <v>109</v>
      </c>
      <c r="DA24" s="2" t="s">
        <v>37</v>
      </c>
      <c r="DB24" s="3">
        <v>0</v>
      </c>
      <c r="DC24" s="3">
        <v>82934252.008908331</v>
      </c>
      <c r="DD24" s="3">
        <v>0</v>
      </c>
      <c r="DE24" s="3">
        <v>0</v>
      </c>
      <c r="DF24" s="3">
        <v>82934252.008908331</v>
      </c>
      <c r="DG24" s="7" t="s">
        <v>109</v>
      </c>
      <c r="DH24" s="2" t="s">
        <v>37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7" t="s">
        <v>109</v>
      </c>
      <c r="DO24" s="2" t="s">
        <v>37</v>
      </c>
      <c r="DP24" s="3">
        <v>124473034.96030389</v>
      </c>
      <c r="DQ24" s="3">
        <v>1644378.8817066299</v>
      </c>
      <c r="DR24" s="3">
        <v>0</v>
      </c>
      <c r="DS24" s="3">
        <v>0</v>
      </c>
      <c r="DT24" s="3">
        <v>126117413.84201051</v>
      </c>
      <c r="DU24" s="7" t="s">
        <v>109</v>
      </c>
      <c r="DV24" s="2" t="s">
        <v>37</v>
      </c>
      <c r="DW24" s="3">
        <v>14775151.666647064</v>
      </c>
      <c r="DX24" s="3">
        <v>1099938137.1958816</v>
      </c>
      <c r="DY24" s="3">
        <v>0</v>
      </c>
      <c r="DZ24" s="3">
        <v>0</v>
      </c>
      <c r="EA24" s="3">
        <v>1114713288.8625286</v>
      </c>
      <c r="EB24" s="7" t="s">
        <v>109</v>
      </c>
      <c r="EC24" s="2" t="s">
        <v>37</v>
      </c>
      <c r="ED24" s="3">
        <v>3240371709.2941136</v>
      </c>
      <c r="EE24" s="3">
        <v>12105302778.442266</v>
      </c>
      <c r="EF24" s="3">
        <v>0</v>
      </c>
      <c r="EG24" s="3">
        <v>0</v>
      </c>
      <c r="EH24" s="3">
        <v>15345674487.73638</v>
      </c>
    </row>
    <row r="25" spans="1:138" ht="10.199999999999999" customHeight="1" x14ac:dyDescent="0.2">
      <c r="A25" s="7" t="s">
        <v>96</v>
      </c>
      <c r="B25" s="2" t="s">
        <v>24</v>
      </c>
      <c r="C25" s="3">
        <f t="shared" si="4"/>
        <v>0</v>
      </c>
      <c r="D25" s="3">
        <f t="shared" si="5"/>
        <v>253384089.85794234</v>
      </c>
      <c r="E25" s="3">
        <f t="shared" si="6"/>
        <v>0</v>
      </c>
      <c r="F25" s="3">
        <f t="shared" si="7"/>
        <v>571448022.10701013</v>
      </c>
      <c r="G25" s="3">
        <f t="shared" si="8"/>
        <v>548565995.21091437</v>
      </c>
      <c r="H25" s="3">
        <f t="shared" si="9"/>
        <v>0</v>
      </c>
      <c r="I25" s="3">
        <f t="shared" si="10"/>
        <v>10150622632.572468</v>
      </c>
      <c r="J25" s="3">
        <f t="shared" si="11"/>
        <v>0</v>
      </c>
      <c r="K25" s="3">
        <f t="shared" si="12"/>
        <v>84123097.606501877</v>
      </c>
      <c r="L25" s="3">
        <f t="shared" si="13"/>
        <v>98073123.336701572</v>
      </c>
      <c r="M25" s="3">
        <f t="shared" si="14"/>
        <v>14725631598.642086</v>
      </c>
      <c r="N25" s="3">
        <f t="shared" si="15"/>
        <v>6176997557.2857122</v>
      </c>
      <c r="O25" s="3">
        <f t="shared" si="16"/>
        <v>32608846116.619339</v>
      </c>
      <c r="P25" s="7" t="s">
        <v>96</v>
      </c>
      <c r="Q25" s="2" t="s">
        <v>24</v>
      </c>
      <c r="R25" s="3">
        <f t="shared" si="17"/>
        <v>0</v>
      </c>
      <c r="S25" s="3">
        <f t="shared" si="17"/>
        <v>253384089.85794234</v>
      </c>
      <c r="T25" s="3">
        <f t="shared" si="17"/>
        <v>0</v>
      </c>
      <c r="U25" s="3">
        <f t="shared" si="17"/>
        <v>571448022.10701013</v>
      </c>
      <c r="V25" s="3">
        <f t="shared" si="17"/>
        <v>548565995.21091437</v>
      </c>
      <c r="W25" s="3">
        <f t="shared" si="17"/>
        <v>0</v>
      </c>
      <c r="X25" s="3">
        <f t="shared" si="17"/>
        <v>10150622632.572468</v>
      </c>
      <c r="Y25" s="3">
        <f t="shared" si="17"/>
        <v>0</v>
      </c>
      <c r="Z25" s="3">
        <f t="shared" si="17"/>
        <v>84123097.606501877</v>
      </c>
      <c r="AA25" s="3">
        <f t="shared" si="17"/>
        <v>98073123.336701572</v>
      </c>
      <c r="AB25" s="3">
        <f t="shared" si="18"/>
        <v>11706216960.69154</v>
      </c>
      <c r="AC25" s="7" t="s">
        <v>96</v>
      </c>
      <c r="AD25" s="2" t="s">
        <v>24</v>
      </c>
      <c r="AE25" s="3">
        <f t="shared" si="19"/>
        <v>14725631598.642086</v>
      </c>
      <c r="AF25" s="3">
        <f t="shared" si="19"/>
        <v>6176997557.2857122</v>
      </c>
      <c r="AG25" s="3">
        <f t="shared" si="20"/>
        <v>20902629155.927799</v>
      </c>
      <c r="AH25" s="7" t="s">
        <v>96</v>
      </c>
      <c r="AI25" s="2" t="s">
        <v>24</v>
      </c>
      <c r="AJ25" s="3">
        <f t="shared" si="21"/>
        <v>27103223162.166206</v>
      </c>
      <c r="AK25" s="3">
        <f t="shared" si="21"/>
        <v>5505622954.4531288</v>
      </c>
      <c r="AL25" s="3">
        <f t="shared" si="21"/>
        <v>0</v>
      </c>
      <c r="AM25" s="3">
        <f t="shared" si="21"/>
        <v>0</v>
      </c>
      <c r="AN25" s="3">
        <f t="shared" si="22"/>
        <v>32608846116.619335</v>
      </c>
      <c r="AO25" s="7" t="s">
        <v>96</v>
      </c>
      <c r="AP25" s="2" t="s">
        <v>24</v>
      </c>
      <c r="AQ25" s="3">
        <f t="shared" si="23"/>
        <v>6776770272.4768362</v>
      </c>
      <c r="AR25" s="3">
        <f t="shared" si="23"/>
        <v>4929446688.2147007</v>
      </c>
      <c r="AS25" s="3">
        <f t="shared" si="23"/>
        <v>0</v>
      </c>
      <c r="AT25" s="3">
        <f t="shared" si="23"/>
        <v>0</v>
      </c>
      <c r="AU25" s="3">
        <f t="shared" si="24"/>
        <v>11706216960.691536</v>
      </c>
      <c r="AV25" s="7" t="s">
        <v>96</v>
      </c>
      <c r="AW25" s="2" t="s">
        <v>24</v>
      </c>
      <c r="AX25" s="3">
        <f t="shared" si="25"/>
        <v>20326452889.689369</v>
      </c>
      <c r="AY25" s="3">
        <f t="shared" si="25"/>
        <v>576176266.23842776</v>
      </c>
      <c r="AZ25" s="3">
        <f t="shared" si="25"/>
        <v>0</v>
      </c>
      <c r="BA25" s="3">
        <f t="shared" si="25"/>
        <v>0</v>
      </c>
      <c r="BB25" s="3">
        <f t="shared" si="26"/>
        <v>20902629155.927795</v>
      </c>
      <c r="BC25" s="7" t="s">
        <v>96</v>
      </c>
      <c r="BD25" s="2" t="s">
        <v>24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7" t="s">
        <v>96</v>
      </c>
      <c r="BK25" s="2" t="s">
        <v>24</v>
      </c>
      <c r="BL25" s="3">
        <v>253384089.85794234</v>
      </c>
      <c r="BM25" s="3">
        <v>0</v>
      </c>
      <c r="BN25" s="3">
        <v>0</v>
      </c>
      <c r="BO25" s="3">
        <v>0</v>
      </c>
      <c r="BP25" s="3">
        <v>253384089.85794234</v>
      </c>
      <c r="BQ25" s="7" t="s">
        <v>96</v>
      </c>
      <c r="BR25" s="2" t="s">
        <v>24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7" t="s">
        <v>96</v>
      </c>
      <c r="BY25" s="2" t="s">
        <v>24</v>
      </c>
      <c r="BZ25" s="3">
        <v>532238149.09949452</v>
      </c>
      <c r="CA25" s="3">
        <v>39209873.007515639</v>
      </c>
      <c r="CB25" s="3">
        <v>0</v>
      </c>
      <c r="CC25" s="3">
        <v>0</v>
      </c>
      <c r="CD25" s="3">
        <v>571448022.10701013</v>
      </c>
      <c r="CE25" s="7" t="s">
        <v>96</v>
      </c>
      <c r="CF25" s="2" t="s">
        <v>24</v>
      </c>
      <c r="CG25" s="3">
        <v>163096049.38271606</v>
      </c>
      <c r="CH25" s="3">
        <v>385469945.82819837</v>
      </c>
      <c r="CI25" s="3">
        <v>0</v>
      </c>
      <c r="CJ25" s="3">
        <v>0</v>
      </c>
      <c r="CK25" s="3">
        <v>548565995.21091437</v>
      </c>
      <c r="CL25" s="7" t="s">
        <v>96</v>
      </c>
      <c r="CM25" s="2" t="s">
        <v>24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7" t="s">
        <v>96</v>
      </c>
      <c r="CT25" s="2" t="s">
        <v>24</v>
      </c>
      <c r="CU25" s="3">
        <v>5720600257.8165092</v>
      </c>
      <c r="CV25" s="3">
        <v>4430022374.7559576</v>
      </c>
      <c r="CW25" s="3">
        <v>0</v>
      </c>
      <c r="CX25" s="3">
        <v>0</v>
      </c>
      <c r="CY25" s="3">
        <v>10150622632.572468</v>
      </c>
      <c r="CZ25" s="7" t="s">
        <v>96</v>
      </c>
      <c r="DA25" s="2" t="s">
        <v>24</v>
      </c>
      <c r="DB25" s="3">
        <v>9378602.9834732395</v>
      </c>
      <c r="DC25" s="3">
        <v>74744494.623028636</v>
      </c>
      <c r="DD25" s="3">
        <v>0</v>
      </c>
      <c r="DE25" s="3">
        <v>0</v>
      </c>
      <c r="DF25" s="3">
        <v>84123097.606501877</v>
      </c>
      <c r="DG25" s="7" t="s">
        <v>96</v>
      </c>
      <c r="DH25" s="2" t="s">
        <v>24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7" t="s">
        <v>96</v>
      </c>
      <c r="DO25" s="2" t="s">
        <v>24</v>
      </c>
      <c r="DP25" s="3">
        <v>98073123.336701572</v>
      </c>
      <c r="DQ25" s="3">
        <v>0</v>
      </c>
      <c r="DR25" s="3">
        <v>0</v>
      </c>
      <c r="DS25" s="3">
        <v>0</v>
      </c>
      <c r="DT25" s="3">
        <v>98073123.336701572</v>
      </c>
      <c r="DU25" s="7" t="s">
        <v>96</v>
      </c>
      <c r="DV25" s="2" t="s">
        <v>24</v>
      </c>
      <c r="DW25" s="3">
        <v>6130924637.4664669</v>
      </c>
      <c r="DX25" s="3">
        <v>46072919.819245666</v>
      </c>
      <c r="DY25" s="3">
        <v>0</v>
      </c>
      <c r="DZ25" s="3">
        <v>0</v>
      </c>
      <c r="EA25" s="3">
        <v>6176997557.2857122</v>
      </c>
      <c r="EB25" s="7" t="s">
        <v>96</v>
      </c>
      <c r="EC25" s="2" t="s">
        <v>24</v>
      </c>
      <c r="ED25" s="3">
        <v>14195528252.222904</v>
      </c>
      <c r="EE25" s="3">
        <v>530103346.41918212</v>
      </c>
      <c r="EF25" s="3">
        <v>0</v>
      </c>
      <c r="EG25" s="3">
        <v>0</v>
      </c>
      <c r="EH25" s="3">
        <v>14725631598.642086</v>
      </c>
    </row>
    <row r="26" spans="1:138" ht="10.199999999999999" customHeight="1" x14ac:dyDescent="0.2">
      <c r="A26" s="7" t="s">
        <v>120</v>
      </c>
      <c r="B26" s="2" t="s">
        <v>48</v>
      </c>
      <c r="C26" s="3">
        <f t="shared" si="4"/>
        <v>30591000</v>
      </c>
      <c r="D26" s="3">
        <f t="shared" si="5"/>
        <v>6471690.9899327848</v>
      </c>
      <c r="E26" s="3">
        <f t="shared" si="6"/>
        <v>619155922923.64917</v>
      </c>
      <c r="F26" s="3">
        <f t="shared" si="7"/>
        <v>5551340439.4345846</v>
      </c>
      <c r="G26" s="3">
        <f t="shared" si="8"/>
        <v>1489852351.3120253</v>
      </c>
      <c r="H26" s="3">
        <f t="shared" si="9"/>
        <v>0</v>
      </c>
      <c r="I26" s="3">
        <f t="shared" si="10"/>
        <v>31601394096.119762</v>
      </c>
      <c r="J26" s="3">
        <f t="shared" si="11"/>
        <v>1685048628.2715387</v>
      </c>
      <c r="K26" s="3">
        <f t="shared" si="12"/>
        <v>73903786845.310364</v>
      </c>
      <c r="L26" s="3">
        <f t="shared" si="13"/>
        <v>4822636828.850523</v>
      </c>
      <c r="M26" s="3">
        <f t="shared" si="14"/>
        <v>92825468596.525665</v>
      </c>
      <c r="N26" s="3">
        <f t="shared" si="15"/>
        <v>51945415177.319427</v>
      </c>
      <c r="O26" s="3">
        <f t="shared" si="16"/>
        <v>883017928577.78296</v>
      </c>
      <c r="P26" s="7" t="s">
        <v>120</v>
      </c>
      <c r="Q26" s="2" t="s">
        <v>48</v>
      </c>
      <c r="R26" s="3">
        <f t="shared" si="17"/>
        <v>30591000</v>
      </c>
      <c r="S26" s="3">
        <f t="shared" si="17"/>
        <v>6471690.9899327848</v>
      </c>
      <c r="T26" s="3">
        <f t="shared" si="17"/>
        <v>619155922923.64917</v>
      </c>
      <c r="U26" s="3">
        <f t="shared" si="17"/>
        <v>5551340439.4345846</v>
      </c>
      <c r="V26" s="3">
        <f t="shared" si="17"/>
        <v>1489852351.3120253</v>
      </c>
      <c r="W26" s="3">
        <f t="shared" si="17"/>
        <v>0</v>
      </c>
      <c r="X26" s="3">
        <f t="shared" si="17"/>
        <v>31601394096.119762</v>
      </c>
      <c r="Y26" s="3">
        <f t="shared" si="17"/>
        <v>1685048628.2715387</v>
      </c>
      <c r="Z26" s="3">
        <f t="shared" si="17"/>
        <v>73903786845.310364</v>
      </c>
      <c r="AA26" s="3">
        <f t="shared" si="17"/>
        <v>4822636828.850523</v>
      </c>
      <c r="AB26" s="3">
        <f t="shared" si="18"/>
        <v>738247044803.93787</v>
      </c>
      <c r="AC26" s="7" t="s">
        <v>120</v>
      </c>
      <c r="AD26" s="2" t="s">
        <v>48</v>
      </c>
      <c r="AE26" s="3">
        <f t="shared" si="19"/>
        <v>92825468596.525665</v>
      </c>
      <c r="AF26" s="3">
        <f t="shared" si="19"/>
        <v>51945415177.319427</v>
      </c>
      <c r="AG26" s="3">
        <f t="shared" si="20"/>
        <v>144770883773.84509</v>
      </c>
      <c r="AH26" s="7" t="s">
        <v>120</v>
      </c>
      <c r="AI26" s="2" t="s">
        <v>48</v>
      </c>
      <c r="AJ26" s="3">
        <f t="shared" si="21"/>
        <v>67311088226.265495</v>
      </c>
      <c r="AK26" s="3">
        <f t="shared" si="21"/>
        <v>57362540371.258156</v>
      </c>
      <c r="AL26" s="3">
        <f t="shared" si="21"/>
        <v>157743959895.5015</v>
      </c>
      <c r="AM26" s="3">
        <f t="shared" si="21"/>
        <v>600600340084.75781</v>
      </c>
      <c r="AN26" s="3">
        <f t="shared" si="22"/>
        <v>883017928577.78296</v>
      </c>
      <c r="AO26" s="7" t="s">
        <v>120</v>
      </c>
      <c r="AP26" s="2" t="s">
        <v>48</v>
      </c>
      <c r="AQ26" s="3">
        <f t="shared" si="23"/>
        <v>13312516825.544281</v>
      </c>
      <c r="AR26" s="3">
        <f t="shared" si="23"/>
        <v>17136026632.118391</v>
      </c>
      <c r="AS26" s="3">
        <f t="shared" si="23"/>
        <v>107198161261.5174</v>
      </c>
      <c r="AT26" s="3">
        <f t="shared" si="23"/>
        <v>600600340084.75781</v>
      </c>
      <c r="AU26" s="3">
        <f t="shared" si="24"/>
        <v>738247044803.93787</v>
      </c>
      <c r="AV26" s="7" t="s">
        <v>120</v>
      </c>
      <c r="AW26" s="2" t="s">
        <v>48</v>
      </c>
      <c r="AX26" s="3">
        <f t="shared" si="25"/>
        <v>53998571400.721214</v>
      </c>
      <c r="AY26" s="3">
        <f t="shared" si="25"/>
        <v>40226513739.139763</v>
      </c>
      <c r="AZ26" s="3">
        <f t="shared" si="25"/>
        <v>50545798633.9841</v>
      </c>
      <c r="BA26" s="3">
        <f t="shared" si="25"/>
        <v>0</v>
      </c>
      <c r="BB26" s="3">
        <f t="shared" si="26"/>
        <v>144770883773.84509</v>
      </c>
      <c r="BC26" s="7" t="s">
        <v>120</v>
      </c>
      <c r="BD26" s="2" t="s">
        <v>48</v>
      </c>
      <c r="BE26" s="3">
        <v>30591000</v>
      </c>
      <c r="BF26" s="3">
        <v>0</v>
      </c>
      <c r="BG26" s="3">
        <v>0</v>
      </c>
      <c r="BH26" s="3">
        <v>0</v>
      </c>
      <c r="BI26" s="3">
        <v>30591000</v>
      </c>
      <c r="BJ26" s="7" t="s">
        <v>120</v>
      </c>
      <c r="BK26" s="2" t="s">
        <v>48</v>
      </c>
      <c r="BL26" s="3">
        <v>6471690.9899327848</v>
      </c>
      <c r="BM26" s="3">
        <v>0</v>
      </c>
      <c r="BN26" s="3">
        <v>0</v>
      </c>
      <c r="BO26" s="3">
        <v>0</v>
      </c>
      <c r="BP26" s="3">
        <v>6471690.9899327848</v>
      </c>
      <c r="BQ26" s="7" t="s">
        <v>120</v>
      </c>
      <c r="BR26" s="2" t="s">
        <v>48</v>
      </c>
      <c r="BS26" s="3">
        <v>0</v>
      </c>
      <c r="BT26" s="3">
        <v>384400258.06129009</v>
      </c>
      <c r="BU26" s="3">
        <v>41614852640.845032</v>
      </c>
      <c r="BV26" s="3">
        <v>577156670024.7428</v>
      </c>
      <c r="BW26" s="3">
        <v>619155922923.64917</v>
      </c>
      <c r="BX26" s="7" t="s">
        <v>120</v>
      </c>
      <c r="BY26" s="2" t="s">
        <v>48</v>
      </c>
      <c r="BZ26" s="3">
        <v>3020931478.7703452</v>
      </c>
      <c r="CA26" s="3">
        <v>1305055387.232619</v>
      </c>
      <c r="CB26" s="3">
        <v>1225353573.4316206</v>
      </c>
      <c r="CC26" s="3">
        <v>0</v>
      </c>
      <c r="CD26" s="3">
        <v>5551340439.4345846</v>
      </c>
      <c r="CE26" s="7" t="s">
        <v>120</v>
      </c>
      <c r="CF26" s="2" t="s">
        <v>48</v>
      </c>
      <c r="CG26" s="3">
        <v>53845777.777777784</v>
      </c>
      <c r="CH26" s="3">
        <v>1436006573.5342476</v>
      </c>
      <c r="CI26" s="3">
        <v>0</v>
      </c>
      <c r="CJ26" s="3">
        <v>0</v>
      </c>
      <c r="CK26" s="3">
        <v>1489852351.3120253</v>
      </c>
      <c r="CL26" s="7" t="s">
        <v>120</v>
      </c>
      <c r="CM26" s="2" t="s">
        <v>48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7" t="s">
        <v>120</v>
      </c>
      <c r="CT26" s="2" t="s">
        <v>48</v>
      </c>
      <c r="CU26" s="3">
        <v>7288223389.1534653</v>
      </c>
      <c r="CV26" s="3">
        <v>7419398664.7246342</v>
      </c>
      <c r="CW26" s="3">
        <v>16893772042.241663</v>
      </c>
      <c r="CX26" s="3">
        <v>0</v>
      </c>
      <c r="CY26" s="3">
        <v>31601394096.119762</v>
      </c>
      <c r="CZ26" s="7" t="s">
        <v>120</v>
      </c>
      <c r="DA26" s="2" t="s">
        <v>48</v>
      </c>
      <c r="DB26" s="3">
        <v>2506070735.499959</v>
      </c>
      <c r="DC26" s="3">
        <v>3635136936.6161451</v>
      </c>
      <c r="DD26" s="3">
        <v>44318909113.179283</v>
      </c>
      <c r="DE26" s="3">
        <v>23443670060.014977</v>
      </c>
      <c r="DF26" s="3">
        <v>73903786845.310364</v>
      </c>
      <c r="DG26" s="7" t="s">
        <v>120</v>
      </c>
      <c r="DH26" s="2" t="s">
        <v>48</v>
      </c>
      <c r="DI26" s="3">
        <v>208163532.15182075</v>
      </c>
      <c r="DJ26" s="3">
        <v>158230489.17807585</v>
      </c>
      <c r="DK26" s="3">
        <v>1318654606.9416423</v>
      </c>
      <c r="DL26" s="3">
        <v>0</v>
      </c>
      <c r="DM26" s="3">
        <v>1685048628.2715387</v>
      </c>
      <c r="DN26" s="7" t="s">
        <v>120</v>
      </c>
      <c r="DO26" s="2" t="s">
        <v>48</v>
      </c>
      <c r="DP26" s="3">
        <v>198219221.2009804</v>
      </c>
      <c r="DQ26" s="3">
        <v>2797798322.7713776</v>
      </c>
      <c r="DR26" s="3">
        <v>1826619284.8781655</v>
      </c>
      <c r="DS26" s="3">
        <v>0</v>
      </c>
      <c r="DT26" s="3">
        <v>4822636828.850523</v>
      </c>
      <c r="DU26" s="7" t="s">
        <v>120</v>
      </c>
      <c r="DV26" s="2" t="s">
        <v>48</v>
      </c>
      <c r="DW26" s="3">
        <v>9323041686.817812</v>
      </c>
      <c r="DX26" s="3">
        <v>16614663959.335611</v>
      </c>
      <c r="DY26" s="3">
        <v>26007709531.166</v>
      </c>
      <c r="DZ26" s="3">
        <v>0</v>
      </c>
      <c r="EA26" s="3">
        <v>51945415177.319427</v>
      </c>
      <c r="EB26" s="7" t="s">
        <v>120</v>
      </c>
      <c r="EC26" s="2" t="s">
        <v>48</v>
      </c>
      <c r="ED26" s="3">
        <v>44675529713.903404</v>
      </c>
      <c r="EE26" s="3">
        <v>23611849779.804153</v>
      </c>
      <c r="EF26" s="3">
        <v>24538089102.818104</v>
      </c>
      <c r="EG26" s="3">
        <v>0</v>
      </c>
      <c r="EH26" s="3">
        <v>92825468596.525665</v>
      </c>
    </row>
    <row r="27" spans="1:138" ht="10.199999999999999" customHeight="1" x14ac:dyDescent="0.2">
      <c r="A27" s="7" t="s">
        <v>102</v>
      </c>
      <c r="B27" s="2" t="s">
        <v>30</v>
      </c>
      <c r="C27" s="3">
        <f t="shared" si="4"/>
        <v>2097422.0429931507</v>
      </c>
      <c r="D27" s="3">
        <f t="shared" si="5"/>
        <v>53300200317.666206</v>
      </c>
      <c r="E27" s="3">
        <f t="shared" si="6"/>
        <v>392499649522.47485</v>
      </c>
      <c r="F27" s="3">
        <f t="shared" si="7"/>
        <v>51470321270.060272</v>
      </c>
      <c r="G27" s="3">
        <f t="shared" si="8"/>
        <v>2917846178.0654621</v>
      </c>
      <c r="H27" s="3">
        <f t="shared" si="9"/>
        <v>104108403.22493273</v>
      </c>
      <c r="I27" s="3">
        <f t="shared" si="10"/>
        <v>6943302426.5166092</v>
      </c>
      <c r="J27" s="3">
        <f t="shared" si="11"/>
        <v>101712472218.55682</v>
      </c>
      <c r="K27" s="3">
        <f t="shared" si="12"/>
        <v>57505479640.003166</v>
      </c>
      <c r="L27" s="3">
        <f t="shared" si="13"/>
        <v>719319520.23024201</v>
      </c>
      <c r="M27" s="3">
        <f t="shared" si="14"/>
        <v>527881951045.24402</v>
      </c>
      <c r="N27" s="3">
        <f t="shared" si="15"/>
        <v>496441872465.89136</v>
      </c>
      <c r="O27" s="3">
        <f t="shared" si="16"/>
        <v>1691498620429.9768</v>
      </c>
      <c r="P27" s="7" t="s">
        <v>102</v>
      </c>
      <c r="Q27" s="2" t="s">
        <v>30</v>
      </c>
      <c r="R27" s="3">
        <f t="shared" si="17"/>
        <v>2097422.0429931507</v>
      </c>
      <c r="S27" s="3">
        <f t="shared" si="17"/>
        <v>53300200317.666206</v>
      </c>
      <c r="T27" s="3">
        <f t="shared" si="17"/>
        <v>392499649522.47485</v>
      </c>
      <c r="U27" s="3">
        <f t="shared" si="17"/>
        <v>51470321270.060272</v>
      </c>
      <c r="V27" s="3">
        <f t="shared" si="17"/>
        <v>2917846178.0654621</v>
      </c>
      <c r="W27" s="3">
        <f t="shared" si="17"/>
        <v>104108403.22493273</v>
      </c>
      <c r="X27" s="3">
        <f t="shared" si="17"/>
        <v>6943302426.5166092</v>
      </c>
      <c r="Y27" s="3">
        <f t="shared" si="17"/>
        <v>101712472218.55682</v>
      </c>
      <c r="Z27" s="3">
        <f t="shared" si="17"/>
        <v>57505479640.003166</v>
      </c>
      <c r="AA27" s="3">
        <f t="shared" si="17"/>
        <v>719319520.23024201</v>
      </c>
      <c r="AB27" s="3">
        <f t="shared" si="18"/>
        <v>667174796918.84155</v>
      </c>
      <c r="AC27" s="7" t="s">
        <v>102</v>
      </c>
      <c r="AD27" s="2" t="s">
        <v>30</v>
      </c>
      <c r="AE27" s="3">
        <f t="shared" si="19"/>
        <v>527881951045.24402</v>
      </c>
      <c r="AF27" s="3">
        <f t="shared" si="19"/>
        <v>496441872465.89136</v>
      </c>
      <c r="AG27" s="3">
        <f t="shared" si="20"/>
        <v>1024323823511.1354</v>
      </c>
      <c r="AH27" s="7" t="s">
        <v>102</v>
      </c>
      <c r="AI27" s="2" t="s">
        <v>30</v>
      </c>
      <c r="AJ27" s="3">
        <f t="shared" si="21"/>
        <v>242668840600.55414</v>
      </c>
      <c r="AK27" s="3">
        <f t="shared" si="21"/>
        <v>1001125078303.0085</v>
      </c>
      <c r="AL27" s="3">
        <f t="shared" si="21"/>
        <v>211641358922.74203</v>
      </c>
      <c r="AM27" s="3">
        <f t="shared" si="21"/>
        <v>236063342603.67236</v>
      </c>
      <c r="AN27" s="3">
        <f t="shared" si="22"/>
        <v>1691498620429.9771</v>
      </c>
      <c r="AO27" s="7" t="s">
        <v>102</v>
      </c>
      <c r="AP27" s="2" t="s">
        <v>30</v>
      </c>
      <c r="AQ27" s="3">
        <f t="shared" si="23"/>
        <v>126804544448.18843</v>
      </c>
      <c r="AR27" s="3">
        <f t="shared" si="23"/>
        <v>282692403689.74292</v>
      </c>
      <c r="AS27" s="3">
        <f t="shared" si="23"/>
        <v>21614506177.237957</v>
      </c>
      <c r="AT27" s="3">
        <f t="shared" si="23"/>
        <v>236063342603.67236</v>
      </c>
      <c r="AU27" s="3">
        <f t="shared" si="24"/>
        <v>667174796918.84167</v>
      </c>
      <c r="AV27" s="7" t="s">
        <v>102</v>
      </c>
      <c r="AW27" s="2" t="s">
        <v>30</v>
      </c>
      <c r="AX27" s="3">
        <f t="shared" si="25"/>
        <v>115864296152.36569</v>
      </c>
      <c r="AY27" s="3">
        <f t="shared" si="25"/>
        <v>718432674613.26563</v>
      </c>
      <c r="AZ27" s="3">
        <f t="shared" si="25"/>
        <v>190026852745.50409</v>
      </c>
      <c r="BA27" s="3">
        <f t="shared" si="25"/>
        <v>0</v>
      </c>
      <c r="BB27" s="3">
        <f t="shared" si="26"/>
        <v>1024323823511.1355</v>
      </c>
      <c r="BC27" s="7" t="s">
        <v>102</v>
      </c>
      <c r="BD27" s="2" t="s">
        <v>30</v>
      </c>
      <c r="BE27" s="3">
        <v>2097422.0429931507</v>
      </c>
      <c r="BF27" s="3">
        <v>0</v>
      </c>
      <c r="BG27" s="3">
        <v>0</v>
      </c>
      <c r="BH27" s="3">
        <v>0</v>
      </c>
      <c r="BI27" s="3">
        <v>2097422.0429931507</v>
      </c>
      <c r="BJ27" s="7" t="s">
        <v>102</v>
      </c>
      <c r="BK27" s="2" t="s">
        <v>30</v>
      </c>
      <c r="BL27" s="3">
        <v>854978084.8640691</v>
      </c>
      <c r="BM27" s="3">
        <v>91828950.536863744</v>
      </c>
      <c r="BN27" s="3">
        <v>0</v>
      </c>
      <c r="BO27" s="3">
        <v>52353393282.265274</v>
      </c>
      <c r="BP27" s="3">
        <v>53300200317.666206</v>
      </c>
      <c r="BQ27" s="7" t="s">
        <v>102</v>
      </c>
      <c r="BR27" s="2" t="s">
        <v>30</v>
      </c>
      <c r="BS27" s="3">
        <v>108467704873.8214</v>
      </c>
      <c r="BT27" s="3">
        <v>191413596836.1554</v>
      </c>
      <c r="BU27" s="3">
        <v>10619057128.943138</v>
      </c>
      <c r="BV27" s="3">
        <v>81999290683.554962</v>
      </c>
      <c r="BW27" s="3">
        <v>392499649522.47485</v>
      </c>
      <c r="BX27" s="7" t="s">
        <v>102</v>
      </c>
      <c r="BY27" s="2" t="s">
        <v>30</v>
      </c>
      <c r="BZ27" s="3">
        <v>2917396093.9466429</v>
      </c>
      <c r="CA27" s="3">
        <v>37661584531.043747</v>
      </c>
      <c r="CB27" s="3">
        <v>10891340645.069885</v>
      </c>
      <c r="CC27" s="3">
        <v>0</v>
      </c>
      <c r="CD27" s="3">
        <v>51470321270.060272</v>
      </c>
      <c r="CE27" s="7" t="s">
        <v>102</v>
      </c>
      <c r="CF27" s="2" t="s">
        <v>30</v>
      </c>
      <c r="CG27" s="3">
        <v>7335630.0222708173</v>
      </c>
      <c r="CH27" s="3">
        <v>2910510548.0431914</v>
      </c>
      <c r="CI27" s="3">
        <v>0</v>
      </c>
      <c r="CJ27" s="3">
        <v>0</v>
      </c>
      <c r="CK27" s="3">
        <v>2917846178.0654621</v>
      </c>
      <c r="CL27" s="7" t="s">
        <v>102</v>
      </c>
      <c r="CM27" s="2" t="s">
        <v>30</v>
      </c>
      <c r="CN27" s="3">
        <v>0</v>
      </c>
      <c r="CO27" s="3">
        <v>0</v>
      </c>
      <c r="CP27" s="3">
        <v>104108403.22493273</v>
      </c>
      <c r="CQ27" s="3">
        <v>0</v>
      </c>
      <c r="CR27" s="3">
        <v>104108403.22493273</v>
      </c>
      <c r="CS27" s="7" t="s">
        <v>102</v>
      </c>
      <c r="CT27" s="2" t="s">
        <v>30</v>
      </c>
      <c r="CU27" s="3">
        <v>6277547932.7789841</v>
      </c>
      <c r="CV27" s="3">
        <v>665754493.7376256</v>
      </c>
      <c r="CW27" s="3">
        <v>0</v>
      </c>
      <c r="CX27" s="3">
        <v>0</v>
      </c>
      <c r="CY27" s="3">
        <v>6943302426.5166092</v>
      </c>
      <c r="CZ27" s="7" t="s">
        <v>102</v>
      </c>
      <c r="DA27" s="2" t="s">
        <v>30</v>
      </c>
      <c r="DB27" s="3">
        <v>7898773431.0800266</v>
      </c>
      <c r="DC27" s="3">
        <v>49606706208.923141</v>
      </c>
      <c r="DD27" s="3">
        <v>0</v>
      </c>
      <c r="DE27" s="3">
        <v>0</v>
      </c>
      <c r="DF27" s="3">
        <v>57505479640.003166</v>
      </c>
      <c r="DG27" s="7" t="s">
        <v>102</v>
      </c>
      <c r="DH27" s="2" t="s">
        <v>30</v>
      </c>
      <c r="DI27" s="3">
        <v>1813580.7046994201</v>
      </c>
      <c r="DJ27" s="3">
        <v>0</v>
      </c>
      <c r="DK27" s="3">
        <v>0</v>
      </c>
      <c r="DL27" s="3">
        <v>101710658637.85213</v>
      </c>
      <c r="DM27" s="3">
        <v>101712472218.55682</v>
      </c>
      <c r="DN27" s="7" t="s">
        <v>102</v>
      </c>
      <c r="DO27" s="2" t="s">
        <v>30</v>
      </c>
      <c r="DP27" s="3">
        <v>376897398.92734885</v>
      </c>
      <c r="DQ27" s="3">
        <v>342422121.30289316</v>
      </c>
      <c r="DR27" s="3">
        <v>0</v>
      </c>
      <c r="DS27" s="3">
        <v>0</v>
      </c>
      <c r="DT27" s="3">
        <v>719319520.23024201</v>
      </c>
      <c r="DU27" s="7" t="s">
        <v>102</v>
      </c>
      <c r="DV27" s="2" t="s">
        <v>30</v>
      </c>
      <c r="DW27" s="3">
        <v>81100322543.668747</v>
      </c>
      <c r="DX27" s="3">
        <v>226948398273.479</v>
      </c>
      <c r="DY27" s="3">
        <v>188393151648.74359</v>
      </c>
      <c r="DZ27" s="3">
        <v>0</v>
      </c>
      <c r="EA27" s="3">
        <v>496441872465.89136</v>
      </c>
      <c r="EB27" s="7" t="s">
        <v>102</v>
      </c>
      <c r="EC27" s="2" t="s">
        <v>30</v>
      </c>
      <c r="ED27" s="3">
        <v>34763973608.696938</v>
      </c>
      <c r="EE27" s="3">
        <v>491484276339.78656</v>
      </c>
      <c r="EF27" s="3">
        <v>1633701096.7604828</v>
      </c>
      <c r="EG27" s="3">
        <v>0</v>
      </c>
      <c r="EH27" s="3">
        <v>527881951045.24402</v>
      </c>
    </row>
    <row r="28" spans="1:138" ht="10.199999999999999" customHeight="1" x14ac:dyDescent="0.2">
      <c r="A28" s="7" t="s">
        <v>98</v>
      </c>
      <c r="B28" s="2" t="s">
        <v>26</v>
      </c>
      <c r="C28" s="3">
        <f t="shared" si="4"/>
        <v>1706119219.8995476</v>
      </c>
      <c r="D28" s="3">
        <f t="shared" si="5"/>
        <v>9852225019.9471073</v>
      </c>
      <c r="E28" s="3">
        <f t="shared" si="6"/>
        <v>33131031130.904747</v>
      </c>
      <c r="F28" s="3">
        <f t="shared" si="7"/>
        <v>108958665.20916232</v>
      </c>
      <c r="G28" s="3">
        <f t="shared" si="8"/>
        <v>1294757566.7814445</v>
      </c>
      <c r="H28" s="3">
        <f t="shared" si="9"/>
        <v>0</v>
      </c>
      <c r="I28" s="3">
        <f t="shared" si="10"/>
        <v>2093268179.0124555</v>
      </c>
      <c r="J28" s="3">
        <f t="shared" si="11"/>
        <v>18005357541.446663</v>
      </c>
      <c r="K28" s="3">
        <f t="shared" si="12"/>
        <v>22278395158.624653</v>
      </c>
      <c r="L28" s="3">
        <f t="shared" si="13"/>
        <v>9341840439.3620853</v>
      </c>
      <c r="M28" s="3">
        <f t="shared" si="14"/>
        <v>5983372538.2553377</v>
      </c>
      <c r="N28" s="3">
        <f t="shared" si="15"/>
        <v>46577939473.81459</v>
      </c>
      <c r="O28" s="3">
        <f t="shared" si="16"/>
        <v>150373264933.25781</v>
      </c>
      <c r="P28" s="7" t="s">
        <v>98</v>
      </c>
      <c r="Q28" s="2" t="s">
        <v>26</v>
      </c>
      <c r="R28" s="3">
        <f t="shared" si="17"/>
        <v>1706119219.8995476</v>
      </c>
      <c r="S28" s="3">
        <f t="shared" si="17"/>
        <v>9852225019.9471073</v>
      </c>
      <c r="T28" s="3">
        <f t="shared" si="17"/>
        <v>33131031130.904747</v>
      </c>
      <c r="U28" s="3">
        <f t="shared" si="17"/>
        <v>108958665.20916232</v>
      </c>
      <c r="V28" s="3">
        <f t="shared" si="17"/>
        <v>1294757566.7814445</v>
      </c>
      <c r="W28" s="3">
        <f t="shared" si="17"/>
        <v>0</v>
      </c>
      <c r="X28" s="3">
        <f t="shared" si="17"/>
        <v>2093268179.0124555</v>
      </c>
      <c r="Y28" s="3">
        <f t="shared" si="17"/>
        <v>18005357541.446663</v>
      </c>
      <c r="Z28" s="3">
        <f t="shared" si="17"/>
        <v>22278395158.624653</v>
      </c>
      <c r="AA28" s="3">
        <f t="shared" si="17"/>
        <v>9341840439.3620853</v>
      </c>
      <c r="AB28" s="3">
        <f t="shared" si="18"/>
        <v>97811952921.187866</v>
      </c>
      <c r="AC28" s="7" t="s">
        <v>98</v>
      </c>
      <c r="AD28" s="2" t="s">
        <v>26</v>
      </c>
      <c r="AE28" s="3">
        <f t="shared" si="19"/>
        <v>5983372538.2553377</v>
      </c>
      <c r="AF28" s="3">
        <f t="shared" si="19"/>
        <v>46577939473.81459</v>
      </c>
      <c r="AG28" s="3">
        <f t="shared" si="20"/>
        <v>52561312012.069931</v>
      </c>
      <c r="AH28" s="7" t="s">
        <v>98</v>
      </c>
      <c r="AI28" s="2" t="s">
        <v>26</v>
      </c>
      <c r="AJ28" s="3">
        <f t="shared" si="21"/>
        <v>15430023521.873398</v>
      </c>
      <c r="AK28" s="3">
        <f t="shared" si="21"/>
        <v>42754256731.634789</v>
      </c>
      <c r="AL28" s="3">
        <f t="shared" si="21"/>
        <v>57203927131.470093</v>
      </c>
      <c r="AM28" s="3">
        <f t="shared" si="21"/>
        <v>34985057548.279518</v>
      </c>
      <c r="AN28" s="3">
        <f t="shared" si="22"/>
        <v>150373264933.25778</v>
      </c>
      <c r="AO28" s="7" t="s">
        <v>98</v>
      </c>
      <c r="AP28" s="2" t="s">
        <v>26</v>
      </c>
      <c r="AQ28" s="3">
        <f t="shared" si="23"/>
        <v>12427348577.480108</v>
      </c>
      <c r="AR28" s="3">
        <f t="shared" si="23"/>
        <v>33597512263.152287</v>
      </c>
      <c r="AS28" s="3">
        <f t="shared" si="23"/>
        <v>16802034532.275953</v>
      </c>
      <c r="AT28" s="3">
        <f t="shared" si="23"/>
        <v>34985057548.279518</v>
      </c>
      <c r="AU28" s="3">
        <f t="shared" si="24"/>
        <v>97811952921.187866</v>
      </c>
      <c r="AV28" s="7" t="s">
        <v>98</v>
      </c>
      <c r="AW28" s="2" t="s">
        <v>26</v>
      </c>
      <c r="AX28" s="3">
        <f t="shared" si="25"/>
        <v>3002674944.3932886</v>
      </c>
      <c r="AY28" s="3">
        <f t="shared" si="25"/>
        <v>9156744468.4825001</v>
      </c>
      <c r="AZ28" s="3">
        <f t="shared" si="25"/>
        <v>40401892599.194138</v>
      </c>
      <c r="BA28" s="3">
        <f t="shared" si="25"/>
        <v>0</v>
      </c>
      <c r="BB28" s="3">
        <f t="shared" si="26"/>
        <v>52561312012.069931</v>
      </c>
      <c r="BC28" s="7" t="s">
        <v>98</v>
      </c>
      <c r="BD28" s="2" t="s">
        <v>26</v>
      </c>
      <c r="BE28" s="3">
        <v>122446499.21600965</v>
      </c>
      <c r="BF28" s="3">
        <v>1192355845.5805535</v>
      </c>
      <c r="BG28" s="3">
        <v>391316875.10298443</v>
      </c>
      <c r="BH28" s="3">
        <v>0</v>
      </c>
      <c r="BI28" s="3">
        <v>1706119219.8995476</v>
      </c>
      <c r="BJ28" s="7" t="s">
        <v>98</v>
      </c>
      <c r="BK28" s="2" t="s">
        <v>26</v>
      </c>
      <c r="BL28" s="3">
        <v>465885268.59504133</v>
      </c>
      <c r="BM28" s="3">
        <v>2533839833.414515</v>
      </c>
      <c r="BN28" s="3">
        <v>4968575702.7135677</v>
      </c>
      <c r="BO28" s="3">
        <v>1883924215.223983</v>
      </c>
      <c r="BP28" s="3">
        <v>9852225019.9471073</v>
      </c>
      <c r="BQ28" s="7" t="s">
        <v>98</v>
      </c>
      <c r="BR28" s="2" t="s">
        <v>26</v>
      </c>
      <c r="BS28" s="3">
        <v>0</v>
      </c>
      <c r="BT28" s="3">
        <v>29897797.849211451</v>
      </c>
      <c r="BU28" s="3">
        <v>0</v>
      </c>
      <c r="BV28" s="3">
        <v>33101133333.055534</v>
      </c>
      <c r="BW28" s="3">
        <v>33131031130.904747</v>
      </c>
      <c r="BX28" s="7" t="s">
        <v>98</v>
      </c>
      <c r="BY28" s="2" t="s">
        <v>26</v>
      </c>
      <c r="BZ28" s="3">
        <v>64666915.073115855</v>
      </c>
      <c r="CA28" s="3">
        <v>44291750.136046477</v>
      </c>
      <c r="CB28" s="3">
        <v>0</v>
      </c>
      <c r="CC28" s="3">
        <v>0</v>
      </c>
      <c r="CD28" s="3">
        <v>108958665.20916232</v>
      </c>
      <c r="CE28" s="7" t="s">
        <v>98</v>
      </c>
      <c r="CF28" s="2" t="s">
        <v>26</v>
      </c>
      <c r="CG28" s="3">
        <v>6588190.5126795676</v>
      </c>
      <c r="CH28" s="3">
        <v>1028124385.0143492</v>
      </c>
      <c r="CI28" s="3">
        <v>260044991.25441563</v>
      </c>
      <c r="CJ28" s="3">
        <v>0</v>
      </c>
      <c r="CK28" s="3">
        <v>1294757566.7814445</v>
      </c>
      <c r="CL28" s="7" t="s">
        <v>98</v>
      </c>
      <c r="CM28" s="2" t="s">
        <v>26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7" t="s">
        <v>98</v>
      </c>
      <c r="CT28" s="2" t="s">
        <v>26</v>
      </c>
      <c r="CU28" s="3">
        <v>782651007.42540884</v>
      </c>
      <c r="CV28" s="3">
        <v>1081150250.1199501</v>
      </c>
      <c r="CW28" s="3">
        <v>229466921.46709663</v>
      </c>
      <c r="CX28" s="3">
        <v>0</v>
      </c>
      <c r="CY28" s="3">
        <v>2093268179.0124555</v>
      </c>
      <c r="CZ28" s="7" t="s">
        <v>98</v>
      </c>
      <c r="DA28" s="2" t="s">
        <v>26</v>
      </c>
      <c r="DB28" s="3">
        <v>8463328430.7476492</v>
      </c>
      <c r="DC28" s="3">
        <v>13131803586.713072</v>
      </c>
      <c r="DD28" s="3">
        <v>683263141.1639322</v>
      </c>
      <c r="DE28" s="3">
        <v>0</v>
      </c>
      <c r="DF28" s="3">
        <v>22278395158.624653</v>
      </c>
      <c r="DG28" s="7" t="s">
        <v>98</v>
      </c>
      <c r="DH28" s="2" t="s">
        <v>26</v>
      </c>
      <c r="DI28" s="3">
        <v>121457846.15384616</v>
      </c>
      <c r="DJ28" s="3">
        <v>8625230485.3445263</v>
      </c>
      <c r="DK28" s="3">
        <v>9258669209.9482899</v>
      </c>
      <c r="DL28" s="3">
        <v>0</v>
      </c>
      <c r="DM28" s="3">
        <v>18005357541.446663</v>
      </c>
      <c r="DN28" s="7" t="s">
        <v>98</v>
      </c>
      <c r="DO28" s="2" t="s">
        <v>26</v>
      </c>
      <c r="DP28" s="3">
        <v>2400324419.7563567</v>
      </c>
      <c r="DQ28" s="3">
        <v>5930818328.9800615</v>
      </c>
      <c r="DR28" s="3">
        <v>1010697690.6256684</v>
      </c>
      <c r="DS28" s="3">
        <v>0</v>
      </c>
      <c r="DT28" s="3">
        <v>9341840439.3620853</v>
      </c>
      <c r="DU28" s="7" t="s">
        <v>98</v>
      </c>
      <c r="DV28" s="2" t="s">
        <v>26</v>
      </c>
      <c r="DW28" s="3">
        <v>1779842117.8113756</v>
      </c>
      <c r="DX28" s="3">
        <v>5299110382.7512693</v>
      </c>
      <c r="DY28" s="3">
        <v>39498986973.251945</v>
      </c>
      <c r="DZ28" s="3">
        <v>0</v>
      </c>
      <c r="EA28" s="3">
        <v>46577939473.81459</v>
      </c>
      <c r="EB28" s="7" t="s">
        <v>98</v>
      </c>
      <c r="EC28" s="2" t="s">
        <v>26</v>
      </c>
      <c r="ED28" s="3">
        <v>1222832826.5819128</v>
      </c>
      <c r="EE28" s="3">
        <v>3857634085.7312312</v>
      </c>
      <c r="EF28" s="3">
        <v>902905625.94219422</v>
      </c>
      <c r="EG28" s="3">
        <v>0</v>
      </c>
      <c r="EH28" s="3">
        <v>5983372538.2553377</v>
      </c>
    </row>
    <row r="29" spans="1:138" ht="10.199999999999999" customHeight="1" x14ac:dyDescent="0.2">
      <c r="A29" s="7" t="s">
        <v>93</v>
      </c>
      <c r="B29" s="2" t="s">
        <v>21</v>
      </c>
      <c r="C29" s="3">
        <f t="shared" si="4"/>
        <v>60300865.517211005</v>
      </c>
      <c r="D29" s="3">
        <f t="shared" si="5"/>
        <v>168835672.10402882</v>
      </c>
      <c r="E29" s="3">
        <f t="shared" si="6"/>
        <v>0</v>
      </c>
      <c r="F29" s="3">
        <f t="shared" si="7"/>
        <v>352135410.04874921</v>
      </c>
      <c r="G29" s="3">
        <f t="shared" si="8"/>
        <v>0</v>
      </c>
      <c r="H29" s="3">
        <f t="shared" si="9"/>
        <v>0</v>
      </c>
      <c r="I29" s="3">
        <f t="shared" si="10"/>
        <v>160361625.69726098</v>
      </c>
      <c r="J29" s="3">
        <f t="shared" si="11"/>
        <v>37267456.917046055</v>
      </c>
      <c r="K29" s="3">
        <f t="shared" si="12"/>
        <v>526433956.25053453</v>
      </c>
      <c r="L29" s="3">
        <f t="shared" si="13"/>
        <v>93776359.507383674</v>
      </c>
      <c r="M29" s="3">
        <f t="shared" si="14"/>
        <v>27998850547.526234</v>
      </c>
      <c r="N29" s="3">
        <f t="shared" si="15"/>
        <v>408435278.32074875</v>
      </c>
      <c r="O29" s="3">
        <f t="shared" si="16"/>
        <v>29806397171.889194</v>
      </c>
      <c r="P29" s="7" t="s">
        <v>93</v>
      </c>
      <c r="Q29" s="2" t="s">
        <v>21</v>
      </c>
      <c r="R29" s="3">
        <f t="shared" si="17"/>
        <v>60300865.517211005</v>
      </c>
      <c r="S29" s="3">
        <f t="shared" si="17"/>
        <v>168835672.10402882</v>
      </c>
      <c r="T29" s="3">
        <f t="shared" si="17"/>
        <v>0</v>
      </c>
      <c r="U29" s="3">
        <f t="shared" si="17"/>
        <v>352135410.04874921</v>
      </c>
      <c r="V29" s="3">
        <f t="shared" si="17"/>
        <v>0</v>
      </c>
      <c r="W29" s="3">
        <f t="shared" si="17"/>
        <v>0</v>
      </c>
      <c r="X29" s="3">
        <f t="shared" si="17"/>
        <v>160361625.69726098</v>
      </c>
      <c r="Y29" s="3">
        <f t="shared" si="17"/>
        <v>37267456.917046055</v>
      </c>
      <c r="Z29" s="3">
        <f t="shared" si="17"/>
        <v>526433956.25053453</v>
      </c>
      <c r="AA29" s="3">
        <f t="shared" si="17"/>
        <v>93776359.507383674</v>
      </c>
      <c r="AB29" s="3">
        <f t="shared" si="18"/>
        <v>1399111346.0422142</v>
      </c>
      <c r="AC29" s="7" t="s">
        <v>93</v>
      </c>
      <c r="AD29" s="2" t="s">
        <v>21</v>
      </c>
      <c r="AE29" s="3">
        <f t="shared" si="19"/>
        <v>27998850547.526234</v>
      </c>
      <c r="AF29" s="3">
        <f t="shared" si="19"/>
        <v>408435278.32074875</v>
      </c>
      <c r="AG29" s="3">
        <f t="shared" si="20"/>
        <v>28407285825.846981</v>
      </c>
      <c r="AH29" s="7" t="s">
        <v>93</v>
      </c>
      <c r="AI29" s="2" t="s">
        <v>21</v>
      </c>
      <c r="AJ29" s="3">
        <f t="shared" si="21"/>
        <v>29501818628.433731</v>
      </c>
      <c r="AK29" s="3">
        <f t="shared" si="21"/>
        <v>222877964.08242664</v>
      </c>
      <c r="AL29" s="3">
        <f t="shared" si="21"/>
        <v>81700579.373041227</v>
      </c>
      <c r="AM29" s="3">
        <f t="shared" si="21"/>
        <v>0</v>
      </c>
      <c r="AN29" s="3">
        <f t="shared" si="22"/>
        <v>29806397171.889202</v>
      </c>
      <c r="AO29" s="7" t="s">
        <v>93</v>
      </c>
      <c r="AP29" s="2" t="s">
        <v>21</v>
      </c>
      <c r="AQ29" s="3">
        <f t="shared" si="23"/>
        <v>1202494937.4395173</v>
      </c>
      <c r="AR29" s="3">
        <f t="shared" si="23"/>
        <v>196616408.6026971</v>
      </c>
      <c r="AS29" s="3">
        <f t="shared" si="23"/>
        <v>0</v>
      </c>
      <c r="AT29" s="3">
        <f t="shared" si="23"/>
        <v>0</v>
      </c>
      <c r="AU29" s="3">
        <f t="shared" si="24"/>
        <v>1399111346.0422144</v>
      </c>
      <c r="AV29" s="7" t="s">
        <v>93</v>
      </c>
      <c r="AW29" s="2" t="s">
        <v>21</v>
      </c>
      <c r="AX29" s="3">
        <f t="shared" si="25"/>
        <v>28299323690.994213</v>
      </c>
      <c r="AY29" s="3">
        <f t="shared" si="25"/>
        <v>26261555.479729526</v>
      </c>
      <c r="AZ29" s="3">
        <f t="shared" si="25"/>
        <v>81700579.373041227</v>
      </c>
      <c r="BA29" s="3">
        <f t="shared" si="25"/>
        <v>0</v>
      </c>
      <c r="BB29" s="3">
        <f t="shared" si="26"/>
        <v>28407285825.846985</v>
      </c>
      <c r="BC29" s="7" t="s">
        <v>93</v>
      </c>
      <c r="BD29" s="2" t="s">
        <v>21</v>
      </c>
      <c r="BE29" s="3">
        <v>0</v>
      </c>
      <c r="BF29" s="3">
        <v>60300865.517211005</v>
      </c>
      <c r="BG29" s="3">
        <v>0</v>
      </c>
      <c r="BH29" s="3">
        <v>0</v>
      </c>
      <c r="BI29" s="3">
        <v>60300865.517211005</v>
      </c>
      <c r="BJ29" s="7" t="s">
        <v>93</v>
      </c>
      <c r="BK29" s="2" t="s">
        <v>21</v>
      </c>
      <c r="BL29" s="3">
        <v>116011454.54545455</v>
      </c>
      <c r="BM29" s="3">
        <v>52824217.558574267</v>
      </c>
      <c r="BN29" s="3">
        <v>0</v>
      </c>
      <c r="BO29" s="3">
        <v>0</v>
      </c>
      <c r="BP29" s="3">
        <v>168835672.10402882</v>
      </c>
      <c r="BQ29" s="7" t="s">
        <v>93</v>
      </c>
      <c r="BR29" s="2" t="s">
        <v>21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7" t="s">
        <v>93</v>
      </c>
      <c r="BY29" s="2" t="s">
        <v>21</v>
      </c>
      <c r="BZ29" s="3">
        <v>349230500.55992997</v>
      </c>
      <c r="CA29" s="3">
        <v>2904909.4888192439</v>
      </c>
      <c r="CB29" s="3">
        <v>0</v>
      </c>
      <c r="CC29" s="3">
        <v>0</v>
      </c>
      <c r="CD29" s="3">
        <v>352135410.04874921</v>
      </c>
      <c r="CE29" s="7" t="s">
        <v>93</v>
      </c>
      <c r="CF29" s="2" t="s">
        <v>21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7" t="s">
        <v>93</v>
      </c>
      <c r="CM29" s="2" t="s">
        <v>21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7" t="s">
        <v>93</v>
      </c>
      <c r="CT29" s="2" t="s">
        <v>21</v>
      </c>
      <c r="CU29" s="3">
        <v>151111396.23917747</v>
      </c>
      <c r="CV29" s="3">
        <v>9250229.4580834992</v>
      </c>
      <c r="CW29" s="3">
        <v>0</v>
      </c>
      <c r="CX29" s="3">
        <v>0</v>
      </c>
      <c r="CY29" s="3">
        <v>160361625.69726098</v>
      </c>
      <c r="CZ29" s="7" t="s">
        <v>93</v>
      </c>
      <c r="DA29" s="2" t="s">
        <v>21</v>
      </c>
      <c r="DB29" s="3">
        <v>487221288.23170733</v>
      </c>
      <c r="DC29" s="3">
        <v>39212668.018827207</v>
      </c>
      <c r="DD29" s="3">
        <v>0</v>
      </c>
      <c r="DE29" s="3">
        <v>0</v>
      </c>
      <c r="DF29" s="3">
        <v>526433956.25053453</v>
      </c>
      <c r="DG29" s="7" t="s">
        <v>93</v>
      </c>
      <c r="DH29" s="2" t="s">
        <v>21</v>
      </c>
      <c r="DI29" s="3">
        <v>34186492.307692312</v>
      </c>
      <c r="DJ29" s="3">
        <v>3080964.6093537435</v>
      </c>
      <c r="DK29" s="3">
        <v>0</v>
      </c>
      <c r="DL29" s="3">
        <v>0</v>
      </c>
      <c r="DM29" s="3">
        <v>37267456.917046055</v>
      </c>
      <c r="DN29" s="7" t="s">
        <v>93</v>
      </c>
      <c r="DO29" s="2" t="s">
        <v>21</v>
      </c>
      <c r="DP29" s="3">
        <v>64733805.555555552</v>
      </c>
      <c r="DQ29" s="3">
        <v>29042553.951828122</v>
      </c>
      <c r="DR29" s="3">
        <v>0</v>
      </c>
      <c r="DS29" s="3">
        <v>0</v>
      </c>
      <c r="DT29" s="3">
        <v>93776359.507383674</v>
      </c>
      <c r="DU29" s="7" t="s">
        <v>93</v>
      </c>
      <c r="DV29" s="2" t="s">
        <v>21</v>
      </c>
      <c r="DW29" s="3">
        <v>353968225.40538794</v>
      </c>
      <c r="DX29" s="3">
        <v>0</v>
      </c>
      <c r="DY29" s="3">
        <v>54467052.915360816</v>
      </c>
      <c r="DZ29" s="3">
        <v>0</v>
      </c>
      <c r="EA29" s="3">
        <v>408435278.32074875</v>
      </c>
      <c r="EB29" s="7" t="s">
        <v>93</v>
      </c>
      <c r="EC29" s="2" t="s">
        <v>21</v>
      </c>
      <c r="ED29" s="3">
        <v>27945355465.588825</v>
      </c>
      <c r="EE29" s="3">
        <v>26261555.479729526</v>
      </c>
      <c r="EF29" s="3">
        <v>27233526.457680408</v>
      </c>
      <c r="EG29" s="3">
        <v>0</v>
      </c>
      <c r="EH29" s="3">
        <v>27998850547.526234</v>
      </c>
    </row>
    <row r="30" spans="1:138" ht="10.199999999999999" customHeight="1" x14ac:dyDescent="0.2">
      <c r="A30" s="7" t="s">
        <v>115</v>
      </c>
      <c r="B30" s="2" t="s">
        <v>43</v>
      </c>
      <c r="C30" s="3">
        <f t="shared" si="4"/>
        <v>5605534565.9559898</v>
      </c>
      <c r="D30" s="3">
        <f t="shared" si="5"/>
        <v>43293604.656188466</v>
      </c>
      <c r="E30" s="3">
        <f t="shared" si="6"/>
        <v>32268426911.573303</v>
      </c>
      <c r="F30" s="3">
        <f t="shared" si="7"/>
        <v>60896642614.382599</v>
      </c>
      <c r="G30" s="3">
        <f t="shared" si="8"/>
        <v>5958961155.2181473</v>
      </c>
      <c r="H30" s="3">
        <f t="shared" si="9"/>
        <v>0</v>
      </c>
      <c r="I30" s="3">
        <f t="shared" si="10"/>
        <v>13324481757.218506</v>
      </c>
      <c r="J30" s="3">
        <f t="shared" si="11"/>
        <v>1574247808.3882756</v>
      </c>
      <c r="K30" s="3">
        <f t="shared" si="12"/>
        <v>1598308789.7795739</v>
      </c>
      <c r="L30" s="3">
        <f t="shared" si="13"/>
        <v>234756407844.17175</v>
      </c>
      <c r="M30" s="3">
        <f t="shared" si="14"/>
        <v>106517073522.71335</v>
      </c>
      <c r="N30" s="3">
        <f t="shared" si="15"/>
        <v>327691755684.84027</v>
      </c>
      <c r="O30" s="3">
        <f t="shared" si="16"/>
        <v>790235134258.89795</v>
      </c>
      <c r="P30" s="7" t="s">
        <v>115</v>
      </c>
      <c r="Q30" s="2" t="s">
        <v>43</v>
      </c>
      <c r="R30" s="3">
        <f t="shared" si="17"/>
        <v>5605534565.9559898</v>
      </c>
      <c r="S30" s="3">
        <f t="shared" si="17"/>
        <v>43293604.656188466</v>
      </c>
      <c r="T30" s="3">
        <f t="shared" si="17"/>
        <v>32268426911.573303</v>
      </c>
      <c r="U30" s="3">
        <f t="shared" si="17"/>
        <v>60896642614.382599</v>
      </c>
      <c r="V30" s="3">
        <f t="shared" si="17"/>
        <v>5958961155.2181473</v>
      </c>
      <c r="W30" s="3">
        <f t="shared" ref="W30:AA41" si="27">H30</f>
        <v>0</v>
      </c>
      <c r="X30" s="3">
        <f t="shared" si="27"/>
        <v>13324481757.218506</v>
      </c>
      <c r="Y30" s="3">
        <f t="shared" si="27"/>
        <v>1574247808.3882756</v>
      </c>
      <c r="Z30" s="3">
        <f t="shared" si="27"/>
        <v>1598308789.7795739</v>
      </c>
      <c r="AA30" s="3">
        <f t="shared" si="27"/>
        <v>234756407844.17175</v>
      </c>
      <c r="AB30" s="3">
        <f t="shared" si="18"/>
        <v>356026305051.34436</v>
      </c>
      <c r="AC30" s="7" t="s">
        <v>115</v>
      </c>
      <c r="AD30" s="2" t="s">
        <v>43</v>
      </c>
      <c r="AE30" s="3">
        <f t="shared" si="19"/>
        <v>106517073522.71335</v>
      </c>
      <c r="AF30" s="3">
        <f t="shared" si="19"/>
        <v>327691755684.84027</v>
      </c>
      <c r="AG30" s="3">
        <f t="shared" si="20"/>
        <v>434208829207.55359</v>
      </c>
      <c r="AH30" s="7" t="s">
        <v>115</v>
      </c>
      <c r="AI30" s="2" t="s">
        <v>43</v>
      </c>
      <c r="AJ30" s="3">
        <f t="shared" si="21"/>
        <v>11274765932.005241</v>
      </c>
      <c r="AK30" s="3">
        <f t="shared" si="21"/>
        <v>296051235167.10248</v>
      </c>
      <c r="AL30" s="3">
        <f t="shared" si="21"/>
        <v>482909133159.79016</v>
      </c>
      <c r="AM30" s="3">
        <f t="shared" si="21"/>
        <v>0</v>
      </c>
      <c r="AN30" s="3">
        <f t="shared" si="22"/>
        <v>790235134258.89795</v>
      </c>
      <c r="AO30" s="7" t="s">
        <v>115</v>
      </c>
      <c r="AP30" s="2" t="s">
        <v>43</v>
      </c>
      <c r="AQ30" s="3">
        <f t="shared" si="23"/>
        <v>4426264173.3696413</v>
      </c>
      <c r="AR30" s="3">
        <f t="shared" si="23"/>
        <v>202681403803.59656</v>
      </c>
      <c r="AS30" s="3">
        <f t="shared" si="23"/>
        <v>148918637074.37811</v>
      </c>
      <c r="AT30" s="3">
        <f t="shared" si="23"/>
        <v>0</v>
      </c>
      <c r="AU30" s="3">
        <f t="shared" si="24"/>
        <v>356026305051.3443</v>
      </c>
      <c r="AV30" s="7" t="s">
        <v>115</v>
      </c>
      <c r="AW30" s="2" t="s">
        <v>43</v>
      </c>
      <c r="AX30" s="3">
        <f t="shared" si="25"/>
        <v>6848501758.635601</v>
      </c>
      <c r="AY30" s="3">
        <f t="shared" si="25"/>
        <v>93369831363.505936</v>
      </c>
      <c r="AZ30" s="3">
        <f t="shared" si="25"/>
        <v>333990496085.41205</v>
      </c>
      <c r="BA30" s="3">
        <f t="shared" si="25"/>
        <v>0</v>
      </c>
      <c r="BB30" s="3">
        <f t="shared" si="26"/>
        <v>434208829207.55359</v>
      </c>
      <c r="BC30" s="7" t="s">
        <v>115</v>
      </c>
      <c r="BD30" s="2" t="s">
        <v>43</v>
      </c>
      <c r="BE30" s="3">
        <v>390032963.40362668</v>
      </c>
      <c r="BF30" s="3">
        <v>0</v>
      </c>
      <c r="BG30" s="3">
        <v>5215501602.5523634</v>
      </c>
      <c r="BH30" s="3">
        <v>0</v>
      </c>
      <c r="BI30" s="3">
        <v>5605534565.9559898</v>
      </c>
      <c r="BJ30" s="7" t="s">
        <v>115</v>
      </c>
      <c r="BK30" s="2" t="s">
        <v>43</v>
      </c>
      <c r="BL30" s="3">
        <v>43293604.656188466</v>
      </c>
      <c r="BM30" s="3">
        <v>0</v>
      </c>
      <c r="BN30" s="3">
        <v>0</v>
      </c>
      <c r="BO30" s="3">
        <v>0</v>
      </c>
      <c r="BP30" s="3">
        <v>43293604.656188466</v>
      </c>
      <c r="BQ30" s="7" t="s">
        <v>115</v>
      </c>
      <c r="BR30" s="2" t="s">
        <v>43</v>
      </c>
      <c r="BS30" s="3">
        <v>0</v>
      </c>
      <c r="BT30" s="3">
        <v>0</v>
      </c>
      <c r="BU30" s="3">
        <v>32268426911.573303</v>
      </c>
      <c r="BV30" s="3">
        <v>0</v>
      </c>
      <c r="BW30" s="3">
        <v>32268426911.573303</v>
      </c>
      <c r="BX30" s="7" t="s">
        <v>115</v>
      </c>
      <c r="BY30" s="2" t="s">
        <v>43</v>
      </c>
      <c r="BZ30" s="3">
        <v>2163416321.7065945</v>
      </c>
      <c r="CA30" s="3">
        <v>57069559011.780594</v>
      </c>
      <c r="CB30" s="3">
        <v>1663667280.8954105</v>
      </c>
      <c r="CC30" s="3">
        <v>0</v>
      </c>
      <c r="CD30" s="3">
        <v>60896642614.382599</v>
      </c>
      <c r="CE30" s="7" t="s">
        <v>115</v>
      </c>
      <c r="CF30" s="2" t="s">
        <v>43</v>
      </c>
      <c r="CG30" s="3">
        <v>152472019.10435659</v>
      </c>
      <c r="CH30" s="3">
        <v>1331384199.7233949</v>
      </c>
      <c r="CI30" s="3">
        <v>4475104936.3903961</v>
      </c>
      <c r="CJ30" s="3">
        <v>0</v>
      </c>
      <c r="CK30" s="3">
        <v>5958961155.2181473</v>
      </c>
      <c r="CL30" s="7" t="s">
        <v>115</v>
      </c>
      <c r="CM30" s="2" t="s">
        <v>43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7" t="s">
        <v>115</v>
      </c>
      <c r="CT30" s="2" t="s">
        <v>43</v>
      </c>
      <c r="CU30" s="3">
        <v>243414185.75321919</v>
      </c>
      <c r="CV30" s="3">
        <v>13081067571.465286</v>
      </c>
      <c r="CW30" s="3">
        <v>0</v>
      </c>
      <c r="CX30" s="3">
        <v>0</v>
      </c>
      <c r="CY30" s="3">
        <v>13324481757.218506</v>
      </c>
      <c r="CZ30" s="7" t="s">
        <v>115</v>
      </c>
      <c r="DA30" s="2" t="s">
        <v>43</v>
      </c>
      <c r="DB30" s="3">
        <v>794982879.25768006</v>
      </c>
      <c r="DC30" s="3">
        <v>801876390.02949333</v>
      </c>
      <c r="DD30" s="3">
        <v>1449520.4924007133</v>
      </c>
      <c r="DE30" s="3">
        <v>0</v>
      </c>
      <c r="DF30" s="3">
        <v>1598308789.7795739</v>
      </c>
      <c r="DG30" s="7" t="s">
        <v>115</v>
      </c>
      <c r="DH30" s="2" t="s">
        <v>43</v>
      </c>
      <c r="DI30" s="3">
        <v>10806536.573439481</v>
      </c>
      <c r="DJ30" s="3">
        <v>0</v>
      </c>
      <c r="DK30" s="3">
        <v>1563441271.814836</v>
      </c>
      <c r="DL30" s="3">
        <v>0</v>
      </c>
      <c r="DM30" s="3">
        <v>1574247808.3882756</v>
      </c>
      <c r="DN30" s="7" t="s">
        <v>115</v>
      </c>
      <c r="DO30" s="2" t="s">
        <v>43</v>
      </c>
      <c r="DP30" s="3">
        <v>627845662.91453588</v>
      </c>
      <c r="DQ30" s="3">
        <v>130397516630.59781</v>
      </c>
      <c r="DR30" s="3">
        <v>103731045550.65942</v>
      </c>
      <c r="DS30" s="3">
        <v>0</v>
      </c>
      <c r="DT30" s="3">
        <v>234756407844.17175</v>
      </c>
      <c r="DU30" s="7" t="s">
        <v>115</v>
      </c>
      <c r="DV30" s="2" t="s">
        <v>43</v>
      </c>
      <c r="DW30" s="3">
        <v>639508608.93606746</v>
      </c>
      <c r="DX30" s="3">
        <v>1469980232.4729629</v>
      </c>
      <c r="DY30" s="3">
        <v>325582266843.43121</v>
      </c>
      <c r="DZ30" s="3">
        <v>0</v>
      </c>
      <c r="EA30" s="3">
        <v>327691755684.84027</v>
      </c>
      <c r="EB30" s="7" t="s">
        <v>115</v>
      </c>
      <c r="EC30" s="2" t="s">
        <v>43</v>
      </c>
      <c r="ED30" s="3">
        <v>6208993149.6995335</v>
      </c>
      <c r="EE30" s="3">
        <v>91899851131.032974</v>
      </c>
      <c r="EF30" s="3">
        <v>8408229241.9808311</v>
      </c>
      <c r="EG30" s="3">
        <v>0</v>
      </c>
      <c r="EH30" s="3">
        <v>106517073522.71335</v>
      </c>
    </row>
    <row r="31" spans="1:138" ht="10.199999999999999" customHeight="1" x14ac:dyDescent="0.2">
      <c r="A31" s="7" t="s">
        <v>111</v>
      </c>
      <c r="B31" s="2" t="s">
        <v>39</v>
      </c>
      <c r="C31" s="3">
        <f t="shared" si="4"/>
        <v>462516629.91130972</v>
      </c>
      <c r="D31" s="3">
        <f t="shared" si="5"/>
        <v>611536440.75068772</v>
      </c>
      <c r="E31" s="3">
        <f t="shared" si="6"/>
        <v>2237209501.9167085</v>
      </c>
      <c r="F31" s="3">
        <f t="shared" si="7"/>
        <v>18203411297.695313</v>
      </c>
      <c r="G31" s="3">
        <f t="shared" si="8"/>
        <v>56602626.996079937</v>
      </c>
      <c r="H31" s="3">
        <f t="shared" si="9"/>
        <v>0</v>
      </c>
      <c r="I31" s="3">
        <f t="shared" si="10"/>
        <v>407387918.07046515</v>
      </c>
      <c r="J31" s="3">
        <f t="shared" si="11"/>
        <v>6812132023.4321566</v>
      </c>
      <c r="K31" s="3">
        <f t="shared" si="12"/>
        <v>32296153504.245178</v>
      </c>
      <c r="L31" s="3">
        <f t="shared" si="13"/>
        <v>4441251214.3573933</v>
      </c>
      <c r="M31" s="3">
        <f t="shared" si="14"/>
        <v>61521686766.671982</v>
      </c>
      <c r="N31" s="3">
        <f t="shared" si="15"/>
        <v>22522674117.541302</v>
      </c>
      <c r="O31" s="3">
        <f t="shared" si="16"/>
        <v>149572562041.58856</v>
      </c>
      <c r="P31" s="7" t="s">
        <v>111</v>
      </c>
      <c r="Q31" s="2" t="s">
        <v>39</v>
      </c>
      <c r="R31" s="3">
        <f t="shared" ref="R31:V41" si="28">C31</f>
        <v>462516629.91130972</v>
      </c>
      <c r="S31" s="3">
        <f t="shared" si="28"/>
        <v>611536440.75068772</v>
      </c>
      <c r="T31" s="3">
        <f t="shared" si="28"/>
        <v>2237209501.9167085</v>
      </c>
      <c r="U31" s="3">
        <f t="shared" si="28"/>
        <v>18203411297.695313</v>
      </c>
      <c r="V31" s="3">
        <f t="shared" si="28"/>
        <v>56602626.996079937</v>
      </c>
      <c r="W31" s="3">
        <f t="shared" si="27"/>
        <v>0</v>
      </c>
      <c r="X31" s="3">
        <f t="shared" si="27"/>
        <v>407387918.07046515</v>
      </c>
      <c r="Y31" s="3">
        <f t="shared" si="27"/>
        <v>6812132023.4321566</v>
      </c>
      <c r="Z31" s="3">
        <f t="shared" si="27"/>
        <v>32296153504.245178</v>
      </c>
      <c r="AA31" s="3">
        <f t="shared" si="27"/>
        <v>4441251214.3573933</v>
      </c>
      <c r="AB31" s="3">
        <f t="shared" si="18"/>
        <v>65528201157.37529</v>
      </c>
      <c r="AC31" s="7" t="s">
        <v>111</v>
      </c>
      <c r="AD31" s="2" t="s">
        <v>39</v>
      </c>
      <c r="AE31" s="3">
        <f t="shared" si="19"/>
        <v>61521686766.671982</v>
      </c>
      <c r="AF31" s="3">
        <f t="shared" si="19"/>
        <v>22522674117.541302</v>
      </c>
      <c r="AG31" s="3">
        <f t="shared" si="20"/>
        <v>84044360884.213287</v>
      </c>
      <c r="AH31" s="7" t="s">
        <v>111</v>
      </c>
      <c r="AI31" s="2" t="s">
        <v>39</v>
      </c>
      <c r="AJ31" s="3">
        <f t="shared" si="21"/>
        <v>111660171126.39928</v>
      </c>
      <c r="AK31" s="3">
        <f t="shared" si="21"/>
        <v>21452371865.00486</v>
      </c>
      <c r="AL31" s="3">
        <f t="shared" si="21"/>
        <v>0</v>
      </c>
      <c r="AM31" s="3">
        <f t="shared" si="21"/>
        <v>16460019050.184441</v>
      </c>
      <c r="AN31" s="3">
        <f t="shared" si="22"/>
        <v>149572562041.58859</v>
      </c>
      <c r="AO31" s="7" t="s">
        <v>111</v>
      </c>
      <c r="AP31" s="2" t="s">
        <v>39</v>
      </c>
      <c r="AQ31" s="3">
        <f t="shared" si="23"/>
        <v>43511946665.543282</v>
      </c>
      <c r="AR31" s="3">
        <f t="shared" si="23"/>
        <v>19779044989.915302</v>
      </c>
      <c r="AS31" s="3">
        <f t="shared" si="23"/>
        <v>0</v>
      </c>
      <c r="AT31" s="3">
        <f t="shared" si="23"/>
        <v>2237209501.9167085</v>
      </c>
      <c r="AU31" s="3">
        <f t="shared" si="24"/>
        <v>65528201157.375298</v>
      </c>
      <c r="AV31" s="7" t="s">
        <v>111</v>
      </c>
      <c r="AW31" s="2" t="s">
        <v>39</v>
      </c>
      <c r="AX31" s="3">
        <f t="shared" si="25"/>
        <v>68148224460.855995</v>
      </c>
      <c r="AY31" s="3">
        <f t="shared" si="25"/>
        <v>1673326875.0895565</v>
      </c>
      <c r="AZ31" s="3">
        <f t="shared" si="25"/>
        <v>0</v>
      </c>
      <c r="BA31" s="3">
        <f t="shared" si="25"/>
        <v>14222809548.267733</v>
      </c>
      <c r="BB31" s="3">
        <f t="shared" si="26"/>
        <v>84044360884.213287</v>
      </c>
      <c r="BC31" s="7" t="s">
        <v>111</v>
      </c>
      <c r="BD31" s="2" t="s">
        <v>39</v>
      </c>
      <c r="BE31" s="3">
        <v>288411749.65812784</v>
      </c>
      <c r="BF31" s="3">
        <v>174104880.2531819</v>
      </c>
      <c r="BG31" s="3">
        <v>0</v>
      </c>
      <c r="BH31" s="3">
        <v>0</v>
      </c>
      <c r="BI31" s="3">
        <v>462516629.91130972</v>
      </c>
      <c r="BJ31" s="7" t="s">
        <v>111</v>
      </c>
      <c r="BK31" s="2" t="s">
        <v>39</v>
      </c>
      <c r="BL31" s="3">
        <v>611536440.75068772</v>
      </c>
      <c r="BM31" s="3">
        <v>0</v>
      </c>
      <c r="BN31" s="3">
        <v>0</v>
      </c>
      <c r="BO31" s="3">
        <v>0</v>
      </c>
      <c r="BP31" s="3">
        <v>611536440.75068772</v>
      </c>
      <c r="BQ31" s="7" t="s">
        <v>111</v>
      </c>
      <c r="BR31" s="2" t="s">
        <v>39</v>
      </c>
      <c r="BS31" s="3">
        <v>0</v>
      </c>
      <c r="BT31" s="3">
        <v>0</v>
      </c>
      <c r="BU31" s="3">
        <v>0</v>
      </c>
      <c r="BV31" s="3">
        <v>2237209501.9167085</v>
      </c>
      <c r="BW31" s="3">
        <v>2237209501.9167085</v>
      </c>
      <c r="BX31" s="7" t="s">
        <v>111</v>
      </c>
      <c r="BY31" s="2" t="s">
        <v>39</v>
      </c>
      <c r="BZ31" s="3">
        <v>17790091696.636013</v>
      </c>
      <c r="CA31" s="3">
        <v>413319601.0592978</v>
      </c>
      <c r="CB31" s="3">
        <v>0</v>
      </c>
      <c r="CC31" s="3">
        <v>0</v>
      </c>
      <c r="CD31" s="3">
        <v>18203411297.695313</v>
      </c>
      <c r="CE31" s="7" t="s">
        <v>111</v>
      </c>
      <c r="CF31" s="2" t="s">
        <v>39</v>
      </c>
      <c r="CG31" s="3">
        <v>56602626.996079937</v>
      </c>
      <c r="CH31" s="3">
        <v>0</v>
      </c>
      <c r="CI31" s="3">
        <v>0</v>
      </c>
      <c r="CJ31" s="3">
        <v>0</v>
      </c>
      <c r="CK31" s="3">
        <v>56602626.996079937</v>
      </c>
      <c r="CL31" s="7" t="s">
        <v>111</v>
      </c>
      <c r="CM31" s="2" t="s">
        <v>39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7" t="s">
        <v>111</v>
      </c>
      <c r="CT31" s="2" t="s">
        <v>39</v>
      </c>
      <c r="CU31" s="3">
        <v>407387918.07046515</v>
      </c>
      <c r="CV31" s="3">
        <v>0</v>
      </c>
      <c r="CW31" s="3">
        <v>0</v>
      </c>
      <c r="CX31" s="3">
        <v>0</v>
      </c>
      <c r="CY31" s="3">
        <v>407387918.07046515</v>
      </c>
      <c r="CZ31" s="7" t="s">
        <v>111</v>
      </c>
      <c r="DA31" s="2" t="s">
        <v>39</v>
      </c>
      <c r="DB31" s="3">
        <v>15592505343.208588</v>
      </c>
      <c r="DC31" s="3">
        <v>16703648161.036592</v>
      </c>
      <c r="DD31" s="3">
        <v>0</v>
      </c>
      <c r="DE31" s="3">
        <v>0</v>
      </c>
      <c r="DF31" s="3">
        <v>32296153504.245178</v>
      </c>
      <c r="DG31" s="7" t="s">
        <v>111</v>
      </c>
      <c r="DH31" s="2" t="s">
        <v>39</v>
      </c>
      <c r="DI31" s="3">
        <v>5124542888.8410921</v>
      </c>
      <c r="DJ31" s="3">
        <v>1687589134.5910647</v>
      </c>
      <c r="DK31" s="3">
        <v>0</v>
      </c>
      <c r="DL31" s="3">
        <v>0</v>
      </c>
      <c r="DM31" s="3">
        <v>6812132023.4321566</v>
      </c>
      <c r="DN31" s="7" t="s">
        <v>111</v>
      </c>
      <c r="DO31" s="2" t="s">
        <v>39</v>
      </c>
      <c r="DP31" s="3">
        <v>3640868001.3822279</v>
      </c>
      <c r="DQ31" s="3">
        <v>800383212.97516549</v>
      </c>
      <c r="DR31" s="3">
        <v>0</v>
      </c>
      <c r="DS31" s="3">
        <v>0</v>
      </c>
      <c r="DT31" s="3">
        <v>4441251214.3573933</v>
      </c>
      <c r="DU31" s="7" t="s">
        <v>111</v>
      </c>
      <c r="DV31" s="2" t="s">
        <v>39</v>
      </c>
      <c r="DW31" s="3">
        <v>6626537694.1840134</v>
      </c>
      <c r="DX31" s="3">
        <v>1673326875.0895565</v>
      </c>
      <c r="DY31" s="3">
        <v>0</v>
      </c>
      <c r="DZ31" s="3">
        <v>14222809548.267733</v>
      </c>
      <c r="EA31" s="3">
        <v>22522674117.541302</v>
      </c>
      <c r="EB31" s="7" t="s">
        <v>111</v>
      </c>
      <c r="EC31" s="2" t="s">
        <v>39</v>
      </c>
      <c r="ED31" s="3">
        <v>61521686766.671982</v>
      </c>
      <c r="EE31" s="3">
        <v>0</v>
      </c>
      <c r="EF31" s="3">
        <v>0</v>
      </c>
      <c r="EG31" s="3">
        <v>0</v>
      </c>
      <c r="EH31" s="3">
        <v>61521686766.671982</v>
      </c>
    </row>
    <row r="32" spans="1:138" ht="10.199999999999999" customHeight="1" x14ac:dyDescent="0.2">
      <c r="A32" s="7" t="s">
        <v>118</v>
      </c>
      <c r="B32" s="2" t="s">
        <v>46</v>
      </c>
      <c r="C32" s="3">
        <f t="shared" si="4"/>
        <v>127863827.89556156</v>
      </c>
      <c r="D32" s="3">
        <f t="shared" si="5"/>
        <v>0</v>
      </c>
      <c r="E32" s="3">
        <f t="shared" si="6"/>
        <v>41643361289.973091</v>
      </c>
      <c r="F32" s="3">
        <f t="shared" si="7"/>
        <v>33554086.52037615</v>
      </c>
      <c r="G32" s="3">
        <f t="shared" si="8"/>
        <v>4526988.2031179145</v>
      </c>
      <c r="H32" s="3">
        <f t="shared" si="9"/>
        <v>0</v>
      </c>
      <c r="I32" s="3">
        <f t="shared" si="10"/>
        <v>0</v>
      </c>
      <c r="J32" s="3">
        <f t="shared" si="11"/>
        <v>66187382.015561715</v>
      </c>
      <c r="K32" s="3">
        <f t="shared" si="12"/>
        <v>127064380303.39818</v>
      </c>
      <c r="L32" s="3">
        <f t="shared" si="13"/>
        <v>3599722565.2877307</v>
      </c>
      <c r="M32" s="3">
        <f t="shared" si="14"/>
        <v>0</v>
      </c>
      <c r="N32" s="3">
        <f t="shared" si="15"/>
        <v>29694203.803737875</v>
      </c>
      <c r="O32" s="3">
        <f t="shared" si="16"/>
        <v>172569290647.09735</v>
      </c>
      <c r="P32" s="7" t="s">
        <v>118</v>
      </c>
      <c r="Q32" s="2" t="s">
        <v>46</v>
      </c>
      <c r="R32" s="3">
        <f t="shared" si="28"/>
        <v>127863827.89556156</v>
      </c>
      <c r="S32" s="3">
        <f t="shared" si="28"/>
        <v>0</v>
      </c>
      <c r="T32" s="3">
        <f t="shared" si="28"/>
        <v>41643361289.973091</v>
      </c>
      <c r="U32" s="3">
        <f t="shared" si="28"/>
        <v>33554086.52037615</v>
      </c>
      <c r="V32" s="3">
        <f t="shared" si="28"/>
        <v>4526988.2031179145</v>
      </c>
      <c r="W32" s="3">
        <f t="shared" si="27"/>
        <v>0</v>
      </c>
      <c r="X32" s="3">
        <f t="shared" si="27"/>
        <v>0</v>
      </c>
      <c r="Y32" s="3">
        <f t="shared" si="27"/>
        <v>66187382.015561715</v>
      </c>
      <c r="Z32" s="3">
        <f t="shared" si="27"/>
        <v>127064380303.39818</v>
      </c>
      <c r="AA32" s="3">
        <f t="shared" si="27"/>
        <v>3599722565.2877307</v>
      </c>
      <c r="AB32" s="3">
        <f t="shared" si="18"/>
        <v>172539596443.29361</v>
      </c>
      <c r="AC32" s="7" t="s">
        <v>118</v>
      </c>
      <c r="AD32" s="2" t="s">
        <v>46</v>
      </c>
      <c r="AE32" s="3">
        <f t="shared" si="19"/>
        <v>0</v>
      </c>
      <c r="AF32" s="3">
        <f t="shared" si="19"/>
        <v>29694203.803737875</v>
      </c>
      <c r="AG32" s="3">
        <f t="shared" si="20"/>
        <v>29694203.803737875</v>
      </c>
      <c r="AH32" s="7" t="s">
        <v>118</v>
      </c>
      <c r="AI32" s="2" t="s">
        <v>46</v>
      </c>
      <c r="AJ32" s="3">
        <f t="shared" si="21"/>
        <v>1691278404.817951</v>
      </c>
      <c r="AK32" s="3">
        <f t="shared" si="21"/>
        <v>2208782706.5250568</v>
      </c>
      <c r="AL32" s="3">
        <f t="shared" si="21"/>
        <v>14692632085.898199</v>
      </c>
      <c r="AM32" s="3">
        <f t="shared" si="21"/>
        <v>153976597449.85614</v>
      </c>
      <c r="AN32" s="3">
        <f t="shared" si="22"/>
        <v>172569290647.09735</v>
      </c>
      <c r="AO32" s="7" t="s">
        <v>118</v>
      </c>
      <c r="AP32" s="2" t="s">
        <v>46</v>
      </c>
      <c r="AQ32" s="3">
        <f t="shared" si="23"/>
        <v>1662317764.0164402</v>
      </c>
      <c r="AR32" s="3">
        <f t="shared" si="23"/>
        <v>2208049143.5228295</v>
      </c>
      <c r="AS32" s="3">
        <f t="shared" si="23"/>
        <v>14692632085.898199</v>
      </c>
      <c r="AT32" s="3">
        <f t="shared" si="23"/>
        <v>153976597449.85614</v>
      </c>
      <c r="AU32" s="3">
        <f t="shared" si="24"/>
        <v>172539596443.29361</v>
      </c>
      <c r="AV32" s="7" t="s">
        <v>118</v>
      </c>
      <c r="AW32" s="2" t="s">
        <v>46</v>
      </c>
      <c r="AX32" s="3">
        <f t="shared" si="25"/>
        <v>28960640.801510792</v>
      </c>
      <c r="AY32" s="3">
        <f t="shared" si="25"/>
        <v>733563.00222708168</v>
      </c>
      <c r="AZ32" s="3">
        <f t="shared" si="25"/>
        <v>0</v>
      </c>
      <c r="BA32" s="3">
        <f t="shared" si="25"/>
        <v>0</v>
      </c>
      <c r="BB32" s="3">
        <f t="shared" si="26"/>
        <v>29694203.803737875</v>
      </c>
      <c r="BC32" s="7" t="s">
        <v>118</v>
      </c>
      <c r="BD32" s="2" t="s">
        <v>46</v>
      </c>
      <c r="BE32" s="3">
        <v>68375958.601576701</v>
      </c>
      <c r="BF32" s="3">
        <v>59487869.29398486</v>
      </c>
      <c r="BG32" s="3">
        <v>0</v>
      </c>
      <c r="BH32" s="3">
        <v>0</v>
      </c>
      <c r="BI32" s="3">
        <v>127863827.89556156</v>
      </c>
      <c r="BJ32" s="7" t="s">
        <v>118</v>
      </c>
      <c r="BK32" s="2" t="s">
        <v>46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7" t="s">
        <v>118</v>
      </c>
      <c r="BR32" s="2" t="s">
        <v>46</v>
      </c>
      <c r="BS32" s="3">
        <v>0</v>
      </c>
      <c r="BT32" s="3">
        <v>0</v>
      </c>
      <c r="BU32" s="3">
        <v>0</v>
      </c>
      <c r="BV32" s="3">
        <v>41643361289.973091</v>
      </c>
      <c r="BW32" s="3">
        <v>41643361289.973091</v>
      </c>
      <c r="BX32" s="7" t="s">
        <v>118</v>
      </c>
      <c r="BY32" s="2" t="s">
        <v>46</v>
      </c>
      <c r="BZ32" s="3">
        <v>33554086.52037615</v>
      </c>
      <c r="CA32" s="3">
        <v>0</v>
      </c>
      <c r="CB32" s="3">
        <v>0</v>
      </c>
      <c r="CC32" s="3">
        <v>0</v>
      </c>
      <c r="CD32" s="3">
        <v>33554086.52037615</v>
      </c>
      <c r="CE32" s="7" t="s">
        <v>118</v>
      </c>
      <c r="CF32" s="2" t="s">
        <v>46</v>
      </c>
      <c r="CG32" s="3">
        <v>3628373.5253897393</v>
      </c>
      <c r="CH32" s="3">
        <v>898614.67772817507</v>
      </c>
      <c r="CI32" s="3">
        <v>0</v>
      </c>
      <c r="CJ32" s="3">
        <v>0</v>
      </c>
      <c r="CK32" s="3">
        <v>4526988.2031179145</v>
      </c>
      <c r="CL32" s="7" t="s">
        <v>118</v>
      </c>
      <c r="CM32" s="2" t="s">
        <v>46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7" t="s">
        <v>118</v>
      </c>
      <c r="CT32" s="2" t="s">
        <v>46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7" t="s">
        <v>118</v>
      </c>
      <c r="DA32" s="2" t="s">
        <v>46</v>
      </c>
      <c r="DB32" s="3">
        <v>0</v>
      </c>
      <c r="DC32" s="3">
        <v>38512057.61692179</v>
      </c>
      <c r="DD32" s="3">
        <v>14692632085.898199</v>
      </c>
      <c r="DE32" s="3">
        <v>112333236159.88306</v>
      </c>
      <c r="DF32" s="3">
        <v>127064380303.39818</v>
      </c>
      <c r="DG32" s="7" t="s">
        <v>118</v>
      </c>
      <c r="DH32" s="2" t="s">
        <v>46</v>
      </c>
      <c r="DI32" s="3">
        <v>66187382.015561715</v>
      </c>
      <c r="DJ32" s="3">
        <v>0</v>
      </c>
      <c r="DK32" s="3">
        <v>0</v>
      </c>
      <c r="DL32" s="3">
        <v>0</v>
      </c>
      <c r="DM32" s="3">
        <v>66187382.015561715</v>
      </c>
      <c r="DN32" s="7" t="s">
        <v>118</v>
      </c>
      <c r="DO32" s="2" t="s">
        <v>46</v>
      </c>
      <c r="DP32" s="3">
        <v>1490571963.3535359</v>
      </c>
      <c r="DQ32" s="3">
        <v>2109150601.9341948</v>
      </c>
      <c r="DR32" s="3">
        <v>0</v>
      </c>
      <c r="DS32" s="3">
        <v>0</v>
      </c>
      <c r="DT32" s="3">
        <v>3599722565.2877307</v>
      </c>
      <c r="DU32" s="7" t="s">
        <v>118</v>
      </c>
      <c r="DV32" s="2" t="s">
        <v>46</v>
      </c>
      <c r="DW32" s="3">
        <v>28960640.801510792</v>
      </c>
      <c r="DX32" s="3">
        <v>733563.00222708168</v>
      </c>
      <c r="DY32" s="3">
        <v>0</v>
      </c>
      <c r="DZ32" s="3">
        <v>0</v>
      </c>
      <c r="EA32" s="3">
        <v>29694203.803737875</v>
      </c>
      <c r="EB32" s="7" t="s">
        <v>118</v>
      </c>
      <c r="EC32" s="2" t="s">
        <v>46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</row>
    <row r="33" spans="1:138" ht="10.199999999999999" customHeight="1" x14ac:dyDescent="0.2">
      <c r="A33" s="7" t="s">
        <v>124</v>
      </c>
      <c r="B33" s="2" t="s">
        <v>52</v>
      </c>
      <c r="C33" s="3">
        <f t="shared" si="4"/>
        <v>0</v>
      </c>
      <c r="D33" s="3">
        <f t="shared" si="5"/>
        <v>112154524.4350448</v>
      </c>
      <c r="E33" s="3">
        <f t="shared" si="6"/>
        <v>0</v>
      </c>
      <c r="F33" s="3">
        <f t="shared" si="7"/>
        <v>2991338765.2716522</v>
      </c>
      <c r="G33" s="3">
        <f t="shared" si="8"/>
        <v>16956667850.416935</v>
      </c>
      <c r="H33" s="3">
        <f t="shared" si="9"/>
        <v>106777849.46146947</v>
      </c>
      <c r="I33" s="3">
        <f t="shared" si="10"/>
        <v>316899.21696209931</v>
      </c>
      <c r="J33" s="3">
        <f t="shared" si="11"/>
        <v>6029887.8783066124</v>
      </c>
      <c r="K33" s="3">
        <f t="shared" si="12"/>
        <v>0</v>
      </c>
      <c r="L33" s="3">
        <f t="shared" si="13"/>
        <v>8064093852.7385864</v>
      </c>
      <c r="M33" s="3">
        <f t="shared" si="14"/>
        <v>7622746224.103775</v>
      </c>
      <c r="N33" s="3">
        <f t="shared" si="15"/>
        <v>1317052047.0049922</v>
      </c>
      <c r="O33" s="3">
        <f t="shared" si="16"/>
        <v>37177177900.527718</v>
      </c>
      <c r="P33" s="7" t="s">
        <v>124</v>
      </c>
      <c r="Q33" s="2" t="s">
        <v>52</v>
      </c>
      <c r="R33" s="3">
        <f t="shared" si="28"/>
        <v>0</v>
      </c>
      <c r="S33" s="3">
        <f t="shared" si="28"/>
        <v>112154524.4350448</v>
      </c>
      <c r="T33" s="3">
        <f t="shared" si="28"/>
        <v>0</v>
      </c>
      <c r="U33" s="3">
        <f t="shared" si="28"/>
        <v>2991338765.2716522</v>
      </c>
      <c r="V33" s="3">
        <f t="shared" si="28"/>
        <v>16956667850.416935</v>
      </c>
      <c r="W33" s="3">
        <f t="shared" si="27"/>
        <v>106777849.46146947</v>
      </c>
      <c r="X33" s="3">
        <f t="shared" si="27"/>
        <v>316899.21696209931</v>
      </c>
      <c r="Y33" s="3">
        <f t="shared" si="27"/>
        <v>6029887.8783066124</v>
      </c>
      <c r="Z33" s="3">
        <f t="shared" si="27"/>
        <v>0</v>
      </c>
      <c r="AA33" s="3">
        <f t="shared" si="27"/>
        <v>8064093852.7385864</v>
      </c>
      <c r="AB33" s="3">
        <f t="shared" si="18"/>
        <v>28237379629.418953</v>
      </c>
      <c r="AC33" s="7" t="s">
        <v>124</v>
      </c>
      <c r="AD33" s="2" t="s">
        <v>52</v>
      </c>
      <c r="AE33" s="3">
        <f t="shared" si="19"/>
        <v>7622746224.103775</v>
      </c>
      <c r="AF33" s="3">
        <f t="shared" si="19"/>
        <v>1317052047.0049922</v>
      </c>
      <c r="AG33" s="3">
        <f t="shared" si="20"/>
        <v>8939798271.1087666</v>
      </c>
      <c r="AH33" s="7" t="s">
        <v>124</v>
      </c>
      <c r="AI33" s="2" t="s">
        <v>52</v>
      </c>
      <c r="AJ33" s="3">
        <f t="shared" si="21"/>
        <v>20684830374.511528</v>
      </c>
      <c r="AK33" s="3">
        <f t="shared" si="21"/>
        <v>415855131.51284468</v>
      </c>
      <c r="AL33" s="3">
        <f t="shared" si="21"/>
        <v>4730084048.978487</v>
      </c>
      <c r="AM33" s="3">
        <f t="shared" si="21"/>
        <v>11346408345.524864</v>
      </c>
      <c r="AN33" s="3">
        <f t="shared" si="22"/>
        <v>37177177900.527725</v>
      </c>
      <c r="AO33" s="7" t="s">
        <v>124</v>
      </c>
      <c r="AP33" s="2" t="s">
        <v>52</v>
      </c>
      <c r="AQ33" s="3">
        <f t="shared" si="23"/>
        <v>14221874351.683098</v>
      </c>
      <c r="AR33" s="3">
        <f t="shared" si="23"/>
        <v>7254271.5601375997</v>
      </c>
      <c r="AS33" s="3">
        <f t="shared" si="23"/>
        <v>2661842660.650857</v>
      </c>
      <c r="AT33" s="3">
        <f t="shared" si="23"/>
        <v>11346408345.524864</v>
      </c>
      <c r="AU33" s="3">
        <f t="shared" si="24"/>
        <v>28237379629.418957</v>
      </c>
      <c r="AV33" s="7" t="s">
        <v>124</v>
      </c>
      <c r="AW33" s="2" t="s">
        <v>52</v>
      </c>
      <c r="AX33" s="3">
        <f t="shared" si="25"/>
        <v>6462956022.8284302</v>
      </c>
      <c r="AY33" s="3">
        <f t="shared" si="25"/>
        <v>408600859.95270711</v>
      </c>
      <c r="AZ33" s="3">
        <f t="shared" si="25"/>
        <v>2068241388.32763</v>
      </c>
      <c r="BA33" s="3">
        <f t="shared" si="25"/>
        <v>0</v>
      </c>
      <c r="BB33" s="3">
        <f t="shared" si="26"/>
        <v>8939798271.1087685</v>
      </c>
      <c r="BC33" s="7" t="s">
        <v>124</v>
      </c>
      <c r="BD33" s="2" t="s">
        <v>52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7" t="s">
        <v>124</v>
      </c>
      <c r="BK33" s="2" t="s">
        <v>52</v>
      </c>
      <c r="BL33" s="3">
        <v>110159233.06898713</v>
      </c>
      <c r="BM33" s="3">
        <v>0</v>
      </c>
      <c r="BN33" s="3">
        <v>1995291.3660576621</v>
      </c>
      <c r="BO33" s="3">
        <v>0</v>
      </c>
      <c r="BP33" s="3">
        <v>112154524.4350448</v>
      </c>
      <c r="BQ33" s="7" t="s">
        <v>124</v>
      </c>
      <c r="BR33" s="2" t="s">
        <v>52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7" t="s">
        <v>124</v>
      </c>
      <c r="BY33" s="2" t="s">
        <v>52</v>
      </c>
      <c r="BZ33" s="3">
        <v>2937124237.6600714</v>
      </c>
      <c r="CA33" s="3">
        <v>0</v>
      </c>
      <c r="CB33" s="3">
        <v>54214527.611580826</v>
      </c>
      <c r="CC33" s="3">
        <v>0</v>
      </c>
      <c r="CD33" s="3">
        <v>2991338765.2716522</v>
      </c>
      <c r="CE33" s="7" t="s">
        <v>124</v>
      </c>
      <c r="CF33" s="2" t="s">
        <v>52</v>
      </c>
      <c r="CG33" s="3">
        <v>5610259504.8920698</v>
      </c>
      <c r="CH33" s="3">
        <v>0</v>
      </c>
      <c r="CI33" s="3">
        <v>0</v>
      </c>
      <c r="CJ33" s="3">
        <v>11346408345.524864</v>
      </c>
      <c r="CK33" s="3">
        <v>16956667850.416935</v>
      </c>
      <c r="CL33" s="7" t="s">
        <v>124</v>
      </c>
      <c r="CM33" s="2" t="s">
        <v>52</v>
      </c>
      <c r="CN33" s="3">
        <v>0</v>
      </c>
      <c r="CO33" s="3">
        <v>0</v>
      </c>
      <c r="CP33" s="3">
        <v>106777849.46146947</v>
      </c>
      <c r="CQ33" s="3">
        <v>0</v>
      </c>
      <c r="CR33" s="3">
        <v>106777849.46146947</v>
      </c>
      <c r="CS33" s="7" t="s">
        <v>124</v>
      </c>
      <c r="CT33" s="2" t="s">
        <v>52</v>
      </c>
      <c r="CU33" s="3">
        <v>316899.21696209931</v>
      </c>
      <c r="CV33" s="3">
        <v>0</v>
      </c>
      <c r="CW33" s="3">
        <v>0</v>
      </c>
      <c r="CX33" s="3">
        <v>0</v>
      </c>
      <c r="CY33" s="3">
        <v>316899.21696209931</v>
      </c>
      <c r="CZ33" s="7" t="s">
        <v>124</v>
      </c>
      <c r="DA33" s="2" t="s">
        <v>52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7" t="s">
        <v>124</v>
      </c>
      <c r="DH33" s="2" t="s">
        <v>52</v>
      </c>
      <c r="DI33" s="3">
        <v>4269336.672961616</v>
      </c>
      <c r="DJ33" s="3">
        <v>1760551.2053449959</v>
      </c>
      <c r="DK33" s="3">
        <v>0</v>
      </c>
      <c r="DL33" s="3">
        <v>0</v>
      </c>
      <c r="DM33" s="3">
        <v>6029887.8783066124</v>
      </c>
      <c r="DN33" s="7" t="s">
        <v>124</v>
      </c>
      <c r="DO33" s="2" t="s">
        <v>52</v>
      </c>
      <c r="DP33" s="3">
        <v>5559745140.1720448</v>
      </c>
      <c r="DQ33" s="3">
        <v>5493720.3547926042</v>
      </c>
      <c r="DR33" s="3">
        <v>2498854992.2117491</v>
      </c>
      <c r="DS33" s="3">
        <v>0</v>
      </c>
      <c r="DT33" s="3">
        <v>8064093852.7385864</v>
      </c>
      <c r="DU33" s="7" t="s">
        <v>124</v>
      </c>
      <c r="DV33" s="2" t="s">
        <v>52</v>
      </c>
      <c r="DW33" s="3">
        <v>125208000</v>
      </c>
      <c r="DX33" s="3">
        <v>0</v>
      </c>
      <c r="DY33" s="3">
        <v>1191844047.0049922</v>
      </c>
      <c r="DZ33" s="3">
        <v>0</v>
      </c>
      <c r="EA33" s="3">
        <v>1317052047.0049922</v>
      </c>
      <c r="EB33" s="7" t="s">
        <v>124</v>
      </c>
      <c r="EC33" s="2" t="s">
        <v>52</v>
      </c>
      <c r="ED33" s="3">
        <v>6337748022.8284302</v>
      </c>
      <c r="EE33" s="3">
        <v>408600859.95270711</v>
      </c>
      <c r="EF33" s="3">
        <v>876397341.32263768</v>
      </c>
      <c r="EG33" s="3">
        <v>0</v>
      </c>
      <c r="EH33" s="3">
        <v>7622746224.103775</v>
      </c>
    </row>
    <row r="34" spans="1:138" ht="10.199999999999999" customHeight="1" x14ac:dyDescent="0.2">
      <c r="A34" s="7" t="s">
        <v>123</v>
      </c>
      <c r="B34" s="2" t="s">
        <v>51</v>
      </c>
      <c r="C34" s="3">
        <f t="shared" si="4"/>
        <v>0</v>
      </c>
      <c r="D34" s="3">
        <f t="shared" si="5"/>
        <v>66054687.396553345</v>
      </c>
      <c r="E34" s="3">
        <f t="shared" si="6"/>
        <v>0</v>
      </c>
      <c r="F34" s="3">
        <f t="shared" si="7"/>
        <v>103346341.53205889</v>
      </c>
      <c r="G34" s="3">
        <f t="shared" si="8"/>
        <v>0</v>
      </c>
      <c r="H34" s="3">
        <f t="shared" si="9"/>
        <v>0</v>
      </c>
      <c r="I34" s="3">
        <f t="shared" si="10"/>
        <v>29149432.375573993</v>
      </c>
      <c r="J34" s="3">
        <f t="shared" si="11"/>
        <v>0</v>
      </c>
      <c r="K34" s="3">
        <f t="shared" si="12"/>
        <v>12903220.74613172</v>
      </c>
      <c r="L34" s="3">
        <f t="shared" si="13"/>
        <v>987017222.40344894</v>
      </c>
      <c r="M34" s="3">
        <f t="shared" si="14"/>
        <v>9029254384.1633816</v>
      </c>
      <c r="N34" s="3">
        <f t="shared" si="15"/>
        <v>191097906.06846213</v>
      </c>
      <c r="O34" s="3">
        <f t="shared" si="16"/>
        <v>10418823194.685612</v>
      </c>
      <c r="P34" s="7" t="s">
        <v>123</v>
      </c>
      <c r="Q34" s="2" t="s">
        <v>51</v>
      </c>
      <c r="R34" s="3">
        <f t="shared" si="28"/>
        <v>0</v>
      </c>
      <c r="S34" s="3">
        <f t="shared" si="28"/>
        <v>66054687.396553345</v>
      </c>
      <c r="T34" s="3">
        <f t="shared" si="28"/>
        <v>0</v>
      </c>
      <c r="U34" s="3">
        <f t="shared" si="28"/>
        <v>103346341.53205889</v>
      </c>
      <c r="V34" s="3">
        <f t="shared" si="28"/>
        <v>0</v>
      </c>
      <c r="W34" s="3">
        <f t="shared" si="27"/>
        <v>0</v>
      </c>
      <c r="X34" s="3">
        <f t="shared" si="27"/>
        <v>29149432.375573993</v>
      </c>
      <c r="Y34" s="3">
        <f t="shared" si="27"/>
        <v>0</v>
      </c>
      <c r="Z34" s="3">
        <f t="shared" si="27"/>
        <v>12903220.74613172</v>
      </c>
      <c r="AA34" s="3">
        <f t="shared" si="27"/>
        <v>987017222.40344894</v>
      </c>
      <c r="AB34" s="3">
        <f t="shared" si="18"/>
        <v>1198470904.4537668</v>
      </c>
      <c r="AC34" s="7" t="s">
        <v>123</v>
      </c>
      <c r="AD34" s="2" t="s">
        <v>51</v>
      </c>
      <c r="AE34" s="3">
        <f t="shared" si="19"/>
        <v>9029254384.1633816</v>
      </c>
      <c r="AF34" s="3">
        <f t="shared" si="19"/>
        <v>191097906.06846213</v>
      </c>
      <c r="AG34" s="3">
        <f t="shared" si="20"/>
        <v>9220352290.2318439</v>
      </c>
      <c r="AH34" s="7" t="s">
        <v>123</v>
      </c>
      <c r="AI34" s="2" t="s">
        <v>51</v>
      </c>
      <c r="AJ34" s="3">
        <f t="shared" si="21"/>
        <v>3412938088.3679194</v>
      </c>
      <c r="AK34" s="3">
        <f t="shared" si="21"/>
        <v>3467987770.6917114</v>
      </c>
      <c r="AL34" s="3">
        <f t="shared" si="21"/>
        <v>0</v>
      </c>
      <c r="AM34" s="3">
        <f t="shared" si="21"/>
        <v>3537897335.6259809</v>
      </c>
      <c r="AN34" s="3">
        <f t="shared" si="22"/>
        <v>10418823194.685612</v>
      </c>
      <c r="AO34" s="7" t="s">
        <v>123</v>
      </c>
      <c r="AP34" s="2" t="s">
        <v>51</v>
      </c>
      <c r="AQ34" s="3">
        <f t="shared" si="23"/>
        <v>156105380.74375236</v>
      </c>
      <c r="AR34" s="3">
        <f t="shared" si="23"/>
        <v>1042365523.7100145</v>
      </c>
      <c r="AS34" s="3">
        <f t="shared" si="23"/>
        <v>0</v>
      </c>
      <c r="AT34" s="3">
        <f t="shared" si="23"/>
        <v>0</v>
      </c>
      <c r="AU34" s="3">
        <f t="shared" si="24"/>
        <v>1198470904.4537668</v>
      </c>
      <c r="AV34" s="7" t="s">
        <v>123</v>
      </c>
      <c r="AW34" s="2" t="s">
        <v>51</v>
      </c>
      <c r="AX34" s="3">
        <f t="shared" si="25"/>
        <v>3256832707.624167</v>
      </c>
      <c r="AY34" s="3">
        <f t="shared" si="25"/>
        <v>2425622246.9816971</v>
      </c>
      <c r="AZ34" s="3">
        <f t="shared" si="25"/>
        <v>0</v>
      </c>
      <c r="BA34" s="3">
        <f t="shared" si="25"/>
        <v>3537897335.6259809</v>
      </c>
      <c r="BB34" s="3">
        <f t="shared" si="26"/>
        <v>9220352290.2318439</v>
      </c>
      <c r="BC34" s="7" t="s">
        <v>123</v>
      </c>
      <c r="BD34" s="2" t="s">
        <v>51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7" t="s">
        <v>123</v>
      </c>
      <c r="BK34" s="2" t="s">
        <v>51</v>
      </c>
      <c r="BL34" s="3">
        <v>25043699.778148174</v>
      </c>
      <c r="BM34" s="3">
        <v>41010987.618405171</v>
      </c>
      <c r="BN34" s="3">
        <v>0</v>
      </c>
      <c r="BO34" s="3">
        <v>0</v>
      </c>
      <c r="BP34" s="3">
        <v>66054687.396553345</v>
      </c>
      <c r="BQ34" s="7" t="s">
        <v>123</v>
      </c>
      <c r="BR34" s="2" t="s">
        <v>51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7" t="s">
        <v>123</v>
      </c>
      <c r="BY34" s="2" t="s">
        <v>51</v>
      </c>
      <c r="BZ34" s="3">
        <v>3864409.8957322668</v>
      </c>
      <c r="CA34" s="3">
        <v>99481931.636326626</v>
      </c>
      <c r="CB34" s="3">
        <v>0</v>
      </c>
      <c r="CC34" s="3">
        <v>0</v>
      </c>
      <c r="CD34" s="3">
        <v>103346341.53205889</v>
      </c>
      <c r="CE34" s="7" t="s">
        <v>123</v>
      </c>
      <c r="CF34" s="2" t="s">
        <v>51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7" t="s">
        <v>123</v>
      </c>
      <c r="CM34" s="2" t="s">
        <v>51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7" t="s">
        <v>123</v>
      </c>
      <c r="CT34" s="2" t="s">
        <v>51</v>
      </c>
      <c r="CU34" s="3">
        <v>29149432.375573993</v>
      </c>
      <c r="CV34" s="3">
        <v>0</v>
      </c>
      <c r="CW34" s="3">
        <v>0</v>
      </c>
      <c r="CX34" s="3">
        <v>0</v>
      </c>
      <c r="CY34" s="3">
        <v>29149432.375573993</v>
      </c>
      <c r="CZ34" s="7" t="s">
        <v>123</v>
      </c>
      <c r="DA34" s="2" t="s">
        <v>51</v>
      </c>
      <c r="DB34" s="3">
        <v>12903220.74613172</v>
      </c>
      <c r="DC34" s="3">
        <v>0</v>
      </c>
      <c r="DD34" s="3">
        <v>0</v>
      </c>
      <c r="DE34" s="3">
        <v>0</v>
      </c>
      <c r="DF34" s="3">
        <v>12903220.74613172</v>
      </c>
      <c r="DG34" s="7" t="s">
        <v>123</v>
      </c>
      <c r="DH34" s="2" t="s">
        <v>51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7" t="s">
        <v>123</v>
      </c>
      <c r="DO34" s="2" t="s">
        <v>51</v>
      </c>
      <c r="DP34" s="3">
        <v>85144617.948166221</v>
      </c>
      <c r="DQ34" s="3">
        <v>901872604.45528269</v>
      </c>
      <c r="DR34" s="3">
        <v>0</v>
      </c>
      <c r="DS34" s="3">
        <v>0</v>
      </c>
      <c r="DT34" s="3">
        <v>987017222.40344894</v>
      </c>
      <c r="DU34" s="7" t="s">
        <v>123</v>
      </c>
      <c r="DV34" s="2" t="s">
        <v>51</v>
      </c>
      <c r="DW34" s="3">
        <v>0</v>
      </c>
      <c r="DX34" s="3">
        <v>191097906.06846213</v>
      </c>
      <c r="DY34" s="3">
        <v>0</v>
      </c>
      <c r="DZ34" s="3">
        <v>0</v>
      </c>
      <c r="EA34" s="3">
        <v>191097906.06846213</v>
      </c>
      <c r="EB34" s="7" t="s">
        <v>123</v>
      </c>
      <c r="EC34" s="2" t="s">
        <v>51</v>
      </c>
      <c r="ED34" s="3">
        <v>3256832707.624167</v>
      </c>
      <c r="EE34" s="3">
        <v>2234524340.9132347</v>
      </c>
      <c r="EF34" s="3">
        <v>0</v>
      </c>
      <c r="EG34" s="3">
        <v>3537897335.6259809</v>
      </c>
      <c r="EH34" s="3">
        <v>9029254384.1633816</v>
      </c>
    </row>
    <row r="35" spans="1:138" ht="10.199999999999999" customHeight="1" x14ac:dyDescent="0.2">
      <c r="A35" s="7" t="s">
        <v>126</v>
      </c>
      <c r="B35" s="2" t="s">
        <v>54</v>
      </c>
      <c r="C35" s="3">
        <f t="shared" si="4"/>
        <v>0</v>
      </c>
      <c r="D35" s="3">
        <f t="shared" si="5"/>
        <v>0</v>
      </c>
      <c r="E35" s="3">
        <f t="shared" si="6"/>
        <v>0</v>
      </c>
      <c r="F35" s="3">
        <f t="shared" si="7"/>
        <v>121363892.08941242</v>
      </c>
      <c r="G35" s="3">
        <f t="shared" si="8"/>
        <v>0</v>
      </c>
      <c r="H35" s="3">
        <f t="shared" si="9"/>
        <v>0</v>
      </c>
      <c r="I35" s="3">
        <f t="shared" si="10"/>
        <v>5997715.680033356</v>
      </c>
      <c r="J35" s="3">
        <f t="shared" si="11"/>
        <v>0</v>
      </c>
      <c r="K35" s="3">
        <f t="shared" si="12"/>
        <v>0</v>
      </c>
      <c r="L35" s="3">
        <f t="shared" si="13"/>
        <v>41497581.361388303</v>
      </c>
      <c r="M35" s="3">
        <f t="shared" si="14"/>
        <v>0</v>
      </c>
      <c r="N35" s="3">
        <f t="shared" si="15"/>
        <v>0</v>
      </c>
      <c r="O35" s="3">
        <f t="shared" si="16"/>
        <v>168859189.13083407</v>
      </c>
      <c r="P35" s="7" t="s">
        <v>126</v>
      </c>
      <c r="Q35" s="2" t="s">
        <v>54</v>
      </c>
      <c r="R35" s="3">
        <f t="shared" si="28"/>
        <v>0</v>
      </c>
      <c r="S35" s="3">
        <f t="shared" si="28"/>
        <v>0</v>
      </c>
      <c r="T35" s="3">
        <f t="shared" si="28"/>
        <v>0</v>
      </c>
      <c r="U35" s="3">
        <f t="shared" si="28"/>
        <v>121363892.08941242</v>
      </c>
      <c r="V35" s="3">
        <f t="shared" si="28"/>
        <v>0</v>
      </c>
      <c r="W35" s="3">
        <f t="shared" si="27"/>
        <v>0</v>
      </c>
      <c r="X35" s="3">
        <f t="shared" si="27"/>
        <v>5997715.680033356</v>
      </c>
      <c r="Y35" s="3">
        <f t="shared" si="27"/>
        <v>0</v>
      </c>
      <c r="Z35" s="3">
        <f t="shared" si="27"/>
        <v>0</v>
      </c>
      <c r="AA35" s="3">
        <f t="shared" si="27"/>
        <v>41497581.361388303</v>
      </c>
      <c r="AB35" s="3">
        <f t="shared" si="18"/>
        <v>168859189.13083407</v>
      </c>
      <c r="AC35" s="7" t="s">
        <v>126</v>
      </c>
      <c r="AD35" s="2" t="s">
        <v>54</v>
      </c>
      <c r="AE35" s="3">
        <f t="shared" si="19"/>
        <v>0</v>
      </c>
      <c r="AF35" s="3">
        <f t="shared" si="19"/>
        <v>0</v>
      </c>
      <c r="AG35" s="3">
        <f t="shared" si="20"/>
        <v>0</v>
      </c>
      <c r="AH35" s="7" t="s">
        <v>126</v>
      </c>
      <c r="AI35" s="2" t="s">
        <v>54</v>
      </c>
      <c r="AJ35" s="3">
        <f t="shared" si="21"/>
        <v>163079708.44396329</v>
      </c>
      <c r="AK35" s="3">
        <f t="shared" si="21"/>
        <v>5779480.6868707994</v>
      </c>
      <c r="AL35" s="3">
        <f t="shared" si="21"/>
        <v>0</v>
      </c>
      <c r="AM35" s="3">
        <f t="shared" si="21"/>
        <v>0</v>
      </c>
      <c r="AN35" s="3">
        <f t="shared" si="22"/>
        <v>168859189.1308341</v>
      </c>
      <c r="AO35" s="7" t="s">
        <v>126</v>
      </c>
      <c r="AP35" s="2" t="s">
        <v>54</v>
      </c>
      <c r="AQ35" s="3">
        <f t="shared" si="23"/>
        <v>163079708.44396329</v>
      </c>
      <c r="AR35" s="3">
        <f t="shared" si="23"/>
        <v>5779480.6868707994</v>
      </c>
      <c r="AS35" s="3">
        <f t="shared" si="23"/>
        <v>0</v>
      </c>
      <c r="AT35" s="3">
        <f t="shared" si="23"/>
        <v>0</v>
      </c>
      <c r="AU35" s="3">
        <f t="shared" si="24"/>
        <v>168859189.1308341</v>
      </c>
      <c r="AV35" s="7" t="s">
        <v>126</v>
      </c>
      <c r="AW35" s="2" t="s">
        <v>54</v>
      </c>
      <c r="AX35" s="3">
        <f t="shared" si="25"/>
        <v>0</v>
      </c>
      <c r="AY35" s="3">
        <f t="shared" si="25"/>
        <v>0</v>
      </c>
      <c r="AZ35" s="3">
        <f t="shared" si="25"/>
        <v>0</v>
      </c>
      <c r="BA35" s="3">
        <f t="shared" si="25"/>
        <v>0</v>
      </c>
      <c r="BB35" s="3">
        <f t="shared" si="26"/>
        <v>0</v>
      </c>
      <c r="BC35" s="7" t="s">
        <v>126</v>
      </c>
      <c r="BD35" s="2" t="s">
        <v>54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7" t="s">
        <v>126</v>
      </c>
      <c r="BK35" s="2" t="s">
        <v>54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7" t="s">
        <v>126</v>
      </c>
      <c r="BR35" s="2" t="s">
        <v>54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7" t="s">
        <v>126</v>
      </c>
      <c r="BY35" s="2" t="s">
        <v>54</v>
      </c>
      <c r="BZ35" s="3">
        <v>121363892.08941242</v>
      </c>
      <c r="CA35" s="3">
        <v>0</v>
      </c>
      <c r="CB35" s="3">
        <v>0</v>
      </c>
      <c r="CC35" s="3">
        <v>0</v>
      </c>
      <c r="CD35" s="3">
        <v>121363892.08941242</v>
      </c>
      <c r="CE35" s="7" t="s">
        <v>126</v>
      </c>
      <c r="CF35" s="2" t="s">
        <v>54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7" t="s">
        <v>126</v>
      </c>
      <c r="CM35" s="2" t="s">
        <v>54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7" t="s">
        <v>126</v>
      </c>
      <c r="CT35" s="2" t="s">
        <v>54</v>
      </c>
      <c r="CU35" s="3">
        <v>218234.99316255678</v>
      </c>
      <c r="CV35" s="3">
        <v>5779480.6868707994</v>
      </c>
      <c r="CW35" s="3">
        <v>0</v>
      </c>
      <c r="CX35" s="3">
        <v>0</v>
      </c>
      <c r="CY35" s="3">
        <v>5997715.680033356</v>
      </c>
      <c r="CZ35" s="7" t="s">
        <v>126</v>
      </c>
      <c r="DA35" s="2" t="s">
        <v>54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7" t="s">
        <v>126</v>
      </c>
      <c r="DH35" s="2" t="s">
        <v>54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7" t="s">
        <v>126</v>
      </c>
      <c r="DO35" s="2" t="s">
        <v>54</v>
      </c>
      <c r="DP35" s="3">
        <v>41497581.361388303</v>
      </c>
      <c r="DQ35" s="3">
        <v>0</v>
      </c>
      <c r="DR35" s="3">
        <v>0</v>
      </c>
      <c r="DS35" s="3">
        <v>0</v>
      </c>
      <c r="DT35" s="3">
        <v>41497581.361388303</v>
      </c>
      <c r="DU35" s="7" t="s">
        <v>126</v>
      </c>
      <c r="DV35" s="2" t="s">
        <v>54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7" t="s">
        <v>126</v>
      </c>
      <c r="EC35" s="2" t="s">
        <v>54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</row>
    <row r="36" spans="1:138" ht="10.199999999999999" customHeight="1" x14ac:dyDescent="0.2">
      <c r="A36" s="7" t="s">
        <v>129</v>
      </c>
      <c r="B36" s="2" t="s">
        <v>57</v>
      </c>
      <c r="C36" s="3">
        <f t="shared" si="4"/>
        <v>111711122.49990578</v>
      </c>
      <c r="D36" s="3">
        <f t="shared" si="5"/>
        <v>49286009522.732269</v>
      </c>
      <c r="E36" s="3">
        <f t="shared" si="6"/>
        <v>398989163761.51611</v>
      </c>
      <c r="F36" s="3">
        <f t="shared" si="7"/>
        <v>1330921446.4833047</v>
      </c>
      <c r="G36" s="3">
        <f t="shared" si="8"/>
        <v>9450006449.4217739</v>
      </c>
      <c r="H36" s="3">
        <f t="shared" si="9"/>
        <v>0</v>
      </c>
      <c r="I36" s="3">
        <f t="shared" si="10"/>
        <v>657892802.63309705</v>
      </c>
      <c r="J36" s="3">
        <f t="shared" si="11"/>
        <v>5366272.7379073771</v>
      </c>
      <c r="K36" s="3">
        <f t="shared" si="12"/>
        <v>24312771952.820915</v>
      </c>
      <c r="L36" s="3">
        <f t="shared" si="13"/>
        <v>927112308.34087956</v>
      </c>
      <c r="M36" s="3">
        <f t="shared" si="14"/>
        <v>157587847325.86722</v>
      </c>
      <c r="N36" s="3">
        <f t="shared" si="15"/>
        <v>105312451589.04779</v>
      </c>
      <c r="O36" s="3">
        <f t="shared" si="16"/>
        <v>747971254554.10107</v>
      </c>
      <c r="P36" s="7" t="s">
        <v>129</v>
      </c>
      <c r="Q36" s="2" t="s">
        <v>57</v>
      </c>
      <c r="R36" s="3">
        <f t="shared" si="28"/>
        <v>111711122.49990578</v>
      </c>
      <c r="S36" s="3">
        <f t="shared" si="28"/>
        <v>49286009522.732269</v>
      </c>
      <c r="T36" s="3">
        <f t="shared" si="28"/>
        <v>398989163761.51611</v>
      </c>
      <c r="U36" s="3">
        <f t="shared" si="28"/>
        <v>1330921446.4833047</v>
      </c>
      <c r="V36" s="3">
        <f t="shared" si="28"/>
        <v>9450006449.4217739</v>
      </c>
      <c r="W36" s="3">
        <f t="shared" si="27"/>
        <v>0</v>
      </c>
      <c r="X36" s="3">
        <f t="shared" si="27"/>
        <v>657892802.63309705</v>
      </c>
      <c r="Y36" s="3">
        <f t="shared" si="27"/>
        <v>5366272.7379073771</v>
      </c>
      <c r="Z36" s="3">
        <f t="shared" si="27"/>
        <v>24312771952.820915</v>
      </c>
      <c r="AA36" s="3">
        <f t="shared" si="27"/>
        <v>927112308.34087956</v>
      </c>
      <c r="AB36" s="3">
        <f t="shared" si="18"/>
        <v>485070955639.18616</v>
      </c>
      <c r="AC36" s="7" t="s">
        <v>129</v>
      </c>
      <c r="AD36" s="2" t="s">
        <v>57</v>
      </c>
      <c r="AE36" s="3">
        <f t="shared" si="19"/>
        <v>157587847325.86722</v>
      </c>
      <c r="AF36" s="3">
        <f t="shared" si="19"/>
        <v>105312451589.04779</v>
      </c>
      <c r="AG36" s="3">
        <f t="shared" si="20"/>
        <v>262900298914.91501</v>
      </c>
      <c r="AH36" s="7" t="s">
        <v>129</v>
      </c>
      <c r="AI36" s="2" t="s">
        <v>57</v>
      </c>
      <c r="AJ36" s="3">
        <f t="shared" si="21"/>
        <v>239683690537.10571</v>
      </c>
      <c r="AK36" s="3">
        <f t="shared" si="21"/>
        <v>22184450451.123936</v>
      </c>
      <c r="AL36" s="3">
        <f t="shared" si="21"/>
        <v>25520560513.751728</v>
      </c>
      <c r="AM36" s="3">
        <f t="shared" si="21"/>
        <v>460582553052.11975</v>
      </c>
      <c r="AN36" s="3">
        <f t="shared" si="22"/>
        <v>747971254554.10107</v>
      </c>
      <c r="AO36" s="7" t="s">
        <v>129</v>
      </c>
      <c r="AP36" s="2" t="s">
        <v>57</v>
      </c>
      <c r="AQ36" s="3">
        <f t="shared" si="23"/>
        <v>23567959048.412773</v>
      </c>
      <c r="AR36" s="3">
        <f t="shared" si="23"/>
        <v>10915730198.703421</v>
      </c>
      <c r="AS36" s="3">
        <f t="shared" si="23"/>
        <v>1323165382.8659389</v>
      </c>
      <c r="AT36" s="3">
        <f t="shared" si="23"/>
        <v>449264101009.20398</v>
      </c>
      <c r="AU36" s="3">
        <f t="shared" si="24"/>
        <v>485070955639.1861</v>
      </c>
      <c r="AV36" s="7" t="s">
        <v>129</v>
      </c>
      <c r="AW36" s="2" t="s">
        <v>57</v>
      </c>
      <c r="AX36" s="3">
        <f t="shared" si="25"/>
        <v>216115731488.69293</v>
      </c>
      <c r="AY36" s="3">
        <f t="shared" si="25"/>
        <v>11268720252.420515</v>
      </c>
      <c r="AZ36" s="3">
        <f t="shared" si="25"/>
        <v>24197395130.885788</v>
      </c>
      <c r="BA36" s="3">
        <f t="shared" si="25"/>
        <v>11318452042.915764</v>
      </c>
      <c r="BB36" s="3">
        <f t="shared" si="26"/>
        <v>262900298914.91498</v>
      </c>
      <c r="BC36" s="7" t="s">
        <v>129</v>
      </c>
      <c r="BD36" s="2" t="s">
        <v>57</v>
      </c>
      <c r="BE36" s="3">
        <v>76687987.87654379</v>
      </c>
      <c r="BF36" s="3">
        <v>35023134.62336199</v>
      </c>
      <c r="BG36" s="3">
        <v>0</v>
      </c>
      <c r="BH36" s="3">
        <v>0</v>
      </c>
      <c r="BI36" s="3">
        <v>111711122.49990578</v>
      </c>
      <c r="BJ36" s="7" t="s">
        <v>129</v>
      </c>
      <c r="BK36" s="2" t="s">
        <v>57</v>
      </c>
      <c r="BL36" s="3">
        <v>135054925.98347107</v>
      </c>
      <c r="BM36" s="3">
        <v>0</v>
      </c>
      <c r="BN36" s="3">
        <v>33143844.472840123</v>
      </c>
      <c r="BO36" s="3">
        <v>49117810752.275955</v>
      </c>
      <c r="BP36" s="3">
        <v>49286009522.732269</v>
      </c>
      <c r="BQ36" s="7" t="s">
        <v>129</v>
      </c>
      <c r="BR36" s="2" t="s">
        <v>57</v>
      </c>
      <c r="BS36" s="3">
        <v>0</v>
      </c>
      <c r="BT36" s="3">
        <v>373204134.04008746</v>
      </c>
      <c r="BU36" s="3">
        <v>605226359.77734041</v>
      </c>
      <c r="BV36" s="3">
        <v>398010733267.69867</v>
      </c>
      <c r="BW36" s="3">
        <v>398989163761.51611</v>
      </c>
      <c r="BX36" s="7" t="s">
        <v>129</v>
      </c>
      <c r="BY36" s="2" t="s">
        <v>57</v>
      </c>
      <c r="BZ36" s="3">
        <v>676423414.87374377</v>
      </c>
      <c r="CA36" s="3">
        <v>483703.65806045668</v>
      </c>
      <c r="CB36" s="3">
        <v>654014327.95150054</v>
      </c>
      <c r="CC36" s="3">
        <v>0</v>
      </c>
      <c r="CD36" s="3">
        <v>1330921446.4833047</v>
      </c>
      <c r="CE36" s="7" t="s">
        <v>129</v>
      </c>
      <c r="CF36" s="2" t="s">
        <v>57</v>
      </c>
      <c r="CG36" s="3">
        <v>3905600878.3478332</v>
      </c>
      <c r="CH36" s="3">
        <v>5541666719.2352543</v>
      </c>
      <c r="CI36" s="3">
        <v>2738851.8386866921</v>
      </c>
      <c r="CJ36" s="3">
        <v>0</v>
      </c>
      <c r="CK36" s="3">
        <v>9450006449.4217739</v>
      </c>
      <c r="CL36" s="7" t="s">
        <v>129</v>
      </c>
      <c r="CM36" s="2" t="s">
        <v>57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7" t="s">
        <v>129</v>
      </c>
      <c r="CT36" s="2" t="s">
        <v>57</v>
      </c>
      <c r="CU36" s="3">
        <v>645565299.91277039</v>
      </c>
      <c r="CV36" s="3">
        <v>12327502.720326651</v>
      </c>
      <c r="CW36" s="3">
        <v>0</v>
      </c>
      <c r="CX36" s="3">
        <v>0</v>
      </c>
      <c r="CY36" s="3">
        <v>657892802.63309705</v>
      </c>
      <c r="CZ36" s="7" t="s">
        <v>129</v>
      </c>
      <c r="DA36" s="2" t="s">
        <v>57</v>
      </c>
      <c r="DB36" s="3">
        <v>17346824319.271694</v>
      </c>
      <c r="DC36" s="3">
        <v>4830390644.3198328</v>
      </c>
      <c r="DD36" s="3">
        <v>0</v>
      </c>
      <c r="DE36" s="3">
        <v>2135556989.2293894</v>
      </c>
      <c r="DF36" s="3">
        <v>24312771952.820915</v>
      </c>
      <c r="DG36" s="7" t="s">
        <v>129</v>
      </c>
      <c r="DH36" s="2" t="s">
        <v>57</v>
      </c>
      <c r="DI36" s="3">
        <v>4677555.6088808989</v>
      </c>
      <c r="DJ36" s="3">
        <v>688717.12902647804</v>
      </c>
      <c r="DK36" s="3">
        <v>0</v>
      </c>
      <c r="DL36" s="3">
        <v>0</v>
      </c>
      <c r="DM36" s="3">
        <v>5366272.7379073771</v>
      </c>
      <c r="DN36" s="7" t="s">
        <v>129</v>
      </c>
      <c r="DO36" s="2" t="s">
        <v>57</v>
      </c>
      <c r="DP36" s="3">
        <v>777124666.53783727</v>
      </c>
      <c r="DQ36" s="3">
        <v>121945642.9774712</v>
      </c>
      <c r="DR36" s="3">
        <v>28041998.825571112</v>
      </c>
      <c r="DS36" s="3">
        <v>0</v>
      </c>
      <c r="DT36" s="3">
        <v>927112308.34087956</v>
      </c>
      <c r="DU36" s="7" t="s">
        <v>129</v>
      </c>
      <c r="DV36" s="2" t="s">
        <v>57</v>
      </c>
      <c r="DW36" s="3">
        <v>58846398216.655296</v>
      </c>
      <c r="DX36" s="3">
        <v>10950206198.590931</v>
      </c>
      <c r="DY36" s="3">
        <v>24197395130.885788</v>
      </c>
      <c r="DZ36" s="3">
        <v>11318452042.915764</v>
      </c>
      <c r="EA36" s="3">
        <v>105312451589.04779</v>
      </c>
      <c r="EB36" s="7" t="s">
        <v>129</v>
      </c>
      <c r="EC36" s="2" t="s">
        <v>57</v>
      </c>
      <c r="ED36" s="3">
        <v>157269333272.03763</v>
      </c>
      <c r="EE36" s="3">
        <v>318514053.82958496</v>
      </c>
      <c r="EF36" s="3">
        <v>0</v>
      </c>
      <c r="EG36" s="3">
        <v>0</v>
      </c>
      <c r="EH36" s="3">
        <v>157587847325.86722</v>
      </c>
    </row>
    <row r="37" spans="1:138" ht="10.199999999999999" customHeight="1" x14ac:dyDescent="0.2">
      <c r="A37" s="7" t="s">
        <v>128</v>
      </c>
      <c r="B37" s="2" t="s">
        <v>56</v>
      </c>
      <c r="C37" s="3">
        <f t="shared" si="4"/>
        <v>25133363.356159747</v>
      </c>
      <c r="D37" s="3">
        <f t="shared" si="5"/>
        <v>104108249.00834842</v>
      </c>
      <c r="E37" s="3">
        <f t="shared" si="6"/>
        <v>14979098.444186913</v>
      </c>
      <c r="F37" s="3">
        <f t="shared" si="7"/>
        <v>8817444339.4387321</v>
      </c>
      <c r="G37" s="3">
        <f t="shared" si="8"/>
        <v>1117871.8067077298</v>
      </c>
      <c r="H37" s="3">
        <f t="shared" si="9"/>
        <v>80083387096.102097</v>
      </c>
      <c r="I37" s="3">
        <f t="shared" si="10"/>
        <v>8610007344.2704163</v>
      </c>
      <c r="J37" s="3">
        <f t="shared" si="11"/>
        <v>13819107.140496099</v>
      </c>
      <c r="K37" s="3">
        <f t="shared" si="12"/>
        <v>66964697751.154411</v>
      </c>
      <c r="L37" s="3">
        <f t="shared" si="13"/>
        <v>70863898446.379211</v>
      </c>
      <c r="M37" s="3">
        <f t="shared" si="14"/>
        <v>39355924755.636658</v>
      </c>
      <c r="N37" s="3">
        <f t="shared" si="15"/>
        <v>441129908302.32971</v>
      </c>
      <c r="O37" s="3">
        <f t="shared" si="16"/>
        <v>715984425725.06714</v>
      </c>
      <c r="P37" s="7" t="s">
        <v>128</v>
      </c>
      <c r="Q37" s="2" t="s">
        <v>56</v>
      </c>
      <c r="R37" s="3">
        <f t="shared" si="28"/>
        <v>25133363.356159747</v>
      </c>
      <c r="S37" s="3">
        <f t="shared" si="28"/>
        <v>104108249.00834842</v>
      </c>
      <c r="T37" s="3">
        <f t="shared" si="28"/>
        <v>14979098.444186913</v>
      </c>
      <c r="U37" s="3">
        <f t="shared" si="28"/>
        <v>8817444339.4387321</v>
      </c>
      <c r="V37" s="3">
        <f t="shared" si="28"/>
        <v>1117871.8067077298</v>
      </c>
      <c r="W37" s="3">
        <f t="shared" si="27"/>
        <v>80083387096.102097</v>
      </c>
      <c r="X37" s="3">
        <f t="shared" si="27"/>
        <v>8610007344.2704163</v>
      </c>
      <c r="Y37" s="3">
        <f t="shared" si="27"/>
        <v>13819107.140496099</v>
      </c>
      <c r="Z37" s="3">
        <f t="shared" si="27"/>
        <v>66964697751.154411</v>
      </c>
      <c r="AA37" s="3">
        <f t="shared" si="27"/>
        <v>70863898446.379211</v>
      </c>
      <c r="AB37" s="3">
        <f t="shared" si="18"/>
        <v>235498592667.10077</v>
      </c>
      <c r="AC37" s="7" t="s">
        <v>128</v>
      </c>
      <c r="AD37" s="2" t="s">
        <v>56</v>
      </c>
      <c r="AE37" s="3">
        <f t="shared" si="19"/>
        <v>39355924755.636658</v>
      </c>
      <c r="AF37" s="3">
        <f t="shared" si="19"/>
        <v>441129908302.32971</v>
      </c>
      <c r="AG37" s="3">
        <f t="shared" si="20"/>
        <v>480485833057.96637</v>
      </c>
      <c r="AH37" s="7" t="s">
        <v>128</v>
      </c>
      <c r="AI37" s="2" t="s">
        <v>56</v>
      </c>
      <c r="AJ37" s="3">
        <f t="shared" si="21"/>
        <v>22340069958.966045</v>
      </c>
      <c r="AK37" s="3">
        <f t="shared" si="21"/>
        <v>152290734340.0293</v>
      </c>
      <c r="AL37" s="3">
        <f t="shared" si="21"/>
        <v>461270234329.96973</v>
      </c>
      <c r="AM37" s="3">
        <f t="shared" si="21"/>
        <v>80083387096.102097</v>
      </c>
      <c r="AN37" s="3">
        <f t="shared" si="22"/>
        <v>715984425725.06714</v>
      </c>
      <c r="AO37" s="7" t="s">
        <v>128</v>
      </c>
      <c r="AP37" s="2" t="s">
        <v>56</v>
      </c>
      <c r="AQ37" s="3">
        <f t="shared" si="23"/>
        <v>6826842485.8204603</v>
      </c>
      <c r="AR37" s="3">
        <f t="shared" si="23"/>
        <v>122077513641.02112</v>
      </c>
      <c r="AS37" s="3">
        <f t="shared" si="23"/>
        <v>26510849444.157104</v>
      </c>
      <c r="AT37" s="3">
        <f t="shared" si="23"/>
        <v>80083387096.102097</v>
      </c>
      <c r="AU37" s="3">
        <f t="shared" si="24"/>
        <v>235498592667.10077</v>
      </c>
      <c r="AV37" s="7" t="s">
        <v>128</v>
      </c>
      <c r="AW37" s="2" t="s">
        <v>56</v>
      </c>
      <c r="AX37" s="3">
        <f t="shared" si="25"/>
        <v>15513227473.145584</v>
      </c>
      <c r="AY37" s="3">
        <f t="shared" si="25"/>
        <v>30213220699.008171</v>
      </c>
      <c r="AZ37" s="3">
        <f t="shared" si="25"/>
        <v>434759384885.81262</v>
      </c>
      <c r="BA37" s="3">
        <f t="shared" si="25"/>
        <v>0</v>
      </c>
      <c r="BB37" s="3">
        <f t="shared" si="26"/>
        <v>480485833057.96637</v>
      </c>
      <c r="BC37" s="7" t="s">
        <v>128</v>
      </c>
      <c r="BD37" s="2" t="s">
        <v>56</v>
      </c>
      <c r="BE37" s="3">
        <v>25133363.356159747</v>
      </c>
      <c r="BF37" s="3">
        <v>0</v>
      </c>
      <c r="BG37" s="3">
        <v>0</v>
      </c>
      <c r="BH37" s="3">
        <v>0</v>
      </c>
      <c r="BI37" s="3">
        <v>25133363.356159747</v>
      </c>
      <c r="BJ37" s="7" t="s">
        <v>128</v>
      </c>
      <c r="BK37" s="2" t="s">
        <v>56</v>
      </c>
      <c r="BL37" s="3">
        <v>104108249.00834842</v>
      </c>
      <c r="BM37" s="3">
        <v>0</v>
      </c>
      <c r="BN37" s="3">
        <v>0</v>
      </c>
      <c r="BO37" s="3">
        <v>0</v>
      </c>
      <c r="BP37" s="3">
        <v>104108249.00834842</v>
      </c>
      <c r="BQ37" s="7" t="s">
        <v>128</v>
      </c>
      <c r="BR37" s="2" t="s">
        <v>56</v>
      </c>
      <c r="BS37" s="3">
        <v>14979098.444186913</v>
      </c>
      <c r="BT37" s="3">
        <v>0</v>
      </c>
      <c r="BU37" s="3">
        <v>0</v>
      </c>
      <c r="BV37" s="3">
        <v>0</v>
      </c>
      <c r="BW37" s="3">
        <v>14979098.444186913</v>
      </c>
      <c r="BX37" s="7" t="s">
        <v>128</v>
      </c>
      <c r="BY37" s="2" t="s">
        <v>56</v>
      </c>
      <c r="BZ37" s="3">
        <v>157395212.23291647</v>
      </c>
      <c r="CA37" s="3">
        <v>8621463713.2886715</v>
      </c>
      <c r="CB37" s="3">
        <v>38585413.9171445</v>
      </c>
      <c r="CC37" s="3">
        <v>0</v>
      </c>
      <c r="CD37" s="3">
        <v>8817444339.4387321</v>
      </c>
      <c r="CE37" s="7" t="s">
        <v>128</v>
      </c>
      <c r="CF37" s="2" t="s">
        <v>56</v>
      </c>
      <c r="CG37" s="3">
        <v>1117871.8067077298</v>
      </c>
      <c r="CH37" s="3">
        <v>0</v>
      </c>
      <c r="CI37" s="3">
        <v>0</v>
      </c>
      <c r="CJ37" s="3">
        <v>0</v>
      </c>
      <c r="CK37" s="3">
        <v>1117871.8067077298</v>
      </c>
      <c r="CL37" s="7" t="s">
        <v>128</v>
      </c>
      <c r="CM37" s="2" t="s">
        <v>56</v>
      </c>
      <c r="CN37" s="3">
        <v>0</v>
      </c>
      <c r="CO37" s="3">
        <v>0</v>
      </c>
      <c r="CP37" s="3">
        <v>0</v>
      </c>
      <c r="CQ37" s="3">
        <v>80083387096.102097</v>
      </c>
      <c r="CR37" s="3">
        <v>80083387096.102097</v>
      </c>
      <c r="CS37" s="7" t="s">
        <v>128</v>
      </c>
      <c r="CT37" s="2" t="s">
        <v>56</v>
      </c>
      <c r="CU37" s="3">
        <v>1940263599.85425</v>
      </c>
      <c r="CV37" s="3">
        <v>6568563956.9652987</v>
      </c>
      <c r="CW37" s="3">
        <v>101179787.45086816</v>
      </c>
      <c r="CX37" s="3">
        <v>0</v>
      </c>
      <c r="CY37" s="3">
        <v>8610007344.2704163</v>
      </c>
      <c r="CZ37" s="7" t="s">
        <v>128</v>
      </c>
      <c r="DA37" s="2" t="s">
        <v>56</v>
      </c>
      <c r="DB37" s="3">
        <v>2111382163.485548</v>
      </c>
      <c r="DC37" s="3">
        <v>38482231344.879768</v>
      </c>
      <c r="DD37" s="3">
        <v>26371084242.789093</v>
      </c>
      <c r="DE37" s="3">
        <v>0</v>
      </c>
      <c r="DF37" s="3">
        <v>66964697751.154411</v>
      </c>
      <c r="DG37" s="7" t="s">
        <v>128</v>
      </c>
      <c r="DH37" s="2" t="s">
        <v>56</v>
      </c>
      <c r="DI37" s="3">
        <v>13819107.140496099</v>
      </c>
      <c r="DJ37" s="3">
        <v>0</v>
      </c>
      <c r="DK37" s="3">
        <v>0</v>
      </c>
      <c r="DL37" s="3">
        <v>0</v>
      </c>
      <c r="DM37" s="3">
        <v>13819107.140496099</v>
      </c>
      <c r="DN37" s="7" t="s">
        <v>128</v>
      </c>
      <c r="DO37" s="2" t="s">
        <v>56</v>
      </c>
      <c r="DP37" s="3">
        <v>2458643820.491847</v>
      </c>
      <c r="DQ37" s="3">
        <v>68405254625.887367</v>
      </c>
      <c r="DR37" s="3">
        <v>0</v>
      </c>
      <c r="DS37" s="3">
        <v>0</v>
      </c>
      <c r="DT37" s="3">
        <v>70863898446.379211</v>
      </c>
      <c r="DU37" s="7" t="s">
        <v>128</v>
      </c>
      <c r="DV37" s="2" t="s">
        <v>56</v>
      </c>
      <c r="DW37" s="3">
        <v>340099545.11319816</v>
      </c>
      <c r="DX37" s="3">
        <v>6030423871.4038973</v>
      </c>
      <c r="DY37" s="3">
        <v>434759384885.81262</v>
      </c>
      <c r="DZ37" s="3">
        <v>0</v>
      </c>
      <c r="EA37" s="3">
        <v>441129908302.32971</v>
      </c>
      <c r="EB37" s="7" t="s">
        <v>128</v>
      </c>
      <c r="EC37" s="2" t="s">
        <v>56</v>
      </c>
      <c r="ED37" s="3">
        <v>15173127928.032387</v>
      </c>
      <c r="EE37" s="3">
        <v>24182796827.604275</v>
      </c>
      <c r="EF37" s="3">
        <v>0</v>
      </c>
      <c r="EG37" s="3">
        <v>0</v>
      </c>
      <c r="EH37" s="3">
        <v>39355924755.636658</v>
      </c>
    </row>
    <row r="38" spans="1:138" ht="10.199999999999999" customHeight="1" x14ac:dyDescent="0.2">
      <c r="A38" s="7" t="s">
        <v>127</v>
      </c>
      <c r="B38" s="2" t="s">
        <v>55</v>
      </c>
      <c r="C38" s="3">
        <f t="shared" si="4"/>
        <v>0</v>
      </c>
      <c r="D38" s="3">
        <f t="shared" si="5"/>
        <v>0</v>
      </c>
      <c r="E38" s="3">
        <f t="shared" si="6"/>
        <v>0</v>
      </c>
      <c r="F38" s="3">
        <f t="shared" si="7"/>
        <v>2707888549.3255601</v>
      </c>
      <c r="G38" s="3">
        <f t="shared" si="8"/>
        <v>0</v>
      </c>
      <c r="H38" s="3">
        <f t="shared" si="9"/>
        <v>0</v>
      </c>
      <c r="I38" s="3">
        <f t="shared" si="10"/>
        <v>1585651064.5028217</v>
      </c>
      <c r="J38" s="3">
        <f t="shared" si="11"/>
        <v>0</v>
      </c>
      <c r="K38" s="3">
        <f t="shared" si="12"/>
        <v>0</v>
      </c>
      <c r="L38" s="3">
        <f t="shared" si="13"/>
        <v>1634031041.9405053</v>
      </c>
      <c r="M38" s="3">
        <f t="shared" si="14"/>
        <v>9237180728.7403908</v>
      </c>
      <c r="N38" s="3">
        <f t="shared" si="15"/>
        <v>0</v>
      </c>
      <c r="O38" s="3">
        <f t="shared" si="16"/>
        <v>15164751384.509277</v>
      </c>
      <c r="P38" s="7" t="s">
        <v>127</v>
      </c>
      <c r="Q38" s="2" t="s">
        <v>55</v>
      </c>
      <c r="R38" s="3">
        <f t="shared" si="28"/>
        <v>0</v>
      </c>
      <c r="S38" s="3">
        <f t="shared" si="28"/>
        <v>0</v>
      </c>
      <c r="T38" s="3">
        <f t="shared" si="28"/>
        <v>0</v>
      </c>
      <c r="U38" s="3">
        <f t="shared" si="28"/>
        <v>2707888549.3255601</v>
      </c>
      <c r="V38" s="3">
        <f t="shared" si="28"/>
        <v>0</v>
      </c>
      <c r="W38" s="3">
        <f t="shared" si="27"/>
        <v>0</v>
      </c>
      <c r="X38" s="3">
        <f t="shared" si="27"/>
        <v>1585651064.5028217</v>
      </c>
      <c r="Y38" s="3">
        <f t="shared" si="27"/>
        <v>0</v>
      </c>
      <c r="Z38" s="3">
        <f t="shared" si="27"/>
        <v>0</v>
      </c>
      <c r="AA38" s="3">
        <f t="shared" si="27"/>
        <v>1634031041.9405053</v>
      </c>
      <c r="AB38" s="3">
        <f t="shared" si="18"/>
        <v>5927570655.7688866</v>
      </c>
      <c r="AC38" s="7" t="s">
        <v>127</v>
      </c>
      <c r="AD38" s="2" t="s">
        <v>55</v>
      </c>
      <c r="AE38" s="3">
        <f t="shared" si="19"/>
        <v>9237180728.7403908</v>
      </c>
      <c r="AF38" s="3">
        <f t="shared" si="19"/>
        <v>0</v>
      </c>
      <c r="AG38" s="3">
        <f t="shared" si="20"/>
        <v>9237180728.7403908</v>
      </c>
      <c r="AH38" s="7" t="s">
        <v>127</v>
      </c>
      <c r="AI38" s="2" t="s">
        <v>55</v>
      </c>
      <c r="AJ38" s="3">
        <f t="shared" si="21"/>
        <v>13544083139.243313</v>
      </c>
      <c r="AK38" s="3">
        <f t="shared" si="21"/>
        <v>1620668245.265964</v>
      </c>
      <c r="AL38" s="3">
        <f t="shared" si="21"/>
        <v>0</v>
      </c>
      <c r="AM38" s="3">
        <f t="shared" si="21"/>
        <v>0</v>
      </c>
      <c r="AN38" s="3">
        <f t="shared" si="22"/>
        <v>15164751384.509277</v>
      </c>
      <c r="AO38" s="7" t="s">
        <v>127</v>
      </c>
      <c r="AP38" s="2" t="s">
        <v>55</v>
      </c>
      <c r="AQ38" s="3">
        <f t="shared" si="23"/>
        <v>4306902410.502923</v>
      </c>
      <c r="AR38" s="3">
        <f t="shared" si="23"/>
        <v>1620668245.265964</v>
      </c>
      <c r="AS38" s="3">
        <f t="shared" si="23"/>
        <v>0</v>
      </c>
      <c r="AT38" s="3">
        <f t="shared" si="23"/>
        <v>0</v>
      </c>
      <c r="AU38" s="3">
        <f t="shared" si="24"/>
        <v>5927570655.7688866</v>
      </c>
      <c r="AV38" s="7" t="s">
        <v>127</v>
      </c>
      <c r="AW38" s="2" t="s">
        <v>55</v>
      </c>
      <c r="AX38" s="3">
        <f t="shared" si="25"/>
        <v>9237180728.7403908</v>
      </c>
      <c r="AY38" s="3">
        <f t="shared" si="25"/>
        <v>0</v>
      </c>
      <c r="AZ38" s="3">
        <f t="shared" si="25"/>
        <v>0</v>
      </c>
      <c r="BA38" s="3">
        <f t="shared" si="25"/>
        <v>0</v>
      </c>
      <c r="BB38" s="3">
        <f t="shared" si="26"/>
        <v>9237180728.7403908</v>
      </c>
      <c r="BC38" s="7" t="s">
        <v>127</v>
      </c>
      <c r="BD38" s="2" t="s">
        <v>55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7" t="s">
        <v>127</v>
      </c>
      <c r="BK38" s="2" t="s">
        <v>55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7" t="s">
        <v>127</v>
      </c>
      <c r="BR38" s="2" t="s">
        <v>55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7" t="s">
        <v>127</v>
      </c>
      <c r="BY38" s="2" t="s">
        <v>55</v>
      </c>
      <c r="BZ38" s="3">
        <v>2707888549.3255601</v>
      </c>
      <c r="CA38" s="3">
        <v>0</v>
      </c>
      <c r="CB38" s="3">
        <v>0</v>
      </c>
      <c r="CC38" s="3">
        <v>0</v>
      </c>
      <c r="CD38" s="3">
        <v>2707888549.3255601</v>
      </c>
      <c r="CE38" s="7" t="s">
        <v>127</v>
      </c>
      <c r="CF38" s="2" t="s">
        <v>55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7" t="s">
        <v>127</v>
      </c>
      <c r="CM38" s="2" t="s">
        <v>55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7" t="s">
        <v>127</v>
      </c>
      <c r="CT38" s="2" t="s">
        <v>55</v>
      </c>
      <c r="CU38" s="3">
        <v>0</v>
      </c>
      <c r="CV38" s="3">
        <v>1585651064.5028217</v>
      </c>
      <c r="CW38" s="3">
        <v>0</v>
      </c>
      <c r="CX38" s="3">
        <v>0</v>
      </c>
      <c r="CY38" s="3">
        <v>1585651064.5028217</v>
      </c>
      <c r="CZ38" s="7" t="s">
        <v>127</v>
      </c>
      <c r="DA38" s="2" t="s">
        <v>55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7" t="s">
        <v>127</v>
      </c>
      <c r="DH38" s="2" t="s">
        <v>55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7" t="s">
        <v>127</v>
      </c>
      <c r="DO38" s="2" t="s">
        <v>55</v>
      </c>
      <c r="DP38" s="3">
        <v>1599013861.1773629</v>
      </c>
      <c r="DQ38" s="3">
        <v>35017180.763142243</v>
      </c>
      <c r="DR38" s="3">
        <v>0</v>
      </c>
      <c r="DS38" s="3">
        <v>0</v>
      </c>
      <c r="DT38" s="3">
        <v>1634031041.9405053</v>
      </c>
      <c r="DU38" s="7" t="s">
        <v>127</v>
      </c>
      <c r="DV38" s="2" t="s">
        <v>55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7" t="s">
        <v>127</v>
      </c>
      <c r="EC38" s="2" t="s">
        <v>55</v>
      </c>
      <c r="ED38" s="3">
        <v>9237180728.7403908</v>
      </c>
      <c r="EE38" s="3">
        <v>0</v>
      </c>
      <c r="EF38" s="3">
        <v>0</v>
      </c>
      <c r="EG38" s="3">
        <v>0</v>
      </c>
      <c r="EH38" s="3">
        <v>9237180728.7403908</v>
      </c>
    </row>
    <row r="39" spans="1:138" ht="10.199999999999999" customHeight="1" x14ac:dyDescent="0.2">
      <c r="A39" s="7" t="s">
        <v>125</v>
      </c>
      <c r="B39" s="2" t="s">
        <v>53</v>
      </c>
      <c r="C39" s="3">
        <f t="shared" si="4"/>
        <v>0</v>
      </c>
      <c r="D39" s="3">
        <f t="shared" si="5"/>
        <v>341024281.46746302</v>
      </c>
      <c r="E39" s="3">
        <f t="shared" si="6"/>
        <v>0</v>
      </c>
      <c r="F39" s="3">
        <f t="shared" si="7"/>
        <v>578397045.54967642</v>
      </c>
      <c r="G39" s="3">
        <f t="shared" si="8"/>
        <v>24039848359.169846</v>
      </c>
      <c r="H39" s="3">
        <f t="shared" si="9"/>
        <v>0</v>
      </c>
      <c r="I39" s="3">
        <f t="shared" si="10"/>
        <v>0</v>
      </c>
      <c r="J39" s="3">
        <f t="shared" si="11"/>
        <v>0</v>
      </c>
      <c r="K39" s="3">
        <f t="shared" si="12"/>
        <v>25111685.142805316</v>
      </c>
      <c r="L39" s="3">
        <f t="shared" si="13"/>
        <v>17615673.144827023</v>
      </c>
      <c r="M39" s="3">
        <f t="shared" si="14"/>
        <v>22005750456.725616</v>
      </c>
      <c r="N39" s="3">
        <f t="shared" si="15"/>
        <v>1788226289.5833559</v>
      </c>
      <c r="O39" s="3">
        <f t="shared" si="16"/>
        <v>48795973790.7836</v>
      </c>
      <c r="P39" s="7" t="s">
        <v>125</v>
      </c>
      <c r="Q39" s="2" t="s">
        <v>53</v>
      </c>
      <c r="R39" s="3">
        <f t="shared" si="28"/>
        <v>0</v>
      </c>
      <c r="S39" s="3">
        <f t="shared" si="28"/>
        <v>341024281.46746302</v>
      </c>
      <c r="T39" s="3">
        <f t="shared" si="28"/>
        <v>0</v>
      </c>
      <c r="U39" s="3">
        <f t="shared" si="28"/>
        <v>578397045.54967642</v>
      </c>
      <c r="V39" s="3">
        <f t="shared" si="28"/>
        <v>24039848359.169846</v>
      </c>
      <c r="W39" s="3">
        <f t="shared" si="27"/>
        <v>0</v>
      </c>
      <c r="X39" s="3">
        <f t="shared" si="27"/>
        <v>0</v>
      </c>
      <c r="Y39" s="3">
        <f t="shared" si="27"/>
        <v>0</v>
      </c>
      <c r="Z39" s="3">
        <f t="shared" si="27"/>
        <v>25111685.142805316</v>
      </c>
      <c r="AA39" s="3">
        <f t="shared" si="27"/>
        <v>17615673.144827023</v>
      </c>
      <c r="AB39" s="3">
        <f t="shared" si="18"/>
        <v>25001997044.474621</v>
      </c>
      <c r="AC39" s="7" t="s">
        <v>125</v>
      </c>
      <c r="AD39" s="2" t="s">
        <v>53</v>
      </c>
      <c r="AE39" s="3">
        <f t="shared" si="19"/>
        <v>22005750456.725616</v>
      </c>
      <c r="AF39" s="3">
        <f t="shared" si="19"/>
        <v>1788226289.5833559</v>
      </c>
      <c r="AG39" s="3">
        <f t="shared" si="20"/>
        <v>23793976746.308971</v>
      </c>
      <c r="AH39" s="7" t="s">
        <v>125</v>
      </c>
      <c r="AI39" s="2" t="s">
        <v>53</v>
      </c>
      <c r="AJ39" s="3">
        <f t="shared" si="21"/>
        <v>20768251658.039494</v>
      </c>
      <c r="AK39" s="3">
        <f t="shared" si="21"/>
        <v>28027722132.744099</v>
      </c>
      <c r="AL39" s="3">
        <f t="shared" si="21"/>
        <v>0</v>
      </c>
      <c r="AM39" s="3">
        <f t="shared" si="21"/>
        <v>0</v>
      </c>
      <c r="AN39" s="3">
        <f t="shared" si="22"/>
        <v>48795973790.783592</v>
      </c>
      <c r="AO39" s="7" t="s">
        <v>125</v>
      </c>
      <c r="AP39" s="2" t="s">
        <v>53</v>
      </c>
      <c r="AQ39" s="3">
        <f t="shared" si="23"/>
        <v>3118341784.9270134</v>
      </c>
      <c r="AR39" s="3">
        <f t="shared" si="23"/>
        <v>21883655259.547604</v>
      </c>
      <c r="AS39" s="3">
        <f t="shared" si="23"/>
        <v>0</v>
      </c>
      <c r="AT39" s="3">
        <f t="shared" si="23"/>
        <v>0</v>
      </c>
      <c r="AU39" s="3">
        <f t="shared" si="24"/>
        <v>25001997044.474617</v>
      </c>
      <c r="AV39" s="7" t="s">
        <v>125</v>
      </c>
      <c r="AW39" s="2" t="s">
        <v>53</v>
      </c>
      <c r="AX39" s="3">
        <f t="shared" si="25"/>
        <v>17649909873.11248</v>
      </c>
      <c r="AY39" s="3">
        <f t="shared" si="25"/>
        <v>6144066873.1964951</v>
      </c>
      <c r="AZ39" s="3">
        <f t="shared" si="25"/>
        <v>0</v>
      </c>
      <c r="BA39" s="3">
        <f t="shared" si="25"/>
        <v>0</v>
      </c>
      <c r="BB39" s="3">
        <f t="shared" si="26"/>
        <v>23793976746.308975</v>
      </c>
      <c r="BC39" s="7" t="s">
        <v>125</v>
      </c>
      <c r="BD39" s="2" t="s">
        <v>53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7" t="s">
        <v>125</v>
      </c>
      <c r="BK39" s="2" t="s">
        <v>53</v>
      </c>
      <c r="BL39" s="3">
        <v>334275501.84697384</v>
      </c>
      <c r="BM39" s="3">
        <v>6748779.6204891521</v>
      </c>
      <c r="BN39" s="3">
        <v>0</v>
      </c>
      <c r="BO39" s="3">
        <v>0</v>
      </c>
      <c r="BP39" s="3">
        <v>341024281.46746302</v>
      </c>
      <c r="BQ39" s="7" t="s">
        <v>125</v>
      </c>
      <c r="BR39" s="2" t="s">
        <v>53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7" t="s">
        <v>125</v>
      </c>
      <c r="BY39" s="2" t="s">
        <v>53</v>
      </c>
      <c r="BZ39" s="3">
        <v>578397045.54967642</v>
      </c>
      <c r="CA39" s="3">
        <v>0</v>
      </c>
      <c r="CB39" s="3">
        <v>0</v>
      </c>
      <c r="CC39" s="3">
        <v>0</v>
      </c>
      <c r="CD39" s="3">
        <v>578397045.54967642</v>
      </c>
      <c r="CE39" s="7" t="s">
        <v>125</v>
      </c>
      <c r="CF39" s="2" t="s">
        <v>53</v>
      </c>
      <c r="CG39" s="3">
        <v>2162941879.2427311</v>
      </c>
      <c r="CH39" s="3">
        <v>21876906479.927113</v>
      </c>
      <c r="CI39" s="3">
        <v>0</v>
      </c>
      <c r="CJ39" s="3">
        <v>0</v>
      </c>
      <c r="CK39" s="3">
        <v>24039848359.169846</v>
      </c>
      <c r="CL39" s="7" t="s">
        <v>125</v>
      </c>
      <c r="CM39" s="2" t="s">
        <v>53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7" t="s">
        <v>125</v>
      </c>
      <c r="CT39" s="2" t="s">
        <v>53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7" t="s">
        <v>125</v>
      </c>
      <c r="DA39" s="2" t="s">
        <v>53</v>
      </c>
      <c r="DB39" s="3">
        <v>25111685.142805316</v>
      </c>
      <c r="DC39" s="3">
        <v>0</v>
      </c>
      <c r="DD39" s="3">
        <v>0</v>
      </c>
      <c r="DE39" s="3">
        <v>0</v>
      </c>
      <c r="DF39" s="3">
        <v>25111685.142805316</v>
      </c>
      <c r="DG39" s="7" t="s">
        <v>125</v>
      </c>
      <c r="DH39" s="2" t="s">
        <v>53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7" t="s">
        <v>125</v>
      </c>
      <c r="DO39" s="2" t="s">
        <v>53</v>
      </c>
      <c r="DP39" s="3">
        <v>17615673.144827023</v>
      </c>
      <c r="DQ39" s="3">
        <v>0</v>
      </c>
      <c r="DR39" s="3">
        <v>0</v>
      </c>
      <c r="DS39" s="3">
        <v>0</v>
      </c>
      <c r="DT39" s="3">
        <v>17615673.144827023</v>
      </c>
      <c r="DU39" s="7" t="s">
        <v>125</v>
      </c>
      <c r="DV39" s="2" t="s">
        <v>53</v>
      </c>
      <c r="DW39" s="3">
        <v>144058276.07815787</v>
      </c>
      <c r="DX39" s="3">
        <v>1644168013.505198</v>
      </c>
      <c r="DY39" s="3">
        <v>0</v>
      </c>
      <c r="DZ39" s="3">
        <v>0</v>
      </c>
      <c r="EA39" s="3">
        <v>1788226289.5833559</v>
      </c>
      <c r="EB39" s="7" t="s">
        <v>125</v>
      </c>
      <c r="EC39" s="2" t="s">
        <v>53</v>
      </c>
      <c r="ED39" s="3">
        <v>17505851597.034321</v>
      </c>
      <c r="EE39" s="3">
        <v>4499898859.6912966</v>
      </c>
      <c r="EF39" s="3">
        <v>0</v>
      </c>
      <c r="EG39" s="3">
        <v>0</v>
      </c>
      <c r="EH39" s="3">
        <v>22005750456.725616</v>
      </c>
    </row>
    <row r="40" spans="1:138" ht="10.199999999999999" customHeight="1" x14ac:dyDescent="0.2">
      <c r="A40" s="7" t="s">
        <v>130</v>
      </c>
      <c r="B40" s="2" t="s">
        <v>58</v>
      </c>
      <c r="C40" s="3">
        <f t="shared" si="4"/>
        <v>0</v>
      </c>
      <c r="D40" s="3">
        <f t="shared" si="5"/>
        <v>6115191511.3997908</v>
      </c>
      <c r="E40" s="3">
        <f t="shared" si="6"/>
        <v>3171302129.0056434</v>
      </c>
      <c r="F40" s="3">
        <f t="shared" si="7"/>
        <v>146712.60044541635</v>
      </c>
      <c r="G40" s="3">
        <f t="shared" si="8"/>
        <v>8293425.2008908326</v>
      </c>
      <c r="H40" s="3">
        <f t="shared" si="9"/>
        <v>0</v>
      </c>
      <c r="I40" s="3">
        <f t="shared" si="10"/>
        <v>1321510907.0907764</v>
      </c>
      <c r="J40" s="3">
        <f t="shared" si="11"/>
        <v>0</v>
      </c>
      <c r="K40" s="3">
        <f t="shared" si="12"/>
        <v>1090977834.4071527</v>
      </c>
      <c r="L40" s="3">
        <f t="shared" si="13"/>
        <v>675487696303.56799</v>
      </c>
      <c r="M40" s="3">
        <f t="shared" si="14"/>
        <v>40012496718.199112</v>
      </c>
      <c r="N40" s="3">
        <f t="shared" si="15"/>
        <v>1271285942769.0347</v>
      </c>
      <c r="O40" s="3">
        <f t="shared" si="16"/>
        <v>1998493558310.5063</v>
      </c>
      <c r="P40" s="7" t="s">
        <v>130</v>
      </c>
      <c r="Q40" s="2" t="s">
        <v>58</v>
      </c>
      <c r="R40" s="3">
        <f t="shared" si="28"/>
        <v>0</v>
      </c>
      <c r="S40" s="3">
        <f t="shared" si="28"/>
        <v>6115191511.3997908</v>
      </c>
      <c r="T40" s="3">
        <f t="shared" si="28"/>
        <v>3171302129.0056434</v>
      </c>
      <c r="U40" s="3">
        <f t="shared" si="28"/>
        <v>146712.60044541635</v>
      </c>
      <c r="V40" s="3">
        <f t="shared" si="28"/>
        <v>8293425.2008908326</v>
      </c>
      <c r="W40" s="3">
        <f t="shared" si="27"/>
        <v>0</v>
      </c>
      <c r="X40" s="3">
        <f t="shared" si="27"/>
        <v>1321510907.0907764</v>
      </c>
      <c r="Y40" s="3">
        <f t="shared" si="27"/>
        <v>0</v>
      </c>
      <c r="Z40" s="3">
        <f t="shared" si="27"/>
        <v>1090977834.4071527</v>
      </c>
      <c r="AA40" s="3">
        <f t="shared" si="27"/>
        <v>675487696303.56799</v>
      </c>
      <c r="AB40" s="3">
        <f t="shared" si="18"/>
        <v>687195118823.27271</v>
      </c>
      <c r="AC40" s="7" t="s">
        <v>130</v>
      </c>
      <c r="AD40" s="2" t="s">
        <v>58</v>
      </c>
      <c r="AE40" s="3">
        <f t="shared" si="19"/>
        <v>40012496718.199112</v>
      </c>
      <c r="AF40" s="3">
        <f t="shared" si="19"/>
        <v>1271285942769.0347</v>
      </c>
      <c r="AG40" s="3">
        <f t="shared" si="20"/>
        <v>1311298439487.2339</v>
      </c>
      <c r="AH40" s="7" t="s">
        <v>130</v>
      </c>
      <c r="AI40" s="2" t="s">
        <v>58</v>
      </c>
      <c r="AJ40" s="3">
        <f t="shared" si="21"/>
        <v>36907551065.645813</v>
      </c>
      <c r="AK40" s="3">
        <f t="shared" si="21"/>
        <v>15457279319.905804</v>
      </c>
      <c r="AL40" s="3">
        <f t="shared" si="21"/>
        <v>42257506653.851601</v>
      </c>
      <c r="AM40" s="3">
        <f t="shared" si="21"/>
        <v>1903871221271.1033</v>
      </c>
      <c r="AN40" s="3">
        <f t="shared" si="22"/>
        <v>1998493558310.5066</v>
      </c>
      <c r="AO40" s="7" t="s">
        <v>130</v>
      </c>
      <c r="AP40" s="2" t="s">
        <v>58</v>
      </c>
      <c r="AQ40" s="3">
        <f t="shared" si="23"/>
        <v>580495308.57024217</v>
      </c>
      <c r="AR40" s="3">
        <f t="shared" si="23"/>
        <v>8181492976.2309771</v>
      </c>
      <c r="AS40" s="3">
        <f t="shared" si="23"/>
        <v>0</v>
      </c>
      <c r="AT40" s="3">
        <f t="shared" si="23"/>
        <v>678433130538.47144</v>
      </c>
      <c r="AU40" s="3">
        <f t="shared" si="24"/>
        <v>687195118823.27271</v>
      </c>
      <c r="AV40" s="7" t="s">
        <v>130</v>
      </c>
      <c r="AW40" s="2" t="s">
        <v>58</v>
      </c>
      <c r="AX40" s="3">
        <f t="shared" si="25"/>
        <v>36327055757.075569</v>
      </c>
      <c r="AY40" s="3">
        <f t="shared" si="25"/>
        <v>7275786343.6748266</v>
      </c>
      <c r="AZ40" s="3">
        <f t="shared" si="25"/>
        <v>42257506653.851601</v>
      </c>
      <c r="BA40" s="3">
        <f t="shared" si="25"/>
        <v>1225438090732.6318</v>
      </c>
      <c r="BB40" s="3">
        <f t="shared" si="26"/>
        <v>1311298439487.2339</v>
      </c>
      <c r="BC40" s="7" t="s">
        <v>130</v>
      </c>
      <c r="BD40" s="2" t="s">
        <v>58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7" t="s">
        <v>130</v>
      </c>
      <c r="BK40" s="2" t="s">
        <v>58</v>
      </c>
      <c r="BL40" s="3">
        <v>16586850.401781665</v>
      </c>
      <c r="BM40" s="3">
        <v>6098604660.9980087</v>
      </c>
      <c r="BN40" s="3">
        <v>0</v>
      </c>
      <c r="BO40" s="3">
        <v>0</v>
      </c>
      <c r="BP40" s="3">
        <v>6115191511.3997908</v>
      </c>
      <c r="BQ40" s="7" t="s">
        <v>130</v>
      </c>
      <c r="BR40" s="2" t="s">
        <v>58</v>
      </c>
      <c r="BS40" s="3">
        <v>0</v>
      </c>
      <c r="BT40" s="3">
        <v>0</v>
      </c>
      <c r="BU40" s="3">
        <v>0</v>
      </c>
      <c r="BV40" s="3">
        <v>3171302129.0056434</v>
      </c>
      <c r="BW40" s="3">
        <v>3171302129.0056434</v>
      </c>
      <c r="BX40" s="7" t="s">
        <v>130</v>
      </c>
      <c r="BY40" s="2" t="s">
        <v>58</v>
      </c>
      <c r="BZ40" s="3">
        <v>146712.60044541635</v>
      </c>
      <c r="CA40" s="3">
        <v>0</v>
      </c>
      <c r="CB40" s="3">
        <v>0</v>
      </c>
      <c r="CC40" s="3">
        <v>0</v>
      </c>
      <c r="CD40" s="3">
        <v>146712.60044541635</v>
      </c>
      <c r="CE40" s="7" t="s">
        <v>130</v>
      </c>
      <c r="CF40" s="2" t="s">
        <v>58</v>
      </c>
      <c r="CG40" s="3">
        <v>8293425.2008908326</v>
      </c>
      <c r="CH40" s="3">
        <v>0</v>
      </c>
      <c r="CI40" s="3">
        <v>0</v>
      </c>
      <c r="CJ40" s="3">
        <v>0</v>
      </c>
      <c r="CK40" s="3">
        <v>8293425.2008908326</v>
      </c>
      <c r="CL40" s="7" t="s">
        <v>130</v>
      </c>
      <c r="CM40" s="2" t="s">
        <v>58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7" t="s">
        <v>130</v>
      </c>
      <c r="CT40" s="2" t="s">
        <v>58</v>
      </c>
      <c r="CU40" s="3">
        <v>322808733.20884103</v>
      </c>
      <c r="CV40" s="3">
        <v>998702173.88193548</v>
      </c>
      <c r="CW40" s="3">
        <v>0</v>
      </c>
      <c r="CX40" s="3">
        <v>0</v>
      </c>
      <c r="CY40" s="3">
        <v>1321510907.0907764</v>
      </c>
      <c r="CZ40" s="7" t="s">
        <v>130</v>
      </c>
      <c r="DA40" s="2" t="s">
        <v>58</v>
      </c>
      <c r="DB40" s="3">
        <v>6791693.0561194364</v>
      </c>
      <c r="DC40" s="3">
        <v>1084186141.3510332</v>
      </c>
      <c r="DD40" s="3">
        <v>0</v>
      </c>
      <c r="DE40" s="3">
        <v>0</v>
      </c>
      <c r="DF40" s="3">
        <v>1090977834.4071527</v>
      </c>
      <c r="DG40" s="7" t="s">
        <v>130</v>
      </c>
      <c r="DH40" s="2" t="s">
        <v>58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7" t="s">
        <v>130</v>
      </c>
      <c r="DO40" s="2" t="s">
        <v>58</v>
      </c>
      <c r="DP40" s="3">
        <v>225867894.10216379</v>
      </c>
      <c r="DQ40" s="3">
        <v>0</v>
      </c>
      <c r="DR40" s="3">
        <v>0</v>
      </c>
      <c r="DS40" s="3">
        <v>675261828409.46582</v>
      </c>
      <c r="DT40" s="3">
        <v>675487696303.56799</v>
      </c>
      <c r="DU40" s="7" t="s">
        <v>130</v>
      </c>
      <c r="DV40" s="2" t="s">
        <v>58</v>
      </c>
      <c r="DW40" s="3">
        <v>3591563097.1349821</v>
      </c>
      <c r="DX40" s="3">
        <v>0</v>
      </c>
      <c r="DY40" s="3">
        <v>42256288939.267906</v>
      </c>
      <c r="DZ40" s="3">
        <v>1225438090732.6318</v>
      </c>
      <c r="EA40" s="3">
        <v>1271285942769.0347</v>
      </c>
      <c r="EB40" s="7" t="s">
        <v>130</v>
      </c>
      <c r="EC40" s="2" t="s">
        <v>58</v>
      </c>
      <c r="ED40" s="3">
        <v>32735492659.94059</v>
      </c>
      <c r="EE40" s="3">
        <v>7275786343.6748266</v>
      </c>
      <c r="EF40" s="3">
        <v>1217714.5836969556</v>
      </c>
      <c r="EG40" s="3">
        <v>0</v>
      </c>
      <c r="EH40" s="3">
        <v>40012496718.199112</v>
      </c>
    </row>
    <row r="41" spans="1:138" ht="10.199999999999999" customHeight="1" x14ac:dyDescent="0.2">
      <c r="A41" s="7" t="s">
        <v>122</v>
      </c>
      <c r="B41" s="2" t="s">
        <v>50</v>
      </c>
      <c r="C41" s="3">
        <f t="shared" si="4"/>
        <v>0</v>
      </c>
      <c r="D41" s="3">
        <f t="shared" si="5"/>
        <v>88738759.535001457</v>
      </c>
      <c r="E41" s="3">
        <f t="shared" si="6"/>
        <v>0</v>
      </c>
      <c r="F41" s="3">
        <f t="shared" si="7"/>
        <v>996313.00481764821</v>
      </c>
      <c r="G41" s="3">
        <f t="shared" si="8"/>
        <v>6189193.4291461809</v>
      </c>
      <c r="H41" s="3">
        <f t="shared" si="9"/>
        <v>0</v>
      </c>
      <c r="I41" s="3">
        <f t="shared" si="10"/>
        <v>0</v>
      </c>
      <c r="J41" s="3">
        <f t="shared" si="11"/>
        <v>0</v>
      </c>
      <c r="K41" s="3">
        <f t="shared" si="12"/>
        <v>3881505.0448140027</v>
      </c>
      <c r="L41" s="3">
        <f t="shared" si="13"/>
        <v>167185399.30283365</v>
      </c>
      <c r="M41" s="3">
        <f t="shared" si="14"/>
        <v>18314665939.769112</v>
      </c>
      <c r="N41" s="3">
        <f t="shared" si="15"/>
        <v>0</v>
      </c>
      <c r="O41" s="3">
        <f t="shared" si="16"/>
        <v>18581657110.085724</v>
      </c>
      <c r="P41" s="7" t="s">
        <v>122</v>
      </c>
      <c r="Q41" s="2" t="s">
        <v>50</v>
      </c>
      <c r="R41" s="3">
        <f t="shared" si="28"/>
        <v>0</v>
      </c>
      <c r="S41" s="3">
        <f t="shared" si="28"/>
        <v>88738759.535001457</v>
      </c>
      <c r="T41" s="3">
        <f t="shared" si="28"/>
        <v>0</v>
      </c>
      <c r="U41" s="3">
        <f t="shared" si="28"/>
        <v>996313.00481764821</v>
      </c>
      <c r="V41" s="3">
        <f t="shared" si="28"/>
        <v>6189193.4291461809</v>
      </c>
      <c r="W41" s="3">
        <f t="shared" si="27"/>
        <v>0</v>
      </c>
      <c r="X41" s="3">
        <f t="shared" si="27"/>
        <v>0</v>
      </c>
      <c r="Y41" s="3">
        <f t="shared" si="27"/>
        <v>0</v>
      </c>
      <c r="Z41" s="3">
        <f t="shared" si="27"/>
        <v>3881505.0448140027</v>
      </c>
      <c r="AA41" s="3">
        <f t="shared" si="27"/>
        <v>167185399.30283365</v>
      </c>
      <c r="AB41" s="3">
        <f t="shared" si="18"/>
        <v>266991170.31661296</v>
      </c>
      <c r="AC41" s="7" t="s">
        <v>122</v>
      </c>
      <c r="AD41" s="2" t="s">
        <v>50</v>
      </c>
      <c r="AE41" s="3">
        <f t="shared" si="19"/>
        <v>18314665939.769112</v>
      </c>
      <c r="AF41" s="3">
        <f t="shared" si="19"/>
        <v>0</v>
      </c>
      <c r="AG41" s="3">
        <f t="shared" si="20"/>
        <v>18314665939.769112</v>
      </c>
      <c r="AH41" s="7" t="s">
        <v>122</v>
      </c>
      <c r="AI41" s="2" t="s">
        <v>50</v>
      </c>
      <c r="AJ41" s="3">
        <f t="shared" si="21"/>
        <v>1524062469.3688226</v>
      </c>
      <c r="AK41" s="3">
        <f t="shared" si="21"/>
        <v>17057594640.716902</v>
      </c>
      <c r="AL41" s="3">
        <f t="shared" si="21"/>
        <v>0</v>
      </c>
      <c r="AM41" s="3">
        <f t="shared" si="21"/>
        <v>0</v>
      </c>
      <c r="AN41" s="3">
        <f t="shared" si="22"/>
        <v>18581657110.085724</v>
      </c>
      <c r="AO41" s="7" t="s">
        <v>122</v>
      </c>
      <c r="AP41" s="2" t="s">
        <v>50</v>
      </c>
      <c r="AQ41" s="3">
        <f t="shared" si="23"/>
        <v>263227547.78881371</v>
      </c>
      <c r="AR41" s="3">
        <f t="shared" si="23"/>
        <v>3763622.5277992198</v>
      </c>
      <c r="AS41" s="3">
        <f t="shared" si="23"/>
        <v>0</v>
      </c>
      <c r="AT41" s="3">
        <f t="shared" si="23"/>
        <v>0</v>
      </c>
      <c r="AU41" s="3">
        <f t="shared" si="24"/>
        <v>266991170.31661293</v>
      </c>
      <c r="AV41" s="7" t="s">
        <v>122</v>
      </c>
      <c r="AW41" s="2" t="s">
        <v>50</v>
      </c>
      <c r="AX41" s="3">
        <f t="shared" si="25"/>
        <v>1260834921.580009</v>
      </c>
      <c r="AY41" s="3">
        <f t="shared" si="25"/>
        <v>17053831018.189102</v>
      </c>
      <c r="AZ41" s="3">
        <f t="shared" si="25"/>
        <v>0</v>
      </c>
      <c r="BA41" s="3">
        <f t="shared" si="25"/>
        <v>0</v>
      </c>
      <c r="BB41" s="3">
        <f t="shared" si="26"/>
        <v>18314665939.769112</v>
      </c>
      <c r="BC41" s="7" t="s">
        <v>122</v>
      </c>
      <c r="BD41" s="2" t="s">
        <v>50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7" t="s">
        <v>122</v>
      </c>
      <c r="BK41" s="2" t="s">
        <v>50</v>
      </c>
      <c r="BL41" s="3">
        <v>88738759.535001457</v>
      </c>
      <c r="BM41" s="3">
        <v>0</v>
      </c>
      <c r="BN41" s="3">
        <v>0</v>
      </c>
      <c r="BO41" s="3">
        <v>0</v>
      </c>
      <c r="BP41" s="3">
        <v>88738759.535001457</v>
      </c>
      <c r="BQ41" s="7" t="s">
        <v>122</v>
      </c>
      <c r="BR41" s="2" t="s">
        <v>50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7" t="s">
        <v>122</v>
      </c>
      <c r="BY41" s="2" t="s">
        <v>50</v>
      </c>
      <c r="BZ41" s="3">
        <v>996313.00481764821</v>
      </c>
      <c r="CA41" s="3">
        <v>0</v>
      </c>
      <c r="CB41" s="3">
        <v>0</v>
      </c>
      <c r="CC41" s="3">
        <v>0</v>
      </c>
      <c r="CD41" s="3">
        <v>996313.00481764821</v>
      </c>
      <c r="CE41" s="7" t="s">
        <v>122</v>
      </c>
      <c r="CF41" s="2" t="s">
        <v>50</v>
      </c>
      <c r="CG41" s="3">
        <v>3493349.3959616558</v>
      </c>
      <c r="CH41" s="3">
        <v>2695844.0331845251</v>
      </c>
      <c r="CI41" s="3">
        <v>0</v>
      </c>
      <c r="CJ41" s="3">
        <v>0</v>
      </c>
      <c r="CK41" s="3">
        <v>6189193.4291461809</v>
      </c>
      <c r="CL41" s="7" t="s">
        <v>122</v>
      </c>
      <c r="CM41" s="2" t="s">
        <v>50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7" t="s">
        <v>122</v>
      </c>
      <c r="CT41" s="2" t="s">
        <v>50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7" t="s">
        <v>122</v>
      </c>
      <c r="DA41" s="2" t="s">
        <v>50</v>
      </c>
      <c r="DB41" s="3">
        <v>3881505.0448140027</v>
      </c>
      <c r="DC41" s="3">
        <v>0</v>
      </c>
      <c r="DD41" s="3">
        <v>0</v>
      </c>
      <c r="DE41" s="3">
        <v>0</v>
      </c>
      <c r="DF41" s="3">
        <v>3881505.0448140027</v>
      </c>
      <c r="DG41" s="7" t="s">
        <v>122</v>
      </c>
      <c r="DH41" s="2" t="s">
        <v>50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7" t="s">
        <v>122</v>
      </c>
      <c r="DO41" s="2" t="s">
        <v>50</v>
      </c>
      <c r="DP41" s="3">
        <v>166117620.80821896</v>
      </c>
      <c r="DQ41" s="3">
        <v>1067778.4946146947</v>
      </c>
      <c r="DR41" s="3">
        <v>0</v>
      </c>
      <c r="DS41" s="3">
        <v>0</v>
      </c>
      <c r="DT41" s="3">
        <v>167185399.30283365</v>
      </c>
      <c r="DU41" s="7" t="s">
        <v>122</v>
      </c>
      <c r="DV41" s="2" t="s">
        <v>50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7" t="s">
        <v>122</v>
      </c>
      <c r="EC41" s="2" t="s">
        <v>50</v>
      </c>
      <c r="ED41" s="3">
        <v>1260834921.580009</v>
      </c>
      <c r="EE41" s="3">
        <v>17053831018.189102</v>
      </c>
      <c r="EF41" s="3">
        <v>0</v>
      </c>
      <c r="EG41" s="3">
        <v>0</v>
      </c>
      <c r="EH41" s="3">
        <v>18314665939.769112</v>
      </c>
    </row>
    <row r="42" spans="1:138" ht="10.199999999999999" customHeight="1" x14ac:dyDescent="0.2">
      <c r="A42" s="8"/>
      <c r="B42" s="4" t="s">
        <v>59</v>
      </c>
      <c r="C42" s="3">
        <f>SUM(C4:C41)</f>
        <v>10478660788.403437</v>
      </c>
      <c r="D42" s="3">
        <f t="shared" ref="D42:O42" si="29">SUM(D4:D41)</f>
        <v>145474094343.81638</v>
      </c>
      <c r="E42" s="3">
        <f t="shared" si="29"/>
        <v>15699175324447.131</v>
      </c>
      <c r="F42" s="3">
        <f t="shared" si="29"/>
        <v>980987352238.21411</v>
      </c>
      <c r="G42" s="3">
        <f t="shared" si="29"/>
        <v>143761688306.64072</v>
      </c>
      <c r="H42" s="3">
        <f t="shared" si="29"/>
        <v>701620177732.11145</v>
      </c>
      <c r="I42" s="3">
        <f t="shared" si="29"/>
        <v>231734846811.29791</v>
      </c>
      <c r="J42" s="3">
        <f t="shared" si="29"/>
        <v>2725463222184.9258</v>
      </c>
      <c r="K42" s="3">
        <f t="shared" si="29"/>
        <v>465243551995.61481</v>
      </c>
      <c r="L42" s="3">
        <f t="shared" si="29"/>
        <v>1617012922928.1199</v>
      </c>
      <c r="M42" s="3">
        <f t="shared" si="29"/>
        <v>1816565701800.3433</v>
      </c>
      <c r="N42" s="3">
        <f t="shared" si="29"/>
        <v>7440723501868.1016</v>
      </c>
      <c r="O42" s="3">
        <f t="shared" si="29"/>
        <v>31978241045444.727</v>
      </c>
      <c r="P42" s="8"/>
      <c r="Q42" s="4" t="s">
        <v>59</v>
      </c>
      <c r="R42" s="3">
        <f>SUM(R4:R41)</f>
        <v>10478660788.403437</v>
      </c>
      <c r="S42" s="3">
        <f t="shared" ref="S42:AB42" si="30">SUM(S4:S41)</f>
        <v>145474094343.81638</v>
      </c>
      <c r="T42" s="3">
        <f t="shared" si="30"/>
        <v>15699175324447.131</v>
      </c>
      <c r="U42" s="3">
        <f t="shared" si="30"/>
        <v>980987352238.21411</v>
      </c>
      <c r="V42" s="3">
        <f t="shared" si="30"/>
        <v>143761688306.64072</v>
      </c>
      <c r="W42" s="3">
        <f t="shared" si="30"/>
        <v>701620177732.11145</v>
      </c>
      <c r="X42" s="3">
        <f t="shared" si="30"/>
        <v>231734846811.29791</v>
      </c>
      <c r="Y42" s="3">
        <f t="shared" si="30"/>
        <v>2725463222184.9258</v>
      </c>
      <c r="Z42" s="3">
        <f t="shared" si="30"/>
        <v>465243551995.61481</v>
      </c>
      <c r="AA42" s="3">
        <f t="shared" si="30"/>
        <v>1617012922928.1199</v>
      </c>
      <c r="AB42" s="3">
        <f t="shared" si="30"/>
        <v>22720951841776.273</v>
      </c>
      <c r="AC42" s="8"/>
      <c r="AD42" s="4" t="s">
        <v>59</v>
      </c>
      <c r="AE42" s="3">
        <f>SUM(AE4:AE41)</f>
        <v>1816565701800.3433</v>
      </c>
      <c r="AF42" s="3">
        <f t="shared" ref="AF42:AG42" si="31">SUM(AF4:AF41)</f>
        <v>7440723501868.1016</v>
      </c>
      <c r="AG42" s="3">
        <f t="shared" si="31"/>
        <v>9257289203668.4473</v>
      </c>
      <c r="AH42" s="8"/>
      <c r="AI42" s="4" t="s">
        <v>59</v>
      </c>
      <c r="AJ42" s="3">
        <f>SUM(AJ4:AJ41)</f>
        <v>1908810647503.8694</v>
      </c>
      <c r="AK42" s="3">
        <f t="shared" ref="AK42:AN42" si="32">SUM(AK4:AK41)</f>
        <v>2489670082890.7344</v>
      </c>
      <c r="AL42" s="3">
        <f t="shared" si="32"/>
        <v>3094089350955.7979</v>
      </c>
      <c r="AM42" s="3">
        <f t="shared" si="32"/>
        <v>24485670964094.32</v>
      </c>
      <c r="AN42" s="3">
        <f t="shared" si="32"/>
        <v>31978241045444.727</v>
      </c>
      <c r="AO42" s="8"/>
      <c r="AP42" s="4" t="s">
        <v>59</v>
      </c>
      <c r="AQ42" s="3">
        <f>SUM(AQ4:AQ41)</f>
        <v>845779434778.03784</v>
      </c>
      <c r="AR42" s="3">
        <f t="shared" ref="AR42:AU42" si="33">SUM(AR4:AR41)</f>
        <v>1023101744170.6063</v>
      </c>
      <c r="AS42" s="3">
        <f t="shared" si="33"/>
        <v>1278896049433.1929</v>
      </c>
      <c r="AT42" s="3">
        <f t="shared" si="33"/>
        <v>19573174613394.441</v>
      </c>
      <c r="AU42" s="3">
        <f t="shared" si="33"/>
        <v>22720951841776.273</v>
      </c>
      <c r="AV42" s="8"/>
      <c r="AW42" s="4" t="s">
        <v>59</v>
      </c>
      <c r="AX42" s="3">
        <f>SUM(AX4:AX41)</f>
        <v>1063031212725.8319</v>
      </c>
      <c r="AY42" s="3">
        <f t="shared" ref="AY42:BB42" si="34">SUM(AY4:AY41)</f>
        <v>1466568338720.1272</v>
      </c>
      <c r="AZ42" s="3">
        <f t="shared" si="34"/>
        <v>1815193301522.605</v>
      </c>
      <c r="BA42" s="3">
        <f t="shared" si="34"/>
        <v>4912496350699.8818</v>
      </c>
      <c r="BB42" s="3">
        <f t="shared" si="34"/>
        <v>9257289203668.4473</v>
      </c>
      <c r="BC42" s="8"/>
      <c r="BD42" s="4" t="s">
        <v>59</v>
      </c>
      <c r="BE42" s="3">
        <v>3032183046.0744452</v>
      </c>
      <c r="BF42" s="3">
        <v>1839659264.6736441</v>
      </c>
      <c r="BG42" s="3">
        <v>5606818477.6553478</v>
      </c>
      <c r="BH42" s="3">
        <v>0</v>
      </c>
      <c r="BI42" s="3">
        <v>10478660788.403437</v>
      </c>
      <c r="BJ42" s="8"/>
      <c r="BK42" s="4" t="s">
        <v>59</v>
      </c>
      <c r="BL42" s="3">
        <v>6011525018.1875772</v>
      </c>
      <c r="BM42" s="3">
        <v>18053140387.228981</v>
      </c>
      <c r="BN42" s="3">
        <v>17840744989.711624</v>
      </c>
      <c r="BO42" s="3">
        <v>103568683948.68814</v>
      </c>
      <c r="BP42" s="3">
        <v>145474094343.81638</v>
      </c>
      <c r="BQ42" s="8"/>
      <c r="BR42" s="4" t="s">
        <v>59</v>
      </c>
      <c r="BS42" s="3">
        <v>250495580584.03464</v>
      </c>
      <c r="BT42" s="3">
        <v>212794842255.94223</v>
      </c>
      <c r="BU42" s="3">
        <v>377230025002.96655</v>
      </c>
      <c r="BV42" s="3">
        <v>14858654876604.186</v>
      </c>
      <c r="BW42" s="3">
        <v>15699175324447.131</v>
      </c>
      <c r="BX42" s="8"/>
      <c r="BY42" s="4" t="s">
        <v>59</v>
      </c>
      <c r="BZ42" s="3">
        <v>84026735907.286087</v>
      </c>
      <c r="CA42" s="3">
        <v>223813903568.26263</v>
      </c>
      <c r="CB42" s="3">
        <v>375574745484.4552</v>
      </c>
      <c r="CC42" s="3">
        <v>297571967278.21021</v>
      </c>
      <c r="CD42" s="3">
        <v>980987352238.21411</v>
      </c>
      <c r="CE42" s="8"/>
      <c r="CF42" s="4" t="s">
        <v>59</v>
      </c>
      <c r="CG42" s="3">
        <v>49439823687.955437</v>
      </c>
      <c r="CH42" s="3">
        <v>77607803271.142212</v>
      </c>
      <c r="CI42" s="3">
        <v>5367653002.0181799</v>
      </c>
      <c r="CJ42" s="3">
        <v>11346408345.524864</v>
      </c>
      <c r="CK42" s="3">
        <v>143761688306.64072</v>
      </c>
      <c r="CL42" s="8"/>
      <c r="CM42" s="4" t="s">
        <v>59</v>
      </c>
      <c r="CN42" s="3">
        <v>0</v>
      </c>
      <c r="CO42" s="3">
        <v>0</v>
      </c>
      <c r="CP42" s="3">
        <v>224401352025.14868</v>
      </c>
      <c r="CQ42" s="3">
        <v>477218825706.96271</v>
      </c>
      <c r="CR42" s="3">
        <v>701620177732.11145</v>
      </c>
      <c r="CS42" s="8"/>
      <c r="CT42" s="4" t="s">
        <v>59</v>
      </c>
      <c r="CU42" s="3">
        <v>111037153267.52754</v>
      </c>
      <c r="CV42" s="3">
        <v>102115947216.30905</v>
      </c>
      <c r="CW42" s="3">
        <v>18581746327.461468</v>
      </c>
      <c r="CX42" s="3">
        <v>0</v>
      </c>
      <c r="CY42" s="3">
        <v>231734846811.29791</v>
      </c>
      <c r="CZ42" s="8"/>
      <c r="DA42" s="4" t="s">
        <v>59</v>
      </c>
      <c r="DB42" s="3">
        <v>73109152920.160553</v>
      </c>
      <c r="DC42" s="3">
        <v>151622433770.43362</v>
      </c>
      <c r="DD42" s="3">
        <v>91921717149.746216</v>
      </c>
      <c r="DE42" s="3">
        <v>148590248155.27438</v>
      </c>
      <c r="DF42" s="3">
        <v>465243551995.61481</v>
      </c>
      <c r="DG42" s="8"/>
      <c r="DH42" s="4" t="s">
        <v>59</v>
      </c>
      <c r="DI42" s="3">
        <v>123933685398.76073</v>
      </c>
      <c r="DJ42" s="3">
        <v>10858428234.233942</v>
      </c>
      <c r="DK42" s="3">
        <v>38130493647.626434</v>
      </c>
      <c r="DL42" s="3">
        <v>2552540614904.3052</v>
      </c>
      <c r="DM42" s="3">
        <v>2725463222184.9258</v>
      </c>
      <c r="DN42" s="8"/>
      <c r="DO42" s="4" t="s">
        <v>59</v>
      </c>
      <c r="DP42" s="3">
        <v>144693594948.05084</v>
      </c>
      <c r="DQ42" s="3">
        <v>224395586202.38</v>
      </c>
      <c r="DR42" s="3">
        <v>124240753326.40317</v>
      </c>
      <c r="DS42" s="3">
        <v>1123682988451.2864</v>
      </c>
      <c r="DT42" s="3">
        <v>1617012922928.1199</v>
      </c>
      <c r="DU42" s="8"/>
      <c r="DV42" s="4" t="s">
        <v>59</v>
      </c>
      <c r="DW42" s="3">
        <v>226187428183.77774</v>
      </c>
      <c r="DX42" s="3">
        <v>558077369393.9906</v>
      </c>
      <c r="DY42" s="3">
        <v>1747507405041.9924</v>
      </c>
      <c r="DZ42" s="3">
        <v>4908951299248.3418</v>
      </c>
      <c r="EA42" s="3">
        <v>7440723501868.1016</v>
      </c>
      <c r="EB42" s="8"/>
      <c r="EC42" s="4" t="s">
        <v>59</v>
      </c>
      <c r="ED42" s="3">
        <v>836843784542.05371</v>
      </c>
      <c r="EE42" s="3">
        <v>908490969326.13696</v>
      </c>
      <c r="EF42" s="3">
        <v>67685896480.612556</v>
      </c>
      <c r="EG42" s="3">
        <v>3545051451.5398993</v>
      </c>
      <c r="EH42" s="3">
        <v>1816565701800.3433</v>
      </c>
    </row>
    <row r="43" spans="1:138" ht="10.199999999999999" customHeight="1" x14ac:dyDescent="0.2">
      <c r="O43" s="52">
        <f>AB42+AG42</f>
        <v>31978241045444.719</v>
      </c>
      <c r="AJ43" s="5"/>
      <c r="AK43" s="5"/>
      <c r="AN43" s="52">
        <f>O42</f>
        <v>31978241045444.727</v>
      </c>
      <c r="AQ43" s="5"/>
      <c r="AR43" s="5"/>
      <c r="AU43" s="52">
        <f>AB42</f>
        <v>22720951841776.273</v>
      </c>
      <c r="AX43" s="5"/>
      <c r="AY43" s="5"/>
      <c r="BB43" s="52">
        <f>AG42</f>
        <v>9257289203668.4473</v>
      </c>
      <c r="BE43" s="5"/>
      <c r="BF43" s="5"/>
      <c r="BL43" s="5"/>
      <c r="BM43" s="5"/>
      <c r="BS43" s="5"/>
      <c r="BT43" s="5"/>
      <c r="BZ43" s="5"/>
      <c r="CA43" s="5"/>
      <c r="CG43" s="5"/>
      <c r="CH43" s="5"/>
      <c r="CN43" s="5"/>
      <c r="CO43" s="5"/>
      <c r="CU43" s="5"/>
      <c r="CV43" s="5"/>
      <c r="DB43" s="5"/>
      <c r="DC43" s="5"/>
      <c r="DI43" s="5"/>
      <c r="DJ43" s="5"/>
      <c r="DP43" s="5"/>
      <c r="DQ43" s="5"/>
      <c r="DW43" s="5"/>
      <c r="DX43" s="5"/>
      <c r="ED43" s="5"/>
      <c r="EE43" s="5"/>
    </row>
    <row r="44" spans="1:138" ht="10.199999999999999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E44" s="6"/>
      <c r="AF44" s="6"/>
      <c r="AG44" s="6"/>
    </row>
    <row r="46" spans="1:138" ht="10.199999999999999" customHeight="1" x14ac:dyDescent="0.2">
      <c r="AN46" s="5"/>
      <c r="AU46" s="5"/>
      <c r="BB46" s="5"/>
      <c r="BI46" s="5"/>
      <c r="BP46" s="5"/>
      <c r="BW46" s="5"/>
      <c r="CD46" s="5"/>
      <c r="CK46" s="5"/>
      <c r="CR46" s="5"/>
      <c r="CY46" s="5"/>
      <c r="DF46" s="5"/>
      <c r="DM46" s="5"/>
      <c r="DT46" s="5"/>
      <c r="EA46" s="5"/>
      <c r="EH46" s="5"/>
    </row>
    <row r="47" spans="1:138" ht="10.199999999999999" customHeight="1" x14ac:dyDescent="0.25">
      <c r="B47" s="18" t="str">
        <f>A1</f>
        <v>Tabel 37 Jumlah Biaya (Rp) berdasarkan Jenis Kegiatan</v>
      </c>
      <c r="AN47" s="5"/>
      <c r="AU47" s="5"/>
      <c r="BB47" s="5"/>
      <c r="BI47" s="5"/>
      <c r="BP47" s="5"/>
      <c r="BW47" s="5"/>
      <c r="CD47" s="5"/>
      <c r="CK47" s="5"/>
      <c r="CR47" s="5"/>
      <c r="CY47" s="5"/>
      <c r="DF47" s="5"/>
      <c r="DM47" s="5"/>
      <c r="DT47" s="5"/>
      <c r="EA47" s="5"/>
      <c r="EH47" s="5"/>
    </row>
    <row r="48" spans="1:138" ht="10.199999999999999" customHeight="1" x14ac:dyDescent="0.25">
      <c r="B48" s="18" t="str">
        <f>P1</f>
        <v>Tabel 38 Jumlah Biaya (Rp) berdasarkan Jenis Kegiatan Pengolahan</v>
      </c>
    </row>
    <row r="49" spans="2:2" ht="10.199999999999999" customHeight="1" x14ac:dyDescent="0.25">
      <c r="B49" s="18" t="str">
        <f>AC1</f>
        <v>Tabel 39 Jumlah Biaya (Rp) berdasarkan Jenis Kegiatan Pemasaran</v>
      </c>
    </row>
    <row r="50" spans="2:2" ht="10.199999999999999" customHeight="1" x14ac:dyDescent="0.25">
      <c r="B50" s="18" t="str">
        <f>AH1</f>
        <v xml:space="preserve">Tabel 40 Jumlah Biaya (Rp) berdasarkan Skala Usaha </v>
      </c>
    </row>
    <row r="51" spans="2:2" ht="10.199999999999999" customHeight="1" x14ac:dyDescent="0.25">
      <c r="B51" s="18" t="str">
        <f>AO1</f>
        <v>Tabel 41 Jumlah Biaya (Rp) berdasarkan Skala Usaha pada Kegiatan Pengolahan</v>
      </c>
    </row>
    <row r="52" spans="2:2" ht="10.199999999999999" customHeight="1" x14ac:dyDescent="0.25">
      <c r="B52" s="18" t="str">
        <f>AV1</f>
        <v>Tabel 42 Jumlah Biaya (Rp) berdasarkan Skala Usaha pada Kegiatan Pemasaran</v>
      </c>
    </row>
    <row r="53" spans="2:2" ht="10.199999999999999" customHeight="1" x14ac:dyDescent="0.25">
      <c r="B53" s="18" t="str">
        <f>BC1</f>
        <v xml:space="preserve">Tabel 43 Jumlah Biaya (Rp) berdasarkan Skala Usaha pada Jenis Kegiatan Fermentasi </v>
      </c>
    </row>
    <row r="54" spans="2:2" ht="10.199999999999999" customHeight="1" x14ac:dyDescent="0.25">
      <c r="B54" s="18" t="str">
        <f>BJ1</f>
        <v xml:space="preserve">Tabel 44 Jumlah Biaya (Rp) berdasarkan Skala Usaha pada Jenis Kegiatan Pelumatan Daging Ikan </v>
      </c>
    </row>
    <row r="55" spans="2:2" ht="10.199999999999999" customHeight="1" x14ac:dyDescent="0.25">
      <c r="B55" s="18" t="str">
        <f>BQ1</f>
        <v xml:space="preserve">Tabel 45 Jumlah Biaya (Rp) berdasarkan Skala Usaha pada Jenis Kegiatan Pembekuan </v>
      </c>
    </row>
    <row r="56" spans="2:2" ht="10.199999999999999" customHeight="1" x14ac:dyDescent="0.25">
      <c r="B56" s="18" t="str">
        <f>BX1</f>
        <v xml:space="preserve">Tabel 46 Jumlah Biaya (Rp) berdasarkan Skala Usaha pada Jenis Kegiatan Pemindangan </v>
      </c>
    </row>
    <row r="57" spans="2:2" ht="10.199999999999999" customHeight="1" x14ac:dyDescent="0.25">
      <c r="B57" s="18" t="str">
        <f>CE1</f>
        <v xml:space="preserve">Tabel 47 Jumlah Biaya (Rp) berdasarkan Skala Usaha pada Jenis Kegiatan Penanganan Produk Segar  </v>
      </c>
    </row>
    <row r="58" spans="2:2" ht="10.199999999999999" customHeight="1" x14ac:dyDescent="0.25">
      <c r="B58" s="18" t="str">
        <f>CL1</f>
        <v xml:space="preserve">Tabel 48 Jumlah Biaya (Rp) berdasarkan Skala Usaha pada Jenis Kegiatan Pengalengan </v>
      </c>
    </row>
    <row r="59" spans="2:2" ht="10.199999999999999" customHeight="1" x14ac:dyDescent="0.25">
      <c r="B59" s="18" t="str">
        <f>CS1</f>
        <v xml:space="preserve">Tabel 49 Jumlah Biaya (Rp) berdasarkan Skala Usaha pada Jenis Kegiatan Pengasapan / Pemanggangan </v>
      </c>
    </row>
    <row r="60" spans="2:2" ht="10.199999999999999" customHeight="1" x14ac:dyDescent="0.25">
      <c r="B60" s="18" t="str">
        <f>CZ1</f>
        <v xml:space="preserve">Tabel 50 Jumlah Biaya (Rp) berdasarkan Skala Usaha pada Jenis Kegiatan Penggaraman / Pengeringan </v>
      </c>
    </row>
    <row r="61" spans="2:2" ht="10.199999999999999" customHeight="1" x14ac:dyDescent="0.25">
      <c r="B61" s="18" t="str">
        <f>DG1</f>
        <v xml:space="preserve">Tabel 51 Jumlah Biaya (Rp) berdasarkan Skala Usaha pada Jenis Kegiatan Pereduksian/Ekstraksi </v>
      </c>
    </row>
    <row r="62" spans="2:2" ht="10.199999999999999" customHeight="1" x14ac:dyDescent="0.25">
      <c r="B62" s="18" t="str">
        <f>DN1</f>
        <v xml:space="preserve">Tabel 52 Jumlah Biaya (Rp) berdasarkan Skala Usaha pada Jenis Kegiatan Pengolahan Lainnya </v>
      </c>
    </row>
    <row r="63" spans="2:2" ht="10.199999999999999" customHeight="1" x14ac:dyDescent="0.25">
      <c r="B63" s="18" t="str">
        <f>DU1</f>
        <v xml:space="preserve">Tabel 53 Jumlah Biaya (Rp) berdasarkan Skala Usaha pada Jenis Kegiatan Pengumpul/Pedagang Besar/Distributor </v>
      </c>
    </row>
    <row r="64" spans="2:2" ht="10.199999999999999" customHeight="1" x14ac:dyDescent="0.25">
      <c r="B64" s="18" t="str">
        <f>EB1</f>
        <v xml:space="preserve">Tabel 54 Jumlah Biaya (Rp) berdasarkan Skala Usaha pada Jenis Kegiatan Pengecer </v>
      </c>
    </row>
    <row r="67" spans="1:132" s="21" customFormat="1" ht="12" x14ac:dyDescent="0.25">
      <c r="A67" s="67" t="s">
        <v>0</v>
      </c>
      <c r="B67" s="67" t="s">
        <v>4</v>
      </c>
      <c r="C67" s="33" t="s">
        <v>442</v>
      </c>
    </row>
    <row r="68" spans="1:132" s="18" customFormat="1" ht="12" x14ac:dyDescent="0.25">
      <c r="A68" s="72">
        <v>1</v>
      </c>
      <c r="B68" s="69" t="s">
        <v>9</v>
      </c>
      <c r="C68" s="34">
        <f>C42</f>
        <v>10478660788.403437</v>
      </c>
      <c r="P68" s="21"/>
      <c r="AC68" s="21"/>
      <c r="AH68" s="21"/>
      <c r="AO68" s="21"/>
      <c r="AV68" s="21"/>
      <c r="BC68" s="21"/>
      <c r="BJ68" s="21"/>
      <c r="BQ68" s="21"/>
      <c r="BX68" s="21"/>
      <c r="CE68" s="21"/>
      <c r="CL68" s="21"/>
      <c r="CS68" s="21"/>
      <c r="CZ68" s="21"/>
      <c r="DG68" s="21"/>
      <c r="DN68" s="21"/>
      <c r="DU68" s="21"/>
      <c r="EB68" s="21"/>
    </row>
    <row r="69" spans="1:132" s="18" customFormat="1" ht="12" x14ac:dyDescent="0.25">
      <c r="A69" s="72">
        <v>2</v>
      </c>
      <c r="B69" s="69" t="s">
        <v>10</v>
      </c>
      <c r="C69" s="34">
        <f>D42</f>
        <v>145474094343.81638</v>
      </c>
      <c r="P69" s="21"/>
      <c r="AC69" s="21"/>
      <c r="AH69" s="21"/>
      <c r="AO69" s="21"/>
      <c r="AV69" s="21"/>
      <c r="BC69" s="21"/>
      <c r="BJ69" s="21"/>
      <c r="BQ69" s="21"/>
      <c r="BX69" s="21"/>
      <c r="CE69" s="21"/>
      <c r="CL69" s="21"/>
      <c r="CS69" s="21"/>
      <c r="CZ69" s="21"/>
      <c r="DG69" s="21"/>
      <c r="DN69" s="21"/>
      <c r="DU69" s="21"/>
      <c r="EB69" s="21"/>
    </row>
    <row r="70" spans="1:132" s="18" customFormat="1" ht="12" x14ac:dyDescent="0.25">
      <c r="A70" s="72">
        <v>3</v>
      </c>
      <c r="B70" s="69" t="s">
        <v>11</v>
      </c>
      <c r="C70" s="34">
        <f>E42</f>
        <v>15699175324447.131</v>
      </c>
      <c r="P70" s="21"/>
      <c r="AC70" s="21"/>
      <c r="AH70" s="21"/>
      <c r="AO70" s="21"/>
      <c r="AV70" s="21"/>
      <c r="BC70" s="21"/>
      <c r="BJ70" s="21"/>
      <c r="BQ70" s="21"/>
      <c r="BX70" s="21"/>
      <c r="CE70" s="21"/>
      <c r="CL70" s="21"/>
      <c r="CS70" s="21"/>
      <c r="CZ70" s="21"/>
      <c r="DG70" s="21"/>
      <c r="DN70" s="21"/>
      <c r="DU70" s="21"/>
      <c r="EB70" s="21"/>
    </row>
    <row r="71" spans="1:132" s="18" customFormat="1" ht="12" x14ac:dyDescent="0.25">
      <c r="A71" s="72">
        <v>4</v>
      </c>
      <c r="B71" s="69" t="s">
        <v>12</v>
      </c>
      <c r="C71" s="34">
        <f>F42</f>
        <v>980987352238.21411</v>
      </c>
      <c r="P71" s="21"/>
      <c r="AC71" s="21"/>
      <c r="AH71" s="21"/>
      <c r="AO71" s="21"/>
      <c r="AV71" s="21"/>
      <c r="BC71" s="21"/>
      <c r="BJ71" s="21"/>
      <c r="BQ71" s="21"/>
      <c r="BX71" s="21"/>
      <c r="CE71" s="21"/>
      <c r="CL71" s="21"/>
      <c r="CS71" s="21"/>
      <c r="CZ71" s="21"/>
      <c r="DG71" s="21"/>
      <c r="DN71" s="21"/>
      <c r="DU71" s="21"/>
      <c r="EB71" s="21"/>
    </row>
    <row r="72" spans="1:132" s="18" customFormat="1" ht="12" x14ac:dyDescent="0.25">
      <c r="A72" s="72">
        <v>5</v>
      </c>
      <c r="B72" s="69" t="s">
        <v>13</v>
      </c>
      <c r="C72" s="34">
        <f>G42</f>
        <v>143761688306.64072</v>
      </c>
      <c r="P72" s="21"/>
      <c r="AC72" s="21"/>
      <c r="AH72" s="21"/>
      <c r="AO72" s="21"/>
      <c r="AV72" s="21"/>
      <c r="BC72" s="21"/>
      <c r="BJ72" s="21"/>
      <c r="BQ72" s="21"/>
      <c r="BX72" s="21"/>
      <c r="CE72" s="21"/>
      <c r="CL72" s="21"/>
      <c r="CS72" s="21"/>
      <c r="CZ72" s="21"/>
      <c r="DG72" s="21"/>
      <c r="DN72" s="21"/>
      <c r="DU72" s="21"/>
      <c r="EB72" s="21"/>
    </row>
    <row r="73" spans="1:132" s="18" customFormat="1" ht="12" x14ac:dyDescent="0.25">
      <c r="A73" s="72">
        <v>6</v>
      </c>
      <c r="B73" s="69" t="s">
        <v>14</v>
      </c>
      <c r="C73" s="34">
        <f>H42</f>
        <v>701620177732.11145</v>
      </c>
      <c r="P73" s="21"/>
      <c r="AC73" s="21"/>
      <c r="AH73" s="21"/>
      <c r="AO73" s="21"/>
      <c r="AV73" s="21"/>
      <c r="BC73" s="21"/>
      <c r="BJ73" s="21"/>
      <c r="BQ73" s="21"/>
      <c r="BX73" s="21"/>
      <c r="CE73" s="21"/>
      <c r="CL73" s="21"/>
      <c r="CS73" s="21"/>
      <c r="CZ73" s="21"/>
      <c r="DG73" s="21"/>
      <c r="DN73" s="21"/>
      <c r="DU73" s="21"/>
      <c r="EB73" s="21"/>
    </row>
    <row r="74" spans="1:132" s="18" customFormat="1" ht="12" x14ac:dyDescent="0.25">
      <c r="A74" s="72">
        <v>7</v>
      </c>
      <c r="B74" s="69" t="s">
        <v>15</v>
      </c>
      <c r="C74" s="34">
        <f>I42</f>
        <v>231734846811.29791</v>
      </c>
      <c r="P74" s="21"/>
      <c r="AC74" s="21"/>
      <c r="AH74" s="21"/>
      <c r="AO74" s="21"/>
      <c r="AV74" s="21"/>
      <c r="BC74" s="21"/>
      <c r="BJ74" s="21"/>
      <c r="BQ74" s="21"/>
      <c r="BX74" s="21"/>
      <c r="CE74" s="21"/>
      <c r="CL74" s="21"/>
      <c r="CS74" s="21"/>
      <c r="CZ74" s="21"/>
      <c r="DG74" s="21"/>
      <c r="DN74" s="21"/>
      <c r="DU74" s="21"/>
      <c r="EB74" s="21"/>
    </row>
    <row r="75" spans="1:132" s="18" customFormat="1" ht="12" x14ac:dyDescent="0.25">
      <c r="A75" s="72">
        <v>8</v>
      </c>
      <c r="B75" s="69" t="s">
        <v>19</v>
      </c>
      <c r="C75" s="34">
        <f>J42</f>
        <v>2725463222184.9258</v>
      </c>
      <c r="P75" s="21"/>
      <c r="AC75" s="21"/>
      <c r="AH75" s="21"/>
      <c r="AO75" s="21"/>
      <c r="AV75" s="21"/>
      <c r="BC75" s="21"/>
      <c r="BJ75" s="21"/>
      <c r="BQ75" s="21"/>
      <c r="BX75" s="21"/>
      <c r="CE75" s="21"/>
      <c r="CL75" s="21"/>
      <c r="CS75" s="21"/>
      <c r="CZ75" s="21"/>
      <c r="DG75" s="21"/>
      <c r="DN75" s="21"/>
      <c r="DU75" s="21"/>
      <c r="EB75" s="21"/>
    </row>
    <row r="76" spans="1:132" s="18" customFormat="1" ht="12" x14ac:dyDescent="0.25">
      <c r="A76" s="72">
        <v>9</v>
      </c>
      <c r="B76" s="69" t="s">
        <v>17</v>
      </c>
      <c r="C76" s="34">
        <f>K42</f>
        <v>465243551995.61481</v>
      </c>
      <c r="P76" s="21"/>
      <c r="AC76" s="21"/>
      <c r="AH76" s="21"/>
      <c r="AO76" s="21"/>
      <c r="AV76" s="21"/>
      <c r="BC76" s="21"/>
      <c r="BJ76" s="21"/>
      <c r="BQ76" s="21"/>
      <c r="BX76" s="21"/>
      <c r="CE76" s="21"/>
      <c r="CL76" s="21"/>
      <c r="CS76" s="21"/>
      <c r="CZ76" s="21"/>
      <c r="DG76" s="21"/>
      <c r="DN76" s="21"/>
      <c r="DU76" s="21"/>
      <c r="EB76" s="21"/>
    </row>
    <row r="77" spans="1:132" s="18" customFormat="1" ht="12" x14ac:dyDescent="0.25">
      <c r="A77" s="72">
        <v>10</v>
      </c>
      <c r="B77" s="69" t="s">
        <v>18</v>
      </c>
      <c r="C77" s="34">
        <f>L42</f>
        <v>1617012922928.1199</v>
      </c>
      <c r="P77" s="21"/>
      <c r="AC77" s="21"/>
      <c r="AH77" s="21"/>
      <c r="AO77" s="21"/>
      <c r="AV77" s="21"/>
      <c r="BC77" s="21"/>
      <c r="BJ77" s="21"/>
      <c r="BQ77" s="21"/>
      <c r="BX77" s="21"/>
      <c r="CE77" s="21"/>
      <c r="CL77" s="21"/>
      <c r="CS77" s="21"/>
      <c r="CZ77" s="21"/>
      <c r="DG77" s="21"/>
      <c r="DN77" s="21"/>
      <c r="DU77" s="21"/>
      <c r="EB77" s="21"/>
    </row>
    <row r="78" spans="1:132" s="18" customFormat="1" ht="12" x14ac:dyDescent="0.25">
      <c r="A78" s="72">
        <v>11</v>
      </c>
      <c r="B78" s="69" t="s">
        <v>20</v>
      </c>
      <c r="C78" s="34">
        <f>M42</f>
        <v>1816565701800.3433</v>
      </c>
      <c r="P78" s="21"/>
      <c r="AC78" s="21"/>
      <c r="AH78" s="21"/>
      <c r="AO78" s="21"/>
      <c r="AV78" s="21"/>
      <c r="BC78" s="21"/>
      <c r="BJ78" s="21"/>
      <c r="BQ78" s="21"/>
      <c r="BX78" s="21"/>
      <c r="CE78" s="21"/>
      <c r="CL78" s="21"/>
      <c r="CS78" s="21"/>
      <c r="CZ78" s="21"/>
      <c r="DG78" s="21"/>
      <c r="DN78" s="21"/>
      <c r="DU78" s="21"/>
      <c r="EB78" s="21"/>
    </row>
    <row r="79" spans="1:132" s="18" customFormat="1" ht="12" x14ac:dyDescent="0.25">
      <c r="A79" s="72">
        <v>12</v>
      </c>
      <c r="B79" s="69" t="s">
        <v>16</v>
      </c>
      <c r="C79" s="34">
        <f>N42</f>
        <v>7440723501868.1016</v>
      </c>
      <c r="P79" s="21"/>
      <c r="AC79" s="21"/>
      <c r="AH79" s="21"/>
      <c r="AO79" s="21"/>
      <c r="AV79" s="21"/>
      <c r="BC79" s="21"/>
      <c r="BJ79" s="21"/>
      <c r="BQ79" s="21"/>
      <c r="BX79" s="21"/>
      <c r="CE79" s="21"/>
      <c r="CL79" s="21"/>
      <c r="CS79" s="21"/>
      <c r="CZ79" s="21"/>
      <c r="DG79" s="21"/>
      <c r="DN79" s="21"/>
      <c r="DU79" s="21"/>
      <c r="EB79" s="21"/>
    </row>
    <row r="80" spans="1:132" s="18" customFormat="1" ht="12" x14ac:dyDescent="0.25">
      <c r="A80" s="72"/>
      <c r="B80" s="69" t="s">
        <v>400</v>
      </c>
      <c r="C80" s="34">
        <f>O42</f>
        <v>31978241045444.727</v>
      </c>
      <c r="D80" s="51">
        <f>SUM(C68:C79)</f>
        <v>31978241045444.723</v>
      </c>
      <c r="P80" s="21"/>
      <c r="AC80" s="21"/>
      <c r="AH80" s="21"/>
      <c r="AO80" s="21"/>
      <c r="AV80" s="21"/>
      <c r="BC80" s="21"/>
      <c r="BJ80" s="21"/>
      <c r="BQ80" s="21"/>
      <c r="BX80" s="21"/>
      <c r="CE80" s="21"/>
      <c r="CL80" s="21"/>
      <c r="CS80" s="21"/>
      <c r="CZ80" s="21"/>
      <c r="DG80" s="21"/>
      <c r="DN80" s="21"/>
      <c r="DU80" s="21"/>
      <c r="EB80" s="21"/>
    </row>
    <row r="81" spans="1:132" s="18" customFormat="1" ht="12" x14ac:dyDescent="0.25">
      <c r="A81" s="71"/>
      <c r="B81" s="66"/>
      <c r="C81" s="36"/>
      <c r="P81" s="21"/>
      <c r="AC81" s="21"/>
      <c r="AH81" s="21"/>
      <c r="AO81" s="21"/>
      <c r="AV81" s="21"/>
      <c r="BC81" s="21"/>
      <c r="BJ81" s="21"/>
      <c r="BQ81" s="21"/>
      <c r="BX81" s="21"/>
      <c r="CE81" s="21"/>
      <c r="CL81" s="21"/>
      <c r="CS81" s="21"/>
      <c r="CZ81" s="21"/>
      <c r="DG81" s="21"/>
      <c r="DN81" s="21"/>
      <c r="DU81" s="21"/>
      <c r="EB81" s="21"/>
    </row>
    <row r="82" spans="1:132" s="18" customFormat="1" ht="12" x14ac:dyDescent="0.25">
      <c r="A82" s="75"/>
      <c r="B82" s="75"/>
      <c r="C82" s="75"/>
      <c r="P82" s="21"/>
      <c r="AC82" s="21"/>
      <c r="AH82" s="21"/>
      <c r="AO82" s="21"/>
      <c r="AV82" s="21"/>
      <c r="BC82" s="21"/>
      <c r="BJ82" s="21"/>
      <c r="BQ82" s="21"/>
      <c r="BX82" s="21"/>
      <c r="CE82" s="21"/>
      <c r="CL82" s="21"/>
      <c r="CS82" s="21"/>
      <c r="CZ82" s="21"/>
      <c r="DG82" s="21"/>
      <c r="DN82" s="21"/>
      <c r="DU82" s="21"/>
      <c r="EB82" s="21"/>
    </row>
    <row r="83" spans="1:132" s="21" customFormat="1" ht="12" x14ac:dyDescent="0.25">
      <c r="A83" s="67" t="s">
        <v>0</v>
      </c>
      <c r="B83" s="67" t="s">
        <v>2</v>
      </c>
      <c r="C83" s="33" t="s">
        <v>442</v>
      </c>
    </row>
    <row r="84" spans="1:132" s="18" customFormat="1" ht="12" x14ac:dyDescent="0.25">
      <c r="A84" s="72">
        <v>1</v>
      </c>
      <c r="B84" s="69" t="s">
        <v>5</v>
      </c>
      <c r="C84" s="34">
        <f>AJ42</f>
        <v>1908810647503.8694</v>
      </c>
      <c r="P84" s="21"/>
      <c r="AC84" s="21"/>
      <c r="AH84" s="21"/>
      <c r="AO84" s="21"/>
      <c r="AV84" s="21"/>
      <c r="BC84" s="21"/>
      <c r="BJ84" s="21"/>
      <c r="BQ84" s="21"/>
      <c r="BX84" s="21"/>
      <c r="CE84" s="21"/>
      <c r="CL84" s="21"/>
      <c r="CS84" s="21"/>
      <c r="CZ84" s="21"/>
      <c r="DG84" s="21"/>
      <c r="DN84" s="21"/>
      <c r="DU84" s="21"/>
      <c r="EB84" s="21"/>
    </row>
    <row r="85" spans="1:132" s="18" customFormat="1" ht="12" x14ac:dyDescent="0.25">
      <c r="A85" s="72">
        <v>2</v>
      </c>
      <c r="B85" s="69" t="s">
        <v>6</v>
      </c>
      <c r="C85" s="34">
        <f>AK42</f>
        <v>2489670082890.7344</v>
      </c>
      <c r="P85" s="21"/>
      <c r="AC85" s="21"/>
      <c r="AH85" s="21"/>
      <c r="AO85" s="21"/>
      <c r="AV85" s="21"/>
      <c r="BC85" s="21"/>
      <c r="BJ85" s="21"/>
      <c r="BQ85" s="21"/>
      <c r="BX85" s="21"/>
      <c r="CE85" s="21"/>
      <c r="CL85" s="21"/>
      <c r="CS85" s="21"/>
      <c r="CZ85" s="21"/>
      <c r="DG85" s="21"/>
      <c r="DN85" s="21"/>
      <c r="DU85" s="21"/>
      <c r="EB85" s="21"/>
    </row>
    <row r="86" spans="1:132" s="18" customFormat="1" ht="12" x14ac:dyDescent="0.25">
      <c r="A86" s="72">
        <v>3</v>
      </c>
      <c r="B86" s="69" t="s">
        <v>7</v>
      </c>
      <c r="C86" s="34">
        <f>AL42</f>
        <v>3094089350955.7979</v>
      </c>
      <c r="P86" s="21"/>
      <c r="AC86" s="21"/>
      <c r="AH86" s="21"/>
      <c r="AO86" s="21"/>
      <c r="AV86" s="21"/>
      <c r="BC86" s="21"/>
      <c r="BJ86" s="21"/>
      <c r="BQ86" s="21"/>
      <c r="BX86" s="21"/>
      <c r="CE86" s="21"/>
      <c r="CL86" s="21"/>
      <c r="CS86" s="21"/>
      <c r="CZ86" s="21"/>
      <c r="DG86" s="21"/>
      <c r="DN86" s="21"/>
      <c r="DU86" s="21"/>
      <c r="EB86" s="21"/>
    </row>
    <row r="87" spans="1:132" s="18" customFormat="1" ht="12" x14ac:dyDescent="0.25">
      <c r="A87" s="72">
        <v>4</v>
      </c>
      <c r="B87" s="69" t="s">
        <v>8</v>
      </c>
      <c r="C87" s="34">
        <f>AM42</f>
        <v>24485670964094.32</v>
      </c>
      <c r="P87" s="21"/>
      <c r="AC87" s="21"/>
      <c r="AH87" s="21"/>
      <c r="AO87" s="21"/>
      <c r="AV87" s="21"/>
      <c r="BC87" s="21"/>
      <c r="BJ87" s="21"/>
      <c r="BQ87" s="21"/>
      <c r="BX87" s="21"/>
      <c r="CE87" s="21"/>
      <c r="CL87" s="21"/>
      <c r="CS87" s="21"/>
      <c r="CZ87" s="21"/>
      <c r="DG87" s="21"/>
      <c r="DN87" s="21"/>
      <c r="DU87" s="21"/>
      <c r="EB87" s="21"/>
    </row>
    <row r="88" spans="1:132" s="18" customFormat="1" ht="12" x14ac:dyDescent="0.25">
      <c r="A88" s="72"/>
      <c r="B88" s="69" t="s">
        <v>400</v>
      </c>
      <c r="C88" s="34">
        <f>AN42</f>
        <v>31978241045444.727</v>
      </c>
      <c r="D88" s="51">
        <f>SUM(C84:C87)</f>
        <v>31978241045444.723</v>
      </c>
      <c r="P88" s="21"/>
      <c r="AC88" s="21"/>
      <c r="AH88" s="21"/>
      <c r="AO88" s="21"/>
      <c r="AV88" s="21"/>
      <c r="BC88" s="21"/>
      <c r="BJ88" s="21"/>
      <c r="BQ88" s="21"/>
      <c r="BX88" s="21"/>
      <c r="CE88" s="21"/>
      <c r="CL88" s="21"/>
      <c r="CS88" s="21"/>
      <c r="CZ88" s="21"/>
      <c r="DG88" s="21"/>
      <c r="DN88" s="21"/>
      <c r="DU88" s="21"/>
      <c r="EB88" s="21"/>
    </row>
    <row r="89" spans="1:132" s="18" customFormat="1" ht="12" x14ac:dyDescent="0.25">
      <c r="A89" s="71"/>
      <c r="B89" s="66"/>
      <c r="C89" s="66"/>
      <c r="D89" s="66"/>
      <c r="P89" s="21"/>
      <c r="AC89" s="21"/>
      <c r="AH89" s="21"/>
      <c r="AO89" s="21"/>
      <c r="AV89" s="21"/>
      <c r="BC89" s="21"/>
      <c r="BJ89" s="21"/>
      <c r="BQ89" s="21"/>
      <c r="BX89" s="21"/>
      <c r="CE89" s="21"/>
      <c r="CL89" s="21"/>
      <c r="CS89" s="21"/>
      <c r="CZ89" s="21"/>
      <c r="DG89" s="21"/>
      <c r="DN89" s="21"/>
      <c r="DU89" s="21"/>
      <c r="EB89" s="21"/>
    </row>
    <row r="90" spans="1:132" s="18" customFormat="1" ht="12" x14ac:dyDescent="0.25">
      <c r="A90" s="21"/>
      <c r="P90" s="21"/>
      <c r="AC90" s="21"/>
      <c r="AH90" s="21"/>
      <c r="AO90" s="21"/>
      <c r="AV90" s="21"/>
      <c r="BC90" s="21"/>
      <c r="BJ90" s="21"/>
      <c r="BQ90" s="21"/>
      <c r="BX90" s="21"/>
      <c r="CE90" s="21"/>
      <c r="CL90" s="21"/>
      <c r="CS90" s="21"/>
      <c r="CZ90" s="21"/>
      <c r="DG90" s="21"/>
      <c r="DN90" s="21"/>
      <c r="DU90" s="21"/>
      <c r="EB90" s="21"/>
    </row>
    <row r="91" spans="1:132" s="79" customFormat="1" ht="12" x14ac:dyDescent="0.3">
      <c r="A91" s="84" t="s">
        <v>0</v>
      </c>
      <c r="B91" s="84" t="s">
        <v>60</v>
      </c>
      <c r="C91" s="33" t="s">
        <v>442</v>
      </c>
    </row>
    <row r="92" spans="1:132" s="18" customFormat="1" ht="12" x14ac:dyDescent="0.25">
      <c r="A92" s="72">
        <v>1</v>
      </c>
      <c r="B92" s="69" t="s">
        <v>401</v>
      </c>
      <c r="C92" s="34">
        <f>O4</f>
        <v>66865901569.655983</v>
      </c>
      <c r="P92" s="21"/>
      <c r="AC92" s="21"/>
      <c r="AH92" s="21"/>
      <c r="AO92" s="21"/>
      <c r="AV92" s="21"/>
      <c r="BC92" s="21"/>
      <c r="BJ92" s="21"/>
      <c r="BQ92" s="21"/>
      <c r="BX92" s="21"/>
      <c r="CE92" s="21"/>
      <c r="CL92" s="21"/>
      <c r="CS92" s="21"/>
      <c r="CZ92" s="21"/>
      <c r="DG92" s="21"/>
      <c r="DN92" s="21"/>
      <c r="DU92" s="21"/>
      <c r="EB92" s="21"/>
    </row>
    <row r="93" spans="1:132" s="18" customFormat="1" ht="12" x14ac:dyDescent="0.25">
      <c r="A93" s="72">
        <v>2</v>
      </c>
      <c r="B93" s="69" t="s">
        <v>402</v>
      </c>
      <c r="C93" s="34">
        <f t="shared" ref="C93:C120" si="35">O5</f>
        <v>37857340595.551041</v>
      </c>
      <c r="P93" s="21"/>
      <c r="AC93" s="21"/>
      <c r="AH93" s="21"/>
      <c r="AO93" s="21"/>
      <c r="AV93" s="21"/>
      <c r="BC93" s="21"/>
      <c r="BJ93" s="21"/>
      <c r="BQ93" s="21"/>
      <c r="BX93" s="21"/>
      <c r="CE93" s="21"/>
      <c r="CL93" s="21"/>
      <c r="CS93" s="21"/>
      <c r="CZ93" s="21"/>
      <c r="DG93" s="21"/>
      <c r="DN93" s="21"/>
      <c r="DU93" s="21"/>
      <c r="EB93" s="21"/>
    </row>
    <row r="94" spans="1:132" s="18" customFormat="1" ht="12" x14ac:dyDescent="0.25">
      <c r="A94" s="72">
        <v>3</v>
      </c>
      <c r="B94" s="69" t="s">
        <v>403</v>
      </c>
      <c r="C94" s="34">
        <f t="shared" si="35"/>
        <v>409407417245.08081</v>
      </c>
      <c r="P94" s="21"/>
      <c r="AC94" s="21"/>
      <c r="AH94" s="21"/>
      <c r="AO94" s="21"/>
      <c r="AV94" s="21"/>
      <c r="BC94" s="21"/>
      <c r="BJ94" s="21"/>
      <c r="BQ94" s="21"/>
      <c r="BX94" s="21"/>
      <c r="CE94" s="21"/>
      <c r="CL94" s="21"/>
      <c r="CS94" s="21"/>
      <c r="CZ94" s="21"/>
      <c r="DG94" s="21"/>
      <c r="DN94" s="21"/>
      <c r="DU94" s="21"/>
      <c r="EB94" s="21"/>
    </row>
    <row r="95" spans="1:132" s="18" customFormat="1" ht="12" x14ac:dyDescent="0.25">
      <c r="A95" s="72">
        <v>4</v>
      </c>
      <c r="B95" s="69" t="s">
        <v>404</v>
      </c>
      <c r="C95" s="34">
        <f t="shared" si="35"/>
        <v>216370661155.69373</v>
      </c>
      <c r="P95" s="21"/>
      <c r="AC95" s="21"/>
      <c r="AH95" s="21"/>
      <c r="AO95" s="21"/>
      <c r="AV95" s="21"/>
      <c r="BC95" s="21"/>
      <c r="BJ95" s="21"/>
      <c r="BQ95" s="21"/>
      <c r="BX95" s="21"/>
      <c r="CE95" s="21"/>
      <c r="CL95" s="21"/>
      <c r="CS95" s="21"/>
      <c r="CZ95" s="21"/>
      <c r="DG95" s="21"/>
      <c r="DN95" s="21"/>
      <c r="DU95" s="21"/>
      <c r="EB95" s="21"/>
    </row>
    <row r="96" spans="1:132" s="18" customFormat="1" ht="12" x14ac:dyDescent="0.25">
      <c r="A96" s="72">
        <v>5</v>
      </c>
      <c r="B96" s="69" t="s">
        <v>405</v>
      </c>
      <c r="C96" s="34">
        <f t="shared" si="35"/>
        <v>166084052588.15863</v>
      </c>
      <c r="P96" s="21"/>
      <c r="AC96" s="21"/>
      <c r="AH96" s="21"/>
      <c r="AO96" s="21"/>
      <c r="AV96" s="21"/>
      <c r="BC96" s="21"/>
      <c r="BJ96" s="21"/>
      <c r="BQ96" s="21"/>
      <c r="BX96" s="21"/>
      <c r="CE96" s="21"/>
      <c r="CL96" s="21"/>
      <c r="CS96" s="21"/>
      <c r="CZ96" s="21"/>
      <c r="DG96" s="21"/>
      <c r="DN96" s="21"/>
      <c r="DU96" s="21"/>
      <c r="EB96" s="21"/>
    </row>
    <row r="97" spans="1:132" s="18" customFormat="1" ht="12" x14ac:dyDescent="0.25">
      <c r="A97" s="72">
        <v>6</v>
      </c>
      <c r="B97" s="69" t="s">
        <v>406</v>
      </c>
      <c r="C97" s="34">
        <f t="shared" si="35"/>
        <v>37664154972.052292</v>
      </c>
      <c r="P97" s="21"/>
      <c r="AC97" s="21"/>
      <c r="AH97" s="21"/>
      <c r="AO97" s="21"/>
      <c r="AV97" s="21"/>
      <c r="BC97" s="21"/>
      <c r="BJ97" s="21"/>
      <c r="BQ97" s="21"/>
      <c r="BX97" s="21"/>
      <c r="CE97" s="21"/>
      <c r="CL97" s="21"/>
      <c r="CS97" s="21"/>
      <c r="CZ97" s="21"/>
      <c r="DG97" s="21"/>
      <c r="DN97" s="21"/>
      <c r="DU97" s="21"/>
      <c r="EB97" s="21"/>
    </row>
    <row r="98" spans="1:132" s="18" customFormat="1" ht="12" x14ac:dyDescent="0.25">
      <c r="A98" s="72">
        <v>7</v>
      </c>
      <c r="B98" s="69" t="s">
        <v>407</v>
      </c>
      <c r="C98" s="34">
        <f t="shared" si="35"/>
        <v>532739388996.50671</v>
      </c>
      <c r="P98" s="21"/>
      <c r="AC98" s="21"/>
      <c r="AH98" s="21"/>
      <c r="AO98" s="21"/>
      <c r="AV98" s="21"/>
      <c r="BC98" s="21"/>
      <c r="BJ98" s="21"/>
      <c r="BQ98" s="21"/>
      <c r="BX98" s="21"/>
      <c r="CE98" s="21"/>
      <c r="CL98" s="21"/>
      <c r="CS98" s="21"/>
      <c r="CZ98" s="21"/>
      <c r="DG98" s="21"/>
      <c r="DN98" s="21"/>
      <c r="DU98" s="21"/>
      <c r="EB98" s="21"/>
    </row>
    <row r="99" spans="1:132" s="18" customFormat="1" ht="12" x14ac:dyDescent="0.25">
      <c r="A99" s="72">
        <v>8</v>
      </c>
      <c r="B99" s="69" t="s">
        <v>408</v>
      </c>
      <c r="C99" s="34">
        <f t="shared" si="35"/>
        <v>279344105285.64569</v>
      </c>
      <c r="P99" s="21"/>
      <c r="AC99" s="21"/>
      <c r="AH99" s="21"/>
      <c r="AO99" s="21"/>
      <c r="AV99" s="21"/>
      <c r="BC99" s="21"/>
      <c r="BJ99" s="21"/>
      <c r="BQ99" s="21"/>
      <c r="BX99" s="21"/>
      <c r="CE99" s="21"/>
      <c r="CL99" s="21"/>
      <c r="CS99" s="21"/>
      <c r="CZ99" s="21"/>
      <c r="DG99" s="21"/>
      <c r="DN99" s="21"/>
      <c r="DU99" s="21"/>
      <c r="EB99" s="21"/>
    </row>
    <row r="100" spans="1:132" s="18" customFormat="1" ht="12" x14ac:dyDescent="0.25">
      <c r="A100" s="72">
        <v>9</v>
      </c>
      <c r="B100" s="69" t="s">
        <v>409</v>
      </c>
      <c r="C100" s="34">
        <f t="shared" si="35"/>
        <v>337460848245.27283</v>
      </c>
      <c r="P100" s="21"/>
      <c r="AC100" s="21"/>
      <c r="AH100" s="21"/>
      <c r="AO100" s="21"/>
      <c r="AV100" s="21"/>
      <c r="BC100" s="21"/>
      <c r="BJ100" s="21"/>
      <c r="BQ100" s="21"/>
      <c r="BX100" s="21"/>
      <c r="CE100" s="21"/>
      <c r="CL100" s="21"/>
      <c r="CS100" s="21"/>
      <c r="CZ100" s="21"/>
      <c r="DG100" s="21"/>
      <c r="DN100" s="21"/>
      <c r="DU100" s="21"/>
      <c r="EB100" s="21"/>
    </row>
    <row r="101" spans="1:132" s="18" customFormat="1" ht="12" x14ac:dyDescent="0.25">
      <c r="A101" s="72">
        <v>10</v>
      </c>
      <c r="B101" s="69" t="s">
        <v>410</v>
      </c>
      <c r="C101" s="34">
        <f t="shared" si="35"/>
        <v>8759487709484.8496</v>
      </c>
      <c r="P101" s="21"/>
      <c r="AC101" s="21"/>
      <c r="AH101" s="21"/>
      <c r="AO101" s="21"/>
      <c r="AV101" s="21"/>
      <c r="BC101" s="21"/>
      <c r="BJ101" s="21"/>
      <c r="BQ101" s="21"/>
      <c r="BX101" s="21"/>
      <c r="CE101" s="21"/>
      <c r="CL101" s="21"/>
      <c r="CS101" s="21"/>
      <c r="CZ101" s="21"/>
      <c r="DG101" s="21"/>
      <c r="DN101" s="21"/>
      <c r="DU101" s="21"/>
      <c r="EB101" s="21"/>
    </row>
    <row r="102" spans="1:132" s="18" customFormat="1" ht="12" x14ac:dyDescent="0.25">
      <c r="A102" s="72">
        <v>11</v>
      </c>
      <c r="B102" s="69" t="s">
        <v>411</v>
      </c>
      <c r="C102" s="34">
        <f t="shared" si="35"/>
        <v>4199227501.7940764</v>
      </c>
      <c r="P102" s="21"/>
      <c r="AC102" s="21"/>
      <c r="AH102" s="21"/>
      <c r="AO102" s="21"/>
      <c r="AV102" s="21"/>
      <c r="BC102" s="21"/>
      <c r="BJ102" s="21"/>
      <c r="BQ102" s="21"/>
      <c r="BX102" s="21"/>
      <c r="CE102" s="21"/>
      <c r="CL102" s="21"/>
      <c r="CS102" s="21"/>
      <c r="CZ102" s="21"/>
      <c r="DG102" s="21"/>
      <c r="DN102" s="21"/>
      <c r="DU102" s="21"/>
      <c r="EB102" s="21"/>
    </row>
    <row r="103" spans="1:132" s="18" customFormat="1" ht="12" x14ac:dyDescent="0.25">
      <c r="A103" s="72">
        <v>12</v>
      </c>
      <c r="B103" s="69" t="s">
        <v>412</v>
      </c>
      <c r="C103" s="34">
        <f t="shared" si="35"/>
        <v>4848863889833.9658</v>
      </c>
      <c r="P103" s="21"/>
      <c r="AC103" s="21"/>
      <c r="AH103" s="21"/>
      <c r="AO103" s="21"/>
      <c r="AV103" s="21"/>
      <c r="BC103" s="21"/>
      <c r="BJ103" s="21"/>
      <c r="BQ103" s="21"/>
      <c r="BX103" s="21"/>
      <c r="CE103" s="21"/>
      <c r="CL103" s="21"/>
      <c r="CS103" s="21"/>
      <c r="CZ103" s="21"/>
      <c r="DG103" s="21"/>
      <c r="DN103" s="21"/>
      <c r="DU103" s="21"/>
      <c r="EB103" s="21"/>
    </row>
    <row r="104" spans="1:132" s="18" customFormat="1" ht="12" x14ac:dyDescent="0.25">
      <c r="A104" s="72">
        <v>13</v>
      </c>
      <c r="B104" s="69" t="s">
        <v>413</v>
      </c>
      <c r="C104" s="34">
        <f t="shared" si="35"/>
        <v>189719910123.76675</v>
      </c>
      <c r="P104" s="21"/>
      <c r="AC104" s="21"/>
      <c r="AH104" s="21"/>
      <c r="AO104" s="21"/>
      <c r="AV104" s="21"/>
      <c r="BC104" s="21"/>
      <c r="BJ104" s="21"/>
      <c r="BQ104" s="21"/>
      <c r="BX104" s="21"/>
      <c r="CE104" s="21"/>
      <c r="CL104" s="21"/>
      <c r="CS104" s="21"/>
      <c r="CZ104" s="21"/>
      <c r="DG104" s="21"/>
      <c r="DN104" s="21"/>
      <c r="DU104" s="21"/>
      <c r="EB104" s="21"/>
    </row>
    <row r="105" spans="1:132" s="18" customFormat="1" ht="12" x14ac:dyDescent="0.25">
      <c r="A105" s="72">
        <v>14</v>
      </c>
      <c r="B105" s="69" t="s">
        <v>414</v>
      </c>
      <c r="C105" s="34">
        <f t="shared" si="35"/>
        <v>5322058385011.9258</v>
      </c>
      <c r="P105" s="21"/>
      <c r="AC105" s="21"/>
      <c r="AH105" s="21"/>
      <c r="AO105" s="21"/>
      <c r="AV105" s="21"/>
      <c r="BC105" s="21"/>
      <c r="BJ105" s="21"/>
      <c r="BQ105" s="21"/>
      <c r="BX105" s="21"/>
      <c r="CE105" s="21"/>
      <c r="CL105" s="21"/>
      <c r="CS105" s="21"/>
      <c r="CZ105" s="21"/>
      <c r="DG105" s="21"/>
      <c r="DN105" s="21"/>
      <c r="DU105" s="21"/>
      <c r="EB105" s="21"/>
    </row>
    <row r="106" spans="1:132" s="18" customFormat="1" ht="12" x14ac:dyDescent="0.25">
      <c r="A106" s="72">
        <v>15</v>
      </c>
      <c r="B106" s="69" t="s">
        <v>415</v>
      </c>
      <c r="C106" s="34">
        <f t="shared" si="35"/>
        <v>2640530634186.5029</v>
      </c>
      <c r="P106" s="21"/>
      <c r="AC106" s="21"/>
      <c r="AH106" s="21"/>
      <c r="AO106" s="21"/>
      <c r="AV106" s="21"/>
      <c r="BC106" s="21"/>
      <c r="BJ106" s="21"/>
      <c r="BQ106" s="21"/>
      <c r="BX106" s="21"/>
      <c r="CE106" s="21"/>
      <c r="CL106" s="21"/>
      <c r="CS106" s="21"/>
      <c r="CZ106" s="21"/>
      <c r="DG106" s="21"/>
      <c r="DN106" s="21"/>
      <c r="DU106" s="21"/>
      <c r="EB106" s="21"/>
    </row>
    <row r="107" spans="1:132" s="18" customFormat="1" ht="12" x14ac:dyDescent="0.25">
      <c r="A107" s="72">
        <v>16</v>
      </c>
      <c r="B107" s="69" t="s">
        <v>416</v>
      </c>
      <c r="C107" s="34">
        <f t="shared" si="35"/>
        <v>198405181451.35736</v>
      </c>
      <c r="P107" s="21"/>
      <c r="AC107" s="21"/>
      <c r="AH107" s="21"/>
      <c r="AO107" s="21"/>
      <c r="AV107" s="21"/>
      <c r="BC107" s="21"/>
      <c r="BJ107" s="21"/>
      <c r="BQ107" s="21"/>
      <c r="BX107" s="21"/>
      <c r="CE107" s="21"/>
      <c r="CL107" s="21"/>
      <c r="CS107" s="21"/>
      <c r="CZ107" s="21"/>
      <c r="DG107" s="21"/>
      <c r="DN107" s="21"/>
      <c r="DU107" s="21"/>
      <c r="EB107" s="21"/>
    </row>
    <row r="108" spans="1:132" s="18" customFormat="1" ht="12" x14ac:dyDescent="0.25">
      <c r="A108" s="72">
        <v>17</v>
      </c>
      <c r="B108" s="69" t="s">
        <v>417</v>
      </c>
      <c r="C108" s="34">
        <f t="shared" si="35"/>
        <v>10758613561.866375</v>
      </c>
      <c r="P108" s="21"/>
      <c r="AC108" s="21"/>
      <c r="AH108" s="21"/>
      <c r="AO108" s="21"/>
      <c r="AV108" s="21"/>
      <c r="BC108" s="21"/>
      <c r="BJ108" s="21"/>
      <c r="BQ108" s="21"/>
      <c r="BX108" s="21"/>
      <c r="CE108" s="21"/>
      <c r="CL108" s="21"/>
      <c r="CS108" s="21"/>
      <c r="CZ108" s="21"/>
      <c r="DG108" s="21"/>
      <c r="DN108" s="21"/>
      <c r="DU108" s="21"/>
      <c r="EB108" s="21"/>
    </row>
    <row r="109" spans="1:132" s="18" customFormat="1" ht="12" x14ac:dyDescent="0.25">
      <c r="A109" s="72">
        <v>18</v>
      </c>
      <c r="B109" s="69" t="s">
        <v>418</v>
      </c>
      <c r="C109" s="34">
        <f t="shared" si="35"/>
        <v>2246878015.8547335</v>
      </c>
      <c r="P109" s="21"/>
      <c r="AC109" s="21"/>
      <c r="AH109" s="21"/>
      <c r="AO109" s="21"/>
      <c r="AV109" s="21"/>
      <c r="BC109" s="21"/>
      <c r="BJ109" s="21"/>
      <c r="BQ109" s="21"/>
      <c r="BX109" s="21"/>
      <c r="CE109" s="21"/>
      <c r="CL109" s="21"/>
      <c r="CS109" s="21"/>
      <c r="CZ109" s="21"/>
      <c r="DG109" s="21"/>
      <c r="DN109" s="21"/>
      <c r="DU109" s="21"/>
      <c r="EB109" s="21"/>
    </row>
    <row r="110" spans="1:132" s="18" customFormat="1" ht="12" x14ac:dyDescent="0.25">
      <c r="A110" s="72">
        <v>19</v>
      </c>
      <c r="B110" s="69" t="s">
        <v>419</v>
      </c>
      <c r="C110" s="34">
        <f t="shared" si="35"/>
        <v>346587853029.84888</v>
      </c>
      <c r="P110" s="21"/>
      <c r="AC110" s="21"/>
      <c r="AH110" s="21"/>
      <c r="AO110" s="21"/>
      <c r="AV110" s="21"/>
      <c r="BC110" s="21"/>
      <c r="BJ110" s="21"/>
      <c r="BQ110" s="21"/>
      <c r="BX110" s="21"/>
      <c r="CE110" s="21"/>
      <c r="CL110" s="21"/>
      <c r="CS110" s="21"/>
      <c r="CZ110" s="21"/>
      <c r="DG110" s="21"/>
      <c r="DN110" s="21"/>
      <c r="DU110" s="21"/>
      <c r="EB110" s="21"/>
    </row>
    <row r="111" spans="1:132" s="18" customFormat="1" ht="12" x14ac:dyDescent="0.25">
      <c r="A111" s="72">
        <v>20</v>
      </c>
      <c r="B111" s="69" t="s">
        <v>420</v>
      </c>
      <c r="C111" s="34">
        <f t="shared" si="35"/>
        <v>53914329055.470634</v>
      </c>
      <c r="P111" s="21"/>
      <c r="AC111" s="21"/>
      <c r="AH111" s="21"/>
      <c r="AO111" s="21"/>
      <c r="AV111" s="21"/>
      <c r="BC111" s="21"/>
      <c r="BJ111" s="21"/>
      <c r="BQ111" s="21"/>
      <c r="BX111" s="21"/>
      <c r="CE111" s="21"/>
      <c r="CL111" s="21"/>
      <c r="CS111" s="21"/>
      <c r="CZ111" s="21"/>
      <c r="DG111" s="21"/>
      <c r="DN111" s="21"/>
      <c r="DU111" s="21"/>
      <c r="EB111" s="21"/>
    </row>
    <row r="112" spans="1:132" s="18" customFormat="1" ht="12" x14ac:dyDescent="0.25">
      <c r="A112" s="72">
        <v>21</v>
      </c>
      <c r="B112" s="69" t="s">
        <v>421</v>
      </c>
      <c r="C112" s="34">
        <f t="shared" si="35"/>
        <v>25236038197.395893</v>
      </c>
      <c r="P112" s="21"/>
      <c r="AC112" s="21"/>
      <c r="AH112" s="21"/>
      <c r="AO112" s="21"/>
      <c r="AV112" s="21"/>
      <c r="BC112" s="21"/>
      <c r="BJ112" s="21"/>
      <c r="BQ112" s="21"/>
      <c r="BX112" s="21"/>
      <c r="CE112" s="21"/>
      <c r="CL112" s="21"/>
      <c r="CS112" s="21"/>
      <c r="CZ112" s="21"/>
      <c r="DG112" s="21"/>
      <c r="DN112" s="21"/>
      <c r="DU112" s="21"/>
      <c r="EB112" s="21"/>
    </row>
    <row r="113" spans="1:132" s="18" customFormat="1" ht="12" x14ac:dyDescent="0.25">
      <c r="A113" s="72">
        <v>22</v>
      </c>
      <c r="B113" s="69" t="s">
        <v>422</v>
      </c>
      <c r="C113" s="34">
        <f t="shared" si="35"/>
        <v>32608846116.619339</v>
      </c>
      <c r="P113" s="21"/>
      <c r="AC113" s="21"/>
      <c r="AH113" s="21"/>
      <c r="AO113" s="21"/>
      <c r="AV113" s="21"/>
      <c r="BC113" s="21"/>
      <c r="BJ113" s="21"/>
      <c r="BQ113" s="21"/>
      <c r="BX113" s="21"/>
      <c r="CE113" s="21"/>
      <c r="CL113" s="21"/>
      <c r="CS113" s="21"/>
      <c r="CZ113" s="21"/>
      <c r="DG113" s="21"/>
      <c r="DN113" s="21"/>
      <c r="DU113" s="21"/>
      <c r="EB113" s="21"/>
    </row>
    <row r="114" spans="1:132" s="18" customFormat="1" ht="12" x14ac:dyDescent="0.25">
      <c r="A114" s="72">
        <v>23</v>
      </c>
      <c r="B114" s="69" t="s">
        <v>423</v>
      </c>
      <c r="C114" s="34">
        <f t="shared" si="35"/>
        <v>883017928577.78296</v>
      </c>
      <c r="P114" s="21"/>
      <c r="AC114" s="21"/>
      <c r="AH114" s="21"/>
      <c r="AO114" s="21"/>
      <c r="AV114" s="21"/>
      <c r="BC114" s="21"/>
      <c r="BJ114" s="21"/>
      <c r="BQ114" s="21"/>
      <c r="BX114" s="21"/>
      <c r="CE114" s="21"/>
      <c r="CL114" s="21"/>
      <c r="CS114" s="21"/>
      <c r="CZ114" s="21"/>
      <c r="DG114" s="21"/>
      <c r="DN114" s="21"/>
      <c r="DU114" s="21"/>
      <c r="EB114" s="21"/>
    </row>
    <row r="115" spans="1:132" s="18" customFormat="1" ht="12" x14ac:dyDescent="0.25">
      <c r="A115" s="72">
        <v>24</v>
      </c>
      <c r="B115" s="69" t="s">
        <v>424</v>
      </c>
      <c r="C115" s="34">
        <f t="shared" si="35"/>
        <v>1691498620429.9768</v>
      </c>
      <c r="P115" s="21"/>
      <c r="AC115" s="21"/>
      <c r="AH115" s="21"/>
      <c r="AO115" s="21"/>
      <c r="AV115" s="21"/>
      <c r="BC115" s="21"/>
      <c r="BJ115" s="21"/>
      <c r="BQ115" s="21"/>
      <c r="BX115" s="21"/>
      <c r="CE115" s="21"/>
      <c r="CL115" s="21"/>
      <c r="CS115" s="21"/>
      <c r="CZ115" s="21"/>
      <c r="DG115" s="21"/>
      <c r="DN115" s="21"/>
      <c r="DU115" s="21"/>
      <c r="EB115" s="21"/>
    </row>
    <row r="116" spans="1:132" s="18" customFormat="1" ht="12" x14ac:dyDescent="0.25">
      <c r="A116" s="72">
        <v>25</v>
      </c>
      <c r="B116" s="69" t="s">
        <v>425</v>
      </c>
      <c r="C116" s="34">
        <f t="shared" si="35"/>
        <v>150373264933.25781</v>
      </c>
      <c r="P116" s="21"/>
      <c r="AC116" s="21"/>
      <c r="AH116" s="21"/>
      <c r="AO116" s="21"/>
      <c r="AV116" s="21"/>
      <c r="BC116" s="21"/>
      <c r="BJ116" s="21"/>
      <c r="BQ116" s="21"/>
      <c r="BX116" s="21"/>
      <c r="CE116" s="21"/>
      <c r="CL116" s="21"/>
      <c r="CS116" s="21"/>
      <c r="CZ116" s="21"/>
      <c r="DG116" s="21"/>
      <c r="DN116" s="21"/>
      <c r="DU116" s="21"/>
      <c r="EB116" s="21"/>
    </row>
    <row r="117" spans="1:132" s="18" customFormat="1" ht="12" x14ac:dyDescent="0.25">
      <c r="A117" s="72">
        <v>26</v>
      </c>
      <c r="B117" s="69" t="s">
        <v>426</v>
      </c>
      <c r="C117" s="34">
        <f t="shared" si="35"/>
        <v>29806397171.889194</v>
      </c>
      <c r="P117" s="21"/>
      <c r="AC117" s="21"/>
      <c r="AH117" s="21"/>
      <c r="AO117" s="21"/>
      <c r="AV117" s="21"/>
      <c r="BC117" s="21"/>
      <c r="BJ117" s="21"/>
      <c r="BQ117" s="21"/>
      <c r="BX117" s="21"/>
      <c r="CE117" s="21"/>
      <c r="CL117" s="21"/>
      <c r="CS117" s="21"/>
      <c r="CZ117" s="21"/>
      <c r="DG117" s="21"/>
      <c r="DN117" s="21"/>
      <c r="DU117" s="21"/>
      <c r="EB117" s="21"/>
    </row>
    <row r="118" spans="1:132" s="18" customFormat="1" ht="12" x14ac:dyDescent="0.25">
      <c r="A118" s="72">
        <v>27</v>
      </c>
      <c r="B118" s="69" t="s">
        <v>427</v>
      </c>
      <c r="C118" s="34">
        <f t="shared" si="35"/>
        <v>790235134258.89795</v>
      </c>
      <c r="P118" s="21"/>
      <c r="AC118" s="21"/>
      <c r="AH118" s="21"/>
      <c r="AO118" s="21"/>
      <c r="AV118" s="21"/>
      <c r="BC118" s="21"/>
      <c r="BJ118" s="21"/>
      <c r="BQ118" s="21"/>
      <c r="BX118" s="21"/>
      <c r="CE118" s="21"/>
      <c r="CL118" s="21"/>
      <c r="CS118" s="21"/>
      <c r="CZ118" s="21"/>
      <c r="DG118" s="21"/>
      <c r="DN118" s="21"/>
      <c r="DU118" s="21"/>
      <c r="EB118" s="21"/>
    </row>
    <row r="119" spans="1:132" s="18" customFormat="1" ht="12" x14ac:dyDescent="0.25">
      <c r="A119" s="72">
        <v>28</v>
      </c>
      <c r="B119" s="69" t="s">
        <v>428</v>
      </c>
      <c r="C119" s="34">
        <f t="shared" si="35"/>
        <v>149572562041.58856</v>
      </c>
      <c r="P119" s="21"/>
      <c r="AC119" s="21"/>
      <c r="AH119" s="21"/>
      <c r="AO119" s="21"/>
      <c r="AV119" s="21"/>
      <c r="BC119" s="21"/>
      <c r="BJ119" s="21"/>
      <c r="BQ119" s="21"/>
      <c r="BX119" s="21"/>
      <c r="CE119" s="21"/>
      <c r="CL119" s="21"/>
      <c r="CS119" s="21"/>
      <c r="CZ119" s="21"/>
      <c r="DG119" s="21"/>
      <c r="DN119" s="21"/>
      <c r="DU119" s="21"/>
      <c r="EB119" s="21"/>
    </row>
    <row r="120" spans="1:132" s="18" customFormat="1" ht="12" x14ac:dyDescent="0.25">
      <c r="A120" s="72">
        <v>29</v>
      </c>
      <c r="B120" s="69" t="s">
        <v>429</v>
      </c>
      <c r="C120" s="34">
        <f t="shared" si="35"/>
        <v>172569290647.09735</v>
      </c>
      <c r="P120" s="21"/>
      <c r="AC120" s="21"/>
      <c r="AH120" s="21"/>
      <c r="AO120" s="21"/>
      <c r="AV120" s="21"/>
      <c r="BC120" s="21"/>
      <c r="BJ120" s="21"/>
      <c r="BQ120" s="21"/>
      <c r="BX120" s="21"/>
      <c r="CE120" s="21"/>
      <c r="CL120" s="21"/>
      <c r="CS120" s="21"/>
      <c r="CZ120" s="21"/>
      <c r="DG120" s="21"/>
      <c r="DN120" s="21"/>
      <c r="DU120" s="21"/>
      <c r="EB120" s="21"/>
    </row>
    <row r="121" spans="1:132" s="18" customFormat="1" ht="12" x14ac:dyDescent="0.25">
      <c r="A121" s="72">
        <v>30</v>
      </c>
      <c r="B121" s="69" t="s">
        <v>430</v>
      </c>
      <c r="C121" s="34">
        <f>O33</f>
        <v>37177177900.527718</v>
      </c>
      <c r="P121" s="21"/>
      <c r="AC121" s="21"/>
      <c r="AH121" s="21"/>
      <c r="AO121" s="21"/>
      <c r="AV121" s="21"/>
      <c r="BC121" s="21"/>
      <c r="BJ121" s="21"/>
      <c r="BQ121" s="21"/>
      <c r="BX121" s="21"/>
      <c r="CE121" s="21"/>
      <c r="CL121" s="21"/>
      <c r="CS121" s="21"/>
      <c r="CZ121" s="21"/>
      <c r="DG121" s="21"/>
      <c r="DN121" s="21"/>
      <c r="DU121" s="21"/>
      <c r="EB121" s="21"/>
    </row>
    <row r="122" spans="1:132" s="18" customFormat="1" ht="12" x14ac:dyDescent="0.25">
      <c r="A122" s="72">
        <v>31</v>
      </c>
      <c r="B122" s="69" t="s">
        <v>431</v>
      </c>
      <c r="C122" s="34">
        <f t="shared" ref="C122:C129" si="36">O34</f>
        <v>10418823194.685612</v>
      </c>
      <c r="P122" s="21"/>
      <c r="AC122" s="21"/>
      <c r="AH122" s="21"/>
      <c r="AO122" s="21"/>
      <c r="AV122" s="21"/>
      <c r="BC122" s="21"/>
      <c r="BJ122" s="21"/>
      <c r="BQ122" s="21"/>
      <c r="BX122" s="21"/>
      <c r="CE122" s="21"/>
      <c r="CL122" s="21"/>
      <c r="CS122" s="21"/>
      <c r="CZ122" s="21"/>
      <c r="DG122" s="21"/>
      <c r="DN122" s="21"/>
      <c r="DU122" s="21"/>
      <c r="EB122" s="21"/>
    </row>
    <row r="123" spans="1:132" s="18" customFormat="1" ht="12" x14ac:dyDescent="0.25">
      <c r="A123" s="72">
        <v>32</v>
      </c>
      <c r="B123" s="69" t="s">
        <v>432</v>
      </c>
      <c r="C123" s="34">
        <f t="shared" si="36"/>
        <v>168859189.13083407</v>
      </c>
      <c r="P123" s="21"/>
      <c r="AC123" s="21"/>
      <c r="AH123" s="21"/>
      <c r="AO123" s="21"/>
      <c r="AV123" s="21"/>
      <c r="BC123" s="21"/>
      <c r="BJ123" s="21"/>
      <c r="BQ123" s="21"/>
      <c r="BX123" s="21"/>
      <c r="CE123" s="21"/>
      <c r="CL123" s="21"/>
      <c r="CS123" s="21"/>
      <c r="CZ123" s="21"/>
      <c r="DG123" s="21"/>
      <c r="DN123" s="21"/>
      <c r="DU123" s="21"/>
      <c r="EB123" s="21"/>
    </row>
    <row r="124" spans="1:132" s="18" customFormat="1" ht="12" x14ac:dyDescent="0.25">
      <c r="A124" s="72">
        <v>33</v>
      </c>
      <c r="B124" s="69" t="s">
        <v>433</v>
      </c>
      <c r="C124" s="34">
        <f t="shared" si="36"/>
        <v>747971254554.10107</v>
      </c>
      <c r="P124" s="21"/>
      <c r="AC124" s="21"/>
      <c r="AH124" s="21"/>
      <c r="AO124" s="21"/>
      <c r="AV124" s="21"/>
      <c r="BC124" s="21"/>
      <c r="BJ124" s="21"/>
      <c r="BQ124" s="21"/>
      <c r="BX124" s="21"/>
      <c r="CE124" s="21"/>
      <c r="CL124" s="21"/>
      <c r="CS124" s="21"/>
      <c r="CZ124" s="21"/>
      <c r="DG124" s="21"/>
      <c r="DN124" s="21"/>
      <c r="DU124" s="21"/>
      <c r="EB124" s="21"/>
    </row>
    <row r="125" spans="1:132" s="18" customFormat="1" ht="12" x14ac:dyDescent="0.25">
      <c r="A125" s="72">
        <v>34</v>
      </c>
      <c r="B125" s="69" t="s">
        <v>434</v>
      </c>
      <c r="C125" s="34">
        <f t="shared" si="36"/>
        <v>715984425725.06714</v>
      </c>
      <c r="P125" s="21"/>
      <c r="AC125" s="21"/>
      <c r="AH125" s="21"/>
      <c r="AO125" s="21"/>
      <c r="AV125" s="21"/>
      <c r="BC125" s="21"/>
      <c r="BJ125" s="21"/>
      <c r="BQ125" s="21"/>
      <c r="BX125" s="21"/>
      <c r="CE125" s="21"/>
      <c r="CL125" s="21"/>
      <c r="CS125" s="21"/>
      <c r="CZ125" s="21"/>
      <c r="DG125" s="21"/>
      <c r="DN125" s="21"/>
      <c r="DU125" s="21"/>
      <c r="EB125" s="21"/>
    </row>
    <row r="126" spans="1:132" s="18" customFormat="1" ht="12" x14ac:dyDescent="0.25">
      <c r="A126" s="72">
        <v>35</v>
      </c>
      <c r="B126" s="69" t="s">
        <v>435</v>
      </c>
      <c r="C126" s="34">
        <f t="shared" si="36"/>
        <v>15164751384.509277</v>
      </c>
      <c r="P126" s="21"/>
      <c r="AC126" s="21"/>
      <c r="AH126" s="21"/>
      <c r="AO126" s="21"/>
      <c r="AV126" s="21"/>
      <c r="BC126" s="21"/>
      <c r="BJ126" s="21"/>
      <c r="BQ126" s="21"/>
      <c r="BX126" s="21"/>
      <c r="CE126" s="21"/>
      <c r="CL126" s="21"/>
      <c r="CS126" s="21"/>
      <c r="CZ126" s="21"/>
      <c r="DG126" s="21"/>
      <c r="DN126" s="21"/>
      <c r="DU126" s="21"/>
      <c r="EB126" s="21"/>
    </row>
    <row r="127" spans="1:132" s="18" customFormat="1" ht="12" x14ac:dyDescent="0.25">
      <c r="A127" s="72">
        <v>36</v>
      </c>
      <c r="B127" s="69" t="s">
        <v>436</v>
      </c>
      <c r="C127" s="34">
        <f t="shared" si="36"/>
        <v>48795973790.7836</v>
      </c>
      <c r="P127" s="21"/>
      <c r="AC127" s="21"/>
      <c r="AH127" s="21"/>
      <c r="AO127" s="21"/>
      <c r="AV127" s="21"/>
      <c r="BC127" s="21"/>
      <c r="BJ127" s="21"/>
      <c r="BQ127" s="21"/>
      <c r="BX127" s="21"/>
      <c r="CE127" s="21"/>
      <c r="CL127" s="21"/>
      <c r="CS127" s="21"/>
      <c r="CZ127" s="21"/>
      <c r="DG127" s="21"/>
      <c r="DN127" s="21"/>
      <c r="DU127" s="21"/>
      <c r="EB127" s="21"/>
    </row>
    <row r="128" spans="1:132" s="18" customFormat="1" ht="12" x14ac:dyDescent="0.25">
      <c r="A128" s="72">
        <v>37</v>
      </c>
      <c r="B128" s="69" t="s">
        <v>437</v>
      </c>
      <c r="C128" s="34">
        <f t="shared" si="36"/>
        <v>1998493558310.5063</v>
      </c>
      <c r="P128" s="21"/>
      <c r="AC128" s="21"/>
      <c r="AH128" s="21"/>
      <c r="AO128" s="21"/>
      <c r="AV128" s="21"/>
      <c r="BC128" s="21"/>
      <c r="BJ128" s="21"/>
      <c r="BQ128" s="21"/>
      <c r="BX128" s="21"/>
      <c r="CE128" s="21"/>
      <c r="CL128" s="21"/>
      <c r="CS128" s="21"/>
      <c r="CZ128" s="21"/>
      <c r="DG128" s="21"/>
      <c r="DN128" s="21"/>
      <c r="DU128" s="21"/>
      <c r="EB128" s="21"/>
    </row>
    <row r="129" spans="1:132" s="18" customFormat="1" ht="12" x14ac:dyDescent="0.25">
      <c r="A129" s="72">
        <v>38</v>
      </c>
      <c r="B129" s="69" t="s">
        <v>438</v>
      </c>
      <c r="C129" s="34">
        <f t="shared" si="36"/>
        <v>18581657110.085724</v>
      </c>
      <c r="P129" s="21"/>
      <c r="AC129" s="21"/>
      <c r="AH129" s="21"/>
      <c r="AO129" s="21"/>
      <c r="AV129" s="21"/>
      <c r="BC129" s="21"/>
      <c r="BJ129" s="21"/>
      <c r="BQ129" s="21"/>
      <c r="BX129" s="21"/>
      <c r="CE129" s="21"/>
      <c r="CL129" s="21"/>
      <c r="CS129" s="21"/>
      <c r="CZ129" s="21"/>
      <c r="DG129" s="21"/>
      <c r="DN129" s="21"/>
      <c r="DU129" s="21"/>
      <c r="EB129" s="21"/>
    </row>
    <row r="130" spans="1:132" s="18" customFormat="1" ht="12" x14ac:dyDescent="0.25">
      <c r="A130" s="72"/>
      <c r="B130" s="69" t="s">
        <v>400</v>
      </c>
      <c r="C130" s="34">
        <f>SUM(C92:C129)</f>
        <v>31978241045444.727</v>
      </c>
      <c r="P130" s="21"/>
      <c r="AC130" s="21"/>
      <c r="AH130" s="21"/>
      <c r="AO130" s="21"/>
      <c r="AV130" s="21"/>
      <c r="BC130" s="21"/>
      <c r="BJ130" s="21"/>
      <c r="BQ130" s="21"/>
      <c r="BX130" s="21"/>
      <c r="CE130" s="21"/>
      <c r="CL130" s="21"/>
      <c r="CS130" s="21"/>
      <c r="CZ130" s="21"/>
      <c r="DG130" s="21"/>
      <c r="DN130" s="21"/>
      <c r="DU130" s="21"/>
      <c r="EB130" s="21"/>
    </row>
  </sheetData>
  <mergeCells count="90">
    <mergeCell ref="AG2:AG3"/>
    <mergeCell ref="A2:A3"/>
    <mergeCell ref="B2:B3"/>
    <mergeCell ref="C2:N2"/>
    <mergeCell ref="O2:O3"/>
    <mergeCell ref="P2:P3"/>
    <mergeCell ref="Q2:Q3"/>
    <mergeCell ref="R2:AA2"/>
    <mergeCell ref="AB2:AB3"/>
    <mergeCell ref="AC2:AC3"/>
    <mergeCell ref="AD2:AD3"/>
    <mergeCell ref="AE2:AF2"/>
    <mergeCell ref="DG2:DG3"/>
    <mergeCell ref="DH2:DH3"/>
    <mergeCell ref="DI2:DL2"/>
    <mergeCell ref="BB2:BB3"/>
    <mergeCell ref="AH2:AH3"/>
    <mergeCell ref="AI2:AI3"/>
    <mergeCell ref="AJ2:AM2"/>
    <mergeCell ref="AN2:AN3"/>
    <mergeCell ref="AO2:AO3"/>
    <mergeCell ref="AP2:AP3"/>
    <mergeCell ref="AQ2:AT2"/>
    <mergeCell ref="AU2:AU3"/>
    <mergeCell ref="AV2:AV3"/>
    <mergeCell ref="AW2:AW3"/>
    <mergeCell ref="AX2:BA2"/>
    <mergeCell ref="DF2:DF3"/>
    <mergeCell ref="EB2:EB3"/>
    <mergeCell ref="EC2:EC3"/>
    <mergeCell ref="ED2:EG2"/>
    <mergeCell ref="EH2:EH3"/>
    <mergeCell ref="CZ2:CZ3"/>
    <mergeCell ref="DA2:DA3"/>
    <mergeCell ref="DB2:DE2"/>
    <mergeCell ref="DM2:DM3"/>
    <mergeCell ref="DN2:DN3"/>
    <mergeCell ref="DO2:DO3"/>
    <mergeCell ref="DP2:DS2"/>
    <mergeCell ref="DT2:DT3"/>
    <mergeCell ref="DU2:DU3"/>
    <mergeCell ref="DV2:DV3"/>
    <mergeCell ref="DW2:DZ2"/>
    <mergeCell ref="EA2:EA3"/>
    <mergeCell ref="CS2:CS3"/>
    <mergeCell ref="CT2:CT3"/>
    <mergeCell ref="CU2:CX2"/>
    <mergeCell ref="CY2:CY3"/>
    <mergeCell ref="CR2:CR3"/>
    <mergeCell ref="CL2:CL3"/>
    <mergeCell ref="CM2:CM3"/>
    <mergeCell ref="BX2:BX3"/>
    <mergeCell ref="BY2:BY3"/>
    <mergeCell ref="BZ2:CC2"/>
    <mergeCell ref="CD2:CD3"/>
    <mergeCell ref="CE2:CE3"/>
    <mergeCell ref="CN2:CQ2"/>
    <mergeCell ref="BW2:BW3"/>
    <mergeCell ref="BC2:BC3"/>
    <mergeCell ref="BD2:BD3"/>
    <mergeCell ref="BE2:BH2"/>
    <mergeCell ref="BI2:BI3"/>
    <mergeCell ref="BJ2:BJ3"/>
    <mergeCell ref="BK2:BK3"/>
    <mergeCell ref="BL2:BO2"/>
    <mergeCell ref="BP2:BP3"/>
    <mergeCell ref="BQ2:BQ3"/>
    <mergeCell ref="BR2:BR3"/>
    <mergeCell ref="BS2:BV2"/>
    <mergeCell ref="CF2:CF3"/>
    <mergeCell ref="CG2:CJ2"/>
    <mergeCell ref="CK2:CK3"/>
    <mergeCell ref="CS1:CY1"/>
    <mergeCell ref="EB1:EH1"/>
    <mergeCell ref="CZ1:DF1"/>
    <mergeCell ref="DN1:DT1"/>
    <mergeCell ref="DU1:EA1"/>
    <mergeCell ref="DG1:DM1"/>
    <mergeCell ref="CL1:CR1"/>
    <mergeCell ref="AH1:AN1"/>
    <mergeCell ref="AO1:AU1"/>
    <mergeCell ref="AV1:BB1"/>
    <mergeCell ref="A1:O1"/>
    <mergeCell ref="P1:AB1"/>
    <mergeCell ref="AC1:AG1"/>
    <mergeCell ref="BC1:BI1"/>
    <mergeCell ref="BJ1:BP1"/>
    <mergeCell ref="BQ1:BW1"/>
    <mergeCell ref="BX1:CD1"/>
    <mergeCell ref="CE1:CK1"/>
  </mergeCells>
  <pageMargins left="0.35433070866141736" right="0" top="0.59055118110236227" bottom="0.35433070866141736" header="0.31496062992125984" footer="0.31496062992125984"/>
  <pageSetup paperSize="9" scale="75" firstPageNumber="37" orientation="landscape" useFirstPageNumber="1" r:id="rId1"/>
  <headerFooter>
    <oddFooter>&amp;C&amp;P</oddFooter>
  </headerFooter>
  <colBreaks count="16" manualBreakCount="16">
    <brk id="28" max="1048575" man="1"/>
    <brk id="33" max="1048575" man="1"/>
    <brk id="40" max="1048575" man="1"/>
    <brk id="47" max="1048575" man="1"/>
    <brk id="54" max="1048575" man="1"/>
    <brk id="61" max="1048575" man="1"/>
    <brk id="68" max="1048575" man="1"/>
    <brk id="75" max="1048575" man="1"/>
    <brk id="82" max="1048575" man="1"/>
    <brk id="89" max="1048575" man="1"/>
    <brk id="96" max="1048575" man="1"/>
    <brk id="103" max="1048575" man="1"/>
    <brk id="110" max="1048575" man="1"/>
    <brk id="117" max="1048575" man="1"/>
    <brk id="124" max="1048575" man="1"/>
    <brk id="131" max="4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465C-A86E-4EF6-832E-0E8230F83F14}">
  <dimension ref="A1:EH130"/>
  <sheetViews>
    <sheetView view="pageBreakPreview" topLeftCell="DP1" zoomScale="70" zoomScaleNormal="70" zoomScaleSheetLayoutView="70" workbookViewId="0">
      <selection activeCell="A67" sqref="A67:C80"/>
    </sheetView>
  </sheetViews>
  <sheetFormatPr defaultColWidth="7.77734375" defaultRowHeight="10.199999999999999" customHeight="1" x14ac:dyDescent="0.2"/>
  <cols>
    <col min="1" max="1" width="4.6640625" style="9" customWidth="1"/>
    <col min="2" max="2" width="16.77734375" style="1" customWidth="1"/>
    <col min="3" max="3" width="10.6640625" style="1" customWidth="1"/>
    <col min="4" max="4" width="10.77734375" style="1" customWidth="1"/>
    <col min="5" max="5" width="9.6640625" style="1" customWidth="1"/>
    <col min="6" max="8" width="10.77734375" style="1" customWidth="1"/>
    <col min="9" max="9" width="11.77734375" style="1" customWidth="1"/>
    <col min="10" max="12" width="10.77734375" style="1" customWidth="1"/>
    <col min="13" max="13" width="9" style="1" bestFit="1" customWidth="1"/>
    <col min="14" max="14" width="11" style="1" customWidth="1"/>
    <col min="15" max="15" width="10.77734375" style="1" customWidth="1"/>
    <col min="16" max="16" width="4.5546875" style="9" customWidth="1"/>
    <col min="17" max="17" width="16.109375" style="1" customWidth="1"/>
    <col min="18" max="28" width="11.88671875" style="1" customWidth="1"/>
    <col min="29" max="29" width="7.77734375" style="9"/>
    <col min="30" max="30" width="44.44140625" style="1" customWidth="1"/>
    <col min="31" max="33" width="14.33203125" style="1" customWidth="1"/>
    <col min="34" max="34" width="7.77734375" style="9"/>
    <col min="35" max="35" width="44.44140625" style="1" customWidth="1"/>
    <col min="36" max="38" width="10.109375" style="1" customWidth="1"/>
    <col min="39" max="40" width="10.88671875" style="1" customWidth="1"/>
    <col min="41" max="41" width="7.77734375" style="9"/>
    <col min="42" max="42" width="44.44140625" style="1" customWidth="1"/>
    <col min="43" max="45" width="10.109375" style="1" customWidth="1"/>
    <col min="46" max="47" width="10.77734375" style="1" customWidth="1"/>
    <col min="48" max="48" width="7.77734375" style="9"/>
    <col min="49" max="49" width="44.44140625" style="1" customWidth="1"/>
    <col min="50" max="52" width="10.109375" style="1" customWidth="1"/>
    <col min="53" max="54" width="10.88671875" style="1" customWidth="1"/>
    <col min="55" max="55" width="7.77734375" style="9"/>
    <col min="56" max="56" width="44.44140625" style="1" customWidth="1"/>
    <col min="57" max="61" width="10.109375" style="1" customWidth="1"/>
    <col min="62" max="62" width="7.77734375" style="9"/>
    <col min="63" max="63" width="44.44140625" style="1" customWidth="1"/>
    <col min="64" max="68" width="10.109375" style="1" customWidth="1"/>
    <col min="69" max="69" width="7.77734375" style="9"/>
    <col min="70" max="70" width="44.44140625" style="1" customWidth="1"/>
    <col min="71" max="75" width="10.109375" style="1" customWidth="1"/>
    <col min="76" max="76" width="7.77734375" style="9"/>
    <col min="77" max="77" width="44.44140625" style="1" customWidth="1"/>
    <col min="78" max="82" width="10.109375" style="1" customWidth="1"/>
    <col min="83" max="83" width="7.77734375" style="9"/>
    <col min="84" max="84" width="44.44140625" style="1" customWidth="1"/>
    <col min="85" max="89" width="10.109375" style="1" customWidth="1"/>
    <col min="90" max="90" width="7.77734375" style="9"/>
    <col min="91" max="91" width="44.44140625" style="1" customWidth="1"/>
    <col min="92" max="96" width="10.109375" style="1" customWidth="1"/>
    <col min="97" max="97" width="7.77734375" style="9"/>
    <col min="98" max="98" width="44.44140625" style="1" customWidth="1"/>
    <col min="99" max="103" width="10.109375" style="1" customWidth="1"/>
    <col min="104" max="104" width="7.77734375" style="9"/>
    <col min="105" max="105" width="44.44140625" style="1" customWidth="1"/>
    <col min="106" max="110" width="10.109375" style="1" customWidth="1"/>
    <col min="111" max="111" width="7.77734375" style="9"/>
    <col min="112" max="112" width="44.44140625" style="1" customWidth="1"/>
    <col min="113" max="117" width="10.109375" style="1" customWidth="1"/>
    <col min="118" max="118" width="7.77734375" style="9"/>
    <col min="119" max="119" width="44.44140625" style="1" customWidth="1"/>
    <col min="120" max="124" width="10.109375" style="1" customWidth="1"/>
    <col min="125" max="125" width="7.77734375" style="9"/>
    <col min="126" max="126" width="44.44140625" style="1" customWidth="1"/>
    <col min="127" max="129" width="10.109375" style="1" customWidth="1"/>
    <col min="130" max="131" width="10.77734375" style="1" customWidth="1"/>
    <col min="132" max="132" width="7.77734375" style="9"/>
    <col min="133" max="133" width="44.44140625" style="1" customWidth="1"/>
    <col min="134" max="138" width="10.109375" style="1" customWidth="1"/>
    <col min="139" max="16384" width="7.77734375" style="1"/>
  </cols>
  <sheetData>
    <row r="1" spans="1:138" s="38" customFormat="1" ht="21" customHeight="1" x14ac:dyDescent="0.3">
      <c r="A1" s="97" t="s">
        <v>195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 t="s">
        <v>197</v>
      </c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 t="s">
        <v>198</v>
      </c>
      <c r="AD1" s="97"/>
      <c r="AE1" s="97"/>
      <c r="AF1" s="97"/>
      <c r="AG1" s="97"/>
      <c r="AH1" s="97" t="s">
        <v>199</v>
      </c>
      <c r="AI1" s="97"/>
      <c r="AJ1" s="97"/>
      <c r="AK1" s="97"/>
      <c r="AL1" s="97"/>
      <c r="AM1" s="97"/>
      <c r="AN1" s="97"/>
      <c r="AO1" s="97" t="s">
        <v>200</v>
      </c>
      <c r="AP1" s="97"/>
      <c r="AQ1" s="97"/>
      <c r="AR1" s="97"/>
      <c r="AS1" s="97"/>
      <c r="AT1" s="97"/>
      <c r="AU1" s="97"/>
      <c r="AV1" s="97" t="s">
        <v>201</v>
      </c>
      <c r="AW1" s="97"/>
      <c r="AX1" s="97"/>
      <c r="AY1" s="97"/>
      <c r="AZ1" s="97"/>
      <c r="BA1" s="97"/>
      <c r="BB1" s="97"/>
      <c r="BC1" s="97" t="s">
        <v>202</v>
      </c>
      <c r="BD1" s="97"/>
      <c r="BE1" s="97"/>
      <c r="BF1" s="97"/>
      <c r="BG1" s="97"/>
      <c r="BH1" s="97"/>
      <c r="BI1" s="97"/>
      <c r="BJ1" s="97" t="s">
        <v>203</v>
      </c>
      <c r="BK1" s="97"/>
      <c r="BL1" s="97"/>
      <c r="BM1" s="97"/>
      <c r="BN1" s="97"/>
      <c r="BO1" s="97"/>
      <c r="BP1" s="97"/>
      <c r="BQ1" s="97" t="s">
        <v>204</v>
      </c>
      <c r="BR1" s="97"/>
      <c r="BS1" s="97"/>
      <c r="BT1" s="97"/>
      <c r="BU1" s="97"/>
      <c r="BV1" s="97"/>
      <c r="BW1" s="97"/>
      <c r="BX1" s="97" t="s">
        <v>205</v>
      </c>
      <c r="BY1" s="97"/>
      <c r="BZ1" s="97"/>
      <c r="CA1" s="97"/>
      <c r="CB1" s="97"/>
      <c r="CC1" s="97"/>
      <c r="CD1" s="97"/>
      <c r="CE1" s="97" t="s">
        <v>206</v>
      </c>
      <c r="CF1" s="97"/>
      <c r="CG1" s="97"/>
      <c r="CH1" s="97"/>
      <c r="CI1" s="97"/>
      <c r="CJ1" s="97"/>
      <c r="CK1" s="97"/>
      <c r="CL1" s="97" t="s">
        <v>207</v>
      </c>
      <c r="CM1" s="97"/>
      <c r="CN1" s="97"/>
      <c r="CO1" s="97"/>
      <c r="CP1" s="97"/>
      <c r="CQ1" s="97"/>
      <c r="CR1" s="97"/>
      <c r="CS1" s="97" t="s">
        <v>208</v>
      </c>
      <c r="CT1" s="97"/>
      <c r="CU1" s="97"/>
      <c r="CV1" s="97"/>
      <c r="CW1" s="97"/>
      <c r="CX1" s="97"/>
      <c r="CY1" s="97"/>
      <c r="CZ1" s="97" t="s">
        <v>196</v>
      </c>
      <c r="DA1" s="97"/>
      <c r="DB1" s="97"/>
      <c r="DC1" s="97"/>
      <c r="DD1" s="97"/>
      <c r="DE1" s="97"/>
      <c r="DF1" s="97"/>
      <c r="DG1" s="97" t="s">
        <v>209</v>
      </c>
      <c r="DH1" s="97"/>
      <c r="DI1" s="97"/>
      <c r="DJ1" s="97"/>
      <c r="DK1" s="97"/>
      <c r="DL1" s="97"/>
      <c r="DM1" s="97"/>
      <c r="DN1" s="97" t="s">
        <v>210</v>
      </c>
      <c r="DO1" s="97"/>
      <c r="DP1" s="97"/>
      <c r="DQ1" s="97"/>
      <c r="DR1" s="97"/>
      <c r="DS1" s="97"/>
      <c r="DT1" s="97"/>
      <c r="DU1" s="97" t="s">
        <v>211</v>
      </c>
      <c r="DV1" s="97"/>
      <c r="DW1" s="97"/>
      <c r="DX1" s="97"/>
      <c r="DY1" s="97"/>
      <c r="DZ1" s="97"/>
      <c r="EA1" s="97"/>
      <c r="EB1" s="97" t="s">
        <v>212</v>
      </c>
      <c r="EC1" s="97"/>
      <c r="ED1" s="97"/>
      <c r="EE1" s="97"/>
      <c r="EF1" s="97"/>
      <c r="EG1" s="97"/>
      <c r="EH1" s="97"/>
    </row>
    <row r="2" spans="1:138" s="10" customFormat="1" ht="21" customHeight="1" x14ac:dyDescent="0.3">
      <c r="A2" s="98" t="s">
        <v>0</v>
      </c>
      <c r="B2" s="98" t="s">
        <v>1</v>
      </c>
      <c r="C2" s="98" t="s">
        <v>4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 t="s">
        <v>3</v>
      </c>
      <c r="P2" s="98" t="s">
        <v>0</v>
      </c>
      <c r="Q2" s="98" t="s">
        <v>1</v>
      </c>
      <c r="R2" s="98" t="s">
        <v>4</v>
      </c>
      <c r="S2" s="98"/>
      <c r="T2" s="98"/>
      <c r="U2" s="98"/>
      <c r="V2" s="98"/>
      <c r="W2" s="98"/>
      <c r="X2" s="98"/>
      <c r="Y2" s="98"/>
      <c r="Z2" s="98"/>
      <c r="AA2" s="98"/>
      <c r="AB2" s="98" t="s">
        <v>3</v>
      </c>
      <c r="AC2" s="98" t="s">
        <v>0</v>
      </c>
      <c r="AD2" s="98" t="s">
        <v>1</v>
      </c>
      <c r="AE2" s="98" t="s">
        <v>4</v>
      </c>
      <c r="AF2" s="98"/>
      <c r="AG2" s="98" t="s">
        <v>3</v>
      </c>
      <c r="AH2" s="98" t="s">
        <v>0</v>
      </c>
      <c r="AI2" s="98" t="s">
        <v>1</v>
      </c>
      <c r="AJ2" s="98" t="s">
        <v>2</v>
      </c>
      <c r="AK2" s="98"/>
      <c r="AL2" s="98"/>
      <c r="AM2" s="98"/>
      <c r="AN2" s="98" t="s">
        <v>3</v>
      </c>
      <c r="AO2" s="98" t="s">
        <v>0</v>
      </c>
      <c r="AP2" s="98" t="s">
        <v>1</v>
      </c>
      <c r="AQ2" s="98" t="s">
        <v>2</v>
      </c>
      <c r="AR2" s="98"/>
      <c r="AS2" s="98"/>
      <c r="AT2" s="98"/>
      <c r="AU2" s="98" t="s">
        <v>3</v>
      </c>
      <c r="AV2" s="98" t="s">
        <v>0</v>
      </c>
      <c r="AW2" s="98" t="s">
        <v>1</v>
      </c>
      <c r="AX2" s="98" t="s">
        <v>2</v>
      </c>
      <c r="AY2" s="98"/>
      <c r="AZ2" s="98"/>
      <c r="BA2" s="98"/>
      <c r="BB2" s="98" t="s">
        <v>3</v>
      </c>
      <c r="BC2" s="98" t="s">
        <v>0</v>
      </c>
      <c r="BD2" s="98" t="s">
        <v>1</v>
      </c>
      <c r="BE2" s="98" t="s">
        <v>2</v>
      </c>
      <c r="BF2" s="98"/>
      <c r="BG2" s="98"/>
      <c r="BH2" s="98"/>
      <c r="BI2" s="98" t="s">
        <v>3</v>
      </c>
      <c r="BJ2" s="98" t="s">
        <v>0</v>
      </c>
      <c r="BK2" s="98" t="s">
        <v>1</v>
      </c>
      <c r="BL2" s="98" t="s">
        <v>2</v>
      </c>
      <c r="BM2" s="98"/>
      <c r="BN2" s="98"/>
      <c r="BO2" s="98"/>
      <c r="BP2" s="98" t="s">
        <v>3</v>
      </c>
      <c r="BQ2" s="98" t="s">
        <v>0</v>
      </c>
      <c r="BR2" s="98" t="s">
        <v>1</v>
      </c>
      <c r="BS2" s="98" t="s">
        <v>2</v>
      </c>
      <c r="BT2" s="98"/>
      <c r="BU2" s="98"/>
      <c r="BV2" s="98"/>
      <c r="BW2" s="98" t="s">
        <v>3</v>
      </c>
      <c r="BX2" s="98" t="s">
        <v>0</v>
      </c>
      <c r="BY2" s="98" t="s">
        <v>1</v>
      </c>
      <c r="BZ2" s="98" t="s">
        <v>2</v>
      </c>
      <c r="CA2" s="98"/>
      <c r="CB2" s="98"/>
      <c r="CC2" s="98"/>
      <c r="CD2" s="98" t="s">
        <v>3</v>
      </c>
      <c r="CE2" s="98" t="s">
        <v>0</v>
      </c>
      <c r="CF2" s="98" t="s">
        <v>1</v>
      </c>
      <c r="CG2" s="98" t="s">
        <v>2</v>
      </c>
      <c r="CH2" s="98"/>
      <c r="CI2" s="98"/>
      <c r="CJ2" s="98"/>
      <c r="CK2" s="98" t="s">
        <v>3</v>
      </c>
      <c r="CL2" s="98" t="s">
        <v>0</v>
      </c>
      <c r="CM2" s="98" t="s">
        <v>1</v>
      </c>
      <c r="CN2" s="98" t="s">
        <v>2</v>
      </c>
      <c r="CO2" s="98"/>
      <c r="CP2" s="98"/>
      <c r="CQ2" s="98"/>
      <c r="CR2" s="98" t="s">
        <v>3</v>
      </c>
      <c r="CS2" s="98" t="s">
        <v>0</v>
      </c>
      <c r="CT2" s="98" t="s">
        <v>1</v>
      </c>
      <c r="CU2" s="98" t="s">
        <v>2</v>
      </c>
      <c r="CV2" s="98"/>
      <c r="CW2" s="98"/>
      <c r="CX2" s="98"/>
      <c r="CY2" s="98" t="s">
        <v>3</v>
      </c>
      <c r="CZ2" s="98" t="s">
        <v>0</v>
      </c>
      <c r="DA2" s="98" t="s">
        <v>1</v>
      </c>
      <c r="DB2" s="98" t="s">
        <v>2</v>
      </c>
      <c r="DC2" s="98"/>
      <c r="DD2" s="98"/>
      <c r="DE2" s="98"/>
      <c r="DF2" s="98" t="s">
        <v>3</v>
      </c>
      <c r="DG2" s="98" t="s">
        <v>0</v>
      </c>
      <c r="DH2" s="98" t="s">
        <v>1</v>
      </c>
      <c r="DI2" s="98" t="s">
        <v>2</v>
      </c>
      <c r="DJ2" s="98"/>
      <c r="DK2" s="98"/>
      <c r="DL2" s="98"/>
      <c r="DM2" s="98" t="s">
        <v>3</v>
      </c>
      <c r="DN2" s="98" t="s">
        <v>0</v>
      </c>
      <c r="DO2" s="98" t="s">
        <v>1</v>
      </c>
      <c r="DP2" s="98" t="s">
        <v>2</v>
      </c>
      <c r="DQ2" s="98"/>
      <c r="DR2" s="98"/>
      <c r="DS2" s="98"/>
      <c r="DT2" s="98" t="s">
        <v>3</v>
      </c>
      <c r="DU2" s="98" t="s">
        <v>0</v>
      </c>
      <c r="DV2" s="98" t="s">
        <v>1</v>
      </c>
      <c r="DW2" s="98" t="s">
        <v>2</v>
      </c>
      <c r="DX2" s="98"/>
      <c r="DY2" s="98"/>
      <c r="DZ2" s="98"/>
      <c r="EA2" s="98" t="s">
        <v>3</v>
      </c>
      <c r="EB2" s="98" t="s">
        <v>0</v>
      </c>
      <c r="EC2" s="98" t="s">
        <v>1</v>
      </c>
      <c r="ED2" s="98" t="s">
        <v>2</v>
      </c>
      <c r="EE2" s="98"/>
      <c r="EF2" s="98"/>
      <c r="EG2" s="98"/>
      <c r="EH2" s="98" t="s">
        <v>3</v>
      </c>
    </row>
    <row r="3" spans="1:138" s="10" customFormat="1" ht="48.6" customHeight="1" x14ac:dyDescent="0.3">
      <c r="A3" s="98"/>
      <c r="B3" s="98"/>
      <c r="C3" s="11" t="s">
        <v>9</v>
      </c>
      <c r="D3" s="11" t="s">
        <v>10</v>
      </c>
      <c r="E3" s="11" t="s">
        <v>11</v>
      </c>
      <c r="F3" s="11" t="s">
        <v>12</v>
      </c>
      <c r="G3" s="24" t="s">
        <v>13</v>
      </c>
      <c r="H3" s="24" t="s">
        <v>14</v>
      </c>
      <c r="I3" s="24" t="s">
        <v>131</v>
      </c>
      <c r="J3" s="24" t="s">
        <v>135</v>
      </c>
      <c r="K3" s="24" t="s">
        <v>134</v>
      </c>
      <c r="L3" s="24" t="s">
        <v>18</v>
      </c>
      <c r="M3" s="24" t="s">
        <v>19</v>
      </c>
      <c r="N3" s="24" t="s">
        <v>133</v>
      </c>
      <c r="O3" s="98"/>
      <c r="P3" s="98"/>
      <c r="Q3" s="98"/>
      <c r="R3" s="11" t="s">
        <v>9</v>
      </c>
      <c r="S3" s="11" t="s">
        <v>10</v>
      </c>
      <c r="T3" s="11" t="s">
        <v>11</v>
      </c>
      <c r="U3" s="11" t="s">
        <v>12</v>
      </c>
      <c r="V3" s="24" t="s">
        <v>13</v>
      </c>
      <c r="W3" s="24" t="s">
        <v>14</v>
      </c>
      <c r="X3" s="24" t="s">
        <v>131</v>
      </c>
      <c r="Y3" s="24" t="s">
        <v>135</v>
      </c>
      <c r="Z3" s="24" t="s">
        <v>136</v>
      </c>
      <c r="AA3" s="24" t="s">
        <v>18</v>
      </c>
      <c r="AB3" s="98"/>
      <c r="AC3" s="98"/>
      <c r="AD3" s="98"/>
      <c r="AE3" s="24" t="s">
        <v>19</v>
      </c>
      <c r="AF3" s="24" t="s">
        <v>20</v>
      </c>
      <c r="AG3" s="98"/>
      <c r="AH3" s="98"/>
      <c r="AI3" s="98"/>
      <c r="AJ3" s="11" t="s">
        <v>5</v>
      </c>
      <c r="AK3" s="11" t="s">
        <v>6</v>
      </c>
      <c r="AL3" s="11" t="s">
        <v>7</v>
      </c>
      <c r="AM3" s="11" t="s">
        <v>8</v>
      </c>
      <c r="AN3" s="98"/>
      <c r="AO3" s="98"/>
      <c r="AP3" s="98"/>
      <c r="AQ3" s="11" t="s">
        <v>5</v>
      </c>
      <c r="AR3" s="11" t="s">
        <v>6</v>
      </c>
      <c r="AS3" s="11" t="s">
        <v>7</v>
      </c>
      <c r="AT3" s="11" t="s">
        <v>8</v>
      </c>
      <c r="AU3" s="98"/>
      <c r="AV3" s="98"/>
      <c r="AW3" s="98"/>
      <c r="AX3" s="11" t="s">
        <v>5</v>
      </c>
      <c r="AY3" s="11" t="s">
        <v>6</v>
      </c>
      <c r="AZ3" s="11" t="s">
        <v>7</v>
      </c>
      <c r="BA3" s="11" t="s">
        <v>8</v>
      </c>
      <c r="BB3" s="98"/>
      <c r="BC3" s="98"/>
      <c r="BD3" s="98"/>
      <c r="BE3" s="11" t="s">
        <v>5</v>
      </c>
      <c r="BF3" s="11" t="s">
        <v>6</v>
      </c>
      <c r="BG3" s="11" t="s">
        <v>7</v>
      </c>
      <c r="BH3" s="11" t="s">
        <v>8</v>
      </c>
      <c r="BI3" s="98"/>
      <c r="BJ3" s="98"/>
      <c r="BK3" s="98"/>
      <c r="BL3" s="11" t="s">
        <v>5</v>
      </c>
      <c r="BM3" s="11" t="s">
        <v>6</v>
      </c>
      <c r="BN3" s="11" t="s">
        <v>7</v>
      </c>
      <c r="BO3" s="11" t="s">
        <v>8</v>
      </c>
      <c r="BP3" s="98"/>
      <c r="BQ3" s="98"/>
      <c r="BR3" s="98"/>
      <c r="BS3" s="11" t="s">
        <v>5</v>
      </c>
      <c r="BT3" s="11" t="s">
        <v>6</v>
      </c>
      <c r="BU3" s="11" t="s">
        <v>7</v>
      </c>
      <c r="BV3" s="11" t="s">
        <v>8</v>
      </c>
      <c r="BW3" s="98"/>
      <c r="BX3" s="98"/>
      <c r="BY3" s="98"/>
      <c r="BZ3" s="11" t="s">
        <v>5</v>
      </c>
      <c r="CA3" s="11" t="s">
        <v>6</v>
      </c>
      <c r="CB3" s="11" t="s">
        <v>7</v>
      </c>
      <c r="CC3" s="11" t="s">
        <v>8</v>
      </c>
      <c r="CD3" s="98"/>
      <c r="CE3" s="98"/>
      <c r="CF3" s="98"/>
      <c r="CG3" s="11" t="s">
        <v>5</v>
      </c>
      <c r="CH3" s="11" t="s">
        <v>6</v>
      </c>
      <c r="CI3" s="11" t="s">
        <v>7</v>
      </c>
      <c r="CJ3" s="11" t="s">
        <v>8</v>
      </c>
      <c r="CK3" s="98"/>
      <c r="CL3" s="98"/>
      <c r="CM3" s="98"/>
      <c r="CN3" s="11" t="s">
        <v>5</v>
      </c>
      <c r="CO3" s="11" t="s">
        <v>6</v>
      </c>
      <c r="CP3" s="11" t="s">
        <v>7</v>
      </c>
      <c r="CQ3" s="11" t="s">
        <v>8</v>
      </c>
      <c r="CR3" s="98"/>
      <c r="CS3" s="98"/>
      <c r="CT3" s="98"/>
      <c r="CU3" s="11" t="s">
        <v>5</v>
      </c>
      <c r="CV3" s="11" t="s">
        <v>6</v>
      </c>
      <c r="CW3" s="11" t="s">
        <v>7</v>
      </c>
      <c r="CX3" s="11" t="s">
        <v>8</v>
      </c>
      <c r="CY3" s="98"/>
      <c r="CZ3" s="98"/>
      <c r="DA3" s="98"/>
      <c r="DB3" s="11" t="s">
        <v>5</v>
      </c>
      <c r="DC3" s="11" t="s">
        <v>6</v>
      </c>
      <c r="DD3" s="11" t="s">
        <v>7</v>
      </c>
      <c r="DE3" s="11" t="s">
        <v>8</v>
      </c>
      <c r="DF3" s="98"/>
      <c r="DG3" s="98"/>
      <c r="DH3" s="98"/>
      <c r="DI3" s="11" t="s">
        <v>5</v>
      </c>
      <c r="DJ3" s="11" t="s">
        <v>6</v>
      </c>
      <c r="DK3" s="11" t="s">
        <v>7</v>
      </c>
      <c r="DL3" s="11" t="s">
        <v>8</v>
      </c>
      <c r="DM3" s="98"/>
      <c r="DN3" s="98"/>
      <c r="DO3" s="98"/>
      <c r="DP3" s="11" t="s">
        <v>5</v>
      </c>
      <c r="DQ3" s="11" t="s">
        <v>6</v>
      </c>
      <c r="DR3" s="11" t="s">
        <v>7</v>
      </c>
      <c r="DS3" s="11" t="s">
        <v>8</v>
      </c>
      <c r="DT3" s="98"/>
      <c r="DU3" s="98"/>
      <c r="DV3" s="98"/>
      <c r="DW3" s="11" t="s">
        <v>5</v>
      </c>
      <c r="DX3" s="11" t="s">
        <v>6</v>
      </c>
      <c r="DY3" s="11" t="s">
        <v>7</v>
      </c>
      <c r="DZ3" s="11" t="s">
        <v>8</v>
      </c>
      <c r="EA3" s="98"/>
      <c r="EB3" s="98"/>
      <c r="EC3" s="98"/>
      <c r="ED3" s="11" t="s">
        <v>5</v>
      </c>
      <c r="EE3" s="11" t="s">
        <v>6</v>
      </c>
      <c r="EF3" s="11" t="s">
        <v>7</v>
      </c>
      <c r="EG3" s="11" t="s">
        <v>8</v>
      </c>
      <c r="EH3" s="98"/>
    </row>
    <row r="4" spans="1:138" ht="10.199999999999999" customHeight="1" x14ac:dyDescent="0.2">
      <c r="A4" s="7" t="s">
        <v>110</v>
      </c>
      <c r="B4" s="2" t="s">
        <v>38</v>
      </c>
      <c r="C4" s="3">
        <f>BI4</f>
        <v>14399.237098605025</v>
      </c>
      <c r="D4" s="3">
        <f>BP4</f>
        <v>664145.00356714835</v>
      </c>
      <c r="E4" s="3">
        <f>BW4</f>
        <v>198128.8078287431</v>
      </c>
      <c r="F4" s="3">
        <f>CD4</f>
        <v>16598.990220375461</v>
      </c>
      <c r="G4" s="3">
        <f>CK4</f>
        <v>454230.9500616187</v>
      </c>
      <c r="H4" s="3">
        <f>CR4</f>
        <v>0</v>
      </c>
      <c r="I4" s="3">
        <f>CY4</f>
        <v>10576.004064671286</v>
      </c>
      <c r="J4" s="3">
        <f>DM4</f>
        <v>1365.6791721718769</v>
      </c>
      <c r="K4" s="3">
        <f>DF4</f>
        <v>25966.627248557117</v>
      </c>
      <c r="L4" s="3">
        <f>DT4</f>
        <v>16904.388990640677</v>
      </c>
      <c r="M4" s="3">
        <f>EH4</f>
        <v>34953.450042479788</v>
      </c>
      <c r="N4" s="3">
        <f>EA4</f>
        <v>5260.6213729810952</v>
      </c>
      <c r="O4" s="3">
        <f>SUM(C4:N4)</f>
        <v>1442529.7596679921</v>
      </c>
      <c r="P4" s="7" t="s">
        <v>110</v>
      </c>
      <c r="Q4" s="2" t="s">
        <v>38</v>
      </c>
      <c r="R4" s="3">
        <f t="shared" ref="R4:AA4" si="0">C4</f>
        <v>14399.237098605025</v>
      </c>
      <c r="S4" s="3">
        <f t="shared" si="0"/>
        <v>664145.00356714835</v>
      </c>
      <c r="T4" s="3">
        <f t="shared" si="0"/>
        <v>198128.8078287431</v>
      </c>
      <c r="U4" s="3">
        <f t="shared" si="0"/>
        <v>16598.990220375461</v>
      </c>
      <c r="V4" s="3">
        <f t="shared" si="0"/>
        <v>454230.9500616187</v>
      </c>
      <c r="W4" s="3">
        <f t="shared" si="0"/>
        <v>0</v>
      </c>
      <c r="X4" s="3">
        <f t="shared" si="0"/>
        <v>10576.004064671286</v>
      </c>
      <c r="Y4" s="3">
        <f t="shared" si="0"/>
        <v>1365.6791721718769</v>
      </c>
      <c r="Z4" s="3">
        <f t="shared" si="0"/>
        <v>25966.627248557117</v>
      </c>
      <c r="AA4" s="3">
        <f t="shared" si="0"/>
        <v>16904.388990640677</v>
      </c>
      <c r="AB4" s="3">
        <f>SUM(R4:AA4)</f>
        <v>1402315.6882525315</v>
      </c>
      <c r="AC4" s="7" t="s">
        <v>110</v>
      </c>
      <c r="AD4" s="2" t="s">
        <v>38</v>
      </c>
      <c r="AE4" s="3">
        <f>M4</f>
        <v>34953.450042479788</v>
      </c>
      <c r="AF4" s="3">
        <f>N4</f>
        <v>5260.6213729810952</v>
      </c>
      <c r="AG4" s="3">
        <f>SUM(AE4:AF4)</f>
        <v>40214.071415460887</v>
      </c>
      <c r="AH4" s="7" t="s">
        <v>110</v>
      </c>
      <c r="AI4" s="2" t="s">
        <v>38</v>
      </c>
      <c r="AJ4" s="3">
        <f>AQ4+AX4</f>
        <v>770888.22665432619</v>
      </c>
      <c r="AK4" s="3">
        <f t="shared" ref="AK4:AM19" si="1">AR4+AY4</f>
        <v>623857.6761502584</v>
      </c>
      <c r="AL4" s="3">
        <f t="shared" si="1"/>
        <v>47783.8568634076</v>
      </c>
      <c r="AM4" s="3">
        <f t="shared" si="1"/>
        <v>0</v>
      </c>
      <c r="AN4" s="3">
        <f>SUM(AJ4:AM4)</f>
        <v>1442529.7596679924</v>
      </c>
      <c r="AO4" s="7" t="s">
        <v>110</v>
      </c>
      <c r="AP4" s="2" t="s">
        <v>38</v>
      </c>
      <c r="AQ4" s="3">
        <f>BE4+BL4+BS4+BZ4+CG4+CN4+CU4+DB4+DI4+DP4</f>
        <v>733036.67256543296</v>
      </c>
      <c r="AR4" s="3">
        <f t="shared" ref="AR4:AT19" si="2">BF4+BM4+BT4+CA4+CH4+CO4+CV4+DC4+DJ4+DQ4</f>
        <v>621495.15882369073</v>
      </c>
      <c r="AS4" s="3">
        <f t="shared" si="2"/>
        <v>47783.8568634076</v>
      </c>
      <c r="AT4" s="3">
        <f t="shared" si="2"/>
        <v>0</v>
      </c>
      <c r="AU4" s="3">
        <f>SUM(AQ4:AT4)</f>
        <v>1402315.6882525312</v>
      </c>
      <c r="AV4" s="7" t="s">
        <v>110</v>
      </c>
      <c r="AW4" s="2" t="s">
        <v>38</v>
      </c>
      <c r="AX4" s="3">
        <f>DW4+ED4</f>
        <v>37851.554088893201</v>
      </c>
      <c r="AY4" s="3">
        <f t="shared" ref="AY4:BA19" si="3">DX4+EE4</f>
        <v>2362.5173265676808</v>
      </c>
      <c r="AZ4" s="3">
        <f t="shared" si="3"/>
        <v>0</v>
      </c>
      <c r="BA4" s="3">
        <f t="shared" si="3"/>
        <v>0</v>
      </c>
      <c r="BB4" s="3">
        <f>SUM(AX4:BA4)</f>
        <v>40214.07141546088</v>
      </c>
      <c r="BC4" s="7" t="s">
        <v>110</v>
      </c>
      <c r="BD4" s="2" t="s">
        <v>38</v>
      </c>
      <c r="BE4" s="3">
        <v>14399.237098605025</v>
      </c>
      <c r="BF4" s="3">
        <v>0</v>
      </c>
      <c r="BG4" s="3">
        <v>0</v>
      </c>
      <c r="BH4" s="3">
        <v>0</v>
      </c>
      <c r="BI4" s="3">
        <v>14399.237098605025</v>
      </c>
      <c r="BJ4" s="7" t="s">
        <v>110</v>
      </c>
      <c r="BK4" s="2" t="s">
        <v>38</v>
      </c>
      <c r="BL4" s="3">
        <v>49476.110009658565</v>
      </c>
      <c r="BM4" s="3">
        <v>566885.03669408208</v>
      </c>
      <c r="BN4" s="3">
        <v>47783.8568634076</v>
      </c>
      <c r="BO4" s="3">
        <v>0</v>
      </c>
      <c r="BP4" s="3">
        <v>664145.00356714835</v>
      </c>
      <c r="BQ4" s="7" t="s">
        <v>110</v>
      </c>
      <c r="BR4" s="2" t="s">
        <v>38</v>
      </c>
      <c r="BS4" s="3">
        <v>198128.8078287431</v>
      </c>
      <c r="BT4" s="3">
        <v>0</v>
      </c>
      <c r="BU4" s="3">
        <v>0</v>
      </c>
      <c r="BV4" s="3">
        <v>0</v>
      </c>
      <c r="BW4" s="3">
        <v>198128.8078287431</v>
      </c>
      <c r="BX4" s="7" t="s">
        <v>110</v>
      </c>
      <c r="BY4" s="2" t="s">
        <v>38</v>
      </c>
      <c r="BZ4" s="3">
        <v>16598.990220375461</v>
      </c>
      <c r="CA4" s="3">
        <v>0</v>
      </c>
      <c r="CB4" s="3">
        <v>0</v>
      </c>
      <c r="CC4" s="3">
        <v>0</v>
      </c>
      <c r="CD4" s="3">
        <v>16598.990220375461</v>
      </c>
      <c r="CE4" s="7" t="s">
        <v>110</v>
      </c>
      <c r="CF4" s="2" t="s">
        <v>38</v>
      </c>
      <c r="CG4" s="3">
        <v>399620.82793201</v>
      </c>
      <c r="CH4" s="3">
        <v>54610.122129608688</v>
      </c>
      <c r="CI4" s="3">
        <v>0</v>
      </c>
      <c r="CJ4" s="3">
        <v>0</v>
      </c>
      <c r="CK4" s="3">
        <v>454230.9500616187</v>
      </c>
      <c r="CL4" s="7" t="s">
        <v>110</v>
      </c>
      <c r="CM4" s="2" t="s">
        <v>38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7" t="s">
        <v>110</v>
      </c>
      <c r="CT4" s="2" t="s">
        <v>38</v>
      </c>
      <c r="CU4" s="3">
        <v>10576.004064671286</v>
      </c>
      <c r="CV4" s="3">
        <v>0</v>
      </c>
      <c r="CW4" s="3">
        <v>0</v>
      </c>
      <c r="CX4" s="3">
        <v>0</v>
      </c>
      <c r="CY4" s="3">
        <v>10576.004064671286</v>
      </c>
      <c r="CZ4" s="7" t="s">
        <v>110</v>
      </c>
      <c r="DA4" s="2" t="s">
        <v>38</v>
      </c>
      <c r="DB4" s="3">
        <v>25966.627248557117</v>
      </c>
      <c r="DC4" s="3">
        <v>0</v>
      </c>
      <c r="DD4" s="3">
        <v>0</v>
      </c>
      <c r="DE4" s="3">
        <v>0</v>
      </c>
      <c r="DF4" s="3">
        <v>25966.627248557117</v>
      </c>
      <c r="DG4" s="7" t="s">
        <v>110</v>
      </c>
      <c r="DH4" s="2" t="s">
        <v>38</v>
      </c>
      <c r="DI4" s="3">
        <v>1365.6791721718769</v>
      </c>
      <c r="DJ4" s="3">
        <v>0</v>
      </c>
      <c r="DK4" s="3">
        <v>0</v>
      </c>
      <c r="DL4" s="3">
        <v>0</v>
      </c>
      <c r="DM4" s="3">
        <v>1365.6791721718769</v>
      </c>
      <c r="DN4" s="7" t="s">
        <v>110</v>
      </c>
      <c r="DO4" s="2" t="s">
        <v>38</v>
      </c>
      <c r="DP4" s="3">
        <v>16904.388990640677</v>
      </c>
      <c r="DQ4" s="3">
        <v>0</v>
      </c>
      <c r="DR4" s="3">
        <v>0</v>
      </c>
      <c r="DS4" s="3">
        <v>0</v>
      </c>
      <c r="DT4" s="3">
        <v>16904.388990640677</v>
      </c>
      <c r="DU4" s="7" t="s">
        <v>110</v>
      </c>
      <c r="DV4" s="2" t="s">
        <v>38</v>
      </c>
      <c r="DW4" s="3">
        <v>2898.1040464134144</v>
      </c>
      <c r="DX4" s="3">
        <v>2362.5173265676808</v>
      </c>
      <c r="DY4" s="3">
        <v>0</v>
      </c>
      <c r="DZ4" s="3">
        <v>0</v>
      </c>
      <c r="EA4" s="3">
        <v>5260.6213729810952</v>
      </c>
      <c r="EB4" s="7" t="s">
        <v>110</v>
      </c>
      <c r="EC4" s="2" t="s">
        <v>38</v>
      </c>
      <c r="ED4" s="3">
        <v>34953.450042479788</v>
      </c>
      <c r="EE4" s="3">
        <v>0</v>
      </c>
      <c r="EF4" s="3">
        <v>0</v>
      </c>
      <c r="EG4" s="3">
        <v>0</v>
      </c>
      <c r="EH4" s="3">
        <v>34953.450042479788</v>
      </c>
    </row>
    <row r="5" spans="1:138" ht="10.199999999999999" customHeight="1" x14ac:dyDescent="0.2">
      <c r="A5" s="7" t="s">
        <v>113</v>
      </c>
      <c r="B5" s="2" t="s">
        <v>41</v>
      </c>
      <c r="C5" s="3">
        <f t="shared" ref="C5:C41" si="4">BI5</f>
        <v>0</v>
      </c>
      <c r="D5" s="3">
        <f t="shared" ref="D5:D41" si="5">BP5</f>
        <v>11199.848326684536</v>
      </c>
      <c r="E5" s="3">
        <f t="shared" ref="E5:E41" si="6">BW5</f>
        <v>0</v>
      </c>
      <c r="F5" s="3">
        <f t="shared" ref="F5:F41" si="7">CD5</f>
        <v>0</v>
      </c>
      <c r="G5" s="3">
        <f t="shared" ref="G5:G41" si="8">CK5</f>
        <v>358.37892647555702</v>
      </c>
      <c r="H5" s="3">
        <f t="shared" ref="H5:H41" si="9">CR5</f>
        <v>0</v>
      </c>
      <c r="I5" s="3">
        <f t="shared" ref="I5:I41" si="10">CY5</f>
        <v>0</v>
      </c>
      <c r="J5" s="3">
        <f t="shared" ref="J5:J41" si="11">DM5</f>
        <v>0</v>
      </c>
      <c r="K5" s="3">
        <f t="shared" ref="K5:K41" si="12">DF5</f>
        <v>0</v>
      </c>
      <c r="L5" s="3">
        <f t="shared" ref="L5:L41" si="13">DT5</f>
        <v>1171358.8866793786</v>
      </c>
      <c r="M5" s="3">
        <f t="shared" ref="M5:M41" si="14">EH5</f>
        <v>99051.277948693925</v>
      </c>
      <c r="N5" s="3">
        <f t="shared" ref="N5:N41" si="15">EA5</f>
        <v>1007786.9893257262</v>
      </c>
      <c r="O5" s="3">
        <f t="shared" ref="O5:O41" si="16">SUM(C5:N5)</f>
        <v>2289755.3812069586</v>
      </c>
      <c r="P5" s="7" t="s">
        <v>113</v>
      </c>
      <c r="Q5" s="2" t="s">
        <v>41</v>
      </c>
      <c r="R5" s="3">
        <f t="shared" ref="R5:AA30" si="17">C5</f>
        <v>0</v>
      </c>
      <c r="S5" s="3">
        <f t="shared" si="17"/>
        <v>11199.848326684536</v>
      </c>
      <c r="T5" s="3">
        <f t="shared" si="17"/>
        <v>0</v>
      </c>
      <c r="U5" s="3">
        <f t="shared" si="17"/>
        <v>0</v>
      </c>
      <c r="V5" s="3">
        <f t="shared" si="17"/>
        <v>358.37892647555702</v>
      </c>
      <c r="W5" s="3">
        <f t="shared" si="17"/>
        <v>0</v>
      </c>
      <c r="X5" s="3">
        <f t="shared" si="17"/>
        <v>0</v>
      </c>
      <c r="Y5" s="3">
        <f t="shared" si="17"/>
        <v>0</v>
      </c>
      <c r="Z5" s="3">
        <f t="shared" si="17"/>
        <v>0</v>
      </c>
      <c r="AA5" s="3">
        <f t="shared" si="17"/>
        <v>1171358.8866793786</v>
      </c>
      <c r="AB5" s="3">
        <f t="shared" ref="AB5:AB41" si="18">SUM(R5:AA5)</f>
        <v>1182917.1139325388</v>
      </c>
      <c r="AC5" s="7" t="s">
        <v>113</v>
      </c>
      <c r="AD5" s="2" t="s">
        <v>41</v>
      </c>
      <c r="AE5" s="3">
        <f t="shared" ref="AE5:AF41" si="19">M5</f>
        <v>99051.277948693925</v>
      </c>
      <c r="AF5" s="3">
        <f t="shared" si="19"/>
        <v>1007786.9893257262</v>
      </c>
      <c r="AG5" s="3">
        <f t="shared" ref="AG5:AG41" si="20">SUM(AE5:AF5)</f>
        <v>1106838.26727442</v>
      </c>
      <c r="AH5" s="7" t="s">
        <v>113</v>
      </c>
      <c r="AI5" s="2" t="s">
        <v>41</v>
      </c>
      <c r="AJ5" s="3">
        <f t="shared" ref="AJ5:AM41" si="21">AQ5+AX5</f>
        <v>1279017.5753367692</v>
      </c>
      <c r="AK5" s="3">
        <f t="shared" si="1"/>
        <v>165632.25735769077</v>
      </c>
      <c r="AL5" s="3">
        <f t="shared" si="1"/>
        <v>845105.54851249896</v>
      </c>
      <c r="AM5" s="3">
        <f t="shared" si="1"/>
        <v>0</v>
      </c>
      <c r="AN5" s="3">
        <f t="shared" ref="AN5:AN41" si="22">SUM(AJ5:AM5)</f>
        <v>2289755.381206959</v>
      </c>
      <c r="AO5" s="7" t="s">
        <v>113</v>
      </c>
      <c r="AP5" s="2" t="s">
        <v>41</v>
      </c>
      <c r="AQ5" s="3">
        <f t="shared" ref="AQ5:AT41" si="23">BE5+BL5+BS5+BZ5+CG5+CN5+CU5+DB5+DI5+DP5</f>
        <v>1180358.785023239</v>
      </c>
      <c r="AR5" s="3">
        <f t="shared" si="2"/>
        <v>2558.3289092998093</v>
      </c>
      <c r="AS5" s="3">
        <f t="shared" si="2"/>
        <v>0</v>
      </c>
      <c r="AT5" s="3">
        <f t="shared" si="2"/>
        <v>0</v>
      </c>
      <c r="AU5" s="3">
        <f t="shared" ref="AU5:AU41" si="24">SUM(AQ5:AT5)</f>
        <v>1182917.1139325388</v>
      </c>
      <c r="AV5" s="7" t="s">
        <v>113</v>
      </c>
      <c r="AW5" s="2" t="s">
        <v>41</v>
      </c>
      <c r="AX5" s="3">
        <f t="shared" ref="AX5:BA41" si="25">DW5+ED5</f>
        <v>98658.790313530189</v>
      </c>
      <c r="AY5" s="3">
        <f t="shared" si="3"/>
        <v>163073.92844839097</v>
      </c>
      <c r="AZ5" s="3">
        <f t="shared" si="3"/>
        <v>845105.54851249896</v>
      </c>
      <c r="BA5" s="3">
        <f t="shared" si="3"/>
        <v>0</v>
      </c>
      <c r="BB5" s="3">
        <f t="shared" ref="BB5:BB41" si="26">SUM(AX5:BA5)</f>
        <v>1106838.2672744202</v>
      </c>
      <c r="BC5" s="7" t="s">
        <v>113</v>
      </c>
      <c r="BD5" s="2" t="s">
        <v>41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7" t="s">
        <v>113</v>
      </c>
      <c r="BK5" s="2" t="s">
        <v>41</v>
      </c>
      <c r="BL5" s="3">
        <v>9938.670468998278</v>
      </c>
      <c r="BM5" s="3">
        <v>1261.1778576862584</v>
      </c>
      <c r="BN5" s="3">
        <v>0</v>
      </c>
      <c r="BO5" s="3">
        <v>0</v>
      </c>
      <c r="BP5" s="3">
        <v>11199.848326684536</v>
      </c>
      <c r="BQ5" s="7" t="s">
        <v>113</v>
      </c>
      <c r="BR5" s="2" t="s">
        <v>41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7" t="s">
        <v>113</v>
      </c>
      <c r="BY5" s="2" t="s">
        <v>41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7" t="s">
        <v>113</v>
      </c>
      <c r="CF5" s="2" t="s">
        <v>41</v>
      </c>
      <c r="CG5" s="3">
        <v>358.37892647555702</v>
      </c>
      <c r="CH5" s="3">
        <v>0</v>
      </c>
      <c r="CI5" s="3">
        <v>0</v>
      </c>
      <c r="CJ5" s="3">
        <v>0</v>
      </c>
      <c r="CK5" s="3">
        <v>358.37892647555702</v>
      </c>
      <c r="CL5" s="7" t="s">
        <v>113</v>
      </c>
      <c r="CM5" s="2" t="s">
        <v>41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7" t="s">
        <v>113</v>
      </c>
      <c r="CT5" s="2" t="s">
        <v>41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7" t="s">
        <v>113</v>
      </c>
      <c r="DA5" s="2" t="s">
        <v>41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7" t="s">
        <v>113</v>
      </c>
      <c r="DH5" s="2" t="s">
        <v>41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7" t="s">
        <v>113</v>
      </c>
      <c r="DO5" s="2" t="s">
        <v>41</v>
      </c>
      <c r="DP5" s="3">
        <v>1170061.7356277651</v>
      </c>
      <c r="DQ5" s="3">
        <v>1297.1510516135509</v>
      </c>
      <c r="DR5" s="3">
        <v>0</v>
      </c>
      <c r="DS5" s="3">
        <v>0</v>
      </c>
      <c r="DT5" s="3">
        <v>1171358.8866793786</v>
      </c>
      <c r="DU5" s="7" t="s">
        <v>113</v>
      </c>
      <c r="DV5" s="2" t="s">
        <v>41</v>
      </c>
      <c r="DW5" s="3">
        <v>13065.719034105727</v>
      </c>
      <c r="DX5" s="3">
        <v>149615.72177912149</v>
      </c>
      <c r="DY5" s="3">
        <v>845105.54851249896</v>
      </c>
      <c r="DZ5" s="3">
        <v>0</v>
      </c>
      <c r="EA5" s="3">
        <v>1007786.9893257262</v>
      </c>
      <c r="EB5" s="7" t="s">
        <v>113</v>
      </c>
      <c r="EC5" s="2" t="s">
        <v>41</v>
      </c>
      <c r="ED5" s="3">
        <v>85593.071279424461</v>
      </c>
      <c r="EE5" s="3">
        <v>13458.206669269468</v>
      </c>
      <c r="EF5" s="3">
        <v>0</v>
      </c>
      <c r="EG5" s="3">
        <v>0</v>
      </c>
      <c r="EH5" s="3">
        <v>99051.277948693925</v>
      </c>
    </row>
    <row r="6" spans="1:138" ht="10.199999999999999" customHeight="1" x14ac:dyDescent="0.2">
      <c r="A6" s="7" t="s">
        <v>119</v>
      </c>
      <c r="B6" s="2" t="s">
        <v>47</v>
      </c>
      <c r="C6" s="3">
        <f t="shared" si="4"/>
        <v>0</v>
      </c>
      <c r="D6" s="3">
        <f t="shared" si="5"/>
        <v>7368.1848678186734</v>
      </c>
      <c r="E6" s="3">
        <f t="shared" si="6"/>
        <v>8633566.5425502248</v>
      </c>
      <c r="F6" s="3">
        <f t="shared" si="7"/>
        <v>3263811.1593519188</v>
      </c>
      <c r="G6" s="3">
        <f t="shared" si="8"/>
        <v>0</v>
      </c>
      <c r="H6" s="3">
        <f t="shared" si="9"/>
        <v>0</v>
      </c>
      <c r="I6" s="3">
        <f t="shared" si="10"/>
        <v>1489386.5958133903</v>
      </c>
      <c r="J6" s="3">
        <f t="shared" si="11"/>
        <v>0</v>
      </c>
      <c r="K6" s="3">
        <f t="shared" si="12"/>
        <v>636952.5372608488</v>
      </c>
      <c r="L6" s="3">
        <f t="shared" si="13"/>
        <v>1245.6219313587189</v>
      </c>
      <c r="M6" s="3">
        <f t="shared" si="14"/>
        <v>2402447.679835795</v>
      </c>
      <c r="N6" s="3">
        <f t="shared" si="15"/>
        <v>4449789.6891650967</v>
      </c>
      <c r="O6" s="3">
        <f t="shared" si="16"/>
        <v>20884568.010776453</v>
      </c>
      <c r="P6" s="7" t="s">
        <v>119</v>
      </c>
      <c r="Q6" s="2" t="s">
        <v>47</v>
      </c>
      <c r="R6" s="3">
        <f t="shared" si="17"/>
        <v>0</v>
      </c>
      <c r="S6" s="3">
        <f t="shared" si="17"/>
        <v>7368.1848678186734</v>
      </c>
      <c r="T6" s="3">
        <f t="shared" si="17"/>
        <v>8633566.5425502248</v>
      </c>
      <c r="U6" s="3">
        <f t="shared" si="17"/>
        <v>3263811.1593519188</v>
      </c>
      <c r="V6" s="3">
        <f t="shared" si="17"/>
        <v>0</v>
      </c>
      <c r="W6" s="3">
        <f t="shared" si="17"/>
        <v>0</v>
      </c>
      <c r="X6" s="3">
        <f t="shared" si="17"/>
        <v>1489386.5958133903</v>
      </c>
      <c r="Y6" s="3">
        <f t="shared" si="17"/>
        <v>0</v>
      </c>
      <c r="Z6" s="3">
        <f t="shared" si="17"/>
        <v>636952.5372608488</v>
      </c>
      <c r="AA6" s="3">
        <f t="shared" si="17"/>
        <v>1245.6219313587189</v>
      </c>
      <c r="AB6" s="3">
        <f t="shared" si="18"/>
        <v>14032330.64177556</v>
      </c>
      <c r="AC6" s="7" t="s">
        <v>119</v>
      </c>
      <c r="AD6" s="2" t="s">
        <v>47</v>
      </c>
      <c r="AE6" s="3">
        <f t="shared" si="19"/>
        <v>2402447.679835795</v>
      </c>
      <c r="AF6" s="3">
        <f t="shared" si="19"/>
        <v>4449789.6891650967</v>
      </c>
      <c r="AG6" s="3">
        <f t="shared" si="20"/>
        <v>6852237.3690008912</v>
      </c>
      <c r="AH6" s="7" t="s">
        <v>119</v>
      </c>
      <c r="AI6" s="2" t="s">
        <v>47</v>
      </c>
      <c r="AJ6" s="3">
        <f t="shared" si="21"/>
        <v>3403117.7186598182</v>
      </c>
      <c r="AK6" s="3">
        <f t="shared" si="1"/>
        <v>2277991.1406336208</v>
      </c>
      <c r="AL6" s="3">
        <f t="shared" si="1"/>
        <v>5808107.3257665914</v>
      </c>
      <c r="AM6" s="3">
        <f t="shared" si="1"/>
        <v>9395351.825716421</v>
      </c>
      <c r="AN6" s="3">
        <f t="shared" si="22"/>
        <v>20884568.010776453</v>
      </c>
      <c r="AO6" s="7" t="s">
        <v>119</v>
      </c>
      <c r="AP6" s="2" t="s">
        <v>47</v>
      </c>
      <c r="AQ6" s="3">
        <f t="shared" si="23"/>
        <v>1479998.7707737121</v>
      </c>
      <c r="AR6" s="3">
        <f t="shared" si="2"/>
        <v>963827.91715995478</v>
      </c>
      <c r="AS6" s="3">
        <f t="shared" si="2"/>
        <v>2637526.8766390868</v>
      </c>
      <c r="AT6" s="3">
        <f t="shared" si="2"/>
        <v>8950977.0772028062</v>
      </c>
      <c r="AU6" s="3">
        <f t="shared" si="24"/>
        <v>14032330.64177556</v>
      </c>
      <c r="AV6" s="7" t="s">
        <v>119</v>
      </c>
      <c r="AW6" s="2" t="s">
        <v>47</v>
      </c>
      <c r="AX6" s="3">
        <f t="shared" si="25"/>
        <v>1923118.9478861059</v>
      </c>
      <c r="AY6" s="3">
        <f t="shared" si="3"/>
        <v>1314163.223473666</v>
      </c>
      <c r="AZ6" s="3">
        <f t="shared" si="3"/>
        <v>3170580.4491275051</v>
      </c>
      <c r="BA6" s="3">
        <f t="shared" si="3"/>
        <v>444374.74851361453</v>
      </c>
      <c r="BB6" s="3">
        <f t="shared" si="26"/>
        <v>6852237.3690008912</v>
      </c>
      <c r="BC6" s="7" t="s">
        <v>119</v>
      </c>
      <c r="BD6" s="2" t="s">
        <v>47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7" t="s">
        <v>119</v>
      </c>
      <c r="BK6" s="2" t="s">
        <v>47</v>
      </c>
      <c r="BL6" s="3">
        <v>7368.1848678186734</v>
      </c>
      <c r="BM6" s="3">
        <v>0</v>
      </c>
      <c r="BN6" s="3">
        <v>0</v>
      </c>
      <c r="BO6" s="3">
        <v>0</v>
      </c>
      <c r="BP6" s="3">
        <v>7368.1848678186734</v>
      </c>
      <c r="BQ6" s="7" t="s">
        <v>119</v>
      </c>
      <c r="BR6" s="2" t="s">
        <v>47</v>
      </c>
      <c r="BS6" s="3">
        <v>0</v>
      </c>
      <c r="BT6" s="3">
        <v>0</v>
      </c>
      <c r="BU6" s="3">
        <v>0</v>
      </c>
      <c r="BV6" s="3">
        <v>8633566.5425502248</v>
      </c>
      <c r="BW6" s="3">
        <v>8633566.5425502248</v>
      </c>
      <c r="BX6" s="7" t="s">
        <v>119</v>
      </c>
      <c r="BY6" s="2" t="s">
        <v>47</v>
      </c>
      <c r="BZ6" s="3">
        <v>13600</v>
      </c>
      <c r="CA6" s="3">
        <v>295273.74806025031</v>
      </c>
      <c r="CB6" s="3">
        <v>2637526.8766390868</v>
      </c>
      <c r="CC6" s="3">
        <v>317410.53465258185</v>
      </c>
      <c r="CD6" s="3">
        <v>3263811.1593519188</v>
      </c>
      <c r="CE6" s="7" t="s">
        <v>119</v>
      </c>
      <c r="CF6" s="2" t="s">
        <v>47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7" t="s">
        <v>119</v>
      </c>
      <c r="CM6" s="2" t="s">
        <v>47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7" t="s">
        <v>119</v>
      </c>
      <c r="CT6" s="2" t="s">
        <v>47</v>
      </c>
      <c r="CU6" s="3">
        <v>1445349.6834788411</v>
      </c>
      <c r="CV6" s="3">
        <v>44036.912334549277</v>
      </c>
      <c r="CW6" s="3">
        <v>0</v>
      </c>
      <c r="CX6" s="3">
        <v>0</v>
      </c>
      <c r="CY6" s="3">
        <v>1489386.5958133903</v>
      </c>
      <c r="CZ6" s="7" t="s">
        <v>119</v>
      </c>
      <c r="DA6" s="2" t="s">
        <v>47</v>
      </c>
      <c r="DB6" s="3">
        <v>12435.280495693705</v>
      </c>
      <c r="DC6" s="3">
        <v>624517.25676515512</v>
      </c>
      <c r="DD6" s="3">
        <v>0</v>
      </c>
      <c r="DE6" s="3">
        <v>0</v>
      </c>
      <c r="DF6" s="3">
        <v>636952.5372608488</v>
      </c>
      <c r="DG6" s="7" t="s">
        <v>119</v>
      </c>
      <c r="DH6" s="2" t="s">
        <v>47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7" t="s">
        <v>119</v>
      </c>
      <c r="DO6" s="2" t="s">
        <v>47</v>
      </c>
      <c r="DP6" s="3">
        <v>1245.6219313587189</v>
      </c>
      <c r="DQ6" s="3">
        <v>0</v>
      </c>
      <c r="DR6" s="3">
        <v>0</v>
      </c>
      <c r="DS6" s="3">
        <v>0</v>
      </c>
      <c r="DT6" s="3">
        <v>1245.6219313587189</v>
      </c>
      <c r="DU6" s="7" t="s">
        <v>119</v>
      </c>
      <c r="DV6" s="2" t="s">
        <v>47</v>
      </c>
      <c r="DW6" s="3">
        <v>506188.58634641737</v>
      </c>
      <c r="DX6" s="3">
        <v>343568.24177239189</v>
      </c>
      <c r="DY6" s="3">
        <v>3155658.1125326725</v>
      </c>
      <c r="DZ6" s="3">
        <v>444374.74851361453</v>
      </c>
      <c r="EA6" s="3">
        <v>4449789.6891650967</v>
      </c>
      <c r="EB6" s="7" t="s">
        <v>119</v>
      </c>
      <c r="EC6" s="2" t="s">
        <v>47</v>
      </c>
      <c r="ED6" s="3">
        <v>1416930.3615396884</v>
      </c>
      <c r="EE6" s="3">
        <v>970594.98170127405</v>
      </c>
      <c r="EF6" s="3">
        <v>14922.336594832446</v>
      </c>
      <c r="EG6" s="3">
        <v>0</v>
      </c>
      <c r="EH6" s="3">
        <v>2402447.679835795</v>
      </c>
    </row>
    <row r="7" spans="1:138" ht="10.199999999999999" customHeight="1" x14ac:dyDescent="0.2">
      <c r="A7" s="7" t="s">
        <v>121</v>
      </c>
      <c r="B7" s="2" t="s">
        <v>49</v>
      </c>
      <c r="C7" s="3">
        <f t="shared" si="4"/>
        <v>0</v>
      </c>
      <c r="D7" s="3">
        <f t="shared" si="5"/>
        <v>2937.8399843684419</v>
      </c>
      <c r="E7" s="3">
        <f t="shared" si="6"/>
        <v>17770121.227543816</v>
      </c>
      <c r="F7" s="3">
        <f t="shared" si="7"/>
        <v>364724.51688597252</v>
      </c>
      <c r="G7" s="3">
        <f t="shared" si="8"/>
        <v>40777.654071737117</v>
      </c>
      <c r="H7" s="3">
        <f t="shared" si="9"/>
        <v>0</v>
      </c>
      <c r="I7" s="3">
        <f t="shared" si="10"/>
        <v>6931386.6265399074</v>
      </c>
      <c r="J7" s="3">
        <f t="shared" si="11"/>
        <v>0</v>
      </c>
      <c r="K7" s="3">
        <f t="shared" si="12"/>
        <v>9581.7724519221319</v>
      </c>
      <c r="L7" s="3">
        <f t="shared" si="13"/>
        <v>15145.43556006675</v>
      </c>
      <c r="M7" s="3">
        <f t="shared" si="14"/>
        <v>2256928.6950131133</v>
      </c>
      <c r="N7" s="3">
        <f t="shared" si="15"/>
        <v>407266.79869937553</v>
      </c>
      <c r="O7" s="3">
        <f t="shared" si="16"/>
        <v>27798870.566750281</v>
      </c>
      <c r="P7" s="7" t="s">
        <v>121</v>
      </c>
      <c r="Q7" s="2" t="s">
        <v>49</v>
      </c>
      <c r="R7" s="3">
        <f t="shared" si="17"/>
        <v>0</v>
      </c>
      <c r="S7" s="3">
        <f t="shared" si="17"/>
        <v>2937.8399843684419</v>
      </c>
      <c r="T7" s="3">
        <f t="shared" si="17"/>
        <v>17770121.227543816</v>
      </c>
      <c r="U7" s="3">
        <f t="shared" si="17"/>
        <v>364724.51688597252</v>
      </c>
      <c r="V7" s="3">
        <f t="shared" si="17"/>
        <v>40777.654071737117</v>
      </c>
      <c r="W7" s="3">
        <f t="shared" si="17"/>
        <v>0</v>
      </c>
      <c r="X7" s="3">
        <f t="shared" si="17"/>
        <v>6931386.6265399074</v>
      </c>
      <c r="Y7" s="3">
        <f t="shared" si="17"/>
        <v>0</v>
      </c>
      <c r="Z7" s="3">
        <f t="shared" si="17"/>
        <v>9581.7724519221319</v>
      </c>
      <c r="AA7" s="3">
        <f t="shared" si="17"/>
        <v>15145.43556006675</v>
      </c>
      <c r="AB7" s="3">
        <f t="shared" si="18"/>
        <v>25134675.073037792</v>
      </c>
      <c r="AC7" s="7" t="s">
        <v>121</v>
      </c>
      <c r="AD7" s="2" t="s">
        <v>49</v>
      </c>
      <c r="AE7" s="3">
        <f t="shared" si="19"/>
        <v>2256928.6950131133</v>
      </c>
      <c r="AF7" s="3">
        <f t="shared" si="19"/>
        <v>407266.79869937553</v>
      </c>
      <c r="AG7" s="3">
        <f t="shared" si="20"/>
        <v>2664195.493712489</v>
      </c>
      <c r="AH7" s="7" t="s">
        <v>121</v>
      </c>
      <c r="AI7" s="2" t="s">
        <v>49</v>
      </c>
      <c r="AJ7" s="3">
        <f t="shared" si="21"/>
        <v>5107182.7679470107</v>
      </c>
      <c r="AK7" s="3">
        <f t="shared" si="1"/>
        <v>22278627.454820916</v>
      </c>
      <c r="AL7" s="3">
        <f t="shared" si="1"/>
        <v>413060.34398235322</v>
      </c>
      <c r="AM7" s="3">
        <f t="shared" si="1"/>
        <v>0</v>
      </c>
      <c r="AN7" s="3">
        <f t="shared" si="22"/>
        <v>27798870.566750281</v>
      </c>
      <c r="AO7" s="7" t="s">
        <v>121</v>
      </c>
      <c r="AP7" s="2" t="s">
        <v>49</v>
      </c>
      <c r="AQ7" s="3">
        <f t="shared" si="23"/>
        <v>3963432.7418674319</v>
      </c>
      <c r="AR7" s="3">
        <f t="shared" si="2"/>
        <v>20777987.249742072</v>
      </c>
      <c r="AS7" s="3">
        <f t="shared" si="2"/>
        <v>393255.08142828965</v>
      </c>
      <c r="AT7" s="3">
        <f t="shared" si="2"/>
        <v>0</v>
      </c>
      <c r="AU7" s="3">
        <f t="shared" si="24"/>
        <v>25134675.073037792</v>
      </c>
      <c r="AV7" s="7" t="s">
        <v>121</v>
      </c>
      <c r="AW7" s="2" t="s">
        <v>49</v>
      </c>
      <c r="AX7" s="3">
        <f t="shared" si="25"/>
        <v>1143750.0260795793</v>
      </c>
      <c r="AY7" s="3">
        <f t="shared" si="3"/>
        <v>1500640.2050788458</v>
      </c>
      <c r="AZ7" s="3">
        <f t="shared" si="3"/>
        <v>19805.262554063596</v>
      </c>
      <c r="BA7" s="3">
        <f t="shared" si="3"/>
        <v>0</v>
      </c>
      <c r="BB7" s="3">
        <f t="shared" si="26"/>
        <v>2664195.4937124886</v>
      </c>
      <c r="BC7" s="7" t="s">
        <v>121</v>
      </c>
      <c r="BD7" s="2" t="s">
        <v>49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7" t="s">
        <v>121</v>
      </c>
      <c r="BK7" s="2" t="s">
        <v>49</v>
      </c>
      <c r="BL7" s="3">
        <v>2937.8399843684419</v>
      </c>
      <c r="BM7" s="3">
        <v>0</v>
      </c>
      <c r="BN7" s="3">
        <v>0</v>
      </c>
      <c r="BO7" s="3">
        <v>0</v>
      </c>
      <c r="BP7" s="3">
        <v>2937.8399843684419</v>
      </c>
      <c r="BQ7" s="7" t="s">
        <v>121</v>
      </c>
      <c r="BR7" s="2" t="s">
        <v>49</v>
      </c>
      <c r="BS7" s="3">
        <v>1269.642138610327</v>
      </c>
      <c r="BT7" s="3">
        <v>17392191.084284142</v>
      </c>
      <c r="BU7" s="3">
        <v>376660.50112106372</v>
      </c>
      <c r="BV7" s="3">
        <v>0</v>
      </c>
      <c r="BW7" s="3">
        <v>17770121.227543816</v>
      </c>
      <c r="BX7" s="7" t="s">
        <v>121</v>
      </c>
      <c r="BY7" s="2" t="s">
        <v>49</v>
      </c>
      <c r="BZ7" s="3">
        <v>357741.48512361571</v>
      </c>
      <c r="CA7" s="3">
        <v>6983.0317623567998</v>
      </c>
      <c r="CB7" s="3">
        <v>0</v>
      </c>
      <c r="CC7" s="3">
        <v>0</v>
      </c>
      <c r="CD7" s="3">
        <v>364724.51688597252</v>
      </c>
      <c r="CE7" s="7" t="s">
        <v>121</v>
      </c>
      <c r="CF7" s="2" t="s">
        <v>49</v>
      </c>
      <c r="CG7" s="3">
        <v>12541.454320987654</v>
      </c>
      <c r="CH7" s="3">
        <v>23999.469592664067</v>
      </c>
      <c r="CI7" s="3">
        <v>4236.7301580853991</v>
      </c>
      <c r="CJ7" s="3">
        <v>0</v>
      </c>
      <c r="CK7" s="3">
        <v>40777.654071737117</v>
      </c>
      <c r="CL7" s="7" t="s">
        <v>121</v>
      </c>
      <c r="CM7" s="2" t="s">
        <v>49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7" t="s">
        <v>121</v>
      </c>
      <c r="CT7" s="2" t="s">
        <v>49</v>
      </c>
      <c r="CU7" s="3">
        <v>3568007.1101418436</v>
      </c>
      <c r="CV7" s="3">
        <v>3351021.6662489236</v>
      </c>
      <c r="CW7" s="3">
        <v>12357.850149140519</v>
      </c>
      <c r="CX7" s="3">
        <v>0</v>
      </c>
      <c r="CY7" s="3">
        <v>6931386.6265399074</v>
      </c>
      <c r="CZ7" s="7" t="s">
        <v>121</v>
      </c>
      <c r="DA7" s="2" t="s">
        <v>49</v>
      </c>
      <c r="DB7" s="3">
        <v>9581.7724519221319</v>
      </c>
      <c r="DC7" s="3">
        <v>0</v>
      </c>
      <c r="DD7" s="3">
        <v>0</v>
      </c>
      <c r="DE7" s="3">
        <v>0</v>
      </c>
      <c r="DF7" s="3">
        <v>9581.7724519221319</v>
      </c>
      <c r="DG7" s="7" t="s">
        <v>121</v>
      </c>
      <c r="DH7" s="2" t="s">
        <v>49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7" t="s">
        <v>121</v>
      </c>
      <c r="DO7" s="2" t="s">
        <v>49</v>
      </c>
      <c r="DP7" s="3">
        <v>11353.437706083905</v>
      </c>
      <c r="DQ7" s="3">
        <v>3791.9978539828439</v>
      </c>
      <c r="DR7" s="3">
        <v>0</v>
      </c>
      <c r="DS7" s="3">
        <v>0</v>
      </c>
      <c r="DT7" s="3">
        <v>15145.43556006675</v>
      </c>
      <c r="DU7" s="7" t="s">
        <v>121</v>
      </c>
      <c r="DV7" s="2" t="s">
        <v>49</v>
      </c>
      <c r="DW7" s="3">
        <v>329088.75389064226</v>
      </c>
      <c r="DX7" s="3">
        <v>58372.782254669677</v>
      </c>
      <c r="DY7" s="3">
        <v>19805.262554063596</v>
      </c>
      <c r="DZ7" s="3">
        <v>0</v>
      </c>
      <c r="EA7" s="3">
        <v>407266.79869937553</v>
      </c>
      <c r="EB7" s="7" t="s">
        <v>121</v>
      </c>
      <c r="EC7" s="2" t="s">
        <v>49</v>
      </c>
      <c r="ED7" s="3">
        <v>814661.27218893706</v>
      </c>
      <c r="EE7" s="3">
        <v>1442267.4228241763</v>
      </c>
      <c r="EF7" s="3">
        <v>0</v>
      </c>
      <c r="EG7" s="3">
        <v>0</v>
      </c>
      <c r="EH7" s="3">
        <v>2256928.6950131133</v>
      </c>
    </row>
    <row r="8" spans="1:138" ht="10.199999999999999" customHeight="1" x14ac:dyDescent="0.2">
      <c r="A8" s="7" t="s">
        <v>95</v>
      </c>
      <c r="B8" s="2" t="s">
        <v>23</v>
      </c>
      <c r="C8" s="3">
        <f t="shared" si="4"/>
        <v>0</v>
      </c>
      <c r="D8" s="3">
        <f t="shared" si="5"/>
        <v>2464.2946275721761</v>
      </c>
      <c r="E8" s="3">
        <f t="shared" si="6"/>
        <v>0</v>
      </c>
      <c r="F8" s="3">
        <f t="shared" si="7"/>
        <v>0</v>
      </c>
      <c r="G8" s="3">
        <f t="shared" si="8"/>
        <v>31618.467442437515</v>
      </c>
      <c r="H8" s="3">
        <f t="shared" si="9"/>
        <v>0</v>
      </c>
      <c r="I8" s="3">
        <f t="shared" si="10"/>
        <v>102547.27542874121</v>
      </c>
      <c r="J8" s="3">
        <f t="shared" si="11"/>
        <v>17983731.058181699</v>
      </c>
      <c r="K8" s="3">
        <f t="shared" si="12"/>
        <v>0</v>
      </c>
      <c r="L8" s="3">
        <f t="shared" si="13"/>
        <v>2752.0801789905172</v>
      </c>
      <c r="M8" s="3">
        <f t="shared" si="14"/>
        <v>711954.43881225167</v>
      </c>
      <c r="N8" s="3">
        <f t="shared" si="15"/>
        <v>508288.97466192505</v>
      </c>
      <c r="O8" s="3">
        <f t="shared" si="16"/>
        <v>19343356.589333616</v>
      </c>
      <c r="P8" s="7" t="s">
        <v>95</v>
      </c>
      <c r="Q8" s="2" t="s">
        <v>23</v>
      </c>
      <c r="R8" s="3">
        <f t="shared" si="17"/>
        <v>0</v>
      </c>
      <c r="S8" s="3">
        <f t="shared" si="17"/>
        <v>2464.2946275721761</v>
      </c>
      <c r="T8" s="3">
        <f t="shared" si="17"/>
        <v>0</v>
      </c>
      <c r="U8" s="3">
        <f t="shared" si="17"/>
        <v>0</v>
      </c>
      <c r="V8" s="3">
        <f t="shared" si="17"/>
        <v>31618.467442437515</v>
      </c>
      <c r="W8" s="3">
        <f t="shared" si="17"/>
        <v>0</v>
      </c>
      <c r="X8" s="3">
        <f t="shared" si="17"/>
        <v>102547.27542874121</v>
      </c>
      <c r="Y8" s="3">
        <f t="shared" si="17"/>
        <v>17983731.058181699</v>
      </c>
      <c r="Z8" s="3">
        <f t="shared" si="17"/>
        <v>0</v>
      </c>
      <c r="AA8" s="3">
        <f t="shared" si="17"/>
        <v>2752.0801789905172</v>
      </c>
      <c r="AB8" s="3">
        <f t="shared" si="18"/>
        <v>18123113.17585944</v>
      </c>
      <c r="AC8" s="7" t="s">
        <v>95</v>
      </c>
      <c r="AD8" s="2" t="s">
        <v>23</v>
      </c>
      <c r="AE8" s="3">
        <f t="shared" si="19"/>
        <v>711954.43881225167</v>
      </c>
      <c r="AF8" s="3">
        <f t="shared" si="19"/>
        <v>508288.97466192505</v>
      </c>
      <c r="AG8" s="3">
        <f t="shared" si="20"/>
        <v>1220243.4134741768</v>
      </c>
      <c r="AH8" s="7" t="s">
        <v>95</v>
      </c>
      <c r="AI8" s="2" t="s">
        <v>23</v>
      </c>
      <c r="AJ8" s="3">
        <f t="shared" si="21"/>
        <v>18474814.80732435</v>
      </c>
      <c r="AK8" s="3">
        <f t="shared" si="1"/>
        <v>476931.97595973662</v>
      </c>
      <c r="AL8" s="3">
        <f t="shared" si="1"/>
        <v>391609.80604952871</v>
      </c>
      <c r="AM8" s="3">
        <f t="shared" si="1"/>
        <v>0</v>
      </c>
      <c r="AN8" s="3">
        <f t="shared" si="22"/>
        <v>19343356.589333616</v>
      </c>
      <c r="AO8" s="7" t="s">
        <v>95</v>
      </c>
      <c r="AP8" s="2" t="s">
        <v>23</v>
      </c>
      <c r="AQ8" s="3">
        <f t="shared" si="23"/>
        <v>17694757.509787749</v>
      </c>
      <c r="AR8" s="3">
        <f t="shared" si="2"/>
        <v>45346.954257575198</v>
      </c>
      <c r="AS8" s="3">
        <f t="shared" si="2"/>
        <v>383008.71181411535</v>
      </c>
      <c r="AT8" s="3">
        <f t="shared" si="2"/>
        <v>0</v>
      </c>
      <c r="AU8" s="3">
        <f t="shared" si="24"/>
        <v>18123113.17585944</v>
      </c>
      <c r="AV8" s="7" t="s">
        <v>95</v>
      </c>
      <c r="AW8" s="2" t="s">
        <v>23</v>
      </c>
      <c r="AX8" s="3">
        <f t="shared" si="25"/>
        <v>780057.29753660189</v>
      </c>
      <c r="AY8" s="3">
        <f t="shared" si="3"/>
        <v>431585.02170216141</v>
      </c>
      <c r="AZ8" s="3">
        <f t="shared" si="3"/>
        <v>8601.0942354133695</v>
      </c>
      <c r="BA8" s="3">
        <f t="shared" si="3"/>
        <v>0</v>
      </c>
      <c r="BB8" s="3">
        <f t="shared" si="26"/>
        <v>1220243.4134741768</v>
      </c>
      <c r="BC8" s="7" t="s">
        <v>95</v>
      </c>
      <c r="BD8" s="2" t="s">
        <v>23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7" t="s">
        <v>95</v>
      </c>
      <c r="BK8" s="2" t="s">
        <v>23</v>
      </c>
      <c r="BL8" s="3">
        <v>0</v>
      </c>
      <c r="BM8" s="3">
        <v>348.22439655496436</v>
      </c>
      <c r="BN8" s="3">
        <v>2116.0702310172119</v>
      </c>
      <c r="BO8" s="3">
        <v>0</v>
      </c>
      <c r="BP8" s="3">
        <v>2464.2946275721761</v>
      </c>
      <c r="BQ8" s="7" t="s">
        <v>95</v>
      </c>
      <c r="BR8" s="2" t="s">
        <v>23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7" t="s">
        <v>95</v>
      </c>
      <c r="BY8" s="2" t="s">
        <v>23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7" t="s">
        <v>95</v>
      </c>
      <c r="CF8" s="2" t="s">
        <v>23</v>
      </c>
      <c r="CG8" s="3">
        <v>7742.7288907056027</v>
      </c>
      <c r="CH8" s="3">
        <v>23875.738551731913</v>
      </c>
      <c r="CI8" s="3">
        <v>0</v>
      </c>
      <c r="CJ8" s="3">
        <v>0</v>
      </c>
      <c r="CK8" s="3">
        <v>31618.467442437515</v>
      </c>
      <c r="CL8" s="7" t="s">
        <v>95</v>
      </c>
      <c r="CM8" s="2" t="s">
        <v>23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7" t="s">
        <v>95</v>
      </c>
      <c r="CT8" s="2" t="s">
        <v>23</v>
      </c>
      <c r="CU8" s="3">
        <v>84176.364298443397</v>
      </c>
      <c r="CV8" s="3">
        <v>18370.911130297805</v>
      </c>
      <c r="CW8" s="3">
        <v>0</v>
      </c>
      <c r="CX8" s="3">
        <v>0</v>
      </c>
      <c r="CY8" s="3">
        <v>102547.27542874121</v>
      </c>
      <c r="CZ8" s="7" t="s">
        <v>95</v>
      </c>
      <c r="DA8" s="2" t="s">
        <v>23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7" t="s">
        <v>95</v>
      </c>
      <c r="DH8" s="2" t="s">
        <v>23</v>
      </c>
      <c r="DI8" s="3">
        <v>17602838.416598599</v>
      </c>
      <c r="DJ8" s="3">
        <v>0</v>
      </c>
      <c r="DK8" s="3">
        <v>380892.64158309816</v>
      </c>
      <c r="DL8" s="3">
        <v>0</v>
      </c>
      <c r="DM8" s="3">
        <v>17983731.058181699</v>
      </c>
      <c r="DN8" s="7" t="s">
        <v>95</v>
      </c>
      <c r="DO8" s="2" t="s">
        <v>23</v>
      </c>
      <c r="DP8" s="3">
        <v>0</v>
      </c>
      <c r="DQ8" s="3">
        <v>2752.0801789905172</v>
      </c>
      <c r="DR8" s="3">
        <v>0</v>
      </c>
      <c r="DS8" s="3">
        <v>0</v>
      </c>
      <c r="DT8" s="3">
        <v>2752.0801789905172</v>
      </c>
      <c r="DU8" s="7" t="s">
        <v>95</v>
      </c>
      <c r="DV8" s="2" t="s">
        <v>23</v>
      </c>
      <c r="DW8" s="3">
        <v>130995.03171359583</v>
      </c>
      <c r="DX8" s="3">
        <v>371559.88012472028</v>
      </c>
      <c r="DY8" s="3">
        <v>5734.0628236089124</v>
      </c>
      <c r="DZ8" s="3">
        <v>0</v>
      </c>
      <c r="EA8" s="3">
        <v>508288.97466192505</v>
      </c>
      <c r="EB8" s="7" t="s">
        <v>95</v>
      </c>
      <c r="EC8" s="2" t="s">
        <v>23</v>
      </c>
      <c r="ED8" s="3">
        <v>649062.26582300605</v>
      </c>
      <c r="EE8" s="3">
        <v>60025.141577441158</v>
      </c>
      <c r="EF8" s="3">
        <v>2867.0314118044562</v>
      </c>
      <c r="EG8" s="3">
        <v>0</v>
      </c>
      <c r="EH8" s="3">
        <v>711954.43881225167</v>
      </c>
    </row>
    <row r="9" spans="1:138" ht="10.199999999999999" customHeight="1" x14ac:dyDescent="0.2">
      <c r="A9" s="7" t="s">
        <v>101</v>
      </c>
      <c r="B9" s="2" t="s">
        <v>29</v>
      </c>
      <c r="C9" s="3">
        <f t="shared" si="4"/>
        <v>0</v>
      </c>
      <c r="D9" s="3">
        <f t="shared" si="5"/>
        <v>10566.166773609664</v>
      </c>
      <c r="E9" s="3">
        <f t="shared" si="6"/>
        <v>0</v>
      </c>
      <c r="F9" s="3">
        <f t="shared" si="7"/>
        <v>0</v>
      </c>
      <c r="G9" s="3">
        <f t="shared" si="8"/>
        <v>18.8621548133939</v>
      </c>
      <c r="H9" s="3">
        <f t="shared" si="9"/>
        <v>0</v>
      </c>
      <c r="I9" s="3">
        <f t="shared" si="10"/>
        <v>2389.9425558956991</v>
      </c>
      <c r="J9" s="3">
        <f t="shared" si="11"/>
        <v>1306.8478870137151</v>
      </c>
      <c r="K9" s="3">
        <f t="shared" si="12"/>
        <v>0</v>
      </c>
      <c r="L9" s="3">
        <f t="shared" si="13"/>
        <v>30123.395681170678</v>
      </c>
      <c r="M9" s="3">
        <f t="shared" si="14"/>
        <v>359542.48125992791</v>
      </c>
      <c r="N9" s="3">
        <f t="shared" si="15"/>
        <v>159835.05599242053</v>
      </c>
      <c r="O9" s="3">
        <f t="shared" si="16"/>
        <v>563782.75230485154</v>
      </c>
      <c r="P9" s="7" t="s">
        <v>101</v>
      </c>
      <c r="Q9" s="2" t="s">
        <v>29</v>
      </c>
      <c r="R9" s="3">
        <f t="shared" si="17"/>
        <v>0</v>
      </c>
      <c r="S9" s="3">
        <f t="shared" si="17"/>
        <v>10566.166773609664</v>
      </c>
      <c r="T9" s="3">
        <f t="shared" si="17"/>
        <v>0</v>
      </c>
      <c r="U9" s="3">
        <f t="shared" si="17"/>
        <v>0</v>
      </c>
      <c r="V9" s="3">
        <f t="shared" si="17"/>
        <v>18.8621548133939</v>
      </c>
      <c r="W9" s="3">
        <f t="shared" si="17"/>
        <v>0</v>
      </c>
      <c r="X9" s="3">
        <f t="shared" si="17"/>
        <v>2389.9425558956991</v>
      </c>
      <c r="Y9" s="3">
        <f t="shared" si="17"/>
        <v>1306.8478870137151</v>
      </c>
      <c r="Z9" s="3">
        <f t="shared" si="17"/>
        <v>0</v>
      </c>
      <c r="AA9" s="3">
        <f t="shared" si="17"/>
        <v>30123.395681170678</v>
      </c>
      <c r="AB9" s="3">
        <f t="shared" si="18"/>
        <v>44405.215052503147</v>
      </c>
      <c r="AC9" s="7" t="s">
        <v>101</v>
      </c>
      <c r="AD9" s="2" t="s">
        <v>29</v>
      </c>
      <c r="AE9" s="3">
        <f t="shared" si="19"/>
        <v>359542.48125992791</v>
      </c>
      <c r="AF9" s="3">
        <f t="shared" si="19"/>
        <v>159835.05599242053</v>
      </c>
      <c r="AG9" s="3">
        <f t="shared" si="20"/>
        <v>519377.53725234844</v>
      </c>
      <c r="AH9" s="7" t="s">
        <v>101</v>
      </c>
      <c r="AI9" s="2" t="s">
        <v>29</v>
      </c>
      <c r="AJ9" s="3">
        <f t="shared" si="21"/>
        <v>201954.55950694162</v>
      </c>
      <c r="AK9" s="3">
        <f t="shared" si="1"/>
        <v>361828.19279790996</v>
      </c>
      <c r="AL9" s="3">
        <f t="shared" si="1"/>
        <v>0</v>
      </c>
      <c r="AM9" s="3">
        <f t="shared" si="1"/>
        <v>0</v>
      </c>
      <c r="AN9" s="3">
        <f t="shared" si="22"/>
        <v>563782.75230485154</v>
      </c>
      <c r="AO9" s="7" t="s">
        <v>101</v>
      </c>
      <c r="AP9" s="2" t="s">
        <v>29</v>
      </c>
      <c r="AQ9" s="3">
        <f t="shared" si="23"/>
        <v>10871.319593602295</v>
      </c>
      <c r="AR9" s="3">
        <f t="shared" si="2"/>
        <v>33533.895458900857</v>
      </c>
      <c r="AS9" s="3">
        <f t="shared" si="2"/>
        <v>0</v>
      </c>
      <c r="AT9" s="3">
        <f t="shared" si="2"/>
        <v>0</v>
      </c>
      <c r="AU9" s="3">
        <f t="shared" si="24"/>
        <v>44405.215052503154</v>
      </c>
      <c r="AV9" s="7" t="s">
        <v>101</v>
      </c>
      <c r="AW9" s="2" t="s">
        <v>29</v>
      </c>
      <c r="AX9" s="3">
        <f t="shared" si="25"/>
        <v>191083.23991333932</v>
      </c>
      <c r="AY9" s="3">
        <f t="shared" si="3"/>
        <v>328294.29733900912</v>
      </c>
      <c r="AZ9" s="3">
        <f t="shared" si="3"/>
        <v>0</v>
      </c>
      <c r="BA9" s="3">
        <f t="shared" si="3"/>
        <v>0</v>
      </c>
      <c r="BB9" s="3">
        <f t="shared" si="26"/>
        <v>519377.53725234844</v>
      </c>
      <c r="BC9" s="7" t="s">
        <v>101</v>
      </c>
      <c r="BD9" s="2" t="s">
        <v>29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7" t="s">
        <v>101</v>
      </c>
      <c r="BK9" s="2" t="s">
        <v>29</v>
      </c>
      <c r="BL9" s="3">
        <v>7277.5761873645324</v>
      </c>
      <c r="BM9" s="3">
        <v>3288.5905862451318</v>
      </c>
      <c r="BN9" s="3">
        <v>0</v>
      </c>
      <c r="BO9" s="3">
        <v>0</v>
      </c>
      <c r="BP9" s="3">
        <v>10566.166773609664</v>
      </c>
      <c r="BQ9" s="7" t="s">
        <v>101</v>
      </c>
      <c r="BR9" s="2" t="s">
        <v>29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7" t="s">
        <v>101</v>
      </c>
      <c r="BY9" s="2" t="s">
        <v>29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7" t="s">
        <v>101</v>
      </c>
      <c r="CF9" s="2" t="s">
        <v>29</v>
      </c>
      <c r="CG9" s="3">
        <v>18.8621548133939</v>
      </c>
      <c r="CH9" s="3">
        <v>0</v>
      </c>
      <c r="CI9" s="3">
        <v>0</v>
      </c>
      <c r="CJ9" s="3">
        <v>0</v>
      </c>
      <c r="CK9" s="3">
        <v>18.8621548133939</v>
      </c>
      <c r="CL9" s="7" t="s">
        <v>101</v>
      </c>
      <c r="CM9" s="2" t="s">
        <v>29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7" t="s">
        <v>101</v>
      </c>
      <c r="CT9" s="2" t="s">
        <v>29</v>
      </c>
      <c r="CU9" s="3">
        <v>1546.4145063263284</v>
      </c>
      <c r="CV9" s="3">
        <v>843.52804956937052</v>
      </c>
      <c r="CW9" s="3">
        <v>0</v>
      </c>
      <c r="CX9" s="3">
        <v>0</v>
      </c>
      <c r="CY9" s="3">
        <v>2389.9425558956991</v>
      </c>
      <c r="CZ9" s="7" t="s">
        <v>101</v>
      </c>
      <c r="DA9" s="2" t="s">
        <v>29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7" t="s">
        <v>101</v>
      </c>
      <c r="DH9" s="2" t="s">
        <v>29</v>
      </c>
      <c r="DI9" s="3">
        <v>0</v>
      </c>
      <c r="DJ9" s="3">
        <v>1306.8478870137151</v>
      </c>
      <c r="DK9" s="3">
        <v>0</v>
      </c>
      <c r="DL9" s="3">
        <v>0</v>
      </c>
      <c r="DM9" s="3">
        <v>1306.8478870137151</v>
      </c>
      <c r="DN9" s="7" t="s">
        <v>101</v>
      </c>
      <c r="DO9" s="2" t="s">
        <v>29</v>
      </c>
      <c r="DP9" s="3">
        <v>2028.4667450980389</v>
      </c>
      <c r="DQ9" s="3">
        <v>28094.92893607264</v>
      </c>
      <c r="DR9" s="3">
        <v>0</v>
      </c>
      <c r="DS9" s="3">
        <v>0</v>
      </c>
      <c r="DT9" s="3">
        <v>30123.395681170678</v>
      </c>
      <c r="DU9" s="7" t="s">
        <v>101</v>
      </c>
      <c r="DV9" s="2" t="s">
        <v>29</v>
      </c>
      <c r="DW9" s="3">
        <v>28434.051717694572</v>
      </c>
      <c r="DX9" s="3">
        <v>131401.00427472597</v>
      </c>
      <c r="DY9" s="3">
        <v>0</v>
      </c>
      <c r="DZ9" s="3">
        <v>0</v>
      </c>
      <c r="EA9" s="3">
        <v>159835.05599242053</v>
      </c>
      <c r="EB9" s="7" t="s">
        <v>101</v>
      </c>
      <c r="EC9" s="2" t="s">
        <v>29</v>
      </c>
      <c r="ED9" s="3">
        <v>162649.18819564476</v>
      </c>
      <c r="EE9" s="3">
        <v>196893.29306428315</v>
      </c>
      <c r="EF9" s="3">
        <v>0</v>
      </c>
      <c r="EG9" s="3">
        <v>0</v>
      </c>
      <c r="EH9" s="3">
        <v>359542.48125992791</v>
      </c>
    </row>
    <row r="10" spans="1:138" ht="10.199999999999999" customHeight="1" x14ac:dyDescent="0.2">
      <c r="A10" s="7" t="s">
        <v>106</v>
      </c>
      <c r="B10" s="2" t="s">
        <v>34</v>
      </c>
      <c r="C10" s="3">
        <f t="shared" si="4"/>
        <v>0</v>
      </c>
      <c r="D10" s="3">
        <f t="shared" si="5"/>
        <v>1881.3788053952944</v>
      </c>
      <c r="E10" s="3">
        <f t="shared" si="6"/>
        <v>18574923.933987312</v>
      </c>
      <c r="F10" s="3">
        <f t="shared" si="7"/>
        <v>304636.88358152041</v>
      </c>
      <c r="G10" s="3">
        <f t="shared" si="8"/>
        <v>3556.3072055580528</v>
      </c>
      <c r="H10" s="3">
        <f t="shared" si="9"/>
        <v>0</v>
      </c>
      <c r="I10" s="3">
        <f t="shared" si="10"/>
        <v>13061.01111606256</v>
      </c>
      <c r="J10" s="3">
        <f t="shared" si="11"/>
        <v>2301909.6390936626</v>
      </c>
      <c r="K10" s="3">
        <f t="shared" si="12"/>
        <v>6436.1746055166168</v>
      </c>
      <c r="L10" s="3">
        <f t="shared" si="13"/>
        <v>310377.82523328741</v>
      </c>
      <c r="M10" s="3">
        <f t="shared" si="14"/>
        <v>107539.09874976528</v>
      </c>
      <c r="N10" s="3">
        <f t="shared" si="15"/>
        <v>3892881.0831016498</v>
      </c>
      <c r="O10" s="3">
        <f t="shared" si="16"/>
        <v>25517203.335479725</v>
      </c>
      <c r="P10" s="7" t="s">
        <v>106</v>
      </c>
      <c r="Q10" s="2" t="s">
        <v>34</v>
      </c>
      <c r="R10" s="3">
        <f t="shared" si="17"/>
        <v>0</v>
      </c>
      <c r="S10" s="3">
        <f t="shared" si="17"/>
        <v>1881.3788053952944</v>
      </c>
      <c r="T10" s="3">
        <f t="shared" si="17"/>
        <v>18574923.933987312</v>
      </c>
      <c r="U10" s="3">
        <f t="shared" si="17"/>
        <v>304636.88358152041</v>
      </c>
      <c r="V10" s="3">
        <f t="shared" si="17"/>
        <v>3556.3072055580528</v>
      </c>
      <c r="W10" s="3">
        <f t="shared" si="17"/>
        <v>0</v>
      </c>
      <c r="X10" s="3">
        <f t="shared" si="17"/>
        <v>13061.01111606256</v>
      </c>
      <c r="Y10" s="3">
        <f t="shared" si="17"/>
        <v>2301909.6390936626</v>
      </c>
      <c r="Z10" s="3">
        <f t="shared" si="17"/>
        <v>6436.1746055166168</v>
      </c>
      <c r="AA10" s="3">
        <f t="shared" si="17"/>
        <v>310377.82523328741</v>
      </c>
      <c r="AB10" s="3">
        <f t="shared" si="18"/>
        <v>21516783.153628312</v>
      </c>
      <c r="AC10" s="7" t="s">
        <v>106</v>
      </c>
      <c r="AD10" s="2" t="s">
        <v>34</v>
      </c>
      <c r="AE10" s="3">
        <f t="shared" si="19"/>
        <v>107539.09874976528</v>
      </c>
      <c r="AF10" s="3">
        <f t="shared" si="19"/>
        <v>3892881.0831016498</v>
      </c>
      <c r="AG10" s="3">
        <f t="shared" si="20"/>
        <v>4000420.181851415</v>
      </c>
      <c r="AH10" s="7" t="s">
        <v>106</v>
      </c>
      <c r="AI10" s="2" t="s">
        <v>34</v>
      </c>
      <c r="AJ10" s="3">
        <f t="shared" si="21"/>
        <v>4767005.186059216</v>
      </c>
      <c r="AK10" s="3">
        <f t="shared" si="1"/>
        <v>157703.02660132182</v>
      </c>
      <c r="AL10" s="3">
        <f t="shared" si="1"/>
        <v>18906.293537554531</v>
      </c>
      <c r="AM10" s="3">
        <f t="shared" si="1"/>
        <v>20573588.829281636</v>
      </c>
      <c r="AN10" s="3">
        <f t="shared" si="22"/>
        <v>25517203.335479729</v>
      </c>
      <c r="AO10" s="7" t="s">
        <v>106</v>
      </c>
      <c r="AP10" s="2" t="s">
        <v>34</v>
      </c>
      <c r="AQ10" s="3">
        <f t="shared" si="23"/>
        <v>4624153.2137520416</v>
      </c>
      <c r="AR10" s="3">
        <f t="shared" si="2"/>
        <v>119423.96663447435</v>
      </c>
      <c r="AS10" s="3">
        <f t="shared" si="2"/>
        <v>8543.5597911431105</v>
      </c>
      <c r="AT10" s="3">
        <f t="shared" si="2"/>
        <v>16764662.413450655</v>
      </c>
      <c r="AU10" s="3">
        <f t="shared" si="24"/>
        <v>21516783.153628312</v>
      </c>
      <c r="AV10" s="7" t="s">
        <v>106</v>
      </c>
      <c r="AW10" s="2" t="s">
        <v>34</v>
      </c>
      <c r="AX10" s="3">
        <f t="shared" si="25"/>
        <v>142851.97230717467</v>
      </c>
      <c r="AY10" s="3">
        <f t="shared" si="3"/>
        <v>38279.059966847475</v>
      </c>
      <c r="AZ10" s="3">
        <f t="shared" si="3"/>
        <v>10362.733746411421</v>
      </c>
      <c r="BA10" s="3">
        <f t="shared" si="3"/>
        <v>3808926.4158309815</v>
      </c>
      <c r="BB10" s="3">
        <f t="shared" si="26"/>
        <v>4000420.181851415</v>
      </c>
      <c r="BC10" s="7" t="s">
        <v>106</v>
      </c>
      <c r="BD10" s="2" t="s">
        <v>34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7" t="s">
        <v>106</v>
      </c>
      <c r="BK10" s="2" t="s">
        <v>34</v>
      </c>
      <c r="BL10" s="3">
        <v>1881.3788053952944</v>
      </c>
      <c r="BM10" s="3">
        <v>0</v>
      </c>
      <c r="BN10" s="3">
        <v>0</v>
      </c>
      <c r="BO10" s="3">
        <v>0</v>
      </c>
      <c r="BP10" s="3">
        <v>1881.3788053952944</v>
      </c>
      <c r="BQ10" s="7" t="s">
        <v>106</v>
      </c>
      <c r="BR10" s="2" t="s">
        <v>34</v>
      </c>
      <c r="BS10" s="3">
        <v>1981288.0782874308</v>
      </c>
      <c r="BT10" s="3">
        <v>82901.869971291366</v>
      </c>
      <c r="BU10" s="3">
        <v>0</v>
      </c>
      <c r="BV10" s="3">
        <v>16510733.98572859</v>
      </c>
      <c r="BW10" s="3">
        <v>18574923.933987312</v>
      </c>
      <c r="BX10" s="7" t="s">
        <v>106</v>
      </c>
      <c r="BY10" s="2" t="s">
        <v>34</v>
      </c>
      <c r="BZ10" s="3">
        <v>303578.84846601181</v>
      </c>
      <c r="CA10" s="3">
        <v>1058.0351155086059</v>
      </c>
      <c r="CB10" s="3">
        <v>0</v>
      </c>
      <c r="CC10" s="3">
        <v>0</v>
      </c>
      <c r="CD10" s="3">
        <v>304636.88358152041</v>
      </c>
      <c r="CE10" s="7" t="s">
        <v>106</v>
      </c>
      <c r="CF10" s="2" t="s">
        <v>34</v>
      </c>
      <c r="CG10" s="3">
        <v>3556.3072055580528</v>
      </c>
      <c r="CH10" s="3">
        <v>0</v>
      </c>
      <c r="CI10" s="3">
        <v>0</v>
      </c>
      <c r="CJ10" s="3">
        <v>0</v>
      </c>
      <c r="CK10" s="3">
        <v>3556.3072055580528</v>
      </c>
      <c r="CL10" s="7" t="s">
        <v>106</v>
      </c>
      <c r="CM10" s="2" t="s">
        <v>34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7" t="s">
        <v>106</v>
      </c>
      <c r="CT10" s="2" t="s">
        <v>34</v>
      </c>
      <c r="CU10" s="3">
        <v>4517.4513249194497</v>
      </c>
      <c r="CV10" s="3">
        <v>0</v>
      </c>
      <c r="CW10" s="3">
        <v>8543.5597911431105</v>
      </c>
      <c r="CX10" s="3">
        <v>0</v>
      </c>
      <c r="CY10" s="3">
        <v>13061.01111606256</v>
      </c>
      <c r="CZ10" s="7" t="s">
        <v>106</v>
      </c>
      <c r="DA10" s="2" t="s">
        <v>34</v>
      </c>
      <c r="DB10" s="3">
        <v>6436.1746055166168</v>
      </c>
      <c r="DC10" s="3">
        <v>0</v>
      </c>
      <c r="DD10" s="3">
        <v>0</v>
      </c>
      <c r="DE10" s="3">
        <v>0</v>
      </c>
      <c r="DF10" s="3">
        <v>6436.1746055166168</v>
      </c>
      <c r="DG10" s="7" t="s">
        <v>106</v>
      </c>
      <c r="DH10" s="2" t="s">
        <v>34</v>
      </c>
      <c r="DI10" s="3">
        <v>2301909.6390936626</v>
      </c>
      <c r="DJ10" s="3">
        <v>0</v>
      </c>
      <c r="DK10" s="3">
        <v>0</v>
      </c>
      <c r="DL10" s="3">
        <v>0</v>
      </c>
      <c r="DM10" s="3">
        <v>2301909.6390936626</v>
      </c>
      <c r="DN10" s="7" t="s">
        <v>106</v>
      </c>
      <c r="DO10" s="2" t="s">
        <v>34</v>
      </c>
      <c r="DP10" s="3">
        <v>20985.335963547594</v>
      </c>
      <c r="DQ10" s="3">
        <v>35464.061547674362</v>
      </c>
      <c r="DR10" s="3">
        <v>0</v>
      </c>
      <c r="DS10" s="3">
        <v>253928.42772206545</v>
      </c>
      <c r="DT10" s="3">
        <v>310377.82523328741</v>
      </c>
      <c r="DU10" s="7" t="s">
        <v>106</v>
      </c>
      <c r="DV10" s="2" t="s">
        <v>34</v>
      </c>
      <c r="DW10" s="3">
        <v>36453.810542889289</v>
      </c>
      <c r="DX10" s="3">
        <v>37138.122981367575</v>
      </c>
      <c r="DY10" s="3">
        <v>10362.733746411421</v>
      </c>
      <c r="DZ10" s="3">
        <v>3808926.4158309815</v>
      </c>
      <c r="EA10" s="3">
        <v>3892881.0831016498</v>
      </c>
      <c r="EB10" s="7" t="s">
        <v>106</v>
      </c>
      <c r="EC10" s="2" t="s">
        <v>34</v>
      </c>
      <c r="ED10" s="3">
        <v>106398.16176428538</v>
      </c>
      <c r="EE10" s="3">
        <v>1140.9369854798974</v>
      </c>
      <c r="EF10" s="3">
        <v>0</v>
      </c>
      <c r="EG10" s="3">
        <v>0</v>
      </c>
      <c r="EH10" s="3">
        <v>107539.09874976528</v>
      </c>
    </row>
    <row r="11" spans="1:138" ht="10.199999999999999" customHeight="1" x14ac:dyDescent="0.2">
      <c r="A11" s="7" t="s">
        <v>103</v>
      </c>
      <c r="B11" s="2" t="s">
        <v>31</v>
      </c>
      <c r="C11" s="3">
        <f t="shared" si="4"/>
        <v>3573.4435482929816</v>
      </c>
      <c r="D11" s="3">
        <f t="shared" si="5"/>
        <v>3653.479329022437</v>
      </c>
      <c r="E11" s="3">
        <f t="shared" si="6"/>
        <v>0</v>
      </c>
      <c r="F11" s="3">
        <f t="shared" si="7"/>
        <v>1117002.9155915813</v>
      </c>
      <c r="G11" s="3">
        <f t="shared" si="8"/>
        <v>0</v>
      </c>
      <c r="H11" s="3">
        <f t="shared" si="9"/>
        <v>0</v>
      </c>
      <c r="I11" s="3">
        <f t="shared" si="10"/>
        <v>62793.792798643044</v>
      </c>
      <c r="J11" s="3">
        <f t="shared" si="11"/>
        <v>3921.2409127080491</v>
      </c>
      <c r="K11" s="3">
        <f t="shared" si="12"/>
        <v>0</v>
      </c>
      <c r="L11" s="3">
        <f t="shared" si="13"/>
        <v>9738.3512258744504</v>
      </c>
      <c r="M11" s="3">
        <f t="shared" si="14"/>
        <v>6255186.9861907326</v>
      </c>
      <c r="N11" s="3">
        <f t="shared" si="15"/>
        <v>1347092.9913291235</v>
      </c>
      <c r="O11" s="3">
        <f t="shared" si="16"/>
        <v>8802963.2009259779</v>
      </c>
      <c r="P11" s="7" t="s">
        <v>103</v>
      </c>
      <c r="Q11" s="2" t="s">
        <v>31</v>
      </c>
      <c r="R11" s="3">
        <f t="shared" si="17"/>
        <v>3573.4435482929816</v>
      </c>
      <c r="S11" s="3">
        <f t="shared" si="17"/>
        <v>3653.479329022437</v>
      </c>
      <c r="T11" s="3">
        <f t="shared" si="17"/>
        <v>0</v>
      </c>
      <c r="U11" s="3">
        <f t="shared" si="17"/>
        <v>1117002.9155915813</v>
      </c>
      <c r="V11" s="3">
        <f t="shared" si="17"/>
        <v>0</v>
      </c>
      <c r="W11" s="3">
        <f t="shared" si="17"/>
        <v>0</v>
      </c>
      <c r="X11" s="3">
        <f t="shared" si="17"/>
        <v>62793.792798643044</v>
      </c>
      <c r="Y11" s="3">
        <f t="shared" si="17"/>
        <v>3921.2409127080491</v>
      </c>
      <c r="Z11" s="3">
        <f t="shared" si="17"/>
        <v>0</v>
      </c>
      <c r="AA11" s="3">
        <f t="shared" si="17"/>
        <v>9738.3512258744504</v>
      </c>
      <c r="AB11" s="3">
        <f t="shared" si="18"/>
        <v>1200683.2234061221</v>
      </c>
      <c r="AC11" s="7" t="s">
        <v>103</v>
      </c>
      <c r="AD11" s="2" t="s">
        <v>31</v>
      </c>
      <c r="AE11" s="3">
        <f t="shared" si="19"/>
        <v>6255186.9861907326</v>
      </c>
      <c r="AF11" s="3">
        <f t="shared" si="19"/>
        <v>1347092.9913291235</v>
      </c>
      <c r="AG11" s="3">
        <f t="shared" si="20"/>
        <v>7602279.9775198558</v>
      </c>
      <c r="AH11" s="7" t="s">
        <v>103</v>
      </c>
      <c r="AI11" s="2" t="s">
        <v>31</v>
      </c>
      <c r="AJ11" s="3">
        <f t="shared" si="21"/>
        <v>3844606.0340313651</v>
      </c>
      <c r="AK11" s="3">
        <f t="shared" si="1"/>
        <v>3696384.1088786735</v>
      </c>
      <c r="AL11" s="3">
        <f t="shared" si="1"/>
        <v>1261973.0580159398</v>
      </c>
      <c r="AM11" s="3">
        <f t="shared" si="1"/>
        <v>0</v>
      </c>
      <c r="AN11" s="3">
        <f t="shared" si="22"/>
        <v>8802963.2009259798</v>
      </c>
      <c r="AO11" s="7" t="s">
        <v>103</v>
      </c>
      <c r="AP11" s="2" t="s">
        <v>31</v>
      </c>
      <c r="AQ11" s="3">
        <f t="shared" si="23"/>
        <v>726684.13782895368</v>
      </c>
      <c r="AR11" s="3">
        <f t="shared" si="2"/>
        <v>473999.08557716862</v>
      </c>
      <c r="AS11" s="3">
        <f t="shared" si="2"/>
        <v>0</v>
      </c>
      <c r="AT11" s="3">
        <f t="shared" si="2"/>
        <v>0</v>
      </c>
      <c r="AU11" s="3">
        <f t="shared" si="24"/>
        <v>1200683.2234061223</v>
      </c>
      <c r="AV11" s="7" t="s">
        <v>103</v>
      </c>
      <c r="AW11" s="2" t="s">
        <v>31</v>
      </c>
      <c r="AX11" s="3">
        <f t="shared" si="25"/>
        <v>3117921.8962024115</v>
      </c>
      <c r="AY11" s="3">
        <f t="shared" si="3"/>
        <v>3222385.023301505</v>
      </c>
      <c r="AZ11" s="3">
        <f t="shared" si="3"/>
        <v>1261973.0580159398</v>
      </c>
      <c r="BA11" s="3">
        <f t="shared" si="3"/>
        <v>0</v>
      </c>
      <c r="BB11" s="3">
        <f t="shared" si="26"/>
        <v>7602279.9775198558</v>
      </c>
      <c r="BC11" s="7" t="s">
        <v>103</v>
      </c>
      <c r="BD11" s="2" t="s">
        <v>31</v>
      </c>
      <c r="BE11" s="3">
        <v>3573.4435482929816</v>
      </c>
      <c r="BF11" s="3">
        <v>0</v>
      </c>
      <c r="BG11" s="3">
        <v>0</v>
      </c>
      <c r="BH11" s="3">
        <v>0</v>
      </c>
      <c r="BI11" s="3">
        <v>3573.4435482929816</v>
      </c>
      <c r="BJ11" s="7" t="s">
        <v>103</v>
      </c>
      <c r="BK11" s="2" t="s">
        <v>31</v>
      </c>
      <c r="BL11" s="3">
        <v>2330.9354346366799</v>
      </c>
      <c r="BM11" s="3">
        <v>1322.5438943857573</v>
      </c>
      <c r="BN11" s="3">
        <v>0</v>
      </c>
      <c r="BO11" s="3">
        <v>0</v>
      </c>
      <c r="BP11" s="3">
        <v>3653.479329022437</v>
      </c>
      <c r="BQ11" s="7" t="s">
        <v>103</v>
      </c>
      <c r="BR11" s="2" t="s">
        <v>31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7" t="s">
        <v>103</v>
      </c>
      <c r="BY11" s="2" t="s">
        <v>31</v>
      </c>
      <c r="BZ11" s="3">
        <v>657128.59880645259</v>
      </c>
      <c r="CA11" s="3">
        <v>459874.31678512873</v>
      </c>
      <c r="CB11" s="3">
        <v>0</v>
      </c>
      <c r="CC11" s="3">
        <v>0</v>
      </c>
      <c r="CD11" s="3">
        <v>1117002.9155915813</v>
      </c>
      <c r="CE11" s="7" t="s">
        <v>103</v>
      </c>
      <c r="CF11" s="2" t="s">
        <v>31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7" t="s">
        <v>103</v>
      </c>
      <c r="CM11" s="2" t="s">
        <v>31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7" t="s">
        <v>103</v>
      </c>
      <c r="CT11" s="2" t="s">
        <v>31</v>
      </c>
      <c r="CU11" s="3">
        <v>53271.47675906559</v>
      </c>
      <c r="CV11" s="3">
        <v>9522.3160395774557</v>
      </c>
      <c r="CW11" s="3">
        <v>0</v>
      </c>
      <c r="CX11" s="3">
        <v>0</v>
      </c>
      <c r="CY11" s="3">
        <v>62793.792798643044</v>
      </c>
      <c r="CZ11" s="7" t="s">
        <v>103</v>
      </c>
      <c r="DA11" s="2" t="s">
        <v>31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7" t="s">
        <v>103</v>
      </c>
      <c r="DH11" s="2" t="s">
        <v>31</v>
      </c>
      <c r="DI11" s="3">
        <v>2545.7952625468615</v>
      </c>
      <c r="DJ11" s="3">
        <v>1375.4456501611878</v>
      </c>
      <c r="DK11" s="3">
        <v>0</v>
      </c>
      <c r="DL11" s="3">
        <v>0</v>
      </c>
      <c r="DM11" s="3">
        <v>3921.2409127080491</v>
      </c>
      <c r="DN11" s="7" t="s">
        <v>103</v>
      </c>
      <c r="DO11" s="2" t="s">
        <v>31</v>
      </c>
      <c r="DP11" s="3">
        <v>7833.8880179589596</v>
      </c>
      <c r="DQ11" s="3">
        <v>1904.4632079154908</v>
      </c>
      <c r="DR11" s="3">
        <v>0</v>
      </c>
      <c r="DS11" s="3">
        <v>0</v>
      </c>
      <c r="DT11" s="3">
        <v>9738.3512258744504</v>
      </c>
      <c r="DU11" s="7" t="s">
        <v>103</v>
      </c>
      <c r="DV11" s="2" t="s">
        <v>31</v>
      </c>
      <c r="DW11" s="3">
        <v>40920.00441033642</v>
      </c>
      <c r="DX11" s="3">
        <v>44199.928902847263</v>
      </c>
      <c r="DY11" s="3">
        <v>1261973.0580159398</v>
      </c>
      <c r="DZ11" s="3">
        <v>0</v>
      </c>
      <c r="EA11" s="3">
        <v>1347092.9913291235</v>
      </c>
      <c r="EB11" s="7" t="s">
        <v>103</v>
      </c>
      <c r="EC11" s="2" t="s">
        <v>31</v>
      </c>
      <c r="ED11" s="3">
        <v>3077001.8917920752</v>
      </c>
      <c r="EE11" s="3">
        <v>3178185.0943986578</v>
      </c>
      <c r="EF11" s="3">
        <v>0</v>
      </c>
      <c r="EG11" s="3">
        <v>0</v>
      </c>
      <c r="EH11" s="3">
        <v>6255186.9861907326</v>
      </c>
    </row>
    <row r="12" spans="1:138" ht="10.199999999999999" customHeight="1" x14ac:dyDescent="0.2">
      <c r="A12" s="7" t="s">
        <v>99</v>
      </c>
      <c r="B12" s="2" t="s">
        <v>27</v>
      </c>
      <c r="C12" s="3">
        <f t="shared" si="4"/>
        <v>37259.912735865881</v>
      </c>
      <c r="D12" s="3">
        <f t="shared" si="5"/>
        <v>17.773953574159638</v>
      </c>
      <c r="E12" s="3">
        <f t="shared" si="6"/>
        <v>0</v>
      </c>
      <c r="F12" s="3">
        <f t="shared" si="7"/>
        <v>2794620.8682742259</v>
      </c>
      <c r="G12" s="3">
        <f t="shared" si="8"/>
        <v>93080.597553988773</v>
      </c>
      <c r="H12" s="3">
        <f t="shared" si="9"/>
        <v>0</v>
      </c>
      <c r="I12" s="3">
        <f t="shared" si="10"/>
        <v>269218.98464212805</v>
      </c>
      <c r="J12" s="3">
        <f t="shared" si="11"/>
        <v>121.87853879423753</v>
      </c>
      <c r="K12" s="3">
        <f t="shared" si="12"/>
        <v>283654.84172781225</v>
      </c>
      <c r="L12" s="3">
        <f t="shared" si="13"/>
        <v>16020.60360886739</v>
      </c>
      <c r="M12" s="3">
        <f t="shared" si="14"/>
        <v>1268809.9401907912</v>
      </c>
      <c r="N12" s="3">
        <f t="shared" si="15"/>
        <v>12135289.625787577</v>
      </c>
      <c r="O12" s="3">
        <f t="shared" si="16"/>
        <v>16898095.027013626</v>
      </c>
      <c r="P12" s="7" t="s">
        <v>99</v>
      </c>
      <c r="Q12" s="2" t="s">
        <v>27</v>
      </c>
      <c r="R12" s="3">
        <f t="shared" si="17"/>
        <v>37259.912735865881</v>
      </c>
      <c r="S12" s="3">
        <f t="shared" si="17"/>
        <v>17.773953574159638</v>
      </c>
      <c r="T12" s="3">
        <f t="shared" si="17"/>
        <v>0</v>
      </c>
      <c r="U12" s="3">
        <f t="shared" si="17"/>
        <v>2794620.8682742259</v>
      </c>
      <c r="V12" s="3">
        <f t="shared" si="17"/>
        <v>93080.597553988773</v>
      </c>
      <c r="W12" s="3">
        <f t="shared" si="17"/>
        <v>0</v>
      </c>
      <c r="X12" s="3">
        <f t="shared" si="17"/>
        <v>269218.98464212805</v>
      </c>
      <c r="Y12" s="3">
        <f t="shared" si="17"/>
        <v>121.87853879423753</v>
      </c>
      <c r="Z12" s="3">
        <f t="shared" si="17"/>
        <v>283654.84172781225</v>
      </c>
      <c r="AA12" s="3">
        <f t="shared" si="17"/>
        <v>16020.60360886739</v>
      </c>
      <c r="AB12" s="3">
        <f t="shared" si="18"/>
        <v>3493995.4610352572</v>
      </c>
      <c r="AC12" s="7" t="s">
        <v>99</v>
      </c>
      <c r="AD12" s="2" t="s">
        <v>27</v>
      </c>
      <c r="AE12" s="3">
        <f t="shared" si="19"/>
        <v>1268809.9401907912</v>
      </c>
      <c r="AF12" s="3">
        <f t="shared" si="19"/>
        <v>12135289.625787577</v>
      </c>
      <c r="AG12" s="3">
        <f t="shared" si="20"/>
        <v>13404099.565978367</v>
      </c>
      <c r="AH12" s="7" t="s">
        <v>99</v>
      </c>
      <c r="AI12" s="2" t="s">
        <v>27</v>
      </c>
      <c r="AJ12" s="3">
        <f t="shared" si="21"/>
        <v>860492.39854466857</v>
      </c>
      <c r="AK12" s="3">
        <f t="shared" si="1"/>
        <v>4923510.5990306148</v>
      </c>
      <c r="AL12" s="3">
        <f t="shared" si="1"/>
        <v>10794886.332596289</v>
      </c>
      <c r="AM12" s="3">
        <f t="shared" si="1"/>
        <v>319205.69684205065</v>
      </c>
      <c r="AN12" s="3">
        <f t="shared" si="22"/>
        <v>16898095.027013622</v>
      </c>
      <c r="AO12" s="7" t="s">
        <v>99</v>
      </c>
      <c r="AP12" s="2" t="s">
        <v>27</v>
      </c>
      <c r="AQ12" s="3">
        <f t="shared" si="23"/>
        <v>664710.86041587905</v>
      </c>
      <c r="AR12" s="3">
        <f t="shared" si="2"/>
        <v>2092808.7223606107</v>
      </c>
      <c r="AS12" s="3">
        <f t="shared" si="2"/>
        <v>736475.87825876626</v>
      </c>
      <c r="AT12" s="3">
        <f t="shared" si="2"/>
        <v>0</v>
      </c>
      <c r="AU12" s="3">
        <f t="shared" si="24"/>
        <v>3493995.4610352558</v>
      </c>
      <c r="AV12" s="7" t="s">
        <v>99</v>
      </c>
      <c r="AW12" s="2" t="s">
        <v>27</v>
      </c>
      <c r="AX12" s="3">
        <f t="shared" si="25"/>
        <v>195781.53812878951</v>
      </c>
      <c r="AY12" s="3">
        <f t="shared" si="3"/>
        <v>2830701.8766700043</v>
      </c>
      <c r="AZ12" s="3">
        <f t="shared" si="3"/>
        <v>10058410.454337522</v>
      </c>
      <c r="BA12" s="3">
        <f t="shared" si="3"/>
        <v>319205.69684205065</v>
      </c>
      <c r="BB12" s="3">
        <f t="shared" si="26"/>
        <v>13404099.565978367</v>
      </c>
      <c r="BC12" s="7" t="s">
        <v>99</v>
      </c>
      <c r="BD12" s="2" t="s">
        <v>27</v>
      </c>
      <c r="BE12" s="3">
        <v>34524.642857142855</v>
      </c>
      <c r="BF12" s="3">
        <v>2735.2698787230224</v>
      </c>
      <c r="BG12" s="3">
        <v>0</v>
      </c>
      <c r="BH12" s="3">
        <v>0</v>
      </c>
      <c r="BI12" s="3">
        <v>37259.912735865881</v>
      </c>
      <c r="BJ12" s="7" t="s">
        <v>99</v>
      </c>
      <c r="BK12" s="2" t="s">
        <v>27</v>
      </c>
      <c r="BL12" s="3">
        <v>0</v>
      </c>
      <c r="BM12" s="3">
        <v>0</v>
      </c>
      <c r="BN12" s="3">
        <v>17.773953574159638</v>
      </c>
      <c r="BO12" s="3">
        <v>0</v>
      </c>
      <c r="BP12" s="3">
        <v>17.773953574159638</v>
      </c>
      <c r="BQ12" s="7" t="s">
        <v>99</v>
      </c>
      <c r="BR12" s="2" t="s">
        <v>27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7" t="s">
        <v>99</v>
      </c>
      <c r="BY12" s="2" t="s">
        <v>27</v>
      </c>
      <c r="BZ12" s="3">
        <v>342585.79550482542</v>
      </c>
      <c r="CA12" s="3">
        <v>1738382.816658101</v>
      </c>
      <c r="CB12" s="3">
        <v>713652.25611129915</v>
      </c>
      <c r="CC12" s="3">
        <v>0</v>
      </c>
      <c r="CD12" s="3">
        <v>2794620.8682742259</v>
      </c>
      <c r="CE12" s="7" t="s">
        <v>99</v>
      </c>
      <c r="CF12" s="2" t="s">
        <v>27</v>
      </c>
      <c r="CG12" s="3">
        <v>89474.569561582422</v>
      </c>
      <c r="CH12" s="3">
        <v>3606.0279924063443</v>
      </c>
      <c r="CI12" s="3">
        <v>0</v>
      </c>
      <c r="CJ12" s="3">
        <v>0</v>
      </c>
      <c r="CK12" s="3">
        <v>93080.597553988773</v>
      </c>
      <c r="CL12" s="7" t="s">
        <v>99</v>
      </c>
      <c r="CM12" s="2" t="s">
        <v>27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7" t="s">
        <v>99</v>
      </c>
      <c r="CT12" s="2" t="s">
        <v>27</v>
      </c>
      <c r="CU12" s="3">
        <v>24210.633867315035</v>
      </c>
      <c r="CV12" s="3">
        <v>222659.54710139832</v>
      </c>
      <c r="CW12" s="3">
        <v>22348.803673414681</v>
      </c>
      <c r="CX12" s="3">
        <v>0</v>
      </c>
      <c r="CY12" s="3">
        <v>269218.98464212805</v>
      </c>
      <c r="CZ12" s="7" t="s">
        <v>99</v>
      </c>
      <c r="DA12" s="2" t="s">
        <v>27</v>
      </c>
      <c r="DB12" s="3">
        <v>161124.2734646505</v>
      </c>
      <c r="DC12" s="3">
        <v>122073.52374268333</v>
      </c>
      <c r="DD12" s="3">
        <v>457.04452047839067</v>
      </c>
      <c r="DE12" s="3">
        <v>0</v>
      </c>
      <c r="DF12" s="3">
        <v>283654.84172781225</v>
      </c>
      <c r="DG12" s="7" t="s">
        <v>99</v>
      </c>
      <c r="DH12" s="2" t="s">
        <v>27</v>
      </c>
      <c r="DI12" s="3">
        <v>121.87853879423753</v>
      </c>
      <c r="DJ12" s="3">
        <v>0</v>
      </c>
      <c r="DK12" s="3">
        <v>0</v>
      </c>
      <c r="DL12" s="3">
        <v>0</v>
      </c>
      <c r="DM12" s="3">
        <v>121.87853879423753</v>
      </c>
      <c r="DN12" s="7" t="s">
        <v>99</v>
      </c>
      <c r="DO12" s="2" t="s">
        <v>27</v>
      </c>
      <c r="DP12" s="3">
        <v>12669.066621568627</v>
      </c>
      <c r="DQ12" s="3">
        <v>3351.5369872987631</v>
      </c>
      <c r="DR12" s="3">
        <v>0</v>
      </c>
      <c r="DS12" s="3">
        <v>0</v>
      </c>
      <c r="DT12" s="3">
        <v>16020.60360886739</v>
      </c>
      <c r="DU12" s="7" t="s">
        <v>99</v>
      </c>
      <c r="DV12" s="2" t="s">
        <v>27</v>
      </c>
      <c r="DW12" s="3">
        <v>10175.193417867747</v>
      </c>
      <c r="DX12" s="3">
        <v>2211001.6927651889</v>
      </c>
      <c r="DY12" s="3">
        <v>9594907.0427624695</v>
      </c>
      <c r="DZ12" s="3">
        <v>319205.69684205065</v>
      </c>
      <c r="EA12" s="3">
        <v>12135289.625787577</v>
      </c>
      <c r="EB12" s="7" t="s">
        <v>99</v>
      </c>
      <c r="EC12" s="2" t="s">
        <v>27</v>
      </c>
      <c r="ED12" s="3">
        <v>185606.34471092178</v>
      </c>
      <c r="EE12" s="3">
        <v>619700.18390481558</v>
      </c>
      <c r="EF12" s="3">
        <v>463503.4115750537</v>
      </c>
      <c r="EG12" s="3">
        <v>0</v>
      </c>
      <c r="EH12" s="3">
        <v>1268809.9401907912</v>
      </c>
    </row>
    <row r="13" spans="1:138" ht="10.199999999999999" customHeight="1" x14ac:dyDescent="0.2">
      <c r="A13" s="7" t="s">
        <v>94</v>
      </c>
      <c r="B13" s="2" t="s">
        <v>22</v>
      </c>
      <c r="C13" s="3">
        <f t="shared" si="4"/>
        <v>0</v>
      </c>
      <c r="D13" s="3">
        <f t="shared" si="5"/>
        <v>2233.101156521072</v>
      </c>
      <c r="E13" s="3">
        <f t="shared" si="6"/>
        <v>285033329.10984313</v>
      </c>
      <c r="F13" s="3">
        <f t="shared" si="7"/>
        <v>7000376.1697922796</v>
      </c>
      <c r="G13" s="3">
        <f t="shared" si="8"/>
        <v>13111.798135154795</v>
      </c>
      <c r="H13" s="3">
        <f t="shared" si="9"/>
        <v>148793627.30478752</v>
      </c>
      <c r="I13" s="3">
        <f t="shared" si="10"/>
        <v>74653.313388919923</v>
      </c>
      <c r="J13" s="3">
        <f t="shared" si="11"/>
        <v>329671090.56518978</v>
      </c>
      <c r="K13" s="3">
        <f t="shared" si="12"/>
        <v>6910445.5070512658</v>
      </c>
      <c r="L13" s="3">
        <f t="shared" si="13"/>
        <v>4755.519438916167</v>
      </c>
      <c r="M13" s="3">
        <f t="shared" si="14"/>
        <v>1329371.7337448413</v>
      </c>
      <c r="N13" s="3">
        <f t="shared" si="15"/>
        <v>141510345.81578818</v>
      </c>
      <c r="O13" s="3">
        <f t="shared" si="16"/>
        <v>920343339.93831646</v>
      </c>
      <c r="P13" s="7" t="s">
        <v>94</v>
      </c>
      <c r="Q13" s="2" t="s">
        <v>22</v>
      </c>
      <c r="R13" s="3">
        <f t="shared" si="17"/>
        <v>0</v>
      </c>
      <c r="S13" s="3">
        <f t="shared" si="17"/>
        <v>2233.101156521072</v>
      </c>
      <c r="T13" s="3">
        <f t="shared" si="17"/>
        <v>285033329.10984313</v>
      </c>
      <c r="U13" s="3">
        <f t="shared" si="17"/>
        <v>7000376.1697922796</v>
      </c>
      <c r="V13" s="3">
        <f t="shared" si="17"/>
        <v>13111.798135154795</v>
      </c>
      <c r="W13" s="3">
        <f t="shared" si="17"/>
        <v>148793627.30478752</v>
      </c>
      <c r="X13" s="3">
        <f t="shared" si="17"/>
        <v>74653.313388919923</v>
      </c>
      <c r="Y13" s="3">
        <f t="shared" si="17"/>
        <v>329671090.56518978</v>
      </c>
      <c r="Z13" s="3">
        <f t="shared" si="17"/>
        <v>6910445.5070512658</v>
      </c>
      <c r="AA13" s="3">
        <f t="shared" si="17"/>
        <v>4755.519438916167</v>
      </c>
      <c r="AB13" s="3">
        <f t="shared" si="18"/>
        <v>777503622.38878345</v>
      </c>
      <c r="AC13" s="7" t="s">
        <v>94</v>
      </c>
      <c r="AD13" s="2" t="s">
        <v>22</v>
      </c>
      <c r="AE13" s="3">
        <f t="shared" si="19"/>
        <v>1329371.7337448413</v>
      </c>
      <c r="AF13" s="3">
        <f t="shared" si="19"/>
        <v>141510345.81578818</v>
      </c>
      <c r="AG13" s="3">
        <f t="shared" si="20"/>
        <v>142839717.54953301</v>
      </c>
      <c r="AH13" s="7" t="s">
        <v>94</v>
      </c>
      <c r="AI13" s="2" t="s">
        <v>22</v>
      </c>
      <c r="AJ13" s="3">
        <f t="shared" si="21"/>
        <v>991015.06286331709</v>
      </c>
      <c r="AK13" s="3">
        <f t="shared" si="1"/>
        <v>2178681.5295041669</v>
      </c>
      <c r="AL13" s="3">
        <f t="shared" si="1"/>
        <v>63592175.523110501</v>
      </c>
      <c r="AM13" s="3">
        <f t="shared" si="1"/>
        <v>853581467.82283854</v>
      </c>
      <c r="AN13" s="3">
        <f t="shared" si="22"/>
        <v>920343339.93831658</v>
      </c>
      <c r="AO13" s="7" t="s">
        <v>94</v>
      </c>
      <c r="AP13" s="2" t="s">
        <v>22</v>
      </c>
      <c r="AQ13" s="3">
        <f t="shared" si="23"/>
        <v>197906.4435696553</v>
      </c>
      <c r="AR13" s="3">
        <f t="shared" si="2"/>
        <v>1633688.9473857924</v>
      </c>
      <c r="AS13" s="3">
        <f t="shared" si="2"/>
        <v>63592175.523110501</v>
      </c>
      <c r="AT13" s="3">
        <f t="shared" si="2"/>
        <v>712079851.47471762</v>
      </c>
      <c r="AU13" s="3">
        <f t="shared" si="24"/>
        <v>777503622.38878357</v>
      </c>
      <c r="AV13" s="7" t="s">
        <v>94</v>
      </c>
      <c r="AW13" s="2" t="s">
        <v>22</v>
      </c>
      <c r="AX13" s="3">
        <f t="shared" si="25"/>
        <v>793108.61929366179</v>
      </c>
      <c r="AY13" s="3">
        <f t="shared" si="3"/>
        <v>544992.5821183743</v>
      </c>
      <c r="AZ13" s="3">
        <f t="shared" si="3"/>
        <v>0</v>
      </c>
      <c r="BA13" s="3">
        <f t="shared" si="3"/>
        <v>141501616.34812099</v>
      </c>
      <c r="BB13" s="3">
        <f t="shared" si="26"/>
        <v>142839717.54953301</v>
      </c>
      <c r="BC13" s="7" t="s">
        <v>94</v>
      </c>
      <c r="BD13" s="2" t="s">
        <v>22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7" t="s">
        <v>94</v>
      </c>
      <c r="BK13" s="2" t="s">
        <v>22</v>
      </c>
      <c r="BL13" s="3">
        <v>117.03092550386009</v>
      </c>
      <c r="BM13" s="3">
        <v>0</v>
      </c>
      <c r="BN13" s="3">
        <v>0</v>
      </c>
      <c r="BO13" s="3">
        <v>2116.0702310172119</v>
      </c>
      <c r="BP13" s="3">
        <v>2233.101156521072</v>
      </c>
      <c r="BQ13" s="7" t="s">
        <v>94</v>
      </c>
      <c r="BR13" s="2" t="s">
        <v>22</v>
      </c>
      <c r="BS13" s="3">
        <v>0</v>
      </c>
      <c r="BT13" s="3">
        <v>15597.553672827869</v>
      </c>
      <c r="BU13" s="3">
        <v>634821.06930516369</v>
      </c>
      <c r="BV13" s="3">
        <v>284382910.48686516</v>
      </c>
      <c r="BW13" s="3">
        <v>285033329.10984313</v>
      </c>
      <c r="BX13" s="7" t="s">
        <v>94</v>
      </c>
      <c r="BY13" s="2" t="s">
        <v>22</v>
      </c>
      <c r="BZ13" s="3">
        <v>139207.64080284978</v>
      </c>
      <c r="CA13" s="3">
        <v>1147778.9052429574</v>
      </c>
      <c r="CB13" s="3">
        <v>0</v>
      </c>
      <c r="CC13" s="3">
        <v>5713389.6237464724</v>
      </c>
      <c r="CD13" s="3">
        <v>7000376.1697922796</v>
      </c>
      <c r="CE13" s="7" t="s">
        <v>94</v>
      </c>
      <c r="CF13" s="2" t="s">
        <v>22</v>
      </c>
      <c r="CG13" s="3">
        <v>1473.4118645601302</v>
      </c>
      <c r="CH13" s="3">
        <v>11638.386270594665</v>
      </c>
      <c r="CI13" s="3">
        <v>0</v>
      </c>
      <c r="CJ13" s="3">
        <v>0</v>
      </c>
      <c r="CK13" s="3">
        <v>13111.798135154795</v>
      </c>
      <c r="CL13" s="7" t="s">
        <v>94</v>
      </c>
      <c r="CM13" s="2" t="s">
        <v>22</v>
      </c>
      <c r="CN13" s="3">
        <v>0</v>
      </c>
      <c r="CO13" s="3">
        <v>0</v>
      </c>
      <c r="CP13" s="3">
        <v>58860642.486556016</v>
      </c>
      <c r="CQ13" s="3">
        <v>89932984.818231508</v>
      </c>
      <c r="CR13" s="3">
        <v>148793627.30478752</v>
      </c>
      <c r="CS13" s="7" t="s">
        <v>94</v>
      </c>
      <c r="CT13" s="2" t="s">
        <v>22</v>
      </c>
      <c r="CU13" s="3">
        <v>44476.910910451392</v>
      </c>
      <c r="CV13" s="3">
        <v>30176.402478468528</v>
      </c>
      <c r="CW13" s="3">
        <v>0</v>
      </c>
      <c r="CX13" s="3">
        <v>0</v>
      </c>
      <c r="CY13" s="3">
        <v>74653.313388919923</v>
      </c>
      <c r="CZ13" s="7" t="s">
        <v>94</v>
      </c>
      <c r="DA13" s="2" t="s">
        <v>22</v>
      </c>
      <c r="DB13" s="3">
        <v>8108.0359471086149</v>
      </c>
      <c r="DC13" s="3">
        <v>425046.49396047217</v>
      </c>
      <c r="DD13" s="3">
        <v>129080.28409204993</v>
      </c>
      <c r="DE13" s="3">
        <v>6348210.6930516353</v>
      </c>
      <c r="DF13" s="3">
        <v>6910445.5070512658</v>
      </c>
      <c r="DG13" s="7" t="s">
        <v>94</v>
      </c>
      <c r="DH13" s="2" t="s">
        <v>22</v>
      </c>
      <c r="DI13" s="3">
        <v>1892.6695211964247</v>
      </c>
      <c r="DJ13" s="3">
        <v>1326.429919540662</v>
      </c>
      <c r="DK13" s="3">
        <v>3967631.6831572726</v>
      </c>
      <c r="DL13" s="3">
        <v>325700239.78259176</v>
      </c>
      <c r="DM13" s="3">
        <v>329671090.56518978</v>
      </c>
      <c r="DN13" s="7" t="s">
        <v>94</v>
      </c>
      <c r="DO13" s="2" t="s">
        <v>22</v>
      </c>
      <c r="DP13" s="3">
        <v>2630.7435979850811</v>
      </c>
      <c r="DQ13" s="3">
        <v>2124.7758409310859</v>
      </c>
      <c r="DR13" s="3">
        <v>0</v>
      </c>
      <c r="DS13" s="3">
        <v>0</v>
      </c>
      <c r="DT13" s="3">
        <v>4755.519438916167</v>
      </c>
      <c r="DU13" s="7" t="s">
        <v>94</v>
      </c>
      <c r="DV13" s="2" t="s">
        <v>22</v>
      </c>
      <c r="DW13" s="3">
        <v>8729.4676671947709</v>
      </c>
      <c r="DX13" s="3">
        <v>0</v>
      </c>
      <c r="DY13" s="3">
        <v>0</v>
      </c>
      <c r="DZ13" s="3">
        <v>141501616.34812099</v>
      </c>
      <c r="EA13" s="3">
        <v>141510345.81578818</v>
      </c>
      <c r="EB13" s="7" t="s">
        <v>94</v>
      </c>
      <c r="EC13" s="2" t="s">
        <v>22</v>
      </c>
      <c r="ED13" s="3">
        <v>784379.15162646701</v>
      </c>
      <c r="EE13" s="3">
        <v>544992.5821183743</v>
      </c>
      <c r="EF13" s="3">
        <v>0</v>
      </c>
      <c r="EG13" s="3">
        <v>0</v>
      </c>
      <c r="EH13" s="3">
        <v>1329371.7337448413</v>
      </c>
    </row>
    <row r="14" spans="1:138" ht="10.199999999999999" customHeight="1" x14ac:dyDescent="0.2">
      <c r="A14" s="7" t="s">
        <v>97</v>
      </c>
      <c r="B14" s="2" t="s">
        <v>25</v>
      </c>
      <c r="C14" s="3">
        <f t="shared" si="4"/>
        <v>0</v>
      </c>
      <c r="D14" s="3">
        <f t="shared" si="5"/>
        <v>25682.709417488448</v>
      </c>
      <c r="E14" s="3">
        <f t="shared" si="6"/>
        <v>0</v>
      </c>
      <c r="F14" s="3">
        <f t="shared" si="7"/>
        <v>14742.51134176401</v>
      </c>
      <c r="G14" s="3">
        <f t="shared" si="8"/>
        <v>0</v>
      </c>
      <c r="H14" s="3">
        <f t="shared" si="9"/>
        <v>0</v>
      </c>
      <c r="I14" s="3">
        <f t="shared" si="10"/>
        <v>11.426113011959766</v>
      </c>
      <c r="J14" s="3">
        <f t="shared" si="11"/>
        <v>0</v>
      </c>
      <c r="K14" s="3">
        <f t="shared" si="12"/>
        <v>0</v>
      </c>
      <c r="L14" s="3">
        <f t="shared" si="13"/>
        <v>16863.872665940915</v>
      </c>
      <c r="M14" s="3">
        <f t="shared" si="14"/>
        <v>130972.55272497189</v>
      </c>
      <c r="N14" s="3">
        <f t="shared" si="15"/>
        <v>51888.183478604173</v>
      </c>
      <c r="O14" s="3">
        <f t="shared" si="16"/>
        <v>240161.25574178138</v>
      </c>
      <c r="P14" s="7" t="s">
        <v>97</v>
      </c>
      <c r="Q14" s="2" t="s">
        <v>25</v>
      </c>
      <c r="R14" s="3">
        <f t="shared" si="17"/>
        <v>0</v>
      </c>
      <c r="S14" s="3">
        <f t="shared" si="17"/>
        <v>25682.709417488448</v>
      </c>
      <c r="T14" s="3">
        <f t="shared" si="17"/>
        <v>0</v>
      </c>
      <c r="U14" s="3">
        <f t="shared" si="17"/>
        <v>14742.51134176401</v>
      </c>
      <c r="V14" s="3">
        <f t="shared" si="17"/>
        <v>0</v>
      </c>
      <c r="W14" s="3">
        <f t="shared" si="17"/>
        <v>0</v>
      </c>
      <c r="X14" s="3">
        <f t="shared" si="17"/>
        <v>11.426113011959766</v>
      </c>
      <c r="Y14" s="3">
        <f t="shared" si="17"/>
        <v>0</v>
      </c>
      <c r="Z14" s="3">
        <f t="shared" si="17"/>
        <v>0</v>
      </c>
      <c r="AA14" s="3">
        <f t="shared" si="17"/>
        <v>16863.872665940915</v>
      </c>
      <c r="AB14" s="3">
        <f t="shared" si="18"/>
        <v>57300.519538205335</v>
      </c>
      <c r="AC14" s="7" t="s">
        <v>97</v>
      </c>
      <c r="AD14" s="2" t="s">
        <v>25</v>
      </c>
      <c r="AE14" s="3">
        <f t="shared" si="19"/>
        <v>130972.55272497189</v>
      </c>
      <c r="AF14" s="3">
        <f t="shared" si="19"/>
        <v>51888.183478604173</v>
      </c>
      <c r="AG14" s="3">
        <f t="shared" si="20"/>
        <v>182860.73620357606</v>
      </c>
      <c r="AH14" s="7" t="s">
        <v>97</v>
      </c>
      <c r="AI14" s="2" t="s">
        <v>25</v>
      </c>
      <c r="AJ14" s="3">
        <f t="shared" si="21"/>
        <v>240161.25574178138</v>
      </c>
      <c r="AK14" s="3">
        <f t="shared" si="1"/>
        <v>0</v>
      </c>
      <c r="AL14" s="3">
        <f t="shared" si="1"/>
        <v>0</v>
      </c>
      <c r="AM14" s="3">
        <f t="shared" si="1"/>
        <v>0</v>
      </c>
      <c r="AN14" s="3">
        <f t="shared" si="22"/>
        <v>240161.25574178138</v>
      </c>
      <c r="AO14" s="7" t="s">
        <v>97</v>
      </c>
      <c r="AP14" s="2" t="s">
        <v>25</v>
      </c>
      <c r="AQ14" s="3">
        <f t="shared" si="23"/>
        <v>57300.519538205335</v>
      </c>
      <c r="AR14" s="3">
        <f t="shared" si="2"/>
        <v>0</v>
      </c>
      <c r="AS14" s="3">
        <f t="shared" si="2"/>
        <v>0</v>
      </c>
      <c r="AT14" s="3">
        <f t="shared" si="2"/>
        <v>0</v>
      </c>
      <c r="AU14" s="3">
        <f t="shared" si="24"/>
        <v>57300.519538205335</v>
      </c>
      <c r="AV14" s="7" t="s">
        <v>97</v>
      </c>
      <c r="AW14" s="2" t="s">
        <v>25</v>
      </c>
      <c r="AX14" s="3">
        <f t="shared" si="25"/>
        <v>182860.73620357606</v>
      </c>
      <c r="AY14" s="3">
        <f t="shared" si="3"/>
        <v>0</v>
      </c>
      <c r="AZ14" s="3">
        <f t="shared" si="3"/>
        <v>0</v>
      </c>
      <c r="BA14" s="3">
        <f t="shared" si="3"/>
        <v>0</v>
      </c>
      <c r="BB14" s="3">
        <f t="shared" si="26"/>
        <v>182860.73620357606</v>
      </c>
      <c r="BC14" s="7" t="s">
        <v>97</v>
      </c>
      <c r="BD14" s="2" t="s">
        <v>25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7" t="s">
        <v>97</v>
      </c>
      <c r="BK14" s="2" t="s">
        <v>25</v>
      </c>
      <c r="BL14" s="3">
        <v>25682.709417488448</v>
      </c>
      <c r="BM14" s="3">
        <v>0</v>
      </c>
      <c r="BN14" s="3">
        <v>0</v>
      </c>
      <c r="BO14" s="3">
        <v>0</v>
      </c>
      <c r="BP14" s="3">
        <v>25682.709417488448</v>
      </c>
      <c r="BQ14" s="7" t="s">
        <v>97</v>
      </c>
      <c r="BR14" s="2" t="s">
        <v>25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7" t="s">
        <v>97</v>
      </c>
      <c r="BY14" s="2" t="s">
        <v>25</v>
      </c>
      <c r="BZ14" s="3">
        <v>14742.51134176401</v>
      </c>
      <c r="CA14" s="3">
        <v>0</v>
      </c>
      <c r="CB14" s="3">
        <v>0</v>
      </c>
      <c r="CC14" s="3">
        <v>0</v>
      </c>
      <c r="CD14" s="3">
        <v>14742.51134176401</v>
      </c>
      <c r="CE14" s="7" t="s">
        <v>97</v>
      </c>
      <c r="CF14" s="2" t="s">
        <v>25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7" t="s">
        <v>97</v>
      </c>
      <c r="CM14" s="2" t="s">
        <v>25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7" t="s">
        <v>97</v>
      </c>
      <c r="CT14" s="2" t="s">
        <v>25</v>
      </c>
      <c r="CU14" s="3">
        <v>11.426113011959766</v>
      </c>
      <c r="CV14" s="3">
        <v>0</v>
      </c>
      <c r="CW14" s="3">
        <v>0</v>
      </c>
      <c r="CX14" s="3">
        <v>0</v>
      </c>
      <c r="CY14" s="3">
        <v>11.426113011959766</v>
      </c>
      <c r="CZ14" s="7" t="s">
        <v>97</v>
      </c>
      <c r="DA14" s="2" t="s">
        <v>25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7" t="s">
        <v>97</v>
      </c>
      <c r="DH14" s="2" t="s">
        <v>25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7" t="s">
        <v>97</v>
      </c>
      <c r="DO14" s="2" t="s">
        <v>25</v>
      </c>
      <c r="DP14" s="3">
        <v>16863.872665940915</v>
      </c>
      <c r="DQ14" s="3">
        <v>0</v>
      </c>
      <c r="DR14" s="3">
        <v>0</v>
      </c>
      <c r="DS14" s="3">
        <v>0</v>
      </c>
      <c r="DT14" s="3">
        <v>16863.872665940915</v>
      </c>
      <c r="DU14" s="7" t="s">
        <v>97</v>
      </c>
      <c r="DV14" s="2" t="s">
        <v>25</v>
      </c>
      <c r="DW14" s="3">
        <v>51888.183478604173</v>
      </c>
      <c r="DX14" s="3">
        <v>0</v>
      </c>
      <c r="DY14" s="3">
        <v>0</v>
      </c>
      <c r="DZ14" s="3">
        <v>0</v>
      </c>
      <c r="EA14" s="3">
        <v>51888.183478604173</v>
      </c>
      <c r="EB14" s="7" t="s">
        <v>97</v>
      </c>
      <c r="EC14" s="2" t="s">
        <v>25</v>
      </c>
      <c r="ED14" s="3">
        <v>130972.55272497189</v>
      </c>
      <c r="EE14" s="3">
        <v>0</v>
      </c>
      <c r="EF14" s="3">
        <v>0</v>
      </c>
      <c r="EG14" s="3">
        <v>0</v>
      </c>
      <c r="EH14" s="3">
        <v>130972.55272497189</v>
      </c>
    </row>
    <row r="15" spans="1:138" ht="10.199999999999999" customHeight="1" x14ac:dyDescent="0.2">
      <c r="A15" s="7" t="s">
        <v>117</v>
      </c>
      <c r="B15" s="2" t="s">
        <v>45</v>
      </c>
      <c r="C15" s="3">
        <f t="shared" si="4"/>
        <v>0</v>
      </c>
      <c r="D15" s="3">
        <f t="shared" si="5"/>
        <v>0</v>
      </c>
      <c r="E15" s="3">
        <f t="shared" si="6"/>
        <v>33620412.673988</v>
      </c>
      <c r="F15" s="3">
        <f t="shared" si="7"/>
        <v>284336.69955817732</v>
      </c>
      <c r="G15" s="3">
        <f t="shared" si="8"/>
        <v>8365.1722314992694</v>
      </c>
      <c r="H15" s="3">
        <f t="shared" si="9"/>
        <v>0</v>
      </c>
      <c r="I15" s="3">
        <f t="shared" si="10"/>
        <v>0</v>
      </c>
      <c r="J15" s="3">
        <f t="shared" si="11"/>
        <v>1318.3648430058304</v>
      </c>
      <c r="K15" s="3">
        <f t="shared" si="12"/>
        <v>186953.0022800134</v>
      </c>
      <c r="L15" s="3">
        <f t="shared" si="13"/>
        <v>55024.309750983011</v>
      </c>
      <c r="M15" s="3">
        <f t="shared" si="14"/>
        <v>173797.30683049335</v>
      </c>
      <c r="N15" s="3">
        <f t="shared" si="15"/>
        <v>16607540.090993095</v>
      </c>
      <c r="O15" s="3">
        <f t="shared" si="16"/>
        <v>50937747.620475262</v>
      </c>
      <c r="P15" s="7" t="s">
        <v>117</v>
      </c>
      <c r="Q15" s="2" t="s">
        <v>45</v>
      </c>
      <c r="R15" s="3">
        <f t="shared" si="17"/>
        <v>0</v>
      </c>
      <c r="S15" s="3">
        <f t="shared" si="17"/>
        <v>0</v>
      </c>
      <c r="T15" s="3">
        <f t="shared" si="17"/>
        <v>33620412.673988</v>
      </c>
      <c r="U15" s="3">
        <f t="shared" si="17"/>
        <v>284336.69955817732</v>
      </c>
      <c r="V15" s="3">
        <f t="shared" si="17"/>
        <v>8365.1722314992694</v>
      </c>
      <c r="W15" s="3">
        <f t="shared" si="17"/>
        <v>0</v>
      </c>
      <c r="X15" s="3">
        <f t="shared" si="17"/>
        <v>0</v>
      </c>
      <c r="Y15" s="3">
        <f t="shared" si="17"/>
        <v>1318.3648430058304</v>
      </c>
      <c r="Z15" s="3">
        <f t="shared" si="17"/>
        <v>186953.0022800134</v>
      </c>
      <c r="AA15" s="3">
        <f t="shared" si="17"/>
        <v>55024.309750983011</v>
      </c>
      <c r="AB15" s="3">
        <f t="shared" si="18"/>
        <v>34156410.222651675</v>
      </c>
      <c r="AC15" s="7" t="s">
        <v>117</v>
      </c>
      <c r="AD15" s="2" t="s">
        <v>45</v>
      </c>
      <c r="AE15" s="3">
        <f t="shared" si="19"/>
        <v>173797.30683049335</v>
      </c>
      <c r="AF15" s="3">
        <f t="shared" si="19"/>
        <v>16607540.090993095</v>
      </c>
      <c r="AG15" s="3">
        <f t="shared" si="20"/>
        <v>16781337.397823587</v>
      </c>
      <c r="AH15" s="7" t="s">
        <v>117</v>
      </c>
      <c r="AI15" s="2" t="s">
        <v>45</v>
      </c>
      <c r="AJ15" s="3">
        <f t="shared" si="21"/>
        <v>323788.96689998219</v>
      </c>
      <c r="AK15" s="3">
        <f t="shared" si="1"/>
        <v>5725539.5199588872</v>
      </c>
      <c r="AL15" s="3">
        <f t="shared" si="1"/>
        <v>28861.275589979927</v>
      </c>
      <c r="AM15" s="3">
        <f t="shared" si="1"/>
        <v>44859557.858026415</v>
      </c>
      <c r="AN15" s="3">
        <f t="shared" si="22"/>
        <v>50937747.620475262</v>
      </c>
      <c r="AO15" s="7" t="s">
        <v>117</v>
      </c>
      <c r="AP15" s="2" t="s">
        <v>45</v>
      </c>
      <c r="AQ15" s="3">
        <f t="shared" si="23"/>
        <v>190056.74772049842</v>
      </c>
      <c r="AR15" s="3">
        <f t="shared" si="2"/>
        <v>341125.41999304842</v>
      </c>
      <c r="AS15" s="3">
        <f t="shared" si="2"/>
        <v>4815.3809501319365</v>
      </c>
      <c r="AT15" s="3">
        <f t="shared" si="2"/>
        <v>33620412.673988</v>
      </c>
      <c r="AU15" s="3">
        <f t="shared" si="24"/>
        <v>34156410.222651675</v>
      </c>
      <c r="AV15" s="7" t="s">
        <v>117</v>
      </c>
      <c r="AW15" s="2" t="s">
        <v>45</v>
      </c>
      <c r="AX15" s="3">
        <f t="shared" si="25"/>
        <v>133732.2191794838</v>
      </c>
      <c r="AY15" s="3">
        <f t="shared" si="3"/>
        <v>5384414.0999658387</v>
      </c>
      <c r="AZ15" s="3">
        <f t="shared" si="3"/>
        <v>24045.894639847989</v>
      </c>
      <c r="BA15" s="3">
        <f t="shared" si="3"/>
        <v>11239145.184038417</v>
      </c>
      <c r="BB15" s="3">
        <f t="shared" si="26"/>
        <v>16781337.397823587</v>
      </c>
      <c r="BC15" s="7" t="s">
        <v>117</v>
      </c>
      <c r="BD15" s="2" t="s">
        <v>45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7" t="s">
        <v>117</v>
      </c>
      <c r="BK15" s="2" t="s">
        <v>45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7" t="s">
        <v>117</v>
      </c>
      <c r="BR15" s="2" t="s">
        <v>45</v>
      </c>
      <c r="BS15" s="3">
        <v>0</v>
      </c>
      <c r="BT15" s="3">
        <v>0</v>
      </c>
      <c r="BU15" s="3">
        <v>0</v>
      </c>
      <c r="BV15" s="3">
        <v>33620412.673988</v>
      </c>
      <c r="BW15" s="3">
        <v>33620412.673988</v>
      </c>
      <c r="BX15" s="7" t="s">
        <v>117</v>
      </c>
      <c r="BY15" s="2" t="s">
        <v>45</v>
      </c>
      <c r="BZ15" s="3">
        <v>109588.2712598425</v>
      </c>
      <c r="CA15" s="3">
        <v>174744.80096087069</v>
      </c>
      <c r="CB15" s="3">
        <v>3.6273374641142118</v>
      </c>
      <c r="CC15" s="3">
        <v>0</v>
      </c>
      <c r="CD15" s="3">
        <v>284336.69955817732</v>
      </c>
      <c r="CE15" s="7" t="s">
        <v>117</v>
      </c>
      <c r="CF15" s="2" t="s">
        <v>45</v>
      </c>
      <c r="CG15" s="3">
        <v>4984.5209886183211</v>
      </c>
      <c r="CH15" s="3">
        <v>3380.6512428809478</v>
      </c>
      <c r="CI15" s="3">
        <v>0</v>
      </c>
      <c r="CJ15" s="3">
        <v>0</v>
      </c>
      <c r="CK15" s="3">
        <v>8365.1722314992694</v>
      </c>
      <c r="CL15" s="7" t="s">
        <v>117</v>
      </c>
      <c r="CM15" s="2" t="s">
        <v>45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7" t="s">
        <v>117</v>
      </c>
      <c r="CT15" s="2" t="s">
        <v>45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7" t="s">
        <v>117</v>
      </c>
      <c r="DA15" s="2" t="s">
        <v>45</v>
      </c>
      <c r="DB15" s="3">
        <v>19141.280878048779</v>
      </c>
      <c r="DC15" s="3">
        <v>162999.96778929682</v>
      </c>
      <c r="DD15" s="3">
        <v>4811.7536126678224</v>
      </c>
      <c r="DE15" s="3">
        <v>0</v>
      </c>
      <c r="DF15" s="3">
        <v>186953.0022800134</v>
      </c>
      <c r="DG15" s="7" t="s">
        <v>117</v>
      </c>
      <c r="DH15" s="2" t="s">
        <v>45</v>
      </c>
      <c r="DI15" s="3">
        <v>1318.3648430058304</v>
      </c>
      <c r="DJ15" s="3">
        <v>0</v>
      </c>
      <c r="DK15" s="3">
        <v>0</v>
      </c>
      <c r="DL15" s="3">
        <v>0</v>
      </c>
      <c r="DM15" s="3">
        <v>1318.3648430058304</v>
      </c>
      <c r="DN15" s="7" t="s">
        <v>117</v>
      </c>
      <c r="DO15" s="2" t="s">
        <v>45</v>
      </c>
      <c r="DP15" s="3">
        <v>55024.309750983011</v>
      </c>
      <c r="DQ15" s="3">
        <v>0</v>
      </c>
      <c r="DR15" s="3">
        <v>0</v>
      </c>
      <c r="DS15" s="3">
        <v>0</v>
      </c>
      <c r="DT15" s="3">
        <v>55024.309750983011</v>
      </c>
      <c r="DU15" s="7" t="s">
        <v>117</v>
      </c>
      <c r="DV15" s="2" t="s">
        <v>45</v>
      </c>
      <c r="DW15" s="3">
        <v>38803.94757281553</v>
      </c>
      <c r="DX15" s="3">
        <v>5305545.0647420138</v>
      </c>
      <c r="DY15" s="3">
        <v>24045.894639847989</v>
      </c>
      <c r="DZ15" s="3">
        <v>11239145.184038417</v>
      </c>
      <c r="EA15" s="3">
        <v>16607540.090993095</v>
      </c>
      <c r="EB15" s="7" t="s">
        <v>117</v>
      </c>
      <c r="EC15" s="2" t="s">
        <v>45</v>
      </c>
      <c r="ED15" s="3">
        <v>94928.271606668262</v>
      </c>
      <c r="EE15" s="3">
        <v>78869.035223825093</v>
      </c>
      <c r="EF15" s="3">
        <v>0</v>
      </c>
      <c r="EG15" s="3">
        <v>0</v>
      </c>
      <c r="EH15" s="3">
        <v>173797.30683049335</v>
      </c>
    </row>
    <row r="16" spans="1:138" ht="10.199999999999999" customHeight="1" x14ac:dyDescent="0.2">
      <c r="A16" s="7" t="s">
        <v>114</v>
      </c>
      <c r="B16" s="2" t="s">
        <v>42</v>
      </c>
      <c r="C16" s="3">
        <f t="shared" si="4"/>
        <v>2749.2071428571426</v>
      </c>
      <c r="D16" s="3">
        <f t="shared" si="5"/>
        <v>159954.47040834889</v>
      </c>
      <c r="E16" s="3">
        <f t="shared" si="6"/>
        <v>130138.31920755854</v>
      </c>
      <c r="F16" s="3">
        <f t="shared" si="7"/>
        <v>154536.168590705</v>
      </c>
      <c r="G16" s="3">
        <f t="shared" si="8"/>
        <v>1088.2012392342635</v>
      </c>
      <c r="H16" s="3">
        <f t="shared" si="9"/>
        <v>0</v>
      </c>
      <c r="I16" s="3">
        <f t="shared" si="10"/>
        <v>48788.253439978347</v>
      </c>
      <c r="J16" s="3">
        <f t="shared" si="11"/>
        <v>2543.5538461538381</v>
      </c>
      <c r="K16" s="3">
        <f t="shared" si="12"/>
        <v>90128.339665715292</v>
      </c>
      <c r="L16" s="3">
        <f t="shared" si="13"/>
        <v>232345.58737710703</v>
      </c>
      <c r="M16" s="3">
        <f t="shared" si="14"/>
        <v>473417.79578170215</v>
      </c>
      <c r="N16" s="3">
        <f t="shared" si="15"/>
        <v>6103.9381197817856</v>
      </c>
      <c r="O16" s="3">
        <f t="shared" si="16"/>
        <v>1301793.8348191422</v>
      </c>
      <c r="P16" s="7" t="s">
        <v>114</v>
      </c>
      <c r="Q16" s="2" t="s">
        <v>42</v>
      </c>
      <c r="R16" s="3">
        <f t="shared" si="17"/>
        <v>2749.2071428571426</v>
      </c>
      <c r="S16" s="3">
        <f t="shared" si="17"/>
        <v>159954.47040834889</v>
      </c>
      <c r="T16" s="3">
        <f t="shared" si="17"/>
        <v>130138.31920755854</v>
      </c>
      <c r="U16" s="3">
        <f t="shared" si="17"/>
        <v>154536.168590705</v>
      </c>
      <c r="V16" s="3">
        <f t="shared" si="17"/>
        <v>1088.2012392342635</v>
      </c>
      <c r="W16" s="3">
        <f t="shared" si="17"/>
        <v>0</v>
      </c>
      <c r="X16" s="3">
        <f t="shared" si="17"/>
        <v>48788.253439978347</v>
      </c>
      <c r="Y16" s="3">
        <f t="shared" si="17"/>
        <v>2543.5538461538381</v>
      </c>
      <c r="Z16" s="3">
        <f t="shared" si="17"/>
        <v>90128.339665715292</v>
      </c>
      <c r="AA16" s="3">
        <f t="shared" si="17"/>
        <v>232345.58737710703</v>
      </c>
      <c r="AB16" s="3">
        <f t="shared" si="18"/>
        <v>822272.1009176583</v>
      </c>
      <c r="AC16" s="7" t="s">
        <v>114</v>
      </c>
      <c r="AD16" s="2" t="s">
        <v>42</v>
      </c>
      <c r="AE16" s="3">
        <f t="shared" si="19"/>
        <v>473417.79578170215</v>
      </c>
      <c r="AF16" s="3">
        <f t="shared" si="19"/>
        <v>6103.9381197817856</v>
      </c>
      <c r="AG16" s="3">
        <f t="shared" si="20"/>
        <v>479521.73390148394</v>
      </c>
      <c r="AH16" s="7" t="s">
        <v>114</v>
      </c>
      <c r="AI16" s="2" t="s">
        <v>42</v>
      </c>
      <c r="AJ16" s="3">
        <f t="shared" si="21"/>
        <v>670643.06304610928</v>
      </c>
      <c r="AK16" s="3">
        <f t="shared" si="1"/>
        <v>386820.3080468938</v>
      </c>
      <c r="AL16" s="3">
        <f t="shared" si="1"/>
        <v>13678.808545263077</v>
      </c>
      <c r="AM16" s="3">
        <f t="shared" si="1"/>
        <v>230651.65518087609</v>
      </c>
      <c r="AN16" s="3">
        <f t="shared" si="22"/>
        <v>1301793.8348191422</v>
      </c>
      <c r="AO16" s="7" t="s">
        <v>114</v>
      </c>
      <c r="AP16" s="2" t="s">
        <v>42</v>
      </c>
      <c r="AQ16" s="3">
        <f t="shared" si="23"/>
        <v>191121.32914462534</v>
      </c>
      <c r="AR16" s="3">
        <f t="shared" si="2"/>
        <v>386820.3080468938</v>
      </c>
      <c r="AS16" s="3">
        <f t="shared" si="2"/>
        <v>13678.808545263077</v>
      </c>
      <c r="AT16" s="3">
        <f t="shared" si="2"/>
        <v>230651.65518087609</v>
      </c>
      <c r="AU16" s="3">
        <f t="shared" si="24"/>
        <v>822272.1009176583</v>
      </c>
      <c r="AV16" s="7" t="s">
        <v>114</v>
      </c>
      <c r="AW16" s="2" t="s">
        <v>42</v>
      </c>
      <c r="AX16" s="3">
        <f t="shared" si="25"/>
        <v>479521.73390148394</v>
      </c>
      <c r="AY16" s="3">
        <f t="shared" si="3"/>
        <v>0</v>
      </c>
      <c r="AZ16" s="3">
        <f t="shared" si="3"/>
        <v>0</v>
      </c>
      <c r="BA16" s="3">
        <f t="shared" si="3"/>
        <v>0</v>
      </c>
      <c r="BB16" s="3">
        <f t="shared" si="26"/>
        <v>479521.73390148394</v>
      </c>
      <c r="BC16" s="7" t="s">
        <v>114</v>
      </c>
      <c r="BD16" s="2" t="s">
        <v>42</v>
      </c>
      <c r="BE16" s="3">
        <v>2749.2071428571426</v>
      </c>
      <c r="BF16" s="3">
        <v>0</v>
      </c>
      <c r="BG16" s="3">
        <v>0</v>
      </c>
      <c r="BH16" s="3">
        <v>0</v>
      </c>
      <c r="BI16" s="3">
        <v>2749.2071428571426</v>
      </c>
      <c r="BJ16" s="7" t="s">
        <v>114</v>
      </c>
      <c r="BK16" s="2" t="s">
        <v>42</v>
      </c>
      <c r="BL16" s="3">
        <v>0</v>
      </c>
      <c r="BM16" s="3">
        <v>159954.47040834889</v>
      </c>
      <c r="BN16" s="3">
        <v>0</v>
      </c>
      <c r="BO16" s="3">
        <v>0</v>
      </c>
      <c r="BP16" s="3">
        <v>159954.47040834889</v>
      </c>
      <c r="BQ16" s="7" t="s">
        <v>114</v>
      </c>
      <c r="BR16" s="2" t="s">
        <v>42</v>
      </c>
      <c r="BS16" s="3">
        <v>0</v>
      </c>
      <c r="BT16" s="3">
        <v>0</v>
      </c>
      <c r="BU16" s="3">
        <v>0</v>
      </c>
      <c r="BV16" s="3">
        <v>130138.31920755854</v>
      </c>
      <c r="BW16" s="3">
        <v>130138.31920755854</v>
      </c>
      <c r="BX16" s="7" t="s">
        <v>114</v>
      </c>
      <c r="BY16" s="2" t="s">
        <v>42</v>
      </c>
      <c r="BZ16" s="3">
        <v>40344.024072124354</v>
      </c>
      <c r="CA16" s="3">
        <v>0</v>
      </c>
      <c r="CB16" s="3">
        <v>13678.808545263077</v>
      </c>
      <c r="CC16" s="3">
        <v>100513.33597331756</v>
      </c>
      <c r="CD16" s="3">
        <v>154536.168590705</v>
      </c>
      <c r="CE16" s="7" t="s">
        <v>114</v>
      </c>
      <c r="CF16" s="2" t="s">
        <v>42</v>
      </c>
      <c r="CG16" s="3">
        <v>1088.2012392342635</v>
      </c>
      <c r="CH16" s="3">
        <v>0</v>
      </c>
      <c r="CI16" s="3">
        <v>0</v>
      </c>
      <c r="CJ16" s="3">
        <v>0</v>
      </c>
      <c r="CK16" s="3">
        <v>1088.2012392342635</v>
      </c>
      <c r="CL16" s="7" t="s">
        <v>114</v>
      </c>
      <c r="CM16" s="2" t="s">
        <v>42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7" t="s">
        <v>114</v>
      </c>
      <c r="CT16" s="2" t="s">
        <v>42</v>
      </c>
      <c r="CU16" s="3">
        <v>48788.253439978347</v>
      </c>
      <c r="CV16" s="3">
        <v>0</v>
      </c>
      <c r="CW16" s="3">
        <v>0</v>
      </c>
      <c r="CX16" s="3">
        <v>0</v>
      </c>
      <c r="CY16" s="3">
        <v>48788.253439978347</v>
      </c>
      <c r="CZ16" s="7" t="s">
        <v>114</v>
      </c>
      <c r="DA16" s="2" t="s">
        <v>42</v>
      </c>
      <c r="DB16" s="3">
        <v>90128.339665715292</v>
      </c>
      <c r="DC16" s="3">
        <v>0</v>
      </c>
      <c r="DD16" s="3">
        <v>0</v>
      </c>
      <c r="DE16" s="3">
        <v>0</v>
      </c>
      <c r="DF16" s="3">
        <v>90128.339665715292</v>
      </c>
      <c r="DG16" s="7" t="s">
        <v>114</v>
      </c>
      <c r="DH16" s="2" t="s">
        <v>42</v>
      </c>
      <c r="DI16" s="3">
        <v>2543.5538461538381</v>
      </c>
      <c r="DJ16" s="3">
        <v>0</v>
      </c>
      <c r="DK16" s="3">
        <v>0</v>
      </c>
      <c r="DL16" s="3">
        <v>0</v>
      </c>
      <c r="DM16" s="3">
        <v>2543.5538461538381</v>
      </c>
      <c r="DN16" s="7" t="s">
        <v>114</v>
      </c>
      <c r="DO16" s="2" t="s">
        <v>42</v>
      </c>
      <c r="DP16" s="3">
        <v>5479.7497385620918</v>
      </c>
      <c r="DQ16" s="3">
        <v>226865.83763854494</v>
      </c>
      <c r="DR16" s="3">
        <v>0</v>
      </c>
      <c r="DS16" s="3">
        <v>0</v>
      </c>
      <c r="DT16" s="3">
        <v>232345.58737710703</v>
      </c>
      <c r="DU16" s="7" t="s">
        <v>114</v>
      </c>
      <c r="DV16" s="2" t="s">
        <v>42</v>
      </c>
      <c r="DW16" s="3">
        <v>6103.9381197817856</v>
      </c>
      <c r="DX16" s="3">
        <v>0</v>
      </c>
      <c r="DY16" s="3">
        <v>0</v>
      </c>
      <c r="DZ16" s="3">
        <v>0</v>
      </c>
      <c r="EA16" s="3">
        <v>6103.9381197817856</v>
      </c>
      <c r="EB16" s="7" t="s">
        <v>114</v>
      </c>
      <c r="EC16" s="2" t="s">
        <v>42</v>
      </c>
      <c r="ED16" s="3">
        <v>473417.79578170215</v>
      </c>
      <c r="EE16" s="3">
        <v>0</v>
      </c>
      <c r="EF16" s="3">
        <v>0</v>
      </c>
      <c r="EG16" s="3">
        <v>0</v>
      </c>
      <c r="EH16" s="3">
        <v>473417.79578170215</v>
      </c>
    </row>
    <row r="17" spans="1:138" ht="10.199999999999999" customHeight="1" x14ac:dyDescent="0.2">
      <c r="A17" s="7" t="s">
        <v>112</v>
      </c>
      <c r="B17" s="2" t="s">
        <v>40</v>
      </c>
      <c r="C17" s="3">
        <f t="shared" si="4"/>
        <v>0</v>
      </c>
      <c r="D17" s="3">
        <f t="shared" si="5"/>
        <v>0</v>
      </c>
      <c r="E17" s="3">
        <f t="shared" si="6"/>
        <v>52362444.594037212</v>
      </c>
      <c r="F17" s="3">
        <f t="shared" si="7"/>
        <v>174378.13462671128</v>
      </c>
      <c r="G17" s="3">
        <f t="shared" si="8"/>
        <v>13183.225555555546</v>
      </c>
      <c r="H17" s="3">
        <f t="shared" si="9"/>
        <v>1591284.8137249434</v>
      </c>
      <c r="I17" s="3">
        <f t="shared" si="10"/>
        <v>141378.56491522148</v>
      </c>
      <c r="J17" s="3">
        <f t="shared" si="11"/>
        <v>522.33659483244651</v>
      </c>
      <c r="K17" s="3">
        <f t="shared" si="12"/>
        <v>316402.25231242471</v>
      </c>
      <c r="L17" s="3">
        <f t="shared" si="13"/>
        <v>72928.941977860944</v>
      </c>
      <c r="M17" s="3">
        <f t="shared" si="14"/>
        <v>0</v>
      </c>
      <c r="N17" s="3">
        <f t="shared" si="15"/>
        <v>99596.861370729195</v>
      </c>
      <c r="O17" s="3">
        <f t="shared" si="16"/>
        <v>54772119.725115485</v>
      </c>
      <c r="P17" s="7" t="s">
        <v>112</v>
      </c>
      <c r="Q17" s="2" t="s">
        <v>40</v>
      </c>
      <c r="R17" s="3">
        <f t="shared" si="17"/>
        <v>0</v>
      </c>
      <c r="S17" s="3">
        <f t="shared" si="17"/>
        <v>0</v>
      </c>
      <c r="T17" s="3">
        <f t="shared" si="17"/>
        <v>52362444.594037212</v>
      </c>
      <c r="U17" s="3">
        <f t="shared" si="17"/>
        <v>174378.13462671128</v>
      </c>
      <c r="V17" s="3">
        <f t="shared" si="17"/>
        <v>13183.225555555546</v>
      </c>
      <c r="W17" s="3">
        <f t="shared" si="17"/>
        <v>1591284.8137249434</v>
      </c>
      <c r="X17" s="3">
        <f t="shared" si="17"/>
        <v>141378.56491522148</v>
      </c>
      <c r="Y17" s="3">
        <f t="shared" si="17"/>
        <v>522.33659483244651</v>
      </c>
      <c r="Z17" s="3">
        <f t="shared" si="17"/>
        <v>316402.25231242471</v>
      </c>
      <c r="AA17" s="3">
        <f t="shared" si="17"/>
        <v>72928.941977860944</v>
      </c>
      <c r="AB17" s="3">
        <f t="shared" si="18"/>
        <v>54672522.863744758</v>
      </c>
      <c r="AC17" s="7" t="s">
        <v>112</v>
      </c>
      <c r="AD17" s="2" t="s">
        <v>40</v>
      </c>
      <c r="AE17" s="3">
        <f t="shared" si="19"/>
        <v>0</v>
      </c>
      <c r="AF17" s="3">
        <f t="shared" si="19"/>
        <v>99596.861370729195</v>
      </c>
      <c r="AG17" s="3">
        <f t="shared" si="20"/>
        <v>99596.861370729195</v>
      </c>
      <c r="AH17" s="7" t="s">
        <v>112</v>
      </c>
      <c r="AI17" s="2" t="s">
        <v>40</v>
      </c>
      <c r="AJ17" s="3">
        <f t="shared" si="21"/>
        <v>763547.42749831511</v>
      </c>
      <c r="AK17" s="3">
        <f t="shared" si="1"/>
        <v>54610.122129608688</v>
      </c>
      <c r="AL17" s="3">
        <f t="shared" si="1"/>
        <v>0</v>
      </c>
      <c r="AM17" s="3">
        <f t="shared" si="1"/>
        <v>53953962.17548757</v>
      </c>
      <c r="AN17" s="3">
        <f t="shared" si="22"/>
        <v>54772119.725115493</v>
      </c>
      <c r="AO17" s="7" t="s">
        <v>112</v>
      </c>
      <c r="AP17" s="2" t="s">
        <v>40</v>
      </c>
      <c r="AQ17" s="3">
        <f t="shared" si="23"/>
        <v>663950.56612758595</v>
      </c>
      <c r="AR17" s="3">
        <f t="shared" si="2"/>
        <v>54610.122129608688</v>
      </c>
      <c r="AS17" s="3">
        <f t="shared" si="2"/>
        <v>0</v>
      </c>
      <c r="AT17" s="3">
        <f t="shared" si="2"/>
        <v>53953962.17548757</v>
      </c>
      <c r="AU17" s="3">
        <f t="shared" si="24"/>
        <v>54672522.863744766</v>
      </c>
      <c r="AV17" s="7" t="s">
        <v>112</v>
      </c>
      <c r="AW17" s="2" t="s">
        <v>40</v>
      </c>
      <c r="AX17" s="3">
        <f t="shared" si="25"/>
        <v>99596.861370729195</v>
      </c>
      <c r="AY17" s="3">
        <f t="shared" si="3"/>
        <v>0</v>
      </c>
      <c r="AZ17" s="3">
        <f t="shared" si="3"/>
        <v>0</v>
      </c>
      <c r="BA17" s="3">
        <f t="shared" si="3"/>
        <v>0</v>
      </c>
      <c r="BB17" s="3">
        <f t="shared" si="26"/>
        <v>99596.861370729195</v>
      </c>
      <c r="BC17" s="7" t="s">
        <v>112</v>
      </c>
      <c r="BD17" s="2" t="s">
        <v>40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7" t="s">
        <v>112</v>
      </c>
      <c r="BK17" s="2" t="s">
        <v>40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7" t="s">
        <v>112</v>
      </c>
      <c r="BR17" s="2" t="s">
        <v>40</v>
      </c>
      <c r="BS17" s="3">
        <v>0</v>
      </c>
      <c r="BT17" s="3">
        <v>0</v>
      </c>
      <c r="BU17" s="3">
        <v>0</v>
      </c>
      <c r="BV17" s="3">
        <v>52362444.594037212</v>
      </c>
      <c r="BW17" s="3">
        <v>52362444.594037212</v>
      </c>
      <c r="BX17" s="7" t="s">
        <v>112</v>
      </c>
      <c r="BY17" s="2" t="s">
        <v>40</v>
      </c>
      <c r="BZ17" s="3">
        <v>174378.13462671128</v>
      </c>
      <c r="CA17" s="3">
        <v>0</v>
      </c>
      <c r="CB17" s="3">
        <v>0</v>
      </c>
      <c r="CC17" s="3">
        <v>0</v>
      </c>
      <c r="CD17" s="3">
        <v>174378.13462671128</v>
      </c>
      <c r="CE17" s="7" t="s">
        <v>112</v>
      </c>
      <c r="CF17" s="2" t="s">
        <v>40</v>
      </c>
      <c r="CG17" s="3">
        <v>13183.225555555546</v>
      </c>
      <c r="CH17" s="3">
        <v>0</v>
      </c>
      <c r="CI17" s="3">
        <v>0</v>
      </c>
      <c r="CJ17" s="3">
        <v>0</v>
      </c>
      <c r="CK17" s="3">
        <v>13183.225555555546</v>
      </c>
      <c r="CL17" s="7" t="s">
        <v>112</v>
      </c>
      <c r="CM17" s="2" t="s">
        <v>40</v>
      </c>
      <c r="CN17" s="3">
        <v>0</v>
      </c>
      <c r="CO17" s="3">
        <v>0</v>
      </c>
      <c r="CP17" s="3">
        <v>0</v>
      </c>
      <c r="CQ17" s="3">
        <v>1591284.8137249434</v>
      </c>
      <c r="CR17" s="3">
        <v>1591284.8137249434</v>
      </c>
      <c r="CS17" s="7" t="s">
        <v>112</v>
      </c>
      <c r="CT17" s="2" t="s">
        <v>40</v>
      </c>
      <c r="CU17" s="3">
        <v>141378.56491522148</v>
      </c>
      <c r="CV17" s="3">
        <v>0</v>
      </c>
      <c r="CW17" s="3">
        <v>0</v>
      </c>
      <c r="CX17" s="3">
        <v>0</v>
      </c>
      <c r="CY17" s="3">
        <v>141378.56491522148</v>
      </c>
      <c r="CZ17" s="7" t="s">
        <v>112</v>
      </c>
      <c r="DA17" s="2" t="s">
        <v>40</v>
      </c>
      <c r="DB17" s="3">
        <v>261792.13018281604</v>
      </c>
      <c r="DC17" s="3">
        <v>54610.122129608688</v>
      </c>
      <c r="DD17" s="3">
        <v>0</v>
      </c>
      <c r="DE17" s="3">
        <v>0</v>
      </c>
      <c r="DF17" s="3">
        <v>316402.25231242471</v>
      </c>
      <c r="DG17" s="7" t="s">
        <v>112</v>
      </c>
      <c r="DH17" s="2" t="s">
        <v>40</v>
      </c>
      <c r="DI17" s="3">
        <v>522.33659483244651</v>
      </c>
      <c r="DJ17" s="3">
        <v>0</v>
      </c>
      <c r="DK17" s="3">
        <v>0</v>
      </c>
      <c r="DL17" s="3">
        <v>0</v>
      </c>
      <c r="DM17" s="3">
        <v>522.33659483244651</v>
      </c>
      <c r="DN17" s="7" t="s">
        <v>112</v>
      </c>
      <c r="DO17" s="2" t="s">
        <v>40</v>
      </c>
      <c r="DP17" s="3">
        <v>72696.174252449055</v>
      </c>
      <c r="DQ17" s="3">
        <v>0</v>
      </c>
      <c r="DR17" s="3">
        <v>0</v>
      </c>
      <c r="DS17" s="3">
        <v>232.76772541189331</v>
      </c>
      <c r="DT17" s="3">
        <v>72928.941977860944</v>
      </c>
      <c r="DU17" s="7" t="s">
        <v>112</v>
      </c>
      <c r="DV17" s="2" t="s">
        <v>40</v>
      </c>
      <c r="DW17" s="3">
        <v>99596.861370729195</v>
      </c>
      <c r="DX17" s="3">
        <v>0</v>
      </c>
      <c r="DY17" s="3">
        <v>0</v>
      </c>
      <c r="DZ17" s="3">
        <v>0</v>
      </c>
      <c r="EA17" s="3">
        <v>99596.861370729195</v>
      </c>
      <c r="EB17" s="7" t="s">
        <v>112</v>
      </c>
      <c r="EC17" s="2" t="s">
        <v>40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</row>
    <row r="18" spans="1:138" ht="10.199999999999999" customHeight="1" x14ac:dyDescent="0.2">
      <c r="A18" s="7" t="s">
        <v>116</v>
      </c>
      <c r="B18" s="2" t="s">
        <v>44</v>
      </c>
      <c r="C18" s="3">
        <f t="shared" si="4"/>
        <v>15085.282789068118</v>
      </c>
      <c r="D18" s="3">
        <f t="shared" si="5"/>
        <v>1455846.7715391079</v>
      </c>
      <c r="E18" s="3">
        <f t="shared" si="6"/>
        <v>8377541.8692681054</v>
      </c>
      <c r="F18" s="3">
        <f t="shared" si="7"/>
        <v>24771.806269397985</v>
      </c>
      <c r="G18" s="3">
        <f t="shared" si="8"/>
        <v>58843.406959413594</v>
      </c>
      <c r="H18" s="3">
        <f t="shared" si="9"/>
        <v>34386.141254029695</v>
      </c>
      <c r="I18" s="3">
        <f t="shared" si="10"/>
        <v>30686.694826927815</v>
      </c>
      <c r="J18" s="3">
        <f t="shared" si="11"/>
        <v>240671.33815509436</v>
      </c>
      <c r="K18" s="3">
        <f t="shared" si="12"/>
        <v>169993.32151671627</v>
      </c>
      <c r="L18" s="3">
        <f t="shared" si="13"/>
        <v>6979325.6389425471</v>
      </c>
      <c r="M18" s="3">
        <f t="shared" si="14"/>
        <v>153982.4231605301</v>
      </c>
      <c r="N18" s="3">
        <f t="shared" si="15"/>
        <v>84722135.309937477</v>
      </c>
      <c r="O18" s="3">
        <f t="shared" si="16"/>
        <v>102263270.00461842</v>
      </c>
      <c r="P18" s="7" t="s">
        <v>116</v>
      </c>
      <c r="Q18" s="2" t="s">
        <v>44</v>
      </c>
      <c r="R18" s="3">
        <f t="shared" si="17"/>
        <v>15085.282789068118</v>
      </c>
      <c r="S18" s="3">
        <f t="shared" si="17"/>
        <v>1455846.7715391079</v>
      </c>
      <c r="T18" s="3">
        <f t="shared" si="17"/>
        <v>8377541.8692681054</v>
      </c>
      <c r="U18" s="3">
        <f t="shared" si="17"/>
        <v>24771.806269397985</v>
      </c>
      <c r="V18" s="3">
        <f t="shared" si="17"/>
        <v>58843.406959413594</v>
      </c>
      <c r="W18" s="3">
        <f t="shared" si="17"/>
        <v>34386.141254029695</v>
      </c>
      <c r="X18" s="3">
        <f t="shared" si="17"/>
        <v>30686.694826927815</v>
      </c>
      <c r="Y18" s="3">
        <f t="shared" si="17"/>
        <v>240671.33815509436</v>
      </c>
      <c r="Z18" s="3">
        <f t="shared" si="17"/>
        <v>169993.32151671627</v>
      </c>
      <c r="AA18" s="3">
        <f t="shared" si="17"/>
        <v>6979325.6389425471</v>
      </c>
      <c r="AB18" s="3">
        <f t="shared" si="18"/>
        <v>17387152.27152041</v>
      </c>
      <c r="AC18" s="7" t="s">
        <v>116</v>
      </c>
      <c r="AD18" s="2" t="s">
        <v>44</v>
      </c>
      <c r="AE18" s="3">
        <f t="shared" si="19"/>
        <v>153982.4231605301</v>
      </c>
      <c r="AF18" s="3">
        <f t="shared" si="19"/>
        <v>84722135.309937477</v>
      </c>
      <c r="AG18" s="3">
        <f t="shared" si="20"/>
        <v>84876117.733098</v>
      </c>
      <c r="AH18" s="7" t="s">
        <v>116</v>
      </c>
      <c r="AI18" s="2" t="s">
        <v>44</v>
      </c>
      <c r="AJ18" s="3">
        <f t="shared" si="21"/>
        <v>224668.10428440664</v>
      </c>
      <c r="AK18" s="3">
        <f t="shared" si="1"/>
        <v>8778377.1733931843</v>
      </c>
      <c r="AL18" s="3">
        <f t="shared" si="1"/>
        <v>21601960.995010924</v>
      </c>
      <c r="AM18" s="3">
        <f t="shared" si="1"/>
        <v>71658263.731929898</v>
      </c>
      <c r="AN18" s="3">
        <f t="shared" si="22"/>
        <v>102263270.00461841</v>
      </c>
      <c r="AO18" s="7" t="s">
        <v>116</v>
      </c>
      <c r="AP18" s="2" t="s">
        <v>44</v>
      </c>
      <c r="AQ18" s="3">
        <f t="shared" si="23"/>
        <v>120613.64935825905</v>
      </c>
      <c r="AR18" s="3">
        <f t="shared" si="2"/>
        <v>352223.36711441568</v>
      </c>
      <c r="AS18" s="3">
        <f t="shared" si="2"/>
        <v>6770213.1387881814</v>
      </c>
      <c r="AT18" s="3">
        <f t="shared" si="2"/>
        <v>10144102.116259553</v>
      </c>
      <c r="AU18" s="3">
        <f t="shared" si="24"/>
        <v>17387152.27152041</v>
      </c>
      <c r="AV18" s="7" t="s">
        <v>116</v>
      </c>
      <c r="AW18" s="2" t="s">
        <v>44</v>
      </c>
      <c r="AX18" s="3">
        <f t="shared" si="25"/>
        <v>104054.45492614759</v>
      </c>
      <c r="AY18" s="3">
        <f t="shared" si="3"/>
        <v>8426153.8062787689</v>
      </c>
      <c r="AZ18" s="3">
        <f t="shared" si="3"/>
        <v>14831747.856222741</v>
      </c>
      <c r="BA18" s="3">
        <f t="shared" si="3"/>
        <v>61514161.615670353</v>
      </c>
      <c r="BB18" s="3">
        <f t="shared" si="26"/>
        <v>84876117.733098015</v>
      </c>
      <c r="BC18" s="7" t="s">
        <v>116</v>
      </c>
      <c r="BD18" s="2" t="s">
        <v>44</v>
      </c>
      <c r="BE18" s="3">
        <v>10812.337775260414</v>
      </c>
      <c r="BF18" s="3">
        <v>4272.9450138077036</v>
      </c>
      <c r="BG18" s="3">
        <v>0</v>
      </c>
      <c r="BH18" s="3">
        <v>0</v>
      </c>
      <c r="BI18" s="3">
        <v>15085.282789068118</v>
      </c>
      <c r="BJ18" s="7" t="s">
        <v>116</v>
      </c>
      <c r="BK18" s="2" t="s">
        <v>44</v>
      </c>
      <c r="BL18" s="3">
        <v>19644.537483837506</v>
      </c>
      <c r="BM18" s="3">
        <v>94613.707590357924</v>
      </c>
      <c r="BN18" s="3">
        <v>1341588.5264649123</v>
      </c>
      <c r="BO18" s="3">
        <v>0</v>
      </c>
      <c r="BP18" s="3">
        <v>1455846.7715391079</v>
      </c>
      <c r="BQ18" s="7" t="s">
        <v>116</v>
      </c>
      <c r="BR18" s="2" t="s">
        <v>44</v>
      </c>
      <c r="BS18" s="3">
        <v>0</v>
      </c>
      <c r="BT18" s="3">
        <v>48253.655942120662</v>
      </c>
      <c r="BU18" s="3">
        <v>5091891.2061904417</v>
      </c>
      <c r="BV18" s="3">
        <v>3237397.007135543</v>
      </c>
      <c r="BW18" s="3">
        <v>8377541.8692681054</v>
      </c>
      <c r="BX18" s="7" t="s">
        <v>116</v>
      </c>
      <c r="BY18" s="2" t="s">
        <v>44</v>
      </c>
      <c r="BZ18" s="3">
        <v>7276.7869009799888</v>
      </c>
      <c r="CA18" s="3">
        <v>15629.727294063941</v>
      </c>
      <c r="CB18" s="3">
        <v>1865.2920743540558</v>
      </c>
      <c r="CC18" s="3">
        <v>0</v>
      </c>
      <c r="CD18" s="3">
        <v>24771.806269397985</v>
      </c>
      <c r="CE18" s="7" t="s">
        <v>116</v>
      </c>
      <c r="CF18" s="2" t="s">
        <v>44</v>
      </c>
      <c r="CG18" s="3">
        <v>26486.900847576875</v>
      </c>
      <c r="CH18" s="3">
        <v>32356.506111836723</v>
      </c>
      <c r="CI18" s="3">
        <v>0</v>
      </c>
      <c r="CJ18" s="3">
        <v>0</v>
      </c>
      <c r="CK18" s="3">
        <v>58843.406959413594</v>
      </c>
      <c r="CL18" s="7" t="s">
        <v>116</v>
      </c>
      <c r="CM18" s="2" t="s">
        <v>44</v>
      </c>
      <c r="CN18" s="3">
        <v>0</v>
      </c>
      <c r="CO18" s="3">
        <v>0</v>
      </c>
      <c r="CP18" s="3">
        <v>34386.141254029695</v>
      </c>
      <c r="CQ18" s="3">
        <v>0</v>
      </c>
      <c r="CR18" s="3">
        <v>34386.141254029695</v>
      </c>
      <c r="CS18" s="7" t="s">
        <v>116</v>
      </c>
      <c r="CT18" s="2" t="s">
        <v>44</v>
      </c>
      <c r="CU18" s="3">
        <v>18812.032897774785</v>
      </c>
      <c r="CV18" s="3">
        <v>11874.66192915303</v>
      </c>
      <c r="CW18" s="3">
        <v>0</v>
      </c>
      <c r="CX18" s="3">
        <v>0</v>
      </c>
      <c r="CY18" s="3">
        <v>30686.694826927815</v>
      </c>
      <c r="CZ18" s="7" t="s">
        <v>116</v>
      </c>
      <c r="DA18" s="2" t="s">
        <v>44</v>
      </c>
      <c r="DB18" s="3">
        <v>26039.922673170728</v>
      </c>
      <c r="DC18" s="3">
        <v>12757.04452047839</v>
      </c>
      <c r="DD18" s="3">
        <v>131196.35432306715</v>
      </c>
      <c r="DE18" s="3">
        <v>0</v>
      </c>
      <c r="DF18" s="3">
        <v>169993.32151671627</v>
      </c>
      <c r="DG18" s="7" t="s">
        <v>116</v>
      </c>
      <c r="DH18" s="2" t="s">
        <v>44</v>
      </c>
      <c r="DI18" s="3">
        <v>7903.612743201038</v>
      </c>
      <c r="DJ18" s="3">
        <v>126964.21386103272</v>
      </c>
      <c r="DK18" s="3">
        <v>0</v>
      </c>
      <c r="DL18" s="3">
        <v>105803.5115508606</v>
      </c>
      <c r="DM18" s="3">
        <v>240671.33815509436</v>
      </c>
      <c r="DN18" s="7" t="s">
        <v>116</v>
      </c>
      <c r="DO18" s="2" t="s">
        <v>44</v>
      </c>
      <c r="DP18" s="3">
        <v>3637.5180364577145</v>
      </c>
      <c r="DQ18" s="3">
        <v>5500.9048515645554</v>
      </c>
      <c r="DR18" s="3">
        <v>169285.61848137694</v>
      </c>
      <c r="DS18" s="3">
        <v>6800901.5975731481</v>
      </c>
      <c r="DT18" s="3">
        <v>6979325.6389425471</v>
      </c>
      <c r="DU18" s="7" t="s">
        <v>116</v>
      </c>
      <c r="DV18" s="2" t="s">
        <v>44</v>
      </c>
      <c r="DW18" s="3">
        <v>10590.396844660192</v>
      </c>
      <c r="DX18" s="3">
        <v>8365635.4411997264</v>
      </c>
      <c r="DY18" s="3">
        <v>14831747.856222741</v>
      </c>
      <c r="DZ18" s="3">
        <v>61514161.615670353</v>
      </c>
      <c r="EA18" s="3">
        <v>84722135.309937477</v>
      </c>
      <c r="EB18" s="7" t="s">
        <v>116</v>
      </c>
      <c r="EC18" s="2" t="s">
        <v>44</v>
      </c>
      <c r="ED18" s="3">
        <v>93464.058081487397</v>
      </c>
      <c r="EE18" s="3">
        <v>60518.365079042698</v>
      </c>
      <c r="EF18" s="3">
        <v>0</v>
      </c>
      <c r="EG18" s="3">
        <v>0</v>
      </c>
      <c r="EH18" s="3">
        <v>153982.4231605301</v>
      </c>
    </row>
    <row r="19" spans="1:138" ht="10.199999999999999" customHeight="1" x14ac:dyDescent="0.2">
      <c r="A19" s="7" t="s">
        <v>107</v>
      </c>
      <c r="B19" s="2" t="s">
        <v>35</v>
      </c>
      <c r="C19" s="3">
        <f t="shared" si="4"/>
        <v>0</v>
      </c>
      <c r="D19" s="3">
        <f t="shared" si="5"/>
        <v>1253.6579386834687</v>
      </c>
      <c r="E19" s="3">
        <f t="shared" si="6"/>
        <v>0</v>
      </c>
      <c r="F19" s="3">
        <f t="shared" si="7"/>
        <v>0</v>
      </c>
      <c r="G19" s="3">
        <f t="shared" si="8"/>
        <v>0</v>
      </c>
      <c r="H19" s="3">
        <f t="shared" si="9"/>
        <v>0</v>
      </c>
      <c r="I19" s="3">
        <f t="shared" si="10"/>
        <v>34277.858160562871</v>
      </c>
      <c r="J19" s="3">
        <f t="shared" si="11"/>
        <v>0</v>
      </c>
      <c r="K19" s="3">
        <f t="shared" si="12"/>
        <v>157.4264459425568</v>
      </c>
      <c r="L19" s="3">
        <f t="shared" si="13"/>
        <v>2010917.4565868429</v>
      </c>
      <c r="M19" s="3">
        <f t="shared" si="14"/>
        <v>325635.45851994911</v>
      </c>
      <c r="N19" s="3">
        <f t="shared" si="15"/>
        <v>267672.15360018879</v>
      </c>
      <c r="O19" s="3">
        <f t="shared" si="16"/>
        <v>2639914.0112521695</v>
      </c>
      <c r="P19" s="7" t="s">
        <v>107</v>
      </c>
      <c r="Q19" s="2" t="s">
        <v>35</v>
      </c>
      <c r="R19" s="3">
        <f t="shared" si="17"/>
        <v>0</v>
      </c>
      <c r="S19" s="3">
        <f t="shared" si="17"/>
        <v>1253.6579386834687</v>
      </c>
      <c r="T19" s="3">
        <f t="shared" si="17"/>
        <v>0</v>
      </c>
      <c r="U19" s="3">
        <f t="shared" si="17"/>
        <v>0</v>
      </c>
      <c r="V19" s="3">
        <f t="shared" si="17"/>
        <v>0</v>
      </c>
      <c r="W19" s="3">
        <f t="shared" si="17"/>
        <v>0</v>
      </c>
      <c r="X19" s="3">
        <f t="shared" si="17"/>
        <v>34277.858160562871</v>
      </c>
      <c r="Y19" s="3">
        <f t="shared" si="17"/>
        <v>0</v>
      </c>
      <c r="Z19" s="3">
        <f t="shared" si="17"/>
        <v>157.4264459425568</v>
      </c>
      <c r="AA19" s="3">
        <f t="shared" si="17"/>
        <v>2010917.4565868429</v>
      </c>
      <c r="AB19" s="3">
        <f t="shared" si="18"/>
        <v>2046606.3991320317</v>
      </c>
      <c r="AC19" s="7" t="s">
        <v>107</v>
      </c>
      <c r="AD19" s="2" t="s">
        <v>35</v>
      </c>
      <c r="AE19" s="3">
        <f t="shared" si="19"/>
        <v>325635.45851994911</v>
      </c>
      <c r="AF19" s="3">
        <f t="shared" si="19"/>
        <v>267672.15360018879</v>
      </c>
      <c r="AG19" s="3">
        <f t="shared" si="20"/>
        <v>593307.6121201379</v>
      </c>
      <c r="AH19" s="7" t="s">
        <v>107</v>
      </c>
      <c r="AI19" s="2" t="s">
        <v>35</v>
      </c>
      <c r="AJ19" s="3">
        <f t="shared" si="21"/>
        <v>917356.51983279234</v>
      </c>
      <c r="AK19" s="3">
        <f t="shared" si="1"/>
        <v>368444.50897095457</v>
      </c>
      <c r="AL19" s="3">
        <f t="shared" si="1"/>
        <v>4483.3891056451657</v>
      </c>
      <c r="AM19" s="3">
        <f t="shared" si="1"/>
        <v>1349629.5933427778</v>
      </c>
      <c r="AN19" s="3">
        <f t="shared" si="22"/>
        <v>2639914.01125217</v>
      </c>
      <c r="AO19" s="7" t="s">
        <v>107</v>
      </c>
      <c r="AP19" s="2" t="s">
        <v>35</v>
      </c>
      <c r="AQ19" s="3">
        <f t="shared" si="23"/>
        <v>611484.62493957707</v>
      </c>
      <c r="AR19" s="3">
        <f t="shared" si="2"/>
        <v>81008.791744031914</v>
      </c>
      <c r="AS19" s="3">
        <f t="shared" si="2"/>
        <v>4483.3891056451657</v>
      </c>
      <c r="AT19" s="3">
        <f t="shared" si="2"/>
        <v>1349629.5933427778</v>
      </c>
      <c r="AU19" s="3">
        <f t="shared" si="24"/>
        <v>2046606.3991320319</v>
      </c>
      <c r="AV19" s="7" t="s">
        <v>107</v>
      </c>
      <c r="AW19" s="2" t="s">
        <v>35</v>
      </c>
      <c r="AX19" s="3">
        <f t="shared" si="25"/>
        <v>305871.89489321527</v>
      </c>
      <c r="AY19" s="3">
        <f t="shared" si="3"/>
        <v>287435.71722692263</v>
      </c>
      <c r="AZ19" s="3">
        <f t="shared" si="3"/>
        <v>0</v>
      </c>
      <c r="BA19" s="3">
        <f t="shared" si="3"/>
        <v>0</v>
      </c>
      <c r="BB19" s="3">
        <f t="shared" si="26"/>
        <v>593307.6121201379</v>
      </c>
      <c r="BC19" s="7" t="s">
        <v>107</v>
      </c>
      <c r="BD19" s="2" t="s">
        <v>35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7" t="s">
        <v>107</v>
      </c>
      <c r="BK19" s="2" t="s">
        <v>35</v>
      </c>
      <c r="BL19" s="3">
        <v>1253.6579386834687</v>
      </c>
      <c r="BM19" s="3">
        <v>0</v>
      </c>
      <c r="BN19" s="3">
        <v>0</v>
      </c>
      <c r="BO19" s="3">
        <v>0</v>
      </c>
      <c r="BP19" s="3">
        <v>1253.6579386834687</v>
      </c>
      <c r="BQ19" s="7" t="s">
        <v>107</v>
      </c>
      <c r="BR19" s="2" t="s">
        <v>35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7" t="s">
        <v>107</v>
      </c>
      <c r="BY19" s="2" t="s">
        <v>35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7" t="s">
        <v>107</v>
      </c>
      <c r="CF19" s="2" t="s">
        <v>35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7" t="s">
        <v>107</v>
      </c>
      <c r="CM19" s="2" t="s">
        <v>35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7" t="s">
        <v>107</v>
      </c>
      <c r="CT19" s="2" t="s">
        <v>35</v>
      </c>
      <c r="CU19" s="3">
        <v>21655.653764472347</v>
      </c>
      <c r="CV19" s="3">
        <v>12622.204396090523</v>
      </c>
      <c r="CW19" s="3">
        <v>0</v>
      </c>
      <c r="CX19" s="3">
        <v>0</v>
      </c>
      <c r="CY19" s="3">
        <v>34277.858160562871</v>
      </c>
      <c r="CZ19" s="7" t="s">
        <v>107</v>
      </c>
      <c r="DA19" s="2" t="s">
        <v>35</v>
      </c>
      <c r="DB19" s="3">
        <v>157.4264459425568</v>
      </c>
      <c r="DC19" s="3">
        <v>0</v>
      </c>
      <c r="DD19" s="3">
        <v>0</v>
      </c>
      <c r="DE19" s="3">
        <v>0</v>
      </c>
      <c r="DF19" s="3">
        <v>157.4264459425568</v>
      </c>
      <c r="DG19" s="7" t="s">
        <v>107</v>
      </c>
      <c r="DH19" s="2" t="s">
        <v>35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7" t="s">
        <v>107</v>
      </c>
      <c r="DO19" s="2" t="s">
        <v>35</v>
      </c>
      <c r="DP19" s="3">
        <v>588417.88679047872</v>
      </c>
      <c r="DQ19" s="3">
        <v>68386.587347941386</v>
      </c>
      <c r="DR19" s="3">
        <v>4483.3891056451657</v>
      </c>
      <c r="DS19" s="3">
        <v>1349629.5933427778</v>
      </c>
      <c r="DT19" s="3">
        <v>2010917.4565868429</v>
      </c>
      <c r="DU19" s="7" t="s">
        <v>107</v>
      </c>
      <c r="DV19" s="2" t="s">
        <v>35</v>
      </c>
      <c r="DW19" s="3">
        <v>115929.4399372449</v>
      </c>
      <c r="DX19" s="3">
        <v>151742.71366294392</v>
      </c>
      <c r="DY19" s="3">
        <v>0</v>
      </c>
      <c r="DZ19" s="3">
        <v>0</v>
      </c>
      <c r="EA19" s="3">
        <v>267672.15360018879</v>
      </c>
      <c r="EB19" s="7" t="s">
        <v>107</v>
      </c>
      <c r="EC19" s="2" t="s">
        <v>35</v>
      </c>
      <c r="ED19" s="3">
        <v>189942.45495597034</v>
      </c>
      <c r="EE19" s="3">
        <v>135693.00356397874</v>
      </c>
      <c r="EF19" s="3">
        <v>0</v>
      </c>
      <c r="EG19" s="3">
        <v>0</v>
      </c>
      <c r="EH19" s="3">
        <v>325635.45851994911</v>
      </c>
    </row>
    <row r="20" spans="1:138" ht="10.199999999999999" customHeight="1" x14ac:dyDescent="0.2">
      <c r="A20" s="7" t="s">
        <v>100</v>
      </c>
      <c r="B20" s="2" t="s">
        <v>28</v>
      </c>
      <c r="C20" s="3">
        <f t="shared" si="4"/>
        <v>0</v>
      </c>
      <c r="D20" s="3">
        <f t="shared" si="5"/>
        <v>2074.957515592992</v>
      </c>
      <c r="E20" s="3">
        <f t="shared" si="6"/>
        <v>0</v>
      </c>
      <c r="F20" s="3">
        <f t="shared" si="7"/>
        <v>0</v>
      </c>
      <c r="G20" s="3">
        <f t="shared" si="8"/>
        <v>95744.993764472907</v>
      </c>
      <c r="H20" s="3">
        <f t="shared" si="9"/>
        <v>0</v>
      </c>
      <c r="I20" s="3">
        <f t="shared" si="10"/>
        <v>5206.900439447305</v>
      </c>
      <c r="J20" s="3">
        <f t="shared" si="11"/>
        <v>0</v>
      </c>
      <c r="K20" s="3">
        <f t="shared" si="12"/>
        <v>3502.9566300221754</v>
      </c>
      <c r="L20" s="3">
        <f t="shared" si="13"/>
        <v>2223.0292633278768</v>
      </c>
      <c r="M20" s="3">
        <f t="shared" si="14"/>
        <v>137790.54952574274</v>
      </c>
      <c r="N20" s="3">
        <f t="shared" si="15"/>
        <v>104171.0602094499</v>
      </c>
      <c r="O20" s="3">
        <f t="shared" si="16"/>
        <v>350714.4473480559</v>
      </c>
      <c r="P20" s="7" t="s">
        <v>100</v>
      </c>
      <c r="Q20" s="2" t="s">
        <v>28</v>
      </c>
      <c r="R20" s="3">
        <f t="shared" si="17"/>
        <v>0</v>
      </c>
      <c r="S20" s="3">
        <f t="shared" si="17"/>
        <v>2074.957515592992</v>
      </c>
      <c r="T20" s="3">
        <f t="shared" si="17"/>
        <v>0</v>
      </c>
      <c r="U20" s="3">
        <f t="shared" si="17"/>
        <v>0</v>
      </c>
      <c r="V20" s="3">
        <f t="shared" si="17"/>
        <v>95744.993764472907</v>
      </c>
      <c r="W20" s="3">
        <f t="shared" si="17"/>
        <v>0</v>
      </c>
      <c r="X20" s="3">
        <f t="shared" si="17"/>
        <v>5206.900439447305</v>
      </c>
      <c r="Y20" s="3">
        <f t="shared" si="17"/>
        <v>0</v>
      </c>
      <c r="Z20" s="3">
        <f t="shared" si="17"/>
        <v>3502.9566300221754</v>
      </c>
      <c r="AA20" s="3">
        <f t="shared" si="17"/>
        <v>2223.0292633278768</v>
      </c>
      <c r="AB20" s="3">
        <f t="shared" si="18"/>
        <v>108752.83761286325</v>
      </c>
      <c r="AC20" s="7" t="s">
        <v>100</v>
      </c>
      <c r="AD20" s="2" t="s">
        <v>28</v>
      </c>
      <c r="AE20" s="3">
        <f t="shared" si="19"/>
        <v>137790.54952574274</v>
      </c>
      <c r="AF20" s="3">
        <f t="shared" si="19"/>
        <v>104171.0602094499</v>
      </c>
      <c r="AG20" s="3">
        <f t="shared" si="20"/>
        <v>241961.60973519264</v>
      </c>
      <c r="AH20" s="7" t="s">
        <v>100</v>
      </c>
      <c r="AI20" s="2" t="s">
        <v>28</v>
      </c>
      <c r="AJ20" s="3">
        <f t="shared" si="21"/>
        <v>138607.39083246121</v>
      </c>
      <c r="AK20" s="3">
        <f t="shared" si="21"/>
        <v>147061.88390936409</v>
      </c>
      <c r="AL20" s="3">
        <f t="shared" si="21"/>
        <v>65045.172606230604</v>
      </c>
      <c r="AM20" s="3">
        <f t="shared" si="21"/>
        <v>0</v>
      </c>
      <c r="AN20" s="3">
        <f t="shared" si="22"/>
        <v>350714.4473480559</v>
      </c>
      <c r="AO20" s="7" t="s">
        <v>100</v>
      </c>
      <c r="AP20" s="2" t="s">
        <v>28</v>
      </c>
      <c r="AQ20" s="3">
        <f t="shared" si="23"/>
        <v>14323.203553720185</v>
      </c>
      <c r="AR20" s="3">
        <f t="shared" si="23"/>
        <v>94429.634059143078</v>
      </c>
      <c r="AS20" s="3">
        <f t="shared" si="23"/>
        <v>0</v>
      </c>
      <c r="AT20" s="3">
        <f t="shared" si="23"/>
        <v>0</v>
      </c>
      <c r="AU20" s="3">
        <f t="shared" si="24"/>
        <v>108752.83761286327</v>
      </c>
      <c r="AV20" s="7" t="s">
        <v>100</v>
      </c>
      <c r="AW20" s="2" t="s">
        <v>28</v>
      </c>
      <c r="AX20" s="3">
        <f t="shared" si="25"/>
        <v>124284.18727874104</v>
      </c>
      <c r="AY20" s="3">
        <f t="shared" si="25"/>
        <v>52632.249850221</v>
      </c>
      <c r="AZ20" s="3">
        <f t="shared" si="25"/>
        <v>65045.172606230604</v>
      </c>
      <c r="BA20" s="3">
        <f t="shared" si="25"/>
        <v>0</v>
      </c>
      <c r="BB20" s="3">
        <f t="shared" si="26"/>
        <v>241961.60973519264</v>
      </c>
      <c r="BC20" s="7" t="s">
        <v>100</v>
      </c>
      <c r="BD20" s="2" t="s">
        <v>28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7" t="s">
        <v>100</v>
      </c>
      <c r="BK20" s="2" t="s">
        <v>28</v>
      </c>
      <c r="BL20" s="3">
        <v>2074.957515592992</v>
      </c>
      <c r="BM20" s="3">
        <v>0</v>
      </c>
      <c r="BN20" s="3">
        <v>0</v>
      </c>
      <c r="BO20" s="3">
        <v>0</v>
      </c>
      <c r="BP20" s="3">
        <v>2074.957515592992</v>
      </c>
      <c r="BQ20" s="7" t="s">
        <v>100</v>
      </c>
      <c r="BR20" s="2" t="s">
        <v>28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7" t="s">
        <v>100</v>
      </c>
      <c r="BY20" s="2" t="s">
        <v>28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7" t="s">
        <v>100</v>
      </c>
      <c r="CF20" s="2" t="s">
        <v>28</v>
      </c>
      <c r="CG20" s="3">
        <v>1315.3597053298349</v>
      </c>
      <c r="CH20" s="3">
        <v>94429.634059143078</v>
      </c>
      <c r="CI20" s="3">
        <v>0</v>
      </c>
      <c r="CJ20" s="3">
        <v>0</v>
      </c>
      <c r="CK20" s="3">
        <v>95744.993764472907</v>
      </c>
      <c r="CL20" s="7" t="s">
        <v>100</v>
      </c>
      <c r="CM20" s="2" t="s">
        <v>28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7" t="s">
        <v>100</v>
      </c>
      <c r="CT20" s="2" t="s">
        <v>28</v>
      </c>
      <c r="CU20" s="3">
        <v>5206.900439447305</v>
      </c>
      <c r="CV20" s="3">
        <v>0</v>
      </c>
      <c r="CW20" s="3">
        <v>0</v>
      </c>
      <c r="CX20" s="3">
        <v>0</v>
      </c>
      <c r="CY20" s="3">
        <v>5206.900439447305</v>
      </c>
      <c r="CZ20" s="7" t="s">
        <v>100</v>
      </c>
      <c r="DA20" s="2" t="s">
        <v>28</v>
      </c>
      <c r="DB20" s="3">
        <v>3502.9566300221754</v>
      </c>
      <c r="DC20" s="3">
        <v>0</v>
      </c>
      <c r="DD20" s="3">
        <v>0</v>
      </c>
      <c r="DE20" s="3">
        <v>0</v>
      </c>
      <c r="DF20" s="3">
        <v>3502.9566300221754</v>
      </c>
      <c r="DG20" s="7" t="s">
        <v>100</v>
      </c>
      <c r="DH20" s="2" t="s">
        <v>28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7" t="s">
        <v>100</v>
      </c>
      <c r="DO20" s="2" t="s">
        <v>28</v>
      </c>
      <c r="DP20" s="3">
        <v>2223.0292633278768</v>
      </c>
      <c r="DQ20" s="3">
        <v>0</v>
      </c>
      <c r="DR20" s="3">
        <v>0</v>
      </c>
      <c r="DS20" s="3">
        <v>0</v>
      </c>
      <c r="DT20" s="3">
        <v>2223.0292633278768</v>
      </c>
      <c r="DU20" s="7" t="s">
        <v>100</v>
      </c>
      <c r="DV20" s="2" t="s">
        <v>28</v>
      </c>
      <c r="DW20" s="3">
        <v>1064.1984268610834</v>
      </c>
      <c r="DX20" s="3">
        <v>41543.933141907859</v>
      </c>
      <c r="DY20" s="3">
        <v>61562.928640680962</v>
      </c>
      <c r="DZ20" s="3">
        <v>0</v>
      </c>
      <c r="EA20" s="3">
        <v>104171.0602094499</v>
      </c>
      <c r="EB20" s="7" t="s">
        <v>100</v>
      </c>
      <c r="EC20" s="2" t="s">
        <v>28</v>
      </c>
      <c r="ED20" s="3">
        <v>123219.98885187996</v>
      </c>
      <c r="EE20" s="3">
        <v>11088.316708313141</v>
      </c>
      <c r="EF20" s="3">
        <v>3482.2439655496432</v>
      </c>
      <c r="EG20" s="3">
        <v>0</v>
      </c>
      <c r="EH20" s="3">
        <v>137790.54952574274</v>
      </c>
    </row>
    <row r="21" spans="1:138" ht="10.199999999999999" customHeight="1" x14ac:dyDescent="0.2">
      <c r="A21" s="7" t="s">
        <v>108</v>
      </c>
      <c r="B21" s="2" t="s">
        <v>36</v>
      </c>
      <c r="C21" s="3">
        <f t="shared" si="4"/>
        <v>0</v>
      </c>
      <c r="D21" s="3">
        <f t="shared" si="5"/>
        <v>0</v>
      </c>
      <c r="E21" s="3">
        <f t="shared" si="6"/>
        <v>0</v>
      </c>
      <c r="F21" s="3">
        <f t="shared" si="7"/>
        <v>0</v>
      </c>
      <c r="G21" s="3">
        <f t="shared" si="8"/>
        <v>0</v>
      </c>
      <c r="H21" s="3">
        <f t="shared" si="9"/>
        <v>0</v>
      </c>
      <c r="I21" s="3">
        <f t="shared" si="10"/>
        <v>0</v>
      </c>
      <c r="J21" s="3">
        <f t="shared" si="11"/>
        <v>0</v>
      </c>
      <c r="K21" s="3">
        <f t="shared" si="12"/>
        <v>0</v>
      </c>
      <c r="L21" s="3">
        <f t="shared" si="13"/>
        <v>2110.421469190775</v>
      </c>
      <c r="M21" s="3">
        <f t="shared" si="14"/>
        <v>41408.319196565411</v>
      </c>
      <c r="N21" s="3">
        <f t="shared" si="15"/>
        <v>183937.97173026431</v>
      </c>
      <c r="O21" s="3">
        <f t="shared" si="16"/>
        <v>227456.71239602051</v>
      </c>
      <c r="P21" s="7" t="s">
        <v>108</v>
      </c>
      <c r="Q21" s="2" t="s">
        <v>36</v>
      </c>
      <c r="R21" s="3">
        <f t="shared" si="17"/>
        <v>0</v>
      </c>
      <c r="S21" s="3">
        <f t="shared" si="17"/>
        <v>0</v>
      </c>
      <c r="T21" s="3">
        <f t="shared" si="17"/>
        <v>0</v>
      </c>
      <c r="U21" s="3">
        <f t="shared" si="17"/>
        <v>0</v>
      </c>
      <c r="V21" s="3">
        <f t="shared" si="17"/>
        <v>0</v>
      </c>
      <c r="W21" s="3">
        <f t="shared" si="17"/>
        <v>0</v>
      </c>
      <c r="X21" s="3">
        <f t="shared" si="17"/>
        <v>0</v>
      </c>
      <c r="Y21" s="3">
        <f t="shared" si="17"/>
        <v>0</v>
      </c>
      <c r="Z21" s="3">
        <f t="shared" si="17"/>
        <v>0</v>
      </c>
      <c r="AA21" s="3">
        <f t="shared" si="17"/>
        <v>2110.421469190775</v>
      </c>
      <c r="AB21" s="3">
        <f t="shared" si="18"/>
        <v>2110.421469190775</v>
      </c>
      <c r="AC21" s="7" t="s">
        <v>108</v>
      </c>
      <c r="AD21" s="2" t="s">
        <v>36</v>
      </c>
      <c r="AE21" s="3">
        <f t="shared" si="19"/>
        <v>41408.319196565411</v>
      </c>
      <c r="AF21" s="3">
        <f t="shared" si="19"/>
        <v>183937.97173026431</v>
      </c>
      <c r="AG21" s="3">
        <f t="shared" si="20"/>
        <v>225346.29092682974</v>
      </c>
      <c r="AH21" s="7" t="s">
        <v>108</v>
      </c>
      <c r="AI21" s="2" t="s">
        <v>36</v>
      </c>
      <c r="AJ21" s="3">
        <f t="shared" si="21"/>
        <v>55582.610051848802</v>
      </c>
      <c r="AK21" s="3">
        <f t="shared" si="21"/>
        <v>69667.910186040361</v>
      </c>
      <c r="AL21" s="3">
        <f t="shared" si="21"/>
        <v>102206.19215813134</v>
      </c>
      <c r="AM21" s="3">
        <f t="shared" si="21"/>
        <v>0</v>
      </c>
      <c r="AN21" s="3">
        <f t="shared" si="22"/>
        <v>227456.71239602051</v>
      </c>
      <c r="AO21" s="7" t="s">
        <v>108</v>
      </c>
      <c r="AP21" s="2" t="s">
        <v>36</v>
      </c>
      <c r="AQ21" s="3">
        <f t="shared" si="23"/>
        <v>2110.421469190775</v>
      </c>
      <c r="AR21" s="3">
        <f t="shared" si="23"/>
        <v>0</v>
      </c>
      <c r="AS21" s="3">
        <f t="shared" si="23"/>
        <v>0</v>
      </c>
      <c r="AT21" s="3">
        <f t="shared" si="23"/>
        <v>0</v>
      </c>
      <c r="AU21" s="3">
        <f t="shared" si="24"/>
        <v>2110.421469190775</v>
      </c>
      <c r="AV21" s="7" t="s">
        <v>108</v>
      </c>
      <c r="AW21" s="2" t="s">
        <v>36</v>
      </c>
      <c r="AX21" s="3">
        <f t="shared" si="25"/>
        <v>53472.188582658026</v>
      </c>
      <c r="AY21" s="3">
        <f t="shared" si="25"/>
        <v>69667.910186040361</v>
      </c>
      <c r="AZ21" s="3">
        <f t="shared" si="25"/>
        <v>102206.19215813134</v>
      </c>
      <c r="BA21" s="3">
        <f t="shared" si="25"/>
        <v>0</v>
      </c>
      <c r="BB21" s="3">
        <f t="shared" si="26"/>
        <v>225346.29092682974</v>
      </c>
      <c r="BC21" s="7" t="s">
        <v>108</v>
      </c>
      <c r="BD21" s="2" t="s">
        <v>36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7" t="s">
        <v>108</v>
      </c>
      <c r="BK21" s="2" t="s">
        <v>36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7" t="s">
        <v>108</v>
      </c>
      <c r="BR21" s="2" t="s">
        <v>36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7" t="s">
        <v>108</v>
      </c>
      <c r="BY21" s="2" t="s">
        <v>36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7" t="s">
        <v>108</v>
      </c>
      <c r="CF21" s="2" t="s">
        <v>36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7" t="s">
        <v>108</v>
      </c>
      <c r="CM21" s="2" t="s">
        <v>36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7" t="s">
        <v>108</v>
      </c>
      <c r="CT21" s="2" t="s">
        <v>36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7" t="s">
        <v>108</v>
      </c>
      <c r="DA21" s="2" t="s">
        <v>36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7" t="s">
        <v>108</v>
      </c>
      <c r="DH21" s="2" t="s">
        <v>36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7" t="s">
        <v>108</v>
      </c>
      <c r="DO21" s="2" t="s">
        <v>36</v>
      </c>
      <c r="DP21" s="3">
        <v>2110.421469190775</v>
      </c>
      <c r="DQ21" s="3">
        <v>0</v>
      </c>
      <c r="DR21" s="3">
        <v>0</v>
      </c>
      <c r="DS21" s="3">
        <v>0</v>
      </c>
      <c r="DT21" s="3">
        <v>2110.421469190775</v>
      </c>
      <c r="DU21" s="7" t="s">
        <v>108</v>
      </c>
      <c r="DV21" s="2" t="s">
        <v>36</v>
      </c>
      <c r="DW21" s="3">
        <v>12063.869386092612</v>
      </c>
      <c r="DX21" s="3">
        <v>69667.910186040361</v>
      </c>
      <c r="DY21" s="3">
        <v>102206.19215813134</v>
      </c>
      <c r="DZ21" s="3">
        <v>0</v>
      </c>
      <c r="EA21" s="3">
        <v>183937.97173026431</v>
      </c>
      <c r="EB21" s="7" t="s">
        <v>108</v>
      </c>
      <c r="EC21" s="2" t="s">
        <v>36</v>
      </c>
      <c r="ED21" s="3">
        <v>41408.319196565411</v>
      </c>
      <c r="EE21" s="3">
        <v>0</v>
      </c>
      <c r="EF21" s="3">
        <v>0</v>
      </c>
      <c r="EG21" s="3">
        <v>0</v>
      </c>
      <c r="EH21" s="3">
        <v>41408.319196565411</v>
      </c>
    </row>
    <row r="22" spans="1:138" ht="10.199999999999999" customHeight="1" x14ac:dyDescent="0.2">
      <c r="A22" s="7" t="s">
        <v>104</v>
      </c>
      <c r="B22" s="2" t="s">
        <v>32</v>
      </c>
      <c r="C22" s="3">
        <f t="shared" si="4"/>
        <v>0</v>
      </c>
      <c r="D22" s="3">
        <f t="shared" si="5"/>
        <v>0</v>
      </c>
      <c r="E22" s="3">
        <f t="shared" si="6"/>
        <v>0</v>
      </c>
      <c r="F22" s="3">
        <f t="shared" si="7"/>
        <v>0</v>
      </c>
      <c r="G22" s="3">
        <f t="shared" si="8"/>
        <v>0</v>
      </c>
      <c r="H22" s="3">
        <f t="shared" si="9"/>
        <v>0</v>
      </c>
      <c r="I22" s="3">
        <f t="shared" si="10"/>
        <v>0</v>
      </c>
      <c r="J22" s="3">
        <f t="shared" si="11"/>
        <v>795.80678516554451</v>
      </c>
      <c r="K22" s="3">
        <f t="shared" si="12"/>
        <v>12.514314251194032</v>
      </c>
      <c r="L22" s="3">
        <f t="shared" si="13"/>
        <v>1426786.6004787846</v>
      </c>
      <c r="M22" s="3">
        <f t="shared" si="14"/>
        <v>175616.6589320116</v>
      </c>
      <c r="N22" s="3">
        <f t="shared" si="15"/>
        <v>3590021.7565475223</v>
      </c>
      <c r="O22" s="3">
        <f t="shared" si="16"/>
        <v>5193233.3370577358</v>
      </c>
      <c r="P22" s="7" t="s">
        <v>104</v>
      </c>
      <c r="Q22" s="2" t="s">
        <v>32</v>
      </c>
      <c r="R22" s="3">
        <f t="shared" si="17"/>
        <v>0</v>
      </c>
      <c r="S22" s="3">
        <f t="shared" si="17"/>
        <v>0</v>
      </c>
      <c r="T22" s="3">
        <f t="shared" si="17"/>
        <v>0</v>
      </c>
      <c r="U22" s="3">
        <f t="shared" si="17"/>
        <v>0</v>
      </c>
      <c r="V22" s="3">
        <f t="shared" si="17"/>
        <v>0</v>
      </c>
      <c r="W22" s="3">
        <f t="shared" si="17"/>
        <v>0</v>
      </c>
      <c r="X22" s="3">
        <f t="shared" si="17"/>
        <v>0</v>
      </c>
      <c r="Y22" s="3">
        <f t="shared" si="17"/>
        <v>795.80678516554451</v>
      </c>
      <c r="Z22" s="3">
        <f t="shared" si="17"/>
        <v>12.514314251194032</v>
      </c>
      <c r="AA22" s="3">
        <f t="shared" si="17"/>
        <v>1426786.6004787846</v>
      </c>
      <c r="AB22" s="3">
        <f t="shared" si="18"/>
        <v>1427594.9215782015</v>
      </c>
      <c r="AC22" s="7" t="s">
        <v>104</v>
      </c>
      <c r="AD22" s="2" t="s">
        <v>32</v>
      </c>
      <c r="AE22" s="3">
        <f t="shared" si="19"/>
        <v>175616.6589320116</v>
      </c>
      <c r="AF22" s="3">
        <f t="shared" si="19"/>
        <v>3590021.7565475223</v>
      </c>
      <c r="AG22" s="3">
        <f t="shared" si="20"/>
        <v>3765638.4154795338</v>
      </c>
      <c r="AH22" s="7" t="s">
        <v>104</v>
      </c>
      <c r="AI22" s="2" t="s">
        <v>32</v>
      </c>
      <c r="AJ22" s="3">
        <f t="shared" si="21"/>
        <v>596079.29361876869</v>
      </c>
      <c r="AK22" s="3">
        <f t="shared" si="21"/>
        <v>933143.29339824489</v>
      </c>
      <c r="AL22" s="3">
        <f t="shared" si="21"/>
        <v>2267404.3975693616</v>
      </c>
      <c r="AM22" s="3">
        <f t="shared" si="21"/>
        <v>1396606.3524713598</v>
      </c>
      <c r="AN22" s="3">
        <f t="shared" si="22"/>
        <v>5193233.3370577348</v>
      </c>
      <c r="AO22" s="7" t="s">
        <v>104</v>
      </c>
      <c r="AP22" s="2" t="s">
        <v>32</v>
      </c>
      <c r="AQ22" s="3">
        <f t="shared" si="23"/>
        <v>4190.4939964822534</v>
      </c>
      <c r="AR22" s="3">
        <f t="shared" si="23"/>
        <v>26798.075110359277</v>
      </c>
      <c r="AS22" s="3">
        <f t="shared" si="23"/>
        <v>0</v>
      </c>
      <c r="AT22" s="3">
        <f t="shared" si="23"/>
        <v>1396606.3524713598</v>
      </c>
      <c r="AU22" s="3">
        <f t="shared" si="24"/>
        <v>1427594.9215782012</v>
      </c>
      <c r="AV22" s="7" t="s">
        <v>104</v>
      </c>
      <c r="AW22" s="2" t="s">
        <v>32</v>
      </c>
      <c r="AX22" s="3">
        <f t="shared" si="25"/>
        <v>591888.79962228646</v>
      </c>
      <c r="AY22" s="3">
        <f t="shared" si="25"/>
        <v>906345.21828788565</v>
      </c>
      <c r="AZ22" s="3">
        <f t="shared" si="25"/>
        <v>2267404.3975693616</v>
      </c>
      <c r="BA22" s="3">
        <f t="shared" si="25"/>
        <v>0</v>
      </c>
      <c r="BB22" s="3">
        <f t="shared" si="26"/>
        <v>3765638.4154795338</v>
      </c>
      <c r="BC22" s="7" t="s">
        <v>104</v>
      </c>
      <c r="BD22" s="2" t="s">
        <v>32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7" t="s">
        <v>104</v>
      </c>
      <c r="BK22" s="2" t="s">
        <v>32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7" t="s">
        <v>104</v>
      </c>
      <c r="BR22" s="2" t="s">
        <v>32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7" t="s">
        <v>104</v>
      </c>
      <c r="BY22" s="2" t="s">
        <v>32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7" t="s">
        <v>104</v>
      </c>
      <c r="CF22" s="2" t="s">
        <v>32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7" t="s">
        <v>104</v>
      </c>
      <c r="CM22" s="2" t="s">
        <v>32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7" t="s">
        <v>104</v>
      </c>
      <c r="CT22" s="2" t="s">
        <v>32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7" t="s">
        <v>104</v>
      </c>
      <c r="DA22" s="2" t="s">
        <v>32</v>
      </c>
      <c r="DB22" s="3">
        <v>12.514314251194032</v>
      </c>
      <c r="DC22" s="3">
        <v>0</v>
      </c>
      <c r="DD22" s="3">
        <v>0</v>
      </c>
      <c r="DE22" s="3">
        <v>0</v>
      </c>
      <c r="DF22" s="3">
        <v>12.514314251194032</v>
      </c>
      <c r="DG22" s="7" t="s">
        <v>104</v>
      </c>
      <c r="DH22" s="2" t="s">
        <v>32</v>
      </c>
      <c r="DI22" s="3">
        <v>6.1664736889941603</v>
      </c>
      <c r="DJ22" s="3">
        <v>789.64031147655032</v>
      </c>
      <c r="DK22" s="3">
        <v>0</v>
      </c>
      <c r="DL22" s="3">
        <v>0</v>
      </c>
      <c r="DM22" s="3">
        <v>795.80678516554451</v>
      </c>
      <c r="DN22" s="7" t="s">
        <v>104</v>
      </c>
      <c r="DO22" s="2" t="s">
        <v>32</v>
      </c>
      <c r="DP22" s="3">
        <v>4171.8132085420648</v>
      </c>
      <c r="DQ22" s="3">
        <v>26008.434798882729</v>
      </c>
      <c r="DR22" s="3">
        <v>0</v>
      </c>
      <c r="DS22" s="3">
        <v>1396606.3524713598</v>
      </c>
      <c r="DT22" s="3">
        <v>1426786.6004787846</v>
      </c>
      <c r="DU22" s="7" t="s">
        <v>104</v>
      </c>
      <c r="DV22" s="2" t="s">
        <v>32</v>
      </c>
      <c r="DW22" s="3">
        <v>480204.38468707673</v>
      </c>
      <c r="DX22" s="3">
        <v>842412.97429108387</v>
      </c>
      <c r="DY22" s="3">
        <v>2267404.3975693616</v>
      </c>
      <c r="DZ22" s="3">
        <v>0</v>
      </c>
      <c r="EA22" s="3">
        <v>3590021.7565475223</v>
      </c>
      <c r="EB22" s="7" t="s">
        <v>104</v>
      </c>
      <c r="EC22" s="2" t="s">
        <v>32</v>
      </c>
      <c r="ED22" s="3">
        <v>111684.41493520977</v>
      </c>
      <c r="EE22" s="3">
        <v>63932.243996801837</v>
      </c>
      <c r="EF22" s="3">
        <v>0</v>
      </c>
      <c r="EG22" s="3">
        <v>0</v>
      </c>
      <c r="EH22" s="3">
        <v>175616.6589320116</v>
      </c>
    </row>
    <row r="23" spans="1:138" ht="10.199999999999999" customHeight="1" x14ac:dyDescent="0.2">
      <c r="A23" s="7" t="s">
        <v>105</v>
      </c>
      <c r="B23" s="2" t="s">
        <v>33</v>
      </c>
      <c r="C23" s="3">
        <f t="shared" si="4"/>
        <v>0</v>
      </c>
      <c r="D23" s="3">
        <f t="shared" si="5"/>
        <v>152071.03290074205</v>
      </c>
      <c r="E23" s="3">
        <f t="shared" si="6"/>
        <v>32.500943678463337</v>
      </c>
      <c r="F23" s="3">
        <f t="shared" si="7"/>
        <v>152.34817349279689</v>
      </c>
      <c r="G23" s="3">
        <f t="shared" si="8"/>
        <v>1699483.5693380903</v>
      </c>
      <c r="H23" s="3">
        <f t="shared" si="9"/>
        <v>0</v>
      </c>
      <c r="I23" s="3">
        <f t="shared" si="10"/>
        <v>184.84911717126022</v>
      </c>
      <c r="J23" s="3">
        <f t="shared" si="11"/>
        <v>0</v>
      </c>
      <c r="K23" s="3">
        <f t="shared" si="12"/>
        <v>0</v>
      </c>
      <c r="L23" s="3">
        <f t="shared" si="13"/>
        <v>21612.297127122794</v>
      </c>
      <c r="M23" s="3">
        <f t="shared" si="14"/>
        <v>179803.042213273</v>
      </c>
      <c r="N23" s="3">
        <f t="shared" si="15"/>
        <v>272794.62199674139</v>
      </c>
      <c r="O23" s="3">
        <f t="shared" si="16"/>
        <v>2326134.261810312</v>
      </c>
      <c r="P23" s="7" t="s">
        <v>105</v>
      </c>
      <c r="Q23" s="2" t="s">
        <v>33</v>
      </c>
      <c r="R23" s="3">
        <f t="shared" si="17"/>
        <v>0</v>
      </c>
      <c r="S23" s="3">
        <f t="shared" si="17"/>
        <v>152071.03290074205</v>
      </c>
      <c r="T23" s="3">
        <f t="shared" si="17"/>
        <v>32.500943678463337</v>
      </c>
      <c r="U23" s="3">
        <f t="shared" si="17"/>
        <v>152.34817349279689</v>
      </c>
      <c r="V23" s="3">
        <f t="shared" si="17"/>
        <v>1699483.5693380903</v>
      </c>
      <c r="W23" s="3">
        <f t="shared" si="17"/>
        <v>0</v>
      </c>
      <c r="X23" s="3">
        <f t="shared" si="17"/>
        <v>184.84911717126022</v>
      </c>
      <c r="Y23" s="3">
        <f t="shared" si="17"/>
        <v>0</v>
      </c>
      <c r="Z23" s="3">
        <f t="shared" si="17"/>
        <v>0</v>
      </c>
      <c r="AA23" s="3">
        <f t="shared" si="17"/>
        <v>21612.297127122794</v>
      </c>
      <c r="AB23" s="3">
        <f t="shared" si="18"/>
        <v>1873536.5976002975</v>
      </c>
      <c r="AC23" s="7" t="s">
        <v>105</v>
      </c>
      <c r="AD23" s="2" t="s">
        <v>33</v>
      </c>
      <c r="AE23" s="3">
        <f t="shared" si="19"/>
        <v>179803.042213273</v>
      </c>
      <c r="AF23" s="3">
        <f t="shared" si="19"/>
        <v>272794.62199674139</v>
      </c>
      <c r="AG23" s="3">
        <f t="shared" si="20"/>
        <v>452597.66421001439</v>
      </c>
      <c r="AH23" s="7" t="s">
        <v>105</v>
      </c>
      <c r="AI23" s="2" t="s">
        <v>33</v>
      </c>
      <c r="AJ23" s="3">
        <f t="shared" si="21"/>
        <v>389960.0231706418</v>
      </c>
      <c r="AK23" s="3">
        <f t="shared" si="21"/>
        <v>1936174.2386396702</v>
      </c>
      <c r="AL23" s="3">
        <f t="shared" si="21"/>
        <v>0</v>
      </c>
      <c r="AM23" s="3">
        <f t="shared" si="21"/>
        <v>0</v>
      </c>
      <c r="AN23" s="3">
        <f t="shared" si="22"/>
        <v>2326134.261810312</v>
      </c>
      <c r="AO23" s="7" t="s">
        <v>105</v>
      </c>
      <c r="AP23" s="2" t="s">
        <v>33</v>
      </c>
      <c r="AQ23" s="3">
        <f t="shared" si="23"/>
        <v>248754.96749658018</v>
      </c>
      <c r="AR23" s="3">
        <f t="shared" si="23"/>
        <v>1624781.6301037173</v>
      </c>
      <c r="AS23" s="3">
        <f t="shared" si="23"/>
        <v>0</v>
      </c>
      <c r="AT23" s="3">
        <f t="shared" si="23"/>
        <v>0</v>
      </c>
      <c r="AU23" s="3">
        <f t="shared" si="24"/>
        <v>1873536.5976002975</v>
      </c>
      <c r="AV23" s="7" t="s">
        <v>105</v>
      </c>
      <c r="AW23" s="2" t="s">
        <v>33</v>
      </c>
      <c r="AX23" s="3">
        <f t="shared" si="25"/>
        <v>141205.05567406162</v>
      </c>
      <c r="AY23" s="3">
        <f t="shared" si="25"/>
        <v>311392.60853595281</v>
      </c>
      <c r="AZ23" s="3">
        <f t="shared" si="25"/>
        <v>0</v>
      </c>
      <c r="BA23" s="3">
        <f t="shared" si="25"/>
        <v>0</v>
      </c>
      <c r="BB23" s="3">
        <f t="shared" si="26"/>
        <v>452597.66421001439</v>
      </c>
      <c r="BC23" s="7" t="s">
        <v>105</v>
      </c>
      <c r="BD23" s="2" t="s">
        <v>33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7" t="s">
        <v>105</v>
      </c>
      <c r="BK23" s="2" t="s">
        <v>33</v>
      </c>
      <c r="BL23" s="3">
        <v>151407.81794097173</v>
      </c>
      <c r="BM23" s="3">
        <v>663.21495977033101</v>
      </c>
      <c r="BN23" s="3">
        <v>0</v>
      </c>
      <c r="BO23" s="3">
        <v>0</v>
      </c>
      <c r="BP23" s="3">
        <v>152071.03290074205</v>
      </c>
      <c r="BQ23" s="7" t="s">
        <v>105</v>
      </c>
      <c r="BR23" s="2" t="s">
        <v>33</v>
      </c>
      <c r="BS23" s="3">
        <v>32.500943678463337</v>
      </c>
      <c r="BT23" s="3">
        <v>0</v>
      </c>
      <c r="BU23" s="3">
        <v>0</v>
      </c>
      <c r="BV23" s="3">
        <v>0</v>
      </c>
      <c r="BW23" s="3">
        <v>32.500943678463337</v>
      </c>
      <c r="BX23" s="7" t="s">
        <v>105</v>
      </c>
      <c r="BY23" s="2" t="s">
        <v>33</v>
      </c>
      <c r="BZ23" s="3">
        <v>152.34817349279689</v>
      </c>
      <c r="CA23" s="3">
        <v>0</v>
      </c>
      <c r="CB23" s="3">
        <v>0</v>
      </c>
      <c r="CC23" s="3">
        <v>0</v>
      </c>
      <c r="CD23" s="3">
        <v>152.34817349279689</v>
      </c>
      <c r="CE23" s="7" t="s">
        <v>105</v>
      </c>
      <c r="CF23" s="2" t="s">
        <v>33</v>
      </c>
      <c r="CG23" s="3">
        <v>76235.623828841723</v>
      </c>
      <c r="CH23" s="3">
        <v>1623247.9455092484</v>
      </c>
      <c r="CI23" s="3">
        <v>0</v>
      </c>
      <c r="CJ23" s="3">
        <v>0</v>
      </c>
      <c r="CK23" s="3">
        <v>1699483.5693380903</v>
      </c>
      <c r="CL23" s="7" t="s">
        <v>105</v>
      </c>
      <c r="CM23" s="2" t="s">
        <v>33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7" t="s">
        <v>105</v>
      </c>
      <c r="CT23" s="2" t="s">
        <v>33</v>
      </c>
      <c r="CU23" s="3">
        <v>184.84911717126022</v>
      </c>
      <c r="CV23" s="3">
        <v>0</v>
      </c>
      <c r="CW23" s="3">
        <v>0</v>
      </c>
      <c r="CX23" s="3">
        <v>0</v>
      </c>
      <c r="CY23" s="3">
        <v>184.84911717126022</v>
      </c>
      <c r="CZ23" s="7" t="s">
        <v>105</v>
      </c>
      <c r="DA23" s="2" t="s">
        <v>33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7" t="s">
        <v>105</v>
      </c>
      <c r="DH23" s="2" t="s">
        <v>33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7" t="s">
        <v>105</v>
      </c>
      <c r="DO23" s="2" t="s">
        <v>33</v>
      </c>
      <c r="DP23" s="3">
        <v>20741.827492424236</v>
      </c>
      <c r="DQ23" s="3">
        <v>870.46963469855939</v>
      </c>
      <c r="DR23" s="3">
        <v>0</v>
      </c>
      <c r="DS23" s="3">
        <v>0</v>
      </c>
      <c r="DT23" s="3">
        <v>21612.297127122794</v>
      </c>
      <c r="DU23" s="7" t="s">
        <v>105</v>
      </c>
      <c r="DV23" s="2" t="s">
        <v>33</v>
      </c>
      <c r="DW23" s="3">
        <v>3735.3364782824024</v>
      </c>
      <c r="DX23" s="3">
        <v>269059.28551845899</v>
      </c>
      <c r="DY23" s="3">
        <v>0</v>
      </c>
      <c r="DZ23" s="3">
        <v>0</v>
      </c>
      <c r="EA23" s="3">
        <v>272794.62199674139</v>
      </c>
      <c r="EB23" s="7" t="s">
        <v>105</v>
      </c>
      <c r="EC23" s="2" t="s">
        <v>33</v>
      </c>
      <c r="ED23" s="3">
        <v>137469.71919577921</v>
      </c>
      <c r="EE23" s="3">
        <v>42333.3230174938</v>
      </c>
      <c r="EF23" s="3">
        <v>0</v>
      </c>
      <c r="EG23" s="3">
        <v>0</v>
      </c>
      <c r="EH23" s="3">
        <v>179803.042213273</v>
      </c>
    </row>
    <row r="24" spans="1:138" ht="10.199999999999999" customHeight="1" x14ac:dyDescent="0.2">
      <c r="A24" s="7" t="s">
        <v>109</v>
      </c>
      <c r="B24" s="2" t="s">
        <v>37</v>
      </c>
      <c r="C24" s="3">
        <f t="shared" si="4"/>
        <v>0</v>
      </c>
      <c r="D24" s="3">
        <f t="shared" si="5"/>
        <v>0</v>
      </c>
      <c r="E24" s="3">
        <f t="shared" si="6"/>
        <v>0</v>
      </c>
      <c r="F24" s="3">
        <f t="shared" si="7"/>
        <v>137503.48765634792</v>
      </c>
      <c r="G24" s="3">
        <f t="shared" si="8"/>
        <v>126926.76868544216</v>
      </c>
      <c r="H24" s="3">
        <f t="shared" si="9"/>
        <v>0</v>
      </c>
      <c r="I24" s="3">
        <f t="shared" si="10"/>
        <v>11413.057068551781</v>
      </c>
      <c r="J24" s="3">
        <f t="shared" si="11"/>
        <v>0</v>
      </c>
      <c r="K24" s="3">
        <f t="shared" si="12"/>
        <v>3886.0251549042828</v>
      </c>
      <c r="L24" s="3">
        <f t="shared" si="13"/>
        <v>5689.9724869607298</v>
      </c>
      <c r="M24" s="3">
        <f t="shared" si="14"/>
        <v>438776.15759982297</v>
      </c>
      <c r="N24" s="3">
        <f t="shared" si="15"/>
        <v>62579.506104161686</v>
      </c>
      <c r="O24" s="3">
        <f t="shared" si="16"/>
        <v>786774.97475619148</v>
      </c>
      <c r="P24" s="7" t="s">
        <v>109</v>
      </c>
      <c r="Q24" s="2" t="s">
        <v>37</v>
      </c>
      <c r="R24" s="3">
        <f t="shared" si="17"/>
        <v>0</v>
      </c>
      <c r="S24" s="3">
        <f t="shared" si="17"/>
        <v>0</v>
      </c>
      <c r="T24" s="3">
        <f t="shared" si="17"/>
        <v>0</v>
      </c>
      <c r="U24" s="3">
        <f t="shared" si="17"/>
        <v>137503.48765634792</v>
      </c>
      <c r="V24" s="3">
        <f t="shared" si="17"/>
        <v>126926.76868544216</v>
      </c>
      <c r="W24" s="3">
        <f t="shared" si="17"/>
        <v>0</v>
      </c>
      <c r="X24" s="3">
        <f t="shared" si="17"/>
        <v>11413.057068551781</v>
      </c>
      <c r="Y24" s="3">
        <f t="shared" si="17"/>
        <v>0</v>
      </c>
      <c r="Z24" s="3">
        <f t="shared" si="17"/>
        <v>3886.0251549042828</v>
      </c>
      <c r="AA24" s="3">
        <f t="shared" si="17"/>
        <v>5689.9724869607298</v>
      </c>
      <c r="AB24" s="3">
        <f t="shared" si="18"/>
        <v>285419.31105220685</v>
      </c>
      <c r="AC24" s="7" t="s">
        <v>109</v>
      </c>
      <c r="AD24" s="2" t="s">
        <v>37</v>
      </c>
      <c r="AE24" s="3">
        <f t="shared" si="19"/>
        <v>438776.15759982297</v>
      </c>
      <c r="AF24" s="3">
        <f t="shared" si="19"/>
        <v>62579.506104161686</v>
      </c>
      <c r="AG24" s="3">
        <f t="shared" si="20"/>
        <v>501355.66370398464</v>
      </c>
      <c r="AH24" s="7" t="s">
        <v>109</v>
      </c>
      <c r="AI24" s="2" t="s">
        <v>37</v>
      </c>
      <c r="AJ24" s="3">
        <f t="shared" si="21"/>
        <v>124112.97326429462</v>
      </c>
      <c r="AK24" s="3">
        <f t="shared" si="21"/>
        <v>637791.44050050946</v>
      </c>
      <c r="AL24" s="3">
        <f t="shared" si="21"/>
        <v>24870.56099138741</v>
      </c>
      <c r="AM24" s="3">
        <f t="shared" si="21"/>
        <v>0</v>
      </c>
      <c r="AN24" s="3">
        <f t="shared" si="22"/>
        <v>786774.9747561916</v>
      </c>
      <c r="AO24" s="7" t="s">
        <v>109</v>
      </c>
      <c r="AP24" s="2" t="s">
        <v>37</v>
      </c>
      <c r="AQ24" s="3">
        <f t="shared" si="23"/>
        <v>23435.496115171663</v>
      </c>
      <c r="AR24" s="3">
        <f t="shared" si="23"/>
        <v>237113.2539456478</v>
      </c>
      <c r="AS24" s="3">
        <f t="shared" si="23"/>
        <v>24870.56099138741</v>
      </c>
      <c r="AT24" s="3">
        <f t="shared" si="23"/>
        <v>0</v>
      </c>
      <c r="AU24" s="3">
        <f t="shared" si="24"/>
        <v>285419.3110522069</v>
      </c>
      <c r="AV24" s="7" t="s">
        <v>109</v>
      </c>
      <c r="AW24" s="2" t="s">
        <v>37</v>
      </c>
      <c r="AX24" s="3">
        <f t="shared" si="25"/>
        <v>100677.47714912296</v>
      </c>
      <c r="AY24" s="3">
        <f t="shared" si="25"/>
        <v>400678.18655486166</v>
      </c>
      <c r="AZ24" s="3">
        <f t="shared" si="25"/>
        <v>0</v>
      </c>
      <c r="BA24" s="3">
        <f t="shared" si="25"/>
        <v>0</v>
      </c>
      <c r="BB24" s="3">
        <f t="shared" si="26"/>
        <v>501355.66370398464</v>
      </c>
      <c r="BC24" s="7" t="s">
        <v>109</v>
      </c>
      <c r="BD24" s="2" t="s">
        <v>37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7" t="s">
        <v>109</v>
      </c>
      <c r="BK24" s="2" t="s">
        <v>37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7" t="s">
        <v>109</v>
      </c>
      <c r="BR24" s="2" t="s">
        <v>37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7" t="s">
        <v>109</v>
      </c>
      <c r="BY24" s="2" t="s">
        <v>37</v>
      </c>
      <c r="BZ24" s="3">
        <v>507.82724497598969</v>
      </c>
      <c r="CA24" s="3">
        <v>136995.66041137194</v>
      </c>
      <c r="CB24" s="3">
        <v>0</v>
      </c>
      <c r="CC24" s="3">
        <v>0</v>
      </c>
      <c r="CD24" s="3">
        <v>137503.48765634792</v>
      </c>
      <c r="CE24" s="7" t="s">
        <v>109</v>
      </c>
      <c r="CF24" s="2" t="s">
        <v>37</v>
      </c>
      <c r="CG24" s="3">
        <v>17327.905899958372</v>
      </c>
      <c r="CH24" s="3">
        <v>84728.301794096376</v>
      </c>
      <c r="CI24" s="3">
        <v>24870.56099138741</v>
      </c>
      <c r="CJ24" s="3">
        <v>0</v>
      </c>
      <c r="CK24" s="3">
        <v>126926.76868544216</v>
      </c>
      <c r="CL24" s="7" t="s">
        <v>109</v>
      </c>
      <c r="CM24" s="2" t="s">
        <v>37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7" t="s">
        <v>109</v>
      </c>
      <c r="CT24" s="2" t="s">
        <v>37</v>
      </c>
      <c r="CU24" s="3">
        <v>1232.3343776623292</v>
      </c>
      <c r="CV24" s="3">
        <v>10180.722690889452</v>
      </c>
      <c r="CW24" s="3">
        <v>0</v>
      </c>
      <c r="CX24" s="3">
        <v>0</v>
      </c>
      <c r="CY24" s="3">
        <v>11413.057068551781</v>
      </c>
      <c r="CZ24" s="7" t="s">
        <v>109</v>
      </c>
      <c r="DA24" s="2" t="s">
        <v>37</v>
      </c>
      <c r="DB24" s="3">
        <v>0</v>
      </c>
      <c r="DC24" s="3">
        <v>3886.0251549042828</v>
      </c>
      <c r="DD24" s="3">
        <v>0</v>
      </c>
      <c r="DE24" s="3">
        <v>0</v>
      </c>
      <c r="DF24" s="3">
        <v>3886.0251549042828</v>
      </c>
      <c r="DG24" s="7" t="s">
        <v>109</v>
      </c>
      <c r="DH24" s="2" t="s">
        <v>37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7" t="s">
        <v>109</v>
      </c>
      <c r="DO24" s="2" t="s">
        <v>37</v>
      </c>
      <c r="DP24" s="3">
        <v>4367.4285925749728</v>
      </c>
      <c r="DQ24" s="3">
        <v>1322.5438943857573</v>
      </c>
      <c r="DR24" s="3">
        <v>0</v>
      </c>
      <c r="DS24" s="3">
        <v>0</v>
      </c>
      <c r="DT24" s="3">
        <v>5689.9724869607298</v>
      </c>
      <c r="DU24" s="7" t="s">
        <v>109</v>
      </c>
      <c r="DV24" s="2" t="s">
        <v>37</v>
      </c>
      <c r="DW24" s="3">
        <v>3058.645980522735</v>
      </c>
      <c r="DX24" s="3">
        <v>59520.860123638951</v>
      </c>
      <c r="DY24" s="3">
        <v>0</v>
      </c>
      <c r="DZ24" s="3">
        <v>0</v>
      </c>
      <c r="EA24" s="3">
        <v>62579.506104161686</v>
      </c>
      <c r="EB24" s="7" t="s">
        <v>109</v>
      </c>
      <c r="EC24" s="2" t="s">
        <v>37</v>
      </c>
      <c r="ED24" s="3">
        <v>97618.831168600227</v>
      </c>
      <c r="EE24" s="3">
        <v>341157.32643122273</v>
      </c>
      <c r="EF24" s="3">
        <v>0</v>
      </c>
      <c r="EG24" s="3">
        <v>0</v>
      </c>
      <c r="EH24" s="3">
        <v>438776.15759982297</v>
      </c>
    </row>
    <row r="25" spans="1:138" ht="10.199999999999999" customHeight="1" x14ac:dyDescent="0.2">
      <c r="A25" s="7" t="s">
        <v>96</v>
      </c>
      <c r="B25" s="2" t="s">
        <v>24</v>
      </c>
      <c r="C25" s="3">
        <f t="shared" si="4"/>
        <v>0</v>
      </c>
      <c r="D25" s="3">
        <f t="shared" si="5"/>
        <v>8970.6387622329366</v>
      </c>
      <c r="E25" s="3">
        <f t="shared" si="6"/>
        <v>0</v>
      </c>
      <c r="F25" s="3">
        <f t="shared" si="7"/>
        <v>37520.050861263808</v>
      </c>
      <c r="G25" s="3">
        <f t="shared" si="8"/>
        <v>54662.78837801193</v>
      </c>
      <c r="H25" s="3">
        <f t="shared" si="9"/>
        <v>0</v>
      </c>
      <c r="I25" s="3">
        <f t="shared" si="10"/>
        <v>211903.24076519662</v>
      </c>
      <c r="J25" s="3">
        <f t="shared" si="11"/>
        <v>0</v>
      </c>
      <c r="K25" s="3">
        <f t="shared" si="12"/>
        <v>6459.536641423284</v>
      </c>
      <c r="L25" s="3">
        <f t="shared" si="13"/>
        <v>4163.8880942147898</v>
      </c>
      <c r="M25" s="3">
        <f t="shared" si="14"/>
        <v>419886.42652950494</v>
      </c>
      <c r="N25" s="3">
        <f t="shared" si="15"/>
        <v>144252.93233683475</v>
      </c>
      <c r="O25" s="3">
        <f t="shared" si="16"/>
        <v>887819.502368683</v>
      </c>
      <c r="P25" s="7" t="s">
        <v>96</v>
      </c>
      <c r="Q25" s="2" t="s">
        <v>24</v>
      </c>
      <c r="R25" s="3">
        <f t="shared" si="17"/>
        <v>0</v>
      </c>
      <c r="S25" s="3">
        <f t="shared" si="17"/>
        <v>8970.6387622329366</v>
      </c>
      <c r="T25" s="3">
        <f t="shared" si="17"/>
        <v>0</v>
      </c>
      <c r="U25" s="3">
        <f t="shared" si="17"/>
        <v>37520.050861263808</v>
      </c>
      <c r="V25" s="3">
        <f t="shared" si="17"/>
        <v>54662.78837801193</v>
      </c>
      <c r="W25" s="3">
        <f t="shared" si="17"/>
        <v>0</v>
      </c>
      <c r="X25" s="3">
        <f t="shared" si="17"/>
        <v>211903.24076519662</v>
      </c>
      <c r="Y25" s="3">
        <f t="shared" si="17"/>
        <v>0</v>
      </c>
      <c r="Z25" s="3">
        <f t="shared" si="17"/>
        <v>6459.536641423284</v>
      </c>
      <c r="AA25" s="3">
        <f t="shared" si="17"/>
        <v>4163.8880942147898</v>
      </c>
      <c r="AB25" s="3">
        <f t="shared" si="18"/>
        <v>323680.14350234339</v>
      </c>
      <c r="AC25" s="7" t="s">
        <v>96</v>
      </c>
      <c r="AD25" s="2" t="s">
        <v>24</v>
      </c>
      <c r="AE25" s="3">
        <f t="shared" si="19"/>
        <v>419886.42652950494</v>
      </c>
      <c r="AF25" s="3">
        <f t="shared" si="19"/>
        <v>144252.93233683475</v>
      </c>
      <c r="AG25" s="3">
        <f t="shared" si="20"/>
        <v>564139.35886633967</v>
      </c>
      <c r="AH25" s="7" t="s">
        <v>96</v>
      </c>
      <c r="AI25" s="2" t="s">
        <v>24</v>
      </c>
      <c r="AJ25" s="3">
        <f t="shared" si="21"/>
        <v>710412.15838516224</v>
      </c>
      <c r="AK25" s="3">
        <f t="shared" si="21"/>
        <v>177407.34398352081</v>
      </c>
      <c r="AL25" s="3">
        <f t="shared" si="21"/>
        <v>0</v>
      </c>
      <c r="AM25" s="3">
        <f t="shared" si="21"/>
        <v>0</v>
      </c>
      <c r="AN25" s="3">
        <f t="shared" si="22"/>
        <v>887819.502368683</v>
      </c>
      <c r="AO25" s="7" t="s">
        <v>96</v>
      </c>
      <c r="AP25" s="2" t="s">
        <v>24</v>
      </c>
      <c r="AQ25" s="3">
        <f t="shared" si="23"/>
        <v>187018.79815437435</v>
      </c>
      <c r="AR25" s="3">
        <f t="shared" si="23"/>
        <v>136661.34534796904</v>
      </c>
      <c r="AS25" s="3">
        <f t="shared" si="23"/>
        <v>0</v>
      </c>
      <c r="AT25" s="3">
        <f t="shared" si="23"/>
        <v>0</v>
      </c>
      <c r="AU25" s="3">
        <f t="shared" si="24"/>
        <v>323680.14350234339</v>
      </c>
      <c r="AV25" s="7" t="s">
        <v>96</v>
      </c>
      <c r="AW25" s="2" t="s">
        <v>24</v>
      </c>
      <c r="AX25" s="3">
        <f t="shared" si="25"/>
        <v>523393.36023078789</v>
      </c>
      <c r="AY25" s="3">
        <f t="shared" si="25"/>
        <v>40745.998635551783</v>
      </c>
      <c r="AZ25" s="3">
        <f t="shared" si="25"/>
        <v>0</v>
      </c>
      <c r="BA25" s="3">
        <f t="shared" si="25"/>
        <v>0</v>
      </c>
      <c r="BB25" s="3">
        <f t="shared" si="26"/>
        <v>564139.35886633967</v>
      </c>
      <c r="BC25" s="7" t="s">
        <v>96</v>
      </c>
      <c r="BD25" s="2" t="s">
        <v>24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7" t="s">
        <v>96</v>
      </c>
      <c r="BK25" s="2" t="s">
        <v>24</v>
      </c>
      <c r="BL25" s="3">
        <v>8970.6387622329366</v>
      </c>
      <c r="BM25" s="3">
        <v>0</v>
      </c>
      <c r="BN25" s="3">
        <v>0</v>
      </c>
      <c r="BO25" s="3">
        <v>0</v>
      </c>
      <c r="BP25" s="3">
        <v>8970.6387622329366</v>
      </c>
      <c r="BQ25" s="7" t="s">
        <v>96</v>
      </c>
      <c r="BR25" s="2" t="s">
        <v>24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7" t="s">
        <v>96</v>
      </c>
      <c r="BY25" s="2" t="s">
        <v>24</v>
      </c>
      <c r="BZ25" s="3">
        <v>31210.704123408414</v>
      </c>
      <c r="CA25" s="3">
        <v>6309.3467378553951</v>
      </c>
      <c r="CB25" s="3">
        <v>0</v>
      </c>
      <c r="CC25" s="3">
        <v>0</v>
      </c>
      <c r="CD25" s="3">
        <v>37520.050861263808</v>
      </c>
      <c r="CE25" s="7" t="s">
        <v>96</v>
      </c>
      <c r="CF25" s="2" t="s">
        <v>24</v>
      </c>
      <c r="CG25" s="3">
        <v>11390.452469135802</v>
      </c>
      <c r="CH25" s="3">
        <v>43272.335908876128</v>
      </c>
      <c r="CI25" s="3">
        <v>0</v>
      </c>
      <c r="CJ25" s="3">
        <v>0</v>
      </c>
      <c r="CK25" s="3">
        <v>54662.78837801193</v>
      </c>
      <c r="CL25" s="7" t="s">
        <v>96</v>
      </c>
      <c r="CM25" s="2" t="s">
        <v>24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7" t="s">
        <v>96</v>
      </c>
      <c r="CT25" s="2" t="s">
        <v>24</v>
      </c>
      <c r="CU25" s="3">
        <v>130600.44979463611</v>
      </c>
      <c r="CV25" s="3">
        <v>81302.790970560513</v>
      </c>
      <c r="CW25" s="3">
        <v>0</v>
      </c>
      <c r="CX25" s="3">
        <v>0</v>
      </c>
      <c r="CY25" s="3">
        <v>211903.24076519662</v>
      </c>
      <c r="CZ25" s="7" t="s">
        <v>96</v>
      </c>
      <c r="DA25" s="2" t="s">
        <v>24</v>
      </c>
      <c r="DB25" s="3">
        <v>682.66491074629459</v>
      </c>
      <c r="DC25" s="3">
        <v>5776.8717306769895</v>
      </c>
      <c r="DD25" s="3">
        <v>0</v>
      </c>
      <c r="DE25" s="3">
        <v>0</v>
      </c>
      <c r="DF25" s="3">
        <v>6459.536641423284</v>
      </c>
      <c r="DG25" s="7" t="s">
        <v>96</v>
      </c>
      <c r="DH25" s="2" t="s">
        <v>24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7" t="s">
        <v>96</v>
      </c>
      <c r="DO25" s="2" t="s">
        <v>24</v>
      </c>
      <c r="DP25" s="3">
        <v>4163.8880942147898</v>
      </c>
      <c r="DQ25" s="3">
        <v>0</v>
      </c>
      <c r="DR25" s="3">
        <v>0</v>
      </c>
      <c r="DS25" s="3">
        <v>0</v>
      </c>
      <c r="DT25" s="3">
        <v>4163.8880942147898</v>
      </c>
      <c r="DU25" s="7" t="s">
        <v>96</v>
      </c>
      <c r="DV25" s="2" t="s">
        <v>24</v>
      </c>
      <c r="DW25" s="3">
        <v>141555.28409393798</v>
      </c>
      <c r="DX25" s="3">
        <v>2697.6482428967811</v>
      </c>
      <c r="DY25" s="3">
        <v>0</v>
      </c>
      <c r="DZ25" s="3">
        <v>0</v>
      </c>
      <c r="EA25" s="3">
        <v>144252.93233683475</v>
      </c>
      <c r="EB25" s="7" t="s">
        <v>96</v>
      </c>
      <c r="EC25" s="2" t="s">
        <v>24</v>
      </c>
      <c r="ED25" s="3">
        <v>381838.07613684994</v>
      </c>
      <c r="EE25" s="3">
        <v>38048.350392655004</v>
      </c>
      <c r="EF25" s="3">
        <v>0</v>
      </c>
      <c r="EG25" s="3">
        <v>0</v>
      </c>
      <c r="EH25" s="3">
        <v>419886.42652950494</v>
      </c>
    </row>
    <row r="26" spans="1:138" ht="10.199999999999999" customHeight="1" x14ac:dyDescent="0.2">
      <c r="A26" s="7" t="s">
        <v>120</v>
      </c>
      <c r="B26" s="2" t="s">
        <v>48</v>
      </c>
      <c r="C26" s="3">
        <f t="shared" si="4"/>
        <v>1973.4471428571428</v>
      </c>
      <c r="D26" s="3">
        <f t="shared" si="5"/>
        <v>311.09581429663854</v>
      </c>
      <c r="E26" s="3">
        <f t="shared" si="6"/>
        <v>21576087.518284824</v>
      </c>
      <c r="F26" s="3">
        <f t="shared" si="7"/>
        <v>164053.06821460387</v>
      </c>
      <c r="G26" s="3">
        <f t="shared" si="8"/>
        <v>13284.845464879601</v>
      </c>
      <c r="H26" s="3">
        <f t="shared" si="9"/>
        <v>0</v>
      </c>
      <c r="I26" s="3">
        <f t="shared" si="10"/>
        <v>985836.78460256429</v>
      </c>
      <c r="J26" s="3">
        <f t="shared" si="11"/>
        <v>66571.816953312402</v>
      </c>
      <c r="K26" s="3">
        <f t="shared" si="12"/>
        <v>2666141.1749064904</v>
      </c>
      <c r="L26" s="3">
        <f t="shared" si="13"/>
        <v>133672.4233066295</v>
      </c>
      <c r="M26" s="3">
        <f t="shared" si="14"/>
        <v>2394623.3075140594</v>
      </c>
      <c r="N26" s="3">
        <f t="shared" si="15"/>
        <v>1292134.7513676924</v>
      </c>
      <c r="O26" s="3">
        <f t="shared" si="16"/>
        <v>29294690.233572207</v>
      </c>
      <c r="P26" s="7" t="s">
        <v>120</v>
      </c>
      <c r="Q26" s="2" t="s">
        <v>48</v>
      </c>
      <c r="R26" s="3">
        <f t="shared" si="17"/>
        <v>1973.4471428571428</v>
      </c>
      <c r="S26" s="3">
        <f t="shared" si="17"/>
        <v>311.09581429663854</v>
      </c>
      <c r="T26" s="3">
        <f t="shared" si="17"/>
        <v>21576087.518284824</v>
      </c>
      <c r="U26" s="3">
        <f t="shared" si="17"/>
        <v>164053.06821460387</v>
      </c>
      <c r="V26" s="3">
        <f t="shared" si="17"/>
        <v>13284.845464879601</v>
      </c>
      <c r="W26" s="3">
        <f t="shared" si="17"/>
        <v>0</v>
      </c>
      <c r="X26" s="3">
        <f t="shared" si="17"/>
        <v>985836.78460256429</v>
      </c>
      <c r="Y26" s="3">
        <f t="shared" si="17"/>
        <v>66571.816953312402</v>
      </c>
      <c r="Z26" s="3">
        <f t="shared" si="17"/>
        <v>2666141.1749064904</v>
      </c>
      <c r="AA26" s="3">
        <f t="shared" si="17"/>
        <v>133672.4233066295</v>
      </c>
      <c r="AB26" s="3">
        <f t="shared" si="18"/>
        <v>25607932.174690455</v>
      </c>
      <c r="AC26" s="7" t="s">
        <v>120</v>
      </c>
      <c r="AD26" s="2" t="s">
        <v>48</v>
      </c>
      <c r="AE26" s="3">
        <f t="shared" si="19"/>
        <v>2394623.3075140594</v>
      </c>
      <c r="AF26" s="3">
        <f t="shared" si="19"/>
        <v>1292134.7513676924</v>
      </c>
      <c r="AG26" s="3">
        <f t="shared" si="20"/>
        <v>3686758.0588817517</v>
      </c>
      <c r="AH26" s="7" t="s">
        <v>120</v>
      </c>
      <c r="AI26" s="2" t="s">
        <v>48</v>
      </c>
      <c r="AJ26" s="3">
        <f t="shared" si="21"/>
        <v>1059625.5784871248</v>
      </c>
      <c r="AK26" s="3">
        <f t="shared" si="21"/>
        <v>1867496.9338275702</v>
      </c>
      <c r="AL26" s="3">
        <f t="shared" si="21"/>
        <v>7576864.0698246714</v>
      </c>
      <c r="AM26" s="3">
        <f t="shared" si="21"/>
        <v>18790703.651432846</v>
      </c>
      <c r="AN26" s="3">
        <f t="shared" si="22"/>
        <v>29294690.233572211</v>
      </c>
      <c r="AO26" s="7" t="s">
        <v>120</v>
      </c>
      <c r="AP26" s="2" t="s">
        <v>48</v>
      </c>
      <c r="AQ26" s="3">
        <f t="shared" si="23"/>
        <v>260698.75914028639</v>
      </c>
      <c r="AR26" s="3">
        <f t="shared" si="23"/>
        <v>533445.57457061927</v>
      </c>
      <c r="AS26" s="3">
        <f t="shared" si="23"/>
        <v>6023084.1895467089</v>
      </c>
      <c r="AT26" s="3">
        <f t="shared" si="23"/>
        <v>18790703.651432846</v>
      </c>
      <c r="AU26" s="3">
        <f t="shared" si="24"/>
        <v>25607932.174690463</v>
      </c>
      <c r="AV26" s="7" t="s">
        <v>120</v>
      </c>
      <c r="AW26" s="2" t="s">
        <v>48</v>
      </c>
      <c r="AX26" s="3">
        <f t="shared" si="25"/>
        <v>798926.8193468384</v>
      </c>
      <c r="AY26" s="3">
        <f t="shared" si="25"/>
        <v>1334051.3592569509</v>
      </c>
      <c r="AZ26" s="3">
        <f t="shared" si="25"/>
        <v>1553779.8802779624</v>
      </c>
      <c r="BA26" s="3">
        <f t="shared" si="25"/>
        <v>0</v>
      </c>
      <c r="BB26" s="3">
        <f t="shared" si="26"/>
        <v>3686758.0588817517</v>
      </c>
      <c r="BC26" s="7" t="s">
        <v>120</v>
      </c>
      <c r="BD26" s="2" t="s">
        <v>48</v>
      </c>
      <c r="BE26" s="3">
        <v>1973.4471428571428</v>
      </c>
      <c r="BF26" s="3">
        <v>0</v>
      </c>
      <c r="BG26" s="3">
        <v>0</v>
      </c>
      <c r="BH26" s="3">
        <v>0</v>
      </c>
      <c r="BI26" s="3">
        <v>1973.4471428571428</v>
      </c>
      <c r="BJ26" s="7" t="s">
        <v>120</v>
      </c>
      <c r="BK26" s="2" t="s">
        <v>48</v>
      </c>
      <c r="BL26" s="3">
        <v>311.09581429663854</v>
      </c>
      <c r="BM26" s="3">
        <v>0</v>
      </c>
      <c r="BN26" s="3">
        <v>0</v>
      </c>
      <c r="BO26" s="3">
        <v>0</v>
      </c>
      <c r="BP26" s="3">
        <v>311.09581429663854</v>
      </c>
      <c r="BQ26" s="7" t="s">
        <v>120</v>
      </c>
      <c r="BR26" s="2" t="s">
        <v>48</v>
      </c>
      <c r="BS26" s="3">
        <v>0</v>
      </c>
      <c r="BT26" s="3">
        <v>1269.642138610327</v>
      </c>
      <c r="BU26" s="3">
        <v>3038042.6524354359</v>
      </c>
      <c r="BV26" s="3">
        <v>18536775.223710779</v>
      </c>
      <c r="BW26" s="3">
        <v>21576087.518284824</v>
      </c>
      <c r="BX26" s="7" t="s">
        <v>120</v>
      </c>
      <c r="BY26" s="2" t="s">
        <v>48</v>
      </c>
      <c r="BZ26" s="3">
        <v>33910.189753597573</v>
      </c>
      <c r="CA26" s="3">
        <v>62992.363784260284</v>
      </c>
      <c r="CB26" s="3">
        <v>67150.51467674601</v>
      </c>
      <c r="CC26" s="3">
        <v>0</v>
      </c>
      <c r="CD26" s="3">
        <v>164053.06821460387</v>
      </c>
      <c r="CE26" s="7" t="s">
        <v>120</v>
      </c>
      <c r="CF26" s="2" t="s">
        <v>48</v>
      </c>
      <c r="CG26" s="3">
        <v>1749.5683950617281</v>
      </c>
      <c r="CH26" s="3">
        <v>11535.277069817874</v>
      </c>
      <c r="CI26" s="3">
        <v>0</v>
      </c>
      <c r="CJ26" s="3">
        <v>0</v>
      </c>
      <c r="CK26" s="3">
        <v>13284.845464879601</v>
      </c>
      <c r="CL26" s="7" t="s">
        <v>120</v>
      </c>
      <c r="CM26" s="2" t="s">
        <v>48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7" t="s">
        <v>120</v>
      </c>
      <c r="CT26" s="2" t="s">
        <v>48</v>
      </c>
      <c r="CU26" s="3">
        <v>134865.10040815119</v>
      </c>
      <c r="CV26" s="3">
        <v>257005.67365183294</v>
      </c>
      <c r="CW26" s="3">
        <v>593966.01054258016</v>
      </c>
      <c r="CX26" s="3">
        <v>0</v>
      </c>
      <c r="CY26" s="3">
        <v>985836.78460256429</v>
      </c>
      <c r="CZ26" s="7" t="s">
        <v>120</v>
      </c>
      <c r="DA26" s="2" t="s">
        <v>48</v>
      </c>
      <c r="DB26" s="3">
        <v>66751.671644617221</v>
      </c>
      <c r="DC26" s="3">
        <v>126441.75160119987</v>
      </c>
      <c r="DD26" s="3">
        <v>2219019.3239386082</v>
      </c>
      <c r="DE26" s="3">
        <v>253928.42772206545</v>
      </c>
      <c r="DF26" s="3">
        <v>2666141.1749064904</v>
      </c>
      <c r="DG26" s="7" t="s">
        <v>120</v>
      </c>
      <c r="DH26" s="2" t="s">
        <v>48</v>
      </c>
      <c r="DI26" s="3">
        <v>7503.4123885676381</v>
      </c>
      <c r="DJ26" s="3">
        <v>9327.2825819699428</v>
      </c>
      <c r="DK26" s="3">
        <v>49741.121982774821</v>
      </c>
      <c r="DL26" s="3">
        <v>0</v>
      </c>
      <c r="DM26" s="3">
        <v>66571.816953312402</v>
      </c>
      <c r="DN26" s="7" t="s">
        <v>120</v>
      </c>
      <c r="DO26" s="2" t="s">
        <v>48</v>
      </c>
      <c r="DP26" s="3">
        <v>13634.273593137252</v>
      </c>
      <c r="DQ26" s="3">
        <v>64873.583742927993</v>
      </c>
      <c r="DR26" s="3">
        <v>55164.565970564254</v>
      </c>
      <c r="DS26" s="3">
        <v>0</v>
      </c>
      <c r="DT26" s="3">
        <v>133672.4233066295</v>
      </c>
      <c r="DU26" s="7" t="s">
        <v>120</v>
      </c>
      <c r="DV26" s="2" t="s">
        <v>48</v>
      </c>
      <c r="DW26" s="3">
        <v>420715.72340473911</v>
      </c>
      <c r="DX26" s="3">
        <v>131572.39449489975</v>
      </c>
      <c r="DY26" s="3">
        <v>739846.63346805365</v>
      </c>
      <c r="DZ26" s="3">
        <v>0</v>
      </c>
      <c r="EA26" s="3">
        <v>1292134.7513676924</v>
      </c>
      <c r="EB26" s="7" t="s">
        <v>120</v>
      </c>
      <c r="EC26" s="2" t="s">
        <v>48</v>
      </c>
      <c r="ED26" s="3">
        <v>378211.09594209929</v>
      </c>
      <c r="EE26" s="3">
        <v>1202478.9647620511</v>
      </c>
      <c r="EF26" s="3">
        <v>813933.24680990865</v>
      </c>
      <c r="EG26" s="3">
        <v>0</v>
      </c>
      <c r="EH26" s="3">
        <v>2394623.3075140594</v>
      </c>
    </row>
    <row r="27" spans="1:138" ht="10.199999999999999" customHeight="1" x14ac:dyDescent="0.2">
      <c r="A27" s="7" t="s">
        <v>102</v>
      </c>
      <c r="B27" s="2" t="s">
        <v>30</v>
      </c>
      <c r="C27" s="3">
        <f t="shared" si="4"/>
        <v>1246.9699575637053</v>
      </c>
      <c r="D27" s="3">
        <f t="shared" si="5"/>
        <v>3546419.9040437005</v>
      </c>
      <c r="E27" s="3">
        <f t="shared" si="6"/>
        <v>22456891.334886953</v>
      </c>
      <c r="F27" s="3">
        <f t="shared" si="7"/>
        <v>4455432.1842751028</v>
      </c>
      <c r="G27" s="3">
        <f t="shared" si="8"/>
        <v>195948.02936602346</v>
      </c>
      <c r="H27" s="3">
        <f t="shared" si="9"/>
        <v>10580.351155086058</v>
      </c>
      <c r="I27" s="3">
        <f t="shared" si="10"/>
        <v>363346.13094045856</v>
      </c>
      <c r="J27" s="3">
        <f t="shared" si="11"/>
        <v>6825564.2333410205</v>
      </c>
      <c r="K27" s="3">
        <f t="shared" si="12"/>
        <v>2408081.7594753904</v>
      </c>
      <c r="L27" s="3">
        <f t="shared" si="13"/>
        <v>35941.281949376978</v>
      </c>
      <c r="M27" s="3">
        <f t="shared" si="14"/>
        <v>22449230.059530839</v>
      </c>
      <c r="N27" s="3">
        <f t="shared" si="15"/>
        <v>18943686.915781528</v>
      </c>
      <c r="O27" s="3">
        <f t="shared" si="16"/>
        <v>81692369.154703051</v>
      </c>
      <c r="P27" s="7" t="s">
        <v>102</v>
      </c>
      <c r="Q27" s="2" t="s">
        <v>30</v>
      </c>
      <c r="R27" s="3">
        <f t="shared" si="17"/>
        <v>1246.9699575637053</v>
      </c>
      <c r="S27" s="3">
        <f t="shared" si="17"/>
        <v>3546419.9040437005</v>
      </c>
      <c r="T27" s="3">
        <f t="shared" si="17"/>
        <v>22456891.334886953</v>
      </c>
      <c r="U27" s="3">
        <f t="shared" si="17"/>
        <v>4455432.1842751028</v>
      </c>
      <c r="V27" s="3">
        <f t="shared" si="17"/>
        <v>195948.02936602346</v>
      </c>
      <c r="W27" s="3">
        <f t="shared" si="17"/>
        <v>10580.351155086058</v>
      </c>
      <c r="X27" s="3">
        <f t="shared" si="17"/>
        <v>363346.13094045856</v>
      </c>
      <c r="Y27" s="3">
        <f t="shared" si="17"/>
        <v>6825564.2333410205</v>
      </c>
      <c r="Z27" s="3">
        <f t="shared" si="17"/>
        <v>2408081.7594753904</v>
      </c>
      <c r="AA27" s="3">
        <f t="shared" si="17"/>
        <v>35941.281949376978</v>
      </c>
      <c r="AB27" s="3">
        <f t="shared" si="18"/>
        <v>40299452.179390676</v>
      </c>
      <c r="AC27" s="7" t="s">
        <v>102</v>
      </c>
      <c r="AD27" s="2" t="s">
        <v>30</v>
      </c>
      <c r="AE27" s="3">
        <f t="shared" si="19"/>
        <v>22449230.059530839</v>
      </c>
      <c r="AF27" s="3">
        <f t="shared" si="19"/>
        <v>18943686.915781528</v>
      </c>
      <c r="AG27" s="3">
        <f t="shared" si="20"/>
        <v>41392916.975312367</v>
      </c>
      <c r="AH27" s="7" t="s">
        <v>102</v>
      </c>
      <c r="AI27" s="2" t="s">
        <v>30</v>
      </c>
      <c r="AJ27" s="3">
        <f t="shared" si="21"/>
        <v>13109548.425889</v>
      </c>
      <c r="AK27" s="3">
        <f t="shared" si="21"/>
        <v>41330118.507354721</v>
      </c>
      <c r="AL27" s="3">
        <f t="shared" si="21"/>
        <v>11413916.542295499</v>
      </c>
      <c r="AM27" s="3">
        <f t="shared" si="21"/>
        <v>15838785.679163832</v>
      </c>
      <c r="AN27" s="3">
        <f t="shared" si="22"/>
        <v>81692369.154703051</v>
      </c>
      <c r="AO27" s="7" t="s">
        <v>102</v>
      </c>
      <c r="AP27" s="2" t="s">
        <v>30</v>
      </c>
      <c r="AQ27" s="3">
        <f t="shared" si="23"/>
        <v>6263285.4299905403</v>
      </c>
      <c r="AR27" s="3">
        <f t="shared" si="23"/>
        <v>14266780.616121836</v>
      </c>
      <c r="AS27" s="3">
        <f t="shared" si="23"/>
        <v>3930600.4541144711</v>
      </c>
      <c r="AT27" s="3">
        <f t="shared" si="23"/>
        <v>15838785.679163832</v>
      </c>
      <c r="AU27" s="3">
        <f t="shared" si="24"/>
        <v>40299452.179390684</v>
      </c>
      <c r="AV27" s="7" t="s">
        <v>102</v>
      </c>
      <c r="AW27" s="2" t="s">
        <v>30</v>
      </c>
      <c r="AX27" s="3">
        <f t="shared" si="25"/>
        <v>6846262.995898461</v>
      </c>
      <c r="AY27" s="3">
        <f t="shared" si="25"/>
        <v>27063337.891232882</v>
      </c>
      <c r="AZ27" s="3">
        <f t="shared" si="25"/>
        <v>7483316.0881810272</v>
      </c>
      <c r="BA27" s="3">
        <f t="shared" si="25"/>
        <v>0</v>
      </c>
      <c r="BB27" s="3">
        <f t="shared" si="26"/>
        <v>41392916.975312367</v>
      </c>
      <c r="BC27" s="7" t="s">
        <v>102</v>
      </c>
      <c r="BD27" s="2" t="s">
        <v>30</v>
      </c>
      <c r="BE27" s="3">
        <v>1246.9699575637053</v>
      </c>
      <c r="BF27" s="3">
        <v>0</v>
      </c>
      <c r="BG27" s="3">
        <v>0</v>
      </c>
      <c r="BH27" s="3">
        <v>0</v>
      </c>
      <c r="BI27" s="3">
        <v>1246.9699575637053</v>
      </c>
      <c r="BJ27" s="7" t="s">
        <v>102</v>
      </c>
      <c r="BK27" s="2" t="s">
        <v>30</v>
      </c>
      <c r="BL27" s="3">
        <v>31627.250324111257</v>
      </c>
      <c r="BM27" s="3">
        <v>2116.0702310172119</v>
      </c>
      <c r="BN27" s="3">
        <v>0</v>
      </c>
      <c r="BO27" s="3">
        <v>3512676.5834885719</v>
      </c>
      <c r="BP27" s="3">
        <v>3546419.9040437005</v>
      </c>
      <c r="BQ27" s="7" t="s">
        <v>102</v>
      </c>
      <c r="BR27" s="2" t="s">
        <v>30</v>
      </c>
      <c r="BS27" s="3">
        <v>5503577.9952428639</v>
      </c>
      <c r="BT27" s="3">
        <v>11007155.990485728</v>
      </c>
      <c r="BU27" s="3">
        <v>444374.74851361453</v>
      </c>
      <c r="BV27" s="3">
        <v>5501782.6006447505</v>
      </c>
      <c r="BW27" s="3">
        <v>22456891.334886953</v>
      </c>
      <c r="BX27" s="7" t="s">
        <v>102</v>
      </c>
      <c r="BY27" s="2" t="s">
        <v>30</v>
      </c>
      <c r="BZ27" s="3">
        <v>114934.21901994987</v>
      </c>
      <c r="CA27" s="3">
        <v>864852.61080938263</v>
      </c>
      <c r="CB27" s="3">
        <v>3475645.3544457704</v>
      </c>
      <c r="CC27" s="3">
        <v>0</v>
      </c>
      <c r="CD27" s="3">
        <v>4455432.1842751028</v>
      </c>
      <c r="CE27" s="7" t="s">
        <v>102</v>
      </c>
      <c r="CF27" s="2" t="s">
        <v>30</v>
      </c>
      <c r="CG27" s="3">
        <v>181.36687320571059</v>
      </c>
      <c r="CH27" s="3">
        <v>195766.66249281776</v>
      </c>
      <c r="CI27" s="3">
        <v>0</v>
      </c>
      <c r="CJ27" s="3">
        <v>0</v>
      </c>
      <c r="CK27" s="3">
        <v>195948.02936602346</v>
      </c>
      <c r="CL27" s="7" t="s">
        <v>102</v>
      </c>
      <c r="CM27" s="2" t="s">
        <v>30</v>
      </c>
      <c r="CN27" s="3">
        <v>0</v>
      </c>
      <c r="CO27" s="3">
        <v>0</v>
      </c>
      <c r="CP27" s="3">
        <v>10580.351155086058</v>
      </c>
      <c r="CQ27" s="3">
        <v>0</v>
      </c>
      <c r="CR27" s="3">
        <v>10580.351155086058</v>
      </c>
      <c r="CS27" s="7" t="s">
        <v>102</v>
      </c>
      <c r="CT27" s="2" t="s">
        <v>30</v>
      </c>
      <c r="CU27" s="3">
        <v>323966.65466193017</v>
      </c>
      <c r="CV27" s="3">
        <v>39379.476278528389</v>
      </c>
      <c r="CW27" s="3">
        <v>0</v>
      </c>
      <c r="CX27" s="3">
        <v>0</v>
      </c>
      <c r="CY27" s="3">
        <v>363346.13094045856</v>
      </c>
      <c r="CZ27" s="7" t="s">
        <v>102</v>
      </c>
      <c r="DA27" s="2" t="s">
        <v>30</v>
      </c>
      <c r="DB27" s="3">
        <v>267851.83120581246</v>
      </c>
      <c r="DC27" s="3">
        <v>2140229.9282695781</v>
      </c>
      <c r="DD27" s="3">
        <v>0</v>
      </c>
      <c r="DE27" s="3">
        <v>0</v>
      </c>
      <c r="DF27" s="3">
        <v>2408081.7594753904</v>
      </c>
      <c r="DG27" s="7" t="s">
        <v>102</v>
      </c>
      <c r="DH27" s="2" t="s">
        <v>30</v>
      </c>
      <c r="DI27" s="3">
        <v>1237.7383105119097</v>
      </c>
      <c r="DJ27" s="3">
        <v>0</v>
      </c>
      <c r="DK27" s="3">
        <v>0</v>
      </c>
      <c r="DL27" s="3">
        <v>6824326.4950305084</v>
      </c>
      <c r="DM27" s="3">
        <v>6825564.2333410205</v>
      </c>
      <c r="DN27" s="7" t="s">
        <v>102</v>
      </c>
      <c r="DO27" s="2" t="s">
        <v>30</v>
      </c>
      <c r="DP27" s="3">
        <v>18661.404394592424</v>
      </c>
      <c r="DQ27" s="3">
        <v>17279.877554784554</v>
      </c>
      <c r="DR27" s="3">
        <v>0</v>
      </c>
      <c r="DS27" s="3">
        <v>0</v>
      </c>
      <c r="DT27" s="3">
        <v>35941.281949376978</v>
      </c>
      <c r="DU27" s="7" t="s">
        <v>102</v>
      </c>
      <c r="DV27" s="2" t="s">
        <v>30</v>
      </c>
      <c r="DW27" s="3">
        <v>5782960.6543814503</v>
      </c>
      <c r="DX27" s="3">
        <v>5740892.2801495688</v>
      </c>
      <c r="DY27" s="3">
        <v>7419833.9812505106</v>
      </c>
      <c r="DZ27" s="3">
        <v>0</v>
      </c>
      <c r="EA27" s="3">
        <v>18943686.915781528</v>
      </c>
      <c r="EB27" s="7" t="s">
        <v>102</v>
      </c>
      <c r="EC27" s="2" t="s">
        <v>30</v>
      </c>
      <c r="ED27" s="3">
        <v>1063302.3415170105</v>
      </c>
      <c r="EE27" s="3">
        <v>21322445.611083314</v>
      </c>
      <c r="EF27" s="3">
        <v>63482.106930516362</v>
      </c>
      <c r="EG27" s="3">
        <v>0</v>
      </c>
      <c r="EH27" s="3">
        <v>22449230.059530839</v>
      </c>
    </row>
    <row r="28" spans="1:138" ht="10.199999999999999" customHeight="1" x14ac:dyDescent="0.2">
      <c r="A28" s="7" t="s">
        <v>98</v>
      </c>
      <c r="B28" s="2" t="s">
        <v>26</v>
      </c>
      <c r="C28" s="3">
        <f t="shared" si="4"/>
        <v>104377.80953739103</v>
      </c>
      <c r="D28" s="3">
        <f t="shared" si="5"/>
        <v>193187.31085795513</v>
      </c>
      <c r="E28" s="3">
        <f t="shared" si="6"/>
        <v>3175163.3816413265</v>
      </c>
      <c r="F28" s="3">
        <f t="shared" si="7"/>
        <v>12204.254142735339</v>
      </c>
      <c r="G28" s="3">
        <f t="shared" si="8"/>
        <v>89574.210489688412</v>
      </c>
      <c r="H28" s="3">
        <f t="shared" si="9"/>
        <v>0</v>
      </c>
      <c r="I28" s="3">
        <f t="shared" si="10"/>
        <v>77024.998592211559</v>
      </c>
      <c r="J28" s="3">
        <f t="shared" si="11"/>
        <v>188118.28273284499</v>
      </c>
      <c r="K28" s="3">
        <f t="shared" si="12"/>
        <v>1017269.3171806275</v>
      </c>
      <c r="L28" s="3">
        <f t="shared" si="13"/>
        <v>906190.57045476278</v>
      </c>
      <c r="M28" s="3">
        <f t="shared" si="14"/>
        <v>1764297.9623190861</v>
      </c>
      <c r="N28" s="3">
        <f t="shared" si="15"/>
        <v>1193114.1126981631</v>
      </c>
      <c r="O28" s="3">
        <f t="shared" si="16"/>
        <v>8720522.2106467914</v>
      </c>
      <c r="P28" s="7" t="s">
        <v>98</v>
      </c>
      <c r="Q28" s="2" t="s">
        <v>26</v>
      </c>
      <c r="R28" s="3">
        <f t="shared" si="17"/>
        <v>104377.80953739103</v>
      </c>
      <c r="S28" s="3">
        <f t="shared" si="17"/>
        <v>193187.31085795513</v>
      </c>
      <c r="T28" s="3">
        <f t="shared" si="17"/>
        <v>3175163.3816413265</v>
      </c>
      <c r="U28" s="3">
        <f t="shared" si="17"/>
        <v>12204.254142735339</v>
      </c>
      <c r="V28" s="3">
        <f t="shared" si="17"/>
        <v>89574.210489688412</v>
      </c>
      <c r="W28" s="3">
        <f t="shared" si="17"/>
        <v>0</v>
      </c>
      <c r="X28" s="3">
        <f t="shared" si="17"/>
        <v>77024.998592211559</v>
      </c>
      <c r="Y28" s="3">
        <f t="shared" si="17"/>
        <v>188118.28273284499</v>
      </c>
      <c r="Z28" s="3">
        <f t="shared" si="17"/>
        <v>1017269.3171806275</v>
      </c>
      <c r="AA28" s="3">
        <f t="shared" si="17"/>
        <v>906190.57045476278</v>
      </c>
      <c r="AB28" s="3">
        <f t="shared" si="18"/>
        <v>5763110.1356295422</v>
      </c>
      <c r="AC28" s="7" t="s">
        <v>98</v>
      </c>
      <c r="AD28" s="2" t="s">
        <v>26</v>
      </c>
      <c r="AE28" s="3">
        <f t="shared" si="19"/>
        <v>1764297.9623190861</v>
      </c>
      <c r="AF28" s="3">
        <f t="shared" si="19"/>
        <v>1193114.1126981631</v>
      </c>
      <c r="AG28" s="3">
        <f t="shared" si="20"/>
        <v>2957412.0750172492</v>
      </c>
      <c r="AH28" s="7" t="s">
        <v>98</v>
      </c>
      <c r="AI28" s="2" t="s">
        <v>26</v>
      </c>
      <c r="AJ28" s="3">
        <f t="shared" si="21"/>
        <v>1397414.3123013824</v>
      </c>
      <c r="AK28" s="3">
        <f t="shared" si="21"/>
        <v>2800503.1870166715</v>
      </c>
      <c r="AL28" s="3">
        <f t="shared" si="21"/>
        <v>1272320.8364863009</v>
      </c>
      <c r="AM28" s="3">
        <f t="shared" si="21"/>
        <v>3250283.8748424374</v>
      </c>
      <c r="AN28" s="3">
        <f t="shared" si="22"/>
        <v>8720522.2106467914</v>
      </c>
      <c r="AO28" s="7" t="s">
        <v>98</v>
      </c>
      <c r="AP28" s="2" t="s">
        <v>26</v>
      </c>
      <c r="AQ28" s="3">
        <f t="shared" si="23"/>
        <v>593263.61425382795</v>
      </c>
      <c r="AR28" s="3">
        <f t="shared" si="23"/>
        <v>1658957.1019658337</v>
      </c>
      <c r="AS28" s="3">
        <f t="shared" si="23"/>
        <v>260605.54456744401</v>
      </c>
      <c r="AT28" s="3">
        <f t="shared" si="23"/>
        <v>3250283.8748424374</v>
      </c>
      <c r="AU28" s="3">
        <f t="shared" si="24"/>
        <v>5763110.1356295431</v>
      </c>
      <c r="AV28" s="7" t="s">
        <v>98</v>
      </c>
      <c r="AW28" s="2" t="s">
        <v>26</v>
      </c>
      <c r="AX28" s="3">
        <f t="shared" si="25"/>
        <v>804150.69804755447</v>
      </c>
      <c r="AY28" s="3">
        <f t="shared" si="25"/>
        <v>1141546.0850508381</v>
      </c>
      <c r="AZ28" s="3">
        <f t="shared" si="25"/>
        <v>1011715.2919188568</v>
      </c>
      <c r="BA28" s="3">
        <f t="shared" si="25"/>
        <v>0</v>
      </c>
      <c r="BB28" s="3">
        <f t="shared" si="26"/>
        <v>2957412.0750172492</v>
      </c>
      <c r="BC28" s="7" t="s">
        <v>98</v>
      </c>
      <c r="BD28" s="2" t="s">
        <v>26</v>
      </c>
      <c r="BE28" s="3">
        <v>8397.4797815584097</v>
      </c>
      <c r="BF28" s="3">
        <v>85447.485252319864</v>
      </c>
      <c r="BG28" s="3">
        <v>10532.844503512752</v>
      </c>
      <c r="BH28" s="3">
        <v>0</v>
      </c>
      <c r="BI28" s="3">
        <v>104377.80953739103</v>
      </c>
      <c r="BJ28" s="7" t="s">
        <v>98</v>
      </c>
      <c r="BK28" s="2" t="s">
        <v>26</v>
      </c>
      <c r="BL28" s="3">
        <v>24412.248016528927</v>
      </c>
      <c r="BM28" s="3">
        <v>52304.381591220059</v>
      </c>
      <c r="BN28" s="3">
        <v>40292.15293358652</v>
      </c>
      <c r="BO28" s="3">
        <v>76178.528316619646</v>
      </c>
      <c r="BP28" s="3">
        <v>193187.31085795513</v>
      </c>
      <c r="BQ28" s="7" t="s">
        <v>98</v>
      </c>
      <c r="BR28" s="2" t="s">
        <v>26</v>
      </c>
      <c r="BS28" s="3">
        <v>0</v>
      </c>
      <c r="BT28" s="3">
        <v>1058.0351155086059</v>
      </c>
      <c r="BU28" s="3">
        <v>0</v>
      </c>
      <c r="BV28" s="3">
        <v>3174105.3465258176</v>
      </c>
      <c r="BW28" s="3">
        <v>3175163.3816413265</v>
      </c>
      <c r="BX28" s="7" t="s">
        <v>98</v>
      </c>
      <c r="BY28" s="2" t="s">
        <v>26</v>
      </c>
      <c r="BZ28" s="3">
        <v>5796.8752812148477</v>
      </c>
      <c r="CA28" s="3">
        <v>6407.3788615204912</v>
      </c>
      <c r="CB28" s="3">
        <v>0</v>
      </c>
      <c r="CC28" s="3">
        <v>0</v>
      </c>
      <c r="CD28" s="3">
        <v>12204.254142735339</v>
      </c>
      <c r="CE28" s="7" t="s">
        <v>98</v>
      </c>
      <c r="CF28" s="2" t="s">
        <v>26</v>
      </c>
      <c r="CG28" s="3">
        <v>1460.1487781108845</v>
      </c>
      <c r="CH28" s="3">
        <v>73305.933797506354</v>
      </c>
      <c r="CI28" s="3">
        <v>14808.127914071169</v>
      </c>
      <c r="CJ28" s="3">
        <v>0</v>
      </c>
      <c r="CK28" s="3">
        <v>89574.210489688412</v>
      </c>
      <c r="CL28" s="7" t="s">
        <v>98</v>
      </c>
      <c r="CM28" s="2" t="s">
        <v>26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7" t="s">
        <v>98</v>
      </c>
      <c r="CT28" s="2" t="s">
        <v>26</v>
      </c>
      <c r="CU28" s="3">
        <v>25757.260080232903</v>
      </c>
      <c r="CV28" s="3">
        <v>32981.512282602132</v>
      </c>
      <c r="CW28" s="3">
        <v>18286.22622937652</v>
      </c>
      <c r="CX28" s="3">
        <v>0</v>
      </c>
      <c r="CY28" s="3">
        <v>77024.998592211559</v>
      </c>
      <c r="CZ28" s="7" t="s">
        <v>98</v>
      </c>
      <c r="DA28" s="2" t="s">
        <v>26</v>
      </c>
      <c r="DB28" s="3">
        <v>414501.73453454644</v>
      </c>
      <c r="DC28" s="3">
        <v>500373.46576850972</v>
      </c>
      <c r="DD28" s="3">
        <v>102394.11687757127</v>
      </c>
      <c r="DE28" s="3">
        <v>0</v>
      </c>
      <c r="DF28" s="3">
        <v>1017269.3171806275</v>
      </c>
      <c r="DG28" s="7" t="s">
        <v>98</v>
      </c>
      <c r="DH28" s="2" t="s">
        <v>26</v>
      </c>
      <c r="DI28" s="3">
        <v>12129.38307692307</v>
      </c>
      <c r="DJ28" s="3">
        <v>120231.96496159145</v>
      </c>
      <c r="DK28" s="3">
        <v>55756.93469433047</v>
      </c>
      <c r="DL28" s="3">
        <v>0</v>
      </c>
      <c r="DM28" s="3">
        <v>188118.28273284499</v>
      </c>
      <c r="DN28" s="7" t="s">
        <v>98</v>
      </c>
      <c r="DO28" s="2" t="s">
        <v>26</v>
      </c>
      <c r="DP28" s="3">
        <v>100808.48470471245</v>
      </c>
      <c r="DQ28" s="3">
        <v>786846.94433505507</v>
      </c>
      <c r="DR28" s="3">
        <v>18535.141414995305</v>
      </c>
      <c r="DS28" s="3">
        <v>0</v>
      </c>
      <c r="DT28" s="3">
        <v>906190.57045476278</v>
      </c>
      <c r="DU28" s="7" t="s">
        <v>98</v>
      </c>
      <c r="DV28" s="2" t="s">
        <v>26</v>
      </c>
      <c r="DW28" s="3">
        <v>21471.32570152725</v>
      </c>
      <c r="DX28" s="3">
        <v>172092.22407323931</v>
      </c>
      <c r="DY28" s="3">
        <v>999550.56292339659</v>
      </c>
      <c r="DZ28" s="3">
        <v>0</v>
      </c>
      <c r="EA28" s="3">
        <v>1193114.1126981631</v>
      </c>
      <c r="EB28" s="7" t="s">
        <v>98</v>
      </c>
      <c r="EC28" s="2" t="s">
        <v>26</v>
      </c>
      <c r="ED28" s="3">
        <v>782679.37234602717</v>
      </c>
      <c r="EE28" s="3">
        <v>969453.86097759882</v>
      </c>
      <c r="EF28" s="3">
        <v>12164.728995460198</v>
      </c>
      <c r="EG28" s="3">
        <v>0</v>
      </c>
      <c r="EH28" s="3">
        <v>1764297.9623190861</v>
      </c>
    </row>
    <row r="29" spans="1:138" ht="10.199999999999999" customHeight="1" x14ac:dyDescent="0.2">
      <c r="A29" s="7" t="s">
        <v>93</v>
      </c>
      <c r="B29" s="2" t="s">
        <v>21</v>
      </c>
      <c r="C29" s="3">
        <f t="shared" si="4"/>
        <v>1282.0324571889528</v>
      </c>
      <c r="D29" s="3">
        <f t="shared" si="5"/>
        <v>4795.942048072533</v>
      </c>
      <c r="E29" s="3">
        <f t="shared" si="6"/>
        <v>0</v>
      </c>
      <c r="F29" s="3">
        <f t="shared" si="7"/>
        <v>15306.836713858685</v>
      </c>
      <c r="G29" s="3">
        <f t="shared" si="8"/>
        <v>0</v>
      </c>
      <c r="H29" s="3">
        <f t="shared" si="9"/>
        <v>0</v>
      </c>
      <c r="I29" s="3">
        <f t="shared" si="10"/>
        <v>4770.8379018355681</v>
      </c>
      <c r="J29" s="3">
        <f t="shared" si="11"/>
        <v>2056.1464440080763</v>
      </c>
      <c r="K29" s="3">
        <f t="shared" si="12"/>
        <v>25792.930550722085</v>
      </c>
      <c r="L29" s="3">
        <f t="shared" si="13"/>
        <v>2863.7386411758866</v>
      </c>
      <c r="M29" s="3">
        <f t="shared" si="14"/>
        <v>294497.31351319968</v>
      </c>
      <c r="N29" s="3">
        <f t="shared" si="15"/>
        <v>7833.5772010429</v>
      </c>
      <c r="O29" s="3">
        <f t="shared" si="16"/>
        <v>359199.35547110438</v>
      </c>
      <c r="P29" s="7" t="s">
        <v>93</v>
      </c>
      <c r="Q29" s="2" t="s">
        <v>21</v>
      </c>
      <c r="R29" s="3">
        <f t="shared" si="17"/>
        <v>1282.0324571889528</v>
      </c>
      <c r="S29" s="3">
        <f t="shared" si="17"/>
        <v>4795.942048072533</v>
      </c>
      <c r="T29" s="3">
        <f t="shared" si="17"/>
        <v>0</v>
      </c>
      <c r="U29" s="3">
        <f t="shared" si="17"/>
        <v>15306.836713858685</v>
      </c>
      <c r="V29" s="3">
        <f t="shared" si="17"/>
        <v>0</v>
      </c>
      <c r="W29" s="3">
        <f t="shared" si="17"/>
        <v>0</v>
      </c>
      <c r="X29" s="3">
        <f t="shared" si="17"/>
        <v>4770.8379018355681</v>
      </c>
      <c r="Y29" s="3">
        <f t="shared" si="17"/>
        <v>2056.1464440080763</v>
      </c>
      <c r="Z29" s="3">
        <f t="shared" si="17"/>
        <v>25792.930550722085</v>
      </c>
      <c r="AA29" s="3">
        <f t="shared" si="17"/>
        <v>2863.7386411758866</v>
      </c>
      <c r="AB29" s="3">
        <f t="shared" si="18"/>
        <v>56868.464756861787</v>
      </c>
      <c r="AC29" s="7" t="s">
        <v>93</v>
      </c>
      <c r="AD29" s="2" t="s">
        <v>21</v>
      </c>
      <c r="AE29" s="3">
        <f t="shared" si="19"/>
        <v>294497.31351319968</v>
      </c>
      <c r="AF29" s="3">
        <f t="shared" si="19"/>
        <v>7833.5772010429</v>
      </c>
      <c r="AG29" s="3">
        <f t="shared" si="20"/>
        <v>302330.89071424259</v>
      </c>
      <c r="AH29" s="7" t="s">
        <v>93</v>
      </c>
      <c r="AI29" s="2" t="s">
        <v>21</v>
      </c>
      <c r="AJ29" s="3">
        <f t="shared" si="21"/>
        <v>339965.48383800394</v>
      </c>
      <c r="AK29" s="3">
        <f t="shared" si="21"/>
        <v>17764.799960134209</v>
      </c>
      <c r="AL29" s="3">
        <f t="shared" si="21"/>
        <v>1469.0716729662556</v>
      </c>
      <c r="AM29" s="3">
        <f t="shared" si="21"/>
        <v>0</v>
      </c>
      <c r="AN29" s="3">
        <f t="shared" si="22"/>
        <v>359199.35547110438</v>
      </c>
      <c r="AO29" s="7" t="s">
        <v>93</v>
      </c>
      <c r="AP29" s="2" t="s">
        <v>21</v>
      </c>
      <c r="AQ29" s="3">
        <f t="shared" si="23"/>
        <v>39666.627571158104</v>
      </c>
      <c r="AR29" s="3">
        <f t="shared" si="23"/>
        <v>17201.837185703684</v>
      </c>
      <c r="AS29" s="3">
        <f t="shared" si="23"/>
        <v>0</v>
      </c>
      <c r="AT29" s="3">
        <f t="shared" si="23"/>
        <v>0</v>
      </c>
      <c r="AU29" s="3">
        <f t="shared" si="24"/>
        <v>56868.464756861787</v>
      </c>
      <c r="AV29" s="7" t="s">
        <v>93</v>
      </c>
      <c r="AW29" s="2" t="s">
        <v>21</v>
      </c>
      <c r="AX29" s="3">
        <f t="shared" si="25"/>
        <v>300298.85626684583</v>
      </c>
      <c r="AY29" s="3">
        <f t="shared" si="25"/>
        <v>562.96277443052566</v>
      </c>
      <c r="AZ29" s="3">
        <f t="shared" si="25"/>
        <v>1469.0716729662556</v>
      </c>
      <c r="BA29" s="3">
        <f t="shared" si="25"/>
        <v>0</v>
      </c>
      <c r="BB29" s="3">
        <f t="shared" si="26"/>
        <v>302330.89071424259</v>
      </c>
      <c r="BC29" s="7" t="s">
        <v>93</v>
      </c>
      <c r="BD29" s="2" t="s">
        <v>21</v>
      </c>
      <c r="BE29" s="3">
        <v>0</v>
      </c>
      <c r="BF29" s="3">
        <v>1282.0324571889528</v>
      </c>
      <c r="BG29" s="3">
        <v>0</v>
      </c>
      <c r="BH29" s="3">
        <v>0</v>
      </c>
      <c r="BI29" s="3">
        <v>1282.0324571889528</v>
      </c>
      <c r="BJ29" s="7" t="s">
        <v>93</v>
      </c>
      <c r="BK29" s="2" t="s">
        <v>21</v>
      </c>
      <c r="BL29" s="3">
        <v>3649.3441322313956</v>
      </c>
      <c r="BM29" s="3">
        <v>1146.5979158411369</v>
      </c>
      <c r="BN29" s="3">
        <v>0</v>
      </c>
      <c r="BO29" s="3">
        <v>0</v>
      </c>
      <c r="BP29" s="3">
        <v>4795.942048072533</v>
      </c>
      <c r="BQ29" s="7" t="s">
        <v>93</v>
      </c>
      <c r="BR29" s="2" t="s">
        <v>21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7" t="s">
        <v>93</v>
      </c>
      <c r="BY29" s="2" t="s">
        <v>21</v>
      </c>
      <c r="BZ29" s="3">
        <v>15178.428967629043</v>
      </c>
      <c r="CA29" s="3">
        <v>128.4077462296431</v>
      </c>
      <c r="CB29" s="3">
        <v>0</v>
      </c>
      <c r="CC29" s="3">
        <v>0</v>
      </c>
      <c r="CD29" s="3">
        <v>15306.836713858685</v>
      </c>
      <c r="CE29" s="7" t="s">
        <v>93</v>
      </c>
      <c r="CF29" s="2" t="s">
        <v>21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7" t="s">
        <v>93</v>
      </c>
      <c r="CM29" s="2" t="s">
        <v>21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7" t="s">
        <v>93</v>
      </c>
      <c r="CT29" s="2" t="s">
        <v>21</v>
      </c>
      <c r="CU29" s="3">
        <v>4651.9337797619046</v>
      </c>
      <c r="CV29" s="3">
        <v>118.90412207366387</v>
      </c>
      <c r="CW29" s="3">
        <v>0</v>
      </c>
      <c r="CX29" s="3">
        <v>0</v>
      </c>
      <c r="CY29" s="3">
        <v>4770.8379018355681</v>
      </c>
      <c r="CZ29" s="7" t="s">
        <v>93</v>
      </c>
      <c r="DA29" s="2" t="s">
        <v>21</v>
      </c>
      <c r="DB29" s="3">
        <v>12859.510779268292</v>
      </c>
      <c r="DC29" s="3">
        <v>12933.419771453793</v>
      </c>
      <c r="DD29" s="3">
        <v>0</v>
      </c>
      <c r="DE29" s="3">
        <v>0</v>
      </c>
      <c r="DF29" s="3">
        <v>25792.930550722085</v>
      </c>
      <c r="DG29" s="7" t="s">
        <v>93</v>
      </c>
      <c r="DH29" s="2" t="s">
        <v>21</v>
      </c>
      <c r="DI29" s="3">
        <v>1936.4443076923073</v>
      </c>
      <c r="DJ29" s="3">
        <v>119.70213631576898</v>
      </c>
      <c r="DK29" s="3">
        <v>0</v>
      </c>
      <c r="DL29" s="3">
        <v>0</v>
      </c>
      <c r="DM29" s="3">
        <v>2056.1464440080763</v>
      </c>
      <c r="DN29" s="7" t="s">
        <v>93</v>
      </c>
      <c r="DO29" s="2" t="s">
        <v>21</v>
      </c>
      <c r="DP29" s="3">
        <v>1390.9656045751635</v>
      </c>
      <c r="DQ29" s="3">
        <v>1472.7730366007231</v>
      </c>
      <c r="DR29" s="3">
        <v>0</v>
      </c>
      <c r="DS29" s="3">
        <v>0</v>
      </c>
      <c r="DT29" s="3">
        <v>2863.7386411758866</v>
      </c>
      <c r="DU29" s="7" t="s">
        <v>93</v>
      </c>
      <c r="DV29" s="2" t="s">
        <v>21</v>
      </c>
      <c r="DW29" s="3">
        <v>6854.1960857320628</v>
      </c>
      <c r="DX29" s="3">
        <v>0</v>
      </c>
      <c r="DY29" s="3">
        <v>979.38111531083712</v>
      </c>
      <c r="DZ29" s="3">
        <v>0</v>
      </c>
      <c r="EA29" s="3">
        <v>7833.5772010429</v>
      </c>
      <c r="EB29" s="7" t="s">
        <v>93</v>
      </c>
      <c r="EC29" s="2" t="s">
        <v>21</v>
      </c>
      <c r="ED29" s="3">
        <v>293444.66018111375</v>
      </c>
      <c r="EE29" s="3">
        <v>562.96277443052566</v>
      </c>
      <c r="EF29" s="3">
        <v>489.69055765541856</v>
      </c>
      <c r="EG29" s="3">
        <v>0</v>
      </c>
      <c r="EH29" s="3">
        <v>294497.31351319968</v>
      </c>
    </row>
    <row r="30" spans="1:138" ht="10.199999999999999" customHeight="1" x14ac:dyDescent="0.2">
      <c r="A30" s="7" t="s">
        <v>115</v>
      </c>
      <c r="B30" s="2" t="s">
        <v>43</v>
      </c>
      <c r="C30" s="3">
        <f t="shared" si="4"/>
        <v>51515.388442144496</v>
      </c>
      <c r="D30" s="3">
        <f t="shared" si="5"/>
        <v>1274.6101115150927</v>
      </c>
      <c r="E30" s="3">
        <f t="shared" si="6"/>
        <v>1286656.5214812343</v>
      </c>
      <c r="F30" s="3">
        <f t="shared" si="7"/>
        <v>1964849.1688833602</v>
      </c>
      <c r="G30" s="3">
        <f t="shared" si="8"/>
        <v>141900.06829289481</v>
      </c>
      <c r="H30" s="3">
        <f t="shared" si="9"/>
        <v>0</v>
      </c>
      <c r="I30" s="3">
        <f t="shared" si="10"/>
        <v>302094.40004150372</v>
      </c>
      <c r="J30" s="3">
        <f t="shared" si="11"/>
        <v>112570.76004033088</v>
      </c>
      <c r="K30" s="3">
        <f t="shared" si="12"/>
        <v>56818.951181886609</v>
      </c>
      <c r="L30" s="3">
        <f t="shared" si="13"/>
        <v>2018373.6980388048</v>
      </c>
      <c r="M30" s="3">
        <f t="shared" si="14"/>
        <v>4020152.9622059185</v>
      </c>
      <c r="N30" s="3">
        <f t="shared" si="15"/>
        <v>36593780.42695196</v>
      </c>
      <c r="O30" s="3">
        <f t="shared" si="16"/>
        <v>46549986.955671549</v>
      </c>
      <c r="P30" s="7" t="s">
        <v>115</v>
      </c>
      <c r="Q30" s="2" t="s">
        <v>43</v>
      </c>
      <c r="R30" s="3">
        <f t="shared" si="17"/>
        <v>51515.388442144496</v>
      </c>
      <c r="S30" s="3">
        <f t="shared" si="17"/>
        <v>1274.6101115150927</v>
      </c>
      <c r="T30" s="3">
        <f t="shared" si="17"/>
        <v>1286656.5214812343</v>
      </c>
      <c r="U30" s="3">
        <f t="shared" si="17"/>
        <v>1964849.1688833602</v>
      </c>
      <c r="V30" s="3">
        <f t="shared" si="17"/>
        <v>141900.06829289481</v>
      </c>
      <c r="W30" s="3">
        <f t="shared" ref="W30:AA41" si="27">H30</f>
        <v>0</v>
      </c>
      <c r="X30" s="3">
        <f t="shared" si="27"/>
        <v>302094.40004150372</v>
      </c>
      <c r="Y30" s="3">
        <f t="shared" si="27"/>
        <v>112570.76004033088</v>
      </c>
      <c r="Z30" s="3">
        <f t="shared" si="27"/>
        <v>56818.951181886609</v>
      </c>
      <c r="AA30" s="3">
        <f t="shared" si="27"/>
        <v>2018373.6980388048</v>
      </c>
      <c r="AB30" s="3">
        <f t="shared" si="18"/>
        <v>5936053.5665136753</v>
      </c>
      <c r="AC30" s="7" t="s">
        <v>115</v>
      </c>
      <c r="AD30" s="2" t="s">
        <v>43</v>
      </c>
      <c r="AE30" s="3">
        <f t="shared" si="19"/>
        <v>4020152.9622059185</v>
      </c>
      <c r="AF30" s="3">
        <f t="shared" si="19"/>
        <v>36593780.42695196</v>
      </c>
      <c r="AG30" s="3">
        <f t="shared" si="20"/>
        <v>40613933.389157876</v>
      </c>
      <c r="AH30" s="7" t="s">
        <v>115</v>
      </c>
      <c r="AI30" s="2" t="s">
        <v>43</v>
      </c>
      <c r="AJ30" s="3">
        <f t="shared" si="21"/>
        <v>555620.80286090891</v>
      </c>
      <c r="AK30" s="3">
        <f t="shared" si="21"/>
        <v>6516799.5895931982</v>
      </c>
      <c r="AL30" s="3">
        <f t="shared" si="21"/>
        <v>39477566.563217446</v>
      </c>
      <c r="AM30" s="3">
        <f t="shared" si="21"/>
        <v>0</v>
      </c>
      <c r="AN30" s="3">
        <f t="shared" si="22"/>
        <v>46549986.955671556</v>
      </c>
      <c r="AO30" s="7" t="s">
        <v>115</v>
      </c>
      <c r="AP30" s="2" t="s">
        <v>43</v>
      </c>
      <c r="AQ30" s="3">
        <f t="shared" si="23"/>
        <v>176488.69305970147</v>
      </c>
      <c r="AR30" s="3">
        <f t="shared" si="23"/>
        <v>3281348.4753173785</v>
      </c>
      <c r="AS30" s="3">
        <f t="shared" si="23"/>
        <v>2478216.3981365953</v>
      </c>
      <c r="AT30" s="3">
        <f t="shared" si="23"/>
        <v>0</v>
      </c>
      <c r="AU30" s="3">
        <f t="shared" si="24"/>
        <v>5936053.5665136753</v>
      </c>
      <c r="AV30" s="7" t="s">
        <v>115</v>
      </c>
      <c r="AW30" s="2" t="s">
        <v>43</v>
      </c>
      <c r="AX30" s="3">
        <f t="shared" si="25"/>
        <v>379132.10980120749</v>
      </c>
      <c r="AY30" s="3">
        <f t="shared" si="25"/>
        <v>3235451.1142758201</v>
      </c>
      <c r="AZ30" s="3">
        <f t="shared" si="25"/>
        <v>36999350.165080853</v>
      </c>
      <c r="BA30" s="3">
        <f t="shared" si="25"/>
        <v>0</v>
      </c>
      <c r="BB30" s="3">
        <f t="shared" si="26"/>
        <v>40613933.389157884</v>
      </c>
      <c r="BC30" s="7" t="s">
        <v>115</v>
      </c>
      <c r="BD30" s="2" t="s">
        <v>43</v>
      </c>
      <c r="BE30" s="3">
        <v>12989.648063694793</v>
      </c>
      <c r="BF30" s="3">
        <v>0</v>
      </c>
      <c r="BG30" s="3">
        <v>38525.7403784497</v>
      </c>
      <c r="BH30" s="3">
        <v>0</v>
      </c>
      <c r="BI30" s="3">
        <v>51515.388442144496</v>
      </c>
      <c r="BJ30" s="7" t="s">
        <v>115</v>
      </c>
      <c r="BK30" s="2" t="s">
        <v>43</v>
      </c>
      <c r="BL30" s="3">
        <v>1274.6101115150927</v>
      </c>
      <c r="BM30" s="3">
        <v>0</v>
      </c>
      <c r="BN30" s="3">
        <v>0</v>
      </c>
      <c r="BO30" s="3">
        <v>0</v>
      </c>
      <c r="BP30" s="3">
        <v>1274.6101115150927</v>
      </c>
      <c r="BQ30" s="7" t="s">
        <v>115</v>
      </c>
      <c r="BR30" s="2" t="s">
        <v>43</v>
      </c>
      <c r="BS30" s="3">
        <v>0</v>
      </c>
      <c r="BT30" s="3">
        <v>0</v>
      </c>
      <c r="BU30" s="3">
        <v>1286656.5214812343</v>
      </c>
      <c r="BV30" s="3">
        <v>0</v>
      </c>
      <c r="BW30" s="3">
        <v>1286656.5214812343</v>
      </c>
      <c r="BX30" s="7" t="s">
        <v>115</v>
      </c>
      <c r="BY30" s="2" t="s">
        <v>43</v>
      </c>
      <c r="BZ30" s="3">
        <v>77887.662339941482</v>
      </c>
      <c r="CA30" s="3">
        <v>1880101.3043549503</v>
      </c>
      <c r="CB30" s="3">
        <v>6860.2021884682545</v>
      </c>
      <c r="CC30" s="3">
        <v>0</v>
      </c>
      <c r="CD30" s="3">
        <v>1964849.1688833602</v>
      </c>
      <c r="CE30" s="7" t="s">
        <v>115</v>
      </c>
      <c r="CF30" s="2" t="s">
        <v>43</v>
      </c>
      <c r="CG30" s="3">
        <v>12944.141384896377</v>
      </c>
      <c r="CH30" s="3">
        <v>24452.63888658633</v>
      </c>
      <c r="CI30" s="3">
        <v>104503.2880214121</v>
      </c>
      <c r="CJ30" s="3">
        <v>0</v>
      </c>
      <c r="CK30" s="3">
        <v>141900.06829289481</v>
      </c>
      <c r="CL30" s="7" t="s">
        <v>115</v>
      </c>
      <c r="CM30" s="2" t="s">
        <v>43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7" t="s">
        <v>115</v>
      </c>
      <c r="CT30" s="2" t="s">
        <v>43</v>
      </c>
      <c r="CU30" s="3">
        <v>739.52014369103563</v>
      </c>
      <c r="CV30" s="3">
        <v>301354.87989781267</v>
      </c>
      <c r="CW30" s="3">
        <v>0</v>
      </c>
      <c r="CX30" s="3">
        <v>0</v>
      </c>
      <c r="CY30" s="3">
        <v>302094.40004150372</v>
      </c>
      <c r="CZ30" s="7" t="s">
        <v>115</v>
      </c>
      <c r="DA30" s="2" t="s">
        <v>43</v>
      </c>
      <c r="DB30" s="3">
        <v>44740.366185254738</v>
      </c>
      <c r="DC30" s="3">
        <v>12006.038247349588</v>
      </c>
      <c r="DD30" s="3">
        <v>72.546749282284239</v>
      </c>
      <c r="DE30" s="3">
        <v>0</v>
      </c>
      <c r="DF30" s="3">
        <v>56818.951181886609</v>
      </c>
      <c r="DG30" s="7" t="s">
        <v>115</v>
      </c>
      <c r="DH30" s="2" t="s">
        <v>43</v>
      </c>
      <c r="DI30" s="3">
        <v>1477.0729119272441</v>
      </c>
      <c r="DJ30" s="3">
        <v>0</v>
      </c>
      <c r="DK30" s="3">
        <v>111093.68712840363</v>
      </c>
      <c r="DL30" s="3">
        <v>0</v>
      </c>
      <c r="DM30" s="3">
        <v>112570.76004033088</v>
      </c>
      <c r="DN30" s="7" t="s">
        <v>115</v>
      </c>
      <c r="DO30" s="2" t="s">
        <v>43</v>
      </c>
      <c r="DP30" s="3">
        <v>24435.671918780725</v>
      </c>
      <c r="DQ30" s="3">
        <v>1063433.6139306794</v>
      </c>
      <c r="DR30" s="3">
        <v>930504.41218934453</v>
      </c>
      <c r="DS30" s="3">
        <v>0</v>
      </c>
      <c r="DT30" s="3">
        <v>2018373.6980388048</v>
      </c>
      <c r="DU30" s="7" t="s">
        <v>115</v>
      </c>
      <c r="DV30" s="2" t="s">
        <v>43</v>
      </c>
      <c r="DW30" s="3">
        <v>42244.876837717653</v>
      </c>
      <c r="DX30" s="3">
        <v>7284.7608163250788</v>
      </c>
      <c r="DY30" s="3">
        <v>36544250.789297916</v>
      </c>
      <c r="DZ30" s="3">
        <v>0</v>
      </c>
      <c r="EA30" s="3">
        <v>36593780.42695196</v>
      </c>
      <c r="EB30" s="7" t="s">
        <v>115</v>
      </c>
      <c r="EC30" s="2" t="s">
        <v>43</v>
      </c>
      <c r="ED30" s="3">
        <v>336887.23296348983</v>
      </c>
      <c r="EE30" s="3">
        <v>3228166.3534594951</v>
      </c>
      <c r="EF30" s="3">
        <v>455099.37578293344</v>
      </c>
      <c r="EG30" s="3">
        <v>0</v>
      </c>
      <c r="EH30" s="3">
        <v>4020152.9622059185</v>
      </c>
    </row>
    <row r="31" spans="1:138" ht="10.199999999999999" customHeight="1" x14ac:dyDescent="0.2">
      <c r="A31" s="7" t="s">
        <v>111</v>
      </c>
      <c r="B31" s="2" t="s">
        <v>39</v>
      </c>
      <c r="C31" s="3">
        <f t="shared" si="4"/>
        <v>12876.158542483103</v>
      </c>
      <c r="D31" s="3">
        <f t="shared" si="5"/>
        <v>35901.69106444237</v>
      </c>
      <c r="E31" s="3">
        <f t="shared" si="6"/>
        <v>114267.79247492945</v>
      </c>
      <c r="F31" s="3">
        <f t="shared" si="7"/>
        <v>434124.77584239078</v>
      </c>
      <c r="G31" s="3">
        <f t="shared" si="8"/>
        <v>870.46963469855939</v>
      </c>
      <c r="H31" s="3">
        <f t="shared" si="9"/>
        <v>0</v>
      </c>
      <c r="I31" s="3">
        <f t="shared" si="10"/>
        <v>10110.28377877556</v>
      </c>
      <c r="J31" s="3">
        <f t="shared" si="11"/>
        <v>35718.081572467367</v>
      </c>
      <c r="K31" s="3">
        <f t="shared" si="12"/>
        <v>543355.20798963017</v>
      </c>
      <c r="L31" s="3">
        <f t="shared" si="13"/>
        <v>57822.832168596346</v>
      </c>
      <c r="M31" s="3">
        <f t="shared" si="14"/>
        <v>816383.14381965238</v>
      </c>
      <c r="N31" s="3">
        <f t="shared" si="15"/>
        <v>1400970.3823587405</v>
      </c>
      <c r="O31" s="3">
        <f t="shared" si="16"/>
        <v>3462400.8192468067</v>
      </c>
      <c r="P31" s="7" t="s">
        <v>111</v>
      </c>
      <c r="Q31" s="2" t="s">
        <v>39</v>
      </c>
      <c r="R31" s="3">
        <f t="shared" ref="R31:V41" si="28">C31</f>
        <v>12876.158542483103</v>
      </c>
      <c r="S31" s="3">
        <f t="shared" si="28"/>
        <v>35901.69106444237</v>
      </c>
      <c r="T31" s="3">
        <f t="shared" si="28"/>
        <v>114267.79247492945</v>
      </c>
      <c r="U31" s="3">
        <f t="shared" si="28"/>
        <v>434124.77584239078</v>
      </c>
      <c r="V31" s="3">
        <f t="shared" si="28"/>
        <v>870.46963469855939</v>
      </c>
      <c r="W31" s="3">
        <f t="shared" si="27"/>
        <v>0</v>
      </c>
      <c r="X31" s="3">
        <f t="shared" si="27"/>
        <v>10110.28377877556</v>
      </c>
      <c r="Y31" s="3">
        <f t="shared" si="27"/>
        <v>35718.081572467367</v>
      </c>
      <c r="Z31" s="3">
        <f t="shared" si="27"/>
        <v>543355.20798963017</v>
      </c>
      <c r="AA31" s="3">
        <f t="shared" si="27"/>
        <v>57822.832168596346</v>
      </c>
      <c r="AB31" s="3">
        <f t="shared" si="18"/>
        <v>1245047.2930684136</v>
      </c>
      <c r="AC31" s="7" t="s">
        <v>111</v>
      </c>
      <c r="AD31" s="2" t="s">
        <v>39</v>
      </c>
      <c r="AE31" s="3">
        <f t="shared" si="19"/>
        <v>816383.14381965238</v>
      </c>
      <c r="AF31" s="3">
        <f t="shared" si="19"/>
        <v>1400970.3823587405</v>
      </c>
      <c r="AG31" s="3">
        <f t="shared" si="20"/>
        <v>2217353.526178393</v>
      </c>
      <c r="AH31" s="7" t="s">
        <v>111</v>
      </c>
      <c r="AI31" s="2" t="s">
        <v>39</v>
      </c>
      <c r="AJ31" s="3">
        <f t="shared" si="21"/>
        <v>2243483.5149577716</v>
      </c>
      <c r="AK31" s="3">
        <f t="shared" si="21"/>
        <v>342864.22864790913</v>
      </c>
      <c r="AL31" s="3">
        <f t="shared" si="21"/>
        <v>0</v>
      </c>
      <c r="AM31" s="3">
        <f t="shared" si="21"/>
        <v>876053.07564112579</v>
      </c>
      <c r="AN31" s="3">
        <f t="shared" si="22"/>
        <v>3462400.8192468067</v>
      </c>
      <c r="AO31" s="7" t="s">
        <v>111</v>
      </c>
      <c r="AP31" s="2" t="s">
        <v>39</v>
      </c>
      <c r="AQ31" s="3">
        <f t="shared" si="23"/>
        <v>859114.55691941548</v>
      </c>
      <c r="AR31" s="3">
        <f t="shared" si="23"/>
        <v>271664.9436740689</v>
      </c>
      <c r="AS31" s="3">
        <f t="shared" si="23"/>
        <v>0</v>
      </c>
      <c r="AT31" s="3">
        <f t="shared" si="23"/>
        <v>114267.79247492945</v>
      </c>
      <c r="AU31" s="3">
        <f t="shared" si="24"/>
        <v>1245047.2930684139</v>
      </c>
      <c r="AV31" s="7" t="s">
        <v>111</v>
      </c>
      <c r="AW31" s="2" t="s">
        <v>39</v>
      </c>
      <c r="AX31" s="3">
        <f t="shared" si="25"/>
        <v>1384368.9580383564</v>
      </c>
      <c r="AY31" s="3">
        <f t="shared" si="25"/>
        <v>71199.284973840244</v>
      </c>
      <c r="AZ31" s="3">
        <f t="shared" si="25"/>
        <v>0</v>
      </c>
      <c r="BA31" s="3">
        <f t="shared" si="25"/>
        <v>761785.28316619631</v>
      </c>
      <c r="BB31" s="3">
        <f t="shared" si="26"/>
        <v>2217353.526178393</v>
      </c>
      <c r="BC31" s="7" t="s">
        <v>111</v>
      </c>
      <c r="BD31" s="2" t="s">
        <v>39</v>
      </c>
      <c r="BE31" s="3">
        <v>8098.6864181961191</v>
      </c>
      <c r="BF31" s="3">
        <v>4777.4721242869828</v>
      </c>
      <c r="BG31" s="3">
        <v>0</v>
      </c>
      <c r="BH31" s="3">
        <v>0</v>
      </c>
      <c r="BI31" s="3">
        <v>12876.158542483103</v>
      </c>
      <c r="BJ31" s="7" t="s">
        <v>111</v>
      </c>
      <c r="BK31" s="2" t="s">
        <v>39</v>
      </c>
      <c r="BL31" s="3">
        <v>35901.69106444237</v>
      </c>
      <c r="BM31" s="3">
        <v>0</v>
      </c>
      <c r="BN31" s="3">
        <v>0</v>
      </c>
      <c r="BO31" s="3">
        <v>0</v>
      </c>
      <c r="BP31" s="3">
        <v>35901.69106444237</v>
      </c>
      <c r="BQ31" s="7" t="s">
        <v>111</v>
      </c>
      <c r="BR31" s="2" t="s">
        <v>39</v>
      </c>
      <c r="BS31" s="3">
        <v>0</v>
      </c>
      <c r="BT31" s="3">
        <v>0</v>
      </c>
      <c r="BU31" s="3">
        <v>0</v>
      </c>
      <c r="BV31" s="3">
        <v>114267.79247492945</v>
      </c>
      <c r="BW31" s="3">
        <v>114267.79247492945</v>
      </c>
      <c r="BX31" s="7" t="s">
        <v>111</v>
      </c>
      <c r="BY31" s="2" t="s">
        <v>39</v>
      </c>
      <c r="BZ31" s="3">
        <v>415164.76470913831</v>
      </c>
      <c r="CA31" s="3">
        <v>18960.011133252468</v>
      </c>
      <c r="CB31" s="3">
        <v>0</v>
      </c>
      <c r="CC31" s="3">
        <v>0</v>
      </c>
      <c r="CD31" s="3">
        <v>434124.77584239078</v>
      </c>
      <c r="CE31" s="7" t="s">
        <v>111</v>
      </c>
      <c r="CF31" s="2" t="s">
        <v>39</v>
      </c>
      <c r="CG31" s="3">
        <v>870.46963469855939</v>
      </c>
      <c r="CH31" s="3">
        <v>0</v>
      </c>
      <c r="CI31" s="3">
        <v>0</v>
      </c>
      <c r="CJ31" s="3">
        <v>0</v>
      </c>
      <c r="CK31" s="3">
        <v>870.46963469855939</v>
      </c>
      <c r="CL31" s="7" t="s">
        <v>111</v>
      </c>
      <c r="CM31" s="2" t="s">
        <v>39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7" t="s">
        <v>111</v>
      </c>
      <c r="CT31" s="2" t="s">
        <v>39</v>
      </c>
      <c r="CU31" s="3">
        <v>10110.28377877556</v>
      </c>
      <c r="CV31" s="3">
        <v>0</v>
      </c>
      <c r="CW31" s="3">
        <v>0</v>
      </c>
      <c r="CX31" s="3">
        <v>0</v>
      </c>
      <c r="CY31" s="3">
        <v>10110.28377877556</v>
      </c>
      <c r="CZ31" s="7" t="s">
        <v>111</v>
      </c>
      <c r="DA31" s="2" t="s">
        <v>39</v>
      </c>
      <c r="DB31" s="3">
        <v>313996.84636426205</v>
      </c>
      <c r="DC31" s="3">
        <v>229358.3616253681</v>
      </c>
      <c r="DD31" s="3">
        <v>0</v>
      </c>
      <c r="DE31" s="3">
        <v>0</v>
      </c>
      <c r="DF31" s="3">
        <v>543355.20798963017</v>
      </c>
      <c r="DG31" s="7" t="s">
        <v>111</v>
      </c>
      <c r="DH31" s="2" t="s">
        <v>39</v>
      </c>
      <c r="DI31" s="3">
        <v>27526.563253026063</v>
      </c>
      <c r="DJ31" s="3">
        <v>8191.518319441303</v>
      </c>
      <c r="DK31" s="3">
        <v>0</v>
      </c>
      <c r="DL31" s="3">
        <v>0</v>
      </c>
      <c r="DM31" s="3">
        <v>35718.081572467367</v>
      </c>
      <c r="DN31" s="7" t="s">
        <v>111</v>
      </c>
      <c r="DO31" s="2" t="s">
        <v>39</v>
      </c>
      <c r="DP31" s="3">
        <v>47445.251696876308</v>
      </c>
      <c r="DQ31" s="3">
        <v>10377.580471720037</v>
      </c>
      <c r="DR31" s="3">
        <v>0</v>
      </c>
      <c r="DS31" s="3">
        <v>0</v>
      </c>
      <c r="DT31" s="3">
        <v>57822.832168596346</v>
      </c>
      <c r="DU31" s="7" t="s">
        <v>111</v>
      </c>
      <c r="DV31" s="2" t="s">
        <v>39</v>
      </c>
      <c r="DW31" s="3">
        <v>567985.81421870401</v>
      </c>
      <c r="DX31" s="3">
        <v>71199.284973840244</v>
      </c>
      <c r="DY31" s="3">
        <v>0</v>
      </c>
      <c r="DZ31" s="3">
        <v>761785.28316619631</v>
      </c>
      <c r="EA31" s="3">
        <v>1400970.3823587405</v>
      </c>
      <c r="EB31" s="7" t="s">
        <v>111</v>
      </c>
      <c r="EC31" s="2" t="s">
        <v>39</v>
      </c>
      <c r="ED31" s="3">
        <v>816383.14381965238</v>
      </c>
      <c r="EE31" s="3">
        <v>0</v>
      </c>
      <c r="EF31" s="3">
        <v>0</v>
      </c>
      <c r="EG31" s="3">
        <v>0</v>
      </c>
      <c r="EH31" s="3">
        <v>816383.14381965238</v>
      </c>
    </row>
    <row r="32" spans="1:138" ht="10.199999999999999" customHeight="1" x14ac:dyDescent="0.2">
      <c r="A32" s="7" t="s">
        <v>118</v>
      </c>
      <c r="B32" s="2" t="s">
        <v>46</v>
      </c>
      <c r="C32" s="3">
        <f t="shared" si="4"/>
        <v>6223.6432181799082</v>
      </c>
      <c r="D32" s="3">
        <f t="shared" si="5"/>
        <v>0</v>
      </c>
      <c r="E32" s="3">
        <f t="shared" si="6"/>
        <v>715654.95213002106</v>
      </c>
      <c r="F32" s="3">
        <f t="shared" si="7"/>
        <v>4216.7346925707907</v>
      </c>
      <c r="G32" s="3">
        <f t="shared" si="8"/>
        <v>196.27337464114214</v>
      </c>
      <c r="H32" s="3">
        <f t="shared" si="9"/>
        <v>0</v>
      </c>
      <c r="I32" s="3">
        <f t="shared" si="10"/>
        <v>0</v>
      </c>
      <c r="J32" s="3">
        <f t="shared" si="11"/>
        <v>238.91928431703803</v>
      </c>
      <c r="K32" s="3">
        <f t="shared" si="12"/>
        <v>1212909.1636554699</v>
      </c>
      <c r="L32" s="3">
        <f t="shared" si="13"/>
        <v>13792.083034391308</v>
      </c>
      <c r="M32" s="3">
        <f t="shared" si="14"/>
        <v>0</v>
      </c>
      <c r="N32" s="3">
        <f t="shared" si="15"/>
        <v>3468.4114621797075</v>
      </c>
      <c r="O32" s="3">
        <f t="shared" si="16"/>
        <v>1956700.1808517708</v>
      </c>
      <c r="P32" s="7" t="s">
        <v>118</v>
      </c>
      <c r="Q32" s="2" t="s">
        <v>46</v>
      </c>
      <c r="R32" s="3">
        <f t="shared" si="28"/>
        <v>6223.6432181799082</v>
      </c>
      <c r="S32" s="3">
        <f t="shared" si="28"/>
        <v>0</v>
      </c>
      <c r="T32" s="3">
        <f t="shared" si="28"/>
        <v>715654.95213002106</v>
      </c>
      <c r="U32" s="3">
        <f t="shared" si="28"/>
        <v>4216.7346925707907</v>
      </c>
      <c r="V32" s="3">
        <f t="shared" si="28"/>
        <v>196.27337464114214</v>
      </c>
      <c r="W32" s="3">
        <f t="shared" si="27"/>
        <v>0</v>
      </c>
      <c r="X32" s="3">
        <f t="shared" si="27"/>
        <v>0</v>
      </c>
      <c r="Y32" s="3">
        <f t="shared" si="27"/>
        <v>238.91928431703803</v>
      </c>
      <c r="Z32" s="3">
        <f t="shared" si="27"/>
        <v>1212909.1636554699</v>
      </c>
      <c r="AA32" s="3">
        <f t="shared" si="27"/>
        <v>13792.083034391308</v>
      </c>
      <c r="AB32" s="3">
        <f t="shared" si="18"/>
        <v>1953231.7693895912</v>
      </c>
      <c r="AC32" s="7" t="s">
        <v>118</v>
      </c>
      <c r="AD32" s="2" t="s">
        <v>46</v>
      </c>
      <c r="AE32" s="3">
        <f t="shared" si="19"/>
        <v>0</v>
      </c>
      <c r="AF32" s="3">
        <f t="shared" si="19"/>
        <v>3468.4114621797075</v>
      </c>
      <c r="AG32" s="3">
        <f t="shared" si="20"/>
        <v>3468.4114621797075</v>
      </c>
      <c r="AH32" s="7" t="s">
        <v>118</v>
      </c>
      <c r="AI32" s="2" t="s">
        <v>46</v>
      </c>
      <c r="AJ32" s="3">
        <f t="shared" si="21"/>
        <v>16294.56996644217</v>
      </c>
      <c r="AK32" s="3">
        <f t="shared" si="21"/>
        <v>13111.063212277697</v>
      </c>
      <c r="AL32" s="3">
        <f t="shared" si="21"/>
        <v>499392.57452006201</v>
      </c>
      <c r="AM32" s="3">
        <f t="shared" si="21"/>
        <v>1427901.9731529891</v>
      </c>
      <c r="AN32" s="3">
        <f t="shared" si="22"/>
        <v>1956700.180851771</v>
      </c>
      <c r="AO32" s="7" t="s">
        <v>118</v>
      </c>
      <c r="AP32" s="2" t="s">
        <v>46</v>
      </c>
      <c r="AQ32" s="3">
        <f t="shared" si="23"/>
        <v>12862.431878903604</v>
      </c>
      <c r="AR32" s="3">
        <f t="shared" si="23"/>
        <v>13074.789837636556</v>
      </c>
      <c r="AS32" s="3">
        <f t="shared" si="23"/>
        <v>499392.57452006201</v>
      </c>
      <c r="AT32" s="3">
        <f t="shared" si="23"/>
        <v>1427901.9731529891</v>
      </c>
      <c r="AU32" s="3">
        <f t="shared" si="24"/>
        <v>1953231.7693895912</v>
      </c>
      <c r="AV32" s="7" t="s">
        <v>118</v>
      </c>
      <c r="AW32" s="2" t="s">
        <v>46</v>
      </c>
      <c r="AX32" s="3">
        <f t="shared" si="25"/>
        <v>3432.1380875385653</v>
      </c>
      <c r="AY32" s="3">
        <f t="shared" si="25"/>
        <v>36.273374641142119</v>
      </c>
      <c r="AZ32" s="3">
        <f t="shared" si="25"/>
        <v>0</v>
      </c>
      <c r="BA32" s="3">
        <f t="shared" si="25"/>
        <v>0</v>
      </c>
      <c r="BB32" s="3">
        <f t="shared" si="26"/>
        <v>3468.4114621797075</v>
      </c>
      <c r="BC32" s="7" t="s">
        <v>118</v>
      </c>
      <c r="BD32" s="2" t="s">
        <v>46</v>
      </c>
      <c r="BE32" s="3">
        <v>2078.2832626061904</v>
      </c>
      <c r="BF32" s="3">
        <v>4145.3599555737183</v>
      </c>
      <c r="BG32" s="3">
        <v>0</v>
      </c>
      <c r="BH32" s="3">
        <v>0</v>
      </c>
      <c r="BI32" s="3">
        <v>6223.6432181799082</v>
      </c>
      <c r="BJ32" s="7" t="s">
        <v>118</v>
      </c>
      <c r="BK32" s="2" t="s">
        <v>46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7" t="s">
        <v>118</v>
      </c>
      <c r="BR32" s="2" t="s">
        <v>46</v>
      </c>
      <c r="BS32" s="3">
        <v>0</v>
      </c>
      <c r="BT32" s="3">
        <v>0</v>
      </c>
      <c r="BU32" s="3">
        <v>0</v>
      </c>
      <c r="BV32" s="3">
        <v>715654.95213002106</v>
      </c>
      <c r="BW32" s="3">
        <v>715654.95213002106</v>
      </c>
      <c r="BX32" s="7" t="s">
        <v>118</v>
      </c>
      <c r="BY32" s="2" t="s">
        <v>46</v>
      </c>
      <c r="BZ32" s="3">
        <v>4216.7346925707907</v>
      </c>
      <c r="CA32" s="3">
        <v>0</v>
      </c>
      <c r="CB32" s="3">
        <v>0</v>
      </c>
      <c r="CC32" s="3">
        <v>0</v>
      </c>
      <c r="CD32" s="3">
        <v>4216.7346925707907</v>
      </c>
      <c r="CE32" s="7" t="s">
        <v>118</v>
      </c>
      <c r="CF32" s="2" t="s">
        <v>46</v>
      </c>
      <c r="CG32" s="3">
        <v>165.80373994258275</v>
      </c>
      <c r="CH32" s="3">
        <v>30.469634698559382</v>
      </c>
      <c r="CI32" s="3">
        <v>0</v>
      </c>
      <c r="CJ32" s="3">
        <v>0</v>
      </c>
      <c r="CK32" s="3">
        <v>196.27337464114214</v>
      </c>
      <c r="CL32" s="7" t="s">
        <v>118</v>
      </c>
      <c r="CM32" s="2" t="s">
        <v>46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7" t="s">
        <v>118</v>
      </c>
      <c r="CT32" s="2" t="s">
        <v>46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7" t="s">
        <v>118</v>
      </c>
      <c r="DA32" s="2" t="s">
        <v>46</v>
      </c>
      <c r="DB32" s="3">
        <v>0</v>
      </c>
      <c r="DC32" s="3">
        <v>1269.5681124399741</v>
      </c>
      <c r="DD32" s="3">
        <v>499392.57452006201</v>
      </c>
      <c r="DE32" s="3">
        <v>712247.02102296788</v>
      </c>
      <c r="DF32" s="3">
        <v>1212909.1636554699</v>
      </c>
      <c r="DG32" s="7" t="s">
        <v>118</v>
      </c>
      <c r="DH32" s="2" t="s">
        <v>46</v>
      </c>
      <c r="DI32" s="3">
        <v>238.91928431703803</v>
      </c>
      <c r="DJ32" s="3">
        <v>0</v>
      </c>
      <c r="DK32" s="3">
        <v>0</v>
      </c>
      <c r="DL32" s="3">
        <v>0</v>
      </c>
      <c r="DM32" s="3">
        <v>238.91928431703803</v>
      </c>
      <c r="DN32" s="7" t="s">
        <v>118</v>
      </c>
      <c r="DO32" s="2" t="s">
        <v>46</v>
      </c>
      <c r="DP32" s="3">
        <v>6162.690899467003</v>
      </c>
      <c r="DQ32" s="3">
        <v>7629.3921349243046</v>
      </c>
      <c r="DR32" s="3">
        <v>0</v>
      </c>
      <c r="DS32" s="3">
        <v>0</v>
      </c>
      <c r="DT32" s="3">
        <v>13792.083034391308</v>
      </c>
      <c r="DU32" s="7" t="s">
        <v>118</v>
      </c>
      <c r="DV32" s="2" t="s">
        <v>46</v>
      </c>
      <c r="DW32" s="3">
        <v>3432.1380875385653</v>
      </c>
      <c r="DX32" s="3">
        <v>36.273374641142119</v>
      </c>
      <c r="DY32" s="3">
        <v>0</v>
      </c>
      <c r="DZ32" s="3">
        <v>0</v>
      </c>
      <c r="EA32" s="3">
        <v>3468.4114621797075</v>
      </c>
      <c r="EB32" s="7" t="s">
        <v>118</v>
      </c>
      <c r="EC32" s="2" t="s">
        <v>46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</row>
    <row r="33" spans="1:138" ht="10.199999999999999" customHeight="1" x14ac:dyDescent="0.2">
      <c r="A33" s="7" t="s">
        <v>124</v>
      </c>
      <c r="B33" s="2" t="s">
        <v>52</v>
      </c>
      <c r="C33" s="3">
        <f t="shared" si="4"/>
        <v>0</v>
      </c>
      <c r="D33" s="3">
        <f t="shared" si="5"/>
        <v>5354.547351513781</v>
      </c>
      <c r="E33" s="3">
        <f t="shared" si="6"/>
        <v>0</v>
      </c>
      <c r="F33" s="3">
        <f t="shared" si="7"/>
        <v>69357.848231891287</v>
      </c>
      <c r="G33" s="3">
        <f t="shared" si="8"/>
        <v>231993.8178140411</v>
      </c>
      <c r="H33" s="3">
        <f t="shared" si="9"/>
        <v>15870526.732629091</v>
      </c>
      <c r="I33" s="3">
        <f t="shared" si="10"/>
        <v>17.411219827748216</v>
      </c>
      <c r="J33" s="3">
        <f t="shared" si="11"/>
        <v>168.59864533202855</v>
      </c>
      <c r="K33" s="3">
        <f t="shared" si="12"/>
        <v>0</v>
      </c>
      <c r="L33" s="3">
        <f t="shared" si="13"/>
        <v>155519.09885226455</v>
      </c>
      <c r="M33" s="3">
        <f t="shared" si="14"/>
        <v>182426.24960650571</v>
      </c>
      <c r="N33" s="3">
        <f t="shared" si="15"/>
        <v>114961.3840812491</v>
      </c>
      <c r="O33" s="3">
        <f t="shared" si="16"/>
        <v>16630325.688431714</v>
      </c>
      <c r="P33" s="7" t="s">
        <v>124</v>
      </c>
      <c r="Q33" s="2" t="s">
        <v>52</v>
      </c>
      <c r="R33" s="3">
        <f t="shared" si="28"/>
        <v>0</v>
      </c>
      <c r="S33" s="3">
        <f t="shared" si="28"/>
        <v>5354.547351513781</v>
      </c>
      <c r="T33" s="3">
        <f t="shared" si="28"/>
        <v>0</v>
      </c>
      <c r="U33" s="3">
        <f t="shared" si="28"/>
        <v>69357.848231891287</v>
      </c>
      <c r="V33" s="3">
        <f t="shared" si="28"/>
        <v>231993.8178140411</v>
      </c>
      <c r="W33" s="3">
        <f t="shared" si="27"/>
        <v>15870526.732629091</v>
      </c>
      <c r="X33" s="3">
        <f t="shared" si="27"/>
        <v>17.411219827748216</v>
      </c>
      <c r="Y33" s="3">
        <f t="shared" si="27"/>
        <v>168.59864533202855</v>
      </c>
      <c r="Z33" s="3">
        <f t="shared" si="27"/>
        <v>0</v>
      </c>
      <c r="AA33" s="3">
        <f t="shared" si="27"/>
        <v>155519.09885226455</v>
      </c>
      <c r="AB33" s="3">
        <f t="shared" si="18"/>
        <v>16332938.05474396</v>
      </c>
      <c r="AC33" s="7" t="s">
        <v>124</v>
      </c>
      <c r="AD33" s="2" t="s">
        <v>52</v>
      </c>
      <c r="AE33" s="3">
        <f t="shared" si="19"/>
        <v>182426.24960650571</v>
      </c>
      <c r="AF33" s="3">
        <f t="shared" si="19"/>
        <v>114961.3840812491</v>
      </c>
      <c r="AG33" s="3">
        <f t="shared" si="20"/>
        <v>297387.6336877548</v>
      </c>
      <c r="AH33" s="7" t="s">
        <v>124</v>
      </c>
      <c r="AI33" s="2" t="s">
        <v>52</v>
      </c>
      <c r="AJ33" s="3">
        <f t="shared" si="21"/>
        <v>490615.50305278134</v>
      </c>
      <c r="AK33" s="3">
        <f t="shared" si="21"/>
        <v>26155.561999321999</v>
      </c>
      <c r="AL33" s="3">
        <f t="shared" si="21"/>
        <v>16049660.78048797</v>
      </c>
      <c r="AM33" s="3">
        <f t="shared" si="21"/>
        <v>63893.842891642169</v>
      </c>
      <c r="AN33" s="3">
        <f t="shared" si="22"/>
        <v>16630325.688431716</v>
      </c>
      <c r="AO33" s="7" t="s">
        <v>124</v>
      </c>
      <c r="AP33" s="2" t="s">
        <v>52</v>
      </c>
      <c r="AQ33" s="3">
        <f t="shared" si="23"/>
        <v>344162.22234269895</v>
      </c>
      <c r="AR33" s="3">
        <f t="shared" si="23"/>
        <v>2358.2675533123956</v>
      </c>
      <c r="AS33" s="3">
        <f t="shared" si="23"/>
        <v>15922523.721956307</v>
      </c>
      <c r="AT33" s="3">
        <f t="shared" si="23"/>
        <v>63893.842891642169</v>
      </c>
      <c r="AU33" s="3">
        <f t="shared" si="24"/>
        <v>16332938.05474396</v>
      </c>
      <c r="AV33" s="7" t="s">
        <v>124</v>
      </c>
      <c r="AW33" s="2" t="s">
        <v>52</v>
      </c>
      <c r="AX33" s="3">
        <f t="shared" si="25"/>
        <v>146453.28071008238</v>
      </c>
      <c r="AY33" s="3">
        <f t="shared" si="25"/>
        <v>23797.294446009604</v>
      </c>
      <c r="AZ33" s="3">
        <f t="shared" si="25"/>
        <v>127137.05853166284</v>
      </c>
      <c r="BA33" s="3">
        <f t="shared" si="25"/>
        <v>0</v>
      </c>
      <c r="BB33" s="3">
        <f t="shared" si="26"/>
        <v>297387.63368775486</v>
      </c>
      <c r="BC33" s="7" t="s">
        <v>124</v>
      </c>
      <c r="BD33" s="2" t="s">
        <v>52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7" t="s">
        <v>124</v>
      </c>
      <c r="BK33" s="2" t="s">
        <v>52</v>
      </c>
      <c r="BL33" s="3">
        <v>5325.8188387979962</v>
      </c>
      <c r="BM33" s="3">
        <v>0</v>
      </c>
      <c r="BN33" s="3">
        <v>28.728512715784557</v>
      </c>
      <c r="BO33" s="3">
        <v>0</v>
      </c>
      <c r="BP33" s="3">
        <v>5354.547351513781</v>
      </c>
      <c r="BQ33" s="7" t="s">
        <v>124</v>
      </c>
      <c r="BR33" s="2" t="s">
        <v>52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7" t="s">
        <v>124</v>
      </c>
      <c r="BY33" s="2" t="s">
        <v>52</v>
      </c>
      <c r="BZ33" s="3">
        <v>67676.595872695121</v>
      </c>
      <c r="CA33" s="3">
        <v>0</v>
      </c>
      <c r="CB33" s="3">
        <v>1681.2523591961583</v>
      </c>
      <c r="CC33" s="3">
        <v>0</v>
      </c>
      <c r="CD33" s="3">
        <v>69357.848231891287</v>
      </c>
      <c r="CE33" s="7" t="s">
        <v>124</v>
      </c>
      <c r="CF33" s="2" t="s">
        <v>52</v>
      </c>
      <c r="CG33" s="3">
        <v>168099.97492239892</v>
      </c>
      <c r="CH33" s="3">
        <v>0</v>
      </c>
      <c r="CI33" s="3">
        <v>0</v>
      </c>
      <c r="CJ33" s="3">
        <v>63893.842891642169</v>
      </c>
      <c r="CK33" s="3">
        <v>231993.8178140411</v>
      </c>
      <c r="CL33" s="7" t="s">
        <v>124</v>
      </c>
      <c r="CM33" s="2" t="s">
        <v>52</v>
      </c>
      <c r="CN33" s="3">
        <v>0</v>
      </c>
      <c r="CO33" s="3">
        <v>0</v>
      </c>
      <c r="CP33" s="3">
        <v>15870526.732629091</v>
      </c>
      <c r="CQ33" s="3">
        <v>0</v>
      </c>
      <c r="CR33" s="3">
        <v>15870526.732629091</v>
      </c>
      <c r="CS33" s="7" t="s">
        <v>124</v>
      </c>
      <c r="CT33" s="2" t="s">
        <v>52</v>
      </c>
      <c r="CU33" s="3">
        <v>17.411219827748216</v>
      </c>
      <c r="CV33" s="3">
        <v>0</v>
      </c>
      <c r="CW33" s="3">
        <v>0</v>
      </c>
      <c r="CX33" s="3">
        <v>0</v>
      </c>
      <c r="CY33" s="3">
        <v>17.411219827748216</v>
      </c>
      <c r="CZ33" s="7" t="s">
        <v>124</v>
      </c>
      <c r="DA33" s="2" t="s">
        <v>52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7" t="s">
        <v>124</v>
      </c>
      <c r="DH33" s="2" t="s">
        <v>52</v>
      </c>
      <c r="DI33" s="3">
        <v>133.77620567653213</v>
      </c>
      <c r="DJ33" s="3">
        <v>34.822439655496431</v>
      </c>
      <c r="DK33" s="3">
        <v>0</v>
      </c>
      <c r="DL33" s="3">
        <v>0</v>
      </c>
      <c r="DM33" s="3">
        <v>168.59864533202855</v>
      </c>
      <c r="DN33" s="7" t="s">
        <v>124</v>
      </c>
      <c r="DO33" s="2" t="s">
        <v>52</v>
      </c>
      <c r="DP33" s="3">
        <v>102908.64528330267</v>
      </c>
      <c r="DQ33" s="3">
        <v>2323.4451136568991</v>
      </c>
      <c r="DR33" s="3">
        <v>50287.008455304982</v>
      </c>
      <c r="DS33" s="3">
        <v>0</v>
      </c>
      <c r="DT33" s="3">
        <v>155519.09885226455</v>
      </c>
      <c r="DU33" s="7" t="s">
        <v>124</v>
      </c>
      <c r="DV33" s="2" t="s">
        <v>52</v>
      </c>
      <c r="DW33" s="3">
        <v>4538.7415048543689</v>
      </c>
      <c r="DX33" s="3">
        <v>0</v>
      </c>
      <c r="DY33" s="3">
        <v>110422.64257639473</v>
      </c>
      <c r="DZ33" s="3">
        <v>0</v>
      </c>
      <c r="EA33" s="3">
        <v>114961.3840812491</v>
      </c>
      <c r="EB33" s="7" t="s">
        <v>124</v>
      </c>
      <c r="EC33" s="2" t="s">
        <v>52</v>
      </c>
      <c r="ED33" s="3">
        <v>141914.53920522801</v>
      </c>
      <c r="EE33" s="3">
        <v>23797.294446009604</v>
      </c>
      <c r="EF33" s="3">
        <v>16714.415955268105</v>
      </c>
      <c r="EG33" s="3">
        <v>0</v>
      </c>
      <c r="EH33" s="3">
        <v>182426.24960650571</v>
      </c>
    </row>
    <row r="34" spans="1:138" ht="10.199999999999999" customHeight="1" x14ac:dyDescent="0.2">
      <c r="A34" s="7" t="s">
        <v>123</v>
      </c>
      <c r="B34" s="2" t="s">
        <v>51</v>
      </c>
      <c r="C34" s="3">
        <f t="shared" si="4"/>
        <v>0</v>
      </c>
      <c r="D34" s="3">
        <f t="shared" si="5"/>
        <v>7600.1809677842684</v>
      </c>
      <c r="E34" s="3">
        <f t="shared" si="6"/>
        <v>0</v>
      </c>
      <c r="F34" s="3">
        <f t="shared" si="7"/>
        <v>2918.9687376170536</v>
      </c>
      <c r="G34" s="3">
        <f t="shared" si="8"/>
        <v>0</v>
      </c>
      <c r="H34" s="3">
        <f t="shared" si="9"/>
        <v>0</v>
      </c>
      <c r="I34" s="3">
        <f t="shared" si="10"/>
        <v>2115.1573398810069</v>
      </c>
      <c r="J34" s="3">
        <f t="shared" si="11"/>
        <v>0</v>
      </c>
      <c r="K34" s="3">
        <f t="shared" si="12"/>
        <v>2704.263546476694</v>
      </c>
      <c r="L34" s="3">
        <f t="shared" si="13"/>
        <v>87820.185119116679</v>
      </c>
      <c r="M34" s="3">
        <f t="shared" si="14"/>
        <v>111816.82399755399</v>
      </c>
      <c r="N34" s="3">
        <f t="shared" si="15"/>
        <v>10271.814463337743</v>
      </c>
      <c r="O34" s="3">
        <f t="shared" si="16"/>
        <v>225247.39417176743</v>
      </c>
      <c r="P34" s="7" t="s">
        <v>123</v>
      </c>
      <c r="Q34" s="2" t="s">
        <v>51</v>
      </c>
      <c r="R34" s="3">
        <f t="shared" si="28"/>
        <v>0</v>
      </c>
      <c r="S34" s="3">
        <f t="shared" si="28"/>
        <v>7600.1809677842684</v>
      </c>
      <c r="T34" s="3">
        <f t="shared" si="28"/>
        <v>0</v>
      </c>
      <c r="U34" s="3">
        <f t="shared" si="28"/>
        <v>2918.9687376170536</v>
      </c>
      <c r="V34" s="3">
        <f t="shared" si="28"/>
        <v>0</v>
      </c>
      <c r="W34" s="3">
        <f t="shared" si="27"/>
        <v>0</v>
      </c>
      <c r="X34" s="3">
        <f t="shared" si="27"/>
        <v>2115.1573398810069</v>
      </c>
      <c r="Y34" s="3">
        <f t="shared" si="27"/>
        <v>0</v>
      </c>
      <c r="Z34" s="3">
        <f t="shared" si="27"/>
        <v>2704.263546476694</v>
      </c>
      <c r="AA34" s="3">
        <f t="shared" si="27"/>
        <v>87820.185119116679</v>
      </c>
      <c r="AB34" s="3">
        <f t="shared" si="18"/>
        <v>103158.7557108757</v>
      </c>
      <c r="AC34" s="7" t="s">
        <v>123</v>
      </c>
      <c r="AD34" s="2" t="s">
        <v>51</v>
      </c>
      <c r="AE34" s="3">
        <f t="shared" si="19"/>
        <v>111816.82399755399</v>
      </c>
      <c r="AF34" s="3">
        <f t="shared" si="19"/>
        <v>10271.814463337743</v>
      </c>
      <c r="AG34" s="3">
        <f t="shared" si="20"/>
        <v>122088.63846089173</v>
      </c>
      <c r="AH34" s="7" t="s">
        <v>123</v>
      </c>
      <c r="AI34" s="2" t="s">
        <v>51</v>
      </c>
      <c r="AJ34" s="3">
        <f t="shared" si="21"/>
        <v>87193.073352333755</v>
      </c>
      <c r="AK34" s="3">
        <f t="shared" si="21"/>
        <v>137673.4503857017</v>
      </c>
      <c r="AL34" s="3">
        <f t="shared" si="21"/>
        <v>0</v>
      </c>
      <c r="AM34" s="3">
        <f t="shared" si="21"/>
        <v>380.87043373199225</v>
      </c>
      <c r="AN34" s="3">
        <f t="shared" si="22"/>
        <v>225247.39417176746</v>
      </c>
      <c r="AO34" s="7" t="s">
        <v>123</v>
      </c>
      <c r="AP34" s="2" t="s">
        <v>51</v>
      </c>
      <c r="AQ34" s="3">
        <f t="shared" si="23"/>
        <v>27467.550961983397</v>
      </c>
      <c r="AR34" s="3">
        <f t="shared" si="23"/>
        <v>75691.204748892313</v>
      </c>
      <c r="AS34" s="3">
        <f t="shared" si="23"/>
        <v>0</v>
      </c>
      <c r="AT34" s="3">
        <f t="shared" si="23"/>
        <v>0</v>
      </c>
      <c r="AU34" s="3">
        <f t="shared" si="24"/>
        <v>103158.7557108757</v>
      </c>
      <c r="AV34" s="7" t="s">
        <v>123</v>
      </c>
      <c r="AW34" s="2" t="s">
        <v>51</v>
      </c>
      <c r="AX34" s="3">
        <f t="shared" si="25"/>
        <v>59725.522390350357</v>
      </c>
      <c r="AY34" s="3">
        <f t="shared" si="25"/>
        <v>61982.245636809377</v>
      </c>
      <c r="AZ34" s="3">
        <f t="shared" si="25"/>
        <v>0</v>
      </c>
      <c r="BA34" s="3">
        <f t="shared" si="25"/>
        <v>380.87043373199225</v>
      </c>
      <c r="BB34" s="3">
        <f t="shared" si="26"/>
        <v>122088.63846089173</v>
      </c>
      <c r="BC34" s="7" t="s">
        <v>123</v>
      </c>
      <c r="BD34" s="2" t="s">
        <v>51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7" t="s">
        <v>123</v>
      </c>
      <c r="BK34" s="2" t="s">
        <v>51</v>
      </c>
      <c r="BL34" s="3">
        <v>5602.0034135064807</v>
      </c>
      <c r="BM34" s="3">
        <v>1998.177554277788</v>
      </c>
      <c r="BN34" s="3">
        <v>0</v>
      </c>
      <c r="BO34" s="3">
        <v>0</v>
      </c>
      <c r="BP34" s="3">
        <v>7600.1809677842684</v>
      </c>
      <c r="BQ34" s="7" t="s">
        <v>123</v>
      </c>
      <c r="BR34" s="2" t="s">
        <v>51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7" t="s">
        <v>123</v>
      </c>
      <c r="BY34" s="2" t="s">
        <v>51</v>
      </c>
      <c r="BZ34" s="3">
        <v>146.00033293059704</v>
      </c>
      <c r="CA34" s="3">
        <v>2772.9684046864568</v>
      </c>
      <c r="CB34" s="3">
        <v>0</v>
      </c>
      <c r="CC34" s="3">
        <v>0</v>
      </c>
      <c r="CD34" s="3">
        <v>2918.9687376170536</v>
      </c>
      <c r="CE34" s="7" t="s">
        <v>123</v>
      </c>
      <c r="CF34" s="2" t="s">
        <v>51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7" t="s">
        <v>123</v>
      </c>
      <c r="CM34" s="2" t="s">
        <v>51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7" t="s">
        <v>123</v>
      </c>
      <c r="CT34" s="2" t="s">
        <v>51</v>
      </c>
      <c r="CU34" s="3">
        <v>2115.1573398810069</v>
      </c>
      <c r="CV34" s="3">
        <v>0</v>
      </c>
      <c r="CW34" s="3">
        <v>0</v>
      </c>
      <c r="CX34" s="3">
        <v>0</v>
      </c>
      <c r="CY34" s="3">
        <v>2115.1573398810069</v>
      </c>
      <c r="CZ34" s="7" t="s">
        <v>123</v>
      </c>
      <c r="DA34" s="2" t="s">
        <v>51</v>
      </c>
      <c r="DB34" s="3">
        <v>2704.263546476694</v>
      </c>
      <c r="DC34" s="3">
        <v>0</v>
      </c>
      <c r="DD34" s="3">
        <v>0</v>
      </c>
      <c r="DE34" s="3">
        <v>0</v>
      </c>
      <c r="DF34" s="3">
        <v>2704.263546476694</v>
      </c>
      <c r="DG34" s="7" t="s">
        <v>123</v>
      </c>
      <c r="DH34" s="2" t="s">
        <v>51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7" t="s">
        <v>123</v>
      </c>
      <c r="DO34" s="2" t="s">
        <v>51</v>
      </c>
      <c r="DP34" s="3">
        <v>16900.126329188617</v>
      </c>
      <c r="DQ34" s="3">
        <v>70920.058789928065</v>
      </c>
      <c r="DR34" s="3">
        <v>0</v>
      </c>
      <c r="DS34" s="3">
        <v>0</v>
      </c>
      <c r="DT34" s="3">
        <v>87820.185119116679</v>
      </c>
      <c r="DU34" s="7" t="s">
        <v>123</v>
      </c>
      <c r="DV34" s="2" t="s">
        <v>51</v>
      </c>
      <c r="DW34" s="3">
        <v>0</v>
      </c>
      <c r="DX34" s="3">
        <v>10271.814463337743</v>
      </c>
      <c r="DY34" s="3">
        <v>0</v>
      </c>
      <c r="DZ34" s="3">
        <v>0</v>
      </c>
      <c r="EA34" s="3">
        <v>10271.814463337743</v>
      </c>
      <c r="EB34" s="7" t="s">
        <v>123</v>
      </c>
      <c r="EC34" s="2" t="s">
        <v>51</v>
      </c>
      <c r="ED34" s="3">
        <v>59725.522390350357</v>
      </c>
      <c r="EE34" s="3">
        <v>51710.431173471632</v>
      </c>
      <c r="EF34" s="3">
        <v>0</v>
      </c>
      <c r="EG34" s="3">
        <v>380.87043373199225</v>
      </c>
      <c r="EH34" s="3">
        <v>111816.82399755399</v>
      </c>
    </row>
    <row r="35" spans="1:138" ht="10.199999999999999" customHeight="1" x14ac:dyDescent="0.2">
      <c r="A35" s="7" t="s">
        <v>126</v>
      </c>
      <c r="B35" s="2" t="s">
        <v>54</v>
      </c>
      <c r="C35" s="3">
        <f t="shared" si="4"/>
        <v>0</v>
      </c>
      <c r="D35" s="3">
        <f t="shared" si="5"/>
        <v>0</v>
      </c>
      <c r="E35" s="3">
        <f t="shared" si="6"/>
        <v>0</v>
      </c>
      <c r="F35" s="3">
        <f t="shared" si="7"/>
        <v>1799.6521136460572</v>
      </c>
      <c r="G35" s="3">
        <f t="shared" si="8"/>
        <v>0</v>
      </c>
      <c r="H35" s="3">
        <f t="shared" si="9"/>
        <v>0</v>
      </c>
      <c r="I35" s="3">
        <f t="shared" si="10"/>
        <v>70.83008452774952</v>
      </c>
      <c r="J35" s="3">
        <f t="shared" si="11"/>
        <v>0</v>
      </c>
      <c r="K35" s="3">
        <f t="shared" si="12"/>
        <v>0</v>
      </c>
      <c r="L35" s="3">
        <f t="shared" si="13"/>
        <v>3284.0948831327823</v>
      </c>
      <c r="M35" s="3">
        <f t="shared" si="14"/>
        <v>0</v>
      </c>
      <c r="N35" s="3">
        <f t="shared" si="15"/>
        <v>0</v>
      </c>
      <c r="O35" s="3">
        <f t="shared" si="16"/>
        <v>5154.5770813065892</v>
      </c>
      <c r="P35" s="7" t="s">
        <v>126</v>
      </c>
      <c r="Q35" s="2" t="s">
        <v>54</v>
      </c>
      <c r="R35" s="3">
        <f t="shared" si="28"/>
        <v>0</v>
      </c>
      <c r="S35" s="3">
        <f t="shared" si="28"/>
        <v>0</v>
      </c>
      <c r="T35" s="3">
        <f t="shared" si="28"/>
        <v>0</v>
      </c>
      <c r="U35" s="3">
        <f t="shared" si="28"/>
        <v>1799.6521136460572</v>
      </c>
      <c r="V35" s="3">
        <f t="shared" si="28"/>
        <v>0</v>
      </c>
      <c r="W35" s="3">
        <f t="shared" si="27"/>
        <v>0</v>
      </c>
      <c r="X35" s="3">
        <f t="shared" si="27"/>
        <v>70.83008452774952</v>
      </c>
      <c r="Y35" s="3">
        <f t="shared" si="27"/>
        <v>0</v>
      </c>
      <c r="Z35" s="3">
        <f t="shared" si="27"/>
        <v>0</v>
      </c>
      <c r="AA35" s="3">
        <f t="shared" si="27"/>
        <v>3284.0948831327823</v>
      </c>
      <c r="AB35" s="3">
        <f t="shared" si="18"/>
        <v>5154.5770813065892</v>
      </c>
      <c r="AC35" s="7" t="s">
        <v>126</v>
      </c>
      <c r="AD35" s="2" t="s">
        <v>54</v>
      </c>
      <c r="AE35" s="3">
        <f t="shared" si="19"/>
        <v>0</v>
      </c>
      <c r="AF35" s="3">
        <f t="shared" si="19"/>
        <v>0</v>
      </c>
      <c r="AG35" s="3">
        <f t="shared" si="20"/>
        <v>0</v>
      </c>
      <c r="AH35" s="7" t="s">
        <v>126</v>
      </c>
      <c r="AI35" s="2" t="s">
        <v>54</v>
      </c>
      <c r="AJ35" s="3">
        <f t="shared" si="21"/>
        <v>5091.3644054534798</v>
      </c>
      <c r="AK35" s="3">
        <f t="shared" si="21"/>
        <v>63.212675853109673</v>
      </c>
      <c r="AL35" s="3">
        <f t="shared" si="21"/>
        <v>0</v>
      </c>
      <c r="AM35" s="3">
        <f t="shared" si="21"/>
        <v>0</v>
      </c>
      <c r="AN35" s="3">
        <f t="shared" si="22"/>
        <v>5154.5770813065892</v>
      </c>
      <c r="AO35" s="7" t="s">
        <v>126</v>
      </c>
      <c r="AP35" s="2" t="s">
        <v>54</v>
      </c>
      <c r="AQ35" s="3">
        <f t="shared" si="23"/>
        <v>5091.3644054534798</v>
      </c>
      <c r="AR35" s="3">
        <f t="shared" si="23"/>
        <v>63.212675853109673</v>
      </c>
      <c r="AS35" s="3">
        <f t="shared" si="23"/>
        <v>0</v>
      </c>
      <c r="AT35" s="3">
        <f t="shared" si="23"/>
        <v>0</v>
      </c>
      <c r="AU35" s="3">
        <f t="shared" si="24"/>
        <v>5154.5770813065892</v>
      </c>
      <c r="AV35" s="7" t="s">
        <v>126</v>
      </c>
      <c r="AW35" s="2" t="s">
        <v>54</v>
      </c>
      <c r="AX35" s="3">
        <f t="shared" si="25"/>
        <v>0</v>
      </c>
      <c r="AY35" s="3">
        <f t="shared" si="25"/>
        <v>0</v>
      </c>
      <c r="AZ35" s="3">
        <f t="shared" si="25"/>
        <v>0</v>
      </c>
      <c r="BA35" s="3">
        <f t="shared" si="25"/>
        <v>0</v>
      </c>
      <c r="BB35" s="3">
        <f t="shared" si="26"/>
        <v>0</v>
      </c>
      <c r="BC35" s="7" t="s">
        <v>126</v>
      </c>
      <c r="BD35" s="2" t="s">
        <v>54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7" t="s">
        <v>126</v>
      </c>
      <c r="BK35" s="2" t="s">
        <v>54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7" t="s">
        <v>126</v>
      </c>
      <c r="BR35" s="2" t="s">
        <v>54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7" t="s">
        <v>126</v>
      </c>
      <c r="BY35" s="2" t="s">
        <v>54</v>
      </c>
      <c r="BZ35" s="3">
        <v>1799.6521136460572</v>
      </c>
      <c r="CA35" s="3">
        <v>0</v>
      </c>
      <c r="CB35" s="3">
        <v>0</v>
      </c>
      <c r="CC35" s="3">
        <v>0</v>
      </c>
      <c r="CD35" s="3">
        <v>1799.6521136460572</v>
      </c>
      <c r="CE35" s="7" t="s">
        <v>126</v>
      </c>
      <c r="CF35" s="2" t="s">
        <v>54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7" t="s">
        <v>126</v>
      </c>
      <c r="CM35" s="2" t="s">
        <v>54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7" t="s">
        <v>126</v>
      </c>
      <c r="CT35" s="2" t="s">
        <v>54</v>
      </c>
      <c r="CU35" s="3">
        <v>7.6174086746398455</v>
      </c>
      <c r="CV35" s="3">
        <v>63.212675853109673</v>
      </c>
      <c r="CW35" s="3">
        <v>0</v>
      </c>
      <c r="CX35" s="3">
        <v>0</v>
      </c>
      <c r="CY35" s="3">
        <v>70.83008452774952</v>
      </c>
      <c r="CZ35" s="7" t="s">
        <v>126</v>
      </c>
      <c r="DA35" s="2" t="s">
        <v>54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7" t="s">
        <v>126</v>
      </c>
      <c r="DH35" s="2" t="s">
        <v>54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7" t="s">
        <v>126</v>
      </c>
      <c r="DO35" s="2" t="s">
        <v>54</v>
      </c>
      <c r="DP35" s="3">
        <v>3284.0948831327823</v>
      </c>
      <c r="DQ35" s="3">
        <v>0</v>
      </c>
      <c r="DR35" s="3">
        <v>0</v>
      </c>
      <c r="DS35" s="3">
        <v>0</v>
      </c>
      <c r="DT35" s="3">
        <v>3284.0948831327823</v>
      </c>
      <c r="DU35" s="7" t="s">
        <v>126</v>
      </c>
      <c r="DV35" s="2" t="s">
        <v>54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7" t="s">
        <v>126</v>
      </c>
      <c r="EC35" s="2" t="s">
        <v>54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</row>
    <row r="36" spans="1:138" ht="10.199999999999999" customHeight="1" x14ac:dyDescent="0.2">
      <c r="A36" s="7" t="s">
        <v>129</v>
      </c>
      <c r="B36" s="2" t="s">
        <v>57</v>
      </c>
      <c r="C36" s="3">
        <f t="shared" si="4"/>
        <v>17628.717551179408</v>
      </c>
      <c r="D36" s="3">
        <f t="shared" si="5"/>
        <v>1286454.8989381108</v>
      </c>
      <c r="E36" s="3">
        <f t="shared" si="6"/>
        <v>22257817.924046602</v>
      </c>
      <c r="F36" s="3">
        <f t="shared" si="7"/>
        <v>87785.620729265735</v>
      </c>
      <c r="G36" s="3">
        <f t="shared" si="8"/>
        <v>486542.50227091607</v>
      </c>
      <c r="H36" s="3">
        <f t="shared" si="9"/>
        <v>0</v>
      </c>
      <c r="I36" s="3">
        <f t="shared" si="10"/>
        <v>49862.722751614288</v>
      </c>
      <c r="J36" s="3">
        <f t="shared" si="11"/>
        <v>16277.068654787943</v>
      </c>
      <c r="K36" s="3">
        <f t="shared" si="12"/>
        <v>386793.5601104002</v>
      </c>
      <c r="L36" s="3">
        <f t="shared" si="13"/>
        <v>29402.92065694862</v>
      </c>
      <c r="M36" s="3">
        <f t="shared" si="14"/>
        <v>2744995.8087472129</v>
      </c>
      <c r="N36" s="3">
        <f t="shared" si="15"/>
        <v>3819775.7359785587</v>
      </c>
      <c r="O36" s="3">
        <f t="shared" si="16"/>
        <v>31183337.480435595</v>
      </c>
      <c r="P36" s="7" t="s">
        <v>129</v>
      </c>
      <c r="Q36" s="2" t="s">
        <v>57</v>
      </c>
      <c r="R36" s="3">
        <f t="shared" si="28"/>
        <v>17628.717551179408</v>
      </c>
      <c r="S36" s="3">
        <f t="shared" si="28"/>
        <v>1286454.8989381108</v>
      </c>
      <c r="T36" s="3">
        <f t="shared" si="28"/>
        <v>22257817.924046602</v>
      </c>
      <c r="U36" s="3">
        <f t="shared" si="28"/>
        <v>87785.620729265735</v>
      </c>
      <c r="V36" s="3">
        <f t="shared" si="28"/>
        <v>486542.50227091607</v>
      </c>
      <c r="W36" s="3">
        <f t="shared" si="27"/>
        <v>0</v>
      </c>
      <c r="X36" s="3">
        <f t="shared" si="27"/>
        <v>49862.722751614288</v>
      </c>
      <c r="Y36" s="3">
        <f t="shared" si="27"/>
        <v>16277.068654787943</v>
      </c>
      <c r="Z36" s="3">
        <f t="shared" si="27"/>
        <v>386793.5601104002</v>
      </c>
      <c r="AA36" s="3">
        <f t="shared" si="27"/>
        <v>29402.92065694862</v>
      </c>
      <c r="AB36" s="3">
        <f t="shared" si="18"/>
        <v>24618565.935709823</v>
      </c>
      <c r="AC36" s="7" t="s">
        <v>129</v>
      </c>
      <c r="AD36" s="2" t="s">
        <v>57</v>
      </c>
      <c r="AE36" s="3">
        <f t="shared" si="19"/>
        <v>2744995.8087472129</v>
      </c>
      <c r="AF36" s="3">
        <f t="shared" si="19"/>
        <v>3819775.7359785587</v>
      </c>
      <c r="AG36" s="3">
        <f t="shared" si="20"/>
        <v>6564771.544725772</v>
      </c>
      <c r="AH36" s="7" t="s">
        <v>129</v>
      </c>
      <c r="AI36" s="2" t="s">
        <v>57</v>
      </c>
      <c r="AJ36" s="3">
        <f t="shared" si="21"/>
        <v>4011677.7607505838</v>
      </c>
      <c r="AK36" s="3">
        <f t="shared" si="21"/>
        <v>1148080.595750747</v>
      </c>
      <c r="AL36" s="3">
        <f t="shared" si="21"/>
        <v>500566.29146669619</v>
      </c>
      <c r="AM36" s="3">
        <f t="shared" si="21"/>
        <v>25523012.832467567</v>
      </c>
      <c r="AN36" s="3">
        <f t="shared" si="22"/>
        <v>31183337.480435595</v>
      </c>
      <c r="AO36" s="7" t="s">
        <v>129</v>
      </c>
      <c r="AP36" s="2" t="s">
        <v>57</v>
      </c>
      <c r="AQ36" s="3">
        <f t="shared" si="23"/>
        <v>395432.8850674064</v>
      </c>
      <c r="AR36" s="3">
        <f t="shared" si="23"/>
        <v>612909.636676186</v>
      </c>
      <c r="AS36" s="3">
        <f t="shared" si="23"/>
        <v>309084.32406673575</v>
      </c>
      <c r="AT36" s="3">
        <f t="shared" si="23"/>
        <v>23301139.089899495</v>
      </c>
      <c r="AU36" s="3">
        <f t="shared" si="24"/>
        <v>24618565.935709823</v>
      </c>
      <c r="AV36" s="7" t="s">
        <v>129</v>
      </c>
      <c r="AW36" s="2" t="s">
        <v>57</v>
      </c>
      <c r="AX36" s="3">
        <f t="shared" si="25"/>
        <v>3616244.8756831773</v>
      </c>
      <c r="AY36" s="3">
        <f t="shared" si="25"/>
        <v>535170.95907456102</v>
      </c>
      <c r="AZ36" s="3">
        <f t="shared" si="25"/>
        <v>191481.96739996047</v>
      </c>
      <c r="BA36" s="3">
        <f t="shared" si="25"/>
        <v>2221873.7425680729</v>
      </c>
      <c r="BB36" s="3">
        <f t="shared" si="26"/>
        <v>6564771.544725772</v>
      </c>
      <c r="BC36" s="7" t="s">
        <v>129</v>
      </c>
      <c r="BD36" s="2" t="s">
        <v>57</v>
      </c>
      <c r="BE36" s="3">
        <v>15609.986550788988</v>
      </c>
      <c r="BF36" s="3">
        <v>2018.7310003904201</v>
      </c>
      <c r="BG36" s="3">
        <v>0</v>
      </c>
      <c r="BH36" s="3">
        <v>0</v>
      </c>
      <c r="BI36" s="3">
        <v>17628.717551179408</v>
      </c>
      <c r="BJ36" s="7" t="s">
        <v>129</v>
      </c>
      <c r="BK36" s="2" t="s">
        <v>57</v>
      </c>
      <c r="BL36" s="3">
        <v>4264.4638578512386</v>
      </c>
      <c r="BM36" s="3">
        <v>0</v>
      </c>
      <c r="BN36" s="3">
        <v>12548.296469932067</v>
      </c>
      <c r="BO36" s="3">
        <v>1269642.1386103274</v>
      </c>
      <c r="BP36" s="3">
        <v>1286454.8989381108</v>
      </c>
      <c r="BQ36" s="7" t="s">
        <v>129</v>
      </c>
      <c r="BR36" s="2" t="s">
        <v>57</v>
      </c>
      <c r="BS36" s="3">
        <v>0</v>
      </c>
      <c r="BT36" s="3">
        <v>24870.56099138741</v>
      </c>
      <c r="BU36" s="3">
        <v>212030.7629211313</v>
      </c>
      <c r="BV36" s="3">
        <v>22020916.600134082</v>
      </c>
      <c r="BW36" s="3">
        <v>22257817.924046602</v>
      </c>
      <c r="BX36" s="7" t="s">
        <v>129</v>
      </c>
      <c r="BY36" s="2" t="s">
        <v>57</v>
      </c>
      <c r="BZ36" s="3">
        <v>31053.77783569428</v>
      </c>
      <c r="CA36" s="3">
        <v>1184.9993293696389</v>
      </c>
      <c r="CB36" s="3">
        <v>55546.843564201816</v>
      </c>
      <c r="CC36" s="3">
        <v>0</v>
      </c>
      <c r="CD36" s="3">
        <v>87785.620729265735</v>
      </c>
      <c r="CE36" s="7" t="s">
        <v>129</v>
      </c>
      <c r="CF36" s="2" t="s">
        <v>57</v>
      </c>
      <c r="CG36" s="3">
        <v>150272.74349882334</v>
      </c>
      <c r="CH36" s="3">
        <v>323317.29288803635</v>
      </c>
      <c r="CI36" s="3">
        <v>12952.465884056355</v>
      </c>
      <c r="CJ36" s="3">
        <v>0</v>
      </c>
      <c r="CK36" s="3">
        <v>486542.50227091607</v>
      </c>
      <c r="CL36" s="7" t="s">
        <v>129</v>
      </c>
      <c r="CM36" s="2" t="s">
        <v>57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7" t="s">
        <v>129</v>
      </c>
      <c r="CT36" s="2" t="s">
        <v>57</v>
      </c>
      <c r="CU36" s="3">
        <v>37647.707343067428</v>
      </c>
      <c r="CV36" s="3">
        <v>12215.015408546857</v>
      </c>
      <c r="CW36" s="3">
        <v>0</v>
      </c>
      <c r="CX36" s="3">
        <v>0</v>
      </c>
      <c r="CY36" s="3">
        <v>49862.722751614288</v>
      </c>
      <c r="CZ36" s="7" t="s">
        <v>129</v>
      </c>
      <c r="DA36" s="2" t="s">
        <v>57</v>
      </c>
      <c r="DB36" s="3">
        <v>131010.05796945459</v>
      </c>
      <c r="DC36" s="3">
        <v>245203.15098585951</v>
      </c>
      <c r="DD36" s="3">
        <v>0</v>
      </c>
      <c r="DE36" s="3">
        <v>10580.351155086058</v>
      </c>
      <c r="DF36" s="3">
        <v>386793.5601104002</v>
      </c>
      <c r="DG36" s="7" t="s">
        <v>129</v>
      </c>
      <c r="DH36" s="2" t="s">
        <v>57</v>
      </c>
      <c r="DI36" s="3">
        <v>11722.227482523394</v>
      </c>
      <c r="DJ36" s="3">
        <v>2248.3246204557881</v>
      </c>
      <c r="DK36" s="3">
        <v>2306.5165518087611</v>
      </c>
      <c r="DL36" s="3">
        <v>0</v>
      </c>
      <c r="DM36" s="3">
        <v>16277.068654787943</v>
      </c>
      <c r="DN36" s="7" t="s">
        <v>129</v>
      </c>
      <c r="DO36" s="2" t="s">
        <v>57</v>
      </c>
      <c r="DP36" s="3">
        <v>13851.920529203126</v>
      </c>
      <c r="DQ36" s="3">
        <v>1851.5614521400605</v>
      </c>
      <c r="DR36" s="3">
        <v>13699.438675605432</v>
      </c>
      <c r="DS36" s="3">
        <v>0</v>
      </c>
      <c r="DT36" s="3">
        <v>29402.92065694862</v>
      </c>
      <c r="DU36" s="7" t="s">
        <v>129</v>
      </c>
      <c r="DV36" s="2" t="s">
        <v>57</v>
      </c>
      <c r="DW36" s="3">
        <v>887310.03998938482</v>
      </c>
      <c r="DX36" s="3">
        <v>519109.98602114036</v>
      </c>
      <c r="DY36" s="3">
        <v>191481.96739996047</v>
      </c>
      <c r="DZ36" s="3">
        <v>2221873.7425680729</v>
      </c>
      <c r="EA36" s="3">
        <v>3819775.7359785587</v>
      </c>
      <c r="EB36" s="7" t="s">
        <v>129</v>
      </c>
      <c r="EC36" s="2" t="s">
        <v>57</v>
      </c>
      <c r="ED36" s="3">
        <v>2728934.8356937924</v>
      </c>
      <c r="EE36" s="3">
        <v>16060.973053420639</v>
      </c>
      <c r="EF36" s="3">
        <v>0</v>
      </c>
      <c r="EG36" s="3">
        <v>0</v>
      </c>
      <c r="EH36" s="3">
        <v>2744995.8087472129</v>
      </c>
    </row>
    <row r="37" spans="1:138" ht="10.199999999999999" customHeight="1" x14ac:dyDescent="0.2">
      <c r="A37" s="7" t="s">
        <v>128</v>
      </c>
      <c r="B37" s="2" t="s">
        <v>56</v>
      </c>
      <c r="C37" s="3">
        <f t="shared" si="4"/>
        <v>812.28936206169112</v>
      </c>
      <c r="D37" s="3">
        <f t="shared" si="5"/>
        <v>5739.2702087084217</v>
      </c>
      <c r="E37" s="3">
        <f t="shared" si="6"/>
        <v>640.42151336266841</v>
      </c>
      <c r="F37" s="3">
        <f t="shared" si="7"/>
        <v>321892.06960133032</v>
      </c>
      <c r="G37" s="3">
        <f t="shared" si="8"/>
        <v>1338.8715967855794</v>
      </c>
      <c r="H37" s="3">
        <f t="shared" si="9"/>
        <v>837963.81148281589</v>
      </c>
      <c r="I37" s="3">
        <f t="shared" si="10"/>
        <v>5960957.9662032416</v>
      </c>
      <c r="J37" s="3">
        <f t="shared" si="11"/>
        <v>1492.5050275947269</v>
      </c>
      <c r="K37" s="3">
        <f t="shared" si="12"/>
        <v>1415563.9287334916</v>
      </c>
      <c r="L37" s="3">
        <f t="shared" si="13"/>
        <v>2064163.3369751533</v>
      </c>
      <c r="M37" s="3">
        <f t="shared" si="14"/>
        <v>524256.88968672464</v>
      </c>
      <c r="N37" s="3">
        <f t="shared" si="15"/>
        <v>18194436.183922105</v>
      </c>
      <c r="O37" s="3">
        <f t="shared" si="16"/>
        <v>29329257.544313375</v>
      </c>
      <c r="P37" s="7" t="s">
        <v>128</v>
      </c>
      <c r="Q37" s="2" t="s">
        <v>56</v>
      </c>
      <c r="R37" s="3">
        <f t="shared" si="28"/>
        <v>812.28936206169112</v>
      </c>
      <c r="S37" s="3">
        <f t="shared" si="28"/>
        <v>5739.2702087084217</v>
      </c>
      <c r="T37" s="3">
        <f t="shared" si="28"/>
        <v>640.42151336266841</v>
      </c>
      <c r="U37" s="3">
        <f t="shared" si="28"/>
        <v>321892.06960133032</v>
      </c>
      <c r="V37" s="3">
        <f t="shared" si="28"/>
        <v>1338.8715967855794</v>
      </c>
      <c r="W37" s="3">
        <f t="shared" si="27"/>
        <v>837963.81148281589</v>
      </c>
      <c r="X37" s="3">
        <f t="shared" si="27"/>
        <v>5960957.9662032416</v>
      </c>
      <c r="Y37" s="3">
        <f t="shared" si="27"/>
        <v>1492.5050275947269</v>
      </c>
      <c r="Z37" s="3">
        <f t="shared" si="27"/>
        <v>1415563.9287334916</v>
      </c>
      <c r="AA37" s="3">
        <f t="shared" si="27"/>
        <v>2064163.3369751533</v>
      </c>
      <c r="AB37" s="3">
        <f t="shared" si="18"/>
        <v>10610564.470704546</v>
      </c>
      <c r="AC37" s="7" t="s">
        <v>128</v>
      </c>
      <c r="AD37" s="2" t="s">
        <v>56</v>
      </c>
      <c r="AE37" s="3">
        <f t="shared" si="19"/>
        <v>524256.88968672464</v>
      </c>
      <c r="AF37" s="3">
        <f t="shared" si="19"/>
        <v>18194436.183922105</v>
      </c>
      <c r="AG37" s="3">
        <f t="shared" si="20"/>
        <v>18718693.073608831</v>
      </c>
      <c r="AH37" s="7" t="s">
        <v>128</v>
      </c>
      <c r="AI37" s="2" t="s">
        <v>56</v>
      </c>
      <c r="AJ37" s="3">
        <f t="shared" si="21"/>
        <v>518589.72202327731</v>
      </c>
      <c r="AK37" s="3">
        <f t="shared" si="21"/>
        <v>3406805.3367037829</v>
      </c>
      <c r="AL37" s="3">
        <f t="shared" si="21"/>
        <v>24565898.674103498</v>
      </c>
      <c r="AM37" s="3">
        <f t="shared" si="21"/>
        <v>837963.81148281589</v>
      </c>
      <c r="AN37" s="3">
        <f t="shared" si="22"/>
        <v>29329257.544313375</v>
      </c>
      <c r="AO37" s="7" t="s">
        <v>128</v>
      </c>
      <c r="AP37" s="2" t="s">
        <v>56</v>
      </c>
      <c r="AQ37" s="3">
        <f t="shared" si="23"/>
        <v>200669.97005631152</v>
      </c>
      <c r="AR37" s="3">
        <f t="shared" si="23"/>
        <v>3041285.7957545877</v>
      </c>
      <c r="AS37" s="3">
        <f t="shared" si="23"/>
        <v>6530644.8934108308</v>
      </c>
      <c r="AT37" s="3">
        <f t="shared" si="23"/>
        <v>837963.81148281589</v>
      </c>
      <c r="AU37" s="3">
        <f t="shared" si="24"/>
        <v>10610564.470704546</v>
      </c>
      <c r="AV37" s="7" t="s">
        <v>128</v>
      </c>
      <c r="AW37" s="2" t="s">
        <v>56</v>
      </c>
      <c r="AX37" s="3">
        <f t="shared" si="25"/>
        <v>317919.75196696579</v>
      </c>
      <c r="AY37" s="3">
        <f t="shared" si="25"/>
        <v>365519.54094919533</v>
      </c>
      <c r="AZ37" s="3">
        <f t="shared" si="25"/>
        <v>18035253.780692667</v>
      </c>
      <c r="BA37" s="3">
        <f t="shared" si="25"/>
        <v>0</v>
      </c>
      <c r="BB37" s="3">
        <f t="shared" si="26"/>
        <v>18718693.073608827</v>
      </c>
      <c r="BC37" s="7" t="s">
        <v>128</v>
      </c>
      <c r="BD37" s="2" t="s">
        <v>56</v>
      </c>
      <c r="BE37" s="3">
        <v>812.28936206169112</v>
      </c>
      <c r="BF37" s="3">
        <v>0</v>
      </c>
      <c r="BG37" s="3">
        <v>0</v>
      </c>
      <c r="BH37" s="3">
        <v>0</v>
      </c>
      <c r="BI37" s="3">
        <v>812.28936206169112</v>
      </c>
      <c r="BJ37" s="7" t="s">
        <v>128</v>
      </c>
      <c r="BK37" s="2" t="s">
        <v>56</v>
      </c>
      <c r="BL37" s="3">
        <v>5739.2702087084217</v>
      </c>
      <c r="BM37" s="3">
        <v>0</v>
      </c>
      <c r="BN37" s="3">
        <v>0</v>
      </c>
      <c r="BO37" s="3">
        <v>0</v>
      </c>
      <c r="BP37" s="3">
        <v>5739.2702087084217</v>
      </c>
      <c r="BQ37" s="7" t="s">
        <v>128</v>
      </c>
      <c r="BR37" s="2" t="s">
        <v>56</v>
      </c>
      <c r="BS37" s="3">
        <v>640.42151336266841</v>
      </c>
      <c r="BT37" s="3">
        <v>0</v>
      </c>
      <c r="BU37" s="3">
        <v>0</v>
      </c>
      <c r="BV37" s="3">
        <v>0</v>
      </c>
      <c r="BW37" s="3">
        <v>640.42151336266841</v>
      </c>
      <c r="BX37" s="7" t="s">
        <v>128</v>
      </c>
      <c r="BY37" s="2" t="s">
        <v>56</v>
      </c>
      <c r="BZ37" s="3">
        <v>5359.580611480309</v>
      </c>
      <c r="CA37" s="3">
        <v>312868.87815109472</v>
      </c>
      <c r="CB37" s="3">
        <v>3663.6108387553541</v>
      </c>
      <c r="CC37" s="3">
        <v>0</v>
      </c>
      <c r="CD37" s="3">
        <v>321892.06960133032</v>
      </c>
      <c r="CE37" s="7" t="s">
        <v>128</v>
      </c>
      <c r="CF37" s="2" t="s">
        <v>56</v>
      </c>
      <c r="CG37" s="3">
        <v>1338.8715967855794</v>
      </c>
      <c r="CH37" s="3">
        <v>0</v>
      </c>
      <c r="CI37" s="3">
        <v>0</v>
      </c>
      <c r="CJ37" s="3">
        <v>0</v>
      </c>
      <c r="CK37" s="3">
        <v>1338.8715967855794</v>
      </c>
      <c r="CL37" s="7" t="s">
        <v>128</v>
      </c>
      <c r="CM37" s="2" t="s">
        <v>56</v>
      </c>
      <c r="CN37" s="3">
        <v>0</v>
      </c>
      <c r="CO37" s="3">
        <v>0</v>
      </c>
      <c r="CP37" s="3">
        <v>0</v>
      </c>
      <c r="CQ37" s="3">
        <v>837963.81148281589</v>
      </c>
      <c r="CR37" s="3">
        <v>837963.81148281589</v>
      </c>
      <c r="CS37" s="7" t="s">
        <v>128</v>
      </c>
      <c r="CT37" s="2" t="s">
        <v>56</v>
      </c>
      <c r="CU37" s="3">
        <v>52810.558669921782</v>
      </c>
      <c r="CV37" s="3">
        <v>105016.50954292387</v>
      </c>
      <c r="CW37" s="3">
        <v>5803130.8979903962</v>
      </c>
      <c r="CX37" s="3">
        <v>0</v>
      </c>
      <c r="CY37" s="3">
        <v>5960957.9662032416</v>
      </c>
      <c r="CZ37" s="7" t="s">
        <v>128</v>
      </c>
      <c r="DA37" s="2" t="s">
        <v>56</v>
      </c>
      <c r="DB37" s="3">
        <v>88837.002559533576</v>
      </c>
      <c r="DC37" s="3">
        <v>602876.54159227852</v>
      </c>
      <c r="DD37" s="3">
        <v>723850.38458167948</v>
      </c>
      <c r="DE37" s="3">
        <v>0</v>
      </c>
      <c r="DF37" s="3">
        <v>1415563.9287334916</v>
      </c>
      <c r="DG37" s="7" t="s">
        <v>128</v>
      </c>
      <c r="DH37" s="2" t="s">
        <v>56</v>
      </c>
      <c r="DI37" s="3">
        <v>1492.5050275947269</v>
      </c>
      <c r="DJ37" s="3">
        <v>0</v>
      </c>
      <c r="DK37" s="3">
        <v>0</v>
      </c>
      <c r="DL37" s="3">
        <v>0</v>
      </c>
      <c r="DM37" s="3">
        <v>1492.5050275947269</v>
      </c>
      <c r="DN37" s="7" t="s">
        <v>128</v>
      </c>
      <c r="DO37" s="2" t="s">
        <v>56</v>
      </c>
      <c r="DP37" s="3">
        <v>43639.470506862781</v>
      </c>
      <c r="DQ37" s="3">
        <v>2020523.8664682906</v>
      </c>
      <c r="DR37" s="3">
        <v>0</v>
      </c>
      <c r="DS37" s="3">
        <v>0</v>
      </c>
      <c r="DT37" s="3">
        <v>2064163.3369751533</v>
      </c>
      <c r="DU37" s="7" t="s">
        <v>128</v>
      </c>
      <c r="DV37" s="2" t="s">
        <v>56</v>
      </c>
      <c r="DW37" s="3">
        <v>9628.4619573145628</v>
      </c>
      <c r="DX37" s="3">
        <v>149553.94127212191</v>
      </c>
      <c r="DY37" s="3">
        <v>18035253.780692667</v>
      </c>
      <c r="DZ37" s="3">
        <v>0</v>
      </c>
      <c r="EA37" s="3">
        <v>18194436.183922105</v>
      </c>
      <c r="EB37" s="7" t="s">
        <v>128</v>
      </c>
      <c r="EC37" s="2" t="s">
        <v>56</v>
      </c>
      <c r="ED37" s="3">
        <v>308291.29000965122</v>
      </c>
      <c r="EE37" s="3">
        <v>215965.59967707342</v>
      </c>
      <c r="EF37" s="3">
        <v>0</v>
      </c>
      <c r="EG37" s="3">
        <v>0</v>
      </c>
      <c r="EH37" s="3">
        <v>524256.88968672464</v>
      </c>
    </row>
    <row r="38" spans="1:138" ht="10.199999999999999" customHeight="1" x14ac:dyDescent="0.2">
      <c r="A38" s="7" t="s">
        <v>127</v>
      </c>
      <c r="B38" s="2" t="s">
        <v>55</v>
      </c>
      <c r="C38" s="3">
        <f t="shared" si="4"/>
        <v>0</v>
      </c>
      <c r="D38" s="3">
        <f t="shared" si="5"/>
        <v>0</v>
      </c>
      <c r="E38" s="3">
        <f t="shared" si="6"/>
        <v>0</v>
      </c>
      <c r="F38" s="3">
        <f t="shared" si="7"/>
        <v>52690.410582650053</v>
      </c>
      <c r="G38" s="3">
        <f t="shared" si="8"/>
        <v>0</v>
      </c>
      <c r="H38" s="3">
        <f t="shared" si="9"/>
        <v>0</v>
      </c>
      <c r="I38" s="3">
        <f t="shared" si="10"/>
        <v>44067.162560933437</v>
      </c>
      <c r="J38" s="3">
        <f t="shared" si="11"/>
        <v>0</v>
      </c>
      <c r="K38" s="3">
        <f t="shared" si="12"/>
        <v>0</v>
      </c>
      <c r="L38" s="3">
        <f t="shared" si="13"/>
        <v>10202.865051843368</v>
      </c>
      <c r="M38" s="3">
        <f t="shared" si="14"/>
        <v>47530.232777519901</v>
      </c>
      <c r="N38" s="3">
        <f t="shared" si="15"/>
        <v>0</v>
      </c>
      <c r="O38" s="3">
        <f t="shared" si="16"/>
        <v>154490.67097294677</v>
      </c>
      <c r="P38" s="7" t="s">
        <v>127</v>
      </c>
      <c r="Q38" s="2" t="s">
        <v>55</v>
      </c>
      <c r="R38" s="3">
        <f t="shared" si="28"/>
        <v>0</v>
      </c>
      <c r="S38" s="3">
        <f t="shared" si="28"/>
        <v>0</v>
      </c>
      <c r="T38" s="3">
        <f t="shared" si="28"/>
        <v>0</v>
      </c>
      <c r="U38" s="3">
        <f t="shared" si="28"/>
        <v>52690.410582650053</v>
      </c>
      <c r="V38" s="3">
        <f t="shared" si="28"/>
        <v>0</v>
      </c>
      <c r="W38" s="3">
        <f t="shared" si="27"/>
        <v>0</v>
      </c>
      <c r="X38" s="3">
        <f t="shared" si="27"/>
        <v>44067.162560933437</v>
      </c>
      <c r="Y38" s="3">
        <f t="shared" si="27"/>
        <v>0</v>
      </c>
      <c r="Z38" s="3">
        <f t="shared" si="27"/>
        <v>0</v>
      </c>
      <c r="AA38" s="3">
        <f t="shared" si="27"/>
        <v>10202.865051843368</v>
      </c>
      <c r="AB38" s="3">
        <f t="shared" si="18"/>
        <v>106960.43819542686</v>
      </c>
      <c r="AC38" s="7" t="s">
        <v>127</v>
      </c>
      <c r="AD38" s="2" t="s">
        <v>55</v>
      </c>
      <c r="AE38" s="3">
        <f t="shared" si="19"/>
        <v>47530.232777519901</v>
      </c>
      <c r="AF38" s="3">
        <f t="shared" si="19"/>
        <v>0</v>
      </c>
      <c r="AG38" s="3">
        <f t="shared" si="20"/>
        <v>47530.232777519901</v>
      </c>
      <c r="AH38" s="7" t="s">
        <v>127</v>
      </c>
      <c r="AI38" s="2" t="s">
        <v>55</v>
      </c>
      <c r="AJ38" s="3">
        <f t="shared" si="21"/>
        <v>108029.88842740181</v>
      </c>
      <c r="AK38" s="3">
        <f t="shared" si="21"/>
        <v>46460.782545544942</v>
      </c>
      <c r="AL38" s="3">
        <f t="shared" si="21"/>
        <v>0</v>
      </c>
      <c r="AM38" s="3">
        <f t="shared" si="21"/>
        <v>0</v>
      </c>
      <c r="AN38" s="3">
        <f t="shared" si="22"/>
        <v>154490.67097294674</v>
      </c>
      <c r="AO38" s="7" t="s">
        <v>127</v>
      </c>
      <c r="AP38" s="2" t="s">
        <v>55</v>
      </c>
      <c r="AQ38" s="3">
        <f t="shared" si="23"/>
        <v>60499.655649881912</v>
      </c>
      <c r="AR38" s="3">
        <f t="shared" si="23"/>
        <v>46460.782545544942</v>
      </c>
      <c r="AS38" s="3">
        <f t="shared" si="23"/>
        <v>0</v>
      </c>
      <c r="AT38" s="3">
        <f t="shared" si="23"/>
        <v>0</v>
      </c>
      <c r="AU38" s="3">
        <f t="shared" si="24"/>
        <v>106960.43819542686</v>
      </c>
      <c r="AV38" s="7" t="s">
        <v>127</v>
      </c>
      <c r="AW38" s="2" t="s">
        <v>55</v>
      </c>
      <c r="AX38" s="3">
        <f t="shared" si="25"/>
        <v>47530.232777519901</v>
      </c>
      <c r="AY38" s="3">
        <f t="shared" si="25"/>
        <v>0</v>
      </c>
      <c r="AZ38" s="3">
        <f t="shared" si="25"/>
        <v>0</v>
      </c>
      <c r="BA38" s="3">
        <f t="shared" si="25"/>
        <v>0</v>
      </c>
      <c r="BB38" s="3">
        <f t="shared" si="26"/>
        <v>47530.232777519901</v>
      </c>
      <c r="BC38" s="7" t="s">
        <v>127</v>
      </c>
      <c r="BD38" s="2" t="s">
        <v>55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7" t="s">
        <v>127</v>
      </c>
      <c r="BK38" s="2" t="s">
        <v>55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7" t="s">
        <v>127</v>
      </c>
      <c r="BR38" s="2" t="s">
        <v>55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7" t="s">
        <v>127</v>
      </c>
      <c r="BY38" s="2" t="s">
        <v>55</v>
      </c>
      <c r="BZ38" s="3">
        <v>52690.410582650053</v>
      </c>
      <c r="CA38" s="3">
        <v>0</v>
      </c>
      <c r="CB38" s="3">
        <v>0</v>
      </c>
      <c r="CC38" s="3">
        <v>0</v>
      </c>
      <c r="CD38" s="3">
        <v>52690.410582650053</v>
      </c>
      <c r="CE38" s="7" t="s">
        <v>127</v>
      </c>
      <c r="CF38" s="2" t="s">
        <v>55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7" t="s">
        <v>127</v>
      </c>
      <c r="CM38" s="2" t="s">
        <v>55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7" t="s">
        <v>127</v>
      </c>
      <c r="CT38" s="2" t="s">
        <v>55</v>
      </c>
      <c r="CU38" s="3">
        <v>0</v>
      </c>
      <c r="CV38" s="3">
        <v>44067.162560933437</v>
      </c>
      <c r="CW38" s="3">
        <v>0</v>
      </c>
      <c r="CX38" s="3">
        <v>0</v>
      </c>
      <c r="CY38" s="3">
        <v>44067.162560933437</v>
      </c>
      <c r="CZ38" s="7" t="s">
        <v>127</v>
      </c>
      <c r="DA38" s="2" t="s">
        <v>55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7" t="s">
        <v>127</v>
      </c>
      <c r="DH38" s="2" t="s">
        <v>55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7" t="s">
        <v>127</v>
      </c>
      <c r="DO38" s="2" t="s">
        <v>55</v>
      </c>
      <c r="DP38" s="3">
        <v>7809.245067231861</v>
      </c>
      <c r="DQ38" s="3">
        <v>2393.6199846115069</v>
      </c>
      <c r="DR38" s="3">
        <v>0</v>
      </c>
      <c r="DS38" s="3">
        <v>0</v>
      </c>
      <c r="DT38" s="3">
        <v>10202.865051843368</v>
      </c>
      <c r="DU38" s="7" t="s">
        <v>127</v>
      </c>
      <c r="DV38" s="2" t="s">
        <v>55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7" t="s">
        <v>127</v>
      </c>
      <c r="EC38" s="2" t="s">
        <v>55</v>
      </c>
      <c r="ED38" s="3">
        <v>47530.232777519901</v>
      </c>
      <c r="EE38" s="3">
        <v>0</v>
      </c>
      <c r="EF38" s="3">
        <v>0</v>
      </c>
      <c r="EG38" s="3">
        <v>0</v>
      </c>
      <c r="EH38" s="3">
        <v>47530.232777519901</v>
      </c>
    </row>
    <row r="39" spans="1:138" ht="10.199999999999999" customHeight="1" x14ac:dyDescent="0.2">
      <c r="A39" s="7" t="s">
        <v>125</v>
      </c>
      <c r="B39" s="2" t="s">
        <v>53</v>
      </c>
      <c r="C39" s="3">
        <f t="shared" si="4"/>
        <v>0</v>
      </c>
      <c r="D39" s="3">
        <f t="shared" si="5"/>
        <v>20103.875804896204</v>
      </c>
      <c r="E39" s="3">
        <f t="shared" si="6"/>
        <v>0</v>
      </c>
      <c r="F39" s="3">
        <f t="shared" si="7"/>
        <v>306248.13927737536</v>
      </c>
      <c r="G39" s="3">
        <f t="shared" si="8"/>
        <v>740251.43088007183</v>
      </c>
      <c r="H39" s="3">
        <f t="shared" si="9"/>
        <v>0</v>
      </c>
      <c r="I39" s="3">
        <f t="shared" si="10"/>
        <v>0</v>
      </c>
      <c r="J39" s="3">
        <f t="shared" si="11"/>
        <v>0</v>
      </c>
      <c r="K39" s="3">
        <f t="shared" si="12"/>
        <v>592.77577730138864</v>
      </c>
      <c r="L39" s="3">
        <f t="shared" si="13"/>
        <v>1484.5526344528455</v>
      </c>
      <c r="M39" s="3">
        <f t="shared" si="14"/>
        <v>120149.88721649416</v>
      </c>
      <c r="N39" s="3">
        <f t="shared" si="15"/>
        <v>122988.98928228476</v>
      </c>
      <c r="O39" s="3">
        <f t="shared" si="16"/>
        <v>1311819.6508728766</v>
      </c>
      <c r="P39" s="7" t="s">
        <v>125</v>
      </c>
      <c r="Q39" s="2" t="s">
        <v>53</v>
      </c>
      <c r="R39" s="3">
        <f t="shared" si="28"/>
        <v>0</v>
      </c>
      <c r="S39" s="3">
        <f t="shared" si="28"/>
        <v>20103.875804896204</v>
      </c>
      <c r="T39" s="3">
        <f t="shared" si="28"/>
        <v>0</v>
      </c>
      <c r="U39" s="3">
        <f t="shared" si="28"/>
        <v>306248.13927737536</v>
      </c>
      <c r="V39" s="3">
        <f t="shared" si="28"/>
        <v>740251.43088007183</v>
      </c>
      <c r="W39" s="3">
        <f t="shared" si="27"/>
        <v>0</v>
      </c>
      <c r="X39" s="3">
        <f t="shared" si="27"/>
        <v>0</v>
      </c>
      <c r="Y39" s="3">
        <f t="shared" si="27"/>
        <v>0</v>
      </c>
      <c r="Z39" s="3">
        <f t="shared" si="27"/>
        <v>592.77577730138864</v>
      </c>
      <c r="AA39" s="3">
        <f t="shared" si="27"/>
        <v>1484.5526344528455</v>
      </c>
      <c r="AB39" s="3">
        <f t="shared" si="18"/>
        <v>1068680.7743740976</v>
      </c>
      <c r="AC39" s="7" t="s">
        <v>125</v>
      </c>
      <c r="AD39" s="2" t="s">
        <v>53</v>
      </c>
      <c r="AE39" s="3">
        <f t="shared" si="19"/>
        <v>120149.88721649416</v>
      </c>
      <c r="AF39" s="3">
        <f t="shared" si="19"/>
        <v>122988.98928228476</v>
      </c>
      <c r="AG39" s="3">
        <f t="shared" si="20"/>
        <v>243138.87649877893</v>
      </c>
      <c r="AH39" s="7" t="s">
        <v>125</v>
      </c>
      <c r="AI39" s="2" t="s">
        <v>53</v>
      </c>
      <c r="AJ39" s="3">
        <f t="shared" si="21"/>
        <v>517201.65567050956</v>
      </c>
      <c r="AK39" s="3">
        <f t="shared" si="21"/>
        <v>794617.99520236696</v>
      </c>
      <c r="AL39" s="3">
        <f t="shared" si="21"/>
        <v>0</v>
      </c>
      <c r="AM39" s="3">
        <f t="shared" si="21"/>
        <v>0</v>
      </c>
      <c r="AN39" s="3">
        <f t="shared" si="22"/>
        <v>1311819.6508728764</v>
      </c>
      <c r="AO39" s="7" t="s">
        <v>125</v>
      </c>
      <c r="AP39" s="2" t="s">
        <v>53</v>
      </c>
      <c r="AQ39" s="3">
        <f t="shared" si="23"/>
        <v>411939.70222810376</v>
      </c>
      <c r="AR39" s="3">
        <f t="shared" si="23"/>
        <v>656741.07214599382</v>
      </c>
      <c r="AS39" s="3">
        <f t="shared" si="23"/>
        <v>0</v>
      </c>
      <c r="AT39" s="3">
        <f t="shared" si="23"/>
        <v>0</v>
      </c>
      <c r="AU39" s="3">
        <f t="shared" si="24"/>
        <v>1068680.7743740976</v>
      </c>
      <c r="AV39" s="7" t="s">
        <v>125</v>
      </c>
      <c r="AW39" s="2" t="s">
        <v>53</v>
      </c>
      <c r="AX39" s="3">
        <f t="shared" si="25"/>
        <v>105261.95344240582</v>
      </c>
      <c r="AY39" s="3">
        <f t="shared" si="25"/>
        <v>137876.92305637311</v>
      </c>
      <c r="AZ39" s="3">
        <f t="shared" si="25"/>
        <v>0</v>
      </c>
      <c r="BA39" s="3">
        <f t="shared" si="25"/>
        <v>0</v>
      </c>
      <c r="BB39" s="3">
        <f t="shared" si="26"/>
        <v>243138.87649877893</v>
      </c>
      <c r="BC39" s="7" t="s">
        <v>125</v>
      </c>
      <c r="BD39" s="2" t="s">
        <v>53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7" t="s">
        <v>125</v>
      </c>
      <c r="BK39" s="2" t="s">
        <v>53</v>
      </c>
      <c r="BL39" s="3">
        <v>19999.408485929715</v>
      </c>
      <c r="BM39" s="3">
        <v>104.4673189664893</v>
      </c>
      <c r="BN39" s="3">
        <v>0</v>
      </c>
      <c r="BO39" s="3">
        <v>0</v>
      </c>
      <c r="BP39" s="3">
        <v>20103.875804896204</v>
      </c>
      <c r="BQ39" s="7" t="s">
        <v>125</v>
      </c>
      <c r="BR39" s="2" t="s">
        <v>53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7" t="s">
        <v>125</v>
      </c>
      <c r="BY39" s="2" t="s">
        <v>53</v>
      </c>
      <c r="BZ39" s="3">
        <v>306248.13927737536</v>
      </c>
      <c r="CA39" s="3">
        <v>0</v>
      </c>
      <c r="CB39" s="3">
        <v>0</v>
      </c>
      <c r="CC39" s="3">
        <v>0</v>
      </c>
      <c r="CD39" s="3">
        <v>306248.13927737536</v>
      </c>
      <c r="CE39" s="7" t="s">
        <v>125</v>
      </c>
      <c r="CF39" s="2" t="s">
        <v>53</v>
      </c>
      <c r="CG39" s="3">
        <v>83614.826053044468</v>
      </c>
      <c r="CH39" s="3">
        <v>656636.6048270273</v>
      </c>
      <c r="CI39" s="3">
        <v>0</v>
      </c>
      <c r="CJ39" s="3">
        <v>0</v>
      </c>
      <c r="CK39" s="3">
        <v>740251.43088007183</v>
      </c>
      <c r="CL39" s="7" t="s">
        <v>125</v>
      </c>
      <c r="CM39" s="2" t="s">
        <v>53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7" t="s">
        <v>125</v>
      </c>
      <c r="CT39" s="2" t="s">
        <v>53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7" t="s">
        <v>125</v>
      </c>
      <c r="DA39" s="2" t="s">
        <v>53</v>
      </c>
      <c r="DB39" s="3">
        <v>592.77577730138864</v>
      </c>
      <c r="DC39" s="3">
        <v>0</v>
      </c>
      <c r="DD39" s="3">
        <v>0</v>
      </c>
      <c r="DE39" s="3">
        <v>0</v>
      </c>
      <c r="DF39" s="3">
        <v>592.77577730138864</v>
      </c>
      <c r="DG39" s="7" t="s">
        <v>125</v>
      </c>
      <c r="DH39" s="2" t="s">
        <v>53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7" t="s">
        <v>125</v>
      </c>
      <c r="DO39" s="2" t="s">
        <v>53</v>
      </c>
      <c r="DP39" s="3">
        <v>1484.5526344528455</v>
      </c>
      <c r="DQ39" s="3">
        <v>0</v>
      </c>
      <c r="DR39" s="3">
        <v>0</v>
      </c>
      <c r="DS39" s="3">
        <v>0</v>
      </c>
      <c r="DT39" s="3">
        <v>1484.5526344528455</v>
      </c>
      <c r="DU39" s="7" t="s">
        <v>125</v>
      </c>
      <c r="DV39" s="2" t="s">
        <v>53</v>
      </c>
      <c r="DW39" s="3">
        <v>5569.6678560234486</v>
      </c>
      <c r="DX39" s="3">
        <v>117419.32142626132</v>
      </c>
      <c r="DY39" s="3">
        <v>0</v>
      </c>
      <c r="DZ39" s="3">
        <v>0</v>
      </c>
      <c r="EA39" s="3">
        <v>122988.98928228476</v>
      </c>
      <c r="EB39" s="7" t="s">
        <v>125</v>
      </c>
      <c r="EC39" s="2" t="s">
        <v>53</v>
      </c>
      <c r="ED39" s="3">
        <v>99692.285586382379</v>
      </c>
      <c r="EE39" s="3">
        <v>20457.601630111782</v>
      </c>
      <c r="EF39" s="3">
        <v>0</v>
      </c>
      <c r="EG39" s="3">
        <v>0</v>
      </c>
      <c r="EH39" s="3">
        <v>120149.88721649416</v>
      </c>
    </row>
    <row r="40" spans="1:138" ht="10.199999999999999" customHeight="1" x14ac:dyDescent="0.2">
      <c r="A40" s="7" t="s">
        <v>130</v>
      </c>
      <c r="B40" s="2" t="s">
        <v>58</v>
      </c>
      <c r="C40" s="3">
        <f t="shared" si="4"/>
        <v>0</v>
      </c>
      <c r="D40" s="3">
        <f t="shared" si="5"/>
        <v>330085.46964324452</v>
      </c>
      <c r="E40" s="3">
        <f t="shared" si="6"/>
        <v>6348.2106930516356</v>
      </c>
      <c r="F40" s="3">
        <f t="shared" si="7"/>
        <v>2.9018699712913691</v>
      </c>
      <c r="G40" s="3">
        <f t="shared" si="8"/>
        <v>414.50934985645682</v>
      </c>
      <c r="H40" s="3">
        <f t="shared" si="9"/>
        <v>0</v>
      </c>
      <c r="I40" s="3">
        <f t="shared" si="10"/>
        <v>94302.753007254054</v>
      </c>
      <c r="J40" s="3">
        <f t="shared" si="11"/>
        <v>0</v>
      </c>
      <c r="K40" s="3">
        <f t="shared" si="12"/>
        <v>44558.191096988725</v>
      </c>
      <c r="L40" s="3">
        <f t="shared" si="13"/>
        <v>52191188.395385131</v>
      </c>
      <c r="M40" s="3">
        <f t="shared" si="14"/>
        <v>530837.89730056445</v>
      </c>
      <c r="N40" s="3">
        <f t="shared" si="15"/>
        <v>106701359.10788196</v>
      </c>
      <c r="O40" s="3">
        <f t="shared" si="16"/>
        <v>159899097.43622804</v>
      </c>
      <c r="P40" s="7" t="s">
        <v>130</v>
      </c>
      <c r="Q40" s="2" t="s">
        <v>58</v>
      </c>
      <c r="R40" s="3">
        <f t="shared" si="28"/>
        <v>0</v>
      </c>
      <c r="S40" s="3">
        <f t="shared" si="28"/>
        <v>330085.46964324452</v>
      </c>
      <c r="T40" s="3">
        <f t="shared" si="28"/>
        <v>6348.2106930516356</v>
      </c>
      <c r="U40" s="3">
        <f t="shared" si="28"/>
        <v>2.9018699712913691</v>
      </c>
      <c r="V40" s="3">
        <f t="shared" si="28"/>
        <v>414.50934985645682</v>
      </c>
      <c r="W40" s="3">
        <f t="shared" si="27"/>
        <v>0</v>
      </c>
      <c r="X40" s="3">
        <f t="shared" si="27"/>
        <v>94302.753007254054</v>
      </c>
      <c r="Y40" s="3">
        <f t="shared" si="27"/>
        <v>0</v>
      </c>
      <c r="Z40" s="3">
        <f t="shared" si="27"/>
        <v>44558.191096988725</v>
      </c>
      <c r="AA40" s="3">
        <f t="shared" si="27"/>
        <v>52191188.395385131</v>
      </c>
      <c r="AB40" s="3">
        <f t="shared" si="18"/>
        <v>52666900.431045495</v>
      </c>
      <c r="AC40" s="7" t="s">
        <v>130</v>
      </c>
      <c r="AD40" s="2" t="s">
        <v>58</v>
      </c>
      <c r="AE40" s="3">
        <f t="shared" si="19"/>
        <v>530837.89730056445</v>
      </c>
      <c r="AF40" s="3">
        <f t="shared" si="19"/>
        <v>106701359.10788196</v>
      </c>
      <c r="AG40" s="3">
        <f t="shared" si="20"/>
        <v>107232197.00518253</v>
      </c>
      <c r="AH40" s="7" t="s">
        <v>130</v>
      </c>
      <c r="AI40" s="2" t="s">
        <v>58</v>
      </c>
      <c r="AJ40" s="3">
        <f t="shared" si="21"/>
        <v>171557.54185916434</v>
      </c>
      <c r="AK40" s="3">
        <f t="shared" si="21"/>
        <v>851985.83864109055</v>
      </c>
      <c r="AL40" s="3">
        <f t="shared" si="21"/>
        <v>189331.36151604072</v>
      </c>
      <c r="AM40" s="3">
        <f t="shared" si="21"/>
        <v>158686222.69421172</v>
      </c>
      <c r="AN40" s="3">
        <f t="shared" si="22"/>
        <v>159899097.43622801</v>
      </c>
      <c r="AO40" s="7" t="s">
        <v>130</v>
      </c>
      <c r="AP40" s="2" t="s">
        <v>58</v>
      </c>
      <c r="AQ40" s="3">
        <f t="shared" si="23"/>
        <v>23580.137035033276</v>
      </c>
      <c r="AR40" s="3">
        <f t="shared" si="23"/>
        <v>454680.18643296877</v>
      </c>
      <c r="AS40" s="3">
        <f t="shared" si="23"/>
        <v>0</v>
      </c>
      <c r="AT40" s="3">
        <f t="shared" si="23"/>
        <v>52188640.107577495</v>
      </c>
      <c r="AU40" s="3">
        <f t="shared" si="24"/>
        <v>52666900.431045495</v>
      </c>
      <c r="AV40" s="7" t="s">
        <v>130</v>
      </c>
      <c r="AW40" s="2" t="s">
        <v>58</v>
      </c>
      <c r="AX40" s="3">
        <f t="shared" si="25"/>
        <v>147977.40482413105</v>
      </c>
      <c r="AY40" s="3">
        <f t="shared" si="25"/>
        <v>397305.65220812184</v>
      </c>
      <c r="AZ40" s="3">
        <f t="shared" si="25"/>
        <v>189331.36151604072</v>
      </c>
      <c r="BA40" s="3">
        <f t="shared" si="25"/>
        <v>106497582.58663423</v>
      </c>
      <c r="BB40" s="3">
        <f t="shared" si="26"/>
        <v>107232197.00518253</v>
      </c>
      <c r="BC40" s="7" t="s">
        <v>130</v>
      </c>
      <c r="BD40" s="2" t="s">
        <v>58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7" t="s">
        <v>130</v>
      </c>
      <c r="BK40" s="2" t="s">
        <v>58</v>
      </c>
      <c r="BL40" s="3">
        <v>1036.273374641142</v>
      </c>
      <c r="BM40" s="3">
        <v>329049.19626860338</v>
      </c>
      <c r="BN40" s="3">
        <v>0</v>
      </c>
      <c r="BO40" s="3">
        <v>0</v>
      </c>
      <c r="BP40" s="3">
        <v>330085.46964324452</v>
      </c>
      <c r="BQ40" s="7" t="s">
        <v>130</v>
      </c>
      <c r="BR40" s="2" t="s">
        <v>58</v>
      </c>
      <c r="BS40" s="3">
        <v>0</v>
      </c>
      <c r="BT40" s="3">
        <v>0</v>
      </c>
      <c r="BU40" s="3">
        <v>0</v>
      </c>
      <c r="BV40" s="3">
        <v>6348.2106930516356</v>
      </c>
      <c r="BW40" s="3">
        <v>6348.2106930516356</v>
      </c>
      <c r="BX40" s="7" t="s">
        <v>130</v>
      </c>
      <c r="BY40" s="2" t="s">
        <v>58</v>
      </c>
      <c r="BZ40" s="3">
        <v>2.9018699712913691</v>
      </c>
      <c r="CA40" s="3">
        <v>0</v>
      </c>
      <c r="CB40" s="3">
        <v>0</v>
      </c>
      <c r="CC40" s="3">
        <v>0</v>
      </c>
      <c r="CD40" s="3">
        <v>2.9018699712913691</v>
      </c>
      <c r="CE40" s="7" t="s">
        <v>130</v>
      </c>
      <c r="CF40" s="2" t="s">
        <v>58</v>
      </c>
      <c r="CG40" s="3">
        <v>414.50934985645682</v>
      </c>
      <c r="CH40" s="3">
        <v>0</v>
      </c>
      <c r="CI40" s="3">
        <v>0</v>
      </c>
      <c r="CJ40" s="3">
        <v>0</v>
      </c>
      <c r="CK40" s="3">
        <v>414.50934985645682</v>
      </c>
      <c r="CL40" s="7" t="s">
        <v>130</v>
      </c>
      <c r="CM40" s="2" t="s">
        <v>58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7" t="s">
        <v>130</v>
      </c>
      <c r="CT40" s="2" t="s">
        <v>58</v>
      </c>
      <c r="CU40" s="3">
        <v>13016.88413723532</v>
      </c>
      <c r="CV40" s="3">
        <v>81285.868870018734</v>
      </c>
      <c r="CW40" s="3">
        <v>0</v>
      </c>
      <c r="CX40" s="3">
        <v>0</v>
      </c>
      <c r="CY40" s="3">
        <v>94302.753007254054</v>
      </c>
      <c r="CZ40" s="7" t="s">
        <v>130</v>
      </c>
      <c r="DA40" s="2" t="s">
        <v>58</v>
      </c>
      <c r="DB40" s="3">
        <v>213.06980264206879</v>
      </c>
      <c r="DC40" s="3">
        <v>44345.121294346653</v>
      </c>
      <c r="DD40" s="3">
        <v>0</v>
      </c>
      <c r="DE40" s="3">
        <v>0</v>
      </c>
      <c r="DF40" s="3">
        <v>44558.191096988725</v>
      </c>
      <c r="DG40" s="7" t="s">
        <v>130</v>
      </c>
      <c r="DH40" s="2" t="s">
        <v>58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7" t="s">
        <v>130</v>
      </c>
      <c r="DO40" s="2" t="s">
        <v>58</v>
      </c>
      <c r="DP40" s="3">
        <v>8896.4985006869974</v>
      </c>
      <c r="DQ40" s="3">
        <v>0</v>
      </c>
      <c r="DR40" s="3">
        <v>0</v>
      </c>
      <c r="DS40" s="3">
        <v>52182291.896884441</v>
      </c>
      <c r="DT40" s="3">
        <v>52191188.395385131</v>
      </c>
      <c r="DU40" s="7" t="s">
        <v>130</v>
      </c>
      <c r="DV40" s="2" t="s">
        <v>58</v>
      </c>
      <c r="DW40" s="3">
        <v>14480.562545338205</v>
      </c>
      <c r="DX40" s="3">
        <v>0</v>
      </c>
      <c r="DY40" s="3">
        <v>189295.95870239096</v>
      </c>
      <c r="DZ40" s="3">
        <v>106497582.58663423</v>
      </c>
      <c r="EA40" s="3">
        <v>106701359.10788196</v>
      </c>
      <c r="EB40" s="7" t="s">
        <v>130</v>
      </c>
      <c r="EC40" s="2" t="s">
        <v>58</v>
      </c>
      <c r="ED40" s="3">
        <v>133496.84227879284</v>
      </c>
      <c r="EE40" s="3">
        <v>397305.65220812184</v>
      </c>
      <c r="EF40" s="3">
        <v>35.402813649754705</v>
      </c>
      <c r="EG40" s="3">
        <v>0</v>
      </c>
      <c r="EH40" s="3">
        <v>530837.89730056445</v>
      </c>
    </row>
    <row r="41" spans="1:138" ht="10.199999999999999" customHeight="1" x14ac:dyDescent="0.2">
      <c r="A41" s="7" t="s">
        <v>122</v>
      </c>
      <c r="B41" s="2" t="s">
        <v>50</v>
      </c>
      <c r="C41" s="3">
        <f t="shared" si="4"/>
        <v>0</v>
      </c>
      <c r="D41" s="3">
        <f t="shared" si="5"/>
        <v>1771.6593759349098</v>
      </c>
      <c r="E41" s="3">
        <f t="shared" si="6"/>
        <v>0</v>
      </c>
      <c r="F41" s="3">
        <f t="shared" si="7"/>
        <v>1172.1312619464527</v>
      </c>
      <c r="G41" s="3">
        <f t="shared" si="8"/>
        <v>137.1990743641546</v>
      </c>
      <c r="H41" s="3">
        <f t="shared" si="9"/>
        <v>0</v>
      </c>
      <c r="I41" s="3">
        <f t="shared" si="10"/>
        <v>0</v>
      </c>
      <c r="J41" s="3">
        <f t="shared" si="11"/>
        <v>0</v>
      </c>
      <c r="K41" s="3">
        <f t="shared" si="12"/>
        <v>102.36358944625916</v>
      </c>
      <c r="L41" s="3">
        <f t="shared" si="13"/>
        <v>6426.8178375267589</v>
      </c>
      <c r="M41" s="3">
        <f t="shared" si="14"/>
        <v>154473.35722521599</v>
      </c>
      <c r="N41" s="3">
        <f t="shared" si="15"/>
        <v>0</v>
      </c>
      <c r="O41" s="3">
        <f t="shared" si="16"/>
        <v>164083.52836443452</v>
      </c>
      <c r="P41" s="7" t="s">
        <v>122</v>
      </c>
      <c r="Q41" s="2" t="s">
        <v>50</v>
      </c>
      <c r="R41" s="3">
        <f t="shared" si="28"/>
        <v>0</v>
      </c>
      <c r="S41" s="3">
        <f t="shared" si="28"/>
        <v>1771.6593759349098</v>
      </c>
      <c r="T41" s="3">
        <f t="shared" si="28"/>
        <v>0</v>
      </c>
      <c r="U41" s="3">
        <f t="shared" si="28"/>
        <v>1172.1312619464527</v>
      </c>
      <c r="V41" s="3">
        <f t="shared" si="28"/>
        <v>137.1990743641546</v>
      </c>
      <c r="W41" s="3">
        <f t="shared" si="27"/>
        <v>0</v>
      </c>
      <c r="X41" s="3">
        <f t="shared" si="27"/>
        <v>0</v>
      </c>
      <c r="Y41" s="3">
        <f t="shared" si="27"/>
        <v>0</v>
      </c>
      <c r="Z41" s="3">
        <f t="shared" si="27"/>
        <v>102.36358944625916</v>
      </c>
      <c r="AA41" s="3">
        <f t="shared" si="27"/>
        <v>6426.8178375267589</v>
      </c>
      <c r="AB41" s="3">
        <f t="shared" si="18"/>
        <v>9610.1711392185352</v>
      </c>
      <c r="AC41" s="7" t="s">
        <v>122</v>
      </c>
      <c r="AD41" s="2" t="s">
        <v>50</v>
      </c>
      <c r="AE41" s="3">
        <f t="shared" si="19"/>
        <v>154473.35722521599</v>
      </c>
      <c r="AF41" s="3">
        <f t="shared" si="19"/>
        <v>0</v>
      </c>
      <c r="AG41" s="3">
        <f t="shared" si="20"/>
        <v>154473.35722521599</v>
      </c>
      <c r="AH41" s="7" t="s">
        <v>122</v>
      </c>
      <c r="AI41" s="2" t="s">
        <v>50</v>
      </c>
      <c r="AJ41" s="3">
        <f t="shared" si="21"/>
        <v>30091.44724663765</v>
      </c>
      <c r="AK41" s="3">
        <f t="shared" si="21"/>
        <v>133992.08111779686</v>
      </c>
      <c r="AL41" s="3">
        <f t="shared" si="21"/>
        <v>0</v>
      </c>
      <c r="AM41" s="3">
        <f t="shared" si="21"/>
        <v>0</v>
      </c>
      <c r="AN41" s="3">
        <f t="shared" si="22"/>
        <v>164083.52836443452</v>
      </c>
      <c r="AO41" s="7" t="s">
        <v>122</v>
      </c>
      <c r="AP41" s="2" t="s">
        <v>50</v>
      </c>
      <c r="AQ41" s="3">
        <f t="shared" si="23"/>
        <v>9471.8206499936678</v>
      </c>
      <c r="AR41" s="3">
        <f t="shared" si="23"/>
        <v>138.35048922486698</v>
      </c>
      <c r="AS41" s="3">
        <f t="shared" si="23"/>
        <v>0</v>
      </c>
      <c r="AT41" s="3">
        <f t="shared" si="23"/>
        <v>0</v>
      </c>
      <c r="AU41" s="3">
        <f t="shared" si="24"/>
        <v>9610.1711392185352</v>
      </c>
      <c r="AV41" s="7" t="s">
        <v>122</v>
      </c>
      <c r="AW41" s="2" t="s">
        <v>50</v>
      </c>
      <c r="AX41" s="3">
        <f t="shared" si="25"/>
        <v>20619.626596643982</v>
      </c>
      <c r="AY41" s="3">
        <f t="shared" si="25"/>
        <v>133853.730628572</v>
      </c>
      <c r="AZ41" s="3">
        <f t="shared" si="25"/>
        <v>0</v>
      </c>
      <c r="BA41" s="3">
        <f t="shared" si="25"/>
        <v>0</v>
      </c>
      <c r="BB41" s="3">
        <f t="shared" si="26"/>
        <v>154473.35722521599</v>
      </c>
      <c r="BC41" s="7" t="s">
        <v>122</v>
      </c>
      <c r="BD41" s="2" t="s">
        <v>50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7" t="s">
        <v>122</v>
      </c>
      <c r="BK41" s="2" t="s">
        <v>50</v>
      </c>
      <c r="BL41" s="3">
        <v>1771.6593759349098</v>
      </c>
      <c r="BM41" s="3">
        <v>0</v>
      </c>
      <c r="BN41" s="3">
        <v>0</v>
      </c>
      <c r="BO41" s="3">
        <v>0</v>
      </c>
      <c r="BP41" s="3">
        <v>1771.6593759349098</v>
      </c>
      <c r="BQ41" s="7" t="s">
        <v>122</v>
      </c>
      <c r="BR41" s="2" t="s">
        <v>50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7" t="s">
        <v>122</v>
      </c>
      <c r="BY41" s="2" t="s">
        <v>50</v>
      </c>
      <c r="BZ41" s="3">
        <v>1172.1312619464527</v>
      </c>
      <c r="CA41" s="3">
        <v>0</v>
      </c>
      <c r="CB41" s="3">
        <v>0</v>
      </c>
      <c r="CC41" s="3">
        <v>0</v>
      </c>
      <c r="CD41" s="3">
        <v>1172.1312619464527</v>
      </c>
      <c r="CE41" s="7" t="s">
        <v>122</v>
      </c>
      <c r="CF41" s="2" t="s">
        <v>50</v>
      </c>
      <c r="CG41" s="3">
        <v>61.024987617756146</v>
      </c>
      <c r="CH41" s="3">
        <v>76.174086746398444</v>
      </c>
      <c r="CI41" s="3">
        <v>0</v>
      </c>
      <c r="CJ41" s="3">
        <v>0</v>
      </c>
      <c r="CK41" s="3">
        <v>137.1990743641546</v>
      </c>
      <c r="CL41" s="7" t="s">
        <v>122</v>
      </c>
      <c r="CM41" s="2" t="s">
        <v>50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7" t="s">
        <v>122</v>
      </c>
      <c r="CT41" s="2" t="s">
        <v>50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7" t="s">
        <v>122</v>
      </c>
      <c r="DA41" s="2" t="s">
        <v>50</v>
      </c>
      <c r="DB41" s="3">
        <v>102.36358944625916</v>
      </c>
      <c r="DC41" s="3">
        <v>0</v>
      </c>
      <c r="DD41" s="3">
        <v>0</v>
      </c>
      <c r="DE41" s="3">
        <v>0</v>
      </c>
      <c r="DF41" s="3">
        <v>102.36358944625916</v>
      </c>
      <c r="DG41" s="7" t="s">
        <v>122</v>
      </c>
      <c r="DH41" s="2" t="s">
        <v>50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7" t="s">
        <v>122</v>
      </c>
      <c r="DO41" s="2" t="s">
        <v>50</v>
      </c>
      <c r="DP41" s="3">
        <v>6364.6414350482901</v>
      </c>
      <c r="DQ41" s="3">
        <v>62.176402478468525</v>
      </c>
      <c r="DR41" s="3">
        <v>0</v>
      </c>
      <c r="DS41" s="3">
        <v>0</v>
      </c>
      <c r="DT41" s="3">
        <v>6426.8178375267589</v>
      </c>
      <c r="DU41" s="7" t="s">
        <v>122</v>
      </c>
      <c r="DV41" s="2" t="s">
        <v>50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7" t="s">
        <v>122</v>
      </c>
      <c r="EC41" s="2" t="s">
        <v>50</v>
      </c>
      <c r="ED41" s="3">
        <v>20619.626596643982</v>
      </c>
      <c r="EE41" s="3">
        <v>133853.730628572</v>
      </c>
      <c r="EF41" s="3">
        <v>0</v>
      </c>
      <c r="EG41" s="3">
        <v>0</v>
      </c>
      <c r="EH41" s="3">
        <v>154473.35722521599</v>
      </c>
    </row>
    <row r="42" spans="1:138" ht="10.199999999999999" customHeight="1" x14ac:dyDescent="0.2">
      <c r="A42" s="8"/>
      <c r="B42" s="4" t="s">
        <v>59</v>
      </c>
      <c r="C42" s="3">
        <f>SUM(C4:C41)</f>
        <v>271003.53952573863</v>
      </c>
      <c r="D42" s="3">
        <f t="shared" ref="D42:O42" si="29">SUM(D4:D41)</f>
        <v>7951321.7661040882</v>
      </c>
      <c r="E42" s="3">
        <f t="shared" si="29"/>
        <v>496290167.63635004</v>
      </c>
      <c r="F42" s="3">
        <f t="shared" si="29"/>
        <v>23583767.47594605</v>
      </c>
      <c r="G42" s="3">
        <f t="shared" si="29"/>
        <v>4597503.3693123655</v>
      </c>
      <c r="H42" s="3">
        <f t="shared" si="29"/>
        <v>167138369.15503347</v>
      </c>
      <c r="I42" s="3">
        <f t="shared" si="29"/>
        <v>17334441.830219053</v>
      </c>
      <c r="J42" s="3">
        <f t="shared" si="29"/>
        <v>357458074.72189617</v>
      </c>
      <c r="K42" s="3">
        <f t="shared" si="29"/>
        <v>18431216.423101656</v>
      </c>
      <c r="L42" s="3">
        <f t="shared" si="29"/>
        <v>70126563.019738734</v>
      </c>
      <c r="M42" s="3">
        <f t="shared" si="29"/>
        <v>53632544.368263498</v>
      </c>
      <c r="N42" s="3">
        <f t="shared" si="29"/>
        <v>459935313.82507974</v>
      </c>
      <c r="O42" s="3">
        <f t="shared" si="29"/>
        <v>1676750287.1305709</v>
      </c>
      <c r="P42" s="8"/>
      <c r="Q42" s="4" t="s">
        <v>59</v>
      </c>
      <c r="R42" s="3">
        <f>SUM(R4:R41)</f>
        <v>271003.53952573863</v>
      </c>
      <c r="S42" s="3">
        <f t="shared" ref="S42:AB42" si="30">SUM(S4:S41)</f>
        <v>7951321.7661040882</v>
      </c>
      <c r="T42" s="3">
        <f t="shared" si="30"/>
        <v>496290167.63635004</v>
      </c>
      <c r="U42" s="3">
        <f t="shared" si="30"/>
        <v>23583767.47594605</v>
      </c>
      <c r="V42" s="3">
        <f t="shared" si="30"/>
        <v>4597503.3693123655</v>
      </c>
      <c r="W42" s="3">
        <f t="shared" si="30"/>
        <v>167138369.15503347</v>
      </c>
      <c r="X42" s="3">
        <f t="shared" si="30"/>
        <v>17334441.830219053</v>
      </c>
      <c r="Y42" s="3">
        <f t="shared" si="30"/>
        <v>357458074.72189617</v>
      </c>
      <c r="Z42" s="3">
        <f t="shared" si="30"/>
        <v>18431216.423101656</v>
      </c>
      <c r="AA42" s="3">
        <f t="shared" si="30"/>
        <v>70126563.019738734</v>
      </c>
      <c r="AB42" s="3">
        <f t="shared" si="30"/>
        <v>1163182428.937227</v>
      </c>
      <c r="AC42" s="8"/>
      <c r="AD42" s="4" t="s">
        <v>59</v>
      </c>
      <c r="AE42" s="3">
        <f>SUM(AE4:AE41)</f>
        <v>53632544.368263498</v>
      </c>
      <c r="AF42" s="3">
        <f t="shared" ref="AF42:AG42" si="31">SUM(AF4:AF41)</f>
        <v>459935313.82507974</v>
      </c>
      <c r="AG42" s="3">
        <f t="shared" si="31"/>
        <v>513567858.19334322</v>
      </c>
      <c r="AH42" s="8"/>
      <c r="AI42" s="4" t="s">
        <v>59</v>
      </c>
      <c r="AJ42" s="3">
        <f>SUM(AJ4:AJ41)</f>
        <v>69517014.768643141</v>
      </c>
      <c r="AK42" s="3">
        <f t="shared" ref="AK42:AN42" si="32">SUM(AK4:AK41)</f>
        <v>115790678.86948647</v>
      </c>
      <c r="AL42" s="3">
        <f t="shared" si="32"/>
        <v>208829105.6456027</v>
      </c>
      <c r="AM42" s="3">
        <f t="shared" si="32"/>
        <v>1282613487.8468385</v>
      </c>
      <c r="AN42" s="3">
        <f t="shared" si="32"/>
        <v>1676750287.1305709</v>
      </c>
      <c r="AO42" s="8"/>
      <c r="AP42" s="4" t="s">
        <v>59</v>
      </c>
      <c r="AQ42" s="3">
        <f>SUM(AQ4:AQ41)</f>
        <v>43273966.694002673</v>
      </c>
      <c r="AR42" s="3">
        <f t="shared" ref="AR42:AU42" si="33">SUM(AR4:AR41)</f>
        <v>55033044.021600008</v>
      </c>
      <c r="AS42" s="3">
        <f t="shared" si="33"/>
        <v>110570982.86660509</v>
      </c>
      <c r="AT42" s="3">
        <f t="shared" si="33"/>
        <v>954304435.35501981</v>
      </c>
      <c r="AU42" s="3">
        <f t="shared" si="33"/>
        <v>1163182428.9372272</v>
      </c>
      <c r="AV42" s="8"/>
      <c r="AW42" s="4" t="s">
        <v>59</v>
      </c>
      <c r="AX42" s="3">
        <f>SUM(AX4:AX41)</f>
        <v>26243048.07464046</v>
      </c>
      <c r="AY42" s="3">
        <f t="shared" ref="AY42:BB42" si="34">SUM(AY4:AY41)</f>
        <v>60757634.847886451</v>
      </c>
      <c r="AZ42" s="3">
        <f t="shared" si="34"/>
        <v>98258122.77899766</v>
      </c>
      <c r="BA42" s="3">
        <f t="shared" si="34"/>
        <v>328309052.49181867</v>
      </c>
      <c r="BB42" s="3">
        <f t="shared" si="34"/>
        <v>513567858.19334322</v>
      </c>
      <c r="BC42" s="8"/>
      <c r="BD42" s="4" t="s">
        <v>59</v>
      </c>
      <c r="BE42" s="3">
        <v>117265.65896148545</v>
      </c>
      <c r="BF42" s="3">
        <v>104679.29568229066</v>
      </c>
      <c r="BG42" s="3">
        <v>49058.584881962452</v>
      </c>
      <c r="BH42" s="3">
        <v>0</v>
      </c>
      <c r="BI42" s="3">
        <v>271003.53952573863</v>
      </c>
      <c r="BJ42" s="8"/>
      <c r="BK42" s="4" t="s">
        <v>59</v>
      </c>
      <c r="BL42" s="3">
        <v>431277.18276104698</v>
      </c>
      <c r="BM42" s="3">
        <v>1215055.8572673576</v>
      </c>
      <c r="BN42" s="3">
        <v>1444375.4054291458</v>
      </c>
      <c r="BO42" s="3">
        <v>4860613.3206465365</v>
      </c>
      <c r="BP42" s="3">
        <v>7951321.7661040882</v>
      </c>
      <c r="BQ42" s="8"/>
      <c r="BR42" s="4" t="s">
        <v>59</v>
      </c>
      <c r="BS42" s="3">
        <v>7684937.4459546888</v>
      </c>
      <c r="BT42" s="3">
        <v>28573298.392601617</v>
      </c>
      <c r="BU42" s="3">
        <v>11084477.461968087</v>
      </c>
      <c r="BV42" s="3">
        <v>448947454.33582574</v>
      </c>
      <c r="BW42" s="3">
        <v>496290167.63635004</v>
      </c>
      <c r="BX42" s="8"/>
      <c r="BY42" s="4" t="s">
        <v>59</v>
      </c>
      <c r="BZ42" s="3">
        <v>3341880.0311898622</v>
      </c>
      <c r="CA42" s="3">
        <v>7133299.3116032099</v>
      </c>
      <c r="CB42" s="3">
        <v>6977274.638780606</v>
      </c>
      <c r="CC42" s="3">
        <v>6131313.4943723716</v>
      </c>
      <c r="CD42" s="3">
        <v>23583767.47594605</v>
      </c>
      <c r="CE42" s="8"/>
      <c r="CF42" s="4" t="s">
        <v>59</v>
      </c>
      <c r="CG42" s="3">
        <v>1087972.1806053862</v>
      </c>
      <c r="CH42" s="3">
        <v>3284266.1728463243</v>
      </c>
      <c r="CI42" s="3">
        <v>161371.17296901243</v>
      </c>
      <c r="CJ42" s="3">
        <v>63893.842891642169</v>
      </c>
      <c r="CK42" s="3">
        <v>4597503.3693123655</v>
      </c>
      <c r="CL42" s="8"/>
      <c r="CM42" s="4" t="s">
        <v>59</v>
      </c>
      <c r="CN42" s="3">
        <v>0</v>
      </c>
      <c r="CO42" s="3">
        <v>0</v>
      </c>
      <c r="CP42" s="3">
        <v>74776135.711594224</v>
      </c>
      <c r="CQ42" s="3">
        <v>92362233.443439275</v>
      </c>
      <c r="CR42" s="3">
        <v>167138369.15503347</v>
      </c>
      <c r="CS42" s="8"/>
      <c r="CT42" s="4" t="s">
        <v>59</v>
      </c>
      <c r="CU42" s="3">
        <v>6209708.6031824052</v>
      </c>
      <c r="CV42" s="3">
        <v>4666099.8786606034</v>
      </c>
      <c r="CW42" s="3">
        <v>6458633.3483760515</v>
      </c>
      <c r="CX42" s="3">
        <v>0</v>
      </c>
      <c r="CY42" s="3">
        <v>17334441.830219053</v>
      </c>
      <c r="CZ42" s="8"/>
      <c r="DA42" s="4" t="s">
        <v>59</v>
      </c>
      <c r="DB42" s="3">
        <v>1969270.8938727775</v>
      </c>
      <c r="DC42" s="3">
        <v>5326704.6530616591</v>
      </c>
      <c r="DD42" s="3">
        <v>3810274.3832154665</v>
      </c>
      <c r="DE42" s="3">
        <v>7324966.4929517554</v>
      </c>
      <c r="DF42" s="3">
        <v>18431216.423101656</v>
      </c>
      <c r="DG42" s="8"/>
      <c r="DH42" s="4" t="s">
        <v>59</v>
      </c>
      <c r="DI42" s="3">
        <v>19988366.154936623</v>
      </c>
      <c r="DJ42" s="3">
        <v>271916.19268865458</v>
      </c>
      <c r="DK42" s="3">
        <v>4567422.5850976873</v>
      </c>
      <c r="DL42" s="3">
        <v>332630369.78917313</v>
      </c>
      <c r="DM42" s="3">
        <v>357458074.72189617</v>
      </c>
      <c r="DN42" s="8"/>
      <c r="DO42" s="4" t="s">
        <v>59</v>
      </c>
      <c r="DP42" s="3">
        <v>2443288.5425384045</v>
      </c>
      <c r="DQ42" s="3">
        <v>4457724.2671882957</v>
      </c>
      <c r="DR42" s="3">
        <v>1241959.5742928365</v>
      </c>
      <c r="DS42" s="3">
        <v>61983590.635719202</v>
      </c>
      <c r="DT42" s="3">
        <v>70126563.019738734</v>
      </c>
      <c r="DU42" s="8"/>
      <c r="DV42" s="4" t="s">
        <v>59</v>
      </c>
      <c r="DW42" s="3">
        <v>9838735.4117340893</v>
      </c>
      <c r="DX42" s="3">
        <v>25376478.004355684</v>
      </c>
      <c r="DY42" s="3">
        <v>96411428.787605017</v>
      </c>
      <c r="DZ42" s="3">
        <v>328308671.62138492</v>
      </c>
      <c r="EA42" s="3">
        <v>459935313.82507974</v>
      </c>
      <c r="EB42" s="8"/>
      <c r="EC42" s="4" t="s">
        <v>59</v>
      </c>
      <c r="ED42" s="3">
        <v>16404312.662906369</v>
      </c>
      <c r="EE42" s="3">
        <v>35381156.843530767</v>
      </c>
      <c r="EF42" s="3">
        <v>1846693.9913926322</v>
      </c>
      <c r="EG42" s="3">
        <v>380.87043373199225</v>
      </c>
      <c r="EH42" s="3">
        <v>53632544.368263498</v>
      </c>
    </row>
    <row r="43" spans="1:138" ht="10.199999999999999" customHeight="1" x14ac:dyDescent="0.2">
      <c r="O43" s="1">
        <f>AB42+AG42</f>
        <v>1676750287.1305702</v>
      </c>
      <c r="AJ43" s="5"/>
      <c r="AK43" s="5"/>
      <c r="AN43" s="1">
        <f>O42</f>
        <v>1676750287.1305709</v>
      </c>
      <c r="AQ43" s="5"/>
      <c r="AR43" s="5"/>
      <c r="AU43" s="1">
        <f>AB42</f>
        <v>1163182428.937227</v>
      </c>
      <c r="AX43" s="5"/>
      <c r="AY43" s="5"/>
      <c r="BB43" s="1">
        <f>AG42</f>
        <v>513567858.19334322</v>
      </c>
      <c r="BE43" s="5"/>
      <c r="BF43" s="5"/>
      <c r="BL43" s="5"/>
      <c r="BM43" s="5"/>
      <c r="BS43" s="5"/>
      <c r="BT43" s="5"/>
      <c r="BZ43" s="5"/>
      <c r="CA43" s="5"/>
      <c r="CG43" s="5"/>
      <c r="CH43" s="5"/>
      <c r="CN43" s="5"/>
      <c r="CO43" s="5"/>
      <c r="CU43" s="5"/>
      <c r="CV43" s="5"/>
      <c r="DB43" s="5"/>
      <c r="DC43" s="5"/>
      <c r="DI43" s="5"/>
      <c r="DJ43" s="5"/>
      <c r="DP43" s="5"/>
      <c r="DQ43" s="5"/>
      <c r="DW43" s="5"/>
      <c r="DX43" s="5"/>
      <c r="ED43" s="5"/>
      <c r="EE43" s="5"/>
    </row>
    <row r="44" spans="1:138" ht="10.199999999999999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E44" s="6"/>
      <c r="AF44" s="6"/>
      <c r="AG44" s="6"/>
    </row>
    <row r="46" spans="1:138" ht="10.199999999999999" customHeight="1" x14ac:dyDescent="0.2">
      <c r="AN46" s="5"/>
      <c r="AU46" s="5"/>
      <c r="BB46" s="5"/>
      <c r="BI46" s="5"/>
      <c r="BP46" s="5"/>
      <c r="BW46" s="5"/>
      <c r="CD46" s="5"/>
      <c r="CK46" s="5"/>
      <c r="CR46" s="5"/>
      <c r="CY46" s="5"/>
      <c r="DF46" s="5"/>
      <c r="DM46" s="5"/>
      <c r="DT46" s="5"/>
      <c r="EA46" s="5"/>
      <c r="EH46" s="5"/>
    </row>
    <row r="47" spans="1:138" ht="10.199999999999999" customHeight="1" x14ac:dyDescent="0.25">
      <c r="B47" s="18" t="str">
        <f>A1</f>
        <v>Tabel 55 Jumlah Hasil Produksi (Kg) berdasarkan Jenis Kegiatan</v>
      </c>
      <c r="AN47" s="5"/>
      <c r="AU47" s="5"/>
      <c r="BB47" s="5"/>
      <c r="BI47" s="5"/>
      <c r="BP47" s="5"/>
      <c r="BW47" s="5"/>
      <c r="CD47" s="5"/>
      <c r="CK47" s="5"/>
      <c r="CR47" s="5"/>
      <c r="CY47" s="5"/>
      <c r="DF47" s="5"/>
      <c r="DM47" s="5"/>
      <c r="DT47" s="5"/>
      <c r="EA47" s="5"/>
      <c r="EH47" s="5"/>
    </row>
    <row r="48" spans="1:138" ht="10.199999999999999" customHeight="1" x14ac:dyDescent="0.25">
      <c r="B48" s="18" t="str">
        <f>P1</f>
        <v>Tabel 56 Jumlah Hasil Produksi (Kg) berdasarkan Jenis Kegiatan Pengolahan</v>
      </c>
    </row>
    <row r="49" spans="2:2" ht="10.199999999999999" customHeight="1" x14ac:dyDescent="0.25">
      <c r="B49" s="18" t="str">
        <f>AC1</f>
        <v>Tabel 57 Jumlah Hasil Produksi (Kg) berdasarkan Jenis Kegiatan Pemasaran</v>
      </c>
    </row>
    <row r="50" spans="2:2" ht="10.199999999999999" customHeight="1" x14ac:dyDescent="0.25">
      <c r="B50" s="18" t="str">
        <f>AH1</f>
        <v xml:space="preserve">Tabel 58 Jumlah Hasil Produksi (Kg) berdasarkan Skala Usaha </v>
      </c>
    </row>
    <row r="51" spans="2:2" ht="10.199999999999999" customHeight="1" x14ac:dyDescent="0.25">
      <c r="B51" s="18" t="str">
        <f>AO1</f>
        <v>Tabel 59 Jumlah Hasil Produksi (Kg) berdasarkan Skala Usaha pada Kegiatan Pengolahan</v>
      </c>
    </row>
    <row r="52" spans="2:2" ht="10.199999999999999" customHeight="1" x14ac:dyDescent="0.25">
      <c r="B52" s="18" t="str">
        <f>AV1</f>
        <v>Tabel 60 Jumlah Hasil Produksi (Kg) berdasarkan Skala Usaha pada Kegiatan Pemasaran</v>
      </c>
    </row>
    <row r="53" spans="2:2" ht="10.199999999999999" customHeight="1" x14ac:dyDescent="0.25">
      <c r="B53" s="18" t="str">
        <f>BC1</f>
        <v xml:space="preserve">Tabel 61 Jumlah Hasil Produksi (Kg) berdasarkan Skala Usaha pada Jenis Kegiatan Fermentasi </v>
      </c>
    </row>
    <row r="54" spans="2:2" ht="10.199999999999999" customHeight="1" x14ac:dyDescent="0.25">
      <c r="B54" s="18" t="str">
        <f>BJ1</f>
        <v xml:space="preserve">Tabel 62 Jumlah Hasil Produksi (Kg) berdasarkan Skala Usaha pada Jenis Kegiatan Pelumatan Daging Ikan </v>
      </c>
    </row>
    <row r="55" spans="2:2" ht="10.199999999999999" customHeight="1" x14ac:dyDescent="0.25">
      <c r="B55" s="18" t="str">
        <f>BQ1</f>
        <v xml:space="preserve">Tabel 63 Jumlah Hasil Produksi (Kg) berdasarkan Skala Usaha pada Jenis Kegiatan Pembekuan </v>
      </c>
    </row>
    <row r="56" spans="2:2" ht="10.199999999999999" customHeight="1" x14ac:dyDescent="0.25">
      <c r="B56" s="18" t="str">
        <f>BX1</f>
        <v xml:space="preserve">Tabel 64 Jumlah Hasil Produksi (Kg) berdasarkan Skala Usaha pada Jenis Kegiatan Pemindangan </v>
      </c>
    </row>
    <row r="57" spans="2:2" ht="10.199999999999999" customHeight="1" x14ac:dyDescent="0.25">
      <c r="B57" s="18" t="str">
        <f>CE1</f>
        <v xml:space="preserve">Tabel 65 Jumlah Hasil Produksi (Kg) berdasarkan Skala Usaha pada Jenis Kegiatan Penanganan Produk Segar  </v>
      </c>
    </row>
    <row r="58" spans="2:2" ht="10.199999999999999" customHeight="1" x14ac:dyDescent="0.25">
      <c r="B58" s="18" t="str">
        <f>CL1</f>
        <v xml:space="preserve">Tabel 66 Jumlah Hasil Produksi (Kg) berdasarkan Skala Usaha pada Jenis Kegiatan Pengalengan </v>
      </c>
    </row>
    <row r="59" spans="2:2" ht="10.199999999999999" customHeight="1" x14ac:dyDescent="0.25">
      <c r="B59" s="18" t="str">
        <f>CS1</f>
        <v xml:space="preserve">Tabel 67 Jumlah Hasil Produksi (Kg) berdasarkan Skala Usaha pada Jenis Kegiatan Pengasapan / Pemanggangan </v>
      </c>
    </row>
    <row r="60" spans="2:2" ht="10.199999999999999" customHeight="1" x14ac:dyDescent="0.25">
      <c r="B60" s="18" t="str">
        <f>CZ1</f>
        <v xml:space="preserve">Tabel 68 Jumlah Hasil Produksi (Kg) berdasarkan Skala Usaha pada Jenis Kegiatan Penggaraman / Pengeringan </v>
      </c>
    </row>
    <row r="61" spans="2:2" ht="10.199999999999999" customHeight="1" x14ac:dyDescent="0.25">
      <c r="B61" s="18" t="str">
        <f>DG1</f>
        <v xml:space="preserve">Tabel 69 Jumlah Hasil Produksi (Kg) berdasarkan Skala Usaha pada Jenis Kegiatan Pereduksian/Ekstraksi </v>
      </c>
    </row>
    <row r="62" spans="2:2" ht="10.199999999999999" customHeight="1" x14ac:dyDescent="0.25">
      <c r="B62" s="18" t="str">
        <f>DN1</f>
        <v xml:space="preserve">Tabel 70 Jumlah Hasil Produksi (Kg) berdasarkan Skala Usaha pada Jenis Kegiatan Pengolahan Lainnya </v>
      </c>
    </row>
    <row r="63" spans="2:2" ht="10.199999999999999" customHeight="1" x14ac:dyDescent="0.25">
      <c r="B63" s="18" t="str">
        <f>DU1</f>
        <v xml:space="preserve">Tabel 71 Jumlah Hasil Produksi (Kg) berdasarkan Skala Usaha pada Jenis Kegiatan Pengumpul/Pedagang Besar/Distributor </v>
      </c>
    </row>
    <row r="64" spans="2:2" ht="10.199999999999999" customHeight="1" x14ac:dyDescent="0.25">
      <c r="B64" s="18" t="str">
        <f>EB1</f>
        <v xml:space="preserve">Tabel 72 Jumlah Hasil Produksi (Kg) berdasarkan Skala Usaha pada Jenis Kegiatan Pengecer </v>
      </c>
    </row>
    <row r="67" spans="1:132" s="21" customFormat="1" ht="12" x14ac:dyDescent="0.25">
      <c r="A67" s="67" t="s">
        <v>0</v>
      </c>
      <c r="B67" s="67" t="s">
        <v>4</v>
      </c>
      <c r="C67" s="33" t="s">
        <v>444</v>
      </c>
    </row>
    <row r="68" spans="1:132" s="18" customFormat="1" ht="12" x14ac:dyDescent="0.25">
      <c r="A68" s="72">
        <v>1</v>
      </c>
      <c r="B68" s="69" t="s">
        <v>9</v>
      </c>
      <c r="C68" s="34">
        <f>C42</f>
        <v>271003.53952573863</v>
      </c>
      <c r="P68" s="21"/>
      <c r="AC68" s="21"/>
      <c r="AH68" s="21"/>
      <c r="AO68" s="21"/>
      <c r="AV68" s="21"/>
      <c r="BC68" s="21"/>
      <c r="BJ68" s="21"/>
      <c r="BQ68" s="21"/>
      <c r="BX68" s="21"/>
      <c r="CE68" s="21"/>
      <c r="CL68" s="21"/>
      <c r="CS68" s="21"/>
      <c r="CZ68" s="21"/>
      <c r="DG68" s="21"/>
      <c r="DN68" s="21"/>
      <c r="DU68" s="21"/>
      <c r="EB68" s="21"/>
    </row>
    <row r="69" spans="1:132" s="18" customFormat="1" ht="12" x14ac:dyDescent="0.25">
      <c r="A69" s="72">
        <v>2</v>
      </c>
      <c r="B69" s="69" t="s">
        <v>10</v>
      </c>
      <c r="C69" s="34">
        <f>D42</f>
        <v>7951321.7661040882</v>
      </c>
      <c r="P69" s="21"/>
      <c r="AC69" s="21"/>
      <c r="AH69" s="21"/>
      <c r="AO69" s="21"/>
      <c r="AV69" s="21"/>
      <c r="BC69" s="21"/>
      <c r="BJ69" s="21"/>
      <c r="BQ69" s="21"/>
      <c r="BX69" s="21"/>
      <c r="CE69" s="21"/>
      <c r="CL69" s="21"/>
      <c r="CS69" s="21"/>
      <c r="CZ69" s="21"/>
      <c r="DG69" s="21"/>
      <c r="DN69" s="21"/>
      <c r="DU69" s="21"/>
      <c r="EB69" s="21"/>
    </row>
    <row r="70" spans="1:132" s="18" customFormat="1" ht="12" x14ac:dyDescent="0.25">
      <c r="A70" s="72">
        <v>3</v>
      </c>
      <c r="B70" s="69" t="s">
        <v>11</v>
      </c>
      <c r="C70" s="34">
        <f>E42</f>
        <v>496290167.63635004</v>
      </c>
      <c r="P70" s="21"/>
      <c r="AC70" s="21"/>
      <c r="AH70" s="21"/>
      <c r="AO70" s="21"/>
      <c r="AV70" s="21"/>
      <c r="BC70" s="21"/>
      <c r="BJ70" s="21"/>
      <c r="BQ70" s="21"/>
      <c r="BX70" s="21"/>
      <c r="CE70" s="21"/>
      <c r="CL70" s="21"/>
      <c r="CS70" s="21"/>
      <c r="CZ70" s="21"/>
      <c r="DG70" s="21"/>
      <c r="DN70" s="21"/>
      <c r="DU70" s="21"/>
      <c r="EB70" s="21"/>
    </row>
    <row r="71" spans="1:132" s="18" customFormat="1" ht="12" x14ac:dyDescent="0.25">
      <c r="A71" s="72">
        <v>4</v>
      </c>
      <c r="B71" s="69" t="s">
        <v>12</v>
      </c>
      <c r="C71" s="34">
        <f>F42</f>
        <v>23583767.47594605</v>
      </c>
      <c r="P71" s="21"/>
      <c r="AC71" s="21"/>
      <c r="AH71" s="21"/>
      <c r="AO71" s="21"/>
      <c r="AV71" s="21"/>
      <c r="BC71" s="21"/>
      <c r="BJ71" s="21"/>
      <c r="BQ71" s="21"/>
      <c r="BX71" s="21"/>
      <c r="CE71" s="21"/>
      <c r="CL71" s="21"/>
      <c r="CS71" s="21"/>
      <c r="CZ71" s="21"/>
      <c r="DG71" s="21"/>
      <c r="DN71" s="21"/>
      <c r="DU71" s="21"/>
      <c r="EB71" s="21"/>
    </row>
    <row r="72" spans="1:132" s="18" customFormat="1" ht="12" x14ac:dyDescent="0.25">
      <c r="A72" s="72">
        <v>5</v>
      </c>
      <c r="B72" s="69" t="s">
        <v>13</v>
      </c>
      <c r="C72" s="34">
        <f>G42</f>
        <v>4597503.3693123655</v>
      </c>
      <c r="P72" s="21"/>
      <c r="AC72" s="21"/>
      <c r="AH72" s="21"/>
      <c r="AO72" s="21"/>
      <c r="AV72" s="21"/>
      <c r="BC72" s="21"/>
      <c r="BJ72" s="21"/>
      <c r="BQ72" s="21"/>
      <c r="BX72" s="21"/>
      <c r="CE72" s="21"/>
      <c r="CL72" s="21"/>
      <c r="CS72" s="21"/>
      <c r="CZ72" s="21"/>
      <c r="DG72" s="21"/>
      <c r="DN72" s="21"/>
      <c r="DU72" s="21"/>
      <c r="EB72" s="21"/>
    </row>
    <row r="73" spans="1:132" s="18" customFormat="1" ht="12" x14ac:dyDescent="0.25">
      <c r="A73" s="72">
        <v>6</v>
      </c>
      <c r="B73" s="69" t="s">
        <v>14</v>
      </c>
      <c r="C73" s="34">
        <f>H42</f>
        <v>167138369.15503347</v>
      </c>
      <c r="P73" s="21"/>
      <c r="AC73" s="21"/>
      <c r="AH73" s="21"/>
      <c r="AO73" s="21"/>
      <c r="AV73" s="21"/>
      <c r="BC73" s="21"/>
      <c r="BJ73" s="21"/>
      <c r="BQ73" s="21"/>
      <c r="BX73" s="21"/>
      <c r="CE73" s="21"/>
      <c r="CL73" s="21"/>
      <c r="CS73" s="21"/>
      <c r="CZ73" s="21"/>
      <c r="DG73" s="21"/>
      <c r="DN73" s="21"/>
      <c r="DU73" s="21"/>
      <c r="EB73" s="21"/>
    </row>
    <row r="74" spans="1:132" s="18" customFormat="1" ht="12" x14ac:dyDescent="0.25">
      <c r="A74" s="72">
        <v>7</v>
      </c>
      <c r="B74" s="69" t="s">
        <v>15</v>
      </c>
      <c r="C74" s="34">
        <f>I42</f>
        <v>17334441.830219053</v>
      </c>
      <c r="P74" s="21"/>
      <c r="AC74" s="21"/>
      <c r="AH74" s="21"/>
      <c r="AO74" s="21"/>
      <c r="AV74" s="21"/>
      <c r="BC74" s="21"/>
      <c r="BJ74" s="21"/>
      <c r="BQ74" s="21"/>
      <c r="BX74" s="21"/>
      <c r="CE74" s="21"/>
      <c r="CL74" s="21"/>
      <c r="CS74" s="21"/>
      <c r="CZ74" s="21"/>
      <c r="DG74" s="21"/>
      <c r="DN74" s="21"/>
      <c r="DU74" s="21"/>
      <c r="EB74" s="21"/>
    </row>
    <row r="75" spans="1:132" s="18" customFormat="1" ht="12" x14ac:dyDescent="0.25">
      <c r="A75" s="72">
        <v>8</v>
      </c>
      <c r="B75" s="69" t="s">
        <v>19</v>
      </c>
      <c r="C75" s="34">
        <f>J42</f>
        <v>357458074.72189617</v>
      </c>
      <c r="P75" s="21"/>
      <c r="AC75" s="21"/>
      <c r="AH75" s="21"/>
      <c r="AO75" s="21"/>
      <c r="AV75" s="21"/>
      <c r="BC75" s="21"/>
      <c r="BJ75" s="21"/>
      <c r="BQ75" s="21"/>
      <c r="BX75" s="21"/>
      <c r="CE75" s="21"/>
      <c r="CL75" s="21"/>
      <c r="CS75" s="21"/>
      <c r="CZ75" s="21"/>
      <c r="DG75" s="21"/>
      <c r="DN75" s="21"/>
      <c r="DU75" s="21"/>
      <c r="EB75" s="21"/>
    </row>
    <row r="76" spans="1:132" s="18" customFormat="1" ht="12" x14ac:dyDescent="0.25">
      <c r="A76" s="72">
        <v>9</v>
      </c>
      <c r="B76" s="69" t="s">
        <v>17</v>
      </c>
      <c r="C76" s="34">
        <f>K42</f>
        <v>18431216.423101656</v>
      </c>
      <c r="P76" s="21"/>
      <c r="AC76" s="21"/>
      <c r="AH76" s="21"/>
      <c r="AO76" s="21"/>
      <c r="AV76" s="21"/>
      <c r="BC76" s="21"/>
      <c r="BJ76" s="21"/>
      <c r="BQ76" s="21"/>
      <c r="BX76" s="21"/>
      <c r="CE76" s="21"/>
      <c r="CL76" s="21"/>
      <c r="CS76" s="21"/>
      <c r="CZ76" s="21"/>
      <c r="DG76" s="21"/>
      <c r="DN76" s="21"/>
      <c r="DU76" s="21"/>
      <c r="EB76" s="21"/>
    </row>
    <row r="77" spans="1:132" s="18" customFormat="1" ht="12" x14ac:dyDescent="0.25">
      <c r="A77" s="72">
        <v>10</v>
      </c>
      <c r="B77" s="69" t="s">
        <v>18</v>
      </c>
      <c r="C77" s="34">
        <f>L42</f>
        <v>70126563.019738734</v>
      </c>
      <c r="P77" s="21"/>
      <c r="AC77" s="21"/>
      <c r="AH77" s="21"/>
      <c r="AO77" s="21"/>
      <c r="AV77" s="21"/>
      <c r="BC77" s="21"/>
      <c r="BJ77" s="21"/>
      <c r="BQ77" s="21"/>
      <c r="BX77" s="21"/>
      <c r="CE77" s="21"/>
      <c r="CL77" s="21"/>
      <c r="CS77" s="21"/>
      <c r="CZ77" s="21"/>
      <c r="DG77" s="21"/>
      <c r="DN77" s="21"/>
      <c r="DU77" s="21"/>
      <c r="EB77" s="21"/>
    </row>
    <row r="78" spans="1:132" s="18" customFormat="1" ht="12" x14ac:dyDescent="0.25">
      <c r="A78" s="72">
        <v>11</v>
      </c>
      <c r="B78" s="69" t="s">
        <v>20</v>
      </c>
      <c r="C78" s="34">
        <f>M42</f>
        <v>53632544.368263498</v>
      </c>
      <c r="P78" s="21"/>
      <c r="AC78" s="21"/>
      <c r="AH78" s="21"/>
      <c r="AO78" s="21"/>
      <c r="AV78" s="21"/>
      <c r="BC78" s="21"/>
      <c r="BJ78" s="21"/>
      <c r="BQ78" s="21"/>
      <c r="BX78" s="21"/>
      <c r="CE78" s="21"/>
      <c r="CL78" s="21"/>
      <c r="CS78" s="21"/>
      <c r="CZ78" s="21"/>
      <c r="DG78" s="21"/>
      <c r="DN78" s="21"/>
      <c r="DU78" s="21"/>
      <c r="EB78" s="21"/>
    </row>
    <row r="79" spans="1:132" s="18" customFormat="1" ht="12" x14ac:dyDescent="0.25">
      <c r="A79" s="72">
        <v>12</v>
      </c>
      <c r="B79" s="69" t="s">
        <v>16</v>
      </c>
      <c r="C79" s="34">
        <f>N42</f>
        <v>459935313.82507974</v>
      </c>
      <c r="P79" s="21"/>
      <c r="AC79" s="21"/>
      <c r="AH79" s="21"/>
      <c r="AO79" s="21"/>
      <c r="AV79" s="21"/>
      <c r="BC79" s="21"/>
      <c r="BJ79" s="21"/>
      <c r="BQ79" s="21"/>
      <c r="BX79" s="21"/>
      <c r="CE79" s="21"/>
      <c r="CL79" s="21"/>
      <c r="CS79" s="21"/>
      <c r="CZ79" s="21"/>
      <c r="DG79" s="21"/>
      <c r="DN79" s="21"/>
      <c r="DU79" s="21"/>
      <c r="EB79" s="21"/>
    </row>
    <row r="80" spans="1:132" s="18" customFormat="1" ht="12" x14ac:dyDescent="0.25">
      <c r="A80" s="72"/>
      <c r="B80" s="69" t="s">
        <v>400</v>
      </c>
      <c r="C80" s="34">
        <f>O42</f>
        <v>1676750287.1305709</v>
      </c>
      <c r="D80" s="51">
        <f>SUM(C68:C79)</f>
        <v>1676750287.1305704</v>
      </c>
      <c r="P80" s="21"/>
      <c r="AC80" s="21"/>
      <c r="AH80" s="21"/>
      <c r="AO80" s="21"/>
      <c r="AV80" s="21"/>
      <c r="BC80" s="21"/>
      <c r="BJ80" s="21"/>
      <c r="BQ80" s="21"/>
      <c r="BX80" s="21"/>
      <c r="CE80" s="21"/>
      <c r="CL80" s="21"/>
      <c r="CS80" s="21"/>
      <c r="CZ80" s="21"/>
      <c r="DG80" s="21"/>
      <c r="DN80" s="21"/>
      <c r="DU80" s="21"/>
      <c r="EB80" s="21"/>
    </row>
    <row r="81" spans="1:132" s="18" customFormat="1" ht="12" x14ac:dyDescent="0.25">
      <c r="A81" s="71"/>
      <c r="B81" s="66"/>
      <c r="C81" s="36"/>
      <c r="P81" s="21"/>
      <c r="AC81" s="21"/>
      <c r="AH81" s="21"/>
      <c r="AO81" s="21"/>
      <c r="AV81" s="21"/>
      <c r="BC81" s="21"/>
      <c r="BJ81" s="21"/>
      <c r="BQ81" s="21"/>
      <c r="BX81" s="21"/>
      <c r="CE81" s="21"/>
      <c r="CL81" s="21"/>
      <c r="CS81" s="21"/>
      <c r="CZ81" s="21"/>
      <c r="DG81" s="21"/>
      <c r="DN81" s="21"/>
      <c r="DU81" s="21"/>
      <c r="EB81" s="21"/>
    </row>
    <row r="82" spans="1:132" s="18" customFormat="1" ht="12" x14ac:dyDescent="0.25">
      <c r="A82" s="75"/>
      <c r="B82" s="75"/>
      <c r="C82" s="75"/>
      <c r="P82" s="21"/>
      <c r="AC82" s="21"/>
      <c r="AH82" s="21"/>
      <c r="AO82" s="21"/>
      <c r="AV82" s="21"/>
      <c r="BC82" s="21"/>
      <c r="BJ82" s="21"/>
      <c r="BQ82" s="21"/>
      <c r="BX82" s="21"/>
      <c r="CE82" s="21"/>
      <c r="CL82" s="21"/>
      <c r="CS82" s="21"/>
      <c r="CZ82" s="21"/>
      <c r="DG82" s="21"/>
      <c r="DN82" s="21"/>
      <c r="DU82" s="21"/>
      <c r="EB82" s="21"/>
    </row>
    <row r="83" spans="1:132" s="21" customFormat="1" ht="12" x14ac:dyDescent="0.25">
      <c r="A83" s="67" t="s">
        <v>0</v>
      </c>
      <c r="B83" s="67" t="s">
        <v>2</v>
      </c>
      <c r="C83" s="33" t="s">
        <v>444</v>
      </c>
    </row>
    <row r="84" spans="1:132" s="18" customFormat="1" ht="12" x14ac:dyDescent="0.25">
      <c r="A84" s="72">
        <v>1</v>
      </c>
      <c r="B84" s="69" t="s">
        <v>5</v>
      </c>
      <c r="C84" s="34">
        <f>AJ42</f>
        <v>69517014.768643141</v>
      </c>
      <c r="P84" s="21"/>
      <c r="AC84" s="21"/>
      <c r="AH84" s="21"/>
      <c r="AO84" s="21"/>
      <c r="AV84" s="21"/>
      <c r="BC84" s="21"/>
      <c r="BJ84" s="21"/>
      <c r="BQ84" s="21"/>
      <c r="BX84" s="21"/>
      <c r="CE84" s="21"/>
      <c r="CL84" s="21"/>
      <c r="CS84" s="21"/>
      <c r="CZ84" s="21"/>
      <c r="DG84" s="21"/>
      <c r="DN84" s="21"/>
      <c r="DU84" s="21"/>
      <c r="EB84" s="21"/>
    </row>
    <row r="85" spans="1:132" s="18" customFormat="1" ht="12" x14ac:dyDescent="0.25">
      <c r="A85" s="72">
        <v>2</v>
      </c>
      <c r="B85" s="69" t="s">
        <v>6</v>
      </c>
      <c r="C85" s="34">
        <f>AK42</f>
        <v>115790678.86948647</v>
      </c>
      <c r="P85" s="21"/>
      <c r="AC85" s="21"/>
      <c r="AH85" s="21"/>
      <c r="AO85" s="21"/>
      <c r="AV85" s="21"/>
      <c r="BC85" s="21"/>
      <c r="BJ85" s="21"/>
      <c r="BQ85" s="21"/>
      <c r="BX85" s="21"/>
      <c r="CE85" s="21"/>
      <c r="CL85" s="21"/>
      <c r="CS85" s="21"/>
      <c r="CZ85" s="21"/>
      <c r="DG85" s="21"/>
      <c r="DN85" s="21"/>
      <c r="DU85" s="21"/>
      <c r="EB85" s="21"/>
    </row>
    <row r="86" spans="1:132" s="18" customFormat="1" ht="12" x14ac:dyDescent="0.25">
      <c r="A86" s="72">
        <v>3</v>
      </c>
      <c r="B86" s="69" t="s">
        <v>7</v>
      </c>
      <c r="C86" s="34">
        <f>AL42</f>
        <v>208829105.6456027</v>
      </c>
      <c r="P86" s="21"/>
      <c r="AC86" s="21"/>
      <c r="AH86" s="21"/>
      <c r="AO86" s="21"/>
      <c r="AV86" s="21"/>
      <c r="BC86" s="21"/>
      <c r="BJ86" s="21"/>
      <c r="BQ86" s="21"/>
      <c r="BX86" s="21"/>
      <c r="CE86" s="21"/>
      <c r="CL86" s="21"/>
      <c r="CS86" s="21"/>
      <c r="CZ86" s="21"/>
      <c r="DG86" s="21"/>
      <c r="DN86" s="21"/>
      <c r="DU86" s="21"/>
      <c r="EB86" s="21"/>
    </row>
    <row r="87" spans="1:132" s="18" customFormat="1" ht="12" x14ac:dyDescent="0.25">
      <c r="A87" s="72">
        <v>4</v>
      </c>
      <c r="B87" s="69" t="s">
        <v>8</v>
      </c>
      <c r="C87" s="34">
        <f>AM42</f>
        <v>1282613487.8468385</v>
      </c>
      <c r="P87" s="21"/>
      <c r="AC87" s="21"/>
      <c r="AH87" s="21"/>
      <c r="AO87" s="21"/>
      <c r="AV87" s="21"/>
      <c r="BC87" s="21"/>
      <c r="BJ87" s="21"/>
      <c r="BQ87" s="21"/>
      <c r="BX87" s="21"/>
      <c r="CE87" s="21"/>
      <c r="CL87" s="21"/>
      <c r="CS87" s="21"/>
      <c r="CZ87" s="21"/>
      <c r="DG87" s="21"/>
      <c r="DN87" s="21"/>
      <c r="DU87" s="21"/>
      <c r="EB87" s="21"/>
    </row>
    <row r="88" spans="1:132" s="18" customFormat="1" ht="12" x14ac:dyDescent="0.25">
      <c r="A88" s="72"/>
      <c r="B88" s="69" t="s">
        <v>400</v>
      </c>
      <c r="C88" s="34">
        <f>AN42</f>
        <v>1676750287.1305709</v>
      </c>
      <c r="D88" s="51">
        <f>SUM(C84:C87)</f>
        <v>1676750287.1305709</v>
      </c>
      <c r="P88" s="21"/>
      <c r="AC88" s="21"/>
      <c r="AH88" s="21"/>
      <c r="AO88" s="21"/>
      <c r="AV88" s="21"/>
      <c r="BC88" s="21"/>
      <c r="BJ88" s="21"/>
      <c r="BQ88" s="21"/>
      <c r="BX88" s="21"/>
      <c r="CE88" s="21"/>
      <c r="CL88" s="21"/>
      <c r="CS88" s="21"/>
      <c r="CZ88" s="21"/>
      <c r="DG88" s="21"/>
      <c r="DN88" s="21"/>
      <c r="DU88" s="21"/>
      <c r="EB88" s="21"/>
    </row>
    <row r="89" spans="1:132" s="18" customFormat="1" ht="12" x14ac:dyDescent="0.25">
      <c r="A89" s="71"/>
      <c r="B89" s="66"/>
      <c r="C89" s="66"/>
      <c r="D89" s="66"/>
      <c r="P89" s="21"/>
      <c r="AC89" s="21"/>
      <c r="AH89" s="21"/>
      <c r="AO89" s="21"/>
      <c r="AV89" s="21"/>
      <c r="BC89" s="21"/>
      <c r="BJ89" s="21"/>
      <c r="BQ89" s="21"/>
      <c r="BX89" s="21"/>
      <c r="CE89" s="21"/>
      <c r="CL89" s="21"/>
      <c r="CS89" s="21"/>
      <c r="CZ89" s="21"/>
      <c r="DG89" s="21"/>
      <c r="DN89" s="21"/>
      <c r="DU89" s="21"/>
      <c r="EB89" s="21"/>
    </row>
    <row r="90" spans="1:132" s="18" customFormat="1" ht="12" x14ac:dyDescent="0.25">
      <c r="A90" s="21"/>
      <c r="P90" s="21"/>
      <c r="AC90" s="21"/>
      <c r="AH90" s="21"/>
      <c r="AO90" s="21"/>
      <c r="AV90" s="21"/>
      <c r="BC90" s="21"/>
      <c r="BJ90" s="21"/>
      <c r="BQ90" s="21"/>
      <c r="BX90" s="21"/>
      <c r="CE90" s="21"/>
      <c r="CL90" s="21"/>
      <c r="CS90" s="21"/>
      <c r="CZ90" s="21"/>
      <c r="DG90" s="21"/>
      <c r="DN90" s="21"/>
      <c r="DU90" s="21"/>
      <c r="EB90" s="21"/>
    </row>
    <row r="91" spans="1:132" s="78" customFormat="1" ht="12" x14ac:dyDescent="0.3">
      <c r="A91" s="76" t="s">
        <v>0</v>
      </c>
      <c r="B91" s="76" t="s">
        <v>60</v>
      </c>
      <c r="C91" s="33" t="s">
        <v>444</v>
      </c>
      <c r="P91" s="79"/>
      <c r="AC91" s="79"/>
      <c r="AH91" s="79"/>
      <c r="AO91" s="79"/>
      <c r="AV91" s="79"/>
      <c r="BC91" s="79"/>
      <c r="BJ91" s="79"/>
      <c r="BQ91" s="79"/>
      <c r="BX91" s="79"/>
      <c r="CE91" s="79"/>
      <c r="CL91" s="79"/>
      <c r="CS91" s="79"/>
      <c r="CZ91" s="79"/>
      <c r="DG91" s="79"/>
      <c r="DN91" s="79"/>
      <c r="DU91" s="79"/>
      <c r="EB91" s="79"/>
    </row>
    <row r="92" spans="1:132" s="18" customFormat="1" ht="12" x14ac:dyDescent="0.25">
      <c r="A92" s="72">
        <v>1</v>
      </c>
      <c r="B92" s="69" t="s">
        <v>401</v>
      </c>
      <c r="C92" s="34">
        <f>O4</f>
        <v>1442529.7596679921</v>
      </c>
      <c r="P92" s="21"/>
      <c r="AC92" s="21"/>
      <c r="AH92" s="21"/>
      <c r="AO92" s="21"/>
      <c r="AV92" s="21"/>
      <c r="BC92" s="21"/>
      <c r="BJ92" s="21"/>
      <c r="BQ92" s="21"/>
      <c r="BX92" s="21"/>
      <c r="CE92" s="21"/>
      <c r="CL92" s="21"/>
      <c r="CS92" s="21"/>
      <c r="CZ92" s="21"/>
      <c r="DG92" s="21"/>
      <c r="DN92" s="21"/>
      <c r="DU92" s="21"/>
      <c r="EB92" s="21"/>
    </row>
    <row r="93" spans="1:132" s="18" customFormat="1" ht="12" x14ac:dyDescent="0.25">
      <c r="A93" s="72">
        <v>2</v>
      </c>
      <c r="B93" s="69" t="s">
        <v>402</v>
      </c>
      <c r="C93" s="34">
        <f t="shared" ref="C93:C120" si="35">O5</f>
        <v>2289755.3812069586</v>
      </c>
      <c r="P93" s="21"/>
      <c r="AC93" s="21"/>
      <c r="AH93" s="21"/>
      <c r="AO93" s="21"/>
      <c r="AV93" s="21"/>
      <c r="BC93" s="21"/>
      <c r="BJ93" s="21"/>
      <c r="BQ93" s="21"/>
      <c r="BX93" s="21"/>
      <c r="CE93" s="21"/>
      <c r="CL93" s="21"/>
      <c r="CS93" s="21"/>
      <c r="CZ93" s="21"/>
      <c r="DG93" s="21"/>
      <c r="DN93" s="21"/>
      <c r="DU93" s="21"/>
      <c r="EB93" s="21"/>
    </row>
    <row r="94" spans="1:132" s="18" customFormat="1" ht="12" x14ac:dyDescent="0.25">
      <c r="A94" s="72">
        <v>3</v>
      </c>
      <c r="B94" s="69" t="s">
        <v>403</v>
      </c>
      <c r="C94" s="34">
        <f t="shared" si="35"/>
        <v>20884568.010776453</v>
      </c>
      <c r="P94" s="21"/>
      <c r="AC94" s="21"/>
      <c r="AH94" s="21"/>
      <c r="AO94" s="21"/>
      <c r="AV94" s="21"/>
      <c r="BC94" s="21"/>
      <c r="BJ94" s="21"/>
      <c r="BQ94" s="21"/>
      <c r="BX94" s="21"/>
      <c r="CE94" s="21"/>
      <c r="CL94" s="21"/>
      <c r="CS94" s="21"/>
      <c r="CZ94" s="21"/>
      <c r="DG94" s="21"/>
      <c r="DN94" s="21"/>
      <c r="DU94" s="21"/>
      <c r="EB94" s="21"/>
    </row>
    <row r="95" spans="1:132" s="18" customFormat="1" ht="12" x14ac:dyDescent="0.25">
      <c r="A95" s="72">
        <v>4</v>
      </c>
      <c r="B95" s="69" t="s">
        <v>404</v>
      </c>
      <c r="C95" s="34">
        <f t="shared" si="35"/>
        <v>27798870.566750281</v>
      </c>
      <c r="P95" s="21"/>
      <c r="AC95" s="21"/>
      <c r="AH95" s="21"/>
      <c r="AO95" s="21"/>
      <c r="AV95" s="21"/>
      <c r="BC95" s="21"/>
      <c r="BJ95" s="21"/>
      <c r="BQ95" s="21"/>
      <c r="BX95" s="21"/>
      <c r="CE95" s="21"/>
      <c r="CL95" s="21"/>
      <c r="CS95" s="21"/>
      <c r="CZ95" s="21"/>
      <c r="DG95" s="21"/>
      <c r="DN95" s="21"/>
      <c r="DU95" s="21"/>
      <c r="EB95" s="21"/>
    </row>
    <row r="96" spans="1:132" s="18" customFormat="1" ht="12" x14ac:dyDescent="0.25">
      <c r="A96" s="72">
        <v>5</v>
      </c>
      <c r="B96" s="69" t="s">
        <v>405</v>
      </c>
      <c r="C96" s="34">
        <f t="shared" si="35"/>
        <v>19343356.589333616</v>
      </c>
      <c r="P96" s="21"/>
      <c r="AC96" s="21"/>
      <c r="AH96" s="21"/>
      <c r="AO96" s="21"/>
      <c r="AV96" s="21"/>
      <c r="BC96" s="21"/>
      <c r="BJ96" s="21"/>
      <c r="BQ96" s="21"/>
      <c r="BX96" s="21"/>
      <c r="CE96" s="21"/>
      <c r="CL96" s="21"/>
      <c r="CS96" s="21"/>
      <c r="CZ96" s="21"/>
      <c r="DG96" s="21"/>
      <c r="DN96" s="21"/>
      <c r="DU96" s="21"/>
      <c r="EB96" s="21"/>
    </row>
    <row r="97" spans="1:132" s="18" customFormat="1" ht="12" x14ac:dyDescent="0.25">
      <c r="A97" s="72">
        <v>6</v>
      </c>
      <c r="B97" s="69" t="s">
        <v>406</v>
      </c>
      <c r="C97" s="34">
        <f t="shared" si="35"/>
        <v>563782.75230485154</v>
      </c>
      <c r="P97" s="21"/>
      <c r="AC97" s="21"/>
      <c r="AH97" s="21"/>
      <c r="AO97" s="21"/>
      <c r="AV97" s="21"/>
      <c r="BC97" s="21"/>
      <c r="BJ97" s="21"/>
      <c r="BQ97" s="21"/>
      <c r="BX97" s="21"/>
      <c r="CE97" s="21"/>
      <c r="CL97" s="21"/>
      <c r="CS97" s="21"/>
      <c r="CZ97" s="21"/>
      <c r="DG97" s="21"/>
      <c r="DN97" s="21"/>
      <c r="DU97" s="21"/>
      <c r="EB97" s="21"/>
    </row>
    <row r="98" spans="1:132" s="18" customFormat="1" ht="12" x14ac:dyDescent="0.25">
      <c r="A98" s="72">
        <v>7</v>
      </c>
      <c r="B98" s="69" t="s">
        <v>407</v>
      </c>
      <c r="C98" s="34">
        <f t="shared" si="35"/>
        <v>25517203.335479725</v>
      </c>
      <c r="P98" s="21"/>
      <c r="AC98" s="21"/>
      <c r="AH98" s="21"/>
      <c r="AO98" s="21"/>
      <c r="AV98" s="21"/>
      <c r="BC98" s="21"/>
      <c r="BJ98" s="21"/>
      <c r="BQ98" s="21"/>
      <c r="BX98" s="21"/>
      <c r="CE98" s="21"/>
      <c r="CL98" s="21"/>
      <c r="CS98" s="21"/>
      <c r="CZ98" s="21"/>
      <c r="DG98" s="21"/>
      <c r="DN98" s="21"/>
      <c r="DU98" s="21"/>
      <c r="EB98" s="21"/>
    </row>
    <row r="99" spans="1:132" s="18" customFormat="1" ht="12" x14ac:dyDescent="0.25">
      <c r="A99" s="72">
        <v>8</v>
      </c>
      <c r="B99" s="69" t="s">
        <v>408</v>
      </c>
      <c r="C99" s="34">
        <f t="shared" si="35"/>
        <v>8802963.2009259779</v>
      </c>
      <c r="P99" s="21"/>
      <c r="AC99" s="21"/>
      <c r="AH99" s="21"/>
      <c r="AO99" s="21"/>
      <c r="AV99" s="21"/>
      <c r="BC99" s="21"/>
      <c r="BJ99" s="21"/>
      <c r="BQ99" s="21"/>
      <c r="BX99" s="21"/>
      <c r="CE99" s="21"/>
      <c r="CL99" s="21"/>
      <c r="CS99" s="21"/>
      <c r="CZ99" s="21"/>
      <c r="DG99" s="21"/>
      <c r="DN99" s="21"/>
      <c r="DU99" s="21"/>
      <c r="EB99" s="21"/>
    </row>
    <row r="100" spans="1:132" s="18" customFormat="1" ht="12" x14ac:dyDescent="0.25">
      <c r="A100" s="72">
        <v>9</v>
      </c>
      <c r="B100" s="69" t="s">
        <v>409</v>
      </c>
      <c r="C100" s="34">
        <f t="shared" si="35"/>
        <v>16898095.027013626</v>
      </c>
      <c r="P100" s="21"/>
      <c r="AC100" s="21"/>
      <c r="AH100" s="21"/>
      <c r="AO100" s="21"/>
      <c r="AV100" s="21"/>
      <c r="BC100" s="21"/>
      <c r="BJ100" s="21"/>
      <c r="BQ100" s="21"/>
      <c r="BX100" s="21"/>
      <c r="CE100" s="21"/>
      <c r="CL100" s="21"/>
      <c r="CS100" s="21"/>
      <c r="CZ100" s="21"/>
      <c r="DG100" s="21"/>
      <c r="DN100" s="21"/>
      <c r="DU100" s="21"/>
      <c r="EB100" s="21"/>
    </row>
    <row r="101" spans="1:132" s="18" customFormat="1" ht="12" x14ac:dyDescent="0.25">
      <c r="A101" s="72">
        <v>10</v>
      </c>
      <c r="B101" s="69" t="s">
        <v>410</v>
      </c>
      <c r="C101" s="34">
        <f t="shared" si="35"/>
        <v>920343339.93831646</v>
      </c>
      <c r="P101" s="21"/>
      <c r="AC101" s="21"/>
      <c r="AH101" s="21"/>
      <c r="AO101" s="21"/>
      <c r="AV101" s="21"/>
      <c r="BC101" s="21"/>
      <c r="BJ101" s="21"/>
      <c r="BQ101" s="21"/>
      <c r="BX101" s="21"/>
      <c r="CE101" s="21"/>
      <c r="CL101" s="21"/>
      <c r="CS101" s="21"/>
      <c r="CZ101" s="21"/>
      <c r="DG101" s="21"/>
      <c r="DN101" s="21"/>
      <c r="DU101" s="21"/>
      <c r="EB101" s="21"/>
    </row>
    <row r="102" spans="1:132" s="18" customFormat="1" ht="12" x14ac:dyDescent="0.25">
      <c r="A102" s="72">
        <v>11</v>
      </c>
      <c r="B102" s="69" t="s">
        <v>411</v>
      </c>
      <c r="C102" s="34">
        <f t="shared" si="35"/>
        <v>240161.25574178138</v>
      </c>
      <c r="P102" s="21"/>
      <c r="AC102" s="21"/>
      <c r="AH102" s="21"/>
      <c r="AO102" s="21"/>
      <c r="AV102" s="21"/>
      <c r="BC102" s="21"/>
      <c r="BJ102" s="21"/>
      <c r="BQ102" s="21"/>
      <c r="BX102" s="21"/>
      <c r="CE102" s="21"/>
      <c r="CL102" s="21"/>
      <c r="CS102" s="21"/>
      <c r="CZ102" s="21"/>
      <c r="DG102" s="21"/>
      <c r="DN102" s="21"/>
      <c r="DU102" s="21"/>
      <c r="EB102" s="21"/>
    </row>
    <row r="103" spans="1:132" s="18" customFormat="1" ht="12" x14ac:dyDescent="0.25">
      <c r="A103" s="72">
        <v>12</v>
      </c>
      <c r="B103" s="69" t="s">
        <v>412</v>
      </c>
      <c r="C103" s="34">
        <f t="shared" si="35"/>
        <v>50937747.620475262</v>
      </c>
      <c r="P103" s="21"/>
      <c r="AC103" s="21"/>
      <c r="AH103" s="21"/>
      <c r="AO103" s="21"/>
      <c r="AV103" s="21"/>
      <c r="BC103" s="21"/>
      <c r="BJ103" s="21"/>
      <c r="BQ103" s="21"/>
      <c r="BX103" s="21"/>
      <c r="CE103" s="21"/>
      <c r="CL103" s="21"/>
      <c r="CS103" s="21"/>
      <c r="CZ103" s="21"/>
      <c r="DG103" s="21"/>
      <c r="DN103" s="21"/>
      <c r="DU103" s="21"/>
      <c r="EB103" s="21"/>
    </row>
    <row r="104" spans="1:132" s="18" customFormat="1" ht="12" x14ac:dyDescent="0.25">
      <c r="A104" s="72">
        <v>13</v>
      </c>
      <c r="B104" s="69" t="s">
        <v>413</v>
      </c>
      <c r="C104" s="34">
        <f t="shared" si="35"/>
        <v>1301793.8348191422</v>
      </c>
      <c r="P104" s="21"/>
      <c r="AC104" s="21"/>
      <c r="AH104" s="21"/>
      <c r="AO104" s="21"/>
      <c r="AV104" s="21"/>
      <c r="BC104" s="21"/>
      <c r="BJ104" s="21"/>
      <c r="BQ104" s="21"/>
      <c r="BX104" s="21"/>
      <c r="CE104" s="21"/>
      <c r="CL104" s="21"/>
      <c r="CS104" s="21"/>
      <c r="CZ104" s="21"/>
      <c r="DG104" s="21"/>
      <c r="DN104" s="21"/>
      <c r="DU104" s="21"/>
      <c r="EB104" s="21"/>
    </row>
    <row r="105" spans="1:132" s="18" customFormat="1" ht="12" x14ac:dyDescent="0.25">
      <c r="A105" s="72">
        <v>14</v>
      </c>
      <c r="B105" s="69" t="s">
        <v>414</v>
      </c>
      <c r="C105" s="34">
        <f t="shared" si="35"/>
        <v>54772119.725115485</v>
      </c>
      <c r="P105" s="21"/>
      <c r="AC105" s="21"/>
      <c r="AH105" s="21"/>
      <c r="AO105" s="21"/>
      <c r="AV105" s="21"/>
      <c r="BC105" s="21"/>
      <c r="BJ105" s="21"/>
      <c r="BQ105" s="21"/>
      <c r="BX105" s="21"/>
      <c r="CE105" s="21"/>
      <c r="CL105" s="21"/>
      <c r="CS105" s="21"/>
      <c r="CZ105" s="21"/>
      <c r="DG105" s="21"/>
      <c r="DN105" s="21"/>
      <c r="DU105" s="21"/>
      <c r="EB105" s="21"/>
    </row>
    <row r="106" spans="1:132" s="18" customFormat="1" ht="12" x14ac:dyDescent="0.25">
      <c r="A106" s="72">
        <v>15</v>
      </c>
      <c r="B106" s="69" t="s">
        <v>415</v>
      </c>
      <c r="C106" s="34">
        <f t="shared" si="35"/>
        <v>102263270.00461842</v>
      </c>
      <c r="P106" s="21"/>
      <c r="AC106" s="21"/>
      <c r="AH106" s="21"/>
      <c r="AO106" s="21"/>
      <c r="AV106" s="21"/>
      <c r="BC106" s="21"/>
      <c r="BJ106" s="21"/>
      <c r="BQ106" s="21"/>
      <c r="BX106" s="21"/>
      <c r="CE106" s="21"/>
      <c r="CL106" s="21"/>
      <c r="CS106" s="21"/>
      <c r="CZ106" s="21"/>
      <c r="DG106" s="21"/>
      <c r="DN106" s="21"/>
      <c r="DU106" s="21"/>
      <c r="EB106" s="21"/>
    </row>
    <row r="107" spans="1:132" s="18" customFormat="1" ht="12" x14ac:dyDescent="0.25">
      <c r="A107" s="72">
        <v>16</v>
      </c>
      <c r="B107" s="69" t="s">
        <v>416</v>
      </c>
      <c r="C107" s="34">
        <f t="shared" si="35"/>
        <v>2639914.0112521695</v>
      </c>
      <c r="P107" s="21"/>
      <c r="AC107" s="21"/>
      <c r="AH107" s="21"/>
      <c r="AO107" s="21"/>
      <c r="AV107" s="21"/>
      <c r="BC107" s="21"/>
      <c r="BJ107" s="21"/>
      <c r="BQ107" s="21"/>
      <c r="BX107" s="21"/>
      <c r="CE107" s="21"/>
      <c r="CL107" s="21"/>
      <c r="CS107" s="21"/>
      <c r="CZ107" s="21"/>
      <c r="DG107" s="21"/>
      <c r="DN107" s="21"/>
      <c r="DU107" s="21"/>
      <c r="EB107" s="21"/>
    </row>
    <row r="108" spans="1:132" s="18" customFormat="1" ht="12" x14ac:dyDescent="0.25">
      <c r="A108" s="72">
        <v>17</v>
      </c>
      <c r="B108" s="69" t="s">
        <v>417</v>
      </c>
      <c r="C108" s="34">
        <f t="shared" si="35"/>
        <v>350714.4473480559</v>
      </c>
      <c r="P108" s="21"/>
      <c r="AC108" s="21"/>
      <c r="AH108" s="21"/>
      <c r="AO108" s="21"/>
      <c r="AV108" s="21"/>
      <c r="BC108" s="21"/>
      <c r="BJ108" s="21"/>
      <c r="BQ108" s="21"/>
      <c r="BX108" s="21"/>
      <c r="CE108" s="21"/>
      <c r="CL108" s="21"/>
      <c r="CS108" s="21"/>
      <c r="CZ108" s="21"/>
      <c r="DG108" s="21"/>
      <c r="DN108" s="21"/>
      <c r="DU108" s="21"/>
      <c r="EB108" s="21"/>
    </row>
    <row r="109" spans="1:132" s="18" customFormat="1" ht="12" x14ac:dyDescent="0.25">
      <c r="A109" s="72">
        <v>18</v>
      </c>
      <c r="B109" s="69" t="s">
        <v>418</v>
      </c>
      <c r="C109" s="34">
        <f t="shared" si="35"/>
        <v>227456.71239602051</v>
      </c>
      <c r="P109" s="21"/>
      <c r="AC109" s="21"/>
      <c r="AH109" s="21"/>
      <c r="AO109" s="21"/>
      <c r="AV109" s="21"/>
      <c r="BC109" s="21"/>
      <c r="BJ109" s="21"/>
      <c r="BQ109" s="21"/>
      <c r="BX109" s="21"/>
      <c r="CE109" s="21"/>
      <c r="CL109" s="21"/>
      <c r="CS109" s="21"/>
      <c r="CZ109" s="21"/>
      <c r="DG109" s="21"/>
      <c r="DN109" s="21"/>
      <c r="DU109" s="21"/>
      <c r="EB109" s="21"/>
    </row>
    <row r="110" spans="1:132" s="18" customFormat="1" ht="12" x14ac:dyDescent="0.25">
      <c r="A110" s="72">
        <v>19</v>
      </c>
      <c r="B110" s="69" t="s">
        <v>419</v>
      </c>
      <c r="C110" s="34">
        <f t="shared" si="35"/>
        <v>5193233.3370577358</v>
      </c>
      <c r="P110" s="21"/>
      <c r="AC110" s="21"/>
      <c r="AH110" s="21"/>
      <c r="AO110" s="21"/>
      <c r="AV110" s="21"/>
      <c r="BC110" s="21"/>
      <c r="BJ110" s="21"/>
      <c r="BQ110" s="21"/>
      <c r="BX110" s="21"/>
      <c r="CE110" s="21"/>
      <c r="CL110" s="21"/>
      <c r="CS110" s="21"/>
      <c r="CZ110" s="21"/>
      <c r="DG110" s="21"/>
      <c r="DN110" s="21"/>
      <c r="DU110" s="21"/>
      <c r="EB110" s="21"/>
    </row>
    <row r="111" spans="1:132" s="18" customFormat="1" ht="12" x14ac:dyDescent="0.25">
      <c r="A111" s="72">
        <v>20</v>
      </c>
      <c r="B111" s="69" t="s">
        <v>420</v>
      </c>
      <c r="C111" s="34">
        <f t="shared" si="35"/>
        <v>2326134.261810312</v>
      </c>
      <c r="P111" s="21"/>
      <c r="AC111" s="21"/>
      <c r="AH111" s="21"/>
      <c r="AO111" s="21"/>
      <c r="AV111" s="21"/>
      <c r="BC111" s="21"/>
      <c r="BJ111" s="21"/>
      <c r="BQ111" s="21"/>
      <c r="BX111" s="21"/>
      <c r="CE111" s="21"/>
      <c r="CL111" s="21"/>
      <c r="CS111" s="21"/>
      <c r="CZ111" s="21"/>
      <c r="DG111" s="21"/>
      <c r="DN111" s="21"/>
      <c r="DU111" s="21"/>
      <c r="EB111" s="21"/>
    </row>
    <row r="112" spans="1:132" s="18" customFormat="1" ht="12" x14ac:dyDescent="0.25">
      <c r="A112" s="72">
        <v>21</v>
      </c>
      <c r="B112" s="69" t="s">
        <v>421</v>
      </c>
      <c r="C112" s="34">
        <f t="shared" si="35"/>
        <v>786774.97475619148</v>
      </c>
      <c r="P112" s="21"/>
      <c r="AC112" s="21"/>
      <c r="AH112" s="21"/>
      <c r="AO112" s="21"/>
      <c r="AV112" s="21"/>
      <c r="BC112" s="21"/>
      <c r="BJ112" s="21"/>
      <c r="BQ112" s="21"/>
      <c r="BX112" s="21"/>
      <c r="CE112" s="21"/>
      <c r="CL112" s="21"/>
      <c r="CS112" s="21"/>
      <c r="CZ112" s="21"/>
      <c r="DG112" s="21"/>
      <c r="DN112" s="21"/>
      <c r="DU112" s="21"/>
      <c r="EB112" s="21"/>
    </row>
    <row r="113" spans="1:132" s="18" customFormat="1" ht="12" x14ac:dyDescent="0.25">
      <c r="A113" s="72">
        <v>22</v>
      </c>
      <c r="B113" s="69" t="s">
        <v>422</v>
      </c>
      <c r="C113" s="34">
        <f t="shared" si="35"/>
        <v>887819.502368683</v>
      </c>
      <c r="P113" s="21"/>
      <c r="AC113" s="21"/>
      <c r="AH113" s="21"/>
      <c r="AO113" s="21"/>
      <c r="AV113" s="21"/>
      <c r="BC113" s="21"/>
      <c r="BJ113" s="21"/>
      <c r="BQ113" s="21"/>
      <c r="BX113" s="21"/>
      <c r="CE113" s="21"/>
      <c r="CL113" s="21"/>
      <c r="CS113" s="21"/>
      <c r="CZ113" s="21"/>
      <c r="DG113" s="21"/>
      <c r="DN113" s="21"/>
      <c r="DU113" s="21"/>
      <c r="EB113" s="21"/>
    </row>
    <row r="114" spans="1:132" s="18" customFormat="1" ht="12" x14ac:dyDescent="0.25">
      <c r="A114" s="72">
        <v>23</v>
      </c>
      <c r="B114" s="69" t="s">
        <v>423</v>
      </c>
      <c r="C114" s="34">
        <f t="shared" si="35"/>
        <v>29294690.233572207</v>
      </c>
      <c r="P114" s="21"/>
      <c r="AC114" s="21"/>
      <c r="AH114" s="21"/>
      <c r="AO114" s="21"/>
      <c r="AV114" s="21"/>
      <c r="BC114" s="21"/>
      <c r="BJ114" s="21"/>
      <c r="BQ114" s="21"/>
      <c r="BX114" s="21"/>
      <c r="CE114" s="21"/>
      <c r="CL114" s="21"/>
      <c r="CS114" s="21"/>
      <c r="CZ114" s="21"/>
      <c r="DG114" s="21"/>
      <c r="DN114" s="21"/>
      <c r="DU114" s="21"/>
      <c r="EB114" s="21"/>
    </row>
    <row r="115" spans="1:132" s="18" customFormat="1" ht="12" x14ac:dyDescent="0.25">
      <c r="A115" s="72">
        <v>24</v>
      </c>
      <c r="B115" s="69" t="s">
        <v>424</v>
      </c>
      <c r="C115" s="34">
        <f t="shared" si="35"/>
        <v>81692369.154703051</v>
      </c>
      <c r="P115" s="21"/>
      <c r="AC115" s="21"/>
      <c r="AH115" s="21"/>
      <c r="AO115" s="21"/>
      <c r="AV115" s="21"/>
      <c r="BC115" s="21"/>
      <c r="BJ115" s="21"/>
      <c r="BQ115" s="21"/>
      <c r="BX115" s="21"/>
      <c r="CE115" s="21"/>
      <c r="CL115" s="21"/>
      <c r="CS115" s="21"/>
      <c r="CZ115" s="21"/>
      <c r="DG115" s="21"/>
      <c r="DN115" s="21"/>
      <c r="DU115" s="21"/>
      <c r="EB115" s="21"/>
    </row>
    <row r="116" spans="1:132" s="18" customFormat="1" ht="12" x14ac:dyDescent="0.25">
      <c r="A116" s="72">
        <v>25</v>
      </c>
      <c r="B116" s="69" t="s">
        <v>425</v>
      </c>
      <c r="C116" s="34">
        <f t="shared" si="35"/>
        <v>8720522.2106467914</v>
      </c>
      <c r="P116" s="21"/>
      <c r="AC116" s="21"/>
      <c r="AH116" s="21"/>
      <c r="AO116" s="21"/>
      <c r="AV116" s="21"/>
      <c r="BC116" s="21"/>
      <c r="BJ116" s="21"/>
      <c r="BQ116" s="21"/>
      <c r="BX116" s="21"/>
      <c r="CE116" s="21"/>
      <c r="CL116" s="21"/>
      <c r="CS116" s="21"/>
      <c r="CZ116" s="21"/>
      <c r="DG116" s="21"/>
      <c r="DN116" s="21"/>
      <c r="DU116" s="21"/>
      <c r="EB116" s="21"/>
    </row>
    <row r="117" spans="1:132" s="18" customFormat="1" ht="12" x14ac:dyDescent="0.25">
      <c r="A117" s="72">
        <v>26</v>
      </c>
      <c r="B117" s="69" t="s">
        <v>426</v>
      </c>
      <c r="C117" s="34">
        <f t="shared" si="35"/>
        <v>359199.35547110438</v>
      </c>
      <c r="P117" s="21"/>
      <c r="AC117" s="21"/>
      <c r="AH117" s="21"/>
      <c r="AO117" s="21"/>
      <c r="AV117" s="21"/>
      <c r="BC117" s="21"/>
      <c r="BJ117" s="21"/>
      <c r="BQ117" s="21"/>
      <c r="BX117" s="21"/>
      <c r="CE117" s="21"/>
      <c r="CL117" s="21"/>
      <c r="CS117" s="21"/>
      <c r="CZ117" s="21"/>
      <c r="DG117" s="21"/>
      <c r="DN117" s="21"/>
      <c r="DU117" s="21"/>
      <c r="EB117" s="21"/>
    </row>
    <row r="118" spans="1:132" s="18" customFormat="1" ht="12" x14ac:dyDescent="0.25">
      <c r="A118" s="72">
        <v>27</v>
      </c>
      <c r="B118" s="69" t="s">
        <v>427</v>
      </c>
      <c r="C118" s="34">
        <f t="shared" si="35"/>
        <v>46549986.955671549</v>
      </c>
      <c r="P118" s="21"/>
      <c r="AC118" s="21"/>
      <c r="AH118" s="21"/>
      <c r="AO118" s="21"/>
      <c r="AV118" s="21"/>
      <c r="BC118" s="21"/>
      <c r="BJ118" s="21"/>
      <c r="BQ118" s="21"/>
      <c r="BX118" s="21"/>
      <c r="CE118" s="21"/>
      <c r="CL118" s="21"/>
      <c r="CS118" s="21"/>
      <c r="CZ118" s="21"/>
      <c r="DG118" s="21"/>
      <c r="DN118" s="21"/>
      <c r="DU118" s="21"/>
      <c r="EB118" s="21"/>
    </row>
    <row r="119" spans="1:132" s="18" customFormat="1" ht="12" x14ac:dyDescent="0.25">
      <c r="A119" s="72">
        <v>28</v>
      </c>
      <c r="B119" s="69" t="s">
        <v>428</v>
      </c>
      <c r="C119" s="34">
        <f t="shared" si="35"/>
        <v>3462400.8192468067</v>
      </c>
      <c r="P119" s="21"/>
      <c r="AC119" s="21"/>
      <c r="AH119" s="21"/>
      <c r="AO119" s="21"/>
      <c r="AV119" s="21"/>
      <c r="BC119" s="21"/>
      <c r="BJ119" s="21"/>
      <c r="BQ119" s="21"/>
      <c r="BX119" s="21"/>
      <c r="CE119" s="21"/>
      <c r="CL119" s="21"/>
      <c r="CS119" s="21"/>
      <c r="CZ119" s="21"/>
      <c r="DG119" s="21"/>
      <c r="DN119" s="21"/>
      <c r="DU119" s="21"/>
      <c r="EB119" s="21"/>
    </row>
    <row r="120" spans="1:132" s="18" customFormat="1" ht="12" x14ac:dyDescent="0.25">
      <c r="A120" s="72">
        <v>29</v>
      </c>
      <c r="B120" s="69" t="s">
        <v>429</v>
      </c>
      <c r="C120" s="34">
        <f t="shared" si="35"/>
        <v>1956700.1808517708</v>
      </c>
      <c r="P120" s="21"/>
      <c r="AC120" s="21"/>
      <c r="AH120" s="21"/>
      <c r="AO120" s="21"/>
      <c r="AV120" s="21"/>
      <c r="BC120" s="21"/>
      <c r="BJ120" s="21"/>
      <c r="BQ120" s="21"/>
      <c r="BX120" s="21"/>
      <c r="CE120" s="21"/>
      <c r="CL120" s="21"/>
      <c r="CS120" s="21"/>
      <c r="CZ120" s="21"/>
      <c r="DG120" s="21"/>
      <c r="DN120" s="21"/>
      <c r="DU120" s="21"/>
      <c r="EB120" s="21"/>
    </row>
    <row r="121" spans="1:132" s="18" customFormat="1" ht="12" x14ac:dyDescent="0.25">
      <c r="A121" s="72">
        <v>30</v>
      </c>
      <c r="B121" s="69" t="s">
        <v>430</v>
      </c>
      <c r="C121" s="34">
        <f>O33</f>
        <v>16630325.688431714</v>
      </c>
      <c r="P121" s="21"/>
      <c r="AC121" s="21"/>
      <c r="AH121" s="21"/>
      <c r="AO121" s="21"/>
      <c r="AV121" s="21"/>
      <c r="BC121" s="21"/>
      <c r="BJ121" s="21"/>
      <c r="BQ121" s="21"/>
      <c r="BX121" s="21"/>
      <c r="CE121" s="21"/>
      <c r="CL121" s="21"/>
      <c r="CS121" s="21"/>
      <c r="CZ121" s="21"/>
      <c r="DG121" s="21"/>
      <c r="DN121" s="21"/>
      <c r="DU121" s="21"/>
      <c r="EB121" s="21"/>
    </row>
    <row r="122" spans="1:132" s="18" customFormat="1" ht="12" x14ac:dyDescent="0.25">
      <c r="A122" s="72">
        <v>31</v>
      </c>
      <c r="B122" s="69" t="s">
        <v>431</v>
      </c>
      <c r="C122" s="34">
        <f t="shared" ref="C122:C129" si="36">O34</f>
        <v>225247.39417176743</v>
      </c>
      <c r="P122" s="21"/>
      <c r="AC122" s="21"/>
      <c r="AH122" s="21"/>
      <c r="AO122" s="21"/>
      <c r="AV122" s="21"/>
      <c r="BC122" s="21"/>
      <c r="BJ122" s="21"/>
      <c r="BQ122" s="21"/>
      <c r="BX122" s="21"/>
      <c r="CE122" s="21"/>
      <c r="CL122" s="21"/>
      <c r="CS122" s="21"/>
      <c r="CZ122" s="21"/>
      <c r="DG122" s="21"/>
      <c r="DN122" s="21"/>
      <c r="DU122" s="21"/>
      <c r="EB122" s="21"/>
    </row>
    <row r="123" spans="1:132" s="18" customFormat="1" ht="12" x14ac:dyDescent="0.25">
      <c r="A123" s="72">
        <v>32</v>
      </c>
      <c r="B123" s="69" t="s">
        <v>432</v>
      </c>
      <c r="C123" s="34">
        <f t="shared" si="36"/>
        <v>5154.5770813065892</v>
      </c>
      <c r="P123" s="21"/>
      <c r="AC123" s="21"/>
      <c r="AH123" s="21"/>
      <c r="AO123" s="21"/>
      <c r="AV123" s="21"/>
      <c r="BC123" s="21"/>
      <c r="BJ123" s="21"/>
      <c r="BQ123" s="21"/>
      <c r="BX123" s="21"/>
      <c r="CE123" s="21"/>
      <c r="CL123" s="21"/>
      <c r="CS123" s="21"/>
      <c r="CZ123" s="21"/>
      <c r="DG123" s="21"/>
      <c r="DN123" s="21"/>
      <c r="DU123" s="21"/>
      <c r="EB123" s="21"/>
    </row>
    <row r="124" spans="1:132" s="18" customFormat="1" ht="12" x14ac:dyDescent="0.25">
      <c r="A124" s="72">
        <v>33</v>
      </c>
      <c r="B124" s="69" t="s">
        <v>433</v>
      </c>
      <c r="C124" s="34">
        <f t="shared" si="36"/>
        <v>31183337.480435595</v>
      </c>
      <c r="P124" s="21"/>
      <c r="AC124" s="21"/>
      <c r="AH124" s="21"/>
      <c r="AO124" s="21"/>
      <c r="AV124" s="21"/>
      <c r="BC124" s="21"/>
      <c r="BJ124" s="21"/>
      <c r="BQ124" s="21"/>
      <c r="BX124" s="21"/>
      <c r="CE124" s="21"/>
      <c r="CL124" s="21"/>
      <c r="CS124" s="21"/>
      <c r="CZ124" s="21"/>
      <c r="DG124" s="21"/>
      <c r="DN124" s="21"/>
      <c r="DU124" s="21"/>
      <c r="EB124" s="21"/>
    </row>
    <row r="125" spans="1:132" s="18" customFormat="1" ht="12" x14ac:dyDescent="0.25">
      <c r="A125" s="72">
        <v>34</v>
      </c>
      <c r="B125" s="69" t="s">
        <v>434</v>
      </c>
      <c r="C125" s="34">
        <f t="shared" si="36"/>
        <v>29329257.544313375</v>
      </c>
      <c r="P125" s="21"/>
      <c r="AC125" s="21"/>
      <c r="AH125" s="21"/>
      <c r="AO125" s="21"/>
      <c r="AV125" s="21"/>
      <c r="BC125" s="21"/>
      <c r="BJ125" s="21"/>
      <c r="BQ125" s="21"/>
      <c r="BX125" s="21"/>
      <c r="CE125" s="21"/>
      <c r="CL125" s="21"/>
      <c r="CS125" s="21"/>
      <c r="CZ125" s="21"/>
      <c r="DG125" s="21"/>
      <c r="DN125" s="21"/>
      <c r="DU125" s="21"/>
      <c r="EB125" s="21"/>
    </row>
    <row r="126" spans="1:132" s="18" customFormat="1" ht="12" x14ac:dyDescent="0.25">
      <c r="A126" s="72">
        <v>35</v>
      </c>
      <c r="B126" s="69" t="s">
        <v>435</v>
      </c>
      <c r="C126" s="34">
        <f t="shared" si="36"/>
        <v>154490.67097294677</v>
      </c>
      <c r="P126" s="21"/>
      <c r="AC126" s="21"/>
      <c r="AH126" s="21"/>
      <c r="AO126" s="21"/>
      <c r="AV126" s="21"/>
      <c r="BC126" s="21"/>
      <c r="BJ126" s="21"/>
      <c r="BQ126" s="21"/>
      <c r="BX126" s="21"/>
      <c r="CE126" s="21"/>
      <c r="CL126" s="21"/>
      <c r="CS126" s="21"/>
      <c r="CZ126" s="21"/>
      <c r="DG126" s="21"/>
      <c r="DN126" s="21"/>
      <c r="DU126" s="21"/>
      <c r="EB126" s="21"/>
    </row>
    <row r="127" spans="1:132" s="18" customFormat="1" ht="12" x14ac:dyDescent="0.25">
      <c r="A127" s="72">
        <v>36</v>
      </c>
      <c r="B127" s="69" t="s">
        <v>436</v>
      </c>
      <c r="C127" s="34">
        <f t="shared" si="36"/>
        <v>1311819.6508728766</v>
      </c>
      <c r="P127" s="21"/>
      <c r="AC127" s="21"/>
      <c r="AH127" s="21"/>
      <c r="AO127" s="21"/>
      <c r="AV127" s="21"/>
      <c r="BC127" s="21"/>
      <c r="BJ127" s="21"/>
      <c r="BQ127" s="21"/>
      <c r="BX127" s="21"/>
      <c r="CE127" s="21"/>
      <c r="CL127" s="21"/>
      <c r="CS127" s="21"/>
      <c r="CZ127" s="21"/>
      <c r="DG127" s="21"/>
      <c r="DN127" s="21"/>
      <c r="DU127" s="21"/>
      <c r="EB127" s="21"/>
    </row>
    <row r="128" spans="1:132" s="18" customFormat="1" ht="12" x14ac:dyDescent="0.25">
      <c r="A128" s="72">
        <v>37</v>
      </c>
      <c r="B128" s="69" t="s">
        <v>437</v>
      </c>
      <c r="C128" s="34">
        <f t="shared" si="36"/>
        <v>159899097.43622804</v>
      </c>
      <c r="P128" s="21"/>
      <c r="AC128" s="21"/>
      <c r="AH128" s="21"/>
      <c r="AO128" s="21"/>
      <c r="AV128" s="21"/>
      <c r="BC128" s="21"/>
      <c r="BJ128" s="21"/>
      <c r="BQ128" s="21"/>
      <c r="BX128" s="21"/>
      <c r="CE128" s="21"/>
      <c r="CL128" s="21"/>
      <c r="CS128" s="21"/>
      <c r="CZ128" s="21"/>
      <c r="DG128" s="21"/>
      <c r="DN128" s="21"/>
      <c r="DU128" s="21"/>
      <c r="EB128" s="21"/>
    </row>
    <row r="129" spans="1:132" s="18" customFormat="1" ht="12" x14ac:dyDescent="0.25">
      <c r="A129" s="72">
        <v>38</v>
      </c>
      <c r="B129" s="69" t="s">
        <v>438</v>
      </c>
      <c r="C129" s="34">
        <f t="shared" si="36"/>
        <v>164083.52836443452</v>
      </c>
      <c r="P129" s="21"/>
      <c r="AC129" s="21"/>
      <c r="AH129" s="21"/>
      <c r="AO129" s="21"/>
      <c r="AV129" s="21"/>
      <c r="BC129" s="21"/>
      <c r="BJ129" s="21"/>
      <c r="BQ129" s="21"/>
      <c r="BX129" s="21"/>
      <c r="CE129" s="21"/>
      <c r="CL129" s="21"/>
      <c r="CS129" s="21"/>
      <c r="CZ129" s="21"/>
      <c r="DG129" s="21"/>
      <c r="DN129" s="21"/>
      <c r="DU129" s="21"/>
      <c r="EB129" s="21"/>
    </row>
    <row r="130" spans="1:132" s="18" customFormat="1" ht="12" x14ac:dyDescent="0.25">
      <c r="A130" s="72"/>
      <c r="B130" s="69" t="s">
        <v>400</v>
      </c>
      <c r="C130" s="34">
        <f>SUM(C92:C129)</f>
        <v>1676750287.1305709</v>
      </c>
      <c r="P130" s="21"/>
      <c r="AC130" s="21"/>
      <c r="AH130" s="21"/>
      <c r="AO130" s="21"/>
      <c r="AV130" s="21"/>
      <c r="BC130" s="21"/>
      <c r="BJ130" s="21"/>
      <c r="BQ130" s="21"/>
      <c r="BX130" s="21"/>
      <c r="CE130" s="21"/>
      <c r="CL130" s="21"/>
      <c r="CS130" s="21"/>
      <c r="CZ130" s="21"/>
      <c r="DG130" s="21"/>
      <c r="DN130" s="21"/>
      <c r="DU130" s="21"/>
      <c r="EB130" s="21"/>
    </row>
  </sheetData>
  <mergeCells count="90">
    <mergeCell ref="AG2:AG3"/>
    <mergeCell ref="A2:A3"/>
    <mergeCell ref="B2:B3"/>
    <mergeCell ref="C2:N2"/>
    <mergeCell ref="O2:O3"/>
    <mergeCell ref="P2:P3"/>
    <mergeCell ref="Q2:Q3"/>
    <mergeCell ref="R2:AA2"/>
    <mergeCell ref="AB2:AB3"/>
    <mergeCell ref="AC2:AC3"/>
    <mergeCell ref="AD2:AD3"/>
    <mergeCell ref="AE2:AF2"/>
    <mergeCell ref="DG2:DG3"/>
    <mergeCell ref="DH2:DH3"/>
    <mergeCell ref="DI2:DL2"/>
    <mergeCell ref="BB2:BB3"/>
    <mergeCell ref="AH2:AH3"/>
    <mergeCell ref="AI2:AI3"/>
    <mergeCell ref="AJ2:AM2"/>
    <mergeCell ref="AN2:AN3"/>
    <mergeCell ref="AO2:AO3"/>
    <mergeCell ref="AP2:AP3"/>
    <mergeCell ref="AQ2:AT2"/>
    <mergeCell ref="AU2:AU3"/>
    <mergeCell ref="AV2:AV3"/>
    <mergeCell ref="AW2:AW3"/>
    <mergeCell ref="AX2:BA2"/>
    <mergeCell ref="DF2:DF3"/>
    <mergeCell ref="EB2:EB3"/>
    <mergeCell ref="EC2:EC3"/>
    <mergeCell ref="ED2:EG2"/>
    <mergeCell ref="EH2:EH3"/>
    <mergeCell ref="CZ2:CZ3"/>
    <mergeCell ref="DA2:DA3"/>
    <mergeCell ref="DB2:DE2"/>
    <mergeCell ref="DM2:DM3"/>
    <mergeCell ref="DN2:DN3"/>
    <mergeCell ref="DO2:DO3"/>
    <mergeCell ref="DP2:DS2"/>
    <mergeCell ref="DT2:DT3"/>
    <mergeCell ref="DU2:DU3"/>
    <mergeCell ref="DV2:DV3"/>
    <mergeCell ref="DW2:DZ2"/>
    <mergeCell ref="EA2:EA3"/>
    <mergeCell ref="CS2:CS3"/>
    <mergeCell ref="CT2:CT3"/>
    <mergeCell ref="CU2:CX2"/>
    <mergeCell ref="CY2:CY3"/>
    <mergeCell ref="CR2:CR3"/>
    <mergeCell ref="CL2:CL3"/>
    <mergeCell ref="CM2:CM3"/>
    <mergeCell ref="BX2:BX3"/>
    <mergeCell ref="BY2:BY3"/>
    <mergeCell ref="BZ2:CC2"/>
    <mergeCell ref="CD2:CD3"/>
    <mergeCell ref="CE2:CE3"/>
    <mergeCell ref="CN2:CQ2"/>
    <mergeCell ref="BW2:BW3"/>
    <mergeCell ref="BC2:BC3"/>
    <mergeCell ref="BD2:BD3"/>
    <mergeCell ref="BE2:BH2"/>
    <mergeCell ref="BI2:BI3"/>
    <mergeCell ref="BJ2:BJ3"/>
    <mergeCell ref="BK2:BK3"/>
    <mergeCell ref="BL2:BO2"/>
    <mergeCell ref="BP2:BP3"/>
    <mergeCell ref="BQ2:BQ3"/>
    <mergeCell ref="BR2:BR3"/>
    <mergeCell ref="BS2:BV2"/>
    <mergeCell ref="CF2:CF3"/>
    <mergeCell ref="CG2:CJ2"/>
    <mergeCell ref="CK2:CK3"/>
    <mergeCell ref="CS1:CY1"/>
    <mergeCell ref="EB1:EH1"/>
    <mergeCell ref="CZ1:DF1"/>
    <mergeCell ref="DN1:DT1"/>
    <mergeCell ref="DU1:EA1"/>
    <mergeCell ref="DG1:DM1"/>
    <mergeCell ref="CL1:CR1"/>
    <mergeCell ref="AH1:AN1"/>
    <mergeCell ref="AO1:AU1"/>
    <mergeCell ref="AV1:BB1"/>
    <mergeCell ref="A1:O1"/>
    <mergeCell ref="P1:AB1"/>
    <mergeCell ref="AC1:AG1"/>
    <mergeCell ref="BC1:BI1"/>
    <mergeCell ref="BJ1:BP1"/>
    <mergeCell ref="BQ1:BW1"/>
    <mergeCell ref="BX1:CD1"/>
    <mergeCell ref="CE1:CK1"/>
  </mergeCells>
  <pageMargins left="0.35433070866141736" right="0" top="0.59055118110236227" bottom="0.35433070866141736" header="0.31496062992125984" footer="0.31496062992125984"/>
  <pageSetup paperSize="9" scale="90" firstPageNumber="55" orientation="landscape" useFirstPageNumber="1" r:id="rId1"/>
  <headerFooter>
    <oddFooter>&amp;C&amp;P</oddFooter>
  </headerFooter>
  <colBreaks count="16" manualBreakCount="16">
    <brk id="28" max="1048575" man="1"/>
    <brk id="33" max="41" man="1"/>
    <brk id="40" max="1048575" man="1"/>
    <brk id="47" max="1048575" man="1"/>
    <brk id="54" max="1048575" man="1"/>
    <brk id="61" max="1048575" man="1"/>
    <brk id="68" max="1048575" man="1"/>
    <brk id="75" max="1048575" man="1"/>
    <brk id="82" max="1048575" man="1"/>
    <brk id="89" max="1048575" man="1"/>
    <brk id="96" max="1048575" man="1"/>
    <brk id="103" max="1048575" man="1"/>
    <brk id="110" max="1048575" man="1"/>
    <brk id="117" max="1048575" man="1"/>
    <brk id="124" max="1048575" man="1"/>
    <brk id="131" max="4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231D-CD3E-4F6D-99A8-B1B6FB8664CA}">
  <dimension ref="A1:EH130"/>
  <sheetViews>
    <sheetView view="pageBreakPreview" zoomScale="70" zoomScaleNormal="40" zoomScaleSheetLayoutView="70" workbookViewId="0">
      <selection activeCell="A91" sqref="A91"/>
    </sheetView>
  </sheetViews>
  <sheetFormatPr defaultColWidth="7.77734375" defaultRowHeight="10.199999999999999" customHeight="1" x14ac:dyDescent="0.2"/>
  <cols>
    <col min="1" max="1" width="4.6640625" style="9" customWidth="1"/>
    <col min="2" max="2" width="16.5546875" style="1" customWidth="1"/>
    <col min="3" max="3" width="11" style="1" customWidth="1"/>
    <col min="4" max="4" width="13.44140625" style="1" customWidth="1"/>
    <col min="5" max="5" width="14.109375" style="1" bestFit="1" customWidth="1"/>
    <col min="6" max="6" width="12.77734375" style="1" customWidth="1"/>
    <col min="7" max="7" width="11.21875" style="1" customWidth="1"/>
    <col min="8" max="8" width="13.44140625" style="1" customWidth="1"/>
    <col min="9" max="9" width="12.77734375" style="1" customWidth="1"/>
    <col min="10" max="10" width="13.33203125" style="1" customWidth="1"/>
    <col min="11" max="11" width="12.44140625" style="1" customWidth="1"/>
    <col min="12" max="13" width="13.44140625" style="1" customWidth="1"/>
    <col min="14" max="14" width="13.77734375" style="1" customWidth="1"/>
    <col min="15" max="15" width="14.6640625" style="1" customWidth="1"/>
    <col min="16" max="16" width="4.5546875" style="9" customWidth="1"/>
    <col min="17" max="17" width="16.109375" style="1" customWidth="1"/>
    <col min="18" max="18" width="12.6640625" style="1" bestFit="1" customWidth="1"/>
    <col min="19" max="19" width="14.88671875" style="1" bestFit="1" customWidth="1"/>
    <col min="20" max="20" width="16" style="1" bestFit="1" customWidth="1"/>
    <col min="21" max="21" width="14.21875" style="1" bestFit="1" customWidth="1"/>
    <col min="22" max="22" width="13" style="1" bestFit="1" customWidth="1"/>
    <col min="23" max="23" width="14.21875" style="1" bestFit="1" customWidth="1"/>
    <col min="24" max="24" width="13.77734375" style="1" bestFit="1" customWidth="1"/>
    <col min="25" max="25" width="15.88671875" style="1" bestFit="1" customWidth="1"/>
    <col min="26" max="26" width="14" style="1" bestFit="1" customWidth="1"/>
    <col min="27" max="27" width="14.88671875" style="1" bestFit="1" customWidth="1"/>
    <col min="28" max="28" width="16.21875" style="1" bestFit="1" customWidth="1"/>
    <col min="29" max="29" width="7.77734375" style="9"/>
    <col min="30" max="30" width="44.21875" style="1" customWidth="1"/>
    <col min="31" max="33" width="14.33203125" style="1" customWidth="1"/>
    <col min="34" max="34" width="7.77734375" style="9"/>
    <col min="35" max="35" width="44.21875" style="1" customWidth="1"/>
    <col min="36" max="40" width="14.5546875" style="1" customWidth="1"/>
    <col min="41" max="41" width="7.77734375" style="9"/>
    <col min="42" max="42" width="44.21875" style="1" customWidth="1"/>
    <col min="43" max="47" width="14.33203125" style="1" customWidth="1"/>
    <col min="48" max="48" width="7.77734375" style="9"/>
    <col min="49" max="49" width="44.21875" style="1" customWidth="1"/>
    <col min="50" max="54" width="14.5546875" style="1" customWidth="1"/>
    <col min="55" max="55" width="7.77734375" style="9"/>
    <col min="56" max="56" width="44.21875" style="1" customWidth="1"/>
    <col min="57" max="61" width="14.5546875" style="1" customWidth="1"/>
    <col min="62" max="62" width="7.77734375" style="9"/>
    <col min="63" max="63" width="44.21875" style="1" customWidth="1"/>
    <col min="64" max="68" width="14.5546875" style="1" customWidth="1"/>
    <col min="69" max="69" width="7.77734375" style="9"/>
    <col min="70" max="70" width="44.21875" style="1" customWidth="1"/>
    <col min="71" max="75" width="14.44140625" style="1" customWidth="1"/>
    <col min="76" max="76" width="7.77734375" style="9"/>
    <col min="77" max="77" width="44.21875" style="1" customWidth="1"/>
    <col min="78" max="82" width="14.33203125" style="1" customWidth="1"/>
    <col min="83" max="83" width="7.77734375" style="9"/>
    <col min="84" max="84" width="44.21875" style="1" customWidth="1"/>
    <col min="85" max="89" width="14.33203125" style="1" customWidth="1"/>
    <col min="90" max="90" width="7.77734375" style="9"/>
    <col min="91" max="91" width="44.21875" style="1" customWidth="1"/>
    <col min="92" max="96" width="14.44140625" style="1" customWidth="1"/>
    <col min="97" max="97" width="7.77734375" style="9"/>
    <col min="98" max="98" width="44.21875" style="1" customWidth="1"/>
    <col min="99" max="103" width="14.5546875" style="1" customWidth="1"/>
    <col min="104" max="104" width="7.77734375" style="9"/>
    <col min="105" max="105" width="44.21875" style="1" customWidth="1"/>
    <col min="106" max="110" width="14.21875" style="1" customWidth="1"/>
    <col min="111" max="111" width="7.77734375" style="9"/>
    <col min="112" max="112" width="44.21875" style="1" customWidth="1"/>
    <col min="113" max="114" width="9.44140625" style="1" bestFit="1" customWidth="1"/>
    <col min="115" max="115" width="11.6640625" style="1" bestFit="1" customWidth="1"/>
    <col min="116" max="117" width="13.5546875" style="1" bestFit="1" customWidth="1"/>
    <col min="118" max="118" width="7.77734375" style="9"/>
    <col min="119" max="119" width="44.21875" style="1" customWidth="1"/>
    <col min="120" max="124" width="14.44140625" style="1" customWidth="1"/>
    <col min="125" max="125" width="7.77734375" style="9"/>
    <col min="126" max="126" width="44.21875" style="1" customWidth="1"/>
    <col min="127" max="131" width="14.44140625" style="1" customWidth="1"/>
    <col min="132" max="132" width="7.77734375" style="9"/>
    <col min="133" max="133" width="44.21875" style="1" customWidth="1"/>
    <col min="134" max="138" width="14.44140625" style="1" customWidth="1"/>
    <col min="139" max="16384" width="7.77734375" style="1"/>
  </cols>
  <sheetData>
    <row r="1" spans="1:138" s="38" customFormat="1" ht="21" customHeight="1" x14ac:dyDescent="0.3">
      <c r="A1" s="97" t="s">
        <v>213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 t="s">
        <v>214</v>
      </c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 t="s">
        <v>215</v>
      </c>
      <c r="AD1" s="97"/>
      <c r="AE1" s="97"/>
      <c r="AF1" s="97"/>
      <c r="AG1" s="97"/>
      <c r="AH1" s="97" t="s">
        <v>216</v>
      </c>
      <c r="AI1" s="97"/>
      <c r="AJ1" s="97"/>
      <c r="AK1" s="97"/>
      <c r="AL1" s="97"/>
      <c r="AM1" s="97"/>
      <c r="AN1" s="97"/>
      <c r="AO1" s="97" t="s">
        <v>217</v>
      </c>
      <c r="AP1" s="97"/>
      <c r="AQ1" s="97"/>
      <c r="AR1" s="97"/>
      <c r="AS1" s="97"/>
      <c r="AT1" s="97"/>
      <c r="AU1" s="97"/>
      <c r="AV1" s="97" t="s">
        <v>218</v>
      </c>
      <c r="AW1" s="97"/>
      <c r="AX1" s="97"/>
      <c r="AY1" s="97"/>
      <c r="AZ1" s="97"/>
      <c r="BA1" s="97"/>
      <c r="BB1" s="97"/>
      <c r="BC1" s="97" t="s">
        <v>219</v>
      </c>
      <c r="BD1" s="97"/>
      <c r="BE1" s="97"/>
      <c r="BF1" s="97"/>
      <c r="BG1" s="97"/>
      <c r="BH1" s="97"/>
      <c r="BI1" s="97"/>
      <c r="BJ1" s="97" t="s">
        <v>220</v>
      </c>
      <c r="BK1" s="97"/>
      <c r="BL1" s="97"/>
      <c r="BM1" s="97"/>
      <c r="BN1" s="97"/>
      <c r="BO1" s="97"/>
      <c r="BP1" s="97"/>
      <c r="BQ1" s="97" t="s">
        <v>221</v>
      </c>
      <c r="BR1" s="97"/>
      <c r="BS1" s="97"/>
      <c r="BT1" s="97"/>
      <c r="BU1" s="97"/>
      <c r="BV1" s="97"/>
      <c r="BW1" s="97"/>
      <c r="BX1" s="97" t="s">
        <v>222</v>
      </c>
      <c r="BY1" s="97"/>
      <c r="BZ1" s="97"/>
      <c r="CA1" s="97"/>
      <c r="CB1" s="97"/>
      <c r="CC1" s="97"/>
      <c r="CD1" s="97"/>
      <c r="CE1" s="97" t="s">
        <v>223</v>
      </c>
      <c r="CF1" s="97"/>
      <c r="CG1" s="97"/>
      <c r="CH1" s="97"/>
      <c r="CI1" s="97"/>
      <c r="CJ1" s="97"/>
      <c r="CK1" s="97"/>
      <c r="CL1" s="97" t="s">
        <v>224</v>
      </c>
      <c r="CM1" s="97"/>
      <c r="CN1" s="97"/>
      <c r="CO1" s="97"/>
      <c r="CP1" s="97"/>
      <c r="CQ1" s="97"/>
      <c r="CR1" s="97"/>
      <c r="CS1" s="97" t="s">
        <v>225</v>
      </c>
      <c r="CT1" s="97"/>
      <c r="CU1" s="97"/>
      <c r="CV1" s="97"/>
      <c r="CW1" s="97"/>
      <c r="CX1" s="97"/>
      <c r="CY1" s="97"/>
      <c r="CZ1" s="97" t="s">
        <v>226</v>
      </c>
      <c r="DA1" s="97"/>
      <c r="DB1" s="97"/>
      <c r="DC1" s="97"/>
      <c r="DD1" s="97"/>
      <c r="DE1" s="97"/>
      <c r="DF1" s="97"/>
      <c r="DG1" s="97" t="s">
        <v>227</v>
      </c>
      <c r="DH1" s="97"/>
      <c r="DI1" s="97"/>
      <c r="DJ1" s="97"/>
      <c r="DK1" s="97"/>
      <c r="DL1" s="97"/>
      <c r="DM1" s="97"/>
      <c r="DN1" s="97" t="s">
        <v>228</v>
      </c>
      <c r="DO1" s="97"/>
      <c r="DP1" s="97"/>
      <c r="DQ1" s="97"/>
      <c r="DR1" s="97"/>
      <c r="DS1" s="97"/>
      <c r="DT1" s="97"/>
      <c r="DU1" s="97" t="s">
        <v>229</v>
      </c>
      <c r="DV1" s="97"/>
      <c r="DW1" s="97"/>
      <c r="DX1" s="97"/>
      <c r="DY1" s="97"/>
      <c r="DZ1" s="97"/>
      <c r="EA1" s="97"/>
      <c r="EB1" s="97" t="s">
        <v>230</v>
      </c>
      <c r="EC1" s="97"/>
      <c r="ED1" s="97"/>
      <c r="EE1" s="97"/>
      <c r="EF1" s="97"/>
      <c r="EG1" s="97"/>
      <c r="EH1" s="97"/>
    </row>
    <row r="2" spans="1:138" s="10" customFormat="1" ht="21" customHeight="1" x14ac:dyDescent="0.3">
      <c r="A2" s="98" t="s">
        <v>0</v>
      </c>
      <c r="B2" s="98" t="s">
        <v>1</v>
      </c>
      <c r="C2" s="98" t="s">
        <v>4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 t="s">
        <v>3</v>
      </c>
      <c r="P2" s="98" t="s">
        <v>0</v>
      </c>
      <c r="Q2" s="98" t="s">
        <v>1</v>
      </c>
      <c r="R2" s="98" t="s">
        <v>4</v>
      </c>
      <c r="S2" s="98"/>
      <c r="T2" s="98"/>
      <c r="U2" s="98"/>
      <c r="V2" s="98"/>
      <c r="W2" s="98"/>
      <c r="X2" s="98"/>
      <c r="Y2" s="98"/>
      <c r="Z2" s="98"/>
      <c r="AA2" s="98"/>
      <c r="AB2" s="98" t="s">
        <v>3</v>
      </c>
      <c r="AC2" s="98" t="s">
        <v>0</v>
      </c>
      <c r="AD2" s="98" t="s">
        <v>1</v>
      </c>
      <c r="AE2" s="98" t="s">
        <v>4</v>
      </c>
      <c r="AF2" s="98"/>
      <c r="AG2" s="98" t="s">
        <v>3</v>
      </c>
      <c r="AH2" s="98" t="s">
        <v>0</v>
      </c>
      <c r="AI2" s="98" t="s">
        <v>1</v>
      </c>
      <c r="AJ2" s="98" t="s">
        <v>2</v>
      </c>
      <c r="AK2" s="98"/>
      <c r="AL2" s="98"/>
      <c r="AM2" s="98"/>
      <c r="AN2" s="98" t="s">
        <v>3</v>
      </c>
      <c r="AO2" s="98" t="s">
        <v>0</v>
      </c>
      <c r="AP2" s="98" t="s">
        <v>1</v>
      </c>
      <c r="AQ2" s="98" t="s">
        <v>2</v>
      </c>
      <c r="AR2" s="98"/>
      <c r="AS2" s="98"/>
      <c r="AT2" s="98"/>
      <c r="AU2" s="98" t="s">
        <v>3</v>
      </c>
      <c r="AV2" s="98" t="s">
        <v>0</v>
      </c>
      <c r="AW2" s="98" t="s">
        <v>1</v>
      </c>
      <c r="AX2" s="98" t="s">
        <v>2</v>
      </c>
      <c r="AY2" s="98"/>
      <c r="AZ2" s="98"/>
      <c r="BA2" s="98"/>
      <c r="BB2" s="98" t="s">
        <v>3</v>
      </c>
      <c r="BC2" s="98" t="s">
        <v>0</v>
      </c>
      <c r="BD2" s="98" t="s">
        <v>1</v>
      </c>
      <c r="BE2" s="98" t="s">
        <v>2</v>
      </c>
      <c r="BF2" s="98"/>
      <c r="BG2" s="98"/>
      <c r="BH2" s="98"/>
      <c r="BI2" s="98" t="s">
        <v>3</v>
      </c>
      <c r="BJ2" s="98" t="s">
        <v>0</v>
      </c>
      <c r="BK2" s="98" t="s">
        <v>1</v>
      </c>
      <c r="BL2" s="98" t="s">
        <v>2</v>
      </c>
      <c r="BM2" s="98"/>
      <c r="BN2" s="98"/>
      <c r="BO2" s="98"/>
      <c r="BP2" s="98" t="s">
        <v>3</v>
      </c>
      <c r="BQ2" s="98" t="s">
        <v>0</v>
      </c>
      <c r="BR2" s="98" t="s">
        <v>1</v>
      </c>
      <c r="BS2" s="98" t="s">
        <v>2</v>
      </c>
      <c r="BT2" s="98"/>
      <c r="BU2" s="98"/>
      <c r="BV2" s="98"/>
      <c r="BW2" s="98" t="s">
        <v>3</v>
      </c>
      <c r="BX2" s="98" t="s">
        <v>0</v>
      </c>
      <c r="BY2" s="98" t="s">
        <v>1</v>
      </c>
      <c r="BZ2" s="98" t="s">
        <v>2</v>
      </c>
      <c r="CA2" s="98"/>
      <c r="CB2" s="98"/>
      <c r="CC2" s="98"/>
      <c r="CD2" s="98" t="s">
        <v>3</v>
      </c>
      <c r="CE2" s="98" t="s">
        <v>0</v>
      </c>
      <c r="CF2" s="98" t="s">
        <v>1</v>
      </c>
      <c r="CG2" s="98" t="s">
        <v>2</v>
      </c>
      <c r="CH2" s="98"/>
      <c r="CI2" s="98"/>
      <c r="CJ2" s="98"/>
      <c r="CK2" s="98" t="s">
        <v>3</v>
      </c>
      <c r="CL2" s="98" t="s">
        <v>0</v>
      </c>
      <c r="CM2" s="98" t="s">
        <v>1</v>
      </c>
      <c r="CN2" s="98" t="s">
        <v>2</v>
      </c>
      <c r="CO2" s="98"/>
      <c r="CP2" s="98"/>
      <c r="CQ2" s="98"/>
      <c r="CR2" s="98" t="s">
        <v>3</v>
      </c>
      <c r="CS2" s="98" t="s">
        <v>0</v>
      </c>
      <c r="CT2" s="98" t="s">
        <v>1</v>
      </c>
      <c r="CU2" s="98" t="s">
        <v>2</v>
      </c>
      <c r="CV2" s="98"/>
      <c r="CW2" s="98"/>
      <c r="CX2" s="98"/>
      <c r="CY2" s="98" t="s">
        <v>3</v>
      </c>
      <c r="CZ2" s="98" t="s">
        <v>0</v>
      </c>
      <c r="DA2" s="98" t="s">
        <v>1</v>
      </c>
      <c r="DB2" s="98" t="s">
        <v>2</v>
      </c>
      <c r="DC2" s="98"/>
      <c r="DD2" s="98"/>
      <c r="DE2" s="98"/>
      <c r="DF2" s="98" t="s">
        <v>3</v>
      </c>
      <c r="DG2" s="98" t="s">
        <v>0</v>
      </c>
      <c r="DH2" s="98" t="s">
        <v>1</v>
      </c>
      <c r="DI2" s="98" t="s">
        <v>2</v>
      </c>
      <c r="DJ2" s="98"/>
      <c r="DK2" s="98"/>
      <c r="DL2" s="98"/>
      <c r="DM2" s="98" t="s">
        <v>3</v>
      </c>
      <c r="DN2" s="98" t="s">
        <v>0</v>
      </c>
      <c r="DO2" s="98" t="s">
        <v>1</v>
      </c>
      <c r="DP2" s="98" t="s">
        <v>2</v>
      </c>
      <c r="DQ2" s="98"/>
      <c r="DR2" s="98"/>
      <c r="DS2" s="98"/>
      <c r="DT2" s="98" t="s">
        <v>3</v>
      </c>
      <c r="DU2" s="98" t="s">
        <v>0</v>
      </c>
      <c r="DV2" s="98" t="s">
        <v>1</v>
      </c>
      <c r="DW2" s="98" t="s">
        <v>2</v>
      </c>
      <c r="DX2" s="98"/>
      <c r="DY2" s="98"/>
      <c r="DZ2" s="98"/>
      <c r="EA2" s="98" t="s">
        <v>3</v>
      </c>
      <c r="EB2" s="98" t="s">
        <v>0</v>
      </c>
      <c r="EC2" s="98" t="s">
        <v>1</v>
      </c>
      <c r="ED2" s="98" t="s">
        <v>2</v>
      </c>
      <c r="EE2" s="98"/>
      <c r="EF2" s="98"/>
      <c r="EG2" s="98"/>
      <c r="EH2" s="98" t="s">
        <v>3</v>
      </c>
    </row>
    <row r="3" spans="1:138" s="10" customFormat="1" ht="48.6" customHeight="1" x14ac:dyDescent="0.3">
      <c r="A3" s="98"/>
      <c r="B3" s="98"/>
      <c r="C3" s="11" t="s">
        <v>9</v>
      </c>
      <c r="D3" s="11" t="s">
        <v>10</v>
      </c>
      <c r="E3" s="11" t="s">
        <v>11</v>
      </c>
      <c r="F3" s="11" t="s">
        <v>12</v>
      </c>
      <c r="G3" s="24" t="s">
        <v>13</v>
      </c>
      <c r="H3" s="24" t="s">
        <v>14</v>
      </c>
      <c r="I3" s="24" t="s">
        <v>131</v>
      </c>
      <c r="J3" s="24" t="s">
        <v>132</v>
      </c>
      <c r="K3" s="24" t="s">
        <v>17</v>
      </c>
      <c r="L3" s="24" t="s">
        <v>18</v>
      </c>
      <c r="M3" s="24" t="s">
        <v>19</v>
      </c>
      <c r="N3" s="24" t="s">
        <v>137</v>
      </c>
      <c r="O3" s="98"/>
      <c r="P3" s="98"/>
      <c r="Q3" s="98"/>
      <c r="R3" s="11" t="s">
        <v>9</v>
      </c>
      <c r="S3" s="11" t="s">
        <v>10</v>
      </c>
      <c r="T3" s="11" t="s">
        <v>11</v>
      </c>
      <c r="U3" s="11" t="s">
        <v>12</v>
      </c>
      <c r="V3" s="24" t="s">
        <v>13</v>
      </c>
      <c r="W3" s="24" t="s">
        <v>14</v>
      </c>
      <c r="X3" s="24" t="s">
        <v>131</v>
      </c>
      <c r="Y3" s="24" t="s">
        <v>132</v>
      </c>
      <c r="Z3" s="24" t="s">
        <v>134</v>
      </c>
      <c r="AA3" s="24" t="s">
        <v>18</v>
      </c>
      <c r="AB3" s="98"/>
      <c r="AC3" s="98"/>
      <c r="AD3" s="98"/>
      <c r="AE3" s="24" t="s">
        <v>19</v>
      </c>
      <c r="AF3" s="24" t="s">
        <v>133</v>
      </c>
      <c r="AG3" s="98"/>
      <c r="AH3" s="98"/>
      <c r="AI3" s="98"/>
      <c r="AJ3" s="11" t="s">
        <v>5</v>
      </c>
      <c r="AK3" s="11" t="s">
        <v>6</v>
      </c>
      <c r="AL3" s="11" t="s">
        <v>7</v>
      </c>
      <c r="AM3" s="11" t="s">
        <v>8</v>
      </c>
      <c r="AN3" s="98"/>
      <c r="AO3" s="98"/>
      <c r="AP3" s="98"/>
      <c r="AQ3" s="11" t="s">
        <v>5</v>
      </c>
      <c r="AR3" s="11" t="s">
        <v>6</v>
      </c>
      <c r="AS3" s="11" t="s">
        <v>7</v>
      </c>
      <c r="AT3" s="11" t="s">
        <v>8</v>
      </c>
      <c r="AU3" s="98"/>
      <c r="AV3" s="98"/>
      <c r="AW3" s="98"/>
      <c r="AX3" s="11" t="s">
        <v>5</v>
      </c>
      <c r="AY3" s="11" t="s">
        <v>6</v>
      </c>
      <c r="AZ3" s="11" t="s">
        <v>7</v>
      </c>
      <c r="BA3" s="11" t="s">
        <v>8</v>
      </c>
      <c r="BB3" s="98"/>
      <c r="BC3" s="98"/>
      <c r="BD3" s="98"/>
      <c r="BE3" s="11" t="s">
        <v>5</v>
      </c>
      <c r="BF3" s="11" t="s">
        <v>6</v>
      </c>
      <c r="BG3" s="11" t="s">
        <v>7</v>
      </c>
      <c r="BH3" s="11" t="s">
        <v>8</v>
      </c>
      <c r="BI3" s="98"/>
      <c r="BJ3" s="98"/>
      <c r="BK3" s="98"/>
      <c r="BL3" s="11" t="s">
        <v>5</v>
      </c>
      <c r="BM3" s="11" t="s">
        <v>6</v>
      </c>
      <c r="BN3" s="11" t="s">
        <v>7</v>
      </c>
      <c r="BO3" s="11" t="s">
        <v>8</v>
      </c>
      <c r="BP3" s="98"/>
      <c r="BQ3" s="98"/>
      <c r="BR3" s="98"/>
      <c r="BS3" s="11" t="s">
        <v>5</v>
      </c>
      <c r="BT3" s="11" t="s">
        <v>6</v>
      </c>
      <c r="BU3" s="11" t="s">
        <v>7</v>
      </c>
      <c r="BV3" s="11" t="s">
        <v>8</v>
      </c>
      <c r="BW3" s="98"/>
      <c r="BX3" s="98"/>
      <c r="BY3" s="98"/>
      <c r="BZ3" s="11" t="s">
        <v>5</v>
      </c>
      <c r="CA3" s="11" t="s">
        <v>6</v>
      </c>
      <c r="CB3" s="11" t="s">
        <v>7</v>
      </c>
      <c r="CC3" s="11" t="s">
        <v>8</v>
      </c>
      <c r="CD3" s="98"/>
      <c r="CE3" s="98"/>
      <c r="CF3" s="98"/>
      <c r="CG3" s="11" t="s">
        <v>5</v>
      </c>
      <c r="CH3" s="11" t="s">
        <v>6</v>
      </c>
      <c r="CI3" s="11" t="s">
        <v>7</v>
      </c>
      <c r="CJ3" s="11" t="s">
        <v>8</v>
      </c>
      <c r="CK3" s="98"/>
      <c r="CL3" s="98"/>
      <c r="CM3" s="98"/>
      <c r="CN3" s="11" t="s">
        <v>5</v>
      </c>
      <c r="CO3" s="11" t="s">
        <v>6</v>
      </c>
      <c r="CP3" s="11" t="s">
        <v>7</v>
      </c>
      <c r="CQ3" s="11" t="s">
        <v>8</v>
      </c>
      <c r="CR3" s="98"/>
      <c r="CS3" s="98"/>
      <c r="CT3" s="98"/>
      <c r="CU3" s="11" t="s">
        <v>5</v>
      </c>
      <c r="CV3" s="11" t="s">
        <v>6</v>
      </c>
      <c r="CW3" s="11" t="s">
        <v>7</v>
      </c>
      <c r="CX3" s="11" t="s">
        <v>8</v>
      </c>
      <c r="CY3" s="98"/>
      <c r="CZ3" s="98"/>
      <c r="DA3" s="98"/>
      <c r="DB3" s="11" t="s">
        <v>5</v>
      </c>
      <c r="DC3" s="11" t="s">
        <v>6</v>
      </c>
      <c r="DD3" s="11" t="s">
        <v>7</v>
      </c>
      <c r="DE3" s="11" t="s">
        <v>8</v>
      </c>
      <c r="DF3" s="98"/>
      <c r="DG3" s="98"/>
      <c r="DH3" s="98"/>
      <c r="DI3" s="11" t="s">
        <v>5</v>
      </c>
      <c r="DJ3" s="11" t="s">
        <v>6</v>
      </c>
      <c r="DK3" s="11" t="s">
        <v>7</v>
      </c>
      <c r="DL3" s="11" t="s">
        <v>8</v>
      </c>
      <c r="DM3" s="98"/>
      <c r="DN3" s="98"/>
      <c r="DO3" s="98"/>
      <c r="DP3" s="11" t="s">
        <v>5</v>
      </c>
      <c r="DQ3" s="11" t="s">
        <v>6</v>
      </c>
      <c r="DR3" s="11" t="s">
        <v>7</v>
      </c>
      <c r="DS3" s="11" t="s">
        <v>8</v>
      </c>
      <c r="DT3" s="98"/>
      <c r="DU3" s="98"/>
      <c r="DV3" s="98"/>
      <c r="DW3" s="11" t="s">
        <v>5</v>
      </c>
      <c r="DX3" s="11" t="s">
        <v>6</v>
      </c>
      <c r="DY3" s="11" t="s">
        <v>7</v>
      </c>
      <c r="DZ3" s="11" t="s">
        <v>8</v>
      </c>
      <c r="EA3" s="98"/>
      <c r="EB3" s="98"/>
      <c r="EC3" s="98"/>
      <c r="ED3" s="11" t="s">
        <v>5</v>
      </c>
      <c r="EE3" s="11" t="s">
        <v>6</v>
      </c>
      <c r="EF3" s="11" t="s">
        <v>7</v>
      </c>
      <c r="EG3" s="11" t="s">
        <v>8</v>
      </c>
      <c r="EH3" s="98"/>
    </row>
    <row r="4" spans="1:138" ht="10.199999999999999" customHeight="1" x14ac:dyDescent="0.2">
      <c r="A4" s="7" t="s">
        <v>110</v>
      </c>
      <c r="B4" s="2" t="s">
        <v>38</v>
      </c>
      <c r="C4" s="3">
        <f>BI4</f>
        <v>734667314.93808961</v>
      </c>
      <c r="D4" s="3">
        <f>BP4</f>
        <v>47371288574.400764</v>
      </c>
      <c r="E4" s="3">
        <f>BW4</f>
        <v>21524504534.064453</v>
      </c>
      <c r="F4" s="3">
        <f>CD4</f>
        <v>157039903.10630822</v>
      </c>
      <c r="G4" s="3">
        <f>CK4</f>
        <v>52989492166.136856</v>
      </c>
      <c r="H4" s="3">
        <f>CR4</f>
        <v>0</v>
      </c>
      <c r="I4" s="3">
        <f>CY4</f>
        <v>415071250.36612058</v>
      </c>
      <c r="J4" s="3">
        <f>DM4</f>
        <v>9499017.2676022574</v>
      </c>
      <c r="K4" s="3">
        <f>DF4</f>
        <v>3118035638.4709978</v>
      </c>
      <c r="L4" s="3">
        <f>DT4</f>
        <v>1741710527.9250977</v>
      </c>
      <c r="M4" s="3">
        <f>EH4</f>
        <v>1537151812.3114386</v>
      </c>
      <c r="N4" s="3">
        <f>EA4</f>
        <v>57667889.552577347</v>
      </c>
      <c r="O4" s="3">
        <f>SUM(C4:N4)</f>
        <v>129656128628.5403</v>
      </c>
      <c r="P4" s="7" t="s">
        <v>110</v>
      </c>
      <c r="Q4" s="2" t="s">
        <v>38</v>
      </c>
      <c r="R4" s="3">
        <f t="shared" ref="R4:AA4" si="0">C4</f>
        <v>734667314.93808961</v>
      </c>
      <c r="S4" s="3">
        <f t="shared" si="0"/>
        <v>47371288574.400764</v>
      </c>
      <c r="T4" s="3">
        <f t="shared" si="0"/>
        <v>21524504534.064453</v>
      </c>
      <c r="U4" s="3">
        <f t="shared" si="0"/>
        <v>157039903.10630822</v>
      </c>
      <c r="V4" s="3">
        <f t="shared" si="0"/>
        <v>52989492166.136856</v>
      </c>
      <c r="W4" s="3">
        <f t="shared" si="0"/>
        <v>0</v>
      </c>
      <c r="X4" s="3">
        <f t="shared" si="0"/>
        <v>415071250.36612058</v>
      </c>
      <c r="Y4" s="3">
        <f t="shared" si="0"/>
        <v>9499017.2676022574</v>
      </c>
      <c r="Z4" s="3">
        <f t="shared" si="0"/>
        <v>3118035638.4709978</v>
      </c>
      <c r="AA4" s="3">
        <f t="shared" si="0"/>
        <v>1741710527.9250977</v>
      </c>
      <c r="AB4" s="3">
        <f>SUM(R4:AA4)</f>
        <v>128061308926.67628</v>
      </c>
      <c r="AC4" s="7" t="s">
        <v>110</v>
      </c>
      <c r="AD4" s="2" t="s">
        <v>38</v>
      </c>
      <c r="AE4" s="3">
        <f>M4</f>
        <v>1537151812.3114386</v>
      </c>
      <c r="AF4" s="3">
        <f>N4</f>
        <v>57667889.552577347</v>
      </c>
      <c r="AG4" s="3">
        <f>SUM(AE4:AF4)</f>
        <v>1594819701.8640158</v>
      </c>
      <c r="AH4" s="7" t="s">
        <v>110</v>
      </c>
      <c r="AI4" s="2" t="s">
        <v>38</v>
      </c>
      <c r="AJ4" s="3">
        <f>AQ4+AX4</f>
        <v>76822240111.943588</v>
      </c>
      <c r="AK4" s="3">
        <f t="shared" ref="AK4:AM19" si="1">AR4+AY4</f>
        <v>43558540001.467827</v>
      </c>
      <c r="AL4" s="3">
        <f t="shared" si="1"/>
        <v>9275348515.1288891</v>
      </c>
      <c r="AM4" s="3">
        <f t="shared" si="1"/>
        <v>0</v>
      </c>
      <c r="AN4" s="3">
        <f>SUM(AJ4:AM4)</f>
        <v>129656128628.5403</v>
      </c>
      <c r="AO4" s="7" t="s">
        <v>110</v>
      </c>
      <c r="AP4" s="2" t="s">
        <v>38</v>
      </c>
      <c r="AQ4" s="3">
        <f>BE4+BL4+BS4+BZ4+CG4+CN4+CU4+DB4+DI4+DP4</f>
        <v>75270236902.106247</v>
      </c>
      <c r="AR4" s="3">
        <f t="shared" ref="AR4:AT19" si="2">BF4+BM4+BT4+CA4+CH4+CO4+CV4+DC4+DJ4+DQ4</f>
        <v>43515723509.441154</v>
      </c>
      <c r="AS4" s="3">
        <f t="shared" si="2"/>
        <v>9275348515.1288891</v>
      </c>
      <c r="AT4" s="3">
        <f t="shared" si="2"/>
        <v>0</v>
      </c>
      <c r="AU4" s="3">
        <f>SUM(AQ4:AT4)</f>
        <v>128061308926.67628</v>
      </c>
      <c r="AV4" s="7" t="s">
        <v>110</v>
      </c>
      <c r="AW4" s="2" t="s">
        <v>38</v>
      </c>
      <c r="AX4" s="3">
        <f>DW4+ED4</f>
        <v>1552003209.837347</v>
      </c>
      <c r="AY4" s="3">
        <f t="shared" ref="AY4:BA19" si="3">DX4+EE4</f>
        <v>42816492.026668757</v>
      </c>
      <c r="AZ4" s="3">
        <f t="shared" si="3"/>
        <v>0</v>
      </c>
      <c r="BA4" s="3">
        <f t="shared" si="3"/>
        <v>0</v>
      </c>
      <c r="BB4" s="3">
        <f>SUM(AX4:BA4)</f>
        <v>1594819701.8640158</v>
      </c>
      <c r="BC4" s="7" t="s">
        <v>110</v>
      </c>
      <c r="BD4" s="2" t="s">
        <v>38</v>
      </c>
      <c r="BE4" s="3">
        <v>734667314.93808961</v>
      </c>
      <c r="BF4" s="3">
        <v>0</v>
      </c>
      <c r="BG4" s="3">
        <v>0</v>
      </c>
      <c r="BH4" s="3">
        <v>0</v>
      </c>
      <c r="BI4" s="3">
        <v>734667314.93808961</v>
      </c>
      <c r="BJ4" s="7" t="s">
        <v>110</v>
      </c>
      <c r="BK4" s="2" t="s">
        <v>38</v>
      </c>
      <c r="BL4" s="3">
        <v>1647148751.8336794</v>
      </c>
      <c r="BM4" s="3">
        <v>36448791307.438194</v>
      </c>
      <c r="BN4" s="3">
        <v>9275348515.1288891</v>
      </c>
      <c r="BO4" s="3">
        <v>0</v>
      </c>
      <c r="BP4" s="3">
        <v>47371288574.400764</v>
      </c>
      <c r="BQ4" s="7" t="s">
        <v>110</v>
      </c>
      <c r="BR4" s="2" t="s">
        <v>38</v>
      </c>
      <c r="BS4" s="3">
        <v>21524504534.064453</v>
      </c>
      <c r="BT4" s="3">
        <v>0</v>
      </c>
      <c r="BU4" s="3">
        <v>0</v>
      </c>
      <c r="BV4" s="3">
        <v>0</v>
      </c>
      <c r="BW4" s="3">
        <v>21524504534.064453</v>
      </c>
      <c r="BX4" s="7" t="s">
        <v>110</v>
      </c>
      <c r="BY4" s="2" t="s">
        <v>38</v>
      </c>
      <c r="BZ4" s="3">
        <v>157039903.10630822</v>
      </c>
      <c r="CA4" s="3">
        <v>0</v>
      </c>
      <c r="CB4" s="3">
        <v>0</v>
      </c>
      <c r="CC4" s="3">
        <v>0</v>
      </c>
      <c r="CD4" s="3">
        <v>157039903.10630822</v>
      </c>
      <c r="CE4" s="7" t="s">
        <v>110</v>
      </c>
      <c r="CF4" s="2" t="s">
        <v>38</v>
      </c>
      <c r="CG4" s="3">
        <v>45922559964.133896</v>
      </c>
      <c r="CH4" s="3">
        <v>7066932202.0029621</v>
      </c>
      <c r="CI4" s="3">
        <v>0</v>
      </c>
      <c r="CJ4" s="3">
        <v>0</v>
      </c>
      <c r="CK4" s="3">
        <v>52989492166.136856</v>
      </c>
      <c r="CL4" s="7" t="s">
        <v>110</v>
      </c>
      <c r="CM4" s="2" t="s">
        <v>38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7" t="s">
        <v>110</v>
      </c>
      <c r="CT4" s="2" t="s">
        <v>38</v>
      </c>
      <c r="CU4" s="3">
        <v>415071250.36612058</v>
      </c>
      <c r="CV4" s="3">
        <v>0</v>
      </c>
      <c r="CW4" s="3">
        <v>0</v>
      </c>
      <c r="CX4" s="3">
        <v>0</v>
      </c>
      <c r="CY4" s="3">
        <v>415071250.36612058</v>
      </c>
      <c r="CZ4" s="7" t="s">
        <v>110</v>
      </c>
      <c r="DA4" s="2" t="s">
        <v>38</v>
      </c>
      <c r="DB4" s="3">
        <v>3118035638.4709978</v>
      </c>
      <c r="DC4" s="3">
        <v>0</v>
      </c>
      <c r="DD4" s="3">
        <v>0</v>
      </c>
      <c r="DE4" s="3">
        <v>0</v>
      </c>
      <c r="DF4" s="3">
        <v>3118035638.4709978</v>
      </c>
      <c r="DG4" s="7" t="s">
        <v>110</v>
      </c>
      <c r="DH4" s="2" t="s">
        <v>38</v>
      </c>
      <c r="DI4" s="3">
        <v>9499017.2676022574</v>
      </c>
      <c r="DJ4" s="3">
        <v>0</v>
      </c>
      <c r="DK4" s="3">
        <v>0</v>
      </c>
      <c r="DL4" s="3">
        <v>0</v>
      </c>
      <c r="DM4" s="3">
        <v>9499017.2676022574</v>
      </c>
      <c r="DN4" s="7" t="s">
        <v>110</v>
      </c>
      <c r="DO4" s="2" t="s">
        <v>38</v>
      </c>
      <c r="DP4" s="3">
        <v>1741710527.9250977</v>
      </c>
      <c r="DQ4" s="3">
        <v>0</v>
      </c>
      <c r="DR4" s="3">
        <v>0</v>
      </c>
      <c r="DS4" s="3">
        <v>0</v>
      </c>
      <c r="DT4" s="3">
        <v>1741710527.9250977</v>
      </c>
      <c r="DU4" s="7" t="s">
        <v>110</v>
      </c>
      <c r="DV4" s="2" t="s">
        <v>38</v>
      </c>
      <c r="DW4" s="3">
        <v>14851397.525908588</v>
      </c>
      <c r="DX4" s="3">
        <v>42816492.026668757</v>
      </c>
      <c r="DY4" s="3">
        <v>0</v>
      </c>
      <c r="DZ4" s="3">
        <v>0</v>
      </c>
      <c r="EA4" s="3">
        <v>57667889.552577347</v>
      </c>
      <c r="EB4" s="7" t="s">
        <v>110</v>
      </c>
      <c r="EC4" s="2" t="s">
        <v>38</v>
      </c>
      <c r="ED4" s="3">
        <v>1537151812.3114386</v>
      </c>
      <c r="EE4" s="3">
        <v>0</v>
      </c>
      <c r="EF4" s="3">
        <v>0</v>
      </c>
      <c r="EG4" s="3">
        <v>0</v>
      </c>
      <c r="EH4" s="3">
        <v>1537151812.3114386</v>
      </c>
    </row>
    <row r="5" spans="1:138" ht="10.199999999999999" customHeight="1" x14ac:dyDescent="0.2">
      <c r="A5" s="7" t="s">
        <v>113</v>
      </c>
      <c r="B5" s="2" t="s">
        <v>41</v>
      </c>
      <c r="C5" s="3">
        <f t="shared" ref="C5:C41" si="4">BI5</f>
        <v>0</v>
      </c>
      <c r="D5" s="3">
        <f t="shared" ref="D5:D41" si="5">BP5</f>
        <v>641317799.73848593</v>
      </c>
      <c r="E5" s="3">
        <f t="shared" ref="E5:E41" si="6">BW5</f>
        <v>0</v>
      </c>
      <c r="F5" s="3">
        <f t="shared" ref="F5:F41" si="7">CD5</f>
        <v>0</v>
      </c>
      <c r="G5" s="3">
        <f t="shared" ref="G5:G41" si="8">CK5</f>
        <v>81159299.507377774</v>
      </c>
      <c r="H5" s="3">
        <f t="shared" ref="H5:H41" si="9">CR5</f>
        <v>0</v>
      </c>
      <c r="I5" s="3">
        <f t="shared" ref="I5:I41" si="10">CY5</f>
        <v>0</v>
      </c>
      <c r="J5" s="3">
        <f t="shared" ref="J5:J41" si="11">DM5</f>
        <v>0</v>
      </c>
      <c r="K5" s="3">
        <f t="shared" ref="K5:K41" si="12">DF5</f>
        <v>0</v>
      </c>
      <c r="L5" s="3">
        <f t="shared" ref="L5:L41" si="13">DT5</f>
        <v>36043594987.217697</v>
      </c>
      <c r="M5" s="3">
        <f t="shared" ref="M5:M41" si="14">EH5</f>
        <v>4147640965.3885469</v>
      </c>
      <c r="N5" s="3">
        <f t="shared" ref="N5:N41" si="15">EA5</f>
        <v>21845522568.000168</v>
      </c>
      <c r="O5" s="3">
        <f t="shared" ref="O5:O41" si="16">SUM(C5:N5)</f>
        <v>62759235619.85228</v>
      </c>
      <c r="P5" s="7" t="s">
        <v>113</v>
      </c>
      <c r="Q5" s="2" t="s">
        <v>41</v>
      </c>
      <c r="R5" s="3">
        <f t="shared" ref="R5:AA30" si="17">C5</f>
        <v>0</v>
      </c>
      <c r="S5" s="3">
        <f t="shared" si="17"/>
        <v>641317799.73848593</v>
      </c>
      <c r="T5" s="3">
        <f t="shared" si="17"/>
        <v>0</v>
      </c>
      <c r="U5" s="3">
        <f t="shared" si="17"/>
        <v>0</v>
      </c>
      <c r="V5" s="3">
        <f t="shared" si="17"/>
        <v>81159299.507377774</v>
      </c>
      <c r="W5" s="3">
        <f t="shared" si="17"/>
        <v>0</v>
      </c>
      <c r="X5" s="3">
        <f t="shared" si="17"/>
        <v>0</v>
      </c>
      <c r="Y5" s="3">
        <f t="shared" si="17"/>
        <v>0</v>
      </c>
      <c r="Z5" s="3">
        <f t="shared" si="17"/>
        <v>0</v>
      </c>
      <c r="AA5" s="3">
        <f t="shared" si="17"/>
        <v>36043594987.217697</v>
      </c>
      <c r="AB5" s="3">
        <f t="shared" ref="AB5:AB41" si="18">SUM(R5:AA5)</f>
        <v>36766072086.463562</v>
      </c>
      <c r="AC5" s="7" t="s">
        <v>113</v>
      </c>
      <c r="AD5" s="2" t="s">
        <v>41</v>
      </c>
      <c r="AE5" s="3">
        <f t="shared" ref="AE5:AF41" si="19">M5</f>
        <v>4147640965.3885469</v>
      </c>
      <c r="AF5" s="3">
        <f t="shared" si="19"/>
        <v>21845522568.000168</v>
      </c>
      <c r="AG5" s="3">
        <f t="shared" ref="AG5:AG41" si="20">SUM(AE5:AF5)</f>
        <v>25993163533.388714</v>
      </c>
      <c r="AH5" s="7" t="s">
        <v>113</v>
      </c>
      <c r="AI5" s="2" t="s">
        <v>41</v>
      </c>
      <c r="AJ5" s="3">
        <f t="shared" ref="AJ5:AM41" si="21">AQ5+AX5</f>
        <v>40935981715.455185</v>
      </c>
      <c r="AK5" s="3">
        <f t="shared" si="1"/>
        <v>3824287851.9962802</v>
      </c>
      <c r="AL5" s="3">
        <f t="shared" si="1"/>
        <v>17998966052.400803</v>
      </c>
      <c r="AM5" s="3">
        <f t="shared" si="1"/>
        <v>0</v>
      </c>
      <c r="AN5" s="3">
        <f t="shared" ref="AN5:AN41" si="22">SUM(AJ5:AM5)</f>
        <v>62759235619.852264</v>
      </c>
      <c r="AO5" s="7" t="s">
        <v>113</v>
      </c>
      <c r="AP5" s="2" t="s">
        <v>41</v>
      </c>
      <c r="AQ5" s="3">
        <f t="shared" ref="AQ5:AT41" si="23">BE5+BL5+BS5+BZ5+CG5+CN5+CU5+DB5+DI5+DP5</f>
        <v>36755323414.146515</v>
      </c>
      <c r="AR5" s="3">
        <f t="shared" si="2"/>
        <v>10748672.317040961</v>
      </c>
      <c r="AS5" s="3">
        <f t="shared" si="2"/>
        <v>0</v>
      </c>
      <c r="AT5" s="3">
        <f t="shared" si="2"/>
        <v>0</v>
      </c>
      <c r="AU5" s="3">
        <f t="shared" ref="AU5:AU41" si="24">SUM(AQ5:AT5)</f>
        <v>36766072086.463554</v>
      </c>
      <c r="AV5" s="7" t="s">
        <v>113</v>
      </c>
      <c r="AW5" s="2" t="s">
        <v>41</v>
      </c>
      <c r="AX5" s="3">
        <f t="shared" ref="AX5:BA41" si="25">DW5+ED5</f>
        <v>4180658301.3086729</v>
      </c>
      <c r="AY5" s="3">
        <f t="shared" si="3"/>
        <v>3813539179.6792393</v>
      </c>
      <c r="AZ5" s="3">
        <f t="shared" si="3"/>
        <v>17998966052.400803</v>
      </c>
      <c r="BA5" s="3">
        <f t="shared" si="3"/>
        <v>0</v>
      </c>
      <c r="BB5" s="3">
        <f t="shared" ref="BB5:BB41" si="26">SUM(AX5:BA5)</f>
        <v>25993163533.388714</v>
      </c>
      <c r="BC5" s="7" t="s">
        <v>113</v>
      </c>
      <c r="BD5" s="2" t="s">
        <v>41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7" t="s">
        <v>113</v>
      </c>
      <c r="BK5" s="2" t="s">
        <v>41</v>
      </c>
      <c r="BL5" s="3">
        <v>632113783.00714457</v>
      </c>
      <c r="BM5" s="3">
        <v>9204016.7313413192</v>
      </c>
      <c r="BN5" s="3">
        <v>0</v>
      </c>
      <c r="BO5" s="3">
        <v>0</v>
      </c>
      <c r="BP5" s="3">
        <v>641317799.73848593</v>
      </c>
      <c r="BQ5" s="7" t="s">
        <v>113</v>
      </c>
      <c r="BR5" s="2" t="s">
        <v>41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7" t="s">
        <v>113</v>
      </c>
      <c r="BY5" s="2" t="s">
        <v>41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7" t="s">
        <v>113</v>
      </c>
      <c r="CF5" s="2" t="s">
        <v>41</v>
      </c>
      <c r="CG5" s="3">
        <v>81159299.507377774</v>
      </c>
      <c r="CH5" s="3">
        <v>0</v>
      </c>
      <c r="CI5" s="3">
        <v>0</v>
      </c>
      <c r="CJ5" s="3">
        <v>0</v>
      </c>
      <c r="CK5" s="3">
        <v>81159299.507377774</v>
      </c>
      <c r="CL5" s="7" t="s">
        <v>113</v>
      </c>
      <c r="CM5" s="2" t="s">
        <v>41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7" t="s">
        <v>113</v>
      </c>
      <c r="CT5" s="2" t="s">
        <v>41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7" t="s">
        <v>113</v>
      </c>
      <c r="DA5" s="2" t="s">
        <v>41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7" t="s">
        <v>113</v>
      </c>
      <c r="DH5" s="2" t="s">
        <v>41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7" t="s">
        <v>113</v>
      </c>
      <c r="DO5" s="2" t="s">
        <v>41</v>
      </c>
      <c r="DP5" s="3">
        <v>36042050331.631996</v>
      </c>
      <c r="DQ5" s="3">
        <v>1544655.5856996425</v>
      </c>
      <c r="DR5" s="3">
        <v>0</v>
      </c>
      <c r="DS5" s="3">
        <v>0</v>
      </c>
      <c r="DT5" s="3">
        <v>36043594987.217697</v>
      </c>
      <c r="DU5" s="7" t="s">
        <v>113</v>
      </c>
      <c r="DV5" s="2" t="s">
        <v>41</v>
      </c>
      <c r="DW5" s="3">
        <v>336494220.9229629</v>
      </c>
      <c r="DX5" s="3">
        <v>3510062294.6764021</v>
      </c>
      <c r="DY5" s="3">
        <v>17998966052.400803</v>
      </c>
      <c r="DZ5" s="3">
        <v>0</v>
      </c>
      <c r="EA5" s="3">
        <v>21845522568.000168</v>
      </c>
      <c r="EB5" s="7" t="s">
        <v>113</v>
      </c>
      <c r="EC5" s="2" t="s">
        <v>41</v>
      </c>
      <c r="ED5" s="3">
        <v>3844164080.3857098</v>
      </c>
      <c r="EE5" s="3">
        <v>303476885.00283736</v>
      </c>
      <c r="EF5" s="3">
        <v>0</v>
      </c>
      <c r="EG5" s="3">
        <v>0</v>
      </c>
      <c r="EH5" s="3">
        <v>4147640965.3885469</v>
      </c>
    </row>
    <row r="6" spans="1:138" ht="10.199999999999999" customHeight="1" x14ac:dyDescent="0.2">
      <c r="A6" s="7" t="s">
        <v>119</v>
      </c>
      <c r="B6" s="2" t="s">
        <v>47</v>
      </c>
      <c r="C6" s="3">
        <f t="shared" si="4"/>
        <v>0</v>
      </c>
      <c r="D6" s="3">
        <f t="shared" si="5"/>
        <v>391774911.17066669</v>
      </c>
      <c r="E6" s="3">
        <f t="shared" si="6"/>
        <v>127129458433.12625</v>
      </c>
      <c r="F6" s="3">
        <f t="shared" si="7"/>
        <v>207701369642.73224</v>
      </c>
      <c r="G6" s="3">
        <f t="shared" si="8"/>
        <v>0</v>
      </c>
      <c r="H6" s="3">
        <f t="shared" si="9"/>
        <v>0</v>
      </c>
      <c r="I6" s="3">
        <f t="shared" si="10"/>
        <v>17750760188.991611</v>
      </c>
      <c r="J6" s="3">
        <f t="shared" si="11"/>
        <v>0</v>
      </c>
      <c r="K6" s="3">
        <f t="shared" si="12"/>
        <v>16802580739.57888</v>
      </c>
      <c r="L6" s="3">
        <f t="shared" si="13"/>
        <v>111727418.42064106</v>
      </c>
      <c r="M6" s="3">
        <f t="shared" si="14"/>
        <v>374525742975.63501</v>
      </c>
      <c r="N6" s="3">
        <f t="shared" si="15"/>
        <v>63413896645.400314</v>
      </c>
      <c r="O6" s="3">
        <f t="shared" si="16"/>
        <v>807827310955.05554</v>
      </c>
      <c r="P6" s="7" t="s">
        <v>119</v>
      </c>
      <c r="Q6" s="2" t="s">
        <v>47</v>
      </c>
      <c r="R6" s="3">
        <f t="shared" si="17"/>
        <v>0</v>
      </c>
      <c r="S6" s="3">
        <f t="shared" si="17"/>
        <v>391774911.17066669</v>
      </c>
      <c r="T6" s="3">
        <f t="shared" si="17"/>
        <v>127129458433.12625</v>
      </c>
      <c r="U6" s="3">
        <f t="shared" si="17"/>
        <v>207701369642.73224</v>
      </c>
      <c r="V6" s="3">
        <f t="shared" si="17"/>
        <v>0</v>
      </c>
      <c r="W6" s="3">
        <f t="shared" si="17"/>
        <v>0</v>
      </c>
      <c r="X6" s="3">
        <f t="shared" si="17"/>
        <v>17750760188.991611</v>
      </c>
      <c r="Y6" s="3">
        <f t="shared" si="17"/>
        <v>0</v>
      </c>
      <c r="Z6" s="3">
        <f t="shared" si="17"/>
        <v>16802580739.57888</v>
      </c>
      <c r="AA6" s="3">
        <f t="shared" si="17"/>
        <v>111727418.42064106</v>
      </c>
      <c r="AB6" s="3">
        <f t="shared" si="18"/>
        <v>369887671334.02032</v>
      </c>
      <c r="AC6" s="7" t="s">
        <v>119</v>
      </c>
      <c r="AD6" s="2" t="s">
        <v>47</v>
      </c>
      <c r="AE6" s="3">
        <f t="shared" si="19"/>
        <v>374525742975.63501</v>
      </c>
      <c r="AF6" s="3">
        <f t="shared" si="19"/>
        <v>63413896645.400314</v>
      </c>
      <c r="AG6" s="3">
        <f t="shared" si="20"/>
        <v>437939639621.03534</v>
      </c>
      <c r="AH6" s="7" t="s">
        <v>119</v>
      </c>
      <c r="AI6" s="2" t="s">
        <v>47</v>
      </c>
      <c r="AJ6" s="3">
        <f t="shared" si="21"/>
        <v>66186216779.0485</v>
      </c>
      <c r="AK6" s="3">
        <f t="shared" si="1"/>
        <v>59652995307.287231</v>
      </c>
      <c r="AL6" s="3">
        <f t="shared" si="1"/>
        <v>536621051727.19507</v>
      </c>
      <c r="AM6" s="3">
        <f t="shared" si="1"/>
        <v>145367047141.52478</v>
      </c>
      <c r="AN6" s="3">
        <f t="shared" si="22"/>
        <v>807827310955.05554</v>
      </c>
      <c r="AO6" s="7" t="s">
        <v>119</v>
      </c>
      <c r="AP6" s="2" t="s">
        <v>47</v>
      </c>
      <c r="AQ6" s="3">
        <f t="shared" si="23"/>
        <v>17769489064.9916</v>
      </c>
      <c r="AR6" s="3">
        <f t="shared" si="2"/>
        <v>31262355726.225925</v>
      </c>
      <c r="AS6" s="3">
        <f t="shared" si="2"/>
        <v>189976583515.42636</v>
      </c>
      <c r="AT6" s="3">
        <f t="shared" si="2"/>
        <v>130879243027.37642</v>
      </c>
      <c r="AU6" s="3">
        <f t="shared" si="24"/>
        <v>369887671334.02032</v>
      </c>
      <c r="AV6" s="7" t="s">
        <v>119</v>
      </c>
      <c r="AW6" s="2" t="s">
        <v>47</v>
      </c>
      <c r="AX6" s="3">
        <f t="shared" si="25"/>
        <v>48416727714.0569</v>
      </c>
      <c r="AY6" s="3">
        <f t="shared" si="3"/>
        <v>28390639581.061306</v>
      </c>
      <c r="AZ6" s="3">
        <f t="shared" si="3"/>
        <v>346644468211.76874</v>
      </c>
      <c r="BA6" s="3">
        <f t="shared" si="3"/>
        <v>14487804114.148371</v>
      </c>
      <c r="BB6" s="3">
        <f t="shared" si="26"/>
        <v>437939639621.03534</v>
      </c>
      <c r="BC6" s="7" t="s">
        <v>119</v>
      </c>
      <c r="BD6" s="2" t="s">
        <v>47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7" t="s">
        <v>119</v>
      </c>
      <c r="BK6" s="2" t="s">
        <v>47</v>
      </c>
      <c r="BL6" s="3">
        <v>391774911.17066669</v>
      </c>
      <c r="BM6" s="3">
        <v>0</v>
      </c>
      <c r="BN6" s="3">
        <v>0</v>
      </c>
      <c r="BO6" s="3">
        <v>0</v>
      </c>
      <c r="BP6" s="3">
        <v>391774911.17066669</v>
      </c>
      <c r="BQ6" s="7" t="s">
        <v>119</v>
      </c>
      <c r="BR6" s="2" t="s">
        <v>47</v>
      </c>
      <c r="BS6" s="3">
        <v>0</v>
      </c>
      <c r="BT6" s="3">
        <v>0</v>
      </c>
      <c r="BU6" s="3">
        <v>0</v>
      </c>
      <c r="BV6" s="3">
        <v>127129458433.12625</v>
      </c>
      <c r="BW6" s="3">
        <v>127129458433.12625</v>
      </c>
      <c r="BX6" s="7" t="s">
        <v>119</v>
      </c>
      <c r="BY6" s="2" t="s">
        <v>47</v>
      </c>
      <c r="BZ6" s="3">
        <v>272000000</v>
      </c>
      <c r="CA6" s="3">
        <v>13703001533.055723</v>
      </c>
      <c r="CB6" s="3">
        <v>189976583515.42636</v>
      </c>
      <c r="CC6" s="3">
        <v>3749784594.2501664</v>
      </c>
      <c r="CD6" s="3">
        <v>207701369642.73224</v>
      </c>
      <c r="CE6" s="7" t="s">
        <v>119</v>
      </c>
      <c r="CF6" s="2" t="s">
        <v>47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7" t="s">
        <v>119</v>
      </c>
      <c r="CM6" s="2" t="s">
        <v>47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7" t="s">
        <v>119</v>
      </c>
      <c r="CT6" s="2" t="s">
        <v>47</v>
      </c>
      <c r="CU6" s="3">
        <v>16745041135.180088</v>
      </c>
      <c r="CV6" s="3">
        <v>1005719053.8115233</v>
      </c>
      <c r="CW6" s="3">
        <v>0</v>
      </c>
      <c r="CX6" s="3">
        <v>0</v>
      </c>
      <c r="CY6" s="3">
        <v>17750760188.991611</v>
      </c>
      <c r="CZ6" s="7" t="s">
        <v>119</v>
      </c>
      <c r="DA6" s="2" t="s">
        <v>47</v>
      </c>
      <c r="DB6" s="3">
        <v>248945600.2202023</v>
      </c>
      <c r="DC6" s="3">
        <v>16553635139.358679</v>
      </c>
      <c r="DD6" s="3">
        <v>0</v>
      </c>
      <c r="DE6" s="3">
        <v>0</v>
      </c>
      <c r="DF6" s="3">
        <v>16802580739.57888</v>
      </c>
      <c r="DG6" s="7" t="s">
        <v>119</v>
      </c>
      <c r="DH6" s="2" t="s">
        <v>47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7" t="s">
        <v>119</v>
      </c>
      <c r="DO6" s="2" t="s">
        <v>47</v>
      </c>
      <c r="DP6" s="3">
        <v>111727418.42064106</v>
      </c>
      <c r="DQ6" s="3">
        <v>0</v>
      </c>
      <c r="DR6" s="3">
        <v>0</v>
      </c>
      <c r="DS6" s="3">
        <v>0</v>
      </c>
      <c r="DT6" s="3">
        <v>111727418.42064106</v>
      </c>
      <c r="DU6" s="7" t="s">
        <v>119</v>
      </c>
      <c r="DV6" s="2" t="s">
        <v>47</v>
      </c>
      <c r="DW6" s="3">
        <v>9153925265.4660187</v>
      </c>
      <c r="DX6" s="3">
        <v>6799155331.4720984</v>
      </c>
      <c r="DY6" s="3">
        <v>32973011934.313828</v>
      </c>
      <c r="DZ6" s="3">
        <v>14487804114.148371</v>
      </c>
      <c r="EA6" s="3">
        <v>63413896645.400314</v>
      </c>
      <c r="EB6" s="7" t="s">
        <v>119</v>
      </c>
      <c r="EC6" s="2" t="s">
        <v>47</v>
      </c>
      <c r="ED6" s="3">
        <v>39262802448.590881</v>
      </c>
      <c r="EE6" s="3">
        <v>21591484249.589207</v>
      </c>
      <c r="EF6" s="3">
        <v>313671456277.4549</v>
      </c>
      <c r="EG6" s="3">
        <v>0</v>
      </c>
      <c r="EH6" s="3">
        <v>374525742975.63501</v>
      </c>
    </row>
    <row r="7" spans="1:138" ht="10.199999999999999" customHeight="1" x14ac:dyDescent="0.2">
      <c r="A7" s="7" t="s">
        <v>121</v>
      </c>
      <c r="B7" s="2" t="s">
        <v>49</v>
      </c>
      <c r="C7" s="3">
        <f t="shared" si="4"/>
        <v>0</v>
      </c>
      <c r="D7" s="3">
        <f t="shared" si="5"/>
        <v>122453727.07669041</v>
      </c>
      <c r="E7" s="3">
        <f t="shared" si="6"/>
        <v>45894536990.479881</v>
      </c>
      <c r="F7" s="3">
        <f t="shared" si="7"/>
        <v>9132367572.6219501</v>
      </c>
      <c r="G7" s="3">
        <f t="shared" si="8"/>
        <v>878363924.2061044</v>
      </c>
      <c r="H7" s="3">
        <f t="shared" si="9"/>
        <v>0</v>
      </c>
      <c r="I7" s="3">
        <f t="shared" si="10"/>
        <v>190141288576.83328</v>
      </c>
      <c r="J7" s="3">
        <f t="shared" si="11"/>
        <v>0</v>
      </c>
      <c r="K7" s="3">
        <f t="shared" si="12"/>
        <v>194715463.71578479</v>
      </c>
      <c r="L7" s="3">
        <f t="shared" si="13"/>
        <v>1297778541.9132123</v>
      </c>
      <c r="M7" s="3">
        <f t="shared" si="14"/>
        <v>70461057863.633942</v>
      </c>
      <c r="N7" s="3">
        <f t="shared" si="15"/>
        <v>12654968359.387957</v>
      </c>
      <c r="O7" s="3">
        <f t="shared" si="16"/>
        <v>330777531019.86877</v>
      </c>
      <c r="P7" s="7" t="s">
        <v>121</v>
      </c>
      <c r="Q7" s="2" t="s">
        <v>49</v>
      </c>
      <c r="R7" s="3">
        <f t="shared" si="17"/>
        <v>0</v>
      </c>
      <c r="S7" s="3">
        <f t="shared" si="17"/>
        <v>122453727.07669041</v>
      </c>
      <c r="T7" s="3">
        <f t="shared" si="17"/>
        <v>45894536990.479881</v>
      </c>
      <c r="U7" s="3">
        <f t="shared" si="17"/>
        <v>9132367572.6219501</v>
      </c>
      <c r="V7" s="3">
        <f t="shared" si="17"/>
        <v>878363924.2061044</v>
      </c>
      <c r="W7" s="3">
        <f t="shared" si="17"/>
        <v>0</v>
      </c>
      <c r="X7" s="3">
        <f t="shared" si="17"/>
        <v>190141288576.83328</v>
      </c>
      <c r="Y7" s="3">
        <f t="shared" si="17"/>
        <v>0</v>
      </c>
      <c r="Z7" s="3">
        <f t="shared" si="17"/>
        <v>194715463.71578479</v>
      </c>
      <c r="AA7" s="3">
        <f t="shared" si="17"/>
        <v>1297778541.9132123</v>
      </c>
      <c r="AB7" s="3">
        <f t="shared" si="18"/>
        <v>247661504796.84689</v>
      </c>
      <c r="AC7" s="7" t="s">
        <v>121</v>
      </c>
      <c r="AD7" s="2" t="s">
        <v>49</v>
      </c>
      <c r="AE7" s="3">
        <f t="shared" si="19"/>
        <v>70461057863.633942</v>
      </c>
      <c r="AF7" s="3">
        <f t="shared" si="19"/>
        <v>12654968359.387957</v>
      </c>
      <c r="AG7" s="3">
        <f t="shared" si="20"/>
        <v>83116026223.021896</v>
      </c>
      <c r="AH7" s="7" t="s">
        <v>121</v>
      </c>
      <c r="AI7" s="2" t="s">
        <v>49</v>
      </c>
      <c r="AJ7" s="3">
        <f t="shared" si="21"/>
        <v>125887215399.18669</v>
      </c>
      <c r="AK7" s="3">
        <f t="shared" si="1"/>
        <v>161800986774.11548</v>
      </c>
      <c r="AL7" s="3">
        <f t="shared" si="1"/>
        <v>43079102161.309624</v>
      </c>
      <c r="AM7" s="3">
        <f t="shared" si="1"/>
        <v>10226685.25704591</v>
      </c>
      <c r="AN7" s="3">
        <f t="shared" si="22"/>
        <v>330777531019.86884</v>
      </c>
      <c r="AO7" s="7" t="s">
        <v>121</v>
      </c>
      <c r="AP7" s="2" t="s">
        <v>49</v>
      </c>
      <c r="AQ7" s="3">
        <f t="shared" si="23"/>
        <v>91072278288.691879</v>
      </c>
      <c r="AR7" s="3">
        <f t="shared" si="2"/>
        <v>113957851637.86656</v>
      </c>
      <c r="AS7" s="3">
        <f t="shared" si="2"/>
        <v>42631374870.288498</v>
      </c>
      <c r="AT7" s="3">
        <f t="shared" si="2"/>
        <v>0</v>
      </c>
      <c r="AU7" s="3">
        <f t="shared" si="24"/>
        <v>247661504796.84692</v>
      </c>
      <c r="AV7" s="7" t="s">
        <v>121</v>
      </c>
      <c r="AW7" s="2" t="s">
        <v>49</v>
      </c>
      <c r="AX7" s="3">
        <f t="shared" si="25"/>
        <v>34814937110.494812</v>
      </c>
      <c r="AY7" s="3">
        <f t="shared" si="3"/>
        <v>47843135136.248917</v>
      </c>
      <c r="AZ7" s="3">
        <f t="shared" si="3"/>
        <v>447727291.0211249</v>
      </c>
      <c r="BA7" s="3">
        <f t="shared" si="3"/>
        <v>10226685.25704591</v>
      </c>
      <c r="BB7" s="3">
        <f t="shared" si="26"/>
        <v>83116026223.021896</v>
      </c>
      <c r="BC7" s="7" t="s">
        <v>121</v>
      </c>
      <c r="BD7" s="2" t="s">
        <v>49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7" t="s">
        <v>121</v>
      </c>
      <c r="BK7" s="2" t="s">
        <v>49</v>
      </c>
      <c r="BL7" s="3">
        <v>122453727.07669041</v>
      </c>
      <c r="BM7" s="3">
        <v>0</v>
      </c>
      <c r="BN7" s="3">
        <v>0</v>
      </c>
      <c r="BO7" s="3">
        <v>0</v>
      </c>
      <c r="BP7" s="3">
        <v>122453727.07669041</v>
      </c>
      <c r="BQ7" s="7" t="s">
        <v>121</v>
      </c>
      <c r="BR7" s="2" t="s">
        <v>49</v>
      </c>
      <c r="BS7" s="3">
        <v>52837873.828070529</v>
      </c>
      <c r="BT7" s="3">
        <v>38256907551.00943</v>
      </c>
      <c r="BU7" s="3">
        <v>7584791565.6423826</v>
      </c>
      <c r="BV7" s="3">
        <v>0</v>
      </c>
      <c r="BW7" s="3">
        <v>45894536990.479881</v>
      </c>
      <c r="BX7" s="7" t="s">
        <v>121</v>
      </c>
      <c r="BY7" s="2" t="s">
        <v>49</v>
      </c>
      <c r="BZ7" s="3">
        <v>8972575615.480608</v>
      </c>
      <c r="CA7" s="3">
        <v>159791957.14134234</v>
      </c>
      <c r="CB7" s="3">
        <v>0</v>
      </c>
      <c r="CC7" s="3">
        <v>0</v>
      </c>
      <c r="CD7" s="3">
        <v>9132367572.6219501</v>
      </c>
      <c r="CE7" s="7" t="s">
        <v>121</v>
      </c>
      <c r="CF7" s="2" t="s">
        <v>49</v>
      </c>
      <c r="CG7" s="3">
        <v>446151911.11111116</v>
      </c>
      <c r="CH7" s="3">
        <v>284192148.11804593</v>
      </c>
      <c r="CI7" s="3">
        <v>148019864.97694731</v>
      </c>
      <c r="CJ7" s="3">
        <v>0</v>
      </c>
      <c r="CK7" s="3">
        <v>878363924.2061044</v>
      </c>
      <c r="CL7" s="7" t="s">
        <v>121</v>
      </c>
      <c r="CM7" s="2" t="s">
        <v>49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7" t="s">
        <v>121</v>
      </c>
      <c r="CT7" s="2" t="s">
        <v>49</v>
      </c>
      <c r="CU7" s="3">
        <v>80315392526.99527</v>
      </c>
      <c r="CV7" s="3">
        <v>74927332610.168869</v>
      </c>
      <c r="CW7" s="3">
        <v>34898563439.669167</v>
      </c>
      <c r="CX7" s="3">
        <v>0</v>
      </c>
      <c r="CY7" s="3">
        <v>190141288576.83328</v>
      </c>
      <c r="CZ7" s="7" t="s">
        <v>121</v>
      </c>
      <c r="DA7" s="2" t="s">
        <v>49</v>
      </c>
      <c r="DB7" s="3">
        <v>194715463.71578479</v>
      </c>
      <c r="DC7" s="3">
        <v>0</v>
      </c>
      <c r="DD7" s="3">
        <v>0</v>
      </c>
      <c r="DE7" s="3">
        <v>0</v>
      </c>
      <c r="DF7" s="3">
        <v>194715463.71578479</v>
      </c>
      <c r="DG7" s="7" t="s">
        <v>121</v>
      </c>
      <c r="DH7" s="2" t="s">
        <v>49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7" t="s">
        <v>121</v>
      </c>
      <c r="DO7" s="2" t="s">
        <v>49</v>
      </c>
      <c r="DP7" s="3">
        <v>968151170.48433721</v>
      </c>
      <c r="DQ7" s="3">
        <v>329627371.42887521</v>
      </c>
      <c r="DR7" s="3">
        <v>0</v>
      </c>
      <c r="DS7" s="3">
        <v>0</v>
      </c>
      <c r="DT7" s="3">
        <v>1297778541.9132123</v>
      </c>
      <c r="DU7" s="7" t="s">
        <v>121</v>
      </c>
      <c r="DV7" s="2" t="s">
        <v>49</v>
      </c>
      <c r="DW7" s="3">
        <v>9537100382.1493263</v>
      </c>
      <c r="DX7" s="3">
        <v>2670140686.217504</v>
      </c>
      <c r="DY7" s="3">
        <v>447727291.0211249</v>
      </c>
      <c r="DZ7" s="3">
        <v>0</v>
      </c>
      <c r="EA7" s="3">
        <v>12654968359.387957</v>
      </c>
      <c r="EB7" s="7" t="s">
        <v>121</v>
      </c>
      <c r="EC7" s="2" t="s">
        <v>49</v>
      </c>
      <c r="ED7" s="3">
        <v>25277836728.34549</v>
      </c>
      <c r="EE7" s="3">
        <v>45172994450.03141</v>
      </c>
      <c r="EF7" s="3">
        <v>0</v>
      </c>
      <c r="EG7" s="3">
        <v>10226685.25704591</v>
      </c>
      <c r="EH7" s="3">
        <v>70461057863.633942</v>
      </c>
    </row>
    <row r="8" spans="1:138" ht="10.199999999999999" customHeight="1" x14ac:dyDescent="0.2">
      <c r="A8" s="7" t="s">
        <v>95</v>
      </c>
      <c r="B8" s="2" t="s">
        <v>23</v>
      </c>
      <c r="C8" s="3">
        <f t="shared" si="4"/>
        <v>0</v>
      </c>
      <c r="D8" s="3">
        <f t="shared" si="5"/>
        <v>47719032.44012183</v>
      </c>
      <c r="E8" s="3">
        <f t="shared" si="6"/>
        <v>0</v>
      </c>
      <c r="F8" s="3">
        <f t="shared" si="7"/>
        <v>0</v>
      </c>
      <c r="G8" s="3">
        <f t="shared" si="8"/>
        <v>799264417.51796889</v>
      </c>
      <c r="H8" s="3">
        <f t="shared" si="9"/>
        <v>0</v>
      </c>
      <c r="I8" s="3">
        <f t="shared" si="10"/>
        <v>4877877021.1972637</v>
      </c>
      <c r="J8" s="3">
        <f t="shared" si="11"/>
        <v>125493108765.56995</v>
      </c>
      <c r="K8" s="3">
        <f t="shared" si="12"/>
        <v>0</v>
      </c>
      <c r="L8" s="3">
        <f t="shared" si="13"/>
        <v>102461696.65389013</v>
      </c>
      <c r="M8" s="3">
        <f t="shared" si="14"/>
        <v>48765884027.166725</v>
      </c>
      <c r="N8" s="3">
        <f t="shared" si="15"/>
        <v>19577757873.533413</v>
      </c>
      <c r="O8" s="3">
        <f t="shared" si="16"/>
        <v>199664072834.07932</v>
      </c>
      <c r="P8" s="7" t="s">
        <v>95</v>
      </c>
      <c r="Q8" s="2" t="s">
        <v>23</v>
      </c>
      <c r="R8" s="3">
        <f t="shared" si="17"/>
        <v>0</v>
      </c>
      <c r="S8" s="3">
        <f t="shared" si="17"/>
        <v>47719032.44012183</v>
      </c>
      <c r="T8" s="3">
        <f t="shared" si="17"/>
        <v>0</v>
      </c>
      <c r="U8" s="3">
        <f t="shared" si="17"/>
        <v>0</v>
      </c>
      <c r="V8" s="3">
        <f t="shared" si="17"/>
        <v>799264417.51796889</v>
      </c>
      <c r="W8" s="3">
        <f t="shared" si="17"/>
        <v>0</v>
      </c>
      <c r="X8" s="3">
        <f t="shared" si="17"/>
        <v>4877877021.1972637</v>
      </c>
      <c r="Y8" s="3">
        <f t="shared" si="17"/>
        <v>125493108765.56995</v>
      </c>
      <c r="Z8" s="3">
        <f t="shared" si="17"/>
        <v>0</v>
      </c>
      <c r="AA8" s="3">
        <f t="shared" si="17"/>
        <v>102461696.65389013</v>
      </c>
      <c r="AB8" s="3">
        <f t="shared" si="18"/>
        <v>131320430933.37918</v>
      </c>
      <c r="AC8" s="7" t="s">
        <v>95</v>
      </c>
      <c r="AD8" s="2" t="s">
        <v>23</v>
      </c>
      <c r="AE8" s="3">
        <f t="shared" si="19"/>
        <v>48765884027.166725</v>
      </c>
      <c r="AF8" s="3">
        <f t="shared" si="19"/>
        <v>19577757873.533413</v>
      </c>
      <c r="AG8" s="3">
        <f t="shared" si="20"/>
        <v>68343641900.700134</v>
      </c>
      <c r="AH8" s="7" t="s">
        <v>95</v>
      </c>
      <c r="AI8" s="2" t="s">
        <v>23</v>
      </c>
      <c r="AJ8" s="3">
        <f t="shared" si="21"/>
        <v>168343081682.26422</v>
      </c>
      <c r="AK8" s="3">
        <f t="shared" si="1"/>
        <v>21184585250.029331</v>
      </c>
      <c r="AL8" s="3">
        <f t="shared" si="1"/>
        <v>10136405901.785791</v>
      </c>
      <c r="AM8" s="3">
        <f t="shared" si="1"/>
        <v>0</v>
      </c>
      <c r="AN8" s="3">
        <f t="shared" si="22"/>
        <v>199664072834.07935</v>
      </c>
      <c r="AO8" s="7" t="s">
        <v>95</v>
      </c>
      <c r="AP8" s="2" t="s">
        <v>23</v>
      </c>
      <c r="AQ8" s="3">
        <f t="shared" si="23"/>
        <v>120082732078.32912</v>
      </c>
      <c r="AR8" s="3">
        <f t="shared" si="2"/>
        <v>2770855685.9874835</v>
      </c>
      <c r="AS8" s="3">
        <f t="shared" si="2"/>
        <v>8466843169.0625916</v>
      </c>
      <c r="AT8" s="3">
        <f t="shared" si="2"/>
        <v>0</v>
      </c>
      <c r="AU8" s="3">
        <f t="shared" si="24"/>
        <v>131320430933.3792</v>
      </c>
      <c r="AV8" s="7" t="s">
        <v>95</v>
      </c>
      <c r="AW8" s="2" t="s">
        <v>23</v>
      </c>
      <c r="AX8" s="3">
        <f t="shared" si="25"/>
        <v>48260349603.935089</v>
      </c>
      <c r="AY8" s="3">
        <f t="shared" si="3"/>
        <v>18413729564.041847</v>
      </c>
      <c r="AZ8" s="3">
        <f t="shared" si="3"/>
        <v>1669562732.7231996</v>
      </c>
      <c r="BA8" s="3">
        <f t="shared" si="3"/>
        <v>0</v>
      </c>
      <c r="BB8" s="3">
        <f t="shared" si="26"/>
        <v>68343641900.700134</v>
      </c>
      <c r="BC8" s="7" t="s">
        <v>95</v>
      </c>
      <c r="BD8" s="2" t="s">
        <v>23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7" t="s">
        <v>95</v>
      </c>
      <c r="BK8" s="2" t="s">
        <v>23</v>
      </c>
      <c r="BL8" s="3">
        <v>0</v>
      </c>
      <c r="BM8" s="3">
        <v>17891200.44040459</v>
      </c>
      <c r="BN8" s="3">
        <v>29827831.999717236</v>
      </c>
      <c r="BO8" s="3">
        <v>0</v>
      </c>
      <c r="BP8" s="3">
        <v>47719032.44012183</v>
      </c>
      <c r="BQ8" s="7" t="s">
        <v>95</v>
      </c>
      <c r="BR8" s="2" t="s">
        <v>23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7" t="s">
        <v>95</v>
      </c>
      <c r="BY8" s="2" t="s">
        <v>23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7" t="s">
        <v>95</v>
      </c>
      <c r="CF8" s="2" t="s">
        <v>23</v>
      </c>
      <c r="CG8" s="3">
        <v>201794976.98948336</v>
      </c>
      <c r="CH8" s="3">
        <v>597469440.52848554</v>
      </c>
      <c r="CI8" s="3">
        <v>0</v>
      </c>
      <c r="CJ8" s="3">
        <v>0</v>
      </c>
      <c r="CK8" s="3">
        <v>799264417.51796889</v>
      </c>
      <c r="CL8" s="7" t="s">
        <v>95</v>
      </c>
      <c r="CM8" s="2" t="s">
        <v>23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7" t="s">
        <v>95</v>
      </c>
      <c r="CT8" s="2" t="s">
        <v>23</v>
      </c>
      <c r="CU8" s="3">
        <v>2746856605.2532983</v>
      </c>
      <c r="CV8" s="3">
        <v>2131020415.9439657</v>
      </c>
      <c r="CW8" s="3">
        <v>0</v>
      </c>
      <c r="CX8" s="3">
        <v>0</v>
      </c>
      <c r="CY8" s="3">
        <v>4877877021.1972637</v>
      </c>
      <c r="CZ8" s="7" t="s">
        <v>95</v>
      </c>
      <c r="DA8" s="2" t="s">
        <v>23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7" t="s">
        <v>95</v>
      </c>
      <c r="DH8" s="2" t="s">
        <v>23</v>
      </c>
      <c r="DI8" s="3">
        <v>117056093428.50706</v>
      </c>
      <c r="DJ8" s="3">
        <v>0</v>
      </c>
      <c r="DK8" s="3">
        <v>8437015337.0628748</v>
      </c>
      <c r="DL8" s="3">
        <v>0</v>
      </c>
      <c r="DM8" s="3">
        <v>125493108765.56995</v>
      </c>
      <c r="DN8" s="7" t="s">
        <v>95</v>
      </c>
      <c r="DO8" s="2" t="s">
        <v>23</v>
      </c>
      <c r="DP8" s="3">
        <v>77987067.579262242</v>
      </c>
      <c r="DQ8" s="3">
        <v>24474629.074627895</v>
      </c>
      <c r="DR8" s="3">
        <v>0</v>
      </c>
      <c r="DS8" s="3">
        <v>0</v>
      </c>
      <c r="DT8" s="3">
        <v>102461696.65389013</v>
      </c>
      <c r="DU8" s="7" t="s">
        <v>95</v>
      </c>
      <c r="DV8" s="2" t="s">
        <v>23</v>
      </c>
      <c r="DW8" s="3">
        <v>5605077394.3721266</v>
      </c>
      <c r="DX8" s="3">
        <v>12859638657.345818</v>
      </c>
      <c r="DY8" s="3">
        <v>1113041821.8154664</v>
      </c>
      <c r="DZ8" s="3">
        <v>0</v>
      </c>
      <c r="EA8" s="3">
        <v>19577757873.533413</v>
      </c>
      <c r="EB8" s="7" t="s">
        <v>95</v>
      </c>
      <c r="EC8" s="2" t="s">
        <v>23</v>
      </c>
      <c r="ED8" s="3">
        <v>42655272209.562965</v>
      </c>
      <c r="EE8" s="3">
        <v>5554090906.6960306</v>
      </c>
      <c r="EF8" s="3">
        <v>556520910.9077332</v>
      </c>
      <c r="EG8" s="3">
        <v>0</v>
      </c>
      <c r="EH8" s="3">
        <v>48765884027.166725</v>
      </c>
    </row>
    <row r="9" spans="1:138" ht="10.199999999999999" customHeight="1" x14ac:dyDescent="0.2">
      <c r="A9" s="7" t="s">
        <v>101</v>
      </c>
      <c r="B9" s="2" t="s">
        <v>29</v>
      </c>
      <c r="C9" s="3">
        <f t="shared" si="4"/>
        <v>0</v>
      </c>
      <c r="D9" s="3">
        <f t="shared" si="5"/>
        <v>2180777283.1947889</v>
      </c>
      <c r="E9" s="3">
        <f t="shared" si="6"/>
        <v>0</v>
      </c>
      <c r="F9" s="3">
        <f t="shared" si="7"/>
        <v>0</v>
      </c>
      <c r="G9" s="3">
        <f t="shared" si="8"/>
        <v>872196.02146972378</v>
      </c>
      <c r="H9" s="3">
        <f t="shared" si="9"/>
        <v>0</v>
      </c>
      <c r="I9" s="3">
        <f t="shared" si="10"/>
        <v>145204757.3837859</v>
      </c>
      <c r="J9" s="3">
        <f t="shared" si="11"/>
        <v>30546723.4459989</v>
      </c>
      <c r="K9" s="3">
        <f t="shared" si="12"/>
        <v>0</v>
      </c>
      <c r="L9" s="3">
        <f t="shared" si="13"/>
        <v>4260672783.4843221</v>
      </c>
      <c r="M9" s="3">
        <f t="shared" si="14"/>
        <v>42794168647.806786</v>
      </c>
      <c r="N9" s="3">
        <f t="shared" si="15"/>
        <v>4179366311.8251772</v>
      </c>
      <c r="O9" s="3">
        <f t="shared" si="16"/>
        <v>53591608703.162331</v>
      </c>
      <c r="P9" s="7" t="s">
        <v>101</v>
      </c>
      <c r="Q9" s="2" t="s">
        <v>29</v>
      </c>
      <c r="R9" s="3">
        <f t="shared" si="17"/>
        <v>0</v>
      </c>
      <c r="S9" s="3">
        <f t="shared" si="17"/>
        <v>2180777283.1947889</v>
      </c>
      <c r="T9" s="3">
        <f t="shared" si="17"/>
        <v>0</v>
      </c>
      <c r="U9" s="3">
        <f t="shared" si="17"/>
        <v>0</v>
      </c>
      <c r="V9" s="3">
        <f t="shared" si="17"/>
        <v>872196.02146972378</v>
      </c>
      <c r="W9" s="3">
        <f t="shared" si="17"/>
        <v>0</v>
      </c>
      <c r="X9" s="3">
        <f t="shared" si="17"/>
        <v>145204757.3837859</v>
      </c>
      <c r="Y9" s="3">
        <f t="shared" si="17"/>
        <v>30546723.4459989</v>
      </c>
      <c r="Z9" s="3">
        <f t="shared" si="17"/>
        <v>0</v>
      </c>
      <c r="AA9" s="3">
        <f t="shared" si="17"/>
        <v>4260672783.4843221</v>
      </c>
      <c r="AB9" s="3">
        <f t="shared" si="18"/>
        <v>6618073743.530365</v>
      </c>
      <c r="AC9" s="7" t="s">
        <v>101</v>
      </c>
      <c r="AD9" s="2" t="s">
        <v>29</v>
      </c>
      <c r="AE9" s="3">
        <f t="shared" si="19"/>
        <v>42794168647.806786</v>
      </c>
      <c r="AF9" s="3">
        <f t="shared" si="19"/>
        <v>4179366311.8251772</v>
      </c>
      <c r="AG9" s="3">
        <f t="shared" si="20"/>
        <v>46973534959.631966</v>
      </c>
      <c r="AH9" s="7" t="s">
        <v>101</v>
      </c>
      <c r="AI9" s="2" t="s">
        <v>29</v>
      </c>
      <c r="AJ9" s="3">
        <f t="shared" si="21"/>
        <v>16335465511.83079</v>
      </c>
      <c r="AK9" s="3">
        <f t="shared" si="1"/>
        <v>37256143191.331535</v>
      </c>
      <c r="AL9" s="3">
        <f t="shared" si="1"/>
        <v>0</v>
      </c>
      <c r="AM9" s="3">
        <f t="shared" si="1"/>
        <v>0</v>
      </c>
      <c r="AN9" s="3">
        <f t="shared" si="22"/>
        <v>53591608703.162323</v>
      </c>
      <c r="AO9" s="7" t="s">
        <v>101</v>
      </c>
      <c r="AP9" s="2" t="s">
        <v>29</v>
      </c>
      <c r="AQ9" s="3">
        <f t="shared" si="23"/>
        <v>2072414001.1364744</v>
      </c>
      <c r="AR9" s="3">
        <f t="shared" si="2"/>
        <v>4545659742.3938913</v>
      </c>
      <c r="AS9" s="3">
        <f t="shared" si="2"/>
        <v>0</v>
      </c>
      <c r="AT9" s="3">
        <f t="shared" si="2"/>
        <v>0</v>
      </c>
      <c r="AU9" s="3">
        <f t="shared" si="24"/>
        <v>6618073743.5303659</v>
      </c>
      <c r="AV9" s="7" t="s">
        <v>101</v>
      </c>
      <c r="AW9" s="2" t="s">
        <v>29</v>
      </c>
      <c r="AX9" s="3">
        <f t="shared" si="25"/>
        <v>14263051510.694315</v>
      </c>
      <c r="AY9" s="3">
        <f t="shared" si="3"/>
        <v>32710483448.937645</v>
      </c>
      <c r="AZ9" s="3">
        <f t="shared" si="3"/>
        <v>0</v>
      </c>
      <c r="BA9" s="3">
        <f t="shared" si="3"/>
        <v>0</v>
      </c>
      <c r="BB9" s="3">
        <f t="shared" si="26"/>
        <v>46973534959.631958</v>
      </c>
      <c r="BC9" s="7" t="s">
        <v>101</v>
      </c>
      <c r="BD9" s="2" t="s">
        <v>29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7" t="s">
        <v>101</v>
      </c>
      <c r="BK9" s="2" t="s">
        <v>29</v>
      </c>
      <c r="BL9" s="3">
        <v>1860322587.6218011</v>
      </c>
      <c r="BM9" s="3">
        <v>320454695.57298768</v>
      </c>
      <c r="BN9" s="3">
        <v>0</v>
      </c>
      <c r="BO9" s="3">
        <v>0</v>
      </c>
      <c r="BP9" s="3">
        <v>2180777283.1947889</v>
      </c>
      <c r="BQ9" s="7" t="s">
        <v>101</v>
      </c>
      <c r="BR9" s="2" t="s">
        <v>29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7" t="s">
        <v>101</v>
      </c>
      <c r="BY9" s="2" t="s">
        <v>29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7" t="s">
        <v>101</v>
      </c>
      <c r="CF9" s="2" t="s">
        <v>29</v>
      </c>
      <c r="CG9" s="3">
        <v>872196.02146972378</v>
      </c>
      <c r="CH9" s="3">
        <v>0</v>
      </c>
      <c r="CI9" s="3">
        <v>0</v>
      </c>
      <c r="CJ9" s="3">
        <v>0</v>
      </c>
      <c r="CK9" s="3">
        <v>872196.02146972378</v>
      </c>
      <c r="CL9" s="7" t="s">
        <v>101</v>
      </c>
      <c r="CM9" s="2" t="s">
        <v>29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7" t="s">
        <v>101</v>
      </c>
      <c r="CT9" s="2" t="s">
        <v>29</v>
      </c>
      <c r="CU9" s="3">
        <v>77850157.301210046</v>
      </c>
      <c r="CV9" s="3">
        <v>67354600.082575858</v>
      </c>
      <c r="CW9" s="3">
        <v>0</v>
      </c>
      <c r="CX9" s="3">
        <v>0</v>
      </c>
      <c r="CY9" s="3">
        <v>145204757.3837859</v>
      </c>
      <c r="CZ9" s="7" t="s">
        <v>101</v>
      </c>
      <c r="DA9" s="2" t="s">
        <v>29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7" t="s">
        <v>101</v>
      </c>
      <c r="DH9" s="2" t="s">
        <v>29</v>
      </c>
      <c r="DI9" s="3">
        <v>0</v>
      </c>
      <c r="DJ9" s="3">
        <v>30546723.4459989</v>
      </c>
      <c r="DK9" s="3">
        <v>0</v>
      </c>
      <c r="DL9" s="3">
        <v>0</v>
      </c>
      <c r="DM9" s="3">
        <v>30546723.4459989</v>
      </c>
      <c r="DN9" s="7" t="s">
        <v>101</v>
      </c>
      <c r="DO9" s="2" t="s">
        <v>29</v>
      </c>
      <c r="DP9" s="3">
        <v>133369060.19199345</v>
      </c>
      <c r="DQ9" s="3">
        <v>4127303723.2923288</v>
      </c>
      <c r="DR9" s="3">
        <v>0</v>
      </c>
      <c r="DS9" s="3">
        <v>0</v>
      </c>
      <c r="DT9" s="3">
        <v>4260672783.4843221</v>
      </c>
      <c r="DU9" s="7" t="s">
        <v>101</v>
      </c>
      <c r="DV9" s="2" t="s">
        <v>29</v>
      </c>
      <c r="DW9" s="3">
        <v>646191693.47757745</v>
      </c>
      <c r="DX9" s="3">
        <v>3533174618.3475995</v>
      </c>
      <c r="DY9" s="3">
        <v>0</v>
      </c>
      <c r="DZ9" s="3">
        <v>0</v>
      </c>
      <c r="EA9" s="3">
        <v>4179366311.8251772</v>
      </c>
      <c r="EB9" s="7" t="s">
        <v>101</v>
      </c>
      <c r="EC9" s="2" t="s">
        <v>29</v>
      </c>
      <c r="ED9" s="3">
        <v>13616859817.216738</v>
      </c>
      <c r="EE9" s="3">
        <v>29177308830.590046</v>
      </c>
      <c r="EF9" s="3">
        <v>0</v>
      </c>
      <c r="EG9" s="3">
        <v>0</v>
      </c>
      <c r="EH9" s="3">
        <v>42794168647.806786</v>
      </c>
    </row>
    <row r="10" spans="1:138" ht="10.199999999999999" customHeight="1" x14ac:dyDescent="0.2">
      <c r="A10" s="7" t="s">
        <v>106</v>
      </c>
      <c r="B10" s="2" t="s">
        <v>34</v>
      </c>
      <c r="C10" s="3">
        <f t="shared" si="4"/>
        <v>0</v>
      </c>
      <c r="D10" s="3">
        <f t="shared" si="5"/>
        <v>63304026.921713941</v>
      </c>
      <c r="E10" s="3">
        <f t="shared" si="6"/>
        <v>663338850789.37537</v>
      </c>
      <c r="F10" s="3">
        <f t="shared" si="7"/>
        <v>28253438763.356659</v>
      </c>
      <c r="G10" s="3">
        <f t="shared" si="8"/>
        <v>42998260.852091394</v>
      </c>
      <c r="H10" s="3">
        <f t="shared" si="9"/>
        <v>0</v>
      </c>
      <c r="I10" s="3">
        <f t="shared" si="10"/>
        <v>1089581967.8574278</v>
      </c>
      <c r="J10" s="3">
        <f t="shared" si="11"/>
        <v>8428038726.8525085</v>
      </c>
      <c r="K10" s="3">
        <f t="shared" si="12"/>
        <v>1120111533.0838585</v>
      </c>
      <c r="L10" s="3">
        <f t="shared" si="13"/>
        <v>54691592985.798965</v>
      </c>
      <c r="M10" s="3">
        <f t="shared" si="14"/>
        <v>11418103324.549088</v>
      </c>
      <c r="N10" s="3">
        <f t="shared" si="15"/>
        <v>99475210169.465576</v>
      </c>
      <c r="O10" s="3">
        <f t="shared" si="16"/>
        <v>867921230548.11328</v>
      </c>
      <c r="P10" s="7" t="s">
        <v>106</v>
      </c>
      <c r="Q10" s="2" t="s">
        <v>34</v>
      </c>
      <c r="R10" s="3">
        <f t="shared" si="17"/>
        <v>0</v>
      </c>
      <c r="S10" s="3">
        <f t="shared" si="17"/>
        <v>63304026.921713941</v>
      </c>
      <c r="T10" s="3">
        <f t="shared" si="17"/>
        <v>663338850789.37537</v>
      </c>
      <c r="U10" s="3">
        <f t="shared" si="17"/>
        <v>28253438763.356659</v>
      </c>
      <c r="V10" s="3">
        <f t="shared" si="17"/>
        <v>42998260.852091394</v>
      </c>
      <c r="W10" s="3">
        <f t="shared" si="17"/>
        <v>0</v>
      </c>
      <c r="X10" s="3">
        <f t="shared" si="17"/>
        <v>1089581967.8574278</v>
      </c>
      <c r="Y10" s="3">
        <f t="shared" si="17"/>
        <v>8428038726.8525085</v>
      </c>
      <c r="Z10" s="3">
        <f t="shared" si="17"/>
        <v>1120111533.0838585</v>
      </c>
      <c r="AA10" s="3">
        <f t="shared" si="17"/>
        <v>54691592985.798965</v>
      </c>
      <c r="AB10" s="3">
        <f t="shared" si="18"/>
        <v>757027917054.09863</v>
      </c>
      <c r="AC10" s="7" t="s">
        <v>106</v>
      </c>
      <c r="AD10" s="2" t="s">
        <v>34</v>
      </c>
      <c r="AE10" s="3">
        <f t="shared" si="19"/>
        <v>11418103324.549088</v>
      </c>
      <c r="AF10" s="3">
        <f t="shared" si="19"/>
        <v>99475210169.465576</v>
      </c>
      <c r="AG10" s="3">
        <f t="shared" si="20"/>
        <v>110893313494.01466</v>
      </c>
      <c r="AH10" s="7" t="s">
        <v>106</v>
      </c>
      <c r="AI10" s="2" t="s">
        <v>34</v>
      </c>
      <c r="AJ10" s="3">
        <f t="shared" si="21"/>
        <v>255308600997.71405</v>
      </c>
      <c r="AK10" s="3">
        <f t="shared" si="1"/>
        <v>6737920280.2576771</v>
      </c>
      <c r="AL10" s="3">
        <f t="shared" si="1"/>
        <v>473882511.69687581</v>
      </c>
      <c r="AM10" s="3">
        <f t="shared" si="1"/>
        <v>605400826758.4447</v>
      </c>
      <c r="AN10" s="3">
        <f t="shared" si="22"/>
        <v>867921230548.11328</v>
      </c>
      <c r="AO10" s="7" t="s">
        <v>106</v>
      </c>
      <c r="AP10" s="2" t="s">
        <v>34</v>
      </c>
      <c r="AQ10" s="3">
        <f t="shared" si="23"/>
        <v>243021562224.68979</v>
      </c>
      <c r="AR10" s="3">
        <f t="shared" si="2"/>
        <v>4369865511.0604591</v>
      </c>
      <c r="AS10" s="3">
        <f t="shared" si="2"/>
        <v>110836844.7090808</v>
      </c>
      <c r="AT10" s="3">
        <f t="shared" si="2"/>
        <v>509525652473.63928</v>
      </c>
      <c r="AU10" s="3">
        <f t="shared" si="24"/>
        <v>757027917054.09863</v>
      </c>
      <c r="AV10" s="7" t="s">
        <v>106</v>
      </c>
      <c r="AW10" s="2" t="s">
        <v>34</v>
      </c>
      <c r="AX10" s="3">
        <f t="shared" si="25"/>
        <v>12287038773.024254</v>
      </c>
      <c r="AY10" s="3">
        <f t="shared" si="3"/>
        <v>2368054769.1972184</v>
      </c>
      <c r="AZ10" s="3">
        <f t="shared" si="3"/>
        <v>363045666.987795</v>
      </c>
      <c r="BA10" s="3">
        <f t="shared" si="3"/>
        <v>95875174284.805389</v>
      </c>
      <c r="BB10" s="3">
        <f t="shared" si="26"/>
        <v>110893313494.01465</v>
      </c>
      <c r="BC10" s="7" t="s">
        <v>106</v>
      </c>
      <c r="BD10" s="2" t="s">
        <v>34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7" t="s">
        <v>106</v>
      </c>
      <c r="BK10" s="2" t="s">
        <v>34</v>
      </c>
      <c r="BL10" s="3">
        <v>63304026.921713941</v>
      </c>
      <c r="BM10" s="3">
        <v>0</v>
      </c>
      <c r="BN10" s="3">
        <v>0</v>
      </c>
      <c r="BO10" s="3">
        <v>0</v>
      </c>
      <c r="BP10" s="3">
        <v>63304026.921713941</v>
      </c>
      <c r="BQ10" s="7" t="s">
        <v>106</v>
      </c>
      <c r="BR10" s="2" t="s">
        <v>34</v>
      </c>
      <c r="BS10" s="3">
        <v>203286987266.16431</v>
      </c>
      <c r="BT10" s="3">
        <v>1659637334.8013487</v>
      </c>
      <c r="BU10" s="3">
        <v>0</v>
      </c>
      <c r="BV10" s="3">
        <v>458392226188.40973</v>
      </c>
      <c r="BW10" s="3">
        <v>663338850789.37537</v>
      </c>
      <c r="BX10" s="7" t="s">
        <v>106</v>
      </c>
      <c r="BY10" s="2" t="s">
        <v>34</v>
      </c>
      <c r="BZ10" s="3">
        <v>28232133169.071148</v>
      </c>
      <c r="CA10" s="3">
        <v>21305594.285512313</v>
      </c>
      <c r="CB10" s="3">
        <v>0</v>
      </c>
      <c r="CC10" s="3">
        <v>0</v>
      </c>
      <c r="CD10" s="3">
        <v>28253438763.356659</v>
      </c>
      <c r="CE10" s="7" t="s">
        <v>106</v>
      </c>
      <c r="CF10" s="2" t="s">
        <v>34</v>
      </c>
      <c r="CG10" s="3">
        <v>42998260.852091394</v>
      </c>
      <c r="CH10" s="3">
        <v>0</v>
      </c>
      <c r="CI10" s="3">
        <v>0</v>
      </c>
      <c r="CJ10" s="3">
        <v>0</v>
      </c>
      <c r="CK10" s="3">
        <v>42998260.852091394</v>
      </c>
      <c r="CL10" s="7" t="s">
        <v>106</v>
      </c>
      <c r="CM10" s="2" t="s">
        <v>34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7" t="s">
        <v>106</v>
      </c>
      <c r="CT10" s="2" t="s">
        <v>34</v>
      </c>
      <c r="CU10" s="3">
        <v>978745123.14834714</v>
      </c>
      <c r="CV10" s="3">
        <v>0</v>
      </c>
      <c r="CW10" s="3">
        <v>110836844.7090808</v>
      </c>
      <c r="CX10" s="3">
        <v>0</v>
      </c>
      <c r="CY10" s="3">
        <v>1089581967.8574278</v>
      </c>
      <c r="CZ10" s="7" t="s">
        <v>106</v>
      </c>
      <c r="DA10" s="2" t="s">
        <v>34</v>
      </c>
      <c r="DB10" s="3">
        <v>1120111533.0838585</v>
      </c>
      <c r="DC10" s="3">
        <v>0</v>
      </c>
      <c r="DD10" s="3">
        <v>0</v>
      </c>
      <c r="DE10" s="3">
        <v>0</v>
      </c>
      <c r="DF10" s="3">
        <v>1120111533.0838585</v>
      </c>
      <c r="DG10" s="7" t="s">
        <v>106</v>
      </c>
      <c r="DH10" s="2" t="s">
        <v>34</v>
      </c>
      <c r="DI10" s="3">
        <v>8428038726.8525085</v>
      </c>
      <c r="DJ10" s="3">
        <v>0</v>
      </c>
      <c r="DK10" s="3">
        <v>0</v>
      </c>
      <c r="DL10" s="3">
        <v>0</v>
      </c>
      <c r="DM10" s="3">
        <v>8428038726.8525085</v>
      </c>
      <c r="DN10" s="7" t="s">
        <v>106</v>
      </c>
      <c r="DO10" s="2" t="s">
        <v>34</v>
      </c>
      <c r="DP10" s="3">
        <v>869244118.59582305</v>
      </c>
      <c r="DQ10" s="3">
        <v>2688922581.9735985</v>
      </c>
      <c r="DR10" s="3">
        <v>0</v>
      </c>
      <c r="DS10" s="3">
        <v>51133426285.229546</v>
      </c>
      <c r="DT10" s="3">
        <v>54691592985.798965</v>
      </c>
      <c r="DU10" s="7" t="s">
        <v>106</v>
      </c>
      <c r="DV10" s="2" t="s">
        <v>34</v>
      </c>
      <c r="DW10" s="3">
        <v>898056897.3342582</v>
      </c>
      <c r="DX10" s="3">
        <v>2338933320.3381262</v>
      </c>
      <c r="DY10" s="3">
        <v>363045666.987795</v>
      </c>
      <c r="DZ10" s="3">
        <v>95875174284.805389</v>
      </c>
      <c r="EA10" s="3">
        <v>99475210169.465576</v>
      </c>
      <c r="EB10" s="7" t="s">
        <v>106</v>
      </c>
      <c r="EC10" s="2" t="s">
        <v>34</v>
      </c>
      <c r="ED10" s="3">
        <v>11388981875.689995</v>
      </c>
      <c r="EE10" s="3">
        <v>29121448.859092411</v>
      </c>
      <c r="EF10" s="3">
        <v>0</v>
      </c>
      <c r="EG10" s="3">
        <v>0</v>
      </c>
      <c r="EH10" s="3">
        <v>11418103324.549088</v>
      </c>
    </row>
    <row r="11" spans="1:138" ht="10.199999999999999" customHeight="1" x14ac:dyDescent="0.2">
      <c r="A11" s="7" t="s">
        <v>103</v>
      </c>
      <c r="B11" s="2" t="s">
        <v>31</v>
      </c>
      <c r="C11" s="3">
        <f t="shared" si="4"/>
        <v>126050220.70419049</v>
      </c>
      <c r="D11" s="3">
        <f t="shared" si="5"/>
        <v>131008980.68677412</v>
      </c>
      <c r="E11" s="3">
        <f t="shared" si="6"/>
        <v>0</v>
      </c>
      <c r="F11" s="3">
        <f t="shared" si="7"/>
        <v>44717182549.541641</v>
      </c>
      <c r="G11" s="3">
        <f t="shared" si="8"/>
        <v>0</v>
      </c>
      <c r="H11" s="3">
        <f t="shared" si="9"/>
        <v>0</v>
      </c>
      <c r="I11" s="3">
        <f t="shared" si="10"/>
        <v>3527349507.9570346</v>
      </c>
      <c r="J11" s="3">
        <f t="shared" si="11"/>
        <v>197404525.51461214</v>
      </c>
      <c r="K11" s="3">
        <f t="shared" si="12"/>
        <v>0</v>
      </c>
      <c r="L11" s="3">
        <f t="shared" si="13"/>
        <v>466927737.84565419</v>
      </c>
      <c r="M11" s="3">
        <f t="shared" si="14"/>
        <v>320868932006.93018</v>
      </c>
      <c r="N11" s="3">
        <f t="shared" si="15"/>
        <v>22071487736.148006</v>
      </c>
      <c r="O11" s="3">
        <f t="shared" si="16"/>
        <v>392106343265.32806</v>
      </c>
      <c r="P11" s="7" t="s">
        <v>103</v>
      </c>
      <c r="Q11" s="2" t="s">
        <v>31</v>
      </c>
      <c r="R11" s="3">
        <f t="shared" si="17"/>
        <v>126050220.70419049</v>
      </c>
      <c r="S11" s="3">
        <f t="shared" si="17"/>
        <v>131008980.68677412</v>
      </c>
      <c r="T11" s="3">
        <f t="shared" si="17"/>
        <v>0</v>
      </c>
      <c r="U11" s="3">
        <f t="shared" si="17"/>
        <v>44717182549.541641</v>
      </c>
      <c r="V11" s="3">
        <f t="shared" si="17"/>
        <v>0</v>
      </c>
      <c r="W11" s="3">
        <f t="shared" si="17"/>
        <v>0</v>
      </c>
      <c r="X11" s="3">
        <f t="shared" si="17"/>
        <v>3527349507.9570346</v>
      </c>
      <c r="Y11" s="3">
        <f t="shared" si="17"/>
        <v>197404525.51461214</v>
      </c>
      <c r="Z11" s="3">
        <f t="shared" si="17"/>
        <v>0</v>
      </c>
      <c r="AA11" s="3">
        <f t="shared" si="17"/>
        <v>466927737.84565419</v>
      </c>
      <c r="AB11" s="3">
        <f t="shared" si="18"/>
        <v>49165923522.249908</v>
      </c>
      <c r="AC11" s="7" t="s">
        <v>103</v>
      </c>
      <c r="AD11" s="2" t="s">
        <v>31</v>
      </c>
      <c r="AE11" s="3">
        <f t="shared" si="19"/>
        <v>320868932006.93018</v>
      </c>
      <c r="AF11" s="3">
        <f t="shared" si="19"/>
        <v>22071487736.148006</v>
      </c>
      <c r="AG11" s="3">
        <f t="shared" si="20"/>
        <v>342940419743.07819</v>
      </c>
      <c r="AH11" s="7" t="s">
        <v>103</v>
      </c>
      <c r="AI11" s="2" t="s">
        <v>31</v>
      </c>
      <c r="AJ11" s="3">
        <f t="shared" si="21"/>
        <v>242180434611.78326</v>
      </c>
      <c r="AK11" s="3">
        <f t="shared" si="1"/>
        <v>135755439350.38402</v>
      </c>
      <c r="AL11" s="3">
        <f t="shared" si="1"/>
        <v>14170469303.160816</v>
      </c>
      <c r="AM11" s="3">
        <f t="shared" si="1"/>
        <v>0</v>
      </c>
      <c r="AN11" s="3">
        <f t="shared" si="22"/>
        <v>392106343265.32813</v>
      </c>
      <c r="AO11" s="7" t="s">
        <v>103</v>
      </c>
      <c r="AP11" s="2" t="s">
        <v>31</v>
      </c>
      <c r="AQ11" s="3">
        <f t="shared" si="23"/>
        <v>35277338796.712509</v>
      </c>
      <c r="AR11" s="3">
        <f t="shared" si="2"/>
        <v>13888584725.537399</v>
      </c>
      <c r="AS11" s="3">
        <f t="shared" si="2"/>
        <v>0</v>
      </c>
      <c r="AT11" s="3">
        <f t="shared" si="2"/>
        <v>0</v>
      </c>
      <c r="AU11" s="3">
        <f t="shared" si="24"/>
        <v>49165923522.249908</v>
      </c>
      <c r="AV11" s="7" t="s">
        <v>103</v>
      </c>
      <c r="AW11" s="2" t="s">
        <v>31</v>
      </c>
      <c r="AX11" s="3">
        <f t="shared" si="25"/>
        <v>206903095815.07077</v>
      </c>
      <c r="AY11" s="3">
        <f t="shared" si="3"/>
        <v>121866854624.84662</v>
      </c>
      <c r="AZ11" s="3">
        <f t="shared" si="3"/>
        <v>14170469303.160816</v>
      </c>
      <c r="BA11" s="3">
        <f t="shared" si="3"/>
        <v>0</v>
      </c>
      <c r="BB11" s="3">
        <f t="shared" si="26"/>
        <v>342940419743.07819</v>
      </c>
      <c r="BC11" s="7" t="s">
        <v>103</v>
      </c>
      <c r="BD11" s="2" t="s">
        <v>31</v>
      </c>
      <c r="BE11" s="3">
        <v>126050220.70419049</v>
      </c>
      <c r="BF11" s="3">
        <v>0</v>
      </c>
      <c r="BG11" s="3">
        <v>0</v>
      </c>
      <c r="BH11" s="3">
        <v>0</v>
      </c>
      <c r="BI11" s="3">
        <v>126050220.70419049</v>
      </c>
      <c r="BJ11" s="7" t="s">
        <v>103</v>
      </c>
      <c r="BK11" s="2" t="s">
        <v>31</v>
      </c>
      <c r="BL11" s="3">
        <v>116095064.6869155</v>
      </c>
      <c r="BM11" s="3">
        <v>14913915.999858618</v>
      </c>
      <c r="BN11" s="3">
        <v>0</v>
      </c>
      <c r="BO11" s="3">
        <v>0</v>
      </c>
      <c r="BP11" s="3">
        <v>131008980.68677412</v>
      </c>
      <c r="BQ11" s="7" t="s">
        <v>103</v>
      </c>
      <c r="BR11" s="2" t="s">
        <v>31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7" t="s">
        <v>103</v>
      </c>
      <c r="BY11" s="2" t="s">
        <v>31</v>
      </c>
      <c r="BZ11" s="3">
        <v>31196758493.257893</v>
      </c>
      <c r="CA11" s="3">
        <v>13520424056.283745</v>
      </c>
      <c r="CB11" s="3">
        <v>0</v>
      </c>
      <c r="CC11" s="3">
        <v>0</v>
      </c>
      <c r="CD11" s="3">
        <v>44717182549.541641</v>
      </c>
      <c r="CE11" s="7" t="s">
        <v>103</v>
      </c>
      <c r="CF11" s="2" t="s">
        <v>31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7" t="s">
        <v>103</v>
      </c>
      <c r="CM11" s="2" t="s">
        <v>31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7" t="s">
        <v>103</v>
      </c>
      <c r="CT11" s="2" t="s">
        <v>31</v>
      </c>
      <c r="CU11" s="3">
        <v>3303001600.13059</v>
      </c>
      <c r="CV11" s="3">
        <v>224347907.82644463</v>
      </c>
      <c r="CW11" s="3">
        <v>0</v>
      </c>
      <c r="CX11" s="3">
        <v>0</v>
      </c>
      <c r="CY11" s="3">
        <v>3527349507.9570346</v>
      </c>
      <c r="CZ11" s="7" t="s">
        <v>103</v>
      </c>
      <c r="DA11" s="2" t="s">
        <v>31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7" t="s">
        <v>103</v>
      </c>
      <c r="DH11" s="2" t="s">
        <v>31</v>
      </c>
      <c r="DI11" s="3">
        <v>128161344.08669713</v>
      </c>
      <c r="DJ11" s="3">
        <v>69243181.427915007</v>
      </c>
      <c r="DK11" s="3">
        <v>0</v>
      </c>
      <c r="DL11" s="3">
        <v>0</v>
      </c>
      <c r="DM11" s="3">
        <v>197404525.51461214</v>
      </c>
      <c r="DN11" s="7" t="s">
        <v>103</v>
      </c>
      <c r="DO11" s="2" t="s">
        <v>31</v>
      </c>
      <c r="DP11" s="3">
        <v>407272073.84621972</v>
      </c>
      <c r="DQ11" s="3">
        <v>59655663.999434471</v>
      </c>
      <c r="DR11" s="3">
        <v>0</v>
      </c>
      <c r="DS11" s="3">
        <v>0</v>
      </c>
      <c r="DT11" s="3">
        <v>466927737.84565419</v>
      </c>
      <c r="DU11" s="7" t="s">
        <v>103</v>
      </c>
      <c r="DV11" s="2" t="s">
        <v>31</v>
      </c>
      <c r="DW11" s="3">
        <v>5995556044.4485712</v>
      </c>
      <c r="DX11" s="3">
        <v>1905462388.5386186</v>
      </c>
      <c r="DY11" s="3">
        <v>14170469303.160816</v>
      </c>
      <c r="DZ11" s="3">
        <v>0</v>
      </c>
      <c r="EA11" s="3">
        <v>22071487736.148006</v>
      </c>
      <c r="EB11" s="7" t="s">
        <v>103</v>
      </c>
      <c r="EC11" s="2" t="s">
        <v>31</v>
      </c>
      <c r="ED11" s="3">
        <v>200907539770.62219</v>
      </c>
      <c r="EE11" s="3">
        <v>119961392236.308</v>
      </c>
      <c r="EF11" s="3">
        <v>0</v>
      </c>
      <c r="EG11" s="3">
        <v>0</v>
      </c>
      <c r="EH11" s="3">
        <v>320868932006.93018</v>
      </c>
    </row>
    <row r="12" spans="1:138" ht="10.199999999999999" customHeight="1" x14ac:dyDescent="0.2">
      <c r="A12" s="7" t="s">
        <v>99</v>
      </c>
      <c r="B12" s="2" t="s">
        <v>27</v>
      </c>
      <c r="C12" s="3">
        <f t="shared" si="4"/>
        <v>2176712916.5086946</v>
      </c>
      <c r="D12" s="3">
        <f t="shared" si="5"/>
        <v>1461114.7026330414</v>
      </c>
      <c r="E12" s="3">
        <f t="shared" si="6"/>
        <v>0</v>
      </c>
      <c r="F12" s="3">
        <f t="shared" si="7"/>
        <v>155333293839.9212</v>
      </c>
      <c r="G12" s="3">
        <f t="shared" si="8"/>
        <v>1730946912.1617968</v>
      </c>
      <c r="H12" s="3">
        <f t="shared" si="9"/>
        <v>0</v>
      </c>
      <c r="I12" s="3">
        <f t="shared" si="10"/>
        <v>22245272610.480537</v>
      </c>
      <c r="J12" s="3">
        <f t="shared" si="11"/>
        <v>8766688.2157982495</v>
      </c>
      <c r="K12" s="3">
        <f t="shared" si="12"/>
        <v>10973368808.298748</v>
      </c>
      <c r="L12" s="3">
        <f t="shared" si="13"/>
        <v>672015632.33300161</v>
      </c>
      <c r="M12" s="3">
        <f t="shared" si="14"/>
        <v>95371538980.083954</v>
      </c>
      <c r="N12" s="3">
        <f t="shared" si="15"/>
        <v>172736026414.85776</v>
      </c>
      <c r="O12" s="3">
        <f t="shared" si="16"/>
        <v>461249403917.56409</v>
      </c>
      <c r="P12" s="7" t="s">
        <v>99</v>
      </c>
      <c r="Q12" s="2" t="s">
        <v>27</v>
      </c>
      <c r="R12" s="3">
        <f t="shared" si="17"/>
        <v>2176712916.5086946</v>
      </c>
      <c r="S12" s="3">
        <f t="shared" si="17"/>
        <v>1461114.7026330414</v>
      </c>
      <c r="T12" s="3">
        <f t="shared" si="17"/>
        <v>0</v>
      </c>
      <c r="U12" s="3">
        <f t="shared" si="17"/>
        <v>155333293839.9212</v>
      </c>
      <c r="V12" s="3">
        <f t="shared" si="17"/>
        <v>1730946912.1617968</v>
      </c>
      <c r="W12" s="3">
        <f t="shared" si="17"/>
        <v>0</v>
      </c>
      <c r="X12" s="3">
        <f t="shared" si="17"/>
        <v>22245272610.480537</v>
      </c>
      <c r="Y12" s="3">
        <f t="shared" si="17"/>
        <v>8766688.2157982495</v>
      </c>
      <c r="Z12" s="3">
        <f t="shared" si="17"/>
        <v>10973368808.298748</v>
      </c>
      <c r="AA12" s="3">
        <f t="shared" si="17"/>
        <v>672015632.33300161</v>
      </c>
      <c r="AB12" s="3">
        <f t="shared" si="18"/>
        <v>193141838522.62241</v>
      </c>
      <c r="AC12" s="7" t="s">
        <v>99</v>
      </c>
      <c r="AD12" s="2" t="s">
        <v>27</v>
      </c>
      <c r="AE12" s="3">
        <f t="shared" si="19"/>
        <v>95371538980.083954</v>
      </c>
      <c r="AF12" s="3">
        <f t="shared" si="19"/>
        <v>172736026414.85776</v>
      </c>
      <c r="AG12" s="3">
        <f t="shared" si="20"/>
        <v>268107565394.94171</v>
      </c>
      <c r="AH12" s="7" t="s">
        <v>99</v>
      </c>
      <c r="AI12" s="2" t="s">
        <v>27</v>
      </c>
      <c r="AJ12" s="3">
        <f t="shared" si="21"/>
        <v>31058808621.31852</v>
      </c>
      <c r="AK12" s="3">
        <f t="shared" si="1"/>
        <v>187284311907.98883</v>
      </c>
      <c r="AL12" s="3">
        <f t="shared" si="1"/>
        <v>238970219291.3678</v>
      </c>
      <c r="AM12" s="3">
        <f t="shared" si="1"/>
        <v>3936064096.88901</v>
      </c>
      <c r="AN12" s="3">
        <f t="shared" si="22"/>
        <v>461249403917.56421</v>
      </c>
      <c r="AO12" s="7" t="s">
        <v>99</v>
      </c>
      <c r="AP12" s="2" t="s">
        <v>27</v>
      </c>
      <c r="AQ12" s="3">
        <f t="shared" si="23"/>
        <v>18373393151.536362</v>
      </c>
      <c r="AR12" s="3">
        <f t="shared" si="2"/>
        <v>116107470734.76335</v>
      </c>
      <c r="AS12" s="3">
        <f t="shared" si="2"/>
        <v>58660974636.322693</v>
      </c>
      <c r="AT12" s="3">
        <f t="shared" si="2"/>
        <v>0</v>
      </c>
      <c r="AU12" s="3">
        <f t="shared" si="24"/>
        <v>193141838522.62241</v>
      </c>
      <c r="AV12" s="7" t="s">
        <v>99</v>
      </c>
      <c r="AW12" s="2" t="s">
        <v>27</v>
      </c>
      <c r="AX12" s="3">
        <f t="shared" si="25"/>
        <v>12685415469.782156</v>
      </c>
      <c r="AY12" s="3">
        <f t="shared" si="3"/>
        <v>71176841173.225464</v>
      </c>
      <c r="AZ12" s="3">
        <f t="shared" si="3"/>
        <v>180309244655.0451</v>
      </c>
      <c r="BA12" s="3">
        <f t="shared" si="3"/>
        <v>3936064096.88901</v>
      </c>
      <c r="BB12" s="3">
        <f t="shared" si="26"/>
        <v>268107565394.94174</v>
      </c>
      <c r="BC12" s="7" t="s">
        <v>99</v>
      </c>
      <c r="BD12" s="2" t="s">
        <v>27</v>
      </c>
      <c r="BE12" s="3">
        <v>2024439035.7142856</v>
      </c>
      <c r="BF12" s="3">
        <v>152273880.79440922</v>
      </c>
      <c r="BG12" s="3">
        <v>0</v>
      </c>
      <c r="BH12" s="3">
        <v>0</v>
      </c>
      <c r="BI12" s="3">
        <v>2176712916.5086946</v>
      </c>
      <c r="BJ12" s="7" t="s">
        <v>99</v>
      </c>
      <c r="BK12" s="2" t="s">
        <v>27</v>
      </c>
      <c r="BL12" s="3">
        <v>0</v>
      </c>
      <c r="BM12" s="3">
        <v>0</v>
      </c>
      <c r="BN12" s="3">
        <v>1461114.7026330414</v>
      </c>
      <c r="BO12" s="3">
        <v>0</v>
      </c>
      <c r="BP12" s="3">
        <v>1461114.7026330414</v>
      </c>
      <c r="BQ12" s="7" t="s">
        <v>99</v>
      </c>
      <c r="BR12" s="2" t="s">
        <v>27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7" t="s">
        <v>99</v>
      </c>
      <c r="BY12" s="2" t="s">
        <v>27</v>
      </c>
      <c r="BZ12" s="3">
        <v>4823031282.9907579</v>
      </c>
      <c r="CA12" s="3">
        <v>93623019261.653458</v>
      </c>
      <c r="CB12" s="3">
        <v>56887243295.276985</v>
      </c>
      <c r="CC12" s="3">
        <v>0</v>
      </c>
      <c r="CD12" s="3">
        <v>155333293839.9212</v>
      </c>
      <c r="CE12" s="7" t="s">
        <v>99</v>
      </c>
      <c r="CF12" s="2" t="s">
        <v>27</v>
      </c>
      <c r="CG12" s="3">
        <v>1701875148.8391869</v>
      </c>
      <c r="CH12" s="3">
        <v>29071763.322609991</v>
      </c>
      <c r="CI12" s="3">
        <v>0</v>
      </c>
      <c r="CJ12" s="3">
        <v>0</v>
      </c>
      <c r="CK12" s="3">
        <v>1730946912.1617968</v>
      </c>
      <c r="CL12" s="7" t="s">
        <v>99</v>
      </c>
      <c r="CM12" s="2" t="s">
        <v>27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7" t="s">
        <v>99</v>
      </c>
      <c r="CT12" s="2" t="s">
        <v>27</v>
      </c>
      <c r="CU12" s="3">
        <v>785814409.56415355</v>
      </c>
      <c r="CV12" s="3">
        <v>19705034447.012611</v>
      </c>
      <c r="CW12" s="3">
        <v>1754423753.9037733</v>
      </c>
      <c r="CX12" s="3">
        <v>0</v>
      </c>
      <c r="CY12" s="3">
        <v>22245272610.480537</v>
      </c>
      <c r="CZ12" s="7" t="s">
        <v>99</v>
      </c>
      <c r="DA12" s="2" t="s">
        <v>27</v>
      </c>
      <c r="DB12" s="3">
        <v>8757907434.3298264</v>
      </c>
      <c r="DC12" s="3">
        <v>2197614901.5296168</v>
      </c>
      <c r="DD12" s="3">
        <v>17846472.439303577</v>
      </c>
      <c r="DE12" s="3">
        <v>0</v>
      </c>
      <c r="DF12" s="3">
        <v>10973368808.298748</v>
      </c>
      <c r="DG12" s="7" t="s">
        <v>99</v>
      </c>
      <c r="DH12" s="2" t="s">
        <v>27</v>
      </c>
      <c r="DI12" s="3">
        <v>8766688.2157982495</v>
      </c>
      <c r="DJ12" s="3">
        <v>0</v>
      </c>
      <c r="DK12" s="3">
        <v>0</v>
      </c>
      <c r="DL12" s="3">
        <v>0</v>
      </c>
      <c r="DM12" s="3">
        <v>8766688.2157982495</v>
      </c>
      <c r="DN12" s="7" t="s">
        <v>99</v>
      </c>
      <c r="DO12" s="2" t="s">
        <v>27</v>
      </c>
      <c r="DP12" s="3">
        <v>271559151.88235295</v>
      </c>
      <c r="DQ12" s="3">
        <v>400456480.45064867</v>
      </c>
      <c r="DR12" s="3">
        <v>0</v>
      </c>
      <c r="DS12" s="3">
        <v>0</v>
      </c>
      <c r="DT12" s="3">
        <v>672015632.33300161</v>
      </c>
      <c r="DU12" s="7" t="s">
        <v>99</v>
      </c>
      <c r="DV12" s="2" t="s">
        <v>27</v>
      </c>
      <c r="DW12" s="3">
        <v>321601536.80048871</v>
      </c>
      <c r="DX12" s="3">
        <v>31454075863.391319</v>
      </c>
      <c r="DY12" s="3">
        <v>137024284917.77695</v>
      </c>
      <c r="DZ12" s="3">
        <v>3936064096.88901</v>
      </c>
      <c r="EA12" s="3">
        <v>172736026414.85776</v>
      </c>
      <c r="EB12" s="7" t="s">
        <v>99</v>
      </c>
      <c r="EC12" s="2" t="s">
        <v>27</v>
      </c>
      <c r="ED12" s="3">
        <v>12363813932.981667</v>
      </c>
      <c r="EE12" s="3">
        <v>39722765309.834137</v>
      </c>
      <c r="EF12" s="3">
        <v>43284959737.268143</v>
      </c>
      <c r="EG12" s="3">
        <v>0</v>
      </c>
      <c r="EH12" s="3">
        <v>95371538980.083954</v>
      </c>
    </row>
    <row r="13" spans="1:138" ht="10.199999999999999" customHeight="1" x14ac:dyDescent="0.2">
      <c r="A13" s="7" t="s">
        <v>94</v>
      </c>
      <c r="B13" s="2" t="s">
        <v>22</v>
      </c>
      <c r="C13" s="3">
        <f t="shared" si="4"/>
        <v>0</v>
      </c>
      <c r="D13" s="3">
        <f t="shared" si="5"/>
        <v>320714343.33485812</v>
      </c>
      <c r="E13" s="3">
        <f t="shared" si="6"/>
        <v>4554990694966.4814</v>
      </c>
      <c r="F13" s="3">
        <f t="shared" si="7"/>
        <v>329048074777.68109</v>
      </c>
      <c r="G13" s="3">
        <f t="shared" si="8"/>
        <v>29670012.782787517</v>
      </c>
      <c r="H13" s="3">
        <f t="shared" si="9"/>
        <v>826850316512.91675</v>
      </c>
      <c r="I13" s="3">
        <f t="shared" si="10"/>
        <v>2239339472.7340574</v>
      </c>
      <c r="J13" s="3">
        <f t="shared" si="11"/>
        <v>2797525046095.9482</v>
      </c>
      <c r="K13" s="3">
        <f t="shared" si="12"/>
        <v>22845079695.6623</v>
      </c>
      <c r="L13" s="3">
        <f t="shared" si="13"/>
        <v>124394414.04698086</v>
      </c>
      <c r="M13" s="3">
        <f t="shared" si="14"/>
        <v>137685922236.63666</v>
      </c>
      <c r="N13" s="3">
        <f t="shared" si="15"/>
        <v>1376895272337.3657</v>
      </c>
      <c r="O13" s="3">
        <f t="shared" si="16"/>
        <v>10048554524865.592</v>
      </c>
      <c r="P13" s="7" t="s">
        <v>94</v>
      </c>
      <c r="Q13" s="2" t="s">
        <v>22</v>
      </c>
      <c r="R13" s="3">
        <f t="shared" si="17"/>
        <v>0</v>
      </c>
      <c r="S13" s="3">
        <f t="shared" si="17"/>
        <v>320714343.33485812</v>
      </c>
      <c r="T13" s="3">
        <f t="shared" si="17"/>
        <v>4554990694966.4814</v>
      </c>
      <c r="U13" s="3">
        <f t="shared" si="17"/>
        <v>329048074777.68109</v>
      </c>
      <c r="V13" s="3">
        <f t="shared" si="17"/>
        <v>29670012.782787517</v>
      </c>
      <c r="W13" s="3">
        <f t="shared" si="17"/>
        <v>826850316512.91675</v>
      </c>
      <c r="X13" s="3">
        <f t="shared" si="17"/>
        <v>2239339472.7340574</v>
      </c>
      <c r="Y13" s="3">
        <f t="shared" si="17"/>
        <v>2797525046095.9482</v>
      </c>
      <c r="Z13" s="3">
        <f t="shared" si="17"/>
        <v>22845079695.6623</v>
      </c>
      <c r="AA13" s="3">
        <f t="shared" si="17"/>
        <v>124394414.04698086</v>
      </c>
      <c r="AB13" s="3">
        <f t="shared" si="18"/>
        <v>8533973330291.5889</v>
      </c>
      <c r="AC13" s="7" t="s">
        <v>94</v>
      </c>
      <c r="AD13" s="2" t="s">
        <v>22</v>
      </c>
      <c r="AE13" s="3">
        <f t="shared" si="19"/>
        <v>137685922236.63666</v>
      </c>
      <c r="AF13" s="3">
        <f t="shared" si="19"/>
        <v>1376895272337.3657</v>
      </c>
      <c r="AG13" s="3">
        <f t="shared" si="20"/>
        <v>1514581194574.0024</v>
      </c>
      <c r="AH13" s="7" t="s">
        <v>94</v>
      </c>
      <c r="AI13" s="2" t="s">
        <v>22</v>
      </c>
      <c r="AJ13" s="3">
        <f t="shared" si="21"/>
        <v>115741592658.27602</v>
      </c>
      <c r="AK13" s="3">
        <f t="shared" si="1"/>
        <v>62877806904.184875</v>
      </c>
      <c r="AL13" s="3">
        <f t="shared" si="1"/>
        <v>398574847702.97681</v>
      </c>
      <c r="AM13" s="3">
        <f t="shared" si="1"/>
        <v>9471360277600.1523</v>
      </c>
      <c r="AN13" s="3">
        <f t="shared" si="22"/>
        <v>10048554524865.59</v>
      </c>
      <c r="AO13" s="7" t="s">
        <v>94</v>
      </c>
      <c r="AP13" s="2" t="s">
        <v>22</v>
      </c>
      <c r="AQ13" s="3">
        <f t="shared" si="23"/>
        <v>6202168319.1108112</v>
      </c>
      <c r="AR13" s="3">
        <f t="shared" si="2"/>
        <v>34411789050.583679</v>
      </c>
      <c r="AS13" s="3">
        <f t="shared" si="2"/>
        <v>398574847702.97681</v>
      </c>
      <c r="AT13" s="3">
        <f t="shared" si="2"/>
        <v>8094784525218.916</v>
      </c>
      <c r="AU13" s="3">
        <f t="shared" si="24"/>
        <v>8533973330291.5869</v>
      </c>
      <c r="AV13" s="7" t="s">
        <v>94</v>
      </c>
      <c r="AW13" s="2" t="s">
        <v>22</v>
      </c>
      <c r="AX13" s="3">
        <f t="shared" si="25"/>
        <v>109539424339.16521</v>
      </c>
      <c r="AY13" s="3">
        <f t="shared" si="3"/>
        <v>28466017853.6012</v>
      </c>
      <c r="AZ13" s="3">
        <f t="shared" si="3"/>
        <v>0</v>
      </c>
      <c r="BA13" s="3">
        <f t="shared" si="3"/>
        <v>1376575752381.2361</v>
      </c>
      <c r="BB13" s="3">
        <f t="shared" si="26"/>
        <v>1514581194574.0024</v>
      </c>
      <c r="BC13" s="7" t="s">
        <v>94</v>
      </c>
      <c r="BD13" s="2" t="s">
        <v>22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7" t="s">
        <v>94</v>
      </c>
      <c r="BK13" s="2" t="s">
        <v>22</v>
      </c>
      <c r="BL13" s="3">
        <v>1130429.0521734632</v>
      </c>
      <c r="BM13" s="3">
        <v>0</v>
      </c>
      <c r="BN13" s="3">
        <v>0</v>
      </c>
      <c r="BO13" s="3">
        <v>319583914.28268468</v>
      </c>
      <c r="BP13" s="3">
        <v>320714343.33485812</v>
      </c>
      <c r="BQ13" s="7" t="s">
        <v>94</v>
      </c>
      <c r="BR13" s="2" t="s">
        <v>22</v>
      </c>
      <c r="BS13" s="3">
        <v>0</v>
      </c>
      <c r="BT13" s="3">
        <v>194452430.56487089</v>
      </c>
      <c r="BU13" s="3">
        <v>4282424451.3879743</v>
      </c>
      <c r="BV13" s="3">
        <v>4550513818084.5283</v>
      </c>
      <c r="BW13" s="3">
        <v>4554990694966.4814</v>
      </c>
      <c r="BX13" s="7" t="s">
        <v>94</v>
      </c>
      <c r="BY13" s="2" t="s">
        <v>22</v>
      </c>
      <c r="BZ13" s="3">
        <v>4332969302.6518631</v>
      </c>
      <c r="CA13" s="3">
        <v>26308857102.249191</v>
      </c>
      <c r="CB13" s="3">
        <v>0</v>
      </c>
      <c r="CC13" s="3">
        <v>298406248372.78003</v>
      </c>
      <c r="CD13" s="3">
        <v>329048074777.68109</v>
      </c>
      <c r="CE13" s="7" t="s">
        <v>94</v>
      </c>
      <c r="CF13" s="2" t="s">
        <v>22</v>
      </c>
      <c r="CG13" s="3">
        <v>8364418.4972752044</v>
      </c>
      <c r="CH13" s="3">
        <v>21305594.285512313</v>
      </c>
      <c r="CI13" s="3">
        <v>0</v>
      </c>
      <c r="CJ13" s="3">
        <v>0</v>
      </c>
      <c r="CK13" s="3">
        <v>29670012.782787517</v>
      </c>
      <c r="CL13" s="7" t="s">
        <v>94</v>
      </c>
      <c r="CM13" s="2" t="s">
        <v>22</v>
      </c>
      <c r="CN13" s="3">
        <v>0</v>
      </c>
      <c r="CO13" s="3">
        <v>0</v>
      </c>
      <c r="CP13" s="3">
        <v>368544612557.54718</v>
      </c>
      <c r="CQ13" s="3">
        <v>458305703955.36957</v>
      </c>
      <c r="CR13" s="3">
        <v>826850316512.91675</v>
      </c>
      <c r="CS13" s="7" t="s">
        <v>94</v>
      </c>
      <c r="CT13" s="2" t="s">
        <v>22</v>
      </c>
      <c r="CU13" s="3">
        <v>1456720271.1926413</v>
      </c>
      <c r="CV13" s="3">
        <v>782619201.54141605</v>
      </c>
      <c r="CW13" s="3">
        <v>0</v>
      </c>
      <c r="CX13" s="3">
        <v>0</v>
      </c>
      <c r="CY13" s="3">
        <v>2239339472.7340574</v>
      </c>
      <c r="CZ13" s="7" t="s">
        <v>94</v>
      </c>
      <c r="DA13" s="2" t="s">
        <v>22</v>
      </c>
      <c r="DB13" s="3">
        <v>274459257.78320676</v>
      </c>
      <c r="DC13" s="3">
        <v>6942967029.4558115</v>
      </c>
      <c r="DD13" s="3">
        <v>1779017122.8402779</v>
      </c>
      <c r="DE13" s="3">
        <v>13848636285.583002</v>
      </c>
      <c r="DF13" s="3">
        <v>22845079695.6623</v>
      </c>
      <c r="DG13" s="7" t="s">
        <v>94</v>
      </c>
      <c r="DH13" s="2" t="s">
        <v>22</v>
      </c>
      <c r="DI13" s="3">
        <v>57841491.611460507</v>
      </c>
      <c r="DJ13" s="3">
        <v>107876426.76208766</v>
      </c>
      <c r="DK13" s="3">
        <v>23968793571.201347</v>
      </c>
      <c r="DL13" s="3">
        <v>2773390534606.3735</v>
      </c>
      <c r="DM13" s="3">
        <v>2797525046095.9482</v>
      </c>
      <c r="DN13" s="7" t="s">
        <v>94</v>
      </c>
      <c r="DO13" s="2" t="s">
        <v>22</v>
      </c>
      <c r="DP13" s="3">
        <v>70683148.322189972</v>
      </c>
      <c r="DQ13" s="3">
        <v>53711265.724790886</v>
      </c>
      <c r="DR13" s="3">
        <v>0</v>
      </c>
      <c r="DS13" s="3">
        <v>0</v>
      </c>
      <c r="DT13" s="3">
        <v>124394414.04698086</v>
      </c>
      <c r="DU13" s="7" t="s">
        <v>94</v>
      </c>
      <c r="DV13" s="2" t="s">
        <v>22</v>
      </c>
      <c r="DW13" s="3">
        <v>319519956.12974215</v>
      </c>
      <c r="DX13" s="3">
        <v>0</v>
      </c>
      <c r="DY13" s="3">
        <v>0</v>
      </c>
      <c r="DZ13" s="3">
        <v>1376575752381.2361</v>
      </c>
      <c r="EA13" s="3">
        <v>1376895272337.3657</v>
      </c>
      <c r="EB13" s="7" t="s">
        <v>94</v>
      </c>
      <c r="EC13" s="2" t="s">
        <v>22</v>
      </c>
      <c r="ED13" s="3">
        <v>109219904383.03546</v>
      </c>
      <c r="EE13" s="3">
        <v>28466017853.6012</v>
      </c>
      <c r="EF13" s="3">
        <v>0</v>
      </c>
      <c r="EG13" s="3">
        <v>0</v>
      </c>
      <c r="EH13" s="3">
        <v>137685922236.63666</v>
      </c>
    </row>
    <row r="14" spans="1:138" ht="10.199999999999999" customHeight="1" x14ac:dyDescent="0.2">
      <c r="A14" s="7" t="s">
        <v>97</v>
      </c>
      <c r="B14" s="2" t="s">
        <v>25</v>
      </c>
      <c r="C14" s="3">
        <f t="shared" si="4"/>
        <v>0</v>
      </c>
      <c r="D14" s="3">
        <f t="shared" si="5"/>
        <v>534410334.41500473</v>
      </c>
      <c r="E14" s="3">
        <f t="shared" si="6"/>
        <v>0</v>
      </c>
      <c r="F14" s="3">
        <f t="shared" si="7"/>
        <v>178121478.65027997</v>
      </c>
      <c r="G14" s="3">
        <f t="shared" si="8"/>
        <v>0</v>
      </c>
      <c r="H14" s="3">
        <f t="shared" si="9"/>
        <v>0</v>
      </c>
      <c r="I14" s="3">
        <f t="shared" si="10"/>
        <v>469644.01156062051</v>
      </c>
      <c r="J14" s="3">
        <f t="shared" si="11"/>
        <v>0</v>
      </c>
      <c r="K14" s="3">
        <f t="shared" si="12"/>
        <v>0</v>
      </c>
      <c r="L14" s="3">
        <f t="shared" si="13"/>
        <v>801378286.79520226</v>
      </c>
      <c r="M14" s="3">
        <f t="shared" si="14"/>
        <v>3626143180.9886713</v>
      </c>
      <c r="N14" s="3">
        <f t="shared" si="15"/>
        <v>721812565.43693256</v>
      </c>
      <c r="O14" s="3">
        <f t="shared" si="16"/>
        <v>5862335490.2976513</v>
      </c>
      <c r="P14" s="7" t="s">
        <v>97</v>
      </c>
      <c r="Q14" s="2" t="s">
        <v>25</v>
      </c>
      <c r="R14" s="3">
        <f t="shared" si="17"/>
        <v>0</v>
      </c>
      <c r="S14" s="3">
        <f t="shared" si="17"/>
        <v>534410334.41500473</v>
      </c>
      <c r="T14" s="3">
        <f t="shared" si="17"/>
        <v>0</v>
      </c>
      <c r="U14" s="3">
        <f t="shared" si="17"/>
        <v>178121478.65027997</v>
      </c>
      <c r="V14" s="3">
        <f t="shared" si="17"/>
        <v>0</v>
      </c>
      <c r="W14" s="3">
        <f t="shared" si="17"/>
        <v>0</v>
      </c>
      <c r="X14" s="3">
        <f t="shared" si="17"/>
        <v>469644.01156062051</v>
      </c>
      <c r="Y14" s="3">
        <f t="shared" si="17"/>
        <v>0</v>
      </c>
      <c r="Z14" s="3">
        <f t="shared" si="17"/>
        <v>0</v>
      </c>
      <c r="AA14" s="3">
        <f t="shared" si="17"/>
        <v>801378286.79520226</v>
      </c>
      <c r="AB14" s="3">
        <f t="shared" si="18"/>
        <v>1514379743.8720477</v>
      </c>
      <c r="AC14" s="7" t="s">
        <v>97</v>
      </c>
      <c r="AD14" s="2" t="s">
        <v>25</v>
      </c>
      <c r="AE14" s="3">
        <f t="shared" si="19"/>
        <v>3626143180.9886713</v>
      </c>
      <c r="AF14" s="3">
        <f t="shared" si="19"/>
        <v>721812565.43693256</v>
      </c>
      <c r="AG14" s="3">
        <f t="shared" si="20"/>
        <v>4347955746.4256039</v>
      </c>
      <c r="AH14" s="7" t="s">
        <v>97</v>
      </c>
      <c r="AI14" s="2" t="s">
        <v>25</v>
      </c>
      <c r="AJ14" s="3">
        <f t="shared" si="21"/>
        <v>5862335490.2976513</v>
      </c>
      <c r="AK14" s="3">
        <f t="shared" si="1"/>
        <v>0</v>
      </c>
      <c r="AL14" s="3">
        <f t="shared" si="1"/>
        <v>0</v>
      </c>
      <c r="AM14" s="3">
        <f t="shared" si="1"/>
        <v>0</v>
      </c>
      <c r="AN14" s="3">
        <f t="shared" si="22"/>
        <v>5862335490.2976513</v>
      </c>
      <c r="AO14" s="7" t="s">
        <v>97</v>
      </c>
      <c r="AP14" s="2" t="s">
        <v>25</v>
      </c>
      <c r="AQ14" s="3">
        <f t="shared" si="23"/>
        <v>1514379743.8720477</v>
      </c>
      <c r="AR14" s="3">
        <f t="shared" si="2"/>
        <v>0</v>
      </c>
      <c r="AS14" s="3">
        <f t="shared" si="2"/>
        <v>0</v>
      </c>
      <c r="AT14" s="3">
        <f t="shared" si="2"/>
        <v>0</v>
      </c>
      <c r="AU14" s="3">
        <f t="shared" si="24"/>
        <v>1514379743.8720477</v>
      </c>
      <c r="AV14" s="7" t="s">
        <v>97</v>
      </c>
      <c r="AW14" s="2" t="s">
        <v>25</v>
      </c>
      <c r="AX14" s="3">
        <f t="shared" si="25"/>
        <v>4347955746.4256039</v>
      </c>
      <c r="AY14" s="3">
        <f t="shared" si="3"/>
        <v>0</v>
      </c>
      <c r="AZ14" s="3">
        <f t="shared" si="3"/>
        <v>0</v>
      </c>
      <c r="BA14" s="3">
        <f t="shared" si="3"/>
        <v>0</v>
      </c>
      <c r="BB14" s="3">
        <f t="shared" si="26"/>
        <v>4347955746.4256039</v>
      </c>
      <c r="BC14" s="7" t="s">
        <v>97</v>
      </c>
      <c r="BD14" s="2" t="s">
        <v>25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7" t="s">
        <v>97</v>
      </c>
      <c r="BK14" s="2" t="s">
        <v>25</v>
      </c>
      <c r="BL14" s="3">
        <v>534410334.41500473</v>
      </c>
      <c r="BM14" s="3">
        <v>0</v>
      </c>
      <c r="BN14" s="3">
        <v>0</v>
      </c>
      <c r="BO14" s="3">
        <v>0</v>
      </c>
      <c r="BP14" s="3">
        <v>534410334.41500473</v>
      </c>
      <c r="BQ14" s="7" t="s">
        <v>97</v>
      </c>
      <c r="BR14" s="2" t="s">
        <v>25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7" t="s">
        <v>97</v>
      </c>
      <c r="BY14" s="2" t="s">
        <v>25</v>
      </c>
      <c r="BZ14" s="3">
        <v>178121478.65027997</v>
      </c>
      <c r="CA14" s="3">
        <v>0</v>
      </c>
      <c r="CB14" s="3">
        <v>0</v>
      </c>
      <c r="CC14" s="3">
        <v>0</v>
      </c>
      <c r="CD14" s="3">
        <v>178121478.65027997</v>
      </c>
      <c r="CE14" s="7" t="s">
        <v>97</v>
      </c>
      <c r="CF14" s="2" t="s">
        <v>25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7" t="s">
        <v>97</v>
      </c>
      <c r="CM14" s="2" t="s">
        <v>25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7" t="s">
        <v>97</v>
      </c>
      <c r="CT14" s="2" t="s">
        <v>25</v>
      </c>
      <c r="CU14" s="3">
        <v>469644.01156062051</v>
      </c>
      <c r="CV14" s="3">
        <v>0</v>
      </c>
      <c r="CW14" s="3">
        <v>0</v>
      </c>
      <c r="CX14" s="3">
        <v>0</v>
      </c>
      <c r="CY14" s="3">
        <v>469644.01156062051</v>
      </c>
      <c r="CZ14" s="7" t="s">
        <v>97</v>
      </c>
      <c r="DA14" s="2" t="s">
        <v>25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7" t="s">
        <v>97</v>
      </c>
      <c r="DH14" s="2" t="s">
        <v>25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7" t="s">
        <v>97</v>
      </c>
      <c r="DO14" s="2" t="s">
        <v>25</v>
      </c>
      <c r="DP14" s="3">
        <v>801378286.79520226</v>
      </c>
      <c r="DQ14" s="3">
        <v>0</v>
      </c>
      <c r="DR14" s="3">
        <v>0</v>
      </c>
      <c r="DS14" s="3">
        <v>0</v>
      </c>
      <c r="DT14" s="3">
        <v>801378286.79520226</v>
      </c>
      <c r="DU14" s="7" t="s">
        <v>97</v>
      </c>
      <c r="DV14" s="2" t="s">
        <v>25</v>
      </c>
      <c r="DW14" s="3">
        <v>721812565.43693256</v>
      </c>
      <c r="DX14" s="3">
        <v>0</v>
      </c>
      <c r="DY14" s="3">
        <v>0</v>
      </c>
      <c r="DZ14" s="3">
        <v>0</v>
      </c>
      <c r="EA14" s="3">
        <v>721812565.43693256</v>
      </c>
      <c r="EB14" s="7" t="s">
        <v>97</v>
      </c>
      <c r="EC14" s="2" t="s">
        <v>25</v>
      </c>
      <c r="ED14" s="3">
        <v>3626143180.9886713</v>
      </c>
      <c r="EE14" s="3">
        <v>0</v>
      </c>
      <c r="EF14" s="3">
        <v>0</v>
      </c>
      <c r="EG14" s="3">
        <v>0</v>
      </c>
      <c r="EH14" s="3">
        <v>3626143180.9886713</v>
      </c>
    </row>
    <row r="15" spans="1:138" ht="10.199999999999999" customHeight="1" x14ac:dyDescent="0.2">
      <c r="A15" s="7" t="s">
        <v>117</v>
      </c>
      <c r="B15" s="2" t="s">
        <v>45</v>
      </c>
      <c r="C15" s="3">
        <f t="shared" si="4"/>
        <v>0</v>
      </c>
      <c r="D15" s="3">
        <f t="shared" si="5"/>
        <v>0</v>
      </c>
      <c r="E15" s="3">
        <f t="shared" si="6"/>
        <v>5321107075547.1006</v>
      </c>
      <c r="F15" s="3">
        <f t="shared" si="7"/>
        <v>10199337763.59449</v>
      </c>
      <c r="G15" s="3">
        <f t="shared" si="8"/>
        <v>216762996.81918186</v>
      </c>
      <c r="H15" s="3">
        <f t="shared" si="9"/>
        <v>0</v>
      </c>
      <c r="I15" s="3">
        <f t="shared" si="10"/>
        <v>0</v>
      </c>
      <c r="J15" s="3">
        <f t="shared" si="11"/>
        <v>12684608.149886707</v>
      </c>
      <c r="K15" s="3">
        <f t="shared" si="12"/>
        <v>3721438866.8835859</v>
      </c>
      <c r="L15" s="3">
        <f t="shared" si="13"/>
        <v>7780255665.936698</v>
      </c>
      <c r="M15" s="3">
        <f t="shared" si="14"/>
        <v>7317637295.0888596</v>
      </c>
      <c r="N15" s="3">
        <f t="shared" si="15"/>
        <v>1670008211449.8838</v>
      </c>
      <c r="O15" s="3">
        <f t="shared" si="16"/>
        <v>7020363404193.457</v>
      </c>
      <c r="P15" s="7" t="s">
        <v>117</v>
      </c>
      <c r="Q15" s="2" t="s">
        <v>45</v>
      </c>
      <c r="R15" s="3">
        <f t="shared" si="17"/>
        <v>0</v>
      </c>
      <c r="S15" s="3">
        <f t="shared" si="17"/>
        <v>0</v>
      </c>
      <c r="T15" s="3">
        <f t="shared" si="17"/>
        <v>5321107075547.1006</v>
      </c>
      <c r="U15" s="3">
        <f t="shared" si="17"/>
        <v>10199337763.59449</v>
      </c>
      <c r="V15" s="3">
        <f t="shared" si="17"/>
        <v>216762996.81918186</v>
      </c>
      <c r="W15" s="3">
        <f t="shared" si="17"/>
        <v>0</v>
      </c>
      <c r="X15" s="3">
        <f t="shared" si="17"/>
        <v>0</v>
      </c>
      <c r="Y15" s="3">
        <f t="shared" si="17"/>
        <v>12684608.149886707</v>
      </c>
      <c r="Z15" s="3">
        <f t="shared" si="17"/>
        <v>3721438866.8835859</v>
      </c>
      <c r="AA15" s="3">
        <f t="shared" si="17"/>
        <v>7780255665.936698</v>
      </c>
      <c r="AB15" s="3">
        <f t="shared" si="18"/>
        <v>5343037555448.4844</v>
      </c>
      <c r="AC15" s="7" t="s">
        <v>117</v>
      </c>
      <c r="AD15" s="2" t="s">
        <v>45</v>
      </c>
      <c r="AE15" s="3">
        <f t="shared" si="19"/>
        <v>7317637295.0888596</v>
      </c>
      <c r="AF15" s="3">
        <f t="shared" si="19"/>
        <v>1670008211449.8838</v>
      </c>
      <c r="AG15" s="3">
        <f t="shared" si="20"/>
        <v>1677325848744.9727</v>
      </c>
      <c r="AH15" s="7" t="s">
        <v>117</v>
      </c>
      <c r="AI15" s="2" t="s">
        <v>45</v>
      </c>
      <c r="AJ15" s="3">
        <f t="shared" si="21"/>
        <v>17172156534.077801</v>
      </c>
      <c r="AK15" s="3">
        <f t="shared" si="1"/>
        <v>109125337860.22632</v>
      </c>
      <c r="AL15" s="3">
        <f t="shared" si="1"/>
        <v>1177594795.9750309</v>
      </c>
      <c r="AM15" s="3">
        <f t="shared" si="1"/>
        <v>6892888315003.1777</v>
      </c>
      <c r="AN15" s="3">
        <f t="shared" si="22"/>
        <v>7020363404193.457</v>
      </c>
      <c r="AO15" s="7" t="s">
        <v>117</v>
      </c>
      <c r="AP15" s="2" t="s">
        <v>45</v>
      </c>
      <c r="AQ15" s="3">
        <f t="shared" si="23"/>
        <v>10979951713.297974</v>
      </c>
      <c r="AR15" s="3">
        <f t="shared" si="2"/>
        <v>10859154617.731644</v>
      </c>
      <c r="AS15" s="3">
        <f t="shared" si="2"/>
        <v>91373570.354224861</v>
      </c>
      <c r="AT15" s="3">
        <f t="shared" si="2"/>
        <v>5321107075547.1006</v>
      </c>
      <c r="AU15" s="3">
        <f t="shared" si="24"/>
        <v>5343037555448.4844</v>
      </c>
      <c r="AV15" s="7" t="s">
        <v>117</v>
      </c>
      <c r="AW15" s="2" t="s">
        <v>45</v>
      </c>
      <c r="AX15" s="3">
        <f t="shared" si="25"/>
        <v>6192204820.7798281</v>
      </c>
      <c r="AY15" s="3">
        <f t="shared" si="3"/>
        <v>98266183242.494675</v>
      </c>
      <c r="AZ15" s="3">
        <f t="shared" si="3"/>
        <v>1086221225.620806</v>
      </c>
      <c r="BA15" s="3">
        <f t="shared" si="3"/>
        <v>1571781239456.0774</v>
      </c>
      <c r="BB15" s="3">
        <f t="shared" si="26"/>
        <v>1677325848744.9727</v>
      </c>
      <c r="BC15" s="7" t="s">
        <v>117</v>
      </c>
      <c r="BD15" s="2" t="s">
        <v>45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7" t="s">
        <v>117</v>
      </c>
      <c r="BK15" s="2" t="s">
        <v>45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7" t="s">
        <v>117</v>
      </c>
      <c r="BR15" s="2" t="s">
        <v>45</v>
      </c>
      <c r="BS15" s="3">
        <v>0</v>
      </c>
      <c r="BT15" s="3">
        <v>0</v>
      </c>
      <c r="BU15" s="3">
        <v>0</v>
      </c>
      <c r="BV15" s="3">
        <v>5321107075547.1006</v>
      </c>
      <c r="BW15" s="3">
        <v>5321107075547.1006</v>
      </c>
      <c r="BX15" s="7" t="s">
        <v>117</v>
      </c>
      <c r="BY15" s="2" t="s">
        <v>45</v>
      </c>
      <c r="BZ15" s="3">
        <v>2528283155.9055119</v>
      </c>
      <c r="CA15" s="3">
        <v>7671009879.6878777</v>
      </c>
      <c r="CB15" s="3">
        <v>44728.001101011483</v>
      </c>
      <c r="CC15" s="3">
        <v>0</v>
      </c>
      <c r="CD15" s="3">
        <v>10199337763.59449</v>
      </c>
      <c r="CE15" s="7" t="s">
        <v>117</v>
      </c>
      <c r="CF15" s="2" t="s">
        <v>45</v>
      </c>
      <c r="CG15" s="3">
        <v>137315870.33026794</v>
      </c>
      <c r="CH15" s="3">
        <v>79447126.488913938</v>
      </c>
      <c r="CI15" s="3">
        <v>0</v>
      </c>
      <c r="CJ15" s="3">
        <v>0</v>
      </c>
      <c r="CK15" s="3">
        <v>216762996.81918186</v>
      </c>
      <c r="CL15" s="7" t="s">
        <v>117</v>
      </c>
      <c r="CM15" s="2" t="s">
        <v>45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7" t="s">
        <v>117</v>
      </c>
      <c r="CT15" s="2" t="s">
        <v>45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7" t="s">
        <v>117</v>
      </c>
      <c r="DA15" s="2" t="s">
        <v>45</v>
      </c>
      <c r="DB15" s="3">
        <v>521412412.97560972</v>
      </c>
      <c r="DC15" s="3">
        <v>3108697611.5548525</v>
      </c>
      <c r="DD15" s="3">
        <v>91328842.353123844</v>
      </c>
      <c r="DE15" s="3">
        <v>0</v>
      </c>
      <c r="DF15" s="3">
        <v>3721438866.8835859</v>
      </c>
      <c r="DG15" s="7" t="s">
        <v>117</v>
      </c>
      <c r="DH15" s="2" t="s">
        <v>45</v>
      </c>
      <c r="DI15" s="3">
        <v>12684608.149886707</v>
      </c>
      <c r="DJ15" s="3">
        <v>0</v>
      </c>
      <c r="DK15" s="3">
        <v>0</v>
      </c>
      <c r="DL15" s="3">
        <v>0</v>
      </c>
      <c r="DM15" s="3">
        <v>12684608.149886707</v>
      </c>
      <c r="DN15" s="7" t="s">
        <v>117</v>
      </c>
      <c r="DO15" s="2" t="s">
        <v>45</v>
      </c>
      <c r="DP15" s="3">
        <v>7780255665.936698</v>
      </c>
      <c r="DQ15" s="3">
        <v>0</v>
      </c>
      <c r="DR15" s="3">
        <v>0</v>
      </c>
      <c r="DS15" s="3">
        <v>0</v>
      </c>
      <c r="DT15" s="3">
        <v>7780255665.936698</v>
      </c>
      <c r="DU15" s="7" t="s">
        <v>117</v>
      </c>
      <c r="DV15" s="2" t="s">
        <v>45</v>
      </c>
      <c r="DW15" s="3">
        <v>1062016711.6504854</v>
      </c>
      <c r="DX15" s="3">
        <v>96078734056.535156</v>
      </c>
      <c r="DY15" s="3">
        <v>1086221225.620806</v>
      </c>
      <c r="DZ15" s="3">
        <v>1571781239456.0774</v>
      </c>
      <c r="EA15" s="3">
        <v>1670008211449.8838</v>
      </c>
      <c r="EB15" s="7" t="s">
        <v>117</v>
      </c>
      <c r="EC15" s="2" t="s">
        <v>45</v>
      </c>
      <c r="ED15" s="3">
        <v>5130188109.129343</v>
      </c>
      <c r="EE15" s="3">
        <v>2187449185.959516</v>
      </c>
      <c r="EF15" s="3">
        <v>0</v>
      </c>
      <c r="EG15" s="3">
        <v>0</v>
      </c>
      <c r="EH15" s="3">
        <v>7317637295.0888596</v>
      </c>
    </row>
    <row r="16" spans="1:138" ht="10.199999999999999" customHeight="1" x14ac:dyDescent="0.2">
      <c r="A16" s="7" t="s">
        <v>114</v>
      </c>
      <c r="B16" s="2" t="s">
        <v>42</v>
      </c>
      <c r="C16" s="3">
        <f t="shared" si="4"/>
        <v>112270857.14285713</v>
      </c>
      <c r="D16" s="3">
        <f t="shared" si="5"/>
        <v>11633660923.977581</v>
      </c>
      <c r="E16" s="3">
        <f t="shared" si="6"/>
        <v>9800547804.6225224</v>
      </c>
      <c r="F16" s="3">
        <f t="shared" si="7"/>
        <v>8789590329.2638206</v>
      </c>
      <c r="G16" s="3">
        <f t="shared" si="8"/>
        <v>335460008.25758606</v>
      </c>
      <c r="H16" s="3">
        <f t="shared" si="9"/>
        <v>0</v>
      </c>
      <c r="I16" s="3">
        <f t="shared" si="10"/>
        <v>1456077620.0325274</v>
      </c>
      <c r="J16" s="3">
        <f t="shared" si="11"/>
        <v>57071999.999999993</v>
      </c>
      <c r="K16" s="3">
        <f t="shared" si="12"/>
        <v>2744428706.3259983</v>
      </c>
      <c r="L16" s="3">
        <f t="shared" si="13"/>
        <v>6675209319.1588783</v>
      </c>
      <c r="M16" s="3">
        <f t="shared" si="14"/>
        <v>19475549878.189503</v>
      </c>
      <c r="N16" s="3">
        <f t="shared" si="15"/>
        <v>122914662.48870996</v>
      </c>
      <c r="O16" s="3">
        <f t="shared" si="16"/>
        <v>61202782109.459976</v>
      </c>
      <c r="P16" s="7" t="s">
        <v>114</v>
      </c>
      <c r="Q16" s="2" t="s">
        <v>42</v>
      </c>
      <c r="R16" s="3">
        <f t="shared" si="17"/>
        <v>112270857.14285713</v>
      </c>
      <c r="S16" s="3">
        <f t="shared" si="17"/>
        <v>11633660923.977581</v>
      </c>
      <c r="T16" s="3">
        <f t="shared" si="17"/>
        <v>9800547804.6225224</v>
      </c>
      <c r="U16" s="3">
        <f t="shared" si="17"/>
        <v>8789590329.2638206</v>
      </c>
      <c r="V16" s="3">
        <f t="shared" si="17"/>
        <v>335460008.25758606</v>
      </c>
      <c r="W16" s="3">
        <f t="shared" si="17"/>
        <v>0</v>
      </c>
      <c r="X16" s="3">
        <f t="shared" si="17"/>
        <v>1456077620.0325274</v>
      </c>
      <c r="Y16" s="3">
        <f t="shared" si="17"/>
        <v>57071999.999999993</v>
      </c>
      <c r="Z16" s="3">
        <f t="shared" si="17"/>
        <v>2744428706.3259983</v>
      </c>
      <c r="AA16" s="3">
        <f t="shared" si="17"/>
        <v>6675209319.1588783</v>
      </c>
      <c r="AB16" s="3">
        <f t="shared" si="18"/>
        <v>41604317568.781769</v>
      </c>
      <c r="AC16" s="7" t="s">
        <v>114</v>
      </c>
      <c r="AD16" s="2" t="s">
        <v>42</v>
      </c>
      <c r="AE16" s="3">
        <f t="shared" si="19"/>
        <v>19475549878.189503</v>
      </c>
      <c r="AF16" s="3">
        <f t="shared" si="19"/>
        <v>122914662.48870996</v>
      </c>
      <c r="AG16" s="3">
        <f t="shared" si="20"/>
        <v>19598464540.678211</v>
      </c>
      <c r="AH16" s="7" t="s">
        <v>114</v>
      </c>
      <c r="AI16" s="2" t="s">
        <v>42</v>
      </c>
      <c r="AJ16" s="3">
        <f t="shared" si="21"/>
        <v>26153742247.406864</v>
      </c>
      <c r="AK16" s="3">
        <f t="shared" si="1"/>
        <v>18134198703.790054</v>
      </c>
      <c r="AL16" s="3">
        <f t="shared" si="1"/>
        <v>616140360.54500067</v>
      </c>
      <c r="AM16" s="3">
        <f t="shared" si="1"/>
        <v>16298700797.718063</v>
      </c>
      <c r="AN16" s="3">
        <f t="shared" si="22"/>
        <v>61202782109.459976</v>
      </c>
      <c r="AO16" s="7" t="s">
        <v>114</v>
      </c>
      <c r="AP16" s="2" t="s">
        <v>42</v>
      </c>
      <c r="AQ16" s="3">
        <f t="shared" si="23"/>
        <v>6555277706.728653</v>
      </c>
      <c r="AR16" s="3">
        <f t="shared" si="2"/>
        <v>18134198703.790054</v>
      </c>
      <c r="AS16" s="3">
        <f t="shared" si="2"/>
        <v>616140360.54500067</v>
      </c>
      <c r="AT16" s="3">
        <f t="shared" si="2"/>
        <v>16298700797.718063</v>
      </c>
      <c r="AU16" s="3">
        <f t="shared" si="24"/>
        <v>41604317568.781769</v>
      </c>
      <c r="AV16" s="7" t="s">
        <v>114</v>
      </c>
      <c r="AW16" s="2" t="s">
        <v>42</v>
      </c>
      <c r="AX16" s="3">
        <f t="shared" si="25"/>
        <v>19598464540.678211</v>
      </c>
      <c r="AY16" s="3">
        <f t="shared" si="3"/>
        <v>0</v>
      </c>
      <c r="AZ16" s="3">
        <f t="shared" si="3"/>
        <v>0</v>
      </c>
      <c r="BA16" s="3">
        <f t="shared" si="3"/>
        <v>0</v>
      </c>
      <c r="BB16" s="3">
        <f t="shared" si="26"/>
        <v>19598464540.678211</v>
      </c>
      <c r="BC16" s="7" t="s">
        <v>114</v>
      </c>
      <c r="BD16" s="2" t="s">
        <v>42</v>
      </c>
      <c r="BE16" s="3">
        <v>112270857.14285713</v>
      </c>
      <c r="BF16" s="3">
        <v>0</v>
      </c>
      <c r="BG16" s="3">
        <v>0</v>
      </c>
      <c r="BH16" s="3">
        <v>0</v>
      </c>
      <c r="BI16" s="3">
        <v>112270857.14285713</v>
      </c>
      <c r="BJ16" s="7" t="s">
        <v>114</v>
      </c>
      <c r="BK16" s="2" t="s">
        <v>42</v>
      </c>
      <c r="BL16" s="3">
        <v>0</v>
      </c>
      <c r="BM16" s="3">
        <v>11633660923.977581</v>
      </c>
      <c r="BN16" s="3">
        <v>0</v>
      </c>
      <c r="BO16" s="3">
        <v>0</v>
      </c>
      <c r="BP16" s="3">
        <v>11633660923.977581</v>
      </c>
      <c r="BQ16" s="7" t="s">
        <v>114</v>
      </c>
      <c r="BR16" s="2" t="s">
        <v>42</v>
      </c>
      <c r="BS16" s="3">
        <v>0</v>
      </c>
      <c r="BT16" s="3">
        <v>0</v>
      </c>
      <c r="BU16" s="3">
        <v>0</v>
      </c>
      <c r="BV16" s="3">
        <v>9800547804.6225224</v>
      </c>
      <c r="BW16" s="3">
        <v>9800547804.6225224</v>
      </c>
      <c r="BX16" s="7" t="s">
        <v>114</v>
      </c>
      <c r="BY16" s="2" t="s">
        <v>42</v>
      </c>
      <c r="BZ16" s="3">
        <v>1675296975.6232796</v>
      </c>
      <c r="CA16" s="3">
        <v>0</v>
      </c>
      <c r="CB16" s="3">
        <v>616140360.54500067</v>
      </c>
      <c r="CC16" s="3">
        <v>6498152993.095541</v>
      </c>
      <c r="CD16" s="3">
        <v>8789590329.2638206</v>
      </c>
      <c r="CE16" s="7" t="s">
        <v>114</v>
      </c>
      <c r="CF16" s="2" t="s">
        <v>42</v>
      </c>
      <c r="CG16" s="3">
        <v>335460008.25758606</v>
      </c>
      <c r="CH16" s="3">
        <v>0</v>
      </c>
      <c r="CI16" s="3">
        <v>0</v>
      </c>
      <c r="CJ16" s="3">
        <v>0</v>
      </c>
      <c r="CK16" s="3">
        <v>335460008.25758606</v>
      </c>
      <c r="CL16" s="7" t="s">
        <v>114</v>
      </c>
      <c r="CM16" s="2" t="s">
        <v>42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7" t="s">
        <v>114</v>
      </c>
      <c r="CT16" s="2" t="s">
        <v>42</v>
      </c>
      <c r="CU16" s="3">
        <v>1456077620.0325274</v>
      </c>
      <c r="CV16" s="3">
        <v>0</v>
      </c>
      <c r="CW16" s="3">
        <v>0</v>
      </c>
      <c r="CX16" s="3">
        <v>0</v>
      </c>
      <c r="CY16" s="3">
        <v>1456077620.0325274</v>
      </c>
      <c r="CZ16" s="7" t="s">
        <v>114</v>
      </c>
      <c r="DA16" s="2" t="s">
        <v>42</v>
      </c>
      <c r="DB16" s="3">
        <v>2744428706.3259983</v>
      </c>
      <c r="DC16" s="3">
        <v>0</v>
      </c>
      <c r="DD16" s="3">
        <v>0</v>
      </c>
      <c r="DE16" s="3">
        <v>0</v>
      </c>
      <c r="DF16" s="3">
        <v>2744428706.3259983</v>
      </c>
      <c r="DG16" s="7" t="s">
        <v>114</v>
      </c>
      <c r="DH16" s="2" t="s">
        <v>42</v>
      </c>
      <c r="DI16" s="3">
        <v>57071999.999999993</v>
      </c>
      <c r="DJ16" s="3">
        <v>0</v>
      </c>
      <c r="DK16" s="3">
        <v>0</v>
      </c>
      <c r="DL16" s="3">
        <v>0</v>
      </c>
      <c r="DM16" s="3">
        <v>57071999.999999993</v>
      </c>
      <c r="DN16" s="7" t="s">
        <v>114</v>
      </c>
      <c r="DO16" s="2" t="s">
        <v>42</v>
      </c>
      <c r="DP16" s="3">
        <v>174671539.34640521</v>
      </c>
      <c r="DQ16" s="3">
        <v>6500537779.8124733</v>
      </c>
      <c r="DR16" s="3">
        <v>0</v>
      </c>
      <c r="DS16" s="3">
        <v>0</v>
      </c>
      <c r="DT16" s="3">
        <v>6675209319.1588783</v>
      </c>
      <c r="DU16" s="7" t="s">
        <v>114</v>
      </c>
      <c r="DV16" s="2" t="s">
        <v>42</v>
      </c>
      <c r="DW16" s="3">
        <v>122914662.48870996</v>
      </c>
      <c r="DX16" s="3">
        <v>0</v>
      </c>
      <c r="DY16" s="3">
        <v>0</v>
      </c>
      <c r="DZ16" s="3">
        <v>0</v>
      </c>
      <c r="EA16" s="3">
        <v>122914662.48870996</v>
      </c>
      <c r="EB16" s="7" t="s">
        <v>114</v>
      </c>
      <c r="EC16" s="2" t="s">
        <v>42</v>
      </c>
      <c r="ED16" s="3">
        <v>19475549878.189503</v>
      </c>
      <c r="EE16" s="3">
        <v>0</v>
      </c>
      <c r="EF16" s="3">
        <v>0</v>
      </c>
      <c r="EG16" s="3">
        <v>0</v>
      </c>
      <c r="EH16" s="3">
        <v>19475549878.189503</v>
      </c>
    </row>
    <row r="17" spans="1:138" ht="10.199999999999999" customHeight="1" x14ac:dyDescent="0.2">
      <c r="A17" s="7" t="s">
        <v>112</v>
      </c>
      <c r="B17" s="2" t="s">
        <v>40</v>
      </c>
      <c r="C17" s="3">
        <f t="shared" si="4"/>
        <v>0</v>
      </c>
      <c r="D17" s="3">
        <f t="shared" si="5"/>
        <v>0</v>
      </c>
      <c r="E17" s="3">
        <f t="shared" si="6"/>
        <v>5880593977383.1396</v>
      </c>
      <c r="F17" s="3">
        <f t="shared" si="7"/>
        <v>6595318705.8347301</v>
      </c>
      <c r="G17" s="3">
        <f t="shared" si="8"/>
        <v>423628733.33333331</v>
      </c>
      <c r="H17" s="3">
        <f t="shared" si="9"/>
        <v>288392524248.6947</v>
      </c>
      <c r="I17" s="3">
        <f t="shared" si="10"/>
        <v>5106414238.8873549</v>
      </c>
      <c r="J17" s="3">
        <f t="shared" si="11"/>
        <v>34887840.858788952</v>
      </c>
      <c r="K17" s="3">
        <f t="shared" si="12"/>
        <v>74359080818.372757</v>
      </c>
      <c r="L17" s="3">
        <f t="shared" si="13"/>
        <v>12503583317.247803</v>
      </c>
      <c r="M17" s="3">
        <f t="shared" si="14"/>
        <v>25880314510.011082</v>
      </c>
      <c r="N17" s="3">
        <f t="shared" si="15"/>
        <v>28335061044.39061</v>
      </c>
      <c r="O17" s="3">
        <f t="shared" si="16"/>
        <v>6322224790840.7705</v>
      </c>
      <c r="P17" s="7" t="s">
        <v>112</v>
      </c>
      <c r="Q17" s="2" t="s">
        <v>40</v>
      </c>
      <c r="R17" s="3">
        <f t="shared" si="17"/>
        <v>0</v>
      </c>
      <c r="S17" s="3">
        <f t="shared" si="17"/>
        <v>0</v>
      </c>
      <c r="T17" s="3">
        <f t="shared" si="17"/>
        <v>5880593977383.1396</v>
      </c>
      <c r="U17" s="3">
        <f t="shared" si="17"/>
        <v>6595318705.8347301</v>
      </c>
      <c r="V17" s="3">
        <f t="shared" si="17"/>
        <v>423628733.33333331</v>
      </c>
      <c r="W17" s="3">
        <f t="shared" si="17"/>
        <v>288392524248.6947</v>
      </c>
      <c r="X17" s="3">
        <f t="shared" si="17"/>
        <v>5106414238.8873549</v>
      </c>
      <c r="Y17" s="3">
        <f t="shared" si="17"/>
        <v>34887840.858788952</v>
      </c>
      <c r="Z17" s="3">
        <f t="shared" si="17"/>
        <v>74359080818.372757</v>
      </c>
      <c r="AA17" s="3">
        <f t="shared" si="17"/>
        <v>12503583317.247803</v>
      </c>
      <c r="AB17" s="3">
        <f t="shared" si="18"/>
        <v>6268009415286.3691</v>
      </c>
      <c r="AC17" s="7" t="s">
        <v>112</v>
      </c>
      <c r="AD17" s="2" t="s">
        <v>40</v>
      </c>
      <c r="AE17" s="3">
        <f t="shared" si="19"/>
        <v>25880314510.011082</v>
      </c>
      <c r="AF17" s="3">
        <f t="shared" si="19"/>
        <v>28335061044.39061</v>
      </c>
      <c r="AG17" s="3">
        <f t="shared" si="20"/>
        <v>54215375554.401688</v>
      </c>
      <c r="AH17" s="7" t="s">
        <v>112</v>
      </c>
      <c r="AI17" s="2" t="s">
        <v>40</v>
      </c>
      <c r="AJ17" s="3">
        <f t="shared" si="21"/>
        <v>136807337010.44734</v>
      </c>
      <c r="AK17" s="3">
        <f t="shared" si="1"/>
        <v>15900597454.506666</v>
      </c>
      <c r="AL17" s="3">
        <f t="shared" si="1"/>
        <v>0</v>
      </c>
      <c r="AM17" s="3">
        <f t="shared" si="1"/>
        <v>6169516856375.8164</v>
      </c>
      <c r="AN17" s="3">
        <f t="shared" si="22"/>
        <v>6322224790840.7705</v>
      </c>
      <c r="AO17" s="7" t="s">
        <v>112</v>
      </c>
      <c r="AP17" s="2" t="s">
        <v>40</v>
      </c>
      <c r="AQ17" s="3">
        <f t="shared" si="23"/>
        <v>82591961456.045654</v>
      </c>
      <c r="AR17" s="3">
        <f t="shared" si="2"/>
        <v>15900597454.506666</v>
      </c>
      <c r="AS17" s="3">
        <f t="shared" si="2"/>
        <v>0</v>
      </c>
      <c r="AT17" s="3">
        <f t="shared" si="2"/>
        <v>6169516856375.8164</v>
      </c>
      <c r="AU17" s="3">
        <f t="shared" si="24"/>
        <v>6268009415286.3691</v>
      </c>
      <c r="AV17" s="7" t="s">
        <v>112</v>
      </c>
      <c r="AW17" s="2" t="s">
        <v>40</v>
      </c>
      <c r="AX17" s="3">
        <f t="shared" si="25"/>
        <v>54215375554.401688</v>
      </c>
      <c r="AY17" s="3">
        <f t="shared" si="3"/>
        <v>0</v>
      </c>
      <c r="AZ17" s="3">
        <f t="shared" si="3"/>
        <v>0</v>
      </c>
      <c r="BA17" s="3">
        <f t="shared" si="3"/>
        <v>0</v>
      </c>
      <c r="BB17" s="3">
        <f t="shared" si="26"/>
        <v>54215375554.401688</v>
      </c>
      <c r="BC17" s="7" t="s">
        <v>112</v>
      </c>
      <c r="BD17" s="2" t="s">
        <v>40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7" t="s">
        <v>112</v>
      </c>
      <c r="BK17" s="2" t="s">
        <v>40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7" t="s">
        <v>112</v>
      </c>
      <c r="BR17" s="2" t="s">
        <v>40</v>
      </c>
      <c r="BS17" s="3">
        <v>0</v>
      </c>
      <c r="BT17" s="3">
        <v>0</v>
      </c>
      <c r="BU17" s="3">
        <v>0</v>
      </c>
      <c r="BV17" s="3">
        <v>5880593977383.1396</v>
      </c>
      <c r="BW17" s="3">
        <v>5880593977383.1396</v>
      </c>
      <c r="BX17" s="7" t="s">
        <v>112</v>
      </c>
      <c r="BY17" s="2" t="s">
        <v>40</v>
      </c>
      <c r="BZ17" s="3">
        <v>6595318705.8347301</v>
      </c>
      <c r="CA17" s="3">
        <v>0</v>
      </c>
      <c r="CB17" s="3">
        <v>0</v>
      </c>
      <c r="CC17" s="3">
        <v>0</v>
      </c>
      <c r="CD17" s="3">
        <v>6595318705.8347301</v>
      </c>
      <c r="CE17" s="7" t="s">
        <v>112</v>
      </c>
      <c r="CF17" s="2" t="s">
        <v>40</v>
      </c>
      <c r="CG17" s="3">
        <v>423628733.33333331</v>
      </c>
      <c r="CH17" s="3">
        <v>0</v>
      </c>
      <c r="CI17" s="3">
        <v>0</v>
      </c>
      <c r="CJ17" s="3">
        <v>0</v>
      </c>
      <c r="CK17" s="3">
        <v>423628733.33333331</v>
      </c>
      <c r="CL17" s="7" t="s">
        <v>112</v>
      </c>
      <c r="CM17" s="2" t="s">
        <v>40</v>
      </c>
      <c r="CN17" s="3">
        <v>0</v>
      </c>
      <c r="CO17" s="3">
        <v>0</v>
      </c>
      <c r="CP17" s="3">
        <v>0</v>
      </c>
      <c r="CQ17" s="3">
        <v>288392524248.6947</v>
      </c>
      <c r="CR17" s="3">
        <v>288392524248.6947</v>
      </c>
      <c r="CS17" s="7" t="s">
        <v>112</v>
      </c>
      <c r="CT17" s="2" t="s">
        <v>40</v>
      </c>
      <c r="CU17" s="3">
        <v>5106414238.8873549</v>
      </c>
      <c r="CV17" s="3">
        <v>0</v>
      </c>
      <c r="CW17" s="3">
        <v>0</v>
      </c>
      <c r="CX17" s="3">
        <v>0</v>
      </c>
      <c r="CY17" s="3">
        <v>5106414238.8873549</v>
      </c>
      <c r="CZ17" s="7" t="s">
        <v>112</v>
      </c>
      <c r="DA17" s="2" t="s">
        <v>40</v>
      </c>
      <c r="DB17" s="3">
        <v>58458483363.866096</v>
      </c>
      <c r="DC17" s="3">
        <v>15900597454.506666</v>
      </c>
      <c r="DD17" s="3">
        <v>0</v>
      </c>
      <c r="DE17" s="3">
        <v>0</v>
      </c>
      <c r="DF17" s="3">
        <v>74359080818.372757</v>
      </c>
      <c r="DG17" s="7" t="s">
        <v>112</v>
      </c>
      <c r="DH17" s="2" t="s">
        <v>40</v>
      </c>
      <c r="DI17" s="3">
        <v>34887840.858788952</v>
      </c>
      <c r="DJ17" s="3">
        <v>0</v>
      </c>
      <c r="DK17" s="3">
        <v>0</v>
      </c>
      <c r="DL17" s="3">
        <v>0</v>
      </c>
      <c r="DM17" s="3">
        <v>34887840.858788952</v>
      </c>
      <c r="DN17" s="7" t="s">
        <v>112</v>
      </c>
      <c r="DO17" s="2" t="s">
        <v>40</v>
      </c>
      <c r="DP17" s="3">
        <v>11973228573.26535</v>
      </c>
      <c r="DQ17" s="3">
        <v>0</v>
      </c>
      <c r="DR17" s="3">
        <v>0</v>
      </c>
      <c r="DS17" s="3">
        <v>530354743.98245323</v>
      </c>
      <c r="DT17" s="3">
        <v>12503583317.247803</v>
      </c>
      <c r="DU17" s="7" t="s">
        <v>112</v>
      </c>
      <c r="DV17" s="2" t="s">
        <v>40</v>
      </c>
      <c r="DW17" s="3">
        <v>28335061044.39061</v>
      </c>
      <c r="DX17" s="3">
        <v>0</v>
      </c>
      <c r="DY17" s="3">
        <v>0</v>
      </c>
      <c r="DZ17" s="3">
        <v>0</v>
      </c>
      <c r="EA17" s="3">
        <v>28335061044.39061</v>
      </c>
      <c r="EB17" s="7" t="s">
        <v>112</v>
      </c>
      <c r="EC17" s="2" t="s">
        <v>40</v>
      </c>
      <c r="ED17" s="3">
        <v>25880314510.011082</v>
      </c>
      <c r="EE17" s="3">
        <v>0</v>
      </c>
      <c r="EF17" s="3">
        <v>0</v>
      </c>
      <c r="EG17" s="3">
        <v>0</v>
      </c>
      <c r="EH17" s="3">
        <v>25880314510.011082</v>
      </c>
    </row>
    <row r="18" spans="1:138" ht="10.199999999999999" customHeight="1" x14ac:dyDescent="0.2">
      <c r="A18" s="7" t="s">
        <v>116</v>
      </c>
      <c r="B18" s="2" t="s">
        <v>44</v>
      </c>
      <c r="C18" s="3">
        <f t="shared" si="4"/>
        <v>1473935155.7786865</v>
      </c>
      <c r="D18" s="3">
        <f t="shared" si="5"/>
        <v>100173394808.30043</v>
      </c>
      <c r="E18" s="3">
        <f t="shared" si="6"/>
        <v>912763007474.83105</v>
      </c>
      <c r="F18" s="3">
        <f t="shared" si="7"/>
        <v>813517531.58972216</v>
      </c>
      <c r="G18" s="3">
        <f t="shared" si="8"/>
        <v>7308512899.4653444</v>
      </c>
      <c r="H18" s="3">
        <f t="shared" si="9"/>
        <v>6924318142.791501</v>
      </c>
      <c r="I18" s="3">
        <f t="shared" si="10"/>
        <v>1727623258.2616861</v>
      </c>
      <c r="J18" s="3">
        <f t="shared" si="11"/>
        <v>64409042239.035316</v>
      </c>
      <c r="K18" s="3">
        <f t="shared" si="12"/>
        <v>8242944092.7753067</v>
      </c>
      <c r="L18" s="3">
        <f t="shared" si="13"/>
        <v>162036806373.24243</v>
      </c>
      <c r="M18" s="3">
        <f t="shared" si="14"/>
        <v>8138287606.6342459</v>
      </c>
      <c r="N18" s="3">
        <f t="shared" si="15"/>
        <v>2669075865331.8652</v>
      </c>
      <c r="O18" s="3">
        <f t="shared" si="16"/>
        <v>3943087254914.5713</v>
      </c>
      <c r="P18" s="7" t="s">
        <v>116</v>
      </c>
      <c r="Q18" s="2" t="s">
        <v>44</v>
      </c>
      <c r="R18" s="3">
        <f t="shared" si="17"/>
        <v>1473935155.7786865</v>
      </c>
      <c r="S18" s="3">
        <f t="shared" si="17"/>
        <v>100173394808.30043</v>
      </c>
      <c r="T18" s="3">
        <f t="shared" si="17"/>
        <v>912763007474.83105</v>
      </c>
      <c r="U18" s="3">
        <f t="shared" si="17"/>
        <v>813517531.58972216</v>
      </c>
      <c r="V18" s="3">
        <f t="shared" si="17"/>
        <v>7308512899.4653444</v>
      </c>
      <c r="W18" s="3">
        <f t="shared" si="17"/>
        <v>6924318142.791501</v>
      </c>
      <c r="X18" s="3">
        <f t="shared" si="17"/>
        <v>1727623258.2616861</v>
      </c>
      <c r="Y18" s="3">
        <f t="shared" si="17"/>
        <v>64409042239.035316</v>
      </c>
      <c r="Z18" s="3">
        <f t="shared" si="17"/>
        <v>8242944092.7753067</v>
      </c>
      <c r="AA18" s="3">
        <f t="shared" si="17"/>
        <v>162036806373.24243</v>
      </c>
      <c r="AB18" s="3">
        <f t="shared" si="18"/>
        <v>1265873101976.0715</v>
      </c>
      <c r="AC18" s="7" t="s">
        <v>116</v>
      </c>
      <c r="AD18" s="2" t="s">
        <v>44</v>
      </c>
      <c r="AE18" s="3">
        <f t="shared" si="19"/>
        <v>8138287606.6342459</v>
      </c>
      <c r="AF18" s="3">
        <f t="shared" si="19"/>
        <v>2669075865331.8652</v>
      </c>
      <c r="AG18" s="3">
        <f t="shared" si="20"/>
        <v>2677214152938.4995</v>
      </c>
      <c r="AH18" s="7" t="s">
        <v>116</v>
      </c>
      <c r="AI18" s="2" t="s">
        <v>44</v>
      </c>
      <c r="AJ18" s="3">
        <f t="shared" si="21"/>
        <v>13057264316.774843</v>
      </c>
      <c r="AK18" s="3">
        <f t="shared" si="1"/>
        <v>312336104199.58875</v>
      </c>
      <c r="AL18" s="3">
        <f t="shared" si="1"/>
        <v>1431181347135.1003</v>
      </c>
      <c r="AM18" s="3">
        <f t="shared" si="1"/>
        <v>2186512539263.1072</v>
      </c>
      <c r="AN18" s="3">
        <f t="shared" si="22"/>
        <v>3943087254914.5713</v>
      </c>
      <c r="AO18" s="7" t="s">
        <v>116</v>
      </c>
      <c r="AP18" s="2" t="s">
        <v>44</v>
      </c>
      <c r="AQ18" s="3">
        <f t="shared" si="23"/>
        <v>6872260552.1164141</v>
      </c>
      <c r="AR18" s="3">
        <f t="shared" si="2"/>
        <v>17209821114.179596</v>
      </c>
      <c r="AS18" s="3">
        <f t="shared" si="2"/>
        <v>890835256544.22278</v>
      </c>
      <c r="AT18" s="3">
        <f t="shared" si="2"/>
        <v>350955763765.55273</v>
      </c>
      <c r="AU18" s="3">
        <f t="shared" si="24"/>
        <v>1265873101976.0715</v>
      </c>
      <c r="AV18" s="7" t="s">
        <v>116</v>
      </c>
      <c r="AW18" s="2" t="s">
        <v>44</v>
      </c>
      <c r="AX18" s="3">
        <f t="shared" si="25"/>
        <v>6185003764.6584291</v>
      </c>
      <c r="AY18" s="3">
        <f t="shared" si="3"/>
        <v>295126283085.40918</v>
      </c>
      <c r="AZ18" s="3">
        <f t="shared" si="3"/>
        <v>540346090590.87756</v>
      </c>
      <c r="BA18" s="3">
        <f t="shared" si="3"/>
        <v>1835556775497.5544</v>
      </c>
      <c r="BB18" s="3">
        <f t="shared" si="26"/>
        <v>2677214152938.4995</v>
      </c>
      <c r="BC18" s="7" t="s">
        <v>116</v>
      </c>
      <c r="BD18" s="2" t="s">
        <v>44</v>
      </c>
      <c r="BE18" s="3">
        <v>1100984491.013768</v>
      </c>
      <c r="BF18" s="3">
        <v>372950664.76491851</v>
      </c>
      <c r="BG18" s="3">
        <v>0</v>
      </c>
      <c r="BH18" s="3">
        <v>0</v>
      </c>
      <c r="BI18" s="3">
        <v>1473935155.7786865</v>
      </c>
      <c r="BJ18" s="7" t="s">
        <v>116</v>
      </c>
      <c r="BK18" s="2" t="s">
        <v>44</v>
      </c>
      <c r="BL18" s="3">
        <v>1166118629.6248684</v>
      </c>
      <c r="BM18" s="3">
        <v>7054461801.8329716</v>
      </c>
      <c r="BN18" s="3">
        <v>91952814376.84259</v>
      </c>
      <c r="BO18" s="3">
        <v>0</v>
      </c>
      <c r="BP18" s="3">
        <v>100173394808.30043</v>
      </c>
      <c r="BQ18" s="7" t="s">
        <v>116</v>
      </c>
      <c r="BR18" s="2" t="s">
        <v>44</v>
      </c>
      <c r="BS18" s="3">
        <v>0</v>
      </c>
      <c r="BT18" s="3">
        <v>1985979574.0837541</v>
      </c>
      <c r="BU18" s="3">
        <v>758098037156.23804</v>
      </c>
      <c r="BV18" s="3">
        <v>152678990744.50922</v>
      </c>
      <c r="BW18" s="3">
        <v>912763007474.83105</v>
      </c>
      <c r="BX18" s="7" t="s">
        <v>116</v>
      </c>
      <c r="BY18" s="2" t="s">
        <v>44</v>
      </c>
      <c r="BZ18" s="3">
        <v>466930418.7367987</v>
      </c>
      <c r="CA18" s="3">
        <v>234561592.7538324</v>
      </c>
      <c r="CB18" s="3">
        <v>112025520.09909104</v>
      </c>
      <c r="CC18" s="3">
        <v>0</v>
      </c>
      <c r="CD18" s="3">
        <v>813517531.58972216</v>
      </c>
      <c r="CE18" s="7" t="s">
        <v>116</v>
      </c>
      <c r="CF18" s="2" t="s">
        <v>44</v>
      </c>
      <c r="CG18" s="3">
        <v>1548185519.5068073</v>
      </c>
      <c r="CH18" s="3">
        <v>5760327379.9585371</v>
      </c>
      <c r="CI18" s="3">
        <v>0</v>
      </c>
      <c r="CJ18" s="3">
        <v>0</v>
      </c>
      <c r="CK18" s="3">
        <v>7308512899.4653444</v>
      </c>
      <c r="CL18" s="7" t="s">
        <v>116</v>
      </c>
      <c r="CM18" s="2" t="s">
        <v>44</v>
      </c>
      <c r="CN18" s="3">
        <v>0</v>
      </c>
      <c r="CO18" s="3">
        <v>0</v>
      </c>
      <c r="CP18" s="3">
        <v>6924318142.791501</v>
      </c>
      <c r="CQ18" s="3">
        <v>0</v>
      </c>
      <c r="CR18" s="3">
        <v>6924318142.791501</v>
      </c>
      <c r="CS18" s="7" t="s">
        <v>116</v>
      </c>
      <c r="CT18" s="2" t="s">
        <v>44</v>
      </c>
      <c r="CU18" s="3">
        <v>891402643.46978354</v>
      </c>
      <c r="CV18" s="3">
        <v>836220614.79190254</v>
      </c>
      <c r="CW18" s="3">
        <v>0</v>
      </c>
      <c r="CX18" s="3">
        <v>0</v>
      </c>
      <c r="CY18" s="3">
        <v>1727623258.2616861</v>
      </c>
      <c r="CZ18" s="7" t="s">
        <v>116</v>
      </c>
      <c r="DA18" s="2" t="s">
        <v>44</v>
      </c>
      <c r="DB18" s="3">
        <v>1179753976.0975609</v>
      </c>
      <c r="DC18" s="3">
        <v>586289453.88200402</v>
      </c>
      <c r="DD18" s="3">
        <v>6476900662.795742</v>
      </c>
      <c r="DE18" s="3">
        <v>0</v>
      </c>
      <c r="DF18" s="3">
        <v>8242944092.7753067</v>
      </c>
      <c r="DG18" s="7" t="s">
        <v>116</v>
      </c>
      <c r="DH18" s="2" t="s">
        <v>44</v>
      </c>
      <c r="DI18" s="3">
        <v>300509033.92877513</v>
      </c>
      <c r="DJ18" s="3">
        <v>191750348.56961077</v>
      </c>
      <c r="DK18" s="3">
        <v>0</v>
      </c>
      <c r="DL18" s="3">
        <v>63916782856.536934</v>
      </c>
      <c r="DM18" s="3">
        <v>64409042239.035316</v>
      </c>
      <c r="DN18" s="7" t="s">
        <v>116</v>
      </c>
      <c r="DO18" s="2" t="s">
        <v>44</v>
      </c>
      <c r="DP18" s="3">
        <v>218375839.73805219</v>
      </c>
      <c r="DQ18" s="3">
        <v>187279683.54206675</v>
      </c>
      <c r="DR18" s="3">
        <v>27271160685.455757</v>
      </c>
      <c r="DS18" s="3">
        <v>134359990164.50656</v>
      </c>
      <c r="DT18" s="3">
        <v>162036806373.24243</v>
      </c>
      <c r="DU18" s="7" t="s">
        <v>116</v>
      </c>
      <c r="DV18" s="2" t="s">
        <v>44</v>
      </c>
      <c r="DW18" s="3">
        <v>353612053.39805824</v>
      </c>
      <c r="DX18" s="3">
        <v>292819387190.03528</v>
      </c>
      <c r="DY18" s="3">
        <v>540346090590.87756</v>
      </c>
      <c r="DZ18" s="3">
        <v>1835556775497.5544</v>
      </c>
      <c r="EA18" s="3">
        <v>2669075865331.8652</v>
      </c>
      <c r="EB18" s="7" t="s">
        <v>116</v>
      </c>
      <c r="EC18" s="2" t="s">
        <v>44</v>
      </c>
      <c r="ED18" s="3">
        <v>5831391711.2603712</v>
      </c>
      <c r="EE18" s="3">
        <v>2306895895.3738747</v>
      </c>
      <c r="EF18" s="3">
        <v>0</v>
      </c>
      <c r="EG18" s="3">
        <v>0</v>
      </c>
      <c r="EH18" s="3">
        <v>8138287606.6342459</v>
      </c>
    </row>
    <row r="19" spans="1:138" ht="10.199999999999999" customHeight="1" x14ac:dyDescent="0.2">
      <c r="A19" s="7" t="s">
        <v>107</v>
      </c>
      <c r="B19" s="2" t="s">
        <v>35</v>
      </c>
      <c r="C19" s="3">
        <f t="shared" si="4"/>
        <v>0</v>
      </c>
      <c r="D19" s="3">
        <f t="shared" si="5"/>
        <v>3716285.5090202601</v>
      </c>
      <c r="E19" s="3">
        <f t="shared" si="6"/>
        <v>0</v>
      </c>
      <c r="F19" s="3">
        <f t="shared" si="7"/>
        <v>0</v>
      </c>
      <c r="G19" s="3">
        <f t="shared" si="8"/>
        <v>0</v>
      </c>
      <c r="H19" s="3">
        <f t="shared" si="9"/>
        <v>0</v>
      </c>
      <c r="I19" s="3">
        <f t="shared" si="10"/>
        <v>1206997277.0800042</v>
      </c>
      <c r="J19" s="3">
        <f t="shared" si="11"/>
        <v>0</v>
      </c>
      <c r="K19" s="3">
        <f t="shared" si="12"/>
        <v>7279482.1791896177</v>
      </c>
      <c r="L19" s="3">
        <f t="shared" si="13"/>
        <v>212906114986.46136</v>
      </c>
      <c r="M19" s="3">
        <f t="shared" si="14"/>
        <v>29254942277.0924</v>
      </c>
      <c r="N19" s="3">
        <f t="shared" si="15"/>
        <v>41177129945.710831</v>
      </c>
      <c r="O19" s="3">
        <f t="shared" si="16"/>
        <v>284556180254.03284</v>
      </c>
      <c r="P19" s="7" t="s">
        <v>107</v>
      </c>
      <c r="Q19" s="2" t="s">
        <v>35</v>
      </c>
      <c r="R19" s="3">
        <f t="shared" si="17"/>
        <v>0</v>
      </c>
      <c r="S19" s="3">
        <f t="shared" si="17"/>
        <v>3716285.5090202601</v>
      </c>
      <c r="T19" s="3">
        <f t="shared" si="17"/>
        <v>0</v>
      </c>
      <c r="U19" s="3">
        <f t="shared" si="17"/>
        <v>0</v>
      </c>
      <c r="V19" s="3">
        <f t="shared" si="17"/>
        <v>0</v>
      </c>
      <c r="W19" s="3">
        <f t="shared" si="17"/>
        <v>0</v>
      </c>
      <c r="X19" s="3">
        <f t="shared" si="17"/>
        <v>1206997277.0800042</v>
      </c>
      <c r="Y19" s="3">
        <f t="shared" si="17"/>
        <v>0</v>
      </c>
      <c r="Z19" s="3">
        <f t="shared" si="17"/>
        <v>7279482.1791896177</v>
      </c>
      <c r="AA19" s="3">
        <f t="shared" si="17"/>
        <v>212906114986.46136</v>
      </c>
      <c r="AB19" s="3">
        <f t="shared" si="18"/>
        <v>214124108031.22958</v>
      </c>
      <c r="AC19" s="7" t="s">
        <v>107</v>
      </c>
      <c r="AD19" s="2" t="s">
        <v>35</v>
      </c>
      <c r="AE19" s="3">
        <f t="shared" si="19"/>
        <v>29254942277.0924</v>
      </c>
      <c r="AF19" s="3">
        <f t="shared" si="19"/>
        <v>41177129945.710831</v>
      </c>
      <c r="AG19" s="3">
        <f t="shared" si="20"/>
        <v>70432072222.803223</v>
      </c>
      <c r="AH19" s="7" t="s">
        <v>107</v>
      </c>
      <c r="AI19" s="2" t="s">
        <v>35</v>
      </c>
      <c r="AJ19" s="3">
        <f t="shared" si="21"/>
        <v>213444177693.39874</v>
      </c>
      <c r="AK19" s="3">
        <f t="shared" si="1"/>
        <v>13152679125.506954</v>
      </c>
      <c r="AL19" s="3">
        <f t="shared" si="1"/>
        <v>207314285.10318819</v>
      </c>
      <c r="AM19" s="3">
        <f t="shared" si="1"/>
        <v>57752009150.023941</v>
      </c>
      <c r="AN19" s="3">
        <f t="shared" si="22"/>
        <v>284556180254.03284</v>
      </c>
      <c r="AO19" s="7" t="s">
        <v>107</v>
      </c>
      <c r="AP19" s="2" t="s">
        <v>35</v>
      </c>
      <c r="AQ19" s="3">
        <f t="shared" si="23"/>
        <v>153466574806.86884</v>
      </c>
      <c r="AR19" s="3">
        <f t="shared" si="2"/>
        <v>2698209789.233654</v>
      </c>
      <c r="AS19" s="3">
        <f t="shared" si="2"/>
        <v>207314285.10318819</v>
      </c>
      <c r="AT19" s="3">
        <f t="shared" si="2"/>
        <v>57752009150.023941</v>
      </c>
      <c r="AU19" s="3">
        <f t="shared" si="24"/>
        <v>214124108031.22961</v>
      </c>
      <c r="AV19" s="7" t="s">
        <v>107</v>
      </c>
      <c r="AW19" s="2" t="s">
        <v>35</v>
      </c>
      <c r="AX19" s="3">
        <f t="shared" si="25"/>
        <v>59977602886.529922</v>
      </c>
      <c r="AY19" s="3">
        <f t="shared" si="3"/>
        <v>10454469336.2733</v>
      </c>
      <c r="AZ19" s="3">
        <f t="shared" si="3"/>
        <v>0</v>
      </c>
      <c r="BA19" s="3">
        <f t="shared" si="3"/>
        <v>0</v>
      </c>
      <c r="BB19" s="3">
        <f t="shared" si="26"/>
        <v>70432072222.803223</v>
      </c>
      <c r="BC19" s="7" t="s">
        <v>107</v>
      </c>
      <c r="BD19" s="2" t="s">
        <v>35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7" t="s">
        <v>107</v>
      </c>
      <c r="BK19" s="2" t="s">
        <v>35</v>
      </c>
      <c r="BL19" s="3">
        <v>3716285.5090202601</v>
      </c>
      <c r="BM19" s="3">
        <v>0</v>
      </c>
      <c r="BN19" s="3">
        <v>0</v>
      </c>
      <c r="BO19" s="3">
        <v>0</v>
      </c>
      <c r="BP19" s="3">
        <v>3716285.5090202601</v>
      </c>
      <c r="BQ19" s="7" t="s">
        <v>107</v>
      </c>
      <c r="BR19" s="2" t="s">
        <v>35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7" t="s">
        <v>107</v>
      </c>
      <c r="BY19" s="2" t="s">
        <v>35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7" t="s">
        <v>107</v>
      </c>
      <c r="CF19" s="2" t="s">
        <v>35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7" t="s">
        <v>107</v>
      </c>
      <c r="CM19" s="2" t="s">
        <v>35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7" t="s">
        <v>107</v>
      </c>
      <c r="CT19" s="2" t="s">
        <v>35</v>
      </c>
      <c r="CU19" s="3">
        <v>1154911250.2644119</v>
      </c>
      <c r="CV19" s="3">
        <v>52086026.815592356</v>
      </c>
      <c r="CW19" s="3">
        <v>0</v>
      </c>
      <c r="CX19" s="3">
        <v>0</v>
      </c>
      <c r="CY19" s="3">
        <v>1206997277.0800042</v>
      </c>
      <c r="CZ19" s="7" t="s">
        <v>107</v>
      </c>
      <c r="DA19" s="2" t="s">
        <v>35</v>
      </c>
      <c r="DB19" s="3">
        <v>7279482.1791896177</v>
      </c>
      <c r="DC19" s="3">
        <v>0</v>
      </c>
      <c r="DD19" s="3">
        <v>0</v>
      </c>
      <c r="DE19" s="3">
        <v>0</v>
      </c>
      <c r="DF19" s="3">
        <v>7279482.1791896177</v>
      </c>
      <c r="DG19" s="7" t="s">
        <v>107</v>
      </c>
      <c r="DH19" s="2" t="s">
        <v>35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7" t="s">
        <v>107</v>
      </c>
      <c r="DO19" s="2" t="s">
        <v>35</v>
      </c>
      <c r="DP19" s="3">
        <v>152300667788.9162</v>
      </c>
      <c r="DQ19" s="3">
        <v>2646123762.4180617</v>
      </c>
      <c r="DR19" s="3">
        <v>207314285.10318819</v>
      </c>
      <c r="DS19" s="3">
        <v>57752009150.023941</v>
      </c>
      <c r="DT19" s="3">
        <v>212906114986.46136</v>
      </c>
      <c r="DU19" s="7" t="s">
        <v>107</v>
      </c>
      <c r="DV19" s="2" t="s">
        <v>35</v>
      </c>
      <c r="DW19" s="3">
        <v>35498742338.419037</v>
      </c>
      <c r="DX19" s="3">
        <v>5678387607.2917919</v>
      </c>
      <c r="DY19" s="3">
        <v>0</v>
      </c>
      <c r="DZ19" s="3">
        <v>0</v>
      </c>
      <c r="EA19" s="3">
        <v>41177129945.710831</v>
      </c>
      <c r="EB19" s="7" t="s">
        <v>107</v>
      </c>
      <c r="EC19" s="2" t="s">
        <v>35</v>
      </c>
      <c r="ED19" s="3">
        <v>24478860548.110889</v>
      </c>
      <c r="EE19" s="3">
        <v>4776081728.9815092</v>
      </c>
      <c r="EF19" s="3">
        <v>0</v>
      </c>
      <c r="EG19" s="3">
        <v>0</v>
      </c>
      <c r="EH19" s="3">
        <v>29254942277.0924</v>
      </c>
    </row>
    <row r="20" spans="1:138" ht="10.199999999999999" customHeight="1" x14ac:dyDescent="0.2">
      <c r="A20" s="7" t="s">
        <v>100</v>
      </c>
      <c r="B20" s="2" t="s">
        <v>28</v>
      </c>
      <c r="C20" s="3">
        <f t="shared" si="4"/>
        <v>0</v>
      </c>
      <c r="D20" s="3">
        <f t="shared" si="5"/>
        <v>23875106.697730921</v>
      </c>
      <c r="E20" s="3">
        <f t="shared" si="6"/>
        <v>0</v>
      </c>
      <c r="F20" s="3">
        <f t="shared" si="7"/>
        <v>0</v>
      </c>
      <c r="G20" s="3">
        <f t="shared" si="8"/>
        <v>2722296664.2085848</v>
      </c>
      <c r="H20" s="3">
        <f t="shared" si="9"/>
        <v>0</v>
      </c>
      <c r="I20" s="3">
        <f t="shared" si="10"/>
        <v>270108402.53719819</v>
      </c>
      <c r="J20" s="3">
        <f t="shared" si="11"/>
        <v>0</v>
      </c>
      <c r="K20" s="3">
        <f t="shared" si="12"/>
        <v>119677315.01953347</v>
      </c>
      <c r="L20" s="3">
        <f t="shared" si="13"/>
        <v>140960446.11653051</v>
      </c>
      <c r="M20" s="3">
        <f t="shared" si="14"/>
        <v>8936726987.9295101</v>
      </c>
      <c r="N20" s="3">
        <f t="shared" si="15"/>
        <v>2257369928.8610821</v>
      </c>
      <c r="O20" s="3">
        <f t="shared" si="16"/>
        <v>14471014851.370171</v>
      </c>
      <c r="P20" s="7" t="s">
        <v>100</v>
      </c>
      <c r="Q20" s="2" t="s">
        <v>28</v>
      </c>
      <c r="R20" s="3">
        <f t="shared" si="17"/>
        <v>0</v>
      </c>
      <c r="S20" s="3">
        <f t="shared" si="17"/>
        <v>23875106.697730921</v>
      </c>
      <c r="T20" s="3">
        <f t="shared" si="17"/>
        <v>0</v>
      </c>
      <c r="U20" s="3">
        <f t="shared" si="17"/>
        <v>0</v>
      </c>
      <c r="V20" s="3">
        <f t="shared" si="17"/>
        <v>2722296664.2085848</v>
      </c>
      <c r="W20" s="3">
        <f t="shared" si="17"/>
        <v>0</v>
      </c>
      <c r="X20" s="3">
        <f t="shared" si="17"/>
        <v>270108402.53719819</v>
      </c>
      <c r="Y20" s="3">
        <f t="shared" si="17"/>
        <v>0</v>
      </c>
      <c r="Z20" s="3">
        <f t="shared" si="17"/>
        <v>119677315.01953347</v>
      </c>
      <c r="AA20" s="3">
        <f t="shared" si="17"/>
        <v>140960446.11653051</v>
      </c>
      <c r="AB20" s="3">
        <f t="shared" si="18"/>
        <v>3276917934.5795779</v>
      </c>
      <c r="AC20" s="7" t="s">
        <v>100</v>
      </c>
      <c r="AD20" s="2" t="s">
        <v>28</v>
      </c>
      <c r="AE20" s="3">
        <f t="shared" si="19"/>
        <v>8936726987.9295101</v>
      </c>
      <c r="AF20" s="3">
        <f t="shared" si="19"/>
        <v>2257369928.8610821</v>
      </c>
      <c r="AG20" s="3">
        <f t="shared" si="20"/>
        <v>11194096916.790592</v>
      </c>
      <c r="AH20" s="7" t="s">
        <v>100</v>
      </c>
      <c r="AI20" s="2" t="s">
        <v>28</v>
      </c>
      <c r="AJ20" s="3">
        <f t="shared" si="21"/>
        <v>9243800913.6379509</v>
      </c>
      <c r="AK20" s="3">
        <f t="shared" si="21"/>
        <v>3944583589.9284906</v>
      </c>
      <c r="AL20" s="3">
        <f t="shared" si="21"/>
        <v>1282630347.8037295</v>
      </c>
      <c r="AM20" s="3">
        <f t="shared" si="21"/>
        <v>0</v>
      </c>
      <c r="AN20" s="3">
        <f t="shared" si="22"/>
        <v>14471014851.370171</v>
      </c>
      <c r="AO20" s="7" t="s">
        <v>100</v>
      </c>
      <c r="AP20" s="2" t="s">
        <v>28</v>
      </c>
      <c r="AQ20" s="3">
        <f t="shared" si="23"/>
        <v>598325357.019256</v>
      </c>
      <c r="AR20" s="3">
        <f t="shared" si="23"/>
        <v>2678592577.5603218</v>
      </c>
      <c r="AS20" s="3">
        <f t="shared" si="23"/>
        <v>0</v>
      </c>
      <c r="AT20" s="3">
        <f t="shared" si="23"/>
        <v>0</v>
      </c>
      <c r="AU20" s="3">
        <f t="shared" si="24"/>
        <v>3276917934.5795779</v>
      </c>
      <c r="AV20" s="7" t="s">
        <v>100</v>
      </c>
      <c r="AW20" s="2" t="s">
        <v>28</v>
      </c>
      <c r="AX20" s="3">
        <f t="shared" si="25"/>
        <v>8645475556.6186943</v>
      </c>
      <c r="AY20" s="3">
        <f t="shared" si="25"/>
        <v>1265991012.3681688</v>
      </c>
      <c r="AZ20" s="3">
        <f t="shared" si="25"/>
        <v>1282630347.8037295</v>
      </c>
      <c r="BA20" s="3">
        <f t="shared" si="25"/>
        <v>0</v>
      </c>
      <c r="BB20" s="3">
        <f t="shared" si="26"/>
        <v>11194096916.790592</v>
      </c>
      <c r="BC20" s="7" t="s">
        <v>100</v>
      </c>
      <c r="BD20" s="2" t="s">
        <v>28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7" t="s">
        <v>100</v>
      </c>
      <c r="BK20" s="2" t="s">
        <v>28</v>
      </c>
      <c r="BL20" s="3">
        <v>23875106.697730921</v>
      </c>
      <c r="BM20" s="3">
        <v>0</v>
      </c>
      <c r="BN20" s="3">
        <v>0</v>
      </c>
      <c r="BO20" s="3">
        <v>0</v>
      </c>
      <c r="BP20" s="3">
        <v>23875106.697730921</v>
      </c>
      <c r="BQ20" s="7" t="s">
        <v>100</v>
      </c>
      <c r="BR20" s="2" t="s">
        <v>28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7" t="s">
        <v>100</v>
      </c>
      <c r="BY20" s="2" t="s">
        <v>28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7" t="s">
        <v>100</v>
      </c>
      <c r="CF20" s="2" t="s">
        <v>28</v>
      </c>
      <c r="CG20" s="3">
        <v>43704086.64826294</v>
      </c>
      <c r="CH20" s="3">
        <v>2678592577.5603218</v>
      </c>
      <c r="CI20" s="3">
        <v>0</v>
      </c>
      <c r="CJ20" s="3">
        <v>0</v>
      </c>
      <c r="CK20" s="3">
        <v>2722296664.2085848</v>
      </c>
      <c r="CL20" s="7" t="s">
        <v>100</v>
      </c>
      <c r="CM20" s="2" t="s">
        <v>28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7" t="s">
        <v>100</v>
      </c>
      <c r="CT20" s="2" t="s">
        <v>28</v>
      </c>
      <c r="CU20" s="3">
        <v>270108402.53719819</v>
      </c>
      <c r="CV20" s="3">
        <v>0</v>
      </c>
      <c r="CW20" s="3">
        <v>0</v>
      </c>
      <c r="CX20" s="3">
        <v>0</v>
      </c>
      <c r="CY20" s="3">
        <v>270108402.53719819</v>
      </c>
      <c r="CZ20" s="7" t="s">
        <v>100</v>
      </c>
      <c r="DA20" s="2" t="s">
        <v>28</v>
      </c>
      <c r="DB20" s="3">
        <v>119677315.01953347</v>
      </c>
      <c r="DC20" s="3">
        <v>0</v>
      </c>
      <c r="DD20" s="3">
        <v>0</v>
      </c>
      <c r="DE20" s="3">
        <v>0</v>
      </c>
      <c r="DF20" s="3">
        <v>119677315.01953347</v>
      </c>
      <c r="DG20" s="7" t="s">
        <v>100</v>
      </c>
      <c r="DH20" s="2" t="s">
        <v>28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7" t="s">
        <v>100</v>
      </c>
      <c r="DO20" s="2" t="s">
        <v>28</v>
      </c>
      <c r="DP20" s="3">
        <v>140960446.11653051</v>
      </c>
      <c r="DQ20" s="3">
        <v>0</v>
      </c>
      <c r="DR20" s="3">
        <v>0</v>
      </c>
      <c r="DS20" s="3">
        <v>0</v>
      </c>
      <c r="DT20" s="3">
        <v>140960446.11653051</v>
      </c>
      <c r="DU20" s="7" t="s">
        <v>100</v>
      </c>
      <c r="DV20" s="2" t="s">
        <v>28</v>
      </c>
      <c r="DW20" s="3">
        <v>57860202.267412655</v>
      </c>
      <c r="DX20" s="3">
        <v>986655060.5075177</v>
      </c>
      <c r="DY20" s="3">
        <v>1212854666.0861516</v>
      </c>
      <c r="DZ20" s="3">
        <v>0</v>
      </c>
      <c r="EA20" s="3">
        <v>2257369928.8610821</v>
      </c>
      <c r="EB20" s="7" t="s">
        <v>100</v>
      </c>
      <c r="EC20" s="2" t="s">
        <v>28</v>
      </c>
      <c r="ED20" s="3">
        <v>8587615354.3512821</v>
      </c>
      <c r="EE20" s="3">
        <v>279335951.86065114</v>
      </c>
      <c r="EF20" s="3">
        <v>69775681.717577904</v>
      </c>
      <c r="EG20" s="3">
        <v>0</v>
      </c>
      <c r="EH20" s="3">
        <v>8936726987.9295101</v>
      </c>
    </row>
    <row r="21" spans="1:138" ht="10.199999999999999" customHeight="1" x14ac:dyDescent="0.2">
      <c r="A21" s="7" t="s">
        <v>108</v>
      </c>
      <c r="B21" s="2" t="s">
        <v>36</v>
      </c>
      <c r="C21" s="3">
        <f t="shared" si="4"/>
        <v>0</v>
      </c>
      <c r="D21" s="3">
        <f t="shared" si="5"/>
        <v>0</v>
      </c>
      <c r="E21" s="3">
        <f t="shared" si="6"/>
        <v>0</v>
      </c>
      <c r="F21" s="3">
        <f t="shared" si="7"/>
        <v>0</v>
      </c>
      <c r="G21" s="3">
        <f t="shared" si="8"/>
        <v>0</v>
      </c>
      <c r="H21" s="3">
        <f t="shared" si="9"/>
        <v>0</v>
      </c>
      <c r="I21" s="3">
        <f t="shared" si="10"/>
        <v>0</v>
      </c>
      <c r="J21" s="3">
        <f t="shared" si="11"/>
        <v>0</v>
      </c>
      <c r="K21" s="3">
        <f t="shared" si="12"/>
        <v>0</v>
      </c>
      <c r="L21" s="3">
        <f t="shared" si="13"/>
        <v>76800037.790983126</v>
      </c>
      <c r="M21" s="3">
        <f t="shared" si="14"/>
        <v>2865339630.4154325</v>
      </c>
      <c r="N21" s="3">
        <f t="shared" si="15"/>
        <v>4241419240.7328672</v>
      </c>
      <c r="O21" s="3">
        <f t="shared" si="16"/>
        <v>7183558908.9392834</v>
      </c>
      <c r="P21" s="7" t="s">
        <v>108</v>
      </c>
      <c r="Q21" s="2" t="s">
        <v>36</v>
      </c>
      <c r="R21" s="3">
        <f t="shared" si="17"/>
        <v>0</v>
      </c>
      <c r="S21" s="3">
        <f t="shared" si="17"/>
        <v>0</v>
      </c>
      <c r="T21" s="3">
        <f t="shared" si="17"/>
        <v>0</v>
      </c>
      <c r="U21" s="3">
        <f t="shared" si="17"/>
        <v>0</v>
      </c>
      <c r="V21" s="3">
        <f t="shared" si="17"/>
        <v>0</v>
      </c>
      <c r="W21" s="3">
        <f t="shared" si="17"/>
        <v>0</v>
      </c>
      <c r="X21" s="3">
        <f t="shared" si="17"/>
        <v>0</v>
      </c>
      <c r="Y21" s="3">
        <f t="shared" si="17"/>
        <v>0</v>
      </c>
      <c r="Z21" s="3">
        <f t="shared" si="17"/>
        <v>0</v>
      </c>
      <c r="AA21" s="3">
        <f t="shared" si="17"/>
        <v>76800037.790983126</v>
      </c>
      <c r="AB21" s="3">
        <f t="shared" si="18"/>
        <v>76800037.790983126</v>
      </c>
      <c r="AC21" s="7" t="s">
        <v>108</v>
      </c>
      <c r="AD21" s="2" t="s">
        <v>36</v>
      </c>
      <c r="AE21" s="3">
        <f t="shared" si="19"/>
        <v>2865339630.4154325</v>
      </c>
      <c r="AF21" s="3">
        <f t="shared" si="19"/>
        <v>4241419240.7328672</v>
      </c>
      <c r="AG21" s="3">
        <f t="shared" si="20"/>
        <v>7106758871.1483002</v>
      </c>
      <c r="AH21" s="7" t="s">
        <v>108</v>
      </c>
      <c r="AI21" s="2" t="s">
        <v>36</v>
      </c>
      <c r="AJ21" s="3">
        <f t="shared" si="21"/>
        <v>3208365149.0920982</v>
      </c>
      <c r="AK21" s="3">
        <f t="shared" si="21"/>
        <v>1402543249.871573</v>
      </c>
      <c r="AL21" s="3">
        <f t="shared" si="21"/>
        <v>2572650509.9756117</v>
      </c>
      <c r="AM21" s="3">
        <f t="shared" si="21"/>
        <v>0</v>
      </c>
      <c r="AN21" s="3">
        <f t="shared" si="22"/>
        <v>7183558908.9392824</v>
      </c>
      <c r="AO21" s="7" t="s">
        <v>108</v>
      </c>
      <c r="AP21" s="2" t="s">
        <v>36</v>
      </c>
      <c r="AQ21" s="3">
        <f t="shared" si="23"/>
        <v>76800037.790983126</v>
      </c>
      <c r="AR21" s="3">
        <f t="shared" si="23"/>
        <v>0</v>
      </c>
      <c r="AS21" s="3">
        <f t="shared" si="23"/>
        <v>0</v>
      </c>
      <c r="AT21" s="3">
        <f t="shared" si="23"/>
        <v>0</v>
      </c>
      <c r="AU21" s="3">
        <f t="shared" si="24"/>
        <v>76800037.790983126</v>
      </c>
      <c r="AV21" s="7" t="s">
        <v>108</v>
      </c>
      <c r="AW21" s="2" t="s">
        <v>36</v>
      </c>
      <c r="AX21" s="3">
        <f t="shared" si="25"/>
        <v>3131565111.301115</v>
      </c>
      <c r="AY21" s="3">
        <f t="shared" si="25"/>
        <v>1402543249.871573</v>
      </c>
      <c r="AZ21" s="3">
        <f t="shared" si="25"/>
        <v>2572650509.9756117</v>
      </c>
      <c r="BA21" s="3">
        <f t="shared" si="25"/>
        <v>0</v>
      </c>
      <c r="BB21" s="3">
        <f t="shared" si="26"/>
        <v>7106758871.1482992</v>
      </c>
      <c r="BC21" s="7" t="s">
        <v>108</v>
      </c>
      <c r="BD21" s="2" t="s">
        <v>36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7" t="s">
        <v>108</v>
      </c>
      <c r="BK21" s="2" t="s">
        <v>36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7" t="s">
        <v>108</v>
      </c>
      <c r="BR21" s="2" t="s">
        <v>36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7" t="s">
        <v>108</v>
      </c>
      <c r="BY21" s="2" t="s">
        <v>36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7" t="s">
        <v>108</v>
      </c>
      <c r="CF21" s="2" t="s">
        <v>36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7" t="s">
        <v>108</v>
      </c>
      <c r="CM21" s="2" t="s">
        <v>36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7" t="s">
        <v>108</v>
      </c>
      <c r="CT21" s="2" t="s">
        <v>36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7" t="s">
        <v>108</v>
      </c>
      <c r="DA21" s="2" t="s">
        <v>36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7" t="s">
        <v>108</v>
      </c>
      <c r="DH21" s="2" t="s">
        <v>36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7" t="s">
        <v>108</v>
      </c>
      <c r="DO21" s="2" t="s">
        <v>36</v>
      </c>
      <c r="DP21" s="3">
        <v>76800037.790983126</v>
      </c>
      <c r="DQ21" s="3">
        <v>0</v>
      </c>
      <c r="DR21" s="3">
        <v>0</v>
      </c>
      <c r="DS21" s="3">
        <v>0</v>
      </c>
      <c r="DT21" s="3">
        <v>76800037.790983126</v>
      </c>
      <c r="DU21" s="7" t="s">
        <v>108</v>
      </c>
      <c r="DV21" s="2" t="s">
        <v>36</v>
      </c>
      <c r="DW21" s="3">
        <v>266225480.88568243</v>
      </c>
      <c r="DX21" s="3">
        <v>1402543249.871573</v>
      </c>
      <c r="DY21" s="3">
        <v>2572650509.9756117</v>
      </c>
      <c r="DZ21" s="3">
        <v>0</v>
      </c>
      <c r="EA21" s="3">
        <v>4241419240.7328672</v>
      </c>
      <c r="EB21" s="7" t="s">
        <v>108</v>
      </c>
      <c r="EC21" s="2" t="s">
        <v>36</v>
      </c>
      <c r="ED21" s="3">
        <v>2865339630.4154325</v>
      </c>
      <c r="EE21" s="3">
        <v>0</v>
      </c>
      <c r="EF21" s="3">
        <v>0</v>
      </c>
      <c r="EG21" s="3">
        <v>0</v>
      </c>
      <c r="EH21" s="3">
        <v>2865339630.4154325</v>
      </c>
    </row>
    <row r="22" spans="1:138" ht="10.199999999999999" customHeight="1" x14ac:dyDescent="0.2">
      <c r="A22" s="7" t="s">
        <v>104</v>
      </c>
      <c r="B22" s="2" t="s">
        <v>32</v>
      </c>
      <c r="C22" s="3">
        <f t="shared" si="4"/>
        <v>0</v>
      </c>
      <c r="D22" s="3">
        <f t="shared" si="5"/>
        <v>0</v>
      </c>
      <c r="E22" s="3">
        <f t="shared" si="6"/>
        <v>0</v>
      </c>
      <c r="F22" s="3">
        <f t="shared" si="7"/>
        <v>0</v>
      </c>
      <c r="G22" s="3">
        <f t="shared" si="8"/>
        <v>0</v>
      </c>
      <c r="H22" s="3">
        <f t="shared" si="9"/>
        <v>0</v>
      </c>
      <c r="I22" s="3">
        <f t="shared" si="10"/>
        <v>0</v>
      </c>
      <c r="J22" s="3">
        <f t="shared" si="11"/>
        <v>198606950.19955835</v>
      </c>
      <c r="K22" s="3">
        <f t="shared" si="12"/>
        <v>1989464.2156387398</v>
      </c>
      <c r="L22" s="3">
        <f t="shared" si="13"/>
        <v>255383742936.22507</v>
      </c>
      <c r="M22" s="3">
        <f t="shared" si="14"/>
        <v>9128467476.2968063</v>
      </c>
      <c r="N22" s="3">
        <f t="shared" si="15"/>
        <v>102199746983.55342</v>
      </c>
      <c r="O22" s="3">
        <f t="shared" si="16"/>
        <v>366912553810.49048</v>
      </c>
      <c r="P22" s="7" t="s">
        <v>104</v>
      </c>
      <c r="Q22" s="2" t="s">
        <v>32</v>
      </c>
      <c r="R22" s="3">
        <f t="shared" si="17"/>
        <v>0</v>
      </c>
      <c r="S22" s="3">
        <f t="shared" si="17"/>
        <v>0</v>
      </c>
      <c r="T22" s="3">
        <f t="shared" si="17"/>
        <v>0</v>
      </c>
      <c r="U22" s="3">
        <f t="shared" si="17"/>
        <v>0</v>
      </c>
      <c r="V22" s="3">
        <f t="shared" si="17"/>
        <v>0</v>
      </c>
      <c r="W22" s="3">
        <f t="shared" si="17"/>
        <v>0</v>
      </c>
      <c r="X22" s="3">
        <f t="shared" si="17"/>
        <v>0</v>
      </c>
      <c r="Y22" s="3">
        <f t="shared" si="17"/>
        <v>198606950.19955835</v>
      </c>
      <c r="Z22" s="3">
        <f t="shared" si="17"/>
        <v>1989464.2156387398</v>
      </c>
      <c r="AA22" s="3">
        <f t="shared" si="17"/>
        <v>255383742936.22507</v>
      </c>
      <c r="AB22" s="3">
        <f t="shared" si="18"/>
        <v>255584339350.64026</v>
      </c>
      <c r="AC22" s="7" t="s">
        <v>104</v>
      </c>
      <c r="AD22" s="2" t="s">
        <v>32</v>
      </c>
      <c r="AE22" s="3">
        <f t="shared" si="19"/>
        <v>9128467476.2968063</v>
      </c>
      <c r="AF22" s="3">
        <f t="shared" si="19"/>
        <v>102199746983.55342</v>
      </c>
      <c r="AG22" s="3">
        <f t="shared" si="20"/>
        <v>111328214459.85022</v>
      </c>
      <c r="AH22" s="7" t="s">
        <v>104</v>
      </c>
      <c r="AI22" s="2" t="s">
        <v>32</v>
      </c>
      <c r="AJ22" s="3">
        <f t="shared" si="21"/>
        <v>16608990541.485556</v>
      </c>
      <c r="AK22" s="3">
        <f t="shared" si="21"/>
        <v>25807182648.36195</v>
      </c>
      <c r="AL22" s="3">
        <f t="shared" si="21"/>
        <v>71863890210.957916</v>
      </c>
      <c r="AM22" s="3">
        <f t="shared" si="21"/>
        <v>252632490409.68506</v>
      </c>
      <c r="AN22" s="3">
        <f t="shared" si="22"/>
        <v>366912553810.49048</v>
      </c>
      <c r="AO22" s="7" t="s">
        <v>104</v>
      </c>
      <c r="AP22" s="2" t="s">
        <v>32</v>
      </c>
      <c r="AQ22" s="3">
        <f t="shared" si="23"/>
        <v>204604526.79677263</v>
      </c>
      <c r="AR22" s="3">
        <f t="shared" si="23"/>
        <v>2747244414.1584249</v>
      </c>
      <c r="AS22" s="3">
        <f t="shared" si="23"/>
        <v>0</v>
      </c>
      <c r="AT22" s="3">
        <f t="shared" si="23"/>
        <v>252632490409.68506</v>
      </c>
      <c r="AU22" s="3">
        <f t="shared" si="24"/>
        <v>255584339350.64026</v>
      </c>
      <c r="AV22" s="7" t="s">
        <v>104</v>
      </c>
      <c r="AW22" s="2" t="s">
        <v>32</v>
      </c>
      <c r="AX22" s="3">
        <f t="shared" si="25"/>
        <v>16404386014.688784</v>
      </c>
      <c r="AY22" s="3">
        <f t="shared" si="25"/>
        <v>23059938234.203526</v>
      </c>
      <c r="AZ22" s="3">
        <f t="shared" si="25"/>
        <v>71863890210.957916</v>
      </c>
      <c r="BA22" s="3">
        <f t="shared" si="25"/>
        <v>0</v>
      </c>
      <c r="BB22" s="3">
        <f t="shared" si="26"/>
        <v>111328214459.85022</v>
      </c>
      <c r="BC22" s="7" t="s">
        <v>104</v>
      </c>
      <c r="BD22" s="2" t="s">
        <v>32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7" t="s">
        <v>104</v>
      </c>
      <c r="BK22" s="2" t="s">
        <v>32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7" t="s">
        <v>104</v>
      </c>
      <c r="BR22" s="2" t="s">
        <v>32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7" t="s">
        <v>104</v>
      </c>
      <c r="BY22" s="2" t="s">
        <v>32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7" t="s">
        <v>104</v>
      </c>
      <c r="CF22" s="2" t="s">
        <v>32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7" t="s">
        <v>104</v>
      </c>
      <c r="CM22" s="2" t="s">
        <v>32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7" t="s">
        <v>104</v>
      </c>
      <c r="CT22" s="2" t="s">
        <v>32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7" t="s">
        <v>104</v>
      </c>
      <c r="DA22" s="2" t="s">
        <v>32</v>
      </c>
      <c r="DB22" s="3">
        <v>1989464.2156387398</v>
      </c>
      <c r="DC22" s="3">
        <v>0</v>
      </c>
      <c r="DD22" s="3">
        <v>0</v>
      </c>
      <c r="DE22" s="3">
        <v>0</v>
      </c>
      <c r="DF22" s="3">
        <v>1989464.2156387398</v>
      </c>
      <c r="DG22" s="7" t="s">
        <v>104</v>
      </c>
      <c r="DH22" s="2" t="s">
        <v>32</v>
      </c>
      <c r="DI22" s="3">
        <v>1006380.0247727584</v>
      </c>
      <c r="DJ22" s="3">
        <v>197600570.17478558</v>
      </c>
      <c r="DK22" s="3">
        <v>0</v>
      </c>
      <c r="DL22" s="3">
        <v>0</v>
      </c>
      <c r="DM22" s="3">
        <v>198606950.19955835</v>
      </c>
      <c r="DN22" s="7" t="s">
        <v>104</v>
      </c>
      <c r="DO22" s="2" t="s">
        <v>32</v>
      </c>
      <c r="DP22" s="3">
        <v>201608682.55636114</v>
      </c>
      <c r="DQ22" s="3">
        <v>2549643843.9836392</v>
      </c>
      <c r="DR22" s="3">
        <v>0</v>
      </c>
      <c r="DS22" s="3">
        <v>252632490409.68506</v>
      </c>
      <c r="DT22" s="3">
        <v>255383742936.22507</v>
      </c>
      <c r="DU22" s="7" t="s">
        <v>104</v>
      </c>
      <c r="DV22" s="2" t="s">
        <v>32</v>
      </c>
      <c r="DW22" s="3">
        <v>8785409828.8658943</v>
      </c>
      <c r="DX22" s="3">
        <v>21550446943.729607</v>
      </c>
      <c r="DY22" s="3">
        <v>71863890210.957916</v>
      </c>
      <c r="DZ22" s="3">
        <v>0</v>
      </c>
      <c r="EA22" s="3">
        <v>102199746983.55342</v>
      </c>
      <c r="EB22" s="7" t="s">
        <v>104</v>
      </c>
      <c r="EC22" s="2" t="s">
        <v>32</v>
      </c>
      <c r="ED22" s="3">
        <v>7618976185.8228893</v>
      </c>
      <c r="EE22" s="3">
        <v>1509491290.473918</v>
      </c>
      <c r="EF22" s="3">
        <v>0</v>
      </c>
      <c r="EG22" s="3">
        <v>0</v>
      </c>
      <c r="EH22" s="3">
        <v>9128467476.2968063</v>
      </c>
    </row>
    <row r="23" spans="1:138" ht="10.199999999999999" customHeight="1" x14ac:dyDescent="0.2">
      <c r="A23" s="7" t="s">
        <v>105</v>
      </c>
      <c r="B23" s="2" t="s">
        <v>33</v>
      </c>
      <c r="C23" s="3">
        <f t="shared" si="4"/>
        <v>0</v>
      </c>
      <c r="D23" s="3">
        <f t="shared" si="5"/>
        <v>495671165.01034141</v>
      </c>
      <c r="E23" s="3">
        <f t="shared" si="6"/>
        <v>2538164.9691453981</v>
      </c>
      <c r="F23" s="3">
        <f t="shared" si="7"/>
        <v>9616520.2367174681</v>
      </c>
      <c r="G23" s="3">
        <f t="shared" si="8"/>
        <v>37962631310.658813</v>
      </c>
      <c r="H23" s="3">
        <f t="shared" si="9"/>
        <v>0</v>
      </c>
      <c r="I23" s="3">
        <f t="shared" si="10"/>
        <v>15195592.907383632</v>
      </c>
      <c r="J23" s="3">
        <f t="shared" si="11"/>
        <v>0</v>
      </c>
      <c r="K23" s="3">
        <f t="shared" si="12"/>
        <v>0</v>
      </c>
      <c r="L23" s="3">
        <f t="shared" si="13"/>
        <v>197911846.89459598</v>
      </c>
      <c r="M23" s="3">
        <f t="shared" si="14"/>
        <v>18641497295.646721</v>
      </c>
      <c r="N23" s="3">
        <f t="shared" si="15"/>
        <v>8338491045.335845</v>
      </c>
      <c r="O23" s="3">
        <f t="shared" si="16"/>
        <v>65663552941.659561</v>
      </c>
      <c r="P23" s="7" t="s">
        <v>105</v>
      </c>
      <c r="Q23" s="2" t="s">
        <v>33</v>
      </c>
      <c r="R23" s="3">
        <f t="shared" si="17"/>
        <v>0</v>
      </c>
      <c r="S23" s="3">
        <f t="shared" si="17"/>
        <v>495671165.01034141</v>
      </c>
      <c r="T23" s="3">
        <f t="shared" si="17"/>
        <v>2538164.9691453981</v>
      </c>
      <c r="U23" s="3">
        <f t="shared" si="17"/>
        <v>9616520.2367174681</v>
      </c>
      <c r="V23" s="3">
        <f t="shared" si="17"/>
        <v>37962631310.658813</v>
      </c>
      <c r="W23" s="3">
        <f t="shared" si="17"/>
        <v>0</v>
      </c>
      <c r="X23" s="3">
        <f t="shared" si="17"/>
        <v>15195592.907383632</v>
      </c>
      <c r="Y23" s="3">
        <f t="shared" si="17"/>
        <v>0</v>
      </c>
      <c r="Z23" s="3">
        <f t="shared" si="17"/>
        <v>0</v>
      </c>
      <c r="AA23" s="3">
        <f t="shared" si="17"/>
        <v>197911846.89459598</v>
      </c>
      <c r="AB23" s="3">
        <f t="shared" si="18"/>
        <v>38683564600.676994</v>
      </c>
      <c r="AC23" s="7" t="s">
        <v>105</v>
      </c>
      <c r="AD23" s="2" t="s">
        <v>33</v>
      </c>
      <c r="AE23" s="3">
        <f t="shared" si="19"/>
        <v>18641497295.646721</v>
      </c>
      <c r="AF23" s="3">
        <f t="shared" si="19"/>
        <v>8338491045.335845</v>
      </c>
      <c r="AG23" s="3">
        <f t="shared" si="20"/>
        <v>26979988340.982567</v>
      </c>
      <c r="AH23" s="7" t="s">
        <v>105</v>
      </c>
      <c r="AI23" s="2" t="s">
        <v>33</v>
      </c>
      <c r="AJ23" s="3">
        <f t="shared" si="21"/>
        <v>20732617386.849159</v>
      </c>
      <c r="AK23" s="3">
        <f t="shared" si="21"/>
        <v>44930935554.81041</v>
      </c>
      <c r="AL23" s="3">
        <f t="shared" si="21"/>
        <v>0</v>
      </c>
      <c r="AM23" s="3">
        <f t="shared" si="21"/>
        <v>0</v>
      </c>
      <c r="AN23" s="3">
        <f t="shared" si="22"/>
        <v>65663552941.659569</v>
      </c>
      <c r="AO23" s="7" t="s">
        <v>105</v>
      </c>
      <c r="AP23" s="2" t="s">
        <v>33</v>
      </c>
      <c r="AQ23" s="3">
        <f t="shared" si="23"/>
        <v>3361963080.1037388</v>
      </c>
      <c r="AR23" s="3">
        <f t="shared" si="23"/>
        <v>35321601520.573265</v>
      </c>
      <c r="AS23" s="3">
        <f t="shared" si="23"/>
        <v>0</v>
      </c>
      <c r="AT23" s="3">
        <f t="shared" si="23"/>
        <v>0</v>
      </c>
      <c r="AU23" s="3">
        <f t="shared" si="24"/>
        <v>38683564600.677002</v>
      </c>
      <c r="AV23" s="7" t="s">
        <v>105</v>
      </c>
      <c r="AW23" s="2" t="s">
        <v>33</v>
      </c>
      <c r="AX23" s="3">
        <f t="shared" si="25"/>
        <v>17370654306.745422</v>
      </c>
      <c r="AY23" s="3">
        <f t="shared" si="25"/>
        <v>9609334034.2371426</v>
      </c>
      <c r="AZ23" s="3">
        <f t="shared" si="25"/>
        <v>0</v>
      </c>
      <c r="BA23" s="3">
        <f t="shared" si="25"/>
        <v>0</v>
      </c>
      <c r="BB23" s="3">
        <f t="shared" si="26"/>
        <v>26979988340.982567</v>
      </c>
      <c r="BC23" s="7" t="s">
        <v>105</v>
      </c>
      <c r="BD23" s="2" t="s">
        <v>33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7" t="s">
        <v>105</v>
      </c>
      <c r="BK23" s="2" t="s">
        <v>33</v>
      </c>
      <c r="BL23" s="3">
        <v>462478418.31431442</v>
      </c>
      <c r="BM23" s="3">
        <v>33192746.696026973</v>
      </c>
      <c r="BN23" s="3">
        <v>0</v>
      </c>
      <c r="BO23" s="3">
        <v>0</v>
      </c>
      <c r="BP23" s="3">
        <v>495671165.01034141</v>
      </c>
      <c r="BQ23" s="7" t="s">
        <v>105</v>
      </c>
      <c r="BR23" s="2" t="s">
        <v>33</v>
      </c>
      <c r="BS23" s="3">
        <v>2538164.9691453981</v>
      </c>
      <c r="BT23" s="3">
        <v>0</v>
      </c>
      <c r="BU23" s="3">
        <v>0</v>
      </c>
      <c r="BV23" s="3">
        <v>0</v>
      </c>
      <c r="BW23" s="3">
        <v>2538164.9691453981</v>
      </c>
      <c r="BX23" s="7" t="s">
        <v>105</v>
      </c>
      <c r="BY23" s="2" t="s">
        <v>33</v>
      </c>
      <c r="BZ23" s="3">
        <v>9616520.2367174681</v>
      </c>
      <c r="CA23" s="3">
        <v>0</v>
      </c>
      <c r="CB23" s="3">
        <v>0</v>
      </c>
      <c r="CC23" s="3">
        <v>0</v>
      </c>
      <c r="CD23" s="3">
        <v>9616520.2367174681</v>
      </c>
      <c r="CE23" s="7" t="s">
        <v>105</v>
      </c>
      <c r="CF23" s="2" t="s">
        <v>33</v>
      </c>
      <c r="CG23" s="3">
        <v>2717788016.8201175</v>
      </c>
      <c r="CH23" s="3">
        <v>35244843293.838699</v>
      </c>
      <c r="CI23" s="3">
        <v>0</v>
      </c>
      <c r="CJ23" s="3">
        <v>0</v>
      </c>
      <c r="CK23" s="3">
        <v>37962631310.658813</v>
      </c>
      <c r="CL23" s="7" t="s">
        <v>105</v>
      </c>
      <c r="CM23" s="2" t="s">
        <v>33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7" t="s">
        <v>105</v>
      </c>
      <c r="CT23" s="2" t="s">
        <v>33</v>
      </c>
      <c r="CU23" s="3">
        <v>15195592.907383632</v>
      </c>
      <c r="CV23" s="3">
        <v>0</v>
      </c>
      <c r="CW23" s="3">
        <v>0</v>
      </c>
      <c r="CX23" s="3">
        <v>0</v>
      </c>
      <c r="CY23" s="3">
        <v>15195592.907383632</v>
      </c>
      <c r="CZ23" s="7" t="s">
        <v>105</v>
      </c>
      <c r="DA23" s="2" t="s">
        <v>33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7" t="s">
        <v>105</v>
      </c>
      <c r="DH23" s="2" t="s">
        <v>33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7" t="s">
        <v>105</v>
      </c>
      <c r="DO23" s="2" t="s">
        <v>33</v>
      </c>
      <c r="DP23" s="3">
        <v>154346366.85606059</v>
      </c>
      <c r="DQ23" s="3">
        <v>43565480.038535401</v>
      </c>
      <c r="DR23" s="3">
        <v>0</v>
      </c>
      <c r="DS23" s="3">
        <v>0</v>
      </c>
      <c r="DT23" s="3">
        <v>197911846.89459598</v>
      </c>
      <c r="DU23" s="7" t="s">
        <v>105</v>
      </c>
      <c r="DV23" s="2" t="s">
        <v>33</v>
      </c>
      <c r="DW23" s="3">
        <v>107394964.31968094</v>
      </c>
      <c r="DX23" s="3">
        <v>8231096081.0161638</v>
      </c>
      <c r="DY23" s="3">
        <v>0</v>
      </c>
      <c r="DZ23" s="3">
        <v>0</v>
      </c>
      <c r="EA23" s="3">
        <v>8338491045.335845</v>
      </c>
      <c r="EB23" s="7" t="s">
        <v>105</v>
      </c>
      <c r="EC23" s="2" t="s">
        <v>33</v>
      </c>
      <c r="ED23" s="3">
        <v>17263259342.425743</v>
      </c>
      <c r="EE23" s="3">
        <v>1378237953.2209785</v>
      </c>
      <c r="EF23" s="3">
        <v>0</v>
      </c>
      <c r="EG23" s="3">
        <v>0</v>
      </c>
      <c r="EH23" s="3">
        <v>18641497295.646721</v>
      </c>
    </row>
    <row r="24" spans="1:138" ht="10.199999999999999" customHeight="1" x14ac:dyDescent="0.2">
      <c r="A24" s="7" t="s">
        <v>109</v>
      </c>
      <c r="B24" s="2" t="s">
        <v>37</v>
      </c>
      <c r="C24" s="3">
        <f t="shared" si="4"/>
        <v>0</v>
      </c>
      <c r="D24" s="3">
        <f t="shared" si="5"/>
        <v>0</v>
      </c>
      <c r="E24" s="3">
        <f t="shared" si="6"/>
        <v>0</v>
      </c>
      <c r="F24" s="3">
        <f t="shared" si="7"/>
        <v>7231244312.8240986</v>
      </c>
      <c r="G24" s="3">
        <f t="shared" si="8"/>
        <v>3085720924.9097147</v>
      </c>
      <c r="H24" s="3">
        <f t="shared" si="9"/>
        <v>0</v>
      </c>
      <c r="I24" s="3">
        <f t="shared" si="10"/>
        <v>340327104.67136949</v>
      </c>
      <c r="J24" s="3">
        <f t="shared" si="11"/>
        <v>0</v>
      </c>
      <c r="K24" s="3">
        <f t="shared" si="12"/>
        <v>175039875.15482974</v>
      </c>
      <c r="L24" s="3">
        <f t="shared" si="13"/>
        <v>200977925.51560777</v>
      </c>
      <c r="M24" s="3">
        <f t="shared" si="14"/>
        <v>1116737736975.5024</v>
      </c>
      <c r="N24" s="3">
        <f t="shared" si="15"/>
        <v>1317293191.6720569</v>
      </c>
      <c r="O24" s="3">
        <f t="shared" si="16"/>
        <v>1129088340310.2502</v>
      </c>
      <c r="P24" s="7" t="s">
        <v>109</v>
      </c>
      <c r="Q24" s="2" t="s">
        <v>37</v>
      </c>
      <c r="R24" s="3">
        <f t="shared" si="17"/>
        <v>0</v>
      </c>
      <c r="S24" s="3">
        <f t="shared" si="17"/>
        <v>0</v>
      </c>
      <c r="T24" s="3">
        <f t="shared" si="17"/>
        <v>0</v>
      </c>
      <c r="U24" s="3">
        <f t="shared" si="17"/>
        <v>7231244312.8240986</v>
      </c>
      <c r="V24" s="3">
        <f t="shared" si="17"/>
        <v>3085720924.9097147</v>
      </c>
      <c r="W24" s="3">
        <f t="shared" si="17"/>
        <v>0</v>
      </c>
      <c r="X24" s="3">
        <f t="shared" si="17"/>
        <v>340327104.67136949</v>
      </c>
      <c r="Y24" s="3">
        <f t="shared" si="17"/>
        <v>0</v>
      </c>
      <c r="Z24" s="3">
        <f t="shared" si="17"/>
        <v>175039875.15482974</v>
      </c>
      <c r="AA24" s="3">
        <f t="shared" si="17"/>
        <v>200977925.51560777</v>
      </c>
      <c r="AB24" s="3">
        <f t="shared" si="18"/>
        <v>11033310143.075621</v>
      </c>
      <c r="AC24" s="7" t="s">
        <v>109</v>
      </c>
      <c r="AD24" s="2" t="s">
        <v>37</v>
      </c>
      <c r="AE24" s="3">
        <f t="shared" si="19"/>
        <v>1116737736975.5024</v>
      </c>
      <c r="AF24" s="3">
        <f t="shared" si="19"/>
        <v>1317293191.6720569</v>
      </c>
      <c r="AG24" s="3">
        <f t="shared" si="20"/>
        <v>1118055030167.1746</v>
      </c>
      <c r="AH24" s="7" t="s">
        <v>109</v>
      </c>
      <c r="AI24" s="2" t="s">
        <v>37</v>
      </c>
      <c r="AJ24" s="3">
        <f t="shared" si="21"/>
        <v>482453554233.84192</v>
      </c>
      <c r="AK24" s="3">
        <f t="shared" si="21"/>
        <v>646012422075.85767</v>
      </c>
      <c r="AL24" s="3">
        <f t="shared" si="21"/>
        <v>622364000.55050576</v>
      </c>
      <c r="AM24" s="3">
        <f t="shared" si="21"/>
        <v>0</v>
      </c>
      <c r="AN24" s="3">
        <f t="shared" si="22"/>
        <v>1129088340310.2502</v>
      </c>
      <c r="AO24" s="7" t="s">
        <v>109</v>
      </c>
      <c r="AP24" s="2" t="s">
        <v>37</v>
      </c>
      <c r="AQ24" s="3">
        <f t="shared" si="23"/>
        <v>613377897.06842482</v>
      </c>
      <c r="AR24" s="3">
        <f t="shared" si="23"/>
        <v>9797568245.4566898</v>
      </c>
      <c r="AS24" s="3">
        <f t="shared" si="23"/>
        <v>622364000.55050576</v>
      </c>
      <c r="AT24" s="3">
        <f t="shared" si="23"/>
        <v>0</v>
      </c>
      <c r="AU24" s="3">
        <f t="shared" si="24"/>
        <v>11033310143.075621</v>
      </c>
      <c r="AV24" s="7" t="s">
        <v>109</v>
      </c>
      <c r="AW24" s="2" t="s">
        <v>37</v>
      </c>
      <c r="AX24" s="3">
        <f t="shared" si="25"/>
        <v>481840176336.7735</v>
      </c>
      <c r="AY24" s="3">
        <f t="shared" si="25"/>
        <v>636214853830.401</v>
      </c>
      <c r="AZ24" s="3">
        <f t="shared" si="25"/>
        <v>0</v>
      </c>
      <c r="BA24" s="3">
        <f t="shared" si="25"/>
        <v>0</v>
      </c>
      <c r="BB24" s="3">
        <f t="shared" si="26"/>
        <v>1118055030167.1746</v>
      </c>
      <c r="BC24" s="7" t="s">
        <v>109</v>
      </c>
      <c r="BD24" s="2" t="s">
        <v>37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7" t="s">
        <v>109</v>
      </c>
      <c r="BK24" s="2" t="s">
        <v>37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7" t="s">
        <v>109</v>
      </c>
      <c r="BR24" s="2" t="s">
        <v>37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7" t="s">
        <v>109</v>
      </c>
      <c r="BY24" s="2" t="s">
        <v>37</v>
      </c>
      <c r="BZ24" s="3">
        <v>18263933.782913018</v>
      </c>
      <c r="CA24" s="3">
        <v>7212980379.0411854</v>
      </c>
      <c r="CB24" s="3">
        <v>0</v>
      </c>
      <c r="CC24" s="3">
        <v>0</v>
      </c>
      <c r="CD24" s="3">
        <v>7231244312.8240986</v>
      </c>
      <c r="CE24" s="7" t="s">
        <v>109</v>
      </c>
      <c r="CF24" s="2" t="s">
        <v>37</v>
      </c>
      <c r="CG24" s="3">
        <v>392062470.80606657</v>
      </c>
      <c r="CH24" s="3">
        <v>2071294453.5531423</v>
      </c>
      <c r="CI24" s="3">
        <v>622364000.55050576</v>
      </c>
      <c r="CJ24" s="3">
        <v>0</v>
      </c>
      <c r="CK24" s="3">
        <v>3085720924.9097147</v>
      </c>
      <c r="CL24" s="7" t="s">
        <v>109</v>
      </c>
      <c r="CM24" s="2" t="s">
        <v>37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7" t="s">
        <v>109</v>
      </c>
      <c r="CT24" s="2" t="s">
        <v>37</v>
      </c>
      <c r="CU24" s="3">
        <v>4470446.3209576216</v>
      </c>
      <c r="CV24" s="3">
        <v>335856658.35041189</v>
      </c>
      <c r="CW24" s="3">
        <v>0</v>
      </c>
      <c r="CX24" s="3">
        <v>0</v>
      </c>
      <c r="CY24" s="3">
        <v>340327104.67136949</v>
      </c>
      <c r="CZ24" s="7" t="s">
        <v>109</v>
      </c>
      <c r="DA24" s="2" t="s">
        <v>37</v>
      </c>
      <c r="DB24" s="3">
        <v>0</v>
      </c>
      <c r="DC24" s="3">
        <v>175039875.15482974</v>
      </c>
      <c r="DD24" s="3">
        <v>0</v>
      </c>
      <c r="DE24" s="3">
        <v>0</v>
      </c>
      <c r="DF24" s="3">
        <v>175039875.15482974</v>
      </c>
      <c r="DG24" s="7" t="s">
        <v>109</v>
      </c>
      <c r="DH24" s="2" t="s">
        <v>37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7" t="s">
        <v>109</v>
      </c>
      <c r="DO24" s="2" t="s">
        <v>37</v>
      </c>
      <c r="DP24" s="3">
        <v>198581046.15848765</v>
      </c>
      <c r="DQ24" s="3">
        <v>2396879.3571201353</v>
      </c>
      <c r="DR24" s="3">
        <v>0</v>
      </c>
      <c r="DS24" s="3">
        <v>0</v>
      </c>
      <c r="DT24" s="3">
        <v>200977925.51560777</v>
      </c>
      <c r="DU24" s="7" t="s">
        <v>109</v>
      </c>
      <c r="DV24" s="2" t="s">
        <v>37</v>
      </c>
      <c r="DW24" s="3">
        <v>17082535.907521833</v>
      </c>
      <c r="DX24" s="3">
        <v>1300210655.7645352</v>
      </c>
      <c r="DY24" s="3">
        <v>0</v>
      </c>
      <c r="DZ24" s="3">
        <v>0</v>
      </c>
      <c r="EA24" s="3">
        <v>1317293191.6720569</v>
      </c>
      <c r="EB24" s="7" t="s">
        <v>109</v>
      </c>
      <c r="EC24" s="2" t="s">
        <v>37</v>
      </c>
      <c r="ED24" s="3">
        <v>481823093800.86597</v>
      </c>
      <c r="EE24" s="3">
        <v>634914643174.63647</v>
      </c>
      <c r="EF24" s="3">
        <v>0</v>
      </c>
      <c r="EG24" s="3">
        <v>0</v>
      </c>
      <c r="EH24" s="3">
        <v>1116737736975.5024</v>
      </c>
    </row>
    <row r="25" spans="1:138" ht="10.199999999999999" customHeight="1" x14ac:dyDescent="0.2">
      <c r="A25" s="7" t="s">
        <v>96</v>
      </c>
      <c r="B25" s="2" t="s">
        <v>24</v>
      </c>
      <c r="C25" s="3">
        <f t="shared" si="4"/>
        <v>0</v>
      </c>
      <c r="D25" s="3">
        <f t="shared" si="5"/>
        <v>443911280.69873792</v>
      </c>
      <c r="E25" s="3">
        <f t="shared" si="6"/>
        <v>0</v>
      </c>
      <c r="F25" s="3">
        <f t="shared" si="7"/>
        <v>885185107.99385118</v>
      </c>
      <c r="G25" s="3">
        <f t="shared" si="8"/>
        <v>703249562.0416218</v>
      </c>
      <c r="H25" s="3">
        <f t="shared" si="9"/>
        <v>0</v>
      </c>
      <c r="I25" s="3">
        <f t="shared" si="10"/>
        <v>15597426982.65974</v>
      </c>
      <c r="J25" s="3">
        <f t="shared" si="11"/>
        <v>0</v>
      </c>
      <c r="K25" s="3">
        <f t="shared" si="12"/>
        <v>151885661.60103297</v>
      </c>
      <c r="L25" s="3">
        <f t="shared" si="13"/>
        <v>160772644.40588865</v>
      </c>
      <c r="M25" s="3">
        <f t="shared" si="14"/>
        <v>19288767439.166363</v>
      </c>
      <c r="N25" s="3">
        <f t="shared" si="15"/>
        <v>8557490220.6401777</v>
      </c>
      <c r="O25" s="3">
        <f t="shared" si="16"/>
        <v>45788688899.207405</v>
      </c>
      <c r="P25" s="7" t="s">
        <v>96</v>
      </c>
      <c r="Q25" s="2" t="s">
        <v>24</v>
      </c>
      <c r="R25" s="3">
        <f t="shared" si="17"/>
        <v>0</v>
      </c>
      <c r="S25" s="3">
        <f t="shared" si="17"/>
        <v>443911280.69873792</v>
      </c>
      <c r="T25" s="3">
        <f t="shared" si="17"/>
        <v>0</v>
      </c>
      <c r="U25" s="3">
        <f t="shared" si="17"/>
        <v>885185107.99385118</v>
      </c>
      <c r="V25" s="3">
        <f t="shared" si="17"/>
        <v>703249562.0416218</v>
      </c>
      <c r="W25" s="3">
        <f t="shared" si="17"/>
        <v>0</v>
      </c>
      <c r="X25" s="3">
        <f t="shared" si="17"/>
        <v>15597426982.65974</v>
      </c>
      <c r="Y25" s="3">
        <f t="shared" si="17"/>
        <v>0</v>
      </c>
      <c r="Z25" s="3">
        <f t="shared" si="17"/>
        <v>151885661.60103297</v>
      </c>
      <c r="AA25" s="3">
        <f t="shared" si="17"/>
        <v>160772644.40588865</v>
      </c>
      <c r="AB25" s="3">
        <f t="shared" si="18"/>
        <v>17942431239.400871</v>
      </c>
      <c r="AC25" s="7" t="s">
        <v>96</v>
      </c>
      <c r="AD25" s="2" t="s">
        <v>24</v>
      </c>
      <c r="AE25" s="3">
        <f t="shared" si="19"/>
        <v>19288767439.166363</v>
      </c>
      <c r="AF25" s="3">
        <f t="shared" si="19"/>
        <v>8557490220.6401777</v>
      </c>
      <c r="AG25" s="3">
        <f t="shared" si="20"/>
        <v>27846257659.806541</v>
      </c>
      <c r="AH25" s="7" t="s">
        <v>96</v>
      </c>
      <c r="AI25" s="2" t="s">
        <v>24</v>
      </c>
      <c r="AJ25" s="3">
        <f t="shared" si="21"/>
        <v>37596326295.189148</v>
      </c>
      <c r="AK25" s="3">
        <f t="shared" si="21"/>
        <v>8192362604.0182667</v>
      </c>
      <c r="AL25" s="3">
        <f t="shared" si="21"/>
        <v>0</v>
      </c>
      <c r="AM25" s="3">
        <f t="shared" si="21"/>
        <v>0</v>
      </c>
      <c r="AN25" s="3">
        <f t="shared" si="22"/>
        <v>45788688899.207413</v>
      </c>
      <c r="AO25" s="7" t="s">
        <v>96</v>
      </c>
      <c r="AP25" s="2" t="s">
        <v>24</v>
      </c>
      <c r="AQ25" s="3">
        <f t="shared" si="23"/>
        <v>10420590394.543339</v>
      </c>
      <c r="AR25" s="3">
        <f t="shared" si="23"/>
        <v>7521840844.8575344</v>
      </c>
      <c r="AS25" s="3">
        <f t="shared" si="23"/>
        <v>0</v>
      </c>
      <c r="AT25" s="3">
        <f t="shared" si="23"/>
        <v>0</v>
      </c>
      <c r="AU25" s="3">
        <f t="shared" si="24"/>
        <v>17942431239.400871</v>
      </c>
      <c r="AV25" s="7" t="s">
        <v>96</v>
      </c>
      <c r="AW25" s="2" t="s">
        <v>24</v>
      </c>
      <c r="AX25" s="3">
        <f t="shared" si="25"/>
        <v>27175735900.645805</v>
      </c>
      <c r="AY25" s="3">
        <f t="shared" si="25"/>
        <v>670521759.16073275</v>
      </c>
      <c r="AZ25" s="3">
        <f t="shared" si="25"/>
        <v>0</v>
      </c>
      <c r="BA25" s="3">
        <f t="shared" si="25"/>
        <v>0</v>
      </c>
      <c r="BB25" s="3">
        <f t="shared" si="26"/>
        <v>27846257659.806538</v>
      </c>
      <c r="BC25" s="7" t="s">
        <v>96</v>
      </c>
      <c r="BD25" s="2" t="s">
        <v>24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7" t="s">
        <v>96</v>
      </c>
      <c r="BK25" s="2" t="s">
        <v>24</v>
      </c>
      <c r="BL25" s="3">
        <v>443911280.69873792</v>
      </c>
      <c r="BM25" s="3">
        <v>0</v>
      </c>
      <c r="BN25" s="3">
        <v>0</v>
      </c>
      <c r="BO25" s="3">
        <v>0</v>
      </c>
      <c r="BP25" s="3">
        <v>443911280.69873792</v>
      </c>
      <c r="BQ25" s="7" t="s">
        <v>96</v>
      </c>
      <c r="BR25" s="2" t="s">
        <v>24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7" t="s">
        <v>96</v>
      </c>
      <c r="BY25" s="2" t="s">
        <v>24</v>
      </c>
      <c r="BZ25" s="3">
        <v>826055406.77072322</v>
      </c>
      <c r="CA25" s="3">
        <v>59129701.223127931</v>
      </c>
      <c r="CB25" s="3">
        <v>0</v>
      </c>
      <c r="CC25" s="3">
        <v>0</v>
      </c>
      <c r="CD25" s="3">
        <v>885185107.99385118</v>
      </c>
      <c r="CE25" s="7" t="s">
        <v>96</v>
      </c>
      <c r="CF25" s="2" t="s">
        <v>24</v>
      </c>
      <c r="CG25" s="3">
        <v>258345653.70370367</v>
      </c>
      <c r="CH25" s="3">
        <v>444903908.3379181</v>
      </c>
      <c r="CI25" s="3">
        <v>0</v>
      </c>
      <c r="CJ25" s="3">
        <v>0</v>
      </c>
      <c r="CK25" s="3">
        <v>703249562.0416218</v>
      </c>
      <c r="CL25" s="7" t="s">
        <v>96</v>
      </c>
      <c r="CM25" s="2" t="s">
        <v>24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7" t="s">
        <v>96</v>
      </c>
      <c r="CT25" s="2" t="s">
        <v>24</v>
      </c>
      <c r="CU25" s="3">
        <v>8707581146.6420383</v>
      </c>
      <c r="CV25" s="3">
        <v>6889845836.0177021</v>
      </c>
      <c r="CW25" s="3">
        <v>0</v>
      </c>
      <c r="CX25" s="3">
        <v>0</v>
      </c>
      <c r="CY25" s="3">
        <v>15597426982.65974</v>
      </c>
      <c r="CZ25" s="7" t="s">
        <v>96</v>
      </c>
      <c r="DA25" s="2" t="s">
        <v>24</v>
      </c>
      <c r="DB25" s="3">
        <v>23924262.322246023</v>
      </c>
      <c r="DC25" s="3">
        <v>127961399.27878694</v>
      </c>
      <c r="DD25" s="3">
        <v>0</v>
      </c>
      <c r="DE25" s="3">
        <v>0</v>
      </c>
      <c r="DF25" s="3">
        <v>151885661.60103297</v>
      </c>
      <c r="DG25" s="7" t="s">
        <v>96</v>
      </c>
      <c r="DH25" s="2" t="s">
        <v>24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7" t="s">
        <v>96</v>
      </c>
      <c r="DO25" s="2" t="s">
        <v>24</v>
      </c>
      <c r="DP25" s="3">
        <v>160772644.40588865</v>
      </c>
      <c r="DQ25" s="3">
        <v>0</v>
      </c>
      <c r="DR25" s="3">
        <v>0</v>
      </c>
      <c r="DS25" s="3">
        <v>0</v>
      </c>
      <c r="DT25" s="3">
        <v>160772644.40588865</v>
      </c>
      <c r="DU25" s="7" t="s">
        <v>96</v>
      </c>
      <c r="DV25" s="2" t="s">
        <v>24</v>
      </c>
      <c r="DW25" s="3">
        <v>8497735588.7189007</v>
      </c>
      <c r="DX25" s="3">
        <v>59754631.921276852</v>
      </c>
      <c r="DY25" s="3">
        <v>0</v>
      </c>
      <c r="DZ25" s="3">
        <v>0</v>
      </c>
      <c r="EA25" s="3">
        <v>8557490220.6401777</v>
      </c>
      <c r="EB25" s="7" t="s">
        <v>96</v>
      </c>
      <c r="EC25" s="2" t="s">
        <v>24</v>
      </c>
      <c r="ED25" s="3">
        <v>18678000311.926907</v>
      </c>
      <c r="EE25" s="3">
        <v>610767127.23945594</v>
      </c>
      <c r="EF25" s="3">
        <v>0</v>
      </c>
      <c r="EG25" s="3">
        <v>0</v>
      </c>
      <c r="EH25" s="3">
        <v>19288767439.166363</v>
      </c>
    </row>
    <row r="26" spans="1:138" ht="10.199999999999999" customHeight="1" x14ac:dyDescent="0.2">
      <c r="A26" s="7" t="s">
        <v>120</v>
      </c>
      <c r="B26" s="2" t="s">
        <v>48</v>
      </c>
      <c r="C26" s="3">
        <f t="shared" si="4"/>
        <v>82984534.285714284</v>
      </c>
      <c r="D26" s="3">
        <f t="shared" si="5"/>
        <v>11136064.096889012</v>
      </c>
      <c r="E26" s="3">
        <f t="shared" si="6"/>
        <v>711712058441.07617</v>
      </c>
      <c r="F26" s="3">
        <f t="shared" si="7"/>
        <v>7625288770.033453</v>
      </c>
      <c r="G26" s="3">
        <f t="shared" si="8"/>
        <v>4052883136.8285275</v>
      </c>
      <c r="H26" s="3">
        <f t="shared" si="9"/>
        <v>0</v>
      </c>
      <c r="I26" s="3">
        <f t="shared" si="10"/>
        <v>38179499137.255486</v>
      </c>
      <c r="J26" s="3">
        <f t="shared" si="11"/>
        <v>2143675030.786504</v>
      </c>
      <c r="K26" s="3">
        <f t="shared" si="12"/>
        <v>139312405482.40253</v>
      </c>
      <c r="L26" s="3">
        <f t="shared" si="13"/>
        <v>7569666986.4787846</v>
      </c>
      <c r="M26" s="3">
        <f t="shared" si="14"/>
        <v>120817488571.66994</v>
      </c>
      <c r="N26" s="3">
        <f t="shared" si="15"/>
        <v>64452665432.082161</v>
      </c>
      <c r="O26" s="3">
        <f t="shared" si="16"/>
        <v>1095959751586.996</v>
      </c>
      <c r="P26" s="7" t="s">
        <v>120</v>
      </c>
      <c r="Q26" s="2" t="s">
        <v>48</v>
      </c>
      <c r="R26" s="3">
        <f t="shared" si="17"/>
        <v>82984534.285714284</v>
      </c>
      <c r="S26" s="3">
        <f t="shared" si="17"/>
        <v>11136064.096889012</v>
      </c>
      <c r="T26" s="3">
        <f t="shared" si="17"/>
        <v>711712058441.07617</v>
      </c>
      <c r="U26" s="3">
        <f t="shared" si="17"/>
        <v>7625288770.033453</v>
      </c>
      <c r="V26" s="3">
        <f t="shared" si="17"/>
        <v>4052883136.8285275</v>
      </c>
      <c r="W26" s="3">
        <f t="shared" si="17"/>
        <v>0</v>
      </c>
      <c r="X26" s="3">
        <f t="shared" si="17"/>
        <v>38179499137.255486</v>
      </c>
      <c r="Y26" s="3">
        <f t="shared" si="17"/>
        <v>2143675030.786504</v>
      </c>
      <c r="Z26" s="3">
        <f t="shared" si="17"/>
        <v>139312405482.40253</v>
      </c>
      <c r="AA26" s="3">
        <f t="shared" si="17"/>
        <v>7569666986.4787846</v>
      </c>
      <c r="AB26" s="3">
        <f t="shared" si="18"/>
        <v>910689597583.2439</v>
      </c>
      <c r="AC26" s="7" t="s">
        <v>120</v>
      </c>
      <c r="AD26" s="2" t="s">
        <v>48</v>
      </c>
      <c r="AE26" s="3">
        <f t="shared" si="19"/>
        <v>120817488571.66994</v>
      </c>
      <c r="AF26" s="3">
        <f t="shared" si="19"/>
        <v>64452665432.082161</v>
      </c>
      <c r="AG26" s="3">
        <f t="shared" si="20"/>
        <v>185270154003.75211</v>
      </c>
      <c r="AH26" s="7" t="s">
        <v>120</v>
      </c>
      <c r="AI26" s="2" t="s">
        <v>48</v>
      </c>
      <c r="AJ26" s="3">
        <f t="shared" si="21"/>
        <v>95566033274.837158</v>
      </c>
      <c r="AK26" s="3">
        <f t="shared" si="21"/>
        <v>82908339024.052597</v>
      </c>
      <c r="AL26" s="3">
        <f t="shared" si="21"/>
        <v>271322066274.61627</v>
      </c>
      <c r="AM26" s="3">
        <f t="shared" si="21"/>
        <v>646163313013.49023</v>
      </c>
      <c r="AN26" s="3">
        <f t="shared" si="22"/>
        <v>1095959751586.9963</v>
      </c>
      <c r="AO26" s="7" t="s">
        <v>120</v>
      </c>
      <c r="AP26" s="2" t="s">
        <v>48</v>
      </c>
      <c r="AQ26" s="3">
        <f t="shared" si="23"/>
        <v>21998551969.657463</v>
      </c>
      <c r="AR26" s="3">
        <f t="shared" si="23"/>
        <v>26492659136.777058</v>
      </c>
      <c r="AS26" s="3">
        <f t="shared" si="23"/>
        <v>216035073463.31943</v>
      </c>
      <c r="AT26" s="3">
        <f t="shared" si="23"/>
        <v>646163313013.49023</v>
      </c>
      <c r="AU26" s="3">
        <f t="shared" si="24"/>
        <v>910689597583.24414</v>
      </c>
      <c r="AV26" s="7" t="s">
        <v>120</v>
      </c>
      <c r="AW26" s="2" t="s">
        <v>48</v>
      </c>
      <c r="AX26" s="3">
        <f t="shared" si="25"/>
        <v>73567481305.179703</v>
      </c>
      <c r="AY26" s="3">
        <f t="shared" si="25"/>
        <v>56415679887.275543</v>
      </c>
      <c r="AZ26" s="3">
        <f t="shared" si="25"/>
        <v>55286992811.29686</v>
      </c>
      <c r="BA26" s="3">
        <f t="shared" si="25"/>
        <v>0</v>
      </c>
      <c r="BB26" s="3">
        <f t="shared" si="26"/>
        <v>185270154003.75211</v>
      </c>
      <c r="BC26" s="7" t="s">
        <v>120</v>
      </c>
      <c r="BD26" s="2" t="s">
        <v>48</v>
      </c>
      <c r="BE26" s="3">
        <v>82984534.285714284</v>
      </c>
      <c r="BF26" s="3">
        <v>0</v>
      </c>
      <c r="BG26" s="3">
        <v>0</v>
      </c>
      <c r="BH26" s="3">
        <v>0</v>
      </c>
      <c r="BI26" s="3">
        <v>82984534.285714284</v>
      </c>
      <c r="BJ26" s="7" t="s">
        <v>120</v>
      </c>
      <c r="BK26" s="2" t="s">
        <v>48</v>
      </c>
      <c r="BL26" s="3">
        <v>11136064.096889012</v>
      </c>
      <c r="BM26" s="3">
        <v>0</v>
      </c>
      <c r="BN26" s="3">
        <v>0</v>
      </c>
      <c r="BO26" s="3">
        <v>0</v>
      </c>
      <c r="BP26" s="3">
        <v>11136064.096889012</v>
      </c>
      <c r="BQ26" s="7" t="s">
        <v>120</v>
      </c>
      <c r="BR26" s="2" t="s">
        <v>48</v>
      </c>
      <c r="BS26" s="3">
        <v>0</v>
      </c>
      <c r="BT26" s="3">
        <v>630645590.85116446</v>
      </c>
      <c r="BU26" s="3">
        <v>95661343266.42038</v>
      </c>
      <c r="BV26" s="3">
        <v>615420069583.80469</v>
      </c>
      <c r="BW26" s="3">
        <v>711712058441.07617</v>
      </c>
      <c r="BX26" s="7" t="s">
        <v>120</v>
      </c>
      <c r="BY26" s="2" t="s">
        <v>48</v>
      </c>
      <c r="BZ26" s="3">
        <v>4716449187.9973145</v>
      </c>
      <c r="CA26" s="3">
        <v>1564533340.8470461</v>
      </c>
      <c r="CB26" s="3">
        <v>1344306241.1890924</v>
      </c>
      <c r="CC26" s="3">
        <v>0</v>
      </c>
      <c r="CD26" s="3">
        <v>7625288770.033453</v>
      </c>
      <c r="CE26" s="7" t="s">
        <v>120</v>
      </c>
      <c r="CF26" s="2" t="s">
        <v>48</v>
      </c>
      <c r="CG26" s="3">
        <v>79822864.197530866</v>
      </c>
      <c r="CH26" s="3">
        <v>3973060272.6309967</v>
      </c>
      <c r="CI26" s="3">
        <v>0</v>
      </c>
      <c r="CJ26" s="3">
        <v>0</v>
      </c>
      <c r="CK26" s="3">
        <v>4052883136.8285275</v>
      </c>
      <c r="CL26" s="7" t="s">
        <v>120</v>
      </c>
      <c r="CM26" s="2" t="s">
        <v>48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7" t="s">
        <v>120</v>
      </c>
      <c r="CT26" s="2" t="s">
        <v>48</v>
      </c>
      <c r="CU26" s="3">
        <v>10735940028.742416</v>
      </c>
      <c r="CV26" s="3">
        <v>9145132509.5501461</v>
      </c>
      <c r="CW26" s="3">
        <v>18298426598.962921</v>
      </c>
      <c r="CX26" s="3">
        <v>0</v>
      </c>
      <c r="CY26" s="3">
        <v>38179499137.255486</v>
      </c>
      <c r="CZ26" s="7" t="s">
        <v>120</v>
      </c>
      <c r="DA26" s="2" t="s">
        <v>48</v>
      </c>
      <c r="DB26" s="3">
        <v>5507741231.6350651</v>
      </c>
      <c r="DC26" s="3">
        <v>6710400614.9395618</v>
      </c>
      <c r="DD26" s="3">
        <v>96351020206.142395</v>
      </c>
      <c r="DE26" s="3">
        <v>30743243429.685509</v>
      </c>
      <c r="DF26" s="3">
        <v>139312405482.40253</v>
      </c>
      <c r="DG26" s="7" t="s">
        <v>120</v>
      </c>
      <c r="DH26" s="2" t="s">
        <v>48</v>
      </c>
      <c r="DI26" s="3">
        <v>449997139.37777257</v>
      </c>
      <c r="DJ26" s="3">
        <v>200004290.08751774</v>
      </c>
      <c r="DK26" s="3">
        <v>1493673601.3212137</v>
      </c>
      <c r="DL26" s="3">
        <v>0</v>
      </c>
      <c r="DM26" s="3">
        <v>2143675030.786504</v>
      </c>
      <c r="DN26" s="7" t="s">
        <v>120</v>
      </c>
      <c r="DO26" s="2" t="s">
        <v>48</v>
      </c>
      <c r="DP26" s="3">
        <v>414480919.32475489</v>
      </c>
      <c r="DQ26" s="3">
        <v>4268882517.870626</v>
      </c>
      <c r="DR26" s="3">
        <v>2886303549.2834039</v>
      </c>
      <c r="DS26" s="3">
        <v>0</v>
      </c>
      <c r="DT26" s="3">
        <v>7569666986.4787846</v>
      </c>
      <c r="DU26" s="7" t="s">
        <v>120</v>
      </c>
      <c r="DV26" s="2" t="s">
        <v>48</v>
      </c>
      <c r="DW26" s="3">
        <v>9925292245.6927071</v>
      </c>
      <c r="DX26" s="3">
        <v>23354085927.385139</v>
      </c>
      <c r="DY26" s="3">
        <v>31173287259.004314</v>
      </c>
      <c r="DZ26" s="3">
        <v>0</v>
      </c>
      <c r="EA26" s="3">
        <v>64452665432.082161</v>
      </c>
      <c r="EB26" s="7" t="s">
        <v>120</v>
      </c>
      <c r="EC26" s="2" t="s">
        <v>48</v>
      </c>
      <c r="ED26" s="3">
        <v>63642189059.486992</v>
      </c>
      <c r="EE26" s="3">
        <v>33061593959.890408</v>
      </c>
      <c r="EF26" s="3">
        <v>24113705552.292542</v>
      </c>
      <c r="EG26" s="3">
        <v>0</v>
      </c>
      <c r="EH26" s="3">
        <v>120817488571.66994</v>
      </c>
    </row>
    <row r="27" spans="1:138" ht="10.199999999999999" customHeight="1" x14ac:dyDescent="0.2">
      <c r="A27" s="7" t="s">
        <v>102</v>
      </c>
      <c r="B27" s="2" t="s">
        <v>30</v>
      </c>
      <c r="C27" s="3">
        <f t="shared" si="4"/>
        <v>3348021.9591519348</v>
      </c>
      <c r="D27" s="3">
        <f t="shared" si="5"/>
        <v>61523717222.46476</v>
      </c>
      <c r="E27" s="3">
        <f t="shared" si="6"/>
        <v>536405997480.63861</v>
      </c>
      <c r="F27" s="3">
        <f t="shared" si="7"/>
        <v>68649259651.261826</v>
      </c>
      <c r="G27" s="3">
        <f t="shared" si="8"/>
        <v>3591444508.998549</v>
      </c>
      <c r="H27" s="3">
        <f t="shared" si="9"/>
        <v>106527971.42756155</v>
      </c>
      <c r="I27" s="3">
        <f t="shared" si="10"/>
        <v>9157878247.6450348</v>
      </c>
      <c r="J27" s="3">
        <f t="shared" si="11"/>
        <v>116257645194.53876</v>
      </c>
      <c r="K27" s="3">
        <f t="shared" si="12"/>
        <v>72689171990.241455</v>
      </c>
      <c r="L27" s="3">
        <f t="shared" si="13"/>
        <v>916663024.89155316</v>
      </c>
      <c r="M27" s="3">
        <f t="shared" si="14"/>
        <v>650971191971.4093</v>
      </c>
      <c r="N27" s="3">
        <f t="shared" si="15"/>
        <v>585672098857.76001</v>
      </c>
      <c r="O27" s="3">
        <f t="shared" si="16"/>
        <v>2105944944143.2366</v>
      </c>
      <c r="P27" s="7" t="s">
        <v>102</v>
      </c>
      <c r="Q27" s="2" t="s">
        <v>30</v>
      </c>
      <c r="R27" s="3">
        <f t="shared" si="17"/>
        <v>3348021.9591519348</v>
      </c>
      <c r="S27" s="3">
        <f t="shared" si="17"/>
        <v>61523717222.46476</v>
      </c>
      <c r="T27" s="3">
        <f t="shared" si="17"/>
        <v>536405997480.63861</v>
      </c>
      <c r="U27" s="3">
        <f t="shared" si="17"/>
        <v>68649259651.261826</v>
      </c>
      <c r="V27" s="3">
        <f t="shared" si="17"/>
        <v>3591444508.998549</v>
      </c>
      <c r="W27" s="3">
        <f t="shared" si="17"/>
        <v>106527971.42756155</v>
      </c>
      <c r="X27" s="3">
        <f t="shared" si="17"/>
        <v>9157878247.6450348</v>
      </c>
      <c r="Y27" s="3">
        <f t="shared" si="17"/>
        <v>116257645194.53876</v>
      </c>
      <c r="Z27" s="3">
        <f t="shared" si="17"/>
        <v>72689171990.241455</v>
      </c>
      <c r="AA27" s="3">
        <f t="shared" si="17"/>
        <v>916663024.89155316</v>
      </c>
      <c r="AB27" s="3">
        <f t="shared" si="18"/>
        <v>869301653314.06738</v>
      </c>
      <c r="AC27" s="7" t="s">
        <v>102</v>
      </c>
      <c r="AD27" s="2" t="s">
        <v>30</v>
      </c>
      <c r="AE27" s="3">
        <f t="shared" si="19"/>
        <v>650971191971.4093</v>
      </c>
      <c r="AF27" s="3">
        <f t="shared" si="19"/>
        <v>585672098857.76001</v>
      </c>
      <c r="AG27" s="3">
        <f t="shared" si="20"/>
        <v>1236643290829.1694</v>
      </c>
      <c r="AH27" s="7" t="s">
        <v>102</v>
      </c>
      <c r="AI27" s="2" t="s">
        <v>30</v>
      </c>
      <c r="AJ27" s="3">
        <f t="shared" si="21"/>
        <v>328007418333.98694</v>
      </c>
      <c r="AK27" s="3">
        <f t="shared" si="21"/>
        <v>1265330342529.4719</v>
      </c>
      <c r="AL27" s="3">
        <f t="shared" si="21"/>
        <v>242797747217.25073</v>
      </c>
      <c r="AM27" s="3">
        <f t="shared" si="21"/>
        <v>269809436062.52692</v>
      </c>
      <c r="AN27" s="3">
        <f t="shared" si="22"/>
        <v>2105944944143.2366</v>
      </c>
      <c r="AO27" s="7" t="s">
        <v>102</v>
      </c>
      <c r="AP27" s="2" t="s">
        <v>30</v>
      </c>
      <c r="AQ27" s="3">
        <f t="shared" si="23"/>
        <v>191672185475.42032</v>
      </c>
      <c r="AR27" s="3">
        <f t="shared" si="23"/>
        <v>381507622833.51227</v>
      </c>
      <c r="AS27" s="3">
        <f t="shared" si="23"/>
        <v>26312408942.607708</v>
      </c>
      <c r="AT27" s="3">
        <f t="shared" si="23"/>
        <v>269809436062.52692</v>
      </c>
      <c r="AU27" s="3">
        <f t="shared" si="24"/>
        <v>869301653314.06714</v>
      </c>
      <c r="AV27" s="7" t="s">
        <v>102</v>
      </c>
      <c r="AW27" s="2" t="s">
        <v>30</v>
      </c>
      <c r="AX27" s="3">
        <f t="shared" si="25"/>
        <v>136335232858.56662</v>
      </c>
      <c r="AY27" s="3">
        <f t="shared" si="25"/>
        <v>883822719695.95972</v>
      </c>
      <c r="AZ27" s="3">
        <f t="shared" si="25"/>
        <v>216485338274.64304</v>
      </c>
      <c r="BA27" s="3">
        <f t="shared" si="25"/>
        <v>0</v>
      </c>
      <c r="BB27" s="3">
        <f t="shared" si="26"/>
        <v>1236643290829.1694</v>
      </c>
      <c r="BC27" s="7" t="s">
        <v>102</v>
      </c>
      <c r="BD27" s="2" t="s">
        <v>30</v>
      </c>
      <c r="BE27" s="3">
        <v>3348021.9591519348</v>
      </c>
      <c r="BF27" s="3">
        <v>0</v>
      </c>
      <c r="BG27" s="3">
        <v>0</v>
      </c>
      <c r="BH27" s="3">
        <v>0</v>
      </c>
      <c r="BI27" s="3">
        <v>3348021.9591519348</v>
      </c>
      <c r="BJ27" s="7" t="s">
        <v>102</v>
      </c>
      <c r="BK27" s="2" t="s">
        <v>30</v>
      </c>
      <c r="BL27" s="3">
        <v>1549864576.96313</v>
      </c>
      <c r="BM27" s="3">
        <v>136355803.42727879</v>
      </c>
      <c r="BN27" s="3">
        <v>0</v>
      </c>
      <c r="BO27" s="3">
        <v>59837496842.074348</v>
      </c>
      <c r="BP27" s="3">
        <v>61523717222.46476</v>
      </c>
      <c r="BQ27" s="7" t="s">
        <v>102</v>
      </c>
      <c r="BR27" s="2" t="s">
        <v>30</v>
      </c>
      <c r="BS27" s="3">
        <v>166084139923.33682</v>
      </c>
      <c r="BT27" s="3">
        <v>265734623877.33893</v>
      </c>
      <c r="BU27" s="3">
        <v>10865853085.61128</v>
      </c>
      <c r="BV27" s="3">
        <v>93721380594.351563</v>
      </c>
      <c r="BW27" s="3">
        <v>536405997480.63861</v>
      </c>
      <c r="BX27" s="7" t="s">
        <v>102</v>
      </c>
      <c r="BY27" s="2" t="s">
        <v>30</v>
      </c>
      <c r="BZ27" s="3">
        <v>4341981587.5322971</v>
      </c>
      <c r="CA27" s="3">
        <v>48967250178.160667</v>
      </c>
      <c r="CB27" s="3">
        <v>15340027885.568863</v>
      </c>
      <c r="CC27" s="3">
        <v>0</v>
      </c>
      <c r="CD27" s="3">
        <v>68649259651.261826</v>
      </c>
      <c r="CE27" s="7" t="s">
        <v>102</v>
      </c>
      <c r="CF27" s="2" t="s">
        <v>30</v>
      </c>
      <c r="CG27" s="3">
        <v>8386500.2064396515</v>
      </c>
      <c r="CH27" s="3">
        <v>3583058008.7921095</v>
      </c>
      <c r="CI27" s="3">
        <v>0</v>
      </c>
      <c r="CJ27" s="3">
        <v>0</v>
      </c>
      <c r="CK27" s="3">
        <v>3591444508.998549</v>
      </c>
      <c r="CL27" s="7" t="s">
        <v>102</v>
      </c>
      <c r="CM27" s="2" t="s">
        <v>30</v>
      </c>
      <c r="CN27" s="3">
        <v>0</v>
      </c>
      <c r="CO27" s="3">
        <v>0</v>
      </c>
      <c r="CP27" s="3">
        <v>106527971.42756155</v>
      </c>
      <c r="CQ27" s="3">
        <v>0</v>
      </c>
      <c r="CR27" s="3">
        <v>106527971.42756155</v>
      </c>
      <c r="CS27" s="7" t="s">
        <v>102</v>
      </c>
      <c r="CT27" s="2" t="s">
        <v>30</v>
      </c>
      <c r="CU27" s="3">
        <v>8328560417.9144888</v>
      </c>
      <c r="CV27" s="3">
        <v>829317829.73054612</v>
      </c>
      <c r="CW27" s="3">
        <v>0</v>
      </c>
      <c r="CX27" s="3">
        <v>0</v>
      </c>
      <c r="CY27" s="3">
        <v>9157878247.6450348</v>
      </c>
      <c r="CZ27" s="7" t="s">
        <v>102</v>
      </c>
      <c r="DA27" s="2" t="s">
        <v>30</v>
      </c>
      <c r="DB27" s="3">
        <v>10821431548.011169</v>
      </c>
      <c r="DC27" s="3">
        <v>61867740442.230286</v>
      </c>
      <c r="DD27" s="3">
        <v>0</v>
      </c>
      <c r="DE27" s="3">
        <v>0</v>
      </c>
      <c r="DF27" s="3">
        <v>72689171990.241455</v>
      </c>
      <c r="DG27" s="7" t="s">
        <v>102</v>
      </c>
      <c r="DH27" s="2" t="s">
        <v>30</v>
      </c>
      <c r="DI27" s="3">
        <v>7086568.4377350174</v>
      </c>
      <c r="DJ27" s="3">
        <v>0</v>
      </c>
      <c r="DK27" s="3">
        <v>0</v>
      </c>
      <c r="DL27" s="3">
        <v>116250558626.10103</v>
      </c>
      <c r="DM27" s="3">
        <v>116257645194.53876</v>
      </c>
      <c r="DN27" s="7" t="s">
        <v>102</v>
      </c>
      <c r="DO27" s="2" t="s">
        <v>30</v>
      </c>
      <c r="DP27" s="3">
        <v>527386331.05909467</v>
      </c>
      <c r="DQ27" s="3">
        <v>389276693.83245856</v>
      </c>
      <c r="DR27" s="3">
        <v>0</v>
      </c>
      <c r="DS27" s="3">
        <v>0</v>
      </c>
      <c r="DT27" s="3">
        <v>916663024.89155316</v>
      </c>
      <c r="DU27" s="7" t="s">
        <v>102</v>
      </c>
      <c r="DV27" s="2" t="s">
        <v>30</v>
      </c>
      <c r="DW27" s="3">
        <v>95401644757.534882</v>
      </c>
      <c r="DX27" s="3">
        <v>275558806549.85101</v>
      </c>
      <c r="DY27" s="3">
        <v>214711647550.37415</v>
      </c>
      <c r="DZ27" s="3">
        <v>0</v>
      </c>
      <c r="EA27" s="3">
        <v>585672098857.76001</v>
      </c>
      <c r="EB27" s="7" t="s">
        <v>102</v>
      </c>
      <c r="EC27" s="2" t="s">
        <v>30</v>
      </c>
      <c r="ED27" s="3">
        <v>40933588101.031738</v>
      </c>
      <c r="EE27" s="3">
        <v>608263913146.10864</v>
      </c>
      <c r="EF27" s="3">
        <v>1773690724.2688999</v>
      </c>
      <c r="EG27" s="3">
        <v>0</v>
      </c>
      <c r="EH27" s="3">
        <v>650971191971.4093</v>
      </c>
    </row>
    <row r="28" spans="1:138" ht="10.199999999999999" customHeight="1" x14ac:dyDescent="0.2">
      <c r="A28" s="7" t="s">
        <v>98</v>
      </c>
      <c r="B28" s="2" t="s">
        <v>26</v>
      </c>
      <c r="C28" s="3">
        <f t="shared" si="4"/>
        <v>2839868435.210515</v>
      </c>
      <c r="D28" s="3">
        <f t="shared" si="5"/>
        <v>19559605615.329712</v>
      </c>
      <c r="E28" s="3">
        <f t="shared" si="6"/>
        <v>38408660098.207321</v>
      </c>
      <c r="F28" s="3">
        <f t="shared" si="7"/>
        <v>237835379.1963084</v>
      </c>
      <c r="G28" s="3">
        <f t="shared" si="8"/>
        <v>2590215965.1161947</v>
      </c>
      <c r="H28" s="3">
        <f t="shared" si="9"/>
        <v>0</v>
      </c>
      <c r="I28" s="3">
        <f t="shared" si="10"/>
        <v>3155997365.5331402</v>
      </c>
      <c r="J28" s="3">
        <f t="shared" si="11"/>
        <v>39220245063.964828</v>
      </c>
      <c r="K28" s="3">
        <f t="shared" si="12"/>
        <v>109520138197.84137</v>
      </c>
      <c r="L28" s="3">
        <f t="shared" si="13"/>
        <v>23871522120.624027</v>
      </c>
      <c r="M28" s="3">
        <f t="shared" si="14"/>
        <v>9942766584.8013134</v>
      </c>
      <c r="N28" s="3">
        <f t="shared" si="15"/>
        <v>72566921079.716934</v>
      </c>
      <c r="O28" s="3">
        <f t="shared" si="16"/>
        <v>321913775905.54163</v>
      </c>
      <c r="P28" s="7" t="s">
        <v>98</v>
      </c>
      <c r="Q28" s="2" t="s">
        <v>26</v>
      </c>
      <c r="R28" s="3">
        <f t="shared" si="17"/>
        <v>2839868435.210515</v>
      </c>
      <c r="S28" s="3">
        <f t="shared" si="17"/>
        <v>19559605615.329712</v>
      </c>
      <c r="T28" s="3">
        <f t="shared" si="17"/>
        <v>38408660098.207321</v>
      </c>
      <c r="U28" s="3">
        <f t="shared" si="17"/>
        <v>237835379.1963084</v>
      </c>
      <c r="V28" s="3">
        <f t="shared" si="17"/>
        <v>2590215965.1161947</v>
      </c>
      <c r="W28" s="3">
        <f t="shared" si="17"/>
        <v>0</v>
      </c>
      <c r="X28" s="3">
        <f t="shared" si="17"/>
        <v>3155997365.5331402</v>
      </c>
      <c r="Y28" s="3">
        <f t="shared" si="17"/>
        <v>39220245063.964828</v>
      </c>
      <c r="Z28" s="3">
        <f t="shared" si="17"/>
        <v>109520138197.84137</v>
      </c>
      <c r="AA28" s="3">
        <f t="shared" si="17"/>
        <v>23871522120.624027</v>
      </c>
      <c r="AB28" s="3">
        <f t="shared" si="18"/>
        <v>239404088241.02341</v>
      </c>
      <c r="AC28" s="7" t="s">
        <v>98</v>
      </c>
      <c r="AD28" s="2" t="s">
        <v>26</v>
      </c>
      <c r="AE28" s="3">
        <f t="shared" si="19"/>
        <v>9942766584.8013134</v>
      </c>
      <c r="AF28" s="3">
        <f t="shared" si="19"/>
        <v>72566921079.716934</v>
      </c>
      <c r="AG28" s="3">
        <f t="shared" si="20"/>
        <v>82509687664.51825</v>
      </c>
      <c r="AH28" s="7" t="s">
        <v>98</v>
      </c>
      <c r="AI28" s="2" t="s">
        <v>26</v>
      </c>
      <c r="AJ28" s="3">
        <f t="shared" si="21"/>
        <v>35580177075.711517</v>
      </c>
      <c r="AK28" s="3">
        <f t="shared" si="21"/>
        <v>147160408649.13037</v>
      </c>
      <c r="AL28" s="3">
        <f t="shared" si="21"/>
        <v>97755114889.663849</v>
      </c>
      <c r="AM28" s="3">
        <f t="shared" si="21"/>
        <v>41418075291.035934</v>
      </c>
      <c r="AN28" s="3">
        <f t="shared" si="22"/>
        <v>321913775905.54169</v>
      </c>
      <c r="AO28" s="7" t="s">
        <v>98</v>
      </c>
      <c r="AP28" s="2" t="s">
        <v>26</v>
      </c>
      <c r="AQ28" s="3">
        <f t="shared" si="23"/>
        <v>30264957071.086098</v>
      </c>
      <c r="AR28" s="3">
        <f t="shared" si="23"/>
        <v>129768473465.07854</v>
      </c>
      <c r="AS28" s="3">
        <f t="shared" si="23"/>
        <v>37952582413.822853</v>
      </c>
      <c r="AT28" s="3">
        <f t="shared" si="23"/>
        <v>41418075291.035934</v>
      </c>
      <c r="AU28" s="3">
        <f t="shared" si="24"/>
        <v>239404088241.02344</v>
      </c>
      <c r="AV28" s="7" t="s">
        <v>98</v>
      </c>
      <c r="AW28" s="2" t="s">
        <v>26</v>
      </c>
      <c r="AX28" s="3">
        <f t="shared" si="25"/>
        <v>5315220004.6254168</v>
      </c>
      <c r="AY28" s="3">
        <f t="shared" si="25"/>
        <v>17391935184.051842</v>
      </c>
      <c r="AZ28" s="3">
        <f t="shared" si="25"/>
        <v>59802532475.840988</v>
      </c>
      <c r="BA28" s="3">
        <f t="shared" si="25"/>
        <v>0</v>
      </c>
      <c r="BB28" s="3">
        <f t="shared" si="26"/>
        <v>82509687664.51825</v>
      </c>
      <c r="BC28" s="7" t="s">
        <v>98</v>
      </c>
      <c r="BD28" s="2" t="s">
        <v>26</v>
      </c>
      <c r="BE28" s="3">
        <v>161417145.14689419</v>
      </c>
      <c r="BF28" s="3">
        <v>1874863783.7386739</v>
      </c>
      <c r="BG28" s="3">
        <v>803587506.32494676</v>
      </c>
      <c r="BH28" s="3">
        <v>0</v>
      </c>
      <c r="BI28" s="3">
        <v>2839868435.210515</v>
      </c>
      <c r="BJ28" s="7" t="s">
        <v>98</v>
      </c>
      <c r="BK28" s="2" t="s">
        <v>26</v>
      </c>
      <c r="BL28" s="3">
        <v>668777880.16528928</v>
      </c>
      <c r="BM28" s="3">
        <v>5533250183.0477943</v>
      </c>
      <c r="BN28" s="3">
        <v>10289571975.002855</v>
      </c>
      <c r="BO28" s="3">
        <v>3068005577.1137724</v>
      </c>
      <c r="BP28" s="3">
        <v>19559605615.329712</v>
      </c>
      <c r="BQ28" s="7" t="s">
        <v>98</v>
      </c>
      <c r="BR28" s="2" t="s">
        <v>26</v>
      </c>
      <c r="BS28" s="3">
        <v>0</v>
      </c>
      <c r="BT28" s="3">
        <v>58590384.28515885</v>
      </c>
      <c r="BU28" s="3">
        <v>0</v>
      </c>
      <c r="BV28" s="3">
        <v>38350069713.922165</v>
      </c>
      <c r="BW28" s="3">
        <v>38408660098.207321</v>
      </c>
      <c r="BX28" s="7" t="s">
        <v>98</v>
      </c>
      <c r="BY28" s="2" t="s">
        <v>26</v>
      </c>
      <c r="BZ28" s="3">
        <v>134446912.12035996</v>
      </c>
      <c r="CA28" s="3">
        <v>103388467.07594845</v>
      </c>
      <c r="CB28" s="3">
        <v>0</v>
      </c>
      <c r="CC28" s="3">
        <v>0</v>
      </c>
      <c r="CD28" s="3">
        <v>237835379.1963084</v>
      </c>
      <c r="CE28" s="7" t="s">
        <v>98</v>
      </c>
      <c r="CF28" s="2" t="s">
        <v>26</v>
      </c>
      <c r="CG28" s="3">
        <v>13321630.806944281</v>
      </c>
      <c r="CH28" s="3">
        <v>2158133022.8458996</v>
      </c>
      <c r="CI28" s="3">
        <v>418761311.46335065</v>
      </c>
      <c r="CJ28" s="3">
        <v>0</v>
      </c>
      <c r="CK28" s="3">
        <v>2590215965.1161947</v>
      </c>
      <c r="CL28" s="7" t="s">
        <v>98</v>
      </c>
      <c r="CM28" s="2" t="s">
        <v>26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7" t="s">
        <v>98</v>
      </c>
      <c r="CT28" s="2" t="s">
        <v>26</v>
      </c>
      <c r="CU28" s="3">
        <v>1167912842.205035</v>
      </c>
      <c r="CV28" s="3">
        <v>1471666318.2363827</v>
      </c>
      <c r="CW28" s="3">
        <v>516418205.09172225</v>
      </c>
      <c r="CX28" s="3">
        <v>0</v>
      </c>
      <c r="CY28" s="3">
        <v>3155997365.5331402</v>
      </c>
      <c r="CZ28" s="7" t="s">
        <v>98</v>
      </c>
      <c r="DA28" s="2" t="s">
        <v>26</v>
      </c>
      <c r="DB28" s="3">
        <v>23446305978.483242</v>
      </c>
      <c r="DC28" s="3">
        <v>82768458756.913864</v>
      </c>
      <c r="DD28" s="3">
        <v>3305373462.4442568</v>
      </c>
      <c r="DE28" s="3">
        <v>0</v>
      </c>
      <c r="DF28" s="3">
        <v>109520138197.84137</v>
      </c>
      <c r="DG28" s="7" t="s">
        <v>98</v>
      </c>
      <c r="DH28" s="2" t="s">
        <v>26</v>
      </c>
      <c r="DI28" s="3">
        <v>148960800</v>
      </c>
      <c r="DJ28" s="3">
        <v>19188470513.629498</v>
      </c>
      <c r="DK28" s="3">
        <v>19882813750.335335</v>
      </c>
      <c r="DL28" s="3">
        <v>0</v>
      </c>
      <c r="DM28" s="3">
        <v>39220245063.964828</v>
      </c>
      <c r="DN28" s="7" t="s">
        <v>98</v>
      </c>
      <c r="DO28" s="2" t="s">
        <v>26</v>
      </c>
      <c r="DP28" s="3">
        <v>4523813882.1583328</v>
      </c>
      <c r="DQ28" s="3">
        <v>16611652035.305309</v>
      </c>
      <c r="DR28" s="3">
        <v>2736056203.1603842</v>
      </c>
      <c r="DS28" s="3">
        <v>0</v>
      </c>
      <c r="DT28" s="3">
        <v>23871522120.624027</v>
      </c>
      <c r="DU28" s="7" t="s">
        <v>98</v>
      </c>
      <c r="DV28" s="2" t="s">
        <v>26</v>
      </c>
      <c r="DW28" s="3">
        <v>3625431752.338563</v>
      </c>
      <c r="DX28" s="3">
        <v>11118951651.374308</v>
      </c>
      <c r="DY28" s="3">
        <v>57822537676.004066</v>
      </c>
      <c r="DZ28" s="3">
        <v>0</v>
      </c>
      <c r="EA28" s="3">
        <v>72566921079.716934</v>
      </c>
      <c r="EB28" s="7" t="s">
        <v>98</v>
      </c>
      <c r="EC28" s="2" t="s">
        <v>26</v>
      </c>
      <c r="ED28" s="3">
        <v>1689788252.2868536</v>
      </c>
      <c r="EE28" s="3">
        <v>6272983532.677536</v>
      </c>
      <c r="EF28" s="3">
        <v>1979994799.8369229</v>
      </c>
      <c r="EG28" s="3">
        <v>0</v>
      </c>
      <c r="EH28" s="3">
        <v>9942766584.8013134</v>
      </c>
    </row>
    <row r="29" spans="1:138" ht="10.199999999999999" customHeight="1" x14ac:dyDescent="0.2">
      <c r="A29" s="7" t="s">
        <v>93</v>
      </c>
      <c r="B29" s="2" t="s">
        <v>21</v>
      </c>
      <c r="C29" s="3">
        <f t="shared" si="4"/>
        <v>68613222.972143143</v>
      </c>
      <c r="D29" s="3">
        <f t="shared" si="5"/>
        <v>301347814.22965717</v>
      </c>
      <c r="E29" s="3">
        <f t="shared" si="6"/>
        <v>0</v>
      </c>
      <c r="F29" s="3">
        <f t="shared" si="7"/>
        <v>449839984.36165649</v>
      </c>
      <c r="G29" s="3">
        <f t="shared" si="8"/>
        <v>0</v>
      </c>
      <c r="H29" s="3">
        <f t="shared" si="9"/>
        <v>0</v>
      </c>
      <c r="I29" s="3">
        <f t="shared" si="10"/>
        <v>223799717.591286</v>
      </c>
      <c r="J29" s="3">
        <f t="shared" si="11"/>
        <v>43261550.105972357</v>
      </c>
      <c r="K29" s="3">
        <f t="shared" si="12"/>
        <v>747909278.51744604</v>
      </c>
      <c r="L29" s="3">
        <f t="shared" si="13"/>
        <v>127243994.75950478</v>
      </c>
      <c r="M29" s="3">
        <f t="shared" si="14"/>
        <v>42791187907.504005</v>
      </c>
      <c r="N29" s="3">
        <f t="shared" si="15"/>
        <v>568020299.18493962</v>
      </c>
      <c r="O29" s="3">
        <f t="shared" si="16"/>
        <v>45321223769.226608</v>
      </c>
      <c r="P29" s="7" t="s">
        <v>93</v>
      </c>
      <c r="Q29" s="2" t="s">
        <v>21</v>
      </c>
      <c r="R29" s="3">
        <f t="shared" si="17"/>
        <v>68613222.972143143</v>
      </c>
      <c r="S29" s="3">
        <f t="shared" si="17"/>
        <v>301347814.22965717</v>
      </c>
      <c r="T29" s="3">
        <f t="shared" si="17"/>
        <v>0</v>
      </c>
      <c r="U29" s="3">
        <f t="shared" si="17"/>
        <v>449839984.36165649</v>
      </c>
      <c r="V29" s="3">
        <f t="shared" si="17"/>
        <v>0</v>
      </c>
      <c r="W29" s="3">
        <f t="shared" si="17"/>
        <v>0</v>
      </c>
      <c r="X29" s="3">
        <f t="shared" si="17"/>
        <v>223799717.591286</v>
      </c>
      <c r="Y29" s="3">
        <f t="shared" si="17"/>
        <v>43261550.105972357</v>
      </c>
      <c r="Z29" s="3">
        <f t="shared" si="17"/>
        <v>747909278.51744604</v>
      </c>
      <c r="AA29" s="3">
        <f t="shared" si="17"/>
        <v>127243994.75950478</v>
      </c>
      <c r="AB29" s="3">
        <f t="shared" si="18"/>
        <v>1962015562.5376658</v>
      </c>
      <c r="AC29" s="7" t="s">
        <v>93</v>
      </c>
      <c r="AD29" s="2" t="s">
        <v>21</v>
      </c>
      <c r="AE29" s="3">
        <f t="shared" si="19"/>
        <v>42791187907.504005</v>
      </c>
      <c r="AF29" s="3">
        <f t="shared" si="19"/>
        <v>568020299.18493962</v>
      </c>
      <c r="AG29" s="3">
        <f t="shared" si="20"/>
        <v>43359208206.688942</v>
      </c>
      <c r="AH29" s="7" t="s">
        <v>93</v>
      </c>
      <c r="AI29" s="2" t="s">
        <v>21</v>
      </c>
      <c r="AJ29" s="3">
        <f t="shared" si="21"/>
        <v>44926813307.002876</v>
      </c>
      <c r="AK29" s="3">
        <f t="shared" si="21"/>
        <v>291256509.6845274</v>
      </c>
      <c r="AL29" s="3">
        <f t="shared" si="21"/>
        <v>103153952.53920771</v>
      </c>
      <c r="AM29" s="3">
        <f t="shared" si="21"/>
        <v>0</v>
      </c>
      <c r="AN29" s="3">
        <f t="shared" si="22"/>
        <v>45321223769.226608</v>
      </c>
      <c r="AO29" s="7" t="s">
        <v>93</v>
      </c>
      <c r="AP29" s="2" t="s">
        <v>21</v>
      </c>
      <c r="AQ29" s="3">
        <f t="shared" si="23"/>
        <v>1700811796.7929082</v>
      </c>
      <c r="AR29" s="3">
        <f t="shared" si="23"/>
        <v>261203765.74475777</v>
      </c>
      <c r="AS29" s="3">
        <f t="shared" si="23"/>
        <v>0</v>
      </c>
      <c r="AT29" s="3">
        <f t="shared" si="23"/>
        <v>0</v>
      </c>
      <c r="AU29" s="3">
        <f t="shared" si="24"/>
        <v>1962015562.5376658</v>
      </c>
      <c r="AV29" s="7" t="s">
        <v>93</v>
      </c>
      <c r="AW29" s="2" t="s">
        <v>21</v>
      </c>
      <c r="AX29" s="3">
        <f t="shared" si="25"/>
        <v>43226001510.209969</v>
      </c>
      <c r="AY29" s="3">
        <f t="shared" si="25"/>
        <v>30052743.939769611</v>
      </c>
      <c r="AZ29" s="3">
        <f t="shared" si="25"/>
        <v>103153952.53920771</v>
      </c>
      <c r="BA29" s="3">
        <f t="shared" si="25"/>
        <v>0</v>
      </c>
      <c r="BB29" s="3">
        <f t="shared" si="26"/>
        <v>43359208206.688942</v>
      </c>
      <c r="BC29" s="7" t="s">
        <v>93</v>
      </c>
      <c r="BD29" s="2" t="s">
        <v>21</v>
      </c>
      <c r="BE29" s="3">
        <v>0</v>
      </c>
      <c r="BF29" s="3">
        <v>68613222.972143143</v>
      </c>
      <c r="BG29" s="3">
        <v>0</v>
      </c>
      <c r="BH29" s="3">
        <v>0</v>
      </c>
      <c r="BI29" s="3">
        <v>68613222.972143143</v>
      </c>
      <c r="BJ29" s="7" t="s">
        <v>93</v>
      </c>
      <c r="BK29" s="2" t="s">
        <v>21</v>
      </c>
      <c r="BL29" s="3">
        <v>210318466.11570248</v>
      </c>
      <c r="BM29" s="3">
        <v>91029348.113954693</v>
      </c>
      <c r="BN29" s="3">
        <v>0</v>
      </c>
      <c r="BO29" s="3">
        <v>0</v>
      </c>
      <c r="BP29" s="3">
        <v>301347814.22965717</v>
      </c>
      <c r="BQ29" s="7" t="s">
        <v>93</v>
      </c>
      <c r="BR29" s="2" t="s">
        <v>21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7" t="s">
        <v>93</v>
      </c>
      <c r="BY29" s="2" t="s">
        <v>21</v>
      </c>
      <c r="BZ29" s="3">
        <v>445881556.26421696</v>
      </c>
      <c r="CA29" s="3">
        <v>3958428.0974395159</v>
      </c>
      <c r="CB29" s="3">
        <v>0</v>
      </c>
      <c r="CC29" s="3">
        <v>0</v>
      </c>
      <c r="CD29" s="3">
        <v>449839984.36165649</v>
      </c>
      <c r="CE29" s="7" t="s">
        <v>93</v>
      </c>
      <c r="CF29" s="2" t="s">
        <v>21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7" t="s">
        <v>93</v>
      </c>
      <c r="CM29" s="2" t="s">
        <v>21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7" t="s">
        <v>93</v>
      </c>
      <c r="CT29" s="2" t="s">
        <v>21</v>
      </c>
      <c r="CU29" s="3">
        <v>209741706.84523809</v>
      </c>
      <c r="CV29" s="3">
        <v>14058010.746047907</v>
      </c>
      <c r="CW29" s="3">
        <v>0</v>
      </c>
      <c r="CX29" s="3">
        <v>0</v>
      </c>
      <c r="CY29" s="3">
        <v>223799717.591286</v>
      </c>
      <c r="CZ29" s="7" t="s">
        <v>93</v>
      </c>
      <c r="DA29" s="2" t="s">
        <v>21</v>
      </c>
      <c r="DB29" s="3">
        <v>703498729.51219511</v>
      </c>
      <c r="DC29" s="3">
        <v>44410549.005250908</v>
      </c>
      <c r="DD29" s="3">
        <v>0</v>
      </c>
      <c r="DE29" s="3">
        <v>0</v>
      </c>
      <c r="DF29" s="3">
        <v>747909278.51744604</v>
      </c>
      <c r="DG29" s="7" t="s">
        <v>93</v>
      </c>
      <c r="DH29" s="2" t="s">
        <v>21</v>
      </c>
      <c r="DI29" s="3">
        <v>38956480</v>
      </c>
      <c r="DJ29" s="3">
        <v>4305070.1059723552</v>
      </c>
      <c r="DK29" s="3">
        <v>0</v>
      </c>
      <c r="DL29" s="3">
        <v>0</v>
      </c>
      <c r="DM29" s="3">
        <v>43261550.105972357</v>
      </c>
      <c r="DN29" s="7" t="s">
        <v>93</v>
      </c>
      <c r="DO29" s="2" t="s">
        <v>21</v>
      </c>
      <c r="DP29" s="3">
        <v>92414858.055555552</v>
      </c>
      <c r="DQ29" s="3">
        <v>34829136.703949228</v>
      </c>
      <c r="DR29" s="3">
        <v>0</v>
      </c>
      <c r="DS29" s="3">
        <v>0</v>
      </c>
      <c r="DT29" s="3">
        <v>127243994.75950478</v>
      </c>
      <c r="DU29" s="7" t="s">
        <v>93</v>
      </c>
      <c r="DV29" s="2" t="s">
        <v>21</v>
      </c>
      <c r="DW29" s="3">
        <v>497573697.45084649</v>
      </c>
      <c r="DX29" s="3">
        <v>0</v>
      </c>
      <c r="DY29" s="3">
        <v>70446601.73409307</v>
      </c>
      <c r="DZ29" s="3">
        <v>0</v>
      </c>
      <c r="EA29" s="3">
        <v>568020299.18493962</v>
      </c>
      <c r="EB29" s="7" t="s">
        <v>93</v>
      </c>
      <c r="EC29" s="2" t="s">
        <v>21</v>
      </c>
      <c r="ED29" s="3">
        <v>42728427812.759125</v>
      </c>
      <c r="EE29" s="3">
        <v>30052743.939769611</v>
      </c>
      <c r="EF29" s="3">
        <v>32707350.805114646</v>
      </c>
      <c r="EG29" s="3">
        <v>0</v>
      </c>
      <c r="EH29" s="3">
        <v>42791187907.504005</v>
      </c>
    </row>
    <row r="30" spans="1:138" ht="10.199999999999999" customHeight="1" x14ac:dyDescent="0.2">
      <c r="A30" s="7" t="s">
        <v>115</v>
      </c>
      <c r="B30" s="2" t="s">
        <v>43</v>
      </c>
      <c r="C30" s="3">
        <f t="shared" si="4"/>
        <v>7518384695.1417751</v>
      </c>
      <c r="D30" s="3">
        <f t="shared" si="5"/>
        <v>53711061.022135869</v>
      </c>
      <c r="E30" s="3">
        <f t="shared" si="6"/>
        <v>34159612995.365185</v>
      </c>
      <c r="F30" s="3">
        <f t="shared" si="7"/>
        <v>75800017613.568787</v>
      </c>
      <c r="G30" s="3">
        <f t="shared" si="8"/>
        <v>9824388929.0075302</v>
      </c>
      <c r="H30" s="3">
        <f t="shared" si="9"/>
        <v>0</v>
      </c>
      <c r="I30" s="3">
        <f t="shared" si="10"/>
        <v>20302491762.849934</v>
      </c>
      <c r="J30" s="3">
        <f t="shared" si="11"/>
        <v>1925026669.5381546</v>
      </c>
      <c r="K30" s="3">
        <f t="shared" si="12"/>
        <v>3518451066.7908769</v>
      </c>
      <c r="L30" s="3">
        <f t="shared" si="13"/>
        <v>250010729355.90112</v>
      </c>
      <c r="M30" s="3">
        <f t="shared" si="14"/>
        <v>124696252325.90131</v>
      </c>
      <c r="N30" s="3">
        <f t="shared" si="15"/>
        <v>342808050271.46027</v>
      </c>
      <c r="O30" s="3">
        <f t="shared" si="16"/>
        <v>870617116746.54712</v>
      </c>
      <c r="P30" s="7" t="s">
        <v>115</v>
      </c>
      <c r="Q30" s="2" t="s">
        <v>43</v>
      </c>
      <c r="R30" s="3">
        <f t="shared" si="17"/>
        <v>7518384695.1417751</v>
      </c>
      <c r="S30" s="3">
        <f t="shared" si="17"/>
        <v>53711061.022135869</v>
      </c>
      <c r="T30" s="3">
        <f t="shared" si="17"/>
        <v>34159612995.365185</v>
      </c>
      <c r="U30" s="3">
        <f t="shared" si="17"/>
        <v>75800017613.568787</v>
      </c>
      <c r="V30" s="3">
        <f t="shared" si="17"/>
        <v>9824388929.0075302</v>
      </c>
      <c r="W30" s="3">
        <f t="shared" ref="W30:AA41" si="27">H30</f>
        <v>0</v>
      </c>
      <c r="X30" s="3">
        <f t="shared" si="27"/>
        <v>20302491762.849934</v>
      </c>
      <c r="Y30" s="3">
        <f t="shared" si="27"/>
        <v>1925026669.5381546</v>
      </c>
      <c r="Z30" s="3">
        <f t="shared" si="27"/>
        <v>3518451066.7908769</v>
      </c>
      <c r="AA30" s="3">
        <f t="shared" si="27"/>
        <v>250010729355.90112</v>
      </c>
      <c r="AB30" s="3">
        <f t="shared" si="18"/>
        <v>403112814149.18549</v>
      </c>
      <c r="AC30" s="7" t="s">
        <v>115</v>
      </c>
      <c r="AD30" s="2" t="s">
        <v>43</v>
      </c>
      <c r="AE30" s="3">
        <f t="shared" si="19"/>
        <v>124696252325.90131</v>
      </c>
      <c r="AF30" s="3">
        <f t="shared" si="19"/>
        <v>342808050271.46027</v>
      </c>
      <c r="AG30" s="3">
        <f t="shared" si="20"/>
        <v>467504302597.36157</v>
      </c>
      <c r="AH30" s="7" t="s">
        <v>115</v>
      </c>
      <c r="AI30" s="2" t="s">
        <v>43</v>
      </c>
      <c r="AJ30" s="3">
        <f t="shared" si="21"/>
        <v>16035980785.165211</v>
      </c>
      <c r="AK30" s="3">
        <f t="shared" si="21"/>
        <v>344960160210.82281</v>
      </c>
      <c r="AL30" s="3">
        <f t="shared" si="21"/>
        <v>509620975750.55908</v>
      </c>
      <c r="AM30" s="3">
        <f t="shared" si="21"/>
        <v>0</v>
      </c>
      <c r="AN30" s="3">
        <f t="shared" si="22"/>
        <v>870617116746.54712</v>
      </c>
      <c r="AO30" s="7" t="s">
        <v>115</v>
      </c>
      <c r="AP30" s="2" t="s">
        <v>43</v>
      </c>
      <c r="AQ30" s="3">
        <f t="shared" si="23"/>
        <v>7437380945.9854488</v>
      </c>
      <c r="AR30" s="3">
        <f t="shared" si="23"/>
        <v>234863764318.50061</v>
      </c>
      <c r="AS30" s="3">
        <f t="shared" si="23"/>
        <v>160811668884.69946</v>
      </c>
      <c r="AT30" s="3">
        <f t="shared" si="23"/>
        <v>0</v>
      </c>
      <c r="AU30" s="3">
        <f t="shared" si="24"/>
        <v>403112814149.18555</v>
      </c>
      <c r="AV30" s="7" t="s">
        <v>115</v>
      </c>
      <c r="AW30" s="2" t="s">
        <v>43</v>
      </c>
      <c r="AX30" s="3">
        <f t="shared" si="25"/>
        <v>8598599839.1797619</v>
      </c>
      <c r="AY30" s="3">
        <f t="shared" si="25"/>
        <v>110096395892.32222</v>
      </c>
      <c r="AZ30" s="3">
        <f t="shared" si="25"/>
        <v>348809306865.85962</v>
      </c>
      <c r="BA30" s="3">
        <f t="shared" si="25"/>
        <v>0</v>
      </c>
      <c r="BB30" s="3">
        <f t="shared" si="26"/>
        <v>467504302597.36157</v>
      </c>
      <c r="BC30" s="7" t="s">
        <v>115</v>
      </c>
      <c r="BD30" s="2" t="s">
        <v>43</v>
      </c>
      <c r="BE30" s="3">
        <v>609456497.53703368</v>
      </c>
      <c r="BF30" s="3">
        <v>0</v>
      </c>
      <c r="BG30" s="3">
        <v>6908928197.6047411</v>
      </c>
      <c r="BH30" s="3">
        <v>0</v>
      </c>
      <c r="BI30" s="3">
        <v>7518384695.1417751</v>
      </c>
      <c r="BJ30" s="7" t="s">
        <v>115</v>
      </c>
      <c r="BK30" s="2" t="s">
        <v>43</v>
      </c>
      <c r="BL30" s="3">
        <v>53711061.022135869</v>
      </c>
      <c r="BM30" s="3">
        <v>0</v>
      </c>
      <c r="BN30" s="3">
        <v>0</v>
      </c>
      <c r="BO30" s="3">
        <v>0</v>
      </c>
      <c r="BP30" s="3">
        <v>53711061.022135869</v>
      </c>
      <c r="BQ30" s="7" t="s">
        <v>115</v>
      </c>
      <c r="BR30" s="2" t="s">
        <v>43</v>
      </c>
      <c r="BS30" s="3">
        <v>0</v>
      </c>
      <c r="BT30" s="3">
        <v>0</v>
      </c>
      <c r="BU30" s="3">
        <v>34159612995.365185</v>
      </c>
      <c r="BV30" s="3">
        <v>0</v>
      </c>
      <c r="BW30" s="3">
        <v>34159612995.365185</v>
      </c>
      <c r="BX30" s="7" t="s">
        <v>115</v>
      </c>
      <c r="BY30" s="2" t="s">
        <v>43</v>
      </c>
      <c r="BZ30" s="3">
        <v>3835742238.7690411</v>
      </c>
      <c r="CA30" s="3">
        <v>69510753682.430954</v>
      </c>
      <c r="CB30" s="3">
        <v>2453521692.3687949</v>
      </c>
      <c r="CC30" s="3">
        <v>0</v>
      </c>
      <c r="CD30" s="3">
        <v>75800017613.568787</v>
      </c>
      <c r="CE30" s="7" t="s">
        <v>115</v>
      </c>
      <c r="CF30" s="2" t="s">
        <v>43</v>
      </c>
      <c r="CG30" s="3">
        <v>186836911.56311652</v>
      </c>
      <c r="CH30" s="3">
        <v>1580720041.6372488</v>
      </c>
      <c r="CI30" s="3">
        <v>8056831975.8071651</v>
      </c>
      <c r="CJ30" s="3">
        <v>0</v>
      </c>
      <c r="CK30" s="3">
        <v>9824388929.0075302</v>
      </c>
      <c r="CL30" s="7" t="s">
        <v>115</v>
      </c>
      <c r="CM30" s="2" t="s">
        <v>43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7" t="s">
        <v>115</v>
      </c>
      <c r="CT30" s="2" t="s">
        <v>43</v>
      </c>
      <c r="CU30" s="3">
        <v>319920619.71964699</v>
      </c>
      <c r="CV30" s="3">
        <v>19982571143.130287</v>
      </c>
      <c r="CW30" s="3">
        <v>0</v>
      </c>
      <c r="CX30" s="3">
        <v>0</v>
      </c>
      <c r="CY30" s="3">
        <v>20302491762.849934</v>
      </c>
      <c r="CZ30" s="7" t="s">
        <v>115</v>
      </c>
      <c r="DA30" s="2" t="s">
        <v>43</v>
      </c>
      <c r="DB30" s="3">
        <v>1647080089.7075982</v>
      </c>
      <c r="DC30" s="3">
        <v>1866898176.9731777</v>
      </c>
      <c r="DD30" s="3">
        <v>4472800.1101011476</v>
      </c>
      <c r="DE30" s="3">
        <v>0</v>
      </c>
      <c r="DF30" s="3">
        <v>3518451066.7908769</v>
      </c>
      <c r="DG30" s="7" t="s">
        <v>115</v>
      </c>
      <c r="DH30" s="2" t="s">
        <v>43</v>
      </c>
      <c r="DI30" s="3">
        <v>23502379.55618104</v>
      </c>
      <c r="DJ30" s="3">
        <v>0</v>
      </c>
      <c r="DK30" s="3">
        <v>1901524289.9819736</v>
      </c>
      <c r="DL30" s="3">
        <v>0</v>
      </c>
      <c r="DM30" s="3">
        <v>1925026669.5381546</v>
      </c>
      <c r="DN30" s="7" t="s">
        <v>115</v>
      </c>
      <c r="DO30" s="2" t="s">
        <v>43</v>
      </c>
      <c r="DP30" s="3">
        <v>761131148.11069465</v>
      </c>
      <c r="DQ30" s="3">
        <v>141922821274.32895</v>
      </c>
      <c r="DR30" s="3">
        <v>107326776933.4615</v>
      </c>
      <c r="DS30" s="3">
        <v>0</v>
      </c>
      <c r="DT30" s="3">
        <v>250010729355.90112</v>
      </c>
      <c r="DU30" s="7" t="s">
        <v>115</v>
      </c>
      <c r="DV30" s="2" t="s">
        <v>43</v>
      </c>
      <c r="DW30" s="3">
        <v>765614462.1455853</v>
      </c>
      <c r="DX30" s="3">
        <v>1826080047.0531089</v>
      </c>
      <c r="DY30" s="3">
        <v>340216355762.2616</v>
      </c>
      <c r="DZ30" s="3">
        <v>0</v>
      </c>
      <c r="EA30" s="3">
        <v>342808050271.46027</v>
      </c>
      <c r="EB30" s="7" t="s">
        <v>115</v>
      </c>
      <c r="EC30" s="2" t="s">
        <v>43</v>
      </c>
      <c r="ED30" s="3">
        <v>7832985377.0341759</v>
      </c>
      <c r="EE30" s="3">
        <v>108270315845.2691</v>
      </c>
      <c r="EF30" s="3">
        <v>8592951103.5980148</v>
      </c>
      <c r="EG30" s="3">
        <v>0</v>
      </c>
      <c r="EH30" s="3">
        <v>124696252325.90131</v>
      </c>
    </row>
    <row r="31" spans="1:138" ht="10.199999999999999" customHeight="1" x14ac:dyDescent="0.2">
      <c r="A31" s="7" t="s">
        <v>111</v>
      </c>
      <c r="B31" s="2" t="s">
        <v>39</v>
      </c>
      <c r="C31" s="3">
        <f t="shared" si="4"/>
        <v>591377833.12193072</v>
      </c>
      <c r="D31" s="3">
        <f t="shared" si="5"/>
        <v>1053765980.2654313</v>
      </c>
      <c r="E31" s="3">
        <f t="shared" si="6"/>
        <v>2301004182.83533</v>
      </c>
      <c r="F31" s="3">
        <f t="shared" si="7"/>
        <v>22139120164.903152</v>
      </c>
      <c r="G31" s="3">
        <f t="shared" si="8"/>
        <v>62734291.255490981</v>
      </c>
      <c r="H31" s="3">
        <f t="shared" si="9"/>
        <v>0</v>
      </c>
      <c r="I31" s="3">
        <f t="shared" si="10"/>
        <v>590818183.25000548</v>
      </c>
      <c r="J31" s="3">
        <f t="shared" si="11"/>
        <v>9840149929.8302021</v>
      </c>
      <c r="K31" s="3">
        <f t="shared" si="12"/>
        <v>47910980899.530136</v>
      </c>
      <c r="L31" s="3">
        <f t="shared" si="13"/>
        <v>9624877567.7870083</v>
      </c>
      <c r="M31" s="3">
        <f t="shared" si="14"/>
        <v>83371455235.938141</v>
      </c>
      <c r="N31" s="3">
        <f t="shared" si="15"/>
        <v>26984132943.177418</v>
      </c>
      <c r="O31" s="3">
        <f t="shared" si="16"/>
        <v>204470417211.89423</v>
      </c>
      <c r="P31" s="7" t="s">
        <v>111</v>
      </c>
      <c r="Q31" s="2" t="s">
        <v>39</v>
      </c>
      <c r="R31" s="3">
        <f t="shared" ref="R31:V41" si="28">C31</f>
        <v>591377833.12193072</v>
      </c>
      <c r="S31" s="3">
        <f t="shared" si="28"/>
        <v>1053765980.2654313</v>
      </c>
      <c r="T31" s="3">
        <f t="shared" si="28"/>
        <v>2301004182.83533</v>
      </c>
      <c r="U31" s="3">
        <f t="shared" si="28"/>
        <v>22139120164.903152</v>
      </c>
      <c r="V31" s="3">
        <f t="shared" si="28"/>
        <v>62734291.255490981</v>
      </c>
      <c r="W31" s="3">
        <f t="shared" si="27"/>
        <v>0</v>
      </c>
      <c r="X31" s="3">
        <f t="shared" si="27"/>
        <v>590818183.25000548</v>
      </c>
      <c r="Y31" s="3">
        <f t="shared" si="27"/>
        <v>9840149929.8302021</v>
      </c>
      <c r="Z31" s="3">
        <f t="shared" si="27"/>
        <v>47910980899.530136</v>
      </c>
      <c r="AA31" s="3">
        <f t="shared" si="27"/>
        <v>9624877567.7870083</v>
      </c>
      <c r="AB31" s="3">
        <f t="shared" si="18"/>
        <v>94114829032.778671</v>
      </c>
      <c r="AC31" s="7" t="s">
        <v>111</v>
      </c>
      <c r="AD31" s="2" t="s">
        <v>39</v>
      </c>
      <c r="AE31" s="3">
        <f t="shared" si="19"/>
        <v>83371455235.938141</v>
      </c>
      <c r="AF31" s="3">
        <f t="shared" si="19"/>
        <v>26984132943.177418</v>
      </c>
      <c r="AG31" s="3">
        <f t="shared" si="20"/>
        <v>110355588179.11555</v>
      </c>
      <c r="AH31" s="7" t="s">
        <v>111</v>
      </c>
      <c r="AI31" s="2" t="s">
        <v>39</v>
      </c>
      <c r="AJ31" s="3">
        <f t="shared" si="21"/>
        <v>156608273931.1485</v>
      </c>
      <c r="AK31" s="3">
        <f t="shared" si="21"/>
        <v>30221111212.341568</v>
      </c>
      <c r="AL31" s="3">
        <f t="shared" si="21"/>
        <v>0</v>
      </c>
      <c r="AM31" s="3">
        <f t="shared" si="21"/>
        <v>17641032068.404194</v>
      </c>
      <c r="AN31" s="3">
        <f t="shared" si="22"/>
        <v>204470417211.89426</v>
      </c>
      <c r="AO31" s="7" t="s">
        <v>111</v>
      </c>
      <c r="AP31" s="2" t="s">
        <v>39</v>
      </c>
      <c r="AQ31" s="3">
        <f t="shared" si="23"/>
        <v>63669381331.518433</v>
      </c>
      <c r="AR31" s="3">
        <f t="shared" si="23"/>
        <v>28144443518.424919</v>
      </c>
      <c r="AS31" s="3">
        <f t="shared" si="23"/>
        <v>0</v>
      </c>
      <c r="AT31" s="3">
        <f t="shared" si="23"/>
        <v>2301004182.83533</v>
      </c>
      <c r="AU31" s="3">
        <f t="shared" si="24"/>
        <v>94114829032.778687</v>
      </c>
      <c r="AV31" s="7" t="s">
        <v>111</v>
      </c>
      <c r="AW31" s="2" t="s">
        <v>39</v>
      </c>
      <c r="AX31" s="3">
        <f t="shared" si="25"/>
        <v>92938892599.630051</v>
      </c>
      <c r="AY31" s="3">
        <f t="shared" si="25"/>
        <v>2076667693.9166493</v>
      </c>
      <c r="AZ31" s="3">
        <f t="shared" si="25"/>
        <v>0</v>
      </c>
      <c r="BA31" s="3">
        <f t="shared" si="25"/>
        <v>15340027885.568863</v>
      </c>
      <c r="BB31" s="3">
        <f t="shared" si="26"/>
        <v>110355588179.11557</v>
      </c>
      <c r="BC31" s="7" t="s">
        <v>111</v>
      </c>
      <c r="BD31" s="2" t="s">
        <v>39</v>
      </c>
      <c r="BE31" s="3">
        <v>371172597.68712503</v>
      </c>
      <c r="BF31" s="3">
        <v>220205235.43480566</v>
      </c>
      <c r="BG31" s="3">
        <v>0</v>
      </c>
      <c r="BH31" s="3">
        <v>0</v>
      </c>
      <c r="BI31" s="3">
        <v>591377833.12193072</v>
      </c>
      <c r="BJ31" s="7" t="s">
        <v>111</v>
      </c>
      <c r="BK31" s="2" t="s">
        <v>39</v>
      </c>
      <c r="BL31" s="3">
        <v>1053765980.2654313</v>
      </c>
      <c r="BM31" s="3">
        <v>0</v>
      </c>
      <c r="BN31" s="3">
        <v>0</v>
      </c>
      <c r="BO31" s="3">
        <v>0</v>
      </c>
      <c r="BP31" s="3">
        <v>1053765980.2654313</v>
      </c>
      <c r="BQ31" s="7" t="s">
        <v>111</v>
      </c>
      <c r="BR31" s="2" t="s">
        <v>39</v>
      </c>
      <c r="BS31" s="3">
        <v>0</v>
      </c>
      <c r="BT31" s="3">
        <v>0</v>
      </c>
      <c r="BU31" s="3">
        <v>0</v>
      </c>
      <c r="BV31" s="3">
        <v>2301004182.83533</v>
      </c>
      <c r="BW31" s="3">
        <v>2301004182.83533</v>
      </c>
      <c r="BX31" s="7" t="s">
        <v>111</v>
      </c>
      <c r="BY31" s="2" t="s">
        <v>39</v>
      </c>
      <c r="BZ31" s="3">
        <v>21535405688.606579</v>
      </c>
      <c r="CA31" s="3">
        <v>603714476.29657245</v>
      </c>
      <c r="CB31" s="3">
        <v>0</v>
      </c>
      <c r="CC31" s="3">
        <v>0</v>
      </c>
      <c r="CD31" s="3">
        <v>22139120164.903152</v>
      </c>
      <c r="CE31" s="7" t="s">
        <v>111</v>
      </c>
      <c r="CF31" s="2" t="s">
        <v>39</v>
      </c>
      <c r="CG31" s="3">
        <v>62734291.255490981</v>
      </c>
      <c r="CH31" s="3">
        <v>0</v>
      </c>
      <c r="CI31" s="3">
        <v>0</v>
      </c>
      <c r="CJ31" s="3">
        <v>0</v>
      </c>
      <c r="CK31" s="3">
        <v>62734291.255490981</v>
      </c>
      <c r="CL31" s="7" t="s">
        <v>111</v>
      </c>
      <c r="CM31" s="2" t="s">
        <v>39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7" t="s">
        <v>111</v>
      </c>
      <c r="CT31" s="2" t="s">
        <v>39</v>
      </c>
      <c r="CU31" s="3">
        <v>590818183.25000548</v>
      </c>
      <c r="CV31" s="3">
        <v>0</v>
      </c>
      <c r="CW31" s="3">
        <v>0</v>
      </c>
      <c r="CX31" s="3">
        <v>0</v>
      </c>
      <c r="CY31" s="3">
        <v>590818183.25000548</v>
      </c>
      <c r="CZ31" s="7" t="s">
        <v>111</v>
      </c>
      <c r="DA31" s="2" t="s">
        <v>39</v>
      </c>
      <c r="DB31" s="3">
        <v>24033635285.472839</v>
      </c>
      <c r="DC31" s="3">
        <v>23877345614.057297</v>
      </c>
      <c r="DD31" s="3">
        <v>0</v>
      </c>
      <c r="DE31" s="3">
        <v>0</v>
      </c>
      <c r="DF31" s="3">
        <v>47910980899.530136</v>
      </c>
      <c r="DG31" s="7" t="s">
        <v>111</v>
      </c>
      <c r="DH31" s="2" t="s">
        <v>39</v>
      </c>
      <c r="DI31" s="3">
        <v>7587565290.4417572</v>
      </c>
      <c r="DJ31" s="3">
        <v>2252584639.3884444</v>
      </c>
      <c r="DK31" s="3">
        <v>0</v>
      </c>
      <c r="DL31" s="3">
        <v>0</v>
      </c>
      <c r="DM31" s="3">
        <v>9840149929.8302021</v>
      </c>
      <c r="DN31" s="7" t="s">
        <v>111</v>
      </c>
      <c r="DO31" s="2" t="s">
        <v>39</v>
      </c>
      <c r="DP31" s="3">
        <v>8434284014.5392065</v>
      </c>
      <c r="DQ31" s="3">
        <v>1190593553.2478013</v>
      </c>
      <c r="DR31" s="3">
        <v>0</v>
      </c>
      <c r="DS31" s="3">
        <v>0</v>
      </c>
      <c r="DT31" s="3">
        <v>9624877567.7870083</v>
      </c>
      <c r="DU31" s="7" t="s">
        <v>111</v>
      </c>
      <c r="DV31" s="2" t="s">
        <v>39</v>
      </c>
      <c r="DW31" s="3">
        <v>9567437363.691906</v>
      </c>
      <c r="DX31" s="3">
        <v>2076667693.9166493</v>
      </c>
      <c r="DY31" s="3">
        <v>0</v>
      </c>
      <c r="DZ31" s="3">
        <v>15340027885.568863</v>
      </c>
      <c r="EA31" s="3">
        <v>26984132943.177418</v>
      </c>
      <c r="EB31" s="7" t="s">
        <v>111</v>
      </c>
      <c r="EC31" s="2" t="s">
        <v>39</v>
      </c>
      <c r="ED31" s="3">
        <v>83371455235.938141</v>
      </c>
      <c r="EE31" s="3">
        <v>0</v>
      </c>
      <c r="EF31" s="3">
        <v>0</v>
      </c>
      <c r="EG31" s="3">
        <v>0</v>
      </c>
      <c r="EH31" s="3">
        <v>83371455235.938141</v>
      </c>
    </row>
    <row r="32" spans="1:138" ht="10.199999999999999" customHeight="1" x14ac:dyDescent="0.2">
      <c r="A32" s="7" t="s">
        <v>118</v>
      </c>
      <c r="B32" s="2" t="s">
        <v>46</v>
      </c>
      <c r="C32" s="3">
        <f t="shared" si="4"/>
        <v>466015841.1387502</v>
      </c>
      <c r="D32" s="3">
        <f t="shared" si="5"/>
        <v>0</v>
      </c>
      <c r="E32" s="3">
        <f t="shared" si="6"/>
        <v>49002891571.167686</v>
      </c>
      <c r="F32" s="3">
        <f t="shared" si="7"/>
        <v>104304666.0019124</v>
      </c>
      <c r="G32" s="3">
        <f t="shared" si="8"/>
        <v>7684435.7068994604</v>
      </c>
      <c r="H32" s="3">
        <f t="shared" si="9"/>
        <v>0</v>
      </c>
      <c r="I32" s="3">
        <f t="shared" si="10"/>
        <v>0</v>
      </c>
      <c r="J32" s="3">
        <f t="shared" si="11"/>
        <v>154589141.91881478</v>
      </c>
      <c r="K32" s="3">
        <f t="shared" si="12"/>
        <v>340741103676.8822</v>
      </c>
      <c r="L32" s="3">
        <f t="shared" si="13"/>
        <v>7126877424.452425</v>
      </c>
      <c r="M32" s="3">
        <f t="shared" si="14"/>
        <v>0</v>
      </c>
      <c r="N32" s="3">
        <f t="shared" si="15"/>
        <v>708826185.43025255</v>
      </c>
      <c r="O32" s="3">
        <f t="shared" si="16"/>
        <v>398312292942.69897</v>
      </c>
      <c r="P32" s="7" t="s">
        <v>118</v>
      </c>
      <c r="Q32" s="2" t="s">
        <v>46</v>
      </c>
      <c r="R32" s="3">
        <f t="shared" si="28"/>
        <v>466015841.1387502</v>
      </c>
      <c r="S32" s="3">
        <f t="shared" si="28"/>
        <v>0</v>
      </c>
      <c r="T32" s="3">
        <f t="shared" si="28"/>
        <v>49002891571.167686</v>
      </c>
      <c r="U32" s="3">
        <f t="shared" si="28"/>
        <v>104304666.0019124</v>
      </c>
      <c r="V32" s="3">
        <f t="shared" si="28"/>
        <v>7684435.7068994604</v>
      </c>
      <c r="W32" s="3">
        <f t="shared" si="27"/>
        <v>0</v>
      </c>
      <c r="X32" s="3">
        <f t="shared" si="27"/>
        <v>0</v>
      </c>
      <c r="Y32" s="3">
        <f t="shared" si="27"/>
        <v>154589141.91881478</v>
      </c>
      <c r="Z32" s="3">
        <f t="shared" si="27"/>
        <v>340741103676.8822</v>
      </c>
      <c r="AA32" s="3">
        <f t="shared" si="27"/>
        <v>7126877424.452425</v>
      </c>
      <c r="AB32" s="3">
        <f t="shared" si="18"/>
        <v>397603466757.26874</v>
      </c>
      <c r="AC32" s="7" t="s">
        <v>118</v>
      </c>
      <c r="AD32" s="2" t="s">
        <v>46</v>
      </c>
      <c r="AE32" s="3">
        <f t="shared" si="19"/>
        <v>0</v>
      </c>
      <c r="AF32" s="3">
        <f t="shared" si="19"/>
        <v>708826185.43025255</v>
      </c>
      <c r="AG32" s="3">
        <f t="shared" si="20"/>
        <v>708826185.43025255</v>
      </c>
      <c r="AH32" s="7" t="s">
        <v>118</v>
      </c>
      <c r="AI32" s="2" t="s">
        <v>46</v>
      </c>
      <c r="AJ32" s="3">
        <f t="shared" si="21"/>
        <v>3693864524.2953606</v>
      </c>
      <c r="AK32" s="3">
        <f t="shared" si="21"/>
        <v>4952707172.2804632</v>
      </c>
      <c r="AL32" s="3">
        <f t="shared" si="21"/>
        <v>16814375010.126316</v>
      </c>
      <c r="AM32" s="3">
        <f t="shared" si="21"/>
        <v>372851346235.99677</v>
      </c>
      <c r="AN32" s="3">
        <f t="shared" si="22"/>
        <v>398312292942.69891</v>
      </c>
      <c r="AO32" s="7" t="s">
        <v>118</v>
      </c>
      <c r="AP32" s="2" t="s">
        <v>46</v>
      </c>
      <c r="AQ32" s="3">
        <f t="shared" si="23"/>
        <v>2986156538.8926334</v>
      </c>
      <c r="AR32" s="3">
        <f t="shared" si="23"/>
        <v>4951588972.2529383</v>
      </c>
      <c r="AS32" s="3">
        <f t="shared" si="23"/>
        <v>16814375010.126316</v>
      </c>
      <c r="AT32" s="3">
        <f t="shared" si="23"/>
        <v>372851346235.99677</v>
      </c>
      <c r="AU32" s="3">
        <f t="shared" si="24"/>
        <v>397603466757.26868</v>
      </c>
      <c r="AV32" s="7" t="s">
        <v>118</v>
      </c>
      <c r="AW32" s="2" t="s">
        <v>46</v>
      </c>
      <c r="AX32" s="3">
        <f t="shared" si="25"/>
        <v>707707985.40272725</v>
      </c>
      <c r="AY32" s="3">
        <f t="shared" si="25"/>
        <v>1118200.0275252869</v>
      </c>
      <c r="AZ32" s="3">
        <f t="shared" si="25"/>
        <v>0</v>
      </c>
      <c r="BA32" s="3">
        <f t="shared" si="25"/>
        <v>0</v>
      </c>
      <c r="BB32" s="3">
        <f t="shared" si="26"/>
        <v>708826185.43025255</v>
      </c>
      <c r="BC32" s="7" t="s">
        <v>118</v>
      </c>
      <c r="BD32" s="2" t="s">
        <v>46</v>
      </c>
      <c r="BE32" s="3">
        <v>124713817.97840957</v>
      </c>
      <c r="BF32" s="3">
        <v>341302023.16034061</v>
      </c>
      <c r="BG32" s="3">
        <v>0</v>
      </c>
      <c r="BH32" s="3">
        <v>0</v>
      </c>
      <c r="BI32" s="3">
        <v>466015841.1387502</v>
      </c>
      <c r="BJ32" s="7" t="s">
        <v>118</v>
      </c>
      <c r="BK32" s="2" t="s">
        <v>46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7" t="s">
        <v>118</v>
      </c>
      <c r="BR32" s="2" t="s">
        <v>46</v>
      </c>
      <c r="BS32" s="3">
        <v>0</v>
      </c>
      <c r="BT32" s="3">
        <v>0</v>
      </c>
      <c r="BU32" s="3">
        <v>0</v>
      </c>
      <c r="BV32" s="3">
        <v>49002891571.167686</v>
      </c>
      <c r="BW32" s="3">
        <v>49002891571.167686</v>
      </c>
      <c r="BX32" s="7" t="s">
        <v>118</v>
      </c>
      <c r="BY32" s="2" t="s">
        <v>46</v>
      </c>
      <c r="BZ32" s="3">
        <v>104304666.0019124</v>
      </c>
      <c r="CA32" s="3">
        <v>0</v>
      </c>
      <c r="CB32" s="3">
        <v>0</v>
      </c>
      <c r="CC32" s="3">
        <v>0</v>
      </c>
      <c r="CD32" s="3">
        <v>104304666.0019124</v>
      </c>
      <c r="CE32" s="7" t="s">
        <v>118</v>
      </c>
      <c r="CF32" s="2" t="s">
        <v>46</v>
      </c>
      <c r="CG32" s="3">
        <v>6275503.6722175991</v>
      </c>
      <c r="CH32" s="3">
        <v>1408932.0346818615</v>
      </c>
      <c r="CI32" s="3">
        <v>0</v>
      </c>
      <c r="CJ32" s="3">
        <v>0</v>
      </c>
      <c r="CK32" s="3">
        <v>7684435.7068994604</v>
      </c>
      <c r="CL32" s="7" t="s">
        <v>118</v>
      </c>
      <c r="CM32" s="2" t="s">
        <v>46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7" t="s">
        <v>118</v>
      </c>
      <c r="CT32" s="2" t="s">
        <v>46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7" t="s">
        <v>118</v>
      </c>
      <c r="DA32" s="2" t="s">
        <v>46</v>
      </c>
      <c r="DB32" s="3">
        <v>0</v>
      </c>
      <c r="DC32" s="3">
        <v>78274001.926770091</v>
      </c>
      <c r="DD32" s="3">
        <v>16814375010.126316</v>
      </c>
      <c r="DE32" s="3">
        <v>323848454664.8291</v>
      </c>
      <c r="DF32" s="3">
        <v>340741103676.8822</v>
      </c>
      <c r="DG32" s="7" t="s">
        <v>118</v>
      </c>
      <c r="DH32" s="2" t="s">
        <v>46</v>
      </c>
      <c r="DI32" s="3">
        <v>154589141.91881478</v>
      </c>
      <c r="DJ32" s="3">
        <v>0</v>
      </c>
      <c r="DK32" s="3">
        <v>0</v>
      </c>
      <c r="DL32" s="3">
        <v>0</v>
      </c>
      <c r="DM32" s="3">
        <v>154589141.91881478</v>
      </c>
      <c r="DN32" s="7" t="s">
        <v>118</v>
      </c>
      <c r="DO32" s="2" t="s">
        <v>46</v>
      </c>
      <c r="DP32" s="3">
        <v>2596273409.321279</v>
      </c>
      <c r="DQ32" s="3">
        <v>4530604015.1311455</v>
      </c>
      <c r="DR32" s="3">
        <v>0</v>
      </c>
      <c r="DS32" s="3">
        <v>0</v>
      </c>
      <c r="DT32" s="3">
        <v>7126877424.452425</v>
      </c>
      <c r="DU32" s="7" t="s">
        <v>118</v>
      </c>
      <c r="DV32" s="2" t="s">
        <v>46</v>
      </c>
      <c r="DW32" s="3">
        <v>707707985.40272725</v>
      </c>
      <c r="DX32" s="3">
        <v>1118200.0275252869</v>
      </c>
      <c r="DY32" s="3">
        <v>0</v>
      </c>
      <c r="DZ32" s="3">
        <v>0</v>
      </c>
      <c r="EA32" s="3">
        <v>708826185.43025255</v>
      </c>
      <c r="EB32" s="7" t="s">
        <v>118</v>
      </c>
      <c r="EC32" s="2" t="s">
        <v>46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</row>
    <row r="33" spans="1:138" ht="10.199999999999999" customHeight="1" x14ac:dyDescent="0.2">
      <c r="A33" s="7" t="s">
        <v>124</v>
      </c>
      <c r="B33" s="2" t="s">
        <v>52</v>
      </c>
      <c r="C33" s="3">
        <f t="shared" si="4"/>
        <v>0</v>
      </c>
      <c r="D33" s="3">
        <f t="shared" si="5"/>
        <v>275209882.46671623</v>
      </c>
      <c r="E33" s="3">
        <f t="shared" si="6"/>
        <v>0</v>
      </c>
      <c r="F33" s="3">
        <f t="shared" si="7"/>
        <v>7347006000.9895144</v>
      </c>
      <c r="G33" s="3">
        <f t="shared" si="8"/>
        <v>51067635397.51825</v>
      </c>
      <c r="H33" s="3">
        <f t="shared" si="9"/>
        <v>1597919571.4134233</v>
      </c>
      <c r="I33" s="3">
        <f t="shared" si="10"/>
        <v>500953.61233132851</v>
      </c>
      <c r="J33" s="3">
        <f t="shared" si="11"/>
        <v>13582403.001007151</v>
      </c>
      <c r="K33" s="3">
        <f t="shared" si="12"/>
        <v>0</v>
      </c>
      <c r="L33" s="3">
        <f t="shared" si="13"/>
        <v>17977042987.853008</v>
      </c>
      <c r="M33" s="3">
        <f t="shared" si="14"/>
        <v>15322986040.62199</v>
      </c>
      <c r="N33" s="3">
        <f t="shared" si="15"/>
        <v>1942903255.1711807</v>
      </c>
      <c r="O33" s="3">
        <f t="shared" si="16"/>
        <v>95544786492.64743</v>
      </c>
      <c r="P33" s="7" t="s">
        <v>124</v>
      </c>
      <c r="Q33" s="2" t="s">
        <v>52</v>
      </c>
      <c r="R33" s="3">
        <f t="shared" si="28"/>
        <v>0</v>
      </c>
      <c r="S33" s="3">
        <f t="shared" si="28"/>
        <v>275209882.46671623</v>
      </c>
      <c r="T33" s="3">
        <f t="shared" si="28"/>
        <v>0</v>
      </c>
      <c r="U33" s="3">
        <f t="shared" si="28"/>
        <v>7347006000.9895144</v>
      </c>
      <c r="V33" s="3">
        <f t="shared" si="28"/>
        <v>51067635397.51825</v>
      </c>
      <c r="W33" s="3">
        <f t="shared" si="27"/>
        <v>1597919571.4134233</v>
      </c>
      <c r="X33" s="3">
        <f t="shared" si="27"/>
        <v>500953.61233132851</v>
      </c>
      <c r="Y33" s="3">
        <f t="shared" si="27"/>
        <v>13582403.001007151</v>
      </c>
      <c r="Z33" s="3">
        <f t="shared" si="27"/>
        <v>0</v>
      </c>
      <c r="AA33" s="3">
        <f t="shared" si="27"/>
        <v>17977042987.853008</v>
      </c>
      <c r="AB33" s="3">
        <f t="shared" si="18"/>
        <v>78278897196.854248</v>
      </c>
      <c r="AC33" s="7" t="s">
        <v>124</v>
      </c>
      <c r="AD33" s="2" t="s">
        <v>52</v>
      </c>
      <c r="AE33" s="3">
        <f t="shared" si="19"/>
        <v>15322986040.62199</v>
      </c>
      <c r="AF33" s="3">
        <f t="shared" si="19"/>
        <v>1942903255.1711807</v>
      </c>
      <c r="AG33" s="3">
        <f t="shared" si="20"/>
        <v>17265889295.793171</v>
      </c>
      <c r="AH33" s="7" t="s">
        <v>124</v>
      </c>
      <c r="AI33" s="2" t="s">
        <v>52</v>
      </c>
      <c r="AJ33" s="3">
        <f t="shared" si="21"/>
        <v>43757376667.581345</v>
      </c>
      <c r="AK33" s="3">
        <f t="shared" si="21"/>
        <v>550970603.44527984</v>
      </c>
      <c r="AL33" s="3">
        <f t="shared" si="21"/>
        <v>9735879865.3583946</v>
      </c>
      <c r="AM33" s="3">
        <f t="shared" si="21"/>
        <v>41500559356.262405</v>
      </c>
      <c r="AN33" s="3">
        <f t="shared" si="22"/>
        <v>95544786492.64743</v>
      </c>
      <c r="AO33" s="7" t="s">
        <v>124</v>
      </c>
      <c r="AP33" s="2" t="s">
        <v>52</v>
      </c>
      <c r="AQ33" s="3">
        <f t="shared" si="23"/>
        <v>30542860863.288258</v>
      </c>
      <c r="AR33" s="3">
        <f t="shared" si="23"/>
        <v>46530318.167673744</v>
      </c>
      <c r="AS33" s="3">
        <f t="shared" si="23"/>
        <v>6188946659.1359158</v>
      </c>
      <c r="AT33" s="3">
        <f t="shared" si="23"/>
        <v>41500559356.262405</v>
      </c>
      <c r="AU33" s="3">
        <f t="shared" si="24"/>
        <v>78278897196.854248</v>
      </c>
      <c r="AV33" s="7" t="s">
        <v>124</v>
      </c>
      <c r="AW33" s="2" t="s">
        <v>52</v>
      </c>
      <c r="AX33" s="3">
        <f t="shared" si="25"/>
        <v>13214515804.293085</v>
      </c>
      <c r="AY33" s="3">
        <f t="shared" si="25"/>
        <v>504440285.27760613</v>
      </c>
      <c r="AZ33" s="3">
        <f t="shared" si="25"/>
        <v>3546933206.2224798</v>
      </c>
      <c r="BA33" s="3">
        <f t="shared" si="25"/>
        <v>0</v>
      </c>
      <c r="BB33" s="3">
        <f t="shared" si="26"/>
        <v>17265889295.793171</v>
      </c>
      <c r="BC33" s="7" t="s">
        <v>124</v>
      </c>
      <c r="BD33" s="2" t="s">
        <v>52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7" t="s">
        <v>124</v>
      </c>
      <c r="BK33" s="2" t="s">
        <v>52</v>
      </c>
      <c r="BL33" s="3">
        <v>271944738.38634241</v>
      </c>
      <c r="BM33" s="3">
        <v>0</v>
      </c>
      <c r="BN33" s="3">
        <v>3265144.0803738376</v>
      </c>
      <c r="BO33" s="3">
        <v>0</v>
      </c>
      <c r="BP33" s="3">
        <v>275209882.46671623</v>
      </c>
      <c r="BQ33" s="7" t="s">
        <v>124</v>
      </c>
      <c r="BR33" s="2" t="s">
        <v>52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7" t="s">
        <v>124</v>
      </c>
      <c r="BY33" s="2" t="s">
        <v>52</v>
      </c>
      <c r="BZ33" s="3">
        <v>7261161542.1789818</v>
      </c>
      <c r="CA33" s="3">
        <v>0</v>
      </c>
      <c r="CB33" s="3">
        <v>85844458.810532168</v>
      </c>
      <c r="CC33" s="3">
        <v>0</v>
      </c>
      <c r="CD33" s="3">
        <v>7347006000.9895144</v>
      </c>
      <c r="CE33" s="7" t="s">
        <v>124</v>
      </c>
      <c r="CF33" s="2" t="s">
        <v>52</v>
      </c>
      <c r="CG33" s="3">
        <v>9567076041.2558479</v>
      </c>
      <c r="CH33" s="3">
        <v>0</v>
      </c>
      <c r="CI33" s="3">
        <v>0</v>
      </c>
      <c r="CJ33" s="3">
        <v>41500559356.262405</v>
      </c>
      <c r="CK33" s="3">
        <v>51067635397.51825</v>
      </c>
      <c r="CL33" s="7" t="s">
        <v>124</v>
      </c>
      <c r="CM33" s="2" t="s">
        <v>52</v>
      </c>
      <c r="CN33" s="3">
        <v>0</v>
      </c>
      <c r="CO33" s="3">
        <v>0</v>
      </c>
      <c r="CP33" s="3">
        <v>1597919571.4134233</v>
      </c>
      <c r="CQ33" s="3">
        <v>0</v>
      </c>
      <c r="CR33" s="3">
        <v>1597919571.4134233</v>
      </c>
      <c r="CS33" s="7" t="s">
        <v>124</v>
      </c>
      <c r="CT33" s="2" t="s">
        <v>52</v>
      </c>
      <c r="CU33" s="3">
        <v>500953.61233132851</v>
      </c>
      <c r="CV33" s="3">
        <v>0</v>
      </c>
      <c r="CW33" s="3">
        <v>0</v>
      </c>
      <c r="CX33" s="3">
        <v>0</v>
      </c>
      <c r="CY33" s="3">
        <v>500953.61233132851</v>
      </c>
      <c r="CZ33" s="7" t="s">
        <v>124</v>
      </c>
      <c r="DA33" s="2" t="s">
        <v>52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7" t="s">
        <v>124</v>
      </c>
      <c r="DH33" s="2" t="s">
        <v>52</v>
      </c>
      <c r="DI33" s="3">
        <v>10004162.912926232</v>
      </c>
      <c r="DJ33" s="3">
        <v>3578240.088080918</v>
      </c>
      <c r="DK33" s="3">
        <v>0</v>
      </c>
      <c r="DL33" s="3">
        <v>0</v>
      </c>
      <c r="DM33" s="3">
        <v>13582403.001007151</v>
      </c>
      <c r="DN33" s="7" t="s">
        <v>124</v>
      </c>
      <c r="DO33" s="2" t="s">
        <v>52</v>
      </c>
      <c r="DP33" s="3">
        <v>13432173424.94183</v>
      </c>
      <c r="DQ33" s="3">
        <v>42952078.079592824</v>
      </c>
      <c r="DR33" s="3">
        <v>4501917484.8315859</v>
      </c>
      <c r="DS33" s="3">
        <v>0</v>
      </c>
      <c r="DT33" s="3">
        <v>17977042987.853008</v>
      </c>
      <c r="DU33" s="7" t="s">
        <v>124</v>
      </c>
      <c r="DV33" s="2" t="s">
        <v>52</v>
      </c>
      <c r="DW33" s="3">
        <v>207020765.53398058</v>
      </c>
      <c r="DX33" s="3">
        <v>0</v>
      </c>
      <c r="DY33" s="3">
        <v>1735882489.6372001</v>
      </c>
      <c r="DZ33" s="3">
        <v>0</v>
      </c>
      <c r="EA33" s="3">
        <v>1942903255.1711807</v>
      </c>
      <c r="EB33" s="7" t="s">
        <v>124</v>
      </c>
      <c r="EC33" s="2" t="s">
        <v>52</v>
      </c>
      <c r="ED33" s="3">
        <v>13007495038.759104</v>
      </c>
      <c r="EE33" s="3">
        <v>504440285.27760613</v>
      </c>
      <c r="EF33" s="3">
        <v>1811050716.5852797</v>
      </c>
      <c r="EG33" s="3">
        <v>0</v>
      </c>
      <c r="EH33" s="3">
        <v>15322986040.62199</v>
      </c>
    </row>
    <row r="34" spans="1:138" ht="10.199999999999999" customHeight="1" x14ac:dyDescent="0.2">
      <c r="A34" s="7" t="s">
        <v>123</v>
      </c>
      <c r="B34" s="2" t="s">
        <v>51</v>
      </c>
      <c r="C34" s="3">
        <f t="shared" si="4"/>
        <v>0</v>
      </c>
      <c r="D34" s="3">
        <f t="shared" si="5"/>
        <v>148753576.47428477</v>
      </c>
      <c r="E34" s="3">
        <f t="shared" si="6"/>
        <v>0</v>
      </c>
      <c r="F34" s="3">
        <f t="shared" si="7"/>
        <v>217454109.92195949</v>
      </c>
      <c r="G34" s="3">
        <f t="shared" si="8"/>
        <v>0</v>
      </c>
      <c r="H34" s="3">
        <f t="shared" si="9"/>
        <v>0</v>
      </c>
      <c r="I34" s="3">
        <f t="shared" si="10"/>
        <v>74195825.134059116</v>
      </c>
      <c r="J34" s="3">
        <f t="shared" si="11"/>
        <v>0</v>
      </c>
      <c r="K34" s="3">
        <f t="shared" si="12"/>
        <v>44883989.634520397</v>
      </c>
      <c r="L34" s="3">
        <f t="shared" si="13"/>
        <v>2590010727.3956108</v>
      </c>
      <c r="M34" s="3">
        <f t="shared" si="14"/>
        <v>9399169539.7196522</v>
      </c>
      <c r="N34" s="3">
        <f t="shared" si="15"/>
        <v>723950348.27700794</v>
      </c>
      <c r="O34" s="3">
        <f t="shared" si="16"/>
        <v>13198418116.557095</v>
      </c>
      <c r="P34" s="7" t="s">
        <v>123</v>
      </c>
      <c r="Q34" s="2" t="s">
        <v>51</v>
      </c>
      <c r="R34" s="3">
        <f t="shared" si="28"/>
        <v>0</v>
      </c>
      <c r="S34" s="3">
        <f t="shared" si="28"/>
        <v>148753576.47428477</v>
      </c>
      <c r="T34" s="3">
        <f t="shared" si="28"/>
        <v>0</v>
      </c>
      <c r="U34" s="3">
        <f t="shared" si="28"/>
        <v>217454109.92195949</v>
      </c>
      <c r="V34" s="3">
        <f t="shared" si="28"/>
        <v>0</v>
      </c>
      <c r="W34" s="3">
        <f t="shared" si="27"/>
        <v>0</v>
      </c>
      <c r="X34" s="3">
        <f t="shared" si="27"/>
        <v>74195825.134059116</v>
      </c>
      <c r="Y34" s="3">
        <f t="shared" si="27"/>
        <v>0</v>
      </c>
      <c r="Z34" s="3">
        <f t="shared" si="27"/>
        <v>44883989.634520397</v>
      </c>
      <c r="AA34" s="3">
        <f t="shared" si="27"/>
        <v>2590010727.3956108</v>
      </c>
      <c r="AB34" s="3">
        <f t="shared" si="18"/>
        <v>3075298228.5604348</v>
      </c>
      <c r="AC34" s="7" t="s">
        <v>123</v>
      </c>
      <c r="AD34" s="2" t="s">
        <v>51</v>
      </c>
      <c r="AE34" s="3">
        <f t="shared" si="19"/>
        <v>9399169539.7196522</v>
      </c>
      <c r="AF34" s="3">
        <f t="shared" si="19"/>
        <v>723950348.27700794</v>
      </c>
      <c r="AG34" s="3">
        <f t="shared" si="20"/>
        <v>10123119887.99666</v>
      </c>
      <c r="AH34" s="7" t="s">
        <v>123</v>
      </c>
      <c r="AI34" s="2" t="s">
        <v>51</v>
      </c>
      <c r="AJ34" s="3">
        <f t="shared" si="21"/>
        <v>6642738028.864502</v>
      </c>
      <c r="AK34" s="3">
        <f t="shared" si="21"/>
        <v>6543025790.7144318</v>
      </c>
      <c r="AL34" s="3">
        <f t="shared" si="21"/>
        <v>0</v>
      </c>
      <c r="AM34" s="3">
        <f t="shared" si="21"/>
        <v>12654296.978161164</v>
      </c>
      <c r="AN34" s="3">
        <f t="shared" si="22"/>
        <v>13198418116.557095</v>
      </c>
      <c r="AO34" s="7" t="s">
        <v>123</v>
      </c>
      <c r="AP34" s="2" t="s">
        <v>51</v>
      </c>
      <c r="AQ34" s="3">
        <f t="shared" si="23"/>
        <v>568451846.11081767</v>
      </c>
      <c r="AR34" s="3">
        <f t="shared" si="23"/>
        <v>2506846382.4496169</v>
      </c>
      <c r="AS34" s="3">
        <f t="shared" si="23"/>
        <v>0</v>
      </c>
      <c r="AT34" s="3">
        <f t="shared" si="23"/>
        <v>0</v>
      </c>
      <c r="AU34" s="3">
        <f t="shared" si="24"/>
        <v>3075298228.5604343</v>
      </c>
      <c r="AV34" s="7" t="s">
        <v>123</v>
      </c>
      <c r="AW34" s="2" t="s">
        <v>51</v>
      </c>
      <c r="AX34" s="3">
        <f t="shared" si="25"/>
        <v>6074286182.753684</v>
      </c>
      <c r="AY34" s="3">
        <f t="shared" si="25"/>
        <v>4036179408.2648153</v>
      </c>
      <c r="AZ34" s="3">
        <f t="shared" si="25"/>
        <v>0</v>
      </c>
      <c r="BA34" s="3">
        <f t="shared" si="25"/>
        <v>12654296.978161164</v>
      </c>
      <c r="BB34" s="3">
        <f t="shared" si="26"/>
        <v>10123119887.99666</v>
      </c>
      <c r="BC34" s="7" t="s">
        <v>123</v>
      </c>
      <c r="BD34" s="2" t="s">
        <v>51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7" t="s">
        <v>123</v>
      </c>
      <c r="BK34" s="2" t="s">
        <v>51</v>
      </c>
      <c r="BL34" s="3">
        <v>72985115.955264539</v>
      </c>
      <c r="BM34" s="3">
        <v>75768460.519020215</v>
      </c>
      <c r="BN34" s="3">
        <v>0</v>
      </c>
      <c r="BO34" s="3">
        <v>0</v>
      </c>
      <c r="BP34" s="3">
        <v>148753576.47428477</v>
      </c>
      <c r="BQ34" s="7" t="s">
        <v>123</v>
      </c>
      <c r="BR34" s="2" t="s">
        <v>51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7" t="s">
        <v>123</v>
      </c>
      <c r="BY34" s="2" t="s">
        <v>51</v>
      </c>
      <c r="BZ34" s="3">
        <v>4774900.4842042299</v>
      </c>
      <c r="CA34" s="3">
        <v>212679209.43775526</v>
      </c>
      <c r="CB34" s="3">
        <v>0</v>
      </c>
      <c r="CC34" s="3">
        <v>0</v>
      </c>
      <c r="CD34" s="3">
        <v>217454109.92195949</v>
      </c>
      <c r="CE34" s="7" t="s">
        <v>123</v>
      </c>
      <c r="CF34" s="2" t="s">
        <v>51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7" t="s">
        <v>123</v>
      </c>
      <c r="CM34" s="2" t="s">
        <v>51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7" t="s">
        <v>123</v>
      </c>
      <c r="CT34" s="2" t="s">
        <v>51</v>
      </c>
      <c r="CU34" s="3">
        <v>74195825.134059116</v>
      </c>
      <c r="CV34" s="3">
        <v>0</v>
      </c>
      <c r="CW34" s="3">
        <v>0</v>
      </c>
      <c r="CX34" s="3">
        <v>0</v>
      </c>
      <c r="CY34" s="3">
        <v>74195825.134059116</v>
      </c>
      <c r="CZ34" s="7" t="s">
        <v>123</v>
      </c>
      <c r="DA34" s="2" t="s">
        <v>51</v>
      </c>
      <c r="DB34" s="3">
        <v>44883989.634520397</v>
      </c>
      <c r="DC34" s="3">
        <v>0</v>
      </c>
      <c r="DD34" s="3">
        <v>0</v>
      </c>
      <c r="DE34" s="3">
        <v>0</v>
      </c>
      <c r="DF34" s="3">
        <v>44883989.634520397</v>
      </c>
      <c r="DG34" s="7" t="s">
        <v>123</v>
      </c>
      <c r="DH34" s="2" t="s">
        <v>51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7" t="s">
        <v>123</v>
      </c>
      <c r="DO34" s="2" t="s">
        <v>51</v>
      </c>
      <c r="DP34" s="3">
        <v>371612014.90276945</v>
      </c>
      <c r="DQ34" s="3">
        <v>2218398712.4928412</v>
      </c>
      <c r="DR34" s="3">
        <v>0</v>
      </c>
      <c r="DS34" s="3">
        <v>0</v>
      </c>
      <c r="DT34" s="3">
        <v>2590010727.3956108</v>
      </c>
      <c r="DU34" s="7" t="s">
        <v>123</v>
      </c>
      <c r="DV34" s="2" t="s">
        <v>51</v>
      </c>
      <c r="DW34" s="3">
        <v>0</v>
      </c>
      <c r="DX34" s="3">
        <v>723950348.27700794</v>
      </c>
      <c r="DY34" s="3">
        <v>0</v>
      </c>
      <c r="DZ34" s="3">
        <v>0</v>
      </c>
      <c r="EA34" s="3">
        <v>723950348.27700794</v>
      </c>
      <c r="EB34" s="7" t="s">
        <v>123</v>
      </c>
      <c r="EC34" s="2" t="s">
        <v>51</v>
      </c>
      <c r="ED34" s="3">
        <v>6074286182.753684</v>
      </c>
      <c r="EE34" s="3">
        <v>3312229059.9878073</v>
      </c>
      <c r="EF34" s="3">
        <v>0</v>
      </c>
      <c r="EG34" s="3">
        <v>12654296.978161164</v>
      </c>
      <c r="EH34" s="3">
        <v>9399169539.7196522</v>
      </c>
    </row>
    <row r="35" spans="1:138" ht="10.199999999999999" customHeight="1" x14ac:dyDescent="0.2">
      <c r="A35" s="7" t="s">
        <v>126</v>
      </c>
      <c r="B35" s="2" t="s">
        <v>54</v>
      </c>
      <c r="C35" s="3">
        <f t="shared" si="4"/>
        <v>0</v>
      </c>
      <c r="D35" s="3">
        <f t="shared" si="5"/>
        <v>0</v>
      </c>
      <c r="E35" s="3">
        <f t="shared" si="6"/>
        <v>0</v>
      </c>
      <c r="F35" s="3">
        <f t="shared" si="7"/>
        <v>205814118.86733148</v>
      </c>
      <c r="G35" s="3">
        <f t="shared" si="8"/>
        <v>0</v>
      </c>
      <c r="H35" s="3">
        <f t="shared" si="9"/>
        <v>0</v>
      </c>
      <c r="I35" s="3">
        <f t="shared" si="10"/>
        <v>9210547.2831726652</v>
      </c>
      <c r="J35" s="3">
        <f t="shared" si="11"/>
        <v>0</v>
      </c>
      <c r="K35" s="3">
        <f t="shared" si="12"/>
        <v>0</v>
      </c>
      <c r="L35" s="3">
        <f t="shared" si="13"/>
        <v>82375906.516886353</v>
      </c>
      <c r="M35" s="3">
        <f t="shared" si="14"/>
        <v>0</v>
      </c>
      <c r="N35" s="3">
        <f t="shared" si="15"/>
        <v>0</v>
      </c>
      <c r="O35" s="3">
        <f t="shared" si="16"/>
        <v>297400572.66739047</v>
      </c>
      <c r="P35" s="7" t="s">
        <v>126</v>
      </c>
      <c r="Q35" s="2" t="s">
        <v>54</v>
      </c>
      <c r="R35" s="3">
        <f t="shared" si="28"/>
        <v>0</v>
      </c>
      <c r="S35" s="3">
        <f t="shared" si="28"/>
        <v>0</v>
      </c>
      <c r="T35" s="3">
        <f t="shared" si="28"/>
        <v>0</v>
      </c>
      <c r="U35" s="3">
        <f t="shared" si="28"/>
        <v>205814118.86733148</v>
      </c>
      <c r="V35" s="3">
        <f t="shared" si="28"/>
        <v>0</v>
      </c>
      <c r="W35" s="3">
        <f t="shared" si="27"/>
        <v>0</v>
      </c>
      <c r="X35" s="3">
        <f t="shared" si="27"/>
        <v>9210547.2831726652</v>
      </c>
      <c r="Y35" s="3">
        <f t="shared" si="27"/>
        <v>0</v>
      </c>
      <c r="Z35" s="3">
        <f t="shared" si="27"/>
        <v>0</v>
      </c>
      <c r="AA35" s="3">
        <f t="shared" si="27"/>
        <v>82375906.516886353</v>
      </c>
      <c r="AB35" s="3">
        <f t="shared" si="18"/>
        <v>297400572.66739047</v>
      </c>
      <c r="AC35" s="7" t="s">
        <v>126</v>
      </c>
      <c r="AD35" s="2" t="s">
        <v>54</v>
      </c>
      <c r="AE35" s="3">
        <f t="shared" si="19"/>
        <v>0</v>
      </c>
      <c r="AF35" s="3">
        <f t="shared" si="19"/>
        <v>0</v>
      </c>
      <c r="AG35" s="3">
        <f t="shared" si="20"/>
        <v>0</v>
      </c>
      <c r="AH35" s="7" t="s">
        <v>126</v>
      </c>
      <c r="AI35" s="2" t="s">
        <v>54</v>
      </c>
      <c r="AJ35" s="3">
        <f t="shared" si="21"/>
        <v>288542258.39288831</v>
      </c>
      <c r="AK35" s="3">
        <f t="shared" si="21"/>
        <v>8858314.2745021991</v>
      </c>
      <c r="AL35" s="3">
        <f t="shared" si="21"/>
        <v>0</v>
      </c>
      <c r="AM35" s="3">
        <f t="shared" si="21"/>
        <v>0</v>
      </c>
      <c r="AN35" s="3">
        <f t="shared" si="22"/>
        <v>297400572.66739053</v>
      </c>
      <c r="AO35" s="7" t="s">
        <v>126</v>
      </c>
      <c r="AP35" s="2" t="s">
        <v>54</v>
      </c>
      <c r="AQ35" s="3">
        <f t="shared" si="23"/>
        <v>288542258.39288831</v>
      </c>
      <c r="AR35" s="3">
        <f t="shared" si="23"/>
        <v>8858314.2745021991</v>
      </c>
      <c r="AS35" s="3">
        <f t="shared" si="23"/>
        <v>0</v>
      </c>
      <c r="AT35" s="3">
        <f t="shared" si="23"/>
        <v>0</v>
      </c>
      <c r="AU35" s="3">
        <f t="shared" si="24"/>
        <v>297400572.66739053</v>
      </c>
      <c r="AV35" s="7" t="s">
        <v>126</v>
      </c>
      <c r="AW35" s="2" t="s">
        <v>54</v>
      </c>
      <c r="AX35" s="3">
        <f t="shared" si="25"/>
        <v>0</v>
      </c>
      <c r="AY35" s="3">
        <f t="shared" si="25"/>
        <v>0</v>
      </c>
      <c r="AZ35" s="3">
        <f t="shared" si="25"/>
        <v>0</v>
      </c>
      <c r="BA35" s="3">
        <f t="shared" si="25"/>
        <v>0</v>
      </c>
      <c r="BB35" s="3">
        <f t="shared" si="26"/>
        <v>0</v>
      </c>
      <c r="BC35" s="7" t="s">
        <v>126</v>
      </c>
      <c r="BD35" s="2" t="s">
        <v>54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7" t="s">
        <v>126</v>
      </c>
      <c r="BK35" s="2" t="s">
        <v>54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7" t="s">
        <v>126</v>
      </c>
      <c r="BR35" s="2" t="s">
        <v>54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7" t="s">
        <v>126</v>
      </c>
      <c r="BY35" s="2" t="s">
        <v>54</v>
      </c>
      <c r="BZ35" s="3">
        <v>205814118.86733148</v>
      </c>
      <c r="CA35" s="3">
        <v>0</v>
      </c>
      <c r="CB35" s="3">
        <v>0</v>
      </c>
      <c r="CC35" s="3">
        <v>0</v>
      </c>
      <c r="CD35" s="3">
        <v>205814118.86733148</v>
      </c>
      <c r="CE35" s="7" t="s">
        <v>126</v>
      </c>
      <c r="CF35" s="2" t="s">
        <v>54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7" t="s">
        <v>126</v>
      </c>
      <c r="CM35" s="2" t="s">
        <v>54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7" t="s">
        <v>126</v>
      </c>
      <c r="CT35" s="2" t="s">
        <v>54</v>
      </c>
      <c r="CU35" s="3">
        <v>352233.00867046538</v>
      </c>
      <c r="CV35" s="3">
        <v>8858314.2745021991</v>
      </c>
      <c r="CW35" s="3">
        <v>0</v>
      </c>
      <c r="CX35" s="3">
        <v>0</v>
      </c>
      <c r="CY35" s="3">
        <v>9210547.2831726652</v>
      </c>
      <c r="CZ35" s="7" t="s">
        <v>126</v>
      </c>
      <c r="DA35" s="2" t="s">
        <v>54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7" t="s">
        <v>126</v>
      </c>
      <c r="DH35" s="2" t="s">
        <v>54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7" t="s">
        <v>126</v>
      </c>
      <c r="DO35" s="2" t="s">
        <v>54</v>
      </c>
      <c r="DP35" s="3">
        <v>82375906.516886353</v>
      </c>
      <c r="DQ35" s="3">
        <v>0</v>
      </c>
      <c r="DR35" s="3">
        <v>0</v>
      </c>
      <c r="DS35" s="3">
        <v>0</v>
      </c>
      <c r="DT35" s="3">
        <v>82375906.516886353</v>
      </c>
      <c r="DU35" s="7" t="s">
        <v>126</v>
      </c>
      <c r="DV35" s="2" t="s">
        <v>54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7" t="s">
        <v>126</v>
      </c>
      <c r="EC35" s="2" t="s">
        <v>54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</row>
    <row r="36" spans="1:138" ht="10.199999999999999" customHeight="1" x14ac:dyDescent="0.2">
      <c r="A36" s="7" t="s">
        <v>129</v>
      </c>
      <c r="B36" s="2" t="s">
        <v>57</v>
      </c>
      <c r="C36" s="3">
        <f t="shared" si="4"/>
        <v>251061359.35479829</v>
      </c>
      <c r="D36" s="3">
        <f t="shared" si="5"/>
        <v>1034206020739.0533</v>
      </c>
      <c r="E36" s="3">
        <f t="shared" si="6"/>
        <v>439937985252.17883</v>
      </c>
      <c r="F36" s="3">
        <f t="shared" si="7"/>
        <v>1953493319.7270503</v>
      </c>
      <c r="G36" s="3">
        <f t="shared" si="8"/>
        <v>11330821621.519522</v>
      </c>
      <c r="H36" s="3">
        <f t="shared" si="9"/>
        <v>0</v>
      </c>
      <c r="I36" s="3">
        <f t="shared" si="10"/>
        <v>1003207467.8650267</v>
      </c>
      <c r="J36" s="3">
        <f t="shared" si="11"/>
        <v>22168255.101222035</v>
      </c>
      <c r="K36" s="3">
        <f t="shared" si="12"/>
        <v>35391503561.111969</v>
      </c>
      <c r="L36" s="3">
        <f t="shared" si="13"/>
        <v>1873385871.6578243</v>
      </c>
      <c r="M36" s="3">
        <f t="shared" si="14"/>
        <v>220034908136.18866</v>
      </c>
      <c r="N36" s="3">
        <f t="shared" si="15"/>
        <v>146893875828.77017</v>
      </c>
      <c r="O36" s="3">
        <f t="shared" si="16"/>
        <v>1892898431412.5286</v>
      </c>
      <c r="P36" s="7" t="s">
        <v>129</v>
      </c>
      <c r="Q36" s="2" t="s">
        <v>57</v>
      </c>
      <c r="R36" s="3">
        <f t="shared" si="28"/>
        <v>251061359.35479829</v>
      </c>
      <c r="S36" s="3">
        <f t="shared" si="28"/>
        <v>1034206020739.0533</v>
      </c>
      <c r="T36" s="3">
        <f t="shared" si="28"/>
        <v>439937985252.17883</v>
      </c>
      <c r="U36" s="3">
        <f t="shared" si="28"/>
        <v>1953493319.7270503</v>
      </c>
      <c r="V36" s="3">
        <f t="shared" si="28"/>
        <v>11330821621.519522</v>
      </c>
      <c r="W36" s="3">
        <f t="shared" si="27"/>
        <v>0</v>
      </c>
      <c r="X36" s="3">
        <f t="shared" si="27"/>
        <v>1003207467.8650267</v>
      </c>
      <c r="Y36" s="3">
        <f t="shared" si="27"/>
        <v>22168255.101222035</v>
      </c>
      <c r="Z36" s="3">
        <f t="shared" si="27"/>
        <v>35391503561.111969</v>
      </c>
      <c r="AA36" s="3">
        <f t="shared" si="27"/>
        <v>1873385871.6578243</v>
      </c>
      <c r="AB36" s="3">
        <f t="shared" si="18"/>
        <v>1525969647447.5696</v>
      </c>
      <c r="AC36" s="7" t="s">
        <v>129</v>
      </c>
      <c r="AD36" s="2" t="s">
        <v>57</v>
      </c>
      <c r="AE36" s="3">
        <f t="shared" si="19"/>
        <v>220034908136.18866</v>
      </c>
      <c r="AF36" s="3">
        <f t="shared" si="19"/>
        <v>146893875828.77017</v>
      </c>
      <c r="AG36" s="3">
        <f t="shared" si="20"/>
        <v>366928783964.95886</v>
      </c>
      <c r="AH36" s="7" t="s">
        <v>129</v>
      </c>
      <c r="AI36" s="2" t="s">
        <v>57</v>
      </c>
      <c r="AJ36" s="3">
        <f t="shared" si="21"/>
        <v>342291726762.52673</v>
      </c>
      <c r="AK36" s="3">
        <f t="shared" si="21"/>
        <v>27827817778.157452</v>
      </c>
      <c r="AL36" s="3">
        <f t="shared" si="21"/>
        <v>32460528373.009014</v>
      </c>
      <c r="AM36" s="3">
        <f t="shared" si="21"/>
        <v>1490318358498.8352</v>
      </c>
      <c r="AN36" s="3">
        <f t="shared" si="22"/>
        <v>1892898431412.5283</v>
      </c>
      <c r="AO36" s="7" t="s">
        <v>129</v>
      </c>
      <c r="AP36" s="2" t="s">
        <v>57</v>
      </c>
      <c r="AQ36" s="3">
        <f t="shared" si="23"/>
        <v>33683062319.990746</v>
      </c>
      <c r="AR36" s="3">
        <f t="shared" si="23"/>
        <v>14856033392.18708</v>
      </c>
      <c r="AS36" s="3">
        <f t="shared" si="23"/>
        <v>2156733834.9796338</v>
      </c>
      <c r="AT36" s="3">
        <f t="shared" si="23"/>
        <v>1475273817900.4121</v>
      </c>
      <c r="AU36" s="3">
        <f t="shared" si="24"/>
        <v>1525969647447.5696</v>
      </c>
      <c r="AV36" s="7" t="s">
        <v>129</v>
      </c>
      <c r="AW36" s="2" t="s">
        <v>57</v>
      </c>
      <c r="AX36" s="3">
        <f t="shared" si="25"/>
        <v>308608664442.53601</v>
      </c>
      <c r="AY36" s="3">
        <f t="shared" si="25"/>
        <v>12971784385.970371</v>
      </c>
      <c r="AZ36" s="3">
        <f t="shared" si="25"/>
        <v>30303794538.029381</v>
      </c>
      <c r="BA36" s="3">
        <f t="shared" si="25"/>
        <v>15044540598.423094</v>
      </c>
      <c r="BB36" s="3">
        <f t="shared" si="26"/>
        <v>366928783964.95886</v>
      </c>
      <c r="BC36" s="7" t="s">
        <v>129</v>
      </c>
      <c r="BD36" s="2" t="s">
        <v>57</v>
      </c>
      <c r="BE36" s="3">
        <v>196583806.99051473</v>
      </c>
      <c r="BF36" s="3">
        <v>54477552.364283562</v>
      </c>
      <c r="BG36" s="3">
        <v>0</v>
      </c>
      <c r="BH36" s="3">
        <v>0</v>
      </c>
      <c r="BI36" s="3">
        <v>251061359.35479829</v>
      </c>
      <c r="BJ36" s="7" t="s">
        <v>129</v>
      </c>
      <c r="BK36" s="2" t="s">
        <v>57</v>
      </c>
      <c r="BL36" s="3">
        <v>255874994.44628099</v>
      </c>
      <c r="BM36" s="3">
        <v>0</v>
      </c>
      <c r="BN36" s="3">
        <v>46327949.494132243</v>
      </c>
      <c r="BO36" s="3">
        <v>1033903817795.1129</v>
      </c>
      <c r="BP36" s="3">
        <v>1034206020739.0533</v>
      </c>
      <c r="BQ36" s="7" t="s">
        <v>129</v>
      </c>
      <c r="BR36" s="2" t="s">
        <v>57</v>
      </c>
      <c r="BS36" s="3">
        <v>0</v>
      </c>
      <c r="BT36" s="3">
        <v>497891200.44040459</v>
      </c>
      <c r="BU36" s="3">
        <v>1052877146.4109555</v>
      </c>
      <c r="BV36" s="3">
        <v>438387216905.32745</v>
      </c>
      <c r="BW36" s="3">
        <v>439937985252.17883</v>
      </c>
      <c r="BX36" s="7" t="s">
        <v>129</v>
      </c>
      <c r="BY36" s="2" t="s">
        <v>57</v>
      </c>
      <c r="BZ36" s="3">
        <v>946228738.69088495</v>
      </c>
      <c r="CA36" s="3">
        <v>575251.04570883245</v>
      </c>
      <c r="CB36" s="3">
        <v>1006689329.9904567</v>
      </c>
      <c r="CC36" s="3">
        <v>0</v>
      </c>
      <c r="CD36" s="3">
        <v>1953493319.7270503</v>
      </c>
      <c r="CE36" s="7" t="s">
        <v>129</v>
      </c>
      <c r="CF36" s="2" t="s">
        <v>57</v>
      </c>
      <c r="CG36" s="3">
        <v>4369481206.0128984</v>
      </c>
      <c r="CH36" s="3">
        <v>6958029526.1546545</v>
      </c>
      <c r="CI36" s="3">
        <v>3310889.351968613</v>
      </c>
      <c r="CJ36" s="3">
        <v>0</v>
      </c>
      <c r="CK36" s="3">
        <v>11330821621.519522</v>
      </c>
      <c r="CL36" s="7" t="s">
        <v>129</v>
      </c>
      <c r="CM36" s="2" t="s">
        <v>57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7" t="s">
        <v>129</v>
      </c>
      <c r="CT36" s="2" t="s">
        <v>57</v>
      </c>
      <c r="CU36" s="3">
        <v>985401317.44090974</v>
      </c>
      <c r="CV36" s="3">
        <v>17806150.424116917</v>
      </c>
      <c r="CW36" s="3">
        <v>0</v>
      </c>
      <c r="CX36" s="3">
        <v>0</v>
      </c>
      <c r="CY36" s="3">
        <v>1003207467.8650267</v>
      </c>
      <c r="CZ36" s="7" t="s">
        <v>129</v>
      </c>
      <c r="DA36" s="2" t="s">
        <v>57</v>
      </c>
      <c r="DB36" s="3">
        <v>25280887011.894726</v>
      </c>
      <c r="DC36" s="3">
        <v>7127833349.2455187</v>
      </c>
      <c r="DD36" s="3">
        <v>0</v>
      </c>
      <c r="DE36" s="3">
        <v>2982783199.9717236</v>
      </c>
      <c r="DF36" s="3">
        <v>35391503561.111969</v>
      </c>
      <c r="DG36" s="7" t="s">
        <v>129</v>
      </c>
      <c r="DH36" s="2" t="s">
        <v>57</v>
      </c>
      <c r="DI36" s="3">
        <v>9118578.6013457458</v>
      </c>
      <c r="DJ36" s="3">
        <v>6657998.214222597</v>
      </c>
      <c r="DK36" s="3">
        <v>6391678.2856536927</v>
      </c>
      <c r="DL36" s="3">
        <v>0</v>
      </c>
      <c r="DM36" s="3">
        <v>22168255.101222035</v>
      </c>
      <c r="DN36" s="7" t="s">
        <v>129</v>
      </c>
      <c r="DO36" s="2" t="s">
        <v>57</v>
      </c>
      <c r="DP36" s="3">
        <v>1639486665.9131844</v>
      </c>
      <c r="DQ36" s="3">
        <v>192762364.29817262</v>
      </c>
      <c r="DR36" s="3">
        <v>41136841.446467176</v>
      </c>
      <c r="DS36" s="3">
        <v>0</v>
      </c>
      <c r="DT36" s="3">
        <v>1873385871.6578243</v>
      </c>
      <c r="DU36" s="7" t="s">
        <v>129</v>
      </c>
      <c r="DV36" s="2" t="s">
        <v>57</v>
      </c>
      <c r="DW36" s="3">
        <v>88930811434.579651</v>
      </c>
      <c r="DX36" s="3">
        <v>12614729257.738041</v>
      </c>
      <c r="DY36" s="3">
        <v>30303794538.029381</v>
      </c>
      <c r="DZ36" s="3">
        <v>15044540598.423094</v>
      </c>
      <c r="EA36" s="3">
        <v>146893875828.77017</v>
      </c>
      <c r="EB36" s="7" t="s">
        <v>129</v>
      </c>
      <c r="EC36" s="2" t="s">
        <v>57</v>
      </c>
      <c r="ED36" s="3">
        <v>219677853007.95633</v>
      </c>
      <c r="EE36" s="3">
        <v>357055128.23232949</v>
      </c>
      <c r="EF36" s="3">
        <v>0</v>
      </c>
      <c r="EG36" s="3">
        <v>0</v>
      </c>
      <c r="EH36" s="3">
        <v>220034908136.18866</v>
      </c>
    </row>
    <row r="37" spans="1:138" ht="10.199999999999999" customHeight="1" x14ac:dyDescent="0.2">
      <c r="A37" s="7" t="s">
        <v>128</v>
      </c>
      <c r="B37" s="2" t="s">
        <v>56</v>
      </c>
      <c r="C37" s="3">
        <f t="shared" si="4"/>
        <v>86343846.879032582</v>
      </c>
      <c r="D37" s="3">
        <f t="shared" si="5"/>
        <v>225227104.99080914</v>
      </c>
      <c r="E37" s="3">
        <f t="shared" si="6"/>
        <v>21655801.010998853</v>
      </c>
      <c r="F37" s="3">
        <f t="shared" si="7"/>
        <v>11077376697.970018</v>
      </c>
      <c r="G37" s="3">
        <f t="shared" si="8"/>
        <v>1603180.2119777475</v>
      </c>
      <c r="H37" s="3">
        <f t="shared" si="9"/>
        <v>83091945547.063736</v>
      </c>
      <c r="I37" s="3">
        <f t="shared" si="10"/>
        <v>217622241705.58966</v>
      </c>
      <c r="J37" s="3">
        <f t="shared" si="11"/>
        <v>38644414.693435855</v>
      </c>
      <c r="K37" s="3">
        <f t="shared" si="12"/>
        <v>88466265246.819626</v>
      </c>
      <c r="L37" s="3">
        <f t="shared" si="13"/>
        <v>76164971558.637741</v>
      </c>
      <c r="M37" s="3">
        <f t="shared" si="14"/>
        <v>54941862914.401688</v>
      </c>
      <c r="N37" s="3">
        <f t="shared" si="15"/>
        <v>566311847071.28467</v>
      </c>
      <c r="O37" s="3">
        <f t="shared" si="16"/>
        <v>1098049985089.5535</v>
      </c>
      <c r="P37" s="7" t="s">
        <v>128</v>
      </c>
      <c r="Q37" s="2" t="s">
        <v>56</v>
      </c>
      <c r="R37" s="3">
        <f t="shared" si="28"/>
        <v>86343846.879032582</v>
      </c>
      <c r="S37" s="3">
        <f t="shared" si="28"/>
        <v>225227104.99080914</v>
      </c>
      <c r="T37" s="3">
        <f t="shared" si="28"/>
        <v>21655801.010998853</v>
      </c>
      <c r="U37" s="3">
        <f t="shared" si="28"/>
        <v>11077376697.970018</v>
      </c>
      <c r="V37" s="3">
        <f t="shared" si="28"/>
        <v>1603180.2119777475</v>
      </c>
      <c r="W37" s="3">
        <f t="shared" si="27"/>
        <v>83091945547.063736</v>
      </c>
      <c r="X37" s="3">
        <f t="shared" si="27"/>
        <v>217622241705.58966</v>
      </c>
      <c r="Y37" s="3">
        <f t="shared" si="27"/>
        <v>38644414.693435855</v>
      </c>
      <c r="Z37" s="3">
        <f t="shared" si="27"/>
        <v>88466265246.819626</v>
      </c>
      <c r="AA37" s="3">
        <f t="shared" si="27"/>
        <v>76164971558.637741</v>
      </c>
      <c r="AB37" s="3">
        <f t="shared" si="18"/>
        <v>476796275103.86707</v>
      </c>
      <c r="AC37" s="7" t="s">
        <v>128</v>
      </c>
      <c r="AD37" s="2" t="s">
        <v>56</v>
      </c>
      <c r="AE37" s="3">
        <f t="shared" si="19"/>
        <v>54941862914.401688</v>
      </c>
      <c r="AF37" s="3">
        <f t="shared" si="19"/>
        <v>566311847071.28467</v>
      </c>
      <c r="AG37" s="3">
        <f t="shared" si="20"/>
        <v>621253709985.6864</v>
      </c>
      <c r="AH37" s="7" t="s">
        <v>128</v>
      </c>
      <c r="AI37" s="2" t="s">
        <v>56</v>
      </c>
      <c r="AJ37" s="3">
        <f t="shared" si="21"/>
        <v>34509312298.444298</v>
      </c>
      <c r="AK37" s="3">
        <f t="shared" si="21"/>
        <v>185229100137.15927</v>
      </c>
      <c r="AL37" s="3">
        <f t="shared" si="21"/>
        <v>795219627106.88599</v>
      </c>
      <c r="AM37" s="3">
        <f t="shared" si="21"/>
        <v>83091945547.063736</v>
      </c>
      <c r="AN37" s="3">
        <f t="shared" si="22"/>
        <v>1098049985089.5532</v>
      </c>
      <c r="AO37" s="7" t="s">
        <v>128</v>
      </c>
      <c r="AP37" s="2" t="s">
        <v>56</v>
      </c>
      <c r="AQ37" s="3">
        <f t="shared" si="23"/>
        <v>11913950841.672863</v>
      </c>
      <c r="AR37" s="3">
        <f t="shared" si="23"/>
        <v>144794046514.10339</v>
      </c>
      <c r="AS37" s="3">
        <f t="shared" si="23"/>
        <v>236996332201.02704</v>
      </c>
      <c r="AT37" s="3">
        <f t="shared" si="23"/>
        <v>83091945547.063736</v>
      </c>
      <c r="AU37" s="3">
        <f t="shared" si="24"/>
        <v>476796275103.867</v>
      </c>
      <c r="AV37" s="7" t="s">
        <v>128</v>
      </c>
      <c r="AW37" s="2" t="s">
        <v>56</v>
      </c>
      <c r="AX37" s="3">
        <f t="shared" si="25"/>
        <v>22595361456.771435</v>
      </c>
      <c r="AY37" s="3">
        <f t="shared" si="25"/>
        <v>40435053623.055885</v>
      </c>
      <c r="AZ37" s="3">
        <f t="shared" si="25"/>
        <v>558223294905.85901</v>
      </c>
      <c r="BA37" s="3">
        <f t="shared" si="25"/>
        <v>0</v>
      </c>
      <c r="BB37" s="3">
        <f t="shared" si="26"/>
        <v>621253709985.68628</v>
      </c>
      <c r="BC37" s="7" t="s">
        <v>128</v>
      </c>
      <c r="BD37" s="2" t="s">
        <v>56</v>
      </c>
      <c r="BE37" s="3">
        <v>86343846.879032582</v>
      </c>
      <c r="BF37" s="3">
        <v>0</v>
      </c>
      <c r="BG37" s="3">
        <v>0</v>
      </c>
      <c r="BH37" s="3">
        <v>0</v>
      </c>
      <c r="BI37" s="3">
        <v>86343846.879032582</v>
      </c>
      <c r="BJ37" s="7" t="s">
        <v>128</v>
      </c>
      <c r="BK37" s="2" t="s">
        <v>56</v>
      </c>
      <c r="BL37" s="3">
        <v>225227104.99080914</v>
      </c>
      <c r="BM37" s="3">
        <v>0</v>
      </c>
      <c r="BN37" s="3">
        <v>0</v>
      </c>
      <c r="BO37" s="3">
        <v>0</v>
      </c>
      <c r="BP37" s="3">
        <v>225227104.99080914</v>
      </c>
      <c r="BQ37" s="7" t="s">
        <v>128</v>
      </c>
      <c r="BR37" s="2" t="s">
        <v>56</v>
      </c>
      <c r="BS37" s="3">
        <v>21655801.010998853</v>
      </c>
      <c r="BT37" s="3">
        <v>0</v>
      </c>
      <c r="BU37" s="3">
        <v>0</v>
      </c>
      <c r="BV37" s="3">
        <v>0</v>
      </c>
      <c r="BW37" s="3">
        <v>21655801.010998853</v>
      </c>
      <c r="BX37" s="7" t="s">
        <v>128</v>
      </c>
      <c r="BY37" s="2" t="s">
        <v>56</v>
      </c>
      <c r="BZ37" s="3">
        <v>248681547.01777506</v>
      </c>
      <c r="CA37" s="3">
        <v>10768312349.465878</v>
      </c>
      <c r="CB37" s="3">
        <v>60382801.48636549</v>
      </c>
      <c r="CC37" s="3">
        <v>0</v>
      </c>
      <c r="CD37" s="3">
        <v>11077376697.970018</v>
      </c>
      <c r="CE37" s="7" t="s">
        <v>128</v>
      </c>
      <c r="CF37" s="2" t="s">
        <v>56</v>
      </c>
      <c r="CG37" s="3">
        <v>1603180.2119777475</v>
      </c>
      <c r="CH37" s="3">
        <v>0</v>
      </c>
      <c r="CI37" s="3">
        <v>0</v>
      </c>
      <c r="CJ37" s="3">
        <v>0</v>
      </c>
      <c r="CK37" s="3">
        <v>1603180.2119777475</v>
      </c>
      <c r="CL37" s="7" t="s">
        <v>128</v>
      </c>
      <c r="CM37" s="2" t="s">
        <v>56</v>
      </c>
      <c r="CN37" s="3">
        <v>0</v>
      </c>
      <c r="CO37" s="3">
        <v>0</v>
      </c>
      <c r="CP37" s="3">
        <v>0</v>
      </c>
      <c r="CQ37" s="3">
        <v>83091945547.063736</v>
      </c>
      <c r="CR37" s="3">
        <v>83091945547.063736</v>
      </c>
      <c r="CS37" s="7" t="s">
        <v>128</v>
      </c>
      <c r="CT37" s="2" t="s">
        <v>56</v>
      </c>
      <c r="CU37" s="3">
        <v>3131491178.4577236</v>
      </c>
      <c r="CV37" s="3">
        <v>11185177013.966722</v>
      </c>
      <c r="CW37" s="3">
        <v>203305573513.16522</v>
      </c>
      <c r="CX37" s="3">
        <v>0</v>
      </c>
      <c r="CY37" s="3">
        <v>217622241705.58966</v>
      </c>
      <c r="CZ37" s="7" t="s">
        <v>128</v>
      </c>
      <c r="DA37" s="2" t="s">
        <v>56</v>
      </c>
      <c r="DB37" s="3">
        <v>3556650098.3339758</v>
      </c>
      <c r="DC37" s="3">
        <v>51279239262.110191</v>
      </c>
      <c r="DD37" s="3">
        <v>33630375886.375454</v>
      </c>
      <c r="DE37" s="3">
        <v>0</v>
      </c>
      <c r="DF37" s="3">
        <v>88466265246.819626</v>
      </c>
      <c r="DG37" s="7" t="s">
        <v>128</v>
      </c>
      <c r="DH37" s="2" t="s">
        <v>56</v>
      </c>
      <c r="DI37" s="3">
        <v>38644414.693435855</v>
      </c>
      <c r="DJ37" s="3">
        <v>0</v>
      </c>
      <c r="DK37" s="3">
        <v>0</v>
      </c>
      <c r="DL37" s="3">
        <v>0</v>
      </c>
      <c r="DM37" s="3">
        <v>38644414.693435855</v>
      </c>
      <c r="DN37" s="7" t="s">
        <v>128</v>
      </c>
      <c r="DO37" s="2" t="s">
        <v>56</v>
      </c>
      <c r="DP37" s="3">
        <v>4603653670.077136</v>
      </c>
      <c r="DQ37" s="3">
        <v>71561317888.560608</v>
      </c>
      <c r="DR37" s="3">
        <v>0</v>
      </c>
      <c r="DS37" s="3">
        <v>0</v>
      </c>
      <c r="DT37" s="3">
        <v>76164971558.637741</v>
      </c>
      <c r="DU37" s="7" t="s">
        <v>128</v>
      </c>
      <c r="DV37" s="2" t="s">
        <v>56</v>
      </c>
      <c r="DW37" s="3">
        <v>388260325.5325191</v>
      </c>
      <c r="DX37" s="3">
        <v>7700291839.8931093</v>
      </c>
      <c r="DY37" s="3">
        <v>558223294905.85901</v>
      </c>
      <c r="DZ37" s="3">
        <v>0</v>
      </c>
      <c r="EA37" s="3">
        <v>566311847071.28467</v>
      </c>
      <c r="EB37" s="7" t="s">
        <v>128</v>
      </c>
      <c r="EC37" s="2" t="s">
        <v>56</v>
      </c>
      <c r="ED37" s="3">
        <v>22207101131.238914</v>
      </c>
      <c r="EE37" s="3">
        <v>32734761783.162773</v>
      </c>
      <c r="EF37" s="3">
        <v>0</v>
      </c>
      <c r="EG37" s="3">
        <v>0</v>
      </c>
      <c r="EH37" s="3">
        <v>54941862914.401688</v>
      </c>
    </row>
    <row r="38" spans="1:138" ht="10.199999999999999" customHeight="1" x14ac:dyDescent="0.2">
      <c r="A38" s="7" t="s">
        <v>127</v>
      </c>
      <c r="B38" s="2" t="s">
        <v>55</v>
      </c>
      <c r="C38" s="3">
        <f t="shared" si="4"/>
        <v>0</v>
      </c>
      <c r="D38" s="3">
        <f t="shared" si="5"/>
        <v>0</v>
      </c>
      <c r="E38" s="3">
        <f t="shared" si="6"/>
        <v>0</v>
      </c>
      <c r="F38" s="3">
        <f t="shared" si="7"/>
        <v>3098178866.8633332</v>
      </c>
      <c r="G38" s="3">
        <f t="shared" si="8"/>
        <v>0</v>
      </c>
      <c r="H38" s="3">
        <f t="shared" si="9"/>
        <v>0</v>
      </c>
      <c r="I38" s="3">
        <f t="shared" si="10"/>
        <v>2218445004.9789696</v>
      </c>
      <c r="J38" s="3">
        <f t="shared" si="11"/>
        <v>0</v>
      </c>
      <c r="K38" s="3">
        <f t="shared" si="12"/>
        <v>0</v>
      </c>
      <c r="L38" s="3">
        <f t="shared" si="13"/>
        <v>3504182899.9747477</v>
      </c>
      <c r="M38" s="3">
        <f t="shared" si="14"/>
        <v>12821595880.50334</v>
      </c>
      <c r="N38" s="3">
        <f t="shared" si="15"/>
        <v>0</v>
      </c>
      <c r="O38" s="3">
        <f t="shared" si="16"/>
        <v>21642402652.320389</v>
      </c>
      <c r="P38" s="7" t="s">
        <v>127</v>
      </c>
      <c r="Q38" s="2" t="s">
        <v>55</v>
      </c>
      <c r="R38" s="3">
        <f t="shared" si="28"/>
        <v>0</v>
      </c>
      <c r="S38" s="3">
        <f t="shared" si="28"/>
        <v>0</v>
      </c>
      <c r="T38" s="3">
        <f t="shared" si="28"/>
        <v>0</v>
      </c>
      <c r="U38" s="3">
        <f t="shared" si="28"/>
        <v>3098178866.8633332</v>
      </c>
      <c r="V38" s="3">
        <f t="shared" si="28"/>
        <v>0</v>
      </c>
      <c r="W38" s="3">
        <f t="shared" si="27"/>
        <v>0</v>
      </c>
      <c r="X38" s="3">
        <f t="shared" si="27"/>
        <v>2218445004.9789696</v>
      </c>
      <c r="Y38" s="3">
        <f t="shared" si="27"/>
        <v>0</v>
      </c>
      <c r="Z38" s="3">
        <f t="shared" si="27"/>
        <v>0</v>
      </c>
      <c r="AA38" s="3">
        <f t="shared" si="27"/>
        <v>3504182899.9747477</v>
      </c>
      <c r="AB38" s="3">
        <f t="shared" si="18"/>
        <v>8820806771.8170509</v>
      </c>
      <c r="AC38" s="7" t="s">
        <v>127</v>
      </c>
      <c r="AD38" s="2" t="s">
        <v>55</v>
      </c>
      <c r="AE38" s="3">
        <f t="shared" si="19"/>
        <v>12821595880.50334</v>
      </c>
      <c r="AF38" s="3">
        <f t="shared" si="19"/>
        <v>0</v>
      </c>
      <c r="AG38" s="3">
        <f t="shared" si="20"/>
        <v>12821595880.50334</v>
      </c>
      <c r="AH38" s="7" t="s">
        <v>127</v>
      </c>
      <c r="AI38" s="2" t="s">
        <v>55</v>
      </c>
      <c r="AJ38" s="3">
        <f t="shared" si="21"/>
        <v>19332944745.329121</v>
      </c>
      <c r="AK38" s="3">
        <f t="shared" si="21"/>
        <v>2309457906.9912701</v>
      </c>
      <c r="AL38" s="3">
        <f t="shared" si="21"/>
        <v>0</v>
      </c>
      <c r="AM38" s="3">
        <f t="shared" si="21"/>
        <v>0</v>
      </c>
      <c r="AN38" s="3">
        <f t="shared" si="22"/>
        <v>21642402652.320389</v>
      </c>
      <c r="AO38" s="7" t="s">
        <v>127</v>
      </c>
      <c r="AP38" s="2" t="s">
        <v>55</v>
      </c>
      <c r="AQ38" s="3">
        <f t="shared" si="23"/>
        <v>6511348864.8257809</v>
      </c>
      <c r="AR38" s="3">
        <f t="shared" si="23"/>
        <v>2309457906.9912701</v>
      </c>
      <c r="AS38" s="3">
        <f t="shared" si="23"/>
        <v>0</v>
      </c>
      <c r="AT38" s="3">
        <f t="shared" si="23"/>
        <v>0</v>
      </c>
      <c r="AU38" s="3">
        <f t="shared" si="24"/>
        <v>8820806771.8170509</v>
      </c>
      <c r="AV38" s="7" t="s">
        <v>127</v>
      </c>
      <c r="AW38" s="2" t="s">
        <v>55</v>
      </c>
      <c r="AX38" s="3">
        <f t="shared" si="25"/>
        <v>12821595880.50334</v>
      </c>
      <c r="AY38" s="3">
        <f t="shared" si="25"/>
        <v>0</v>
      </c>
      <c r="AZ38" s="3">
        <f t="shared" si="25"/>
        <v>0</v>
      </c>
      <c r="BA38" s="3">
        <f t="shared" si="25"/>
        <v>0</v>
      </c>
      <c r="BB38" s="3">
        <f t="shared" si="26"/>
        <v>12821595880.50334</v>
      </c>
      <c r="BC38" s="7" t="s">
        <v>127</v>
      </c>
      <c r="BD38" s="2" t="s">
        <v>55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7" t="s">
        <v>127</v>
      </c>
      <c r="BK38" s="2" t="s">
        <v>55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7" t="s">
        <v>127</v>
      </c>
      <c r="BR38" s="2" t="s">
        <v>55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7" t="s">
        <v>127</v>
      </c>
      <c r="BY38" s="2" t="s">
        <v>55</v>
      </c>
      <c r="BZ38" s="3">
        <v>3098178866.8633332</v>
      </c>
      <c r="CA38" s="3">
        <v>0</v>
      </c>
      <c r="CB38" s="3">
        <v>0</v>
      </c>
      <c r="CC38" s="3">
        <v>0</v>
      </c>
      <c r="CD38" s="3">
        <v>3098178866.8633332</v>
      </c>
      <c r="CE38" s="7" t="s">
        <v>127</v>
      </c>
      <c r="CF38" s="2" t="s">
        <v>55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7" t="s">
        <v>127</v>
      </c>
      <c r="CM38" s="2" t="s">
        <v>55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7" t="s">
        <v>127</v>
      </c>
      <c r="CT38" s="2" t="s">
        <v>55</v>
      </c>
      <c r="CU38" s="3">
        <v>0</v>
      </c>
      <c r="CV38" s="3">
        <v>2218445004.9789696</v>
      </c>
      <c r="CW38" s="3">
        <v>0</v>
      </c>
      <c r="CX38" s="3">
        <v>0</v>
      </c>
      <c r="CY38" s="3">
        <v>2218445004.9789696</v>
      </c>
      <c r="CZ38" s="7" t="s">
        <v>127</v>
      </c>
      <c r="DA38" s="2" t="s">
        <v>55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7" t="s">
        <v>127</v>
      </c>
      <c r="DH38" s="2" t="s">
        <v>55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7" t="s">
        <v>127</v>
      </c>
      <c r="DO38" s="2" t="s">
        <v>55</v>
      </c>
      <c r="DP38" s="3">
        <v>3413169997.9624472</v>
      </c>
      <c r="DQ38" s="3">
        <v>91012902.012300313</v>
      </c>
      <c r="DR38" s="3">
        <v>0</v>
      </c>
      <c r="DS38" s="3">
        <v>0</v>
      </c>
      <c r="DT38" s="3">
        <v>3504182899.9747477</v>
      </c>
      <c r="DU38" s="7" t="s">
        <v>127</v>
      </c>
      <c r="DV38" s="2" t="s">
        <v>55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7" t="s">
        <v>127</v>
      </c>
      <c r="EC38" s="2" t="s">
        <v>55</v>
      </c>
      <c r="ED38" s="3">
        <v>12821595880.50334</v>
      </c>
      <c r="EE38" s="3">
        <v>0</v>
      </c>
      <c r="EF38" s="3">
        <v>0</v>
      </c>
      <c r="EG38" s="3">
        <v>0</v>
      </c>
      <c r="EH38" s="3">
        <v>12821595880.50334</v>
      </c>
    </row>
    <row r="39" spans="1:138" ht="10.199999999999999" customHeight="1" x14ac:dyDescent="0.2">
      <c r="A39" s="7" t="s">
        <v>125</v>
      </c>
      <c r="B39" s="2" t="s">
        <v>53</v>
      </c>
      <c r="C39" s="3">
        <f t="shared" si="4"/>
        <v>0</v>
      </c>
      <c r="D39" s="3">
        <f t="shared" si="5"/>
        <v>470805217.8226704</v>
      </c>
      <c r="E39" s="3">
        <f t="shared" si="6"/>
        <v>0</v>
      </c>
      <c r="F39" s="3">
        <f t="shared" si="7"/>
        <v>668988078.93205976</v>
      </c>
      <c r="G39" s="3">
        <f t="shared" si="8"/>
        <v>25504372074.530396</v>
      </c>
      <c r="H39" s="3">
        <f t="shared" si="9"/>
        <v>0</v>
      </c>
      <c r="I39" s="3">
        <f t="shared" si="10"/>
        <v>0</v>
      </c>
      <c r="J39" s="3">
        <f t="shared" si="11"/>
        <v>0</v>
      </c>
      <c r="K39" s="3">
        <f t="shared" si="12"/>
        <v>27698320.209192179</v>
      </c>
      <c r="L39" s="3">
        <f t="shared" si="13"/>
        <v>22709507.06858645</v>
      </c>
      <c r="M39" s="3">
        <f t="shared" si="14"/>
        <v>29090308403.702538</v>
      </c>
      <c r="N39" s="3">
        <f t="shared" si="15"/>
        <v>3930142867.0336909</v>
      </c>
      <c r="O39" s="3">
        <f t="shared" si="16"/>
        <v>59715024469.299133</v>
      </c>
      <c r="P39" s="7" t="s">
        <v>125</v>
      </c>
      <c r="Q39" s="2" t="s">
        <v>53</v>
      </c>
      <c r="R39" s="3">
        <f t="shared" si="28"/>
        <v>0</v>
      </c>
      <c r="S39" s="3">
        <f t="shared" si="28"/>
        <v>470805217.8226704</v>
      </c>
      <c r="T39" s="3">
        <f t="shared" si="28"/>
        <v>0</v>
      </c>
      <c r="U39" s="3">
        <f t="shared" si="28"/>
        <v>668988078.93205976</v>
      </c>
      <c r="V39" s="3">
        <f t="shared" si="28"/>
        <v>25504372074.530396</v>
      </c>
      <c r="W39" s="3">
        <f t="shared" si="27"/>
        <v>0</v>
      </c>
      <c r="X39" s="3">
        <f t="shared" si="27"/>
        <v>0</v>
      </c>
      <c r="Y39" s="3">
        <f t="shared" si="27"/>
        <v>0</v>
      </c>
      <c r="Z39" s="3">
        <f t="shared" si="27"/>
        <v>27698320.209192179</v>
      </c>
      <c r="AA39" s="3">
        <f t="shared" si="27"/>
        <v>22709507.06858645</v>
      </c>
      <c r="AB39" s="3">
        <f t="shared" si="18"/>
        <v>26694573198.562904</v>
      </c>
      <c r="AC39" s="7" t="s">
        <v>125</v>
      </c>
      <c r="AD39" s="2" t="s">
        <v>53</v>
      </c>
      <c r="AE39" s="3">
        <f t="shared" si="19"/>
        <v>29090308403.702538</v>
      </c>
      <c r="AF39" s="3">
        <f t="shared" si="19"/>
        <v>3930142867.0336909</v>
      </c>
      <c r="AG39" s="3">
        <f t="shared" si="20"/>
        <v>33020451270.736229</v>
      </c>
      <c r="AH39" s="7" t="s">
        <v>125</v>
      </c>
      <c r="AI39" s="2" t="s">
        <v>53</v>
      </c>
      <c r="AJ39" s="3">
        <f t="shared" si="21"/>
        <v>26986838677.275654</v>
      </c>
      <c r="AK39" s="3">
        <f t="shared" si="21"/>
        <v>32728185792.023479</v>
      </c>
      <c r="AL39" s="3">
        <f t="shared" si="21"/>
        <v>0</v>
      </c>
      <c r="AM39" s="3">
        <f t="shared" si="21"/>
        <v>0</v>
      </c>
      <c r="AN39" s="3">
        <f t="shared" si="22"/>
        <v>59715024469.299133</v>
      </c>
      <c r="AO39" s="7" t="s">
        <v>125</v>
      </c>
      <c r="AP39" s="2" t="s">
        <v>53</v>
      </c>
      <c r="AQ39" s="3">
        <f t="shared" si="23"/>
        <v>3620751698.0418701</v>
      </c>
      <c r="AR39" s="3">
        <f t="shared" si="23"/>
        <v>23073821500.521038</v>
      </c>
      <c r="AS39" s="3">
        <f t="shared" si="23"/>
        <v>0</v>
      </c>
      <c r="AT39" s="3">
        <f t="shared" si="23"/>
        <v>0</v>
      </c>
      <c r="AU39" s="3">
        <f t="shared" si="24"/>
        <v>26694573198.562908</v>
      </c>
      <c r="AV39" s="7" t="s">
        <v>125</v>
      </c>
      <c r="AW39" s="2" t="s">
        <v>53</v>
      </c>
      <c r="AX39" s="3">
        <f t="shared" si="25"/>
        <v>23366086979.233784</v>
      </c>
      <c r="AY39" s="3">
        <f t="shared" si="25"/>
        <v>9654364291.5024414</v>
      </c>
      <c r="AZ39" s="3">
        <f t="shared" si="25"/>
        <v>0</v>
      </c>
      <c r="BA39" s="3">
        <f t="shared" si="25"/>
        <v>0</v>
      </c>
      <c r="BB39" s="3">
        <f t="shared" si="26"/>
        <v>33020451270.736225</v>
      </c>
      <c r="BC39" s="7" t="s">
        <v>125</v>
      </c>
      <c r="BD39" s="2" t="s">
        <v>53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7" t="s">
        <v>125</v>
      </c>
      <c r="BK39" s="2" t="s">
        <v>53</v>
      </c>
      <c r="BL39" s="3">
        <v>462634902.95488566</v>
      </c>
      <c r="BM39" s="3">
        <v>8170314.8677847637</v>
      </c>
      <c r="BN39" s="3">
        <v>0</v>
      </c>
      <c r="BO39" s="3">
        <v>0</v>
      </c>
      <c r="BP39" s="3">
        <v>470805217.8226704</v>
      </c>
      <c r="BQ39" s="7" t="s">
        <v>125</v>
      </c>
      <c r="BR39" s="2" t="s">
        <v>53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7" t="s">
        <v>125</v>
      </c>
      <c r="BY39" s="2" t="s">
        <v>53</v>
      </c>
      <c r="BZ39" s="3">
        <v>668988078.93205976</v>
      </c>
      <c r="CA39" s="3">
        <v>0</v>
      </c>
      <c r="CB39" s="3">
        <v>0</v>
      </c>
      <c r="CC39" s="3">
        <v>0</v>
      </c>
      <c r="CD39" s="3">
        <v>668988078.93205976</v>
      </c>
      <c r="CE39" s="7" t="s">
        <v>125</v>
      </c>
      <c r="CF39" s="2" t="s">
        <v>53</v>
      </c>
      <c r="CG39" s="3">
        <v>2438720888.8771458</v>
      </c>
      <c r="CH39" s="3">
        <v>23065651185.653252</v>
      </c>
      <c r="CI39" s="3">
        <v>0</v>
      </c>
      <c r="CJ39" s="3">
        <v>0</v>
      </c>
      <c r="CK39" s="3">
        <v>25504372074.530396</v>
      </c>
      <c r="CL39" s="7" t="s">
        <v>125</v>
      </c>
      <c r="CM39" s="2" t="s">
        <v>53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7" t="s">
        <v>125</v>
      </c>
      <c r="CT39" s="2" t="s">
        <v>53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7" t="s">
        <v>125</v>
      </c>
      <c r="DA39" s="2" t="s">
        <v>53</v>
      </c>
      <c r="DB39" s="3">
        <v>27698320.209192179</v>
      </c>
      <c r="DC39" s="3">
        <v>0</v>
      </c>
      <c r="DD39" s="3">
        <v>0</v>
      </c>
      <c r="DE39" s="3">
        <v>0</v>
      </c>
      <c r="DF39" s="3">
        <v>27698320.209192179</v>
      </c>
      <c r="DG39" s="7" t="s">
        <v>125</v>
      </c>
      <c r="DH39" s="2" t="s">
        <v>53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7" t="s">
        <v>125</v>
      </c>
      <c r="DO39" s="2" t="s">
        <v>53</v>
      </c>
      <c r="DP39" s="3">
        <v>22709507.06858645</v>
      </c>
      <c r="DQ39" s="3">
        <v>0</v>
      </c>
      <c r="DR39" s="3">
        <v>0</v>
      </c>
      <c r="DS39" s="3">
        <v>0</v>
      </c>
      <c r="DT39" s="3">
        <v>22709507.06858645</v>
      </c>
      <c r="DU39" s="7" t="s">
        <v>125</v>
      </c>
      <c r="DV39" s="2" t="s">
        <v>53</v>
      </c>
      <c r="DW39" s="3">
        <v>172060531.92205873</v>
      </c>
      <c r="DX39" s="3">
        <v>3758082335.1116323</v>
      </c>
      <c r="DY39" s="3">
        <v>0</v>
      </c>
      <c r="DZ39" s="3">
        <v>0</v>
      </c>
      <c r="EA39" s="3">
        <v>3930142867.0336909</v>
      </c>
      <c r="EB39" s="7" t="s">
        <v>125</v>
      </c>
      <c r="EC39" s="2" t="s">
        <v>53</v>
      </c>
      <c r="ED39" s="3">
        <v>23194026447.311726</v>
      </c>
      <c r="EE39" s="3">
        <v>5896281956.39081</v>
      </c>
      <c r="EF39" s="3">
        <v>0</v>
      </c>
      <c r="EG39" s="3">
        <v>0</v>
      </c>
      <c r="EH39" s="3">
        <v>29090308403.702538</v>
      </c>
    </row>
    <row r="40" spans="1:138" ht="10.199999999999999" customHeight="1" x14ac:dyDescent="0.2">
      <c r="A40" s="7" t="s">
        <v>130</v>
      </c>
      <c r="B40" s="2" t="s">
        <v>58</v>
      </c>
      <c r="C40" s="3">
        <f t="shared" si="4"/>
        <v>0</v>
      </c>
      <c r="D40" s="3">
        <f t="shared" si="5"/>
        <v>79809979473.973633</v>
      </c>
      <c r="E40" s="3">
        <f t="shared" si="6"/>
        <v>3515423057.1095314</v>
      </c>
      <c r="F40" s="3">
        <f t="shared" si="7"/>
        <v>432370.67730977765</v>
      </c>
      <c r="G40" s="3">
        <f t="shared" si="8"/>
        <v>37341840.033030346</v>
      </c>
      <c r="H40" s="3">
        <f t="shared" si="9"/>
        <v>0</v>
      </c>
      <c r="I40" s="3">
        <f t="shared" si="10"/>
        <v>2539174097.843029</v>
      </c>
      <c r="J40" s="3">
        <f t="shared" si="11"/>
        <v>0</v>
      </c>
      <c r="K40" s="3">
        <f t="shared" si="12"/>
        <v>1973741324.5549541</v>
      </c>
      <c r="L40" s="3">
        <f t="shared" si="13"/>
        <v>795952461717.07959</v>
      </c>
      <c r="M40" s="3">
        <f t="shared" si="14"/>
        <v>58278622913.11129</v>
      </c>
      <c r="N40" s="3">
        <f t="shared" si="15"/>
        <v>1381537050447.0354</v>
      </c>
      <c r="O40" s="3">
        <f t="shared" si="16"/>
        <v>2323644227241.418</v>
      </c>
      <c r="P40" s="7" t="s">
        <v>130</v>
      </c>
      <c r="Q40" s="2" t="s">
        <v>58</v>
      </c>
      <c r="R40" s="3">
        <f t="shared" si="28"/>
        <v>0</v>
      </c>
      <c r="S40" s="3">
        <f t="shared" si="28"/>
        <v>79809979473.973633</v>
      </c>
      <c r="T40" s="3">
        <f t="shared" si="28"/>
        <v>3515423057.1095314</v>
      </c>
      <c r="U40" s="3">
        <f t="shared" si="28"/>
        <v>432370.67730977765</v>
      </c>
      <c r="V40" s="3">
        <f t="shared" si="28"/>
        <v>37341840.033030346</v>
      </c>
      <c r="W40" s="3">
        <f t="shared" si="27"/>
        <v>0</v>
      </c>
      <c r="X40" s="3">
        <f t="shared" si="27"/>
        <v>2539174097.843029</v>
      </c>
      <c r="Y40" s="3">
        <f t="shared" si="27"/>
        <v>0</v>
      </c>
      <c r="Z40" s="3">
        <f t="shared" si="27"/>
        <v>1973741324.5549541</v>
      </c>
      <c r="AA40" s="3">
        <f t="shared" si="27"/>
        <v>795952461717.07959</v>
      </c>
      <c r="AB40" s="3">
        <f t="shared" si="18"/>
        <v>883828553881.27112</v>
      </c>
      <c r="AC40" s="7" t="s">
        <v>130</v>
      </c>
      <c r="AD40" s="2" t="s">
        <v>58</v>
      </c>
      <c r="AE40" s="3">
        <f t="shared" si="19"/>
        <v>58278622913.11129</v>
      </c>
      <c r="AF40" s="3">
        <f t="shared" si="19"/>
        <v>1381537050447.0354</v>
      </c>
      <c r="AG40" s="3">
        <f t="shared" si="20"/>
        <v>1439815673360.1467</v>
      </c>
      <c r="AH40" s="7" t="s">
        <v>130</v>
      </c>
      <c r="AI40" s="2" t="s">
        <v>58</v>
      </c>
      <c r="AJ40" s="3">
        <f t="shared" si="21"/>
        <v>47806182404.273041</v>
      </c>
      <c r="AK40" s="3">
        <f t="shared" si="21"/>
        <v>99761627108.911743</v>
      </c>
      <c r="AL40" s="3">
        <f t="shared" si="21"/>
        <v>44284375325.207718</v>
      </c>
      <c r="AM40" s="3">
        <f t="shared" si="21"/>
        <v>2131792042403.0251</v>
      </c>
      <c r="AN40" s="3">
        <f t="shared" si="22"/>
        <v>2323644227241.4175</v>
      </c>
      <c r="AO40" s="7" t="s">
        <v>130</v>
      </c>
      <c r="AP40" s="2" t="s">
        <v>58</v>
      </c>
      <c r="AQ40" s="3">
        <f t="shared" si="23"/>
        <v>989293744.54515815</v>
      </c>
      <c r="AR40" s="3">
        <f t="shared" si="23"/>
        <v>83792675438.895035</v>
      </c>
      <c r="AS40" s="3">
        <f t="shared" si="23"/>
        <v>0</v>
      </c>
      <c r="AT40" s="3">
        <f t="shared" si="23"/>
        <v>799046584697.83081</v>
      </c>
      <c r="AU40" s="3">
        <f t="shared" si="24"/>
        <v>883828553881.271</v>
      </c>
      <c r="AV40" s="7" t="s">
        <v>130</v>
      </c>
      <c r="AW40" s="2" t="s">
        <v>58</v>
      </c>
      <c r="AX40" s="3">
        <f t="shared" si="25"/>
        <v>46816888659.727882</v>
      </c>
      <c r="AY40" s="3">
        <f t="shared" si="25"/>
        <v>15968951670.016705</v>
      </c>
      <c r="AZ40" s="3">
        <f t="shared" si="25"/>
        <v>44284375325.207718</v>
      </c>
      <c r="BA40" s="3">
        <f t="shared" si="25"/>
        <v>1332745457705.1943</v>
      </c>
      <c r="BB40" s="3">
        <f t="shared" si="26"/>
        <v>1439815673360.1467</v>
      </c>
      <c r="BC40" s="7" t="s">
        <v>130</v>
      </c>
      <c r="BD40" s="2" t="s">
        <v>58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7" t="s">
        <v>130</v>
      </c>
      <c r="BK40" s="2" t="s">
        <v>58</v>
      </c>
      <c r="BL40" s="3">
        <v>36304566.698779501</v>
      </c>
      <c r="BM40" s="3">
        <v>79773674907.274857</v>
      </c>
      <c r="BN40" s="3">
        <v>0</v>
      </c>
      <c r="BO40" s="3">
        <v>0</v>
      </c>
      <c r="BP40" s="3">
        <v>79809979473.973633</v>
      </c>
      <c r="BQ40" s="7" t="s">
        <v>130</v>
      </c>
      <c r="BR40" s="2" t="s">
        <v>58</v>
      </c>
      <c r="BS40" s="3">
        <v>0</v>
      </c>
      <c r="BT40" s="3">
        <v>0</v>
      </c>
      <c r="BU40" s="3">
        <v>0</v>
      </c>
      <c r="BV40" s="3">
        <v>3515423057.1095314</v>
      </c>
      <c r="BW40" s="3">
        <v>3515423057.1095314</v>
      </c>
      <c r="BX40" s="7" t="s">
        <v>130</v>
      </c>
      <c r="BY40" s="2" t="s">
        <v>58</v>
      </c>
      <c r="BZ40" s="3">
        <v>432370.67730977765</v>
      </c>
      <c r="CA40" s="3">
        <v>0</v>
      </c>
      <c r="CB40" s="3">
        <v>0</v>
      </c>
      <c r="CC40" s="3">
        <v>0</v>
      </c>
      <c r="CD40" s="3">
        <v>432370.67730977765</v>
      </c>
      <c r="CE40" s="7" t="s">
        <v>130</v>
      </c>
      <c r="CF40" s="2" t="s">
        <v>58</v>
      </c>
      <c r="CG40" s="3">
        <v>37341840.033030346</v>
      </c>
      <c r="CH40" s="3">
        <v>0</v>
      </c>
      <c r="CI40" s="3">
        <v>0</v>
      </c>
      <c r="CJ40" s="3">
        <v>0</v>
      </c>
      <c r="CK40" s="3">
        <v>37341840.033030346</v>
      </c>
      <c r="CL40" s="7" t="s">
        <v>130</v>
      </c>
      <c r="CM40" s="2" t="s">
        <v>58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7" t="s">
        <v>130</v>
      </c>
      <c r="CT40" s="2" t="s">
        <v>58</v>
      </c>
      <c r="CU40" s="3">
        <v>484108992.1844334</v>
      </c>
      <c r="CV40" s="3">
        <v>2055065105.6585956</v>
      </c>
      <c r="CW40" s="3">
        <v>0</v>
      </c>
      <c r="CX40" s="3">
        <v>0</v>
      </c>
      <c r="CY40" s="3">
        <v>2539174097.843029</v>
      </c>
      <c r="CZ40" s="7" t="s">
        <v>130</v>
      </c>
      <c r="DA40" s="2" t="s">
        <v>58</v>
      </c>
      <c r="DB40" s="3">
        <v>9805898.5933791511</v>
      </c>
      <c r="DC40" s="3">
        <v>1963935425.9615748</v>
      </c>
      <c r="DD40" s="3">
        <v>0</v>
      </c>
      <c r="DE40" s="3">
        <v>0</v>
      </c>
      <c r="DF40" s="3">
        <v>1973741324.5549541</v>
      </c>
      <c r="DG40" s="7" t="s">
        <v>130</v>
      </c>
      <c r="DH40" s="2" t="s">
        <v>58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7" t="s">
        <v>130</v>
      </c>
      <c r="DO40" s="2" t="s">
        <v>58</v>
      </c>
      <c r="DP40" s="3">
        <v>421300076.35822594</v>
      </c>
      <c r="DQ40" s="3">
        <v>0</v>
      </c>
      <c r="DR40" s="3">
        <v>0</v>
      </c>
      <c r="DS40" s="3">
        <v>795531161640.72131</v>
      </c>
      <c r="DT40" s="3">
        <v>795952461717.07959</v>
      </c>
      <c r="DU40" s="7" t="s">
        <v>130</v>
      </c>
      <c r="DV40" s="2" t="s">
        <v>58</v>
      </c>
      <c r="DW40" s="3">
        <v>4508876169.4634581</v>
      </c>
      <c r="DX40" s="3">
        <v>0</v>
      </c>
      <c r="DY40" s="3">
        <v>44282716572.377556</v>
      </c>
      <c r="DZ40" s="3">
        <v>1332745457705.1943</v>
      </c>
      <c r="EA40" s="3">
        <v>1381537050447.0354</v>
      </c>
      <c r="EB40" s="7" t="s">
        <v>130</v>
      </c>
      <c r="EC40" s="2" t="s">
        <v>58</v>
      </c>
      <c r="ED40" s="3">
        <v>42308012490.264427</v>
      </c>
      <c r="EE40" s="3">
        <v>15968951670.016705</v>
      </c>
      <c r="EF40" s="3">
        <v>1658752.830164711</v>
      </c>
      <c r="EG40" s="3">
        <v>0</v>
      </c>
      <c r="EH40" s="3">
        <v>58278622913.11129</v>
      </c>
    </row>
    <row r="41" spans="1:138" ht="10.199999999999999" customHeight="1" x14ac:dyDescent="0.2">
      <c r="A41" s="7" t="s">
        <v>122</v>
      </c>
      <c r="B41" s="2" t="s">
        <v>50</v>
      </c>
      <c r="C41" s="3">
        <f t="shared" si="4"/>
        <v>0</v>
      </c>
      <c r="D41" s="3">
        <f t="shared" si="5"/>
        <v>193286956.55828792</v>
      </c>
      <c r="E41" s="3">
        <f t="shared" si="6"/>
        <v>0</v>
      </c>
      <c r="F41" s="3">
        <f t="shared" si="7"/>
        <v>1656635.7761372761</v>
      </c>
      <c r="G41" s="3">
        <f t="shared" si="8"/>
        <v>7286318.410478496</v>
      </c>
      <c r="H41" s="3">
        <f t="shared" si="9"/>
        <v>0</v>
      </c>
      <c r="I41" s="3">
        <f t="shared" si="10"/>
        <v>0</v>
      </c>
      <c r="J41" s="3">
        <f t="shared" si="11"/>
        <v>0</v>
      </c>
      <c r="K41" s="3">
        <f t="shared" si="12"/>
        <v>5450854.4209239362</v>
      </c>
      <c r="L41" s="3">
        <f t="shared" si="13"/>
        <v>264258371.70139772</v>
      </c>
      <c r="M41" s="3">
        <f t="shared" si="14"/>
        <v>23488586395.248981</v>
      </c>
      <c r="N41" s="3">
        <f t="shared" si="15"/>
        <v>0</v>
      </c>
      <c r="O41" s="3">
        <f t="shared" si="16"/>
        <v>23960525532.116207</v>
      </c>
      <c r="P41" s="7" t="s">
        <v>122</v>
      </c>
      <c r="Q41" s="2" t="s">
        <v>50</v>
      </c>
      <c r="R41" s="3">
        <f t="shared" si="28"/>
        <v>0</v>
      </c>
      <c r="S41" s="3">
        <f t="shared" si="28"/>
        <v>193286956.55828792</v>
      </c>
      <c r="T41" s="3">
        <f t="shared" si="28"/>
        <v>0</v>
      </c>
      <c r="U41" s="3">
        <f t="shared" si="28"/>
        <v>1656635.7761372761</v>
      </c>
      <c r="V41" s="3">
        <f t="shared" si="28"/>
        <v>7286318.410478496</v>
      </c>
      <c r="W41" s="3">
        <f t="shared" si="27"/>
        <v>0</v>
      </c>
      <c r="X41" s="3">
        <f t="shared" si="27"/>
        <v>0</v>
      </c>
      <c r="Y41" s="3">
        <f t="shared" si="27"/>
        <v>0</v>
      </c>
      <c r="Z41" s="3">
        <f t="shared" si="27"/>
        <v>5450854.4209239362</v>
      </c>
      <c r="AA41" s="3">
        <f t="shared" si="27"/>
        <v>264258371.70139772</v>
      </c>
      <c r="AB41" s="3">
        <f t="shared" si="18"/>
        <v>471939136.86722535</v>
      </c>
      <c r="AC41" s="7" t="s">
        <v>122</v>
      </c>
      <c r="AD41" s="2" t="s">
        <v>50</v>
      </c>
      <c r="AE41" s="3">
        <f t="shared" si="19"/>
        <v>23488586395.248981</v>
      </c>
      <c r="AF41" s="3">
        <f t="shared" si="19"/>
        <v>0</v>
      </c>
      <c r="AG41" s="3">
        <f t="shared" si="20"/>
        <v>23488586395.248981</v>
      </c>
      <c r="AH41" s="7" t="s">
        <v>122</v>
      </c>
      <c r="AI41" s="2" t="s">
        <v>50</v>
      </c>
      <c r="AJ41" s="3">
        <f t="shared" si="21"/>
        <v>2094070554.5789428</v>
      </c>
      <c r="AK41" s="3">
        <f t="shared" si="21"/>
        <v>21866454977.537266</v>
      </c>
      <c r="AL41" s="3">
        <f t="shared" si="21"/>
        <v>0</v>
      </c>
      <c r="AM41" s="3">
        <f t="shared" si="21"/>
        <v>0</v>
      </c>
      <c r="AN41" s="3">
        <f t="shared" si="22"/>
        <v>23960525532.116207</v>
      </c>
      <c r="AO41" s="7" t="s">
        <v>122</v>
      </c>
      <c r="AP41" s="2" t="s">
        <v>50</v>
      </c>
      <c r="AQ41" s="3">
        <f t="shared" si="23"/>
        <v>466754970.4262507</v>
      </c>
      <c r="AR41" s="3">
        <f t="shared" si="23"/>
        <v>5184166.4409746146</v>
      </c>
      <c r="AS41" s="3">
        <f t="shared" si="23"/>
        <v>0</v>
      </c>
      <c r="AT41" s="3">
        <f t="shared" si="23"/>
        <v>0</v>
      </c>
      <c r="AU41" s="3">
        <f t="shared" si="24"/>
        <v>471939136.86722529</v>
      </c>
      <c r="AV41" s="7" t="s">
        <v>122</v>
      </c>
      <c r="AW41" s="2" t="s">
        <v>50</v>
      </c>
      <c r="AX41" s="3">
        <f t="shared" si="25"/>
        <v>1627315584.1526921</v>
      </c>
      <c r="AY41" s="3">
        <f t="shared" si="25"/>
        <v>21861270811.096291</v>
      </c>
      <c r="AZ41" s="3">
        <f t="shared" si="25"/>
        <v>0</v>
      </c>
      <c r="BA41" s="3">
        <f t="shared" si="25"/>
        <v>0</v>
      </c>
      <c r="BB41" s="3">
        <f t="shared" si="26"/>
        <v>23488586395.248981</v>
      </c>
      <c r="BC41" s="7" t="s">
        <v>122</v>
      </c>
      <c r="BD41" s="2" t="s">
        <v>50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7" t="s">
        <v>122</v>
      </c>
      <c r="BK41" s="2" t="s">
        <v>50</v>
      </c>
      <c r="BL41" s="3">
        <v>193286956.55828792</v>
      </c>
      <c r="BM41" s="3">
        <v>0</v>
      </c>
      <c r="BN41" s="3">
        <v>0</v>
      </c>
      <c r="BO41" s="3">
        <v>0</v>
      </c>
      <c r="BP41" s="3">
        <v>193286956.55828792</v>
      </c>
      <c r="BQ41" s="7" t="s">
        <v>122</v>
      </c>
      <c r="BR41" s="2" t="s">
        <v>50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7" t="s">
        <v>122</v>
      </c>
      <c r="BY41" s="2" t="s">
        <v>50</v>
      </c>
      <c r="BZ41" s="3">
        <v>1656635.7761372761</v>
      </c>
      <c r="CA41" s="3">
        <v>0</v>
      </c>
      <c r="CB41" s="3">
        <v>0</v>
      </c>
      <c r="CC41" s="3">
        <v>0</v>
      </c>
      <c r="CD41" s="3">
        <v>1656635.7761372761</v>
      </c>
      <c r="CE41" s="7" t="s">
        <v>122</v>
      </c>
      <c r="CF41" s="2" t="s">
        <v>50</v>
      </c>
      <c r="CG41" s="3">
        <v>3763988.3237738418</v>
      </c>
      <c r="CH41" s="3">
        <v>3522330.0867046542</v>
      </c>
      <c r="CI41" s="3">
        <v>0</v>
      </c>
      <c r="CJ41" s="3">
        <v>0</v>
      </c>
      <c r="CK41" s="3">
        <v>7286318.410478496</v>
      </c>
      <c r="CL41" s="7" t="s">
        <v>122</v>
      </c>
      <c r="CM41" s="2" t="s">
        <v>50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7" t="s">
        <v>122</v>
      </c>
      <c r="CT41" s="2" t="s">
        <v>50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7" t="s">
        <v>122</v>
      </c>
      <c r="DA41" s="2" t="s">
        <v>50</v>
      </c>
      <c r="DB41" s="3">
        <v>5450854.4209239362</v>
      </c>
      <c r="DC41" s="3">
        <v>0</v>
      </c>
      <c r="DD41" s="3">
        <v>0</v>
      </c>
      <c r="DE41" s="3">
        <v>0</v>
      </c>
      <c r="DF41" s="3">
        <v>5450854.4209239362</v>
      </c>
      <c r="DG41" s="7" t="s">
        <v>122</v>
      </c>
      <c r="DH41" s="2" t="s">
        <v>50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7" t="s">
        <v>122</v>
      </c>
      <c r="DO41" s="2" t="s">
        <v>50</v>
      </c>
      <c r="DP41" s="3">
        <v>262596535.34712777</v>
      </c>
      <c r="DQ41" s="3">
        <v>1661836.3542699602</v>
      </c>
      <c r="DR41" s="3">
        <v>0</v>
      </c>
      <c r="DS41" s="3">
        <v>0</v>
      </c>
      <c r="DT41" s="3">
        <v>264258371.70139772</v>
      </c>
      <c r="DU41" s="7" t="s">
        <v>122</v>
      </c>
      <c r="DV41" s="2" t="s">
        <v>50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7" t="s">
        <v>122</v>
      </c>
      <c r="EC41" s="2" t="s">
        <v>50</v>
      </c>
      <c r="ED41" s="3">
        <v>1627315584.1526921</v>
      </c>
      <c r="EE41" s="3">
        <v>21861270811.096291</v>
      </c>
      <c r="EF41" s="3">
        <v>0</v>
      </c>
      <c r="EG41" s="3">
        <v>0</v>
      </c>
      <c r="EH41" s="3">
        <v>23488586395.248981</v>
      </c>
    </row>
    <row r="42" spans="1:138" ht="10.199999999999999" customHeight="1" x14ac:dyDescent="0.2">
      <c r="A42" s="8"/>
      <c r="B42" s="4" t="s">
        <v>59</v>
      </c>
      <c r="C42" s="3">
        <f>SUM(C4:C41)</f>
        <v>16531634255.13633</v>
      </c>
      <c r="D42" s="3">
        <f t="shared" ref="D42:O42" si="29">SUM(D4:D41)</f>
        <v>1362413026407.0247</v>
      </c>
      <c r="E42" s="3">
        <f t="shared" si="29"/>
        <v>19352610480967.777</v>
      </c>
      <c r="F42" s="3">
        <f t="shared" si="29"/>
        <v>1008620765228.0006</v>
      </c>
      <c r="G42" s="3">
        <f t="shared" si="29"/>
        <v>217389441988.01749</v>
      </c>
      <c r="H42" s="3">
        <f t="shared" si="29"/>
        <v>1206963551994.3074</v>
      </c>
      <c r="I42" s="3">
        <f t="shared" si="29"/>
        <v>563229845491.28101</v>
      </c>
      <c r="J42" s="3">
        <f t="shared" si="29"/>
        <v>3166063691834.5371</v>
      </c>
      <c r="K42" s="3">
        <f t="shared" si="29"/>
        <v>984927360050.29553</v>
      </c>
      <c r="L42" s="3">
        <f t="shared" si="29"/>
        <v>1956056370534.2104</v>
      </c>
      <c r="M42" s="3">
        <f t="shared" si="29"/>
        <v>3832835936213.8267</v>
      </c>
      <c r="N42" s="3">
        <f t="shared" si="29"/>
        <v>9524360466802.4922</v>
      </c>
      <c r="O42" s="3">
        <f t="shared" si="29"/>
        <v>43192002571766.898</v>
      </c>
      <c r="P42" s="8"/>
      <c r="Q42" s="4" t="s">
        <v>59</v>
      </c>
      <c r="R42" s="3">
        <f>SUM(R4:R41)</f>
        <v>16531634255.13633</v>
      </c>
      <c r="S42" s="3">
        <f t="shared" ref="S42:AB42" si="30">SUM(S4:S41)</f>
        <v>1362413026407.0247</v>
      </c>
      <c r="T42" s="3">
        <f t="shared" si="30"/>
        <v>19352610480967.777</v>
      </c>
      <c r="U42" s="3">
        <f t="shared" si="30"/>
        <v>1008620765228.0006</v>
      </c>
      <c r="V42" s="3">
        <f t="shared" si="30"/>
        <v>217389441988.01749</v>
      </c>
      <c r="W42" s="3">
        <f t="shared" si="30"/>
        <v>1206963551994.3074</v>
      </c>
      <c r="X42" s="3">
        <f t="shared" si="30"/>
        <v>563229845491.28101</v>
      </c>
      <c r="Y42" s="3">
        <f t="shared" si="30"/>
        <v>3166063691834.5371</v>
      </c>
      <c r="Z42" s="3">
        <f t="shared" si="30"/>
        <v>984927360050.29553</v>
      </c>
      <c r="AA42" s="3">
        <f t="shared" si="30"/>
        <v>1956056370534.2104</v>
      </c>
      <c r="AB42" s="3">
        <f t="shared" si="30"/>
        <v>29834806168750.582</v>
      </c>
      <c r="AC42" s="8"/>
      <c r="AD42" s="4" t="s">
        <v>59</v>
      </c>
      <c r="AE42" s="3">
        <f>SUM(AE4:AE41)</f>
        <v>3832835936213.8267</v>
      </c>
      <c r="AF42" s="3">
        <f t="shared" ref="AF42:AG42" si="31">SUM(AF4:AF41)</f>
        <v>9524360466802.4922</v>
      </c>
      <c r="AG42" s="3">
        <f t="shared" si="31"/>
        <v>13357196403016.316</v>
      </c>
      <c r="AH42" s="8"/>
      <c r="AI42" s="4" t="s">
        <v>59</v>
      </c>
      <c r="AJ42" s="3">
        <f>SUM(AJ4:AJ41)</f>
        <v>3325268599530.7344</v>
      </c>
      <c r="AK42" s="3">
        <f t="shared" ref="AK42:AN42" si="32">SUM(AK4:AK41)</f>
        <v>4171521787602.5083</v>
      </c>
      <c r="AL42" s="3">
        <f t="shared" si="32"/>
        <v>4798938068578.25</v>
      </c>
      <c r="AM42" s="3">
        <f t="shared" si="32"/>
        <v>30896274116055.402</v>
      </c>
      <c r="AN42" s="3">
        <f t="shared" si="32"/>
        <v>43192002571766.891</v>
      </c>
      <c r="AO42" s="8"/>
      <c r="AP42" s="4" t="s">
        <v>59</v>
      </c>
      <c r="AQ42" s="3">
        <f>SUM(AQ4:AQ41)</f>
        <v>1331467446050.3513</v>
      </c>
      <c r="AR42" s="3">
        <f t="shared" ref="AR42:AU42" si="33">SUM(AR4:AR41)</f>
        <v>1565092944222.5459</v>
      </c>
      <c r="AS42" s="3">
        <f t="shared" si="33"/>
        <v>2303337379424.4092</v>
      </c>
      <c r="AT42" s="3">
        <f t="shared" si="33"/>
        <v>24634908399053.277</v>
      </c>
      <c r="AU42" s="3">
        <f t="shared" si="33"/>
        <v>29834806168750.582</v>
      </c>
      <c r="AV42" s="8"/>
      <c r="AW42" s="4" t="s">
        <v>59</v>
      </c>
      <c r="AX42" s="3">
        <f>SUM(AX4:AX41)</f>
        <v>1993801153480.3828</v>
      </c>
      <c r="AY42" s="3">
        <f t="shared" ref="AY42:BB42" si="34">SUM(AY4:AY41)</f>
        <v>2606428843379.9619</v>
      </c>
      <c r="AZ42" s="3">
        <f t="shared" si="34"/>
        <v>2495600689153.8413</v>
      </c>
      <c r="BA42" s="3">
        <f t="shared" si="34"/>
        <v>6261365717002.1328</v>
      </c>
      <c r="BB42" s="3">
        <f t="shared" si="34"/>
        <v>13357196403016.316</v>
      </c>
      <c r="BC42" s="8"/>
      <c r="BD42" s="4" t="s">
        <v>59</v>
      </c>
      <c r="BE42" s="3">
        <v>5734432187.977066</v>
      </c>
      <c r="BF42" s="3">
        <v>3084686363.2295752</v>
      </c>
      <c r="BG42" s="3">
        <v>7712515703.9296875</v>
      </c>
      <c r="BH42" s="3">
        <v>0</v>
      </c>
      <c r="BI42" s="3">
        <v>16531634255.13633</v>
      </c>
      <c r="BJ42" s="8"/>
      <c r="BK42" s="4" t="s">
        <v>59</v>
      </c>
      <c r="BL42" s="3">
        <v>12534685745.249689</v>
      </c>
      <c r="BM42" s="3">
        <v>141150819625.94006</v>
      </c>
      <c r="BN42" s="3">
        <v>111598616907.25117</v>
      </c>
      <c r="BO42" s="3">
        <v>1097128904128.5837</v>
      </c>
      <c r="BP42" s="3">
        <v>1362413026407.0247</v>
      </c>
      <c r="BQ42" s="8"/>
      <c r="BR42" s="4" t="s">
        <v>59</v>
      </c>
      <c r="BS42" s="3">
        <v>390972663563.37378</v>
      </c>
      <c r="BT42" s="3">
        <v>309018727943.37506</v>
      </c>
      <c r="BU42" s="3">
        <v>911704939667.07642</v>
      </c>
      <c r="BV42" s="3">
        <v>17740914149793.953</v>
      </c>
      <c r="BW42" s="3">
        <v>19352610480967.777</v>
      </c>
      <c r="BX42" s="8"/>
      <c r="BY42" s="4" t="s">
        <v>59</v>
      </c>
      <c r="BZ42" s="3">
        <v>137834522998.87927</v>
      </c>
      <c r="CA42" s="3">
        <v>294249246440.23297</v>
      </c>
      <c r="CB42" s="3">
        <v>267882809828.76266</v>
      </c>
      <c r="CC42" s="3">
        <v>308654185960.12573</v>
      </c>
      <c r="CD42" s="3">
        <v>1008620765228.0006</v>
      </c>
      <c r="CE42" s="8"/>
      <c r="CF42" s="4" t="s">
        <v>59</v>
      </c>
      <c r="CG42" s="3">
        <v>71037631381.77446</v>
      </c>
      <c r="CH42" s="3">
        <v>95601963207.830688</v>
      </c>
      <c r="CI42" s="3">
        <v>9249288042.1499386</v>
      </c>
      <c r="CJ42" s="3">
        <v>41500559356.262405</v>
      </c>
      <c r="CK42" s="3">
        <v>217389441988.01749</v>
      </c>
      <c r="CL42" s="8"/>
      <c r="CM42" s="4" t="s">
        <v>59</v>
      </c>
      <c r="CN42" s="3">
        <v>0</v>
      </c>
      <c r="CO42" s="3">
        <v>0</v>
      </c>
      <c r="CP42" s="3">
        <v>377173378243.17969</v>
      </c>
      <c r="CQ42" s="3">
        <v>829790173751.12793</v>
      </c>
      <c r="CR42" s="3">
        <v>1206963551994.3074</v>
      </c>
      <c r="CS42" s="8"/>
      <c r="CT42" s="4" t="s">
        <v>59</v>
      </c>
      <c r="CU42" s="3">
        <v>150460068362.71994</v>
      </c>
      <c r="CV42" s="3">
        <v>153885534773.05936</v>
      </c>
      <c r="CW42" s="3">
        <v>258884242355.50189</v>
      </c>
      <c r="CX42" s="3">
        <v>0</v>
      </c>
      <c r="CY42" s="3">
        <v>563229845491.28101</v>
      </c>
      <c r="CZ42" s="8"/>
      <c r="DA42" s="4" t="s">
        <v>59</v>
      </c>
      <c r="DB42" s="3">
        <v>171856192946.51459</v>
      </c>
      <c r="DC42" s="3">
        <v>283177339058.08466</v>
      </c>
      <c r="DD42" s="3">
        <v>158470710465.62698</v>
      </c>
      <c r="DE42" s="3">
        <v>371423117580.06934</v>
      </c>
      <c r="DF42" s="3">
        <v>984927360050.29553</v>
      </c>
      <c r="DG42" s="8"/>
      <c r="DH42" s="4" t="s">
        <v>59</v>
      </c>
      <c r="DI42" s="3">
        <v>134562985515.44336</v>
      </c>
      <c r="DJ42" s="3">
        <v>22252618001.894131</v>
      </c>
      <c r="DK42" s="3">
        <v>55690212228.188393</v>
      </c>
      <c r="DL42" s="3">
        <v>2953557876089.0117</v>
      </c>
      <c r="DM42" s="3">
        <v>3166063691834.5371</v>
      </c>
      <c r="DN42" s="8"/>
      <c r="DO42" s="4" t="s">
        <v>59</v>
      </c>
      <c r="DP42" s="3">
        <v>256474263348.41916</v>
      </c>
      <c r="DQ42" s="3">
        <v>262672008808.89993</v>
      </c>
      <c r="DR42" s="3">
        <v>144970665982.74228</v>
      </c>
      <c r="DS42" s="3">
        <v>1291939432394.1489</v>
      </c>
      <c r="DT42" s="3">
        <v>1956056370534.2104</v>
      </c>
      <c r="DU42" s="8"/>
      <c r="DV42" s="4" t="s">
        <v>59</v>
      </c>
      <c r="DW42" s="3">
        <v>331351974256.66473</v>
      </c>
      <c r="DX42" s="3">
        <v>831953438979.6543</v>
      </c>
      <c r="DY42" s="3">
        <v>2099712217546.2759</v>
      </c>
      <c r="DZ42" s="3">
        <v>6261342836019.8975</v>
      </c>
      <c r="EA42" s="3">
        <v>9524360466802.4922</v>
      </c>
      <c r="EB42" s="8"/>
      <c r="EC42" s="4" t="s">
        <v>59</v>
      </c>
      <c r="ED42" s="3">
        <v>1662449179223.7178</v>
      </c>
      <c r="EE42" s="3">
        <v>1774475404400.3081</v>
      </c>
      <c r="EF42" s="3">
        <v>395888471607.56525</v>
      </c>
      <c r="EG42" s="3">
        <v>22880982.235207073</v>
      </c>
      <c r="EH42" s="3">
        <v>3832835936213.8267</v>
      </c>
    </row>
    <row r="43" spans="1:138" ht="10.199999999999999" customHeight="1" x14ac:dyDescent="0.2">
      <c r="O43" s="52">
        <f>AB42+AG42</f>
        <v>43192002571766.898</v>
      </c>
      <c r="AJ43" s="5"/>
      <c r="AK43" s="5"/>
      <c r="AN43" s="52">
        <f>O42</f>
        <v>43192002571766.898</v>
      </c>
      <c r="AQ43" s="5"/>
      <c r="AR43" s="5"/>
      <c r="AU43" s="52">
        <f>AB42</f>
        <v>29834806168750.582</v>
      </c>
      <c r="AX43" s="5"/>
      <c r="AY43" s="5"/>
      <c r="BB43" s="1">
        <f>AG42</f>
        <v>13357196403016.316</v>
      </c>
      <c r="BE43" s="5"/>
      <c r="BF43" s="5"/>
      <c r="BL43" s="5"/>
      <c r="BM43" s="5"/>
      <c r="BS43" s="5"/>
      <c r="BT43" s="5"/>
      <c r="BZ43" s="5"/>
      <c r="CA43" s="5"/>
      <c r="CG43" s="5"/>
      <c r="CH43" s="5"/>
      <c r="CN43" s="5"/>
      <c r="CO43" s="5"/>
      <c r="CU43" s="5"/>
      <c r="CV43" s="5"/>
      <c r="DB43" s="5"/>
      <c r="DC43" s="5"/>
      <c r="DI43" s="5"/>
      <c r="DJ43" s="5"/>
      <c r="DP43" s="5"/>
      <c r="DQ43" s="5"/>
      <c r="DW43" s="5"/>
      <c r="DX43" s="5"/>
      <c r="ED43" s="5"/>
      <c r="EE43" s="5"/>
    </row>
    <row r="44" spans="1:138" ht="10.199999999999999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E44" s="6"/>
      <c r="AF44" s="6"/>
      <c r="AG44" s="6"/>
    </row>
    <row r="46" spans="1:138" ht="10.199999999999999" customHeight="1" x14ac:dyDescent="0.2">
      <c r="AN46" s="5"/>
      <c r="AU46" s="5"/>
      <c r="BB46" s="5"/>
      <c r="BI46" s="5"/>
      <c r="BP46" s="5"/>
      <c r="BW46" s="5"/>
      <c r="CD46" s="5"/>
      <c r="CK46" s="5"/>
      <c r="CR46" s="5"/>
      <c r="CY46" s="5"/>
      <c r="DF46" s="5"/>
      <c r="DM46" s="5"/>
      <c r="DT46" s="5"/>
      <c r="EA46" s="5"/>
      <c r="EH46" s="5"/>
    </row>
    <row r="47" spans="1:138" ht="10.199999999999999" customHeight="1" x14ac:dyDescent="0.25">
      <c r="B47" s="18" t="str">
        <f>A1</f>
        <v>Tabel 73 Jumlah Hasil Produksi (Rp) berdasarkan Jenis Kegiatan</v>
      </c>
      <c r="AN47" s="5"/>
      <c r="AU47" s="5"/>
      <c r="BB47" s="5"/>
      <c r="BI47" s="5"/>
      <c r="BP47" s="5"/>
      <c r="BW47" s="5"/>
      <c r="CD47" s="5"/>
      <c r="CK47" s="5"/>
      <c r="CR47" s="5"/>
      <c r="CY47" s="5"/>
      <c r="DF47" s="5"/>
      <c r="DM47" s="5"/>
      <c r="DT47" s="5"/>
      <c r="EA47" s="5"/>
      <c r="EH47" s="5"/>
    </row>
    <row r="48" spans="1:138" ht="10.199999999999999" customHeight="1" x14ac:dyDescent="0.25">
      <c r="B48" s="18" t="str">
        <f>P1</f>
        <v>Tabel 74 Jumlah Hasil Produksi (Rp) berdasarkan Jenis Kegiatan Pengolahan</v>
      </c>
    </row>
    <row r="49" spans="2:2" ht="10.199999999999999" customHeight="1" x14ac:dyDescent="0.25">
      <c r="B49" s="18" t="str">
        <f>AC1</f>
        <v>Tabel 75 Jumlah Hasil Produksi (Rp) berdasarkan Jenis Kegiatan Pemasaran</v>
      </c>
    </row>
    <row r="50" spans="2:2" ht="10.199999999999999" customHeight="1" x14ac:dyDescent="0.25">
      <c r="B50" s="18" t="str">
        <f>AH1</f>
        <v xml:space="preserve">Tabel 76 Jumlah Hasil Produksi (Rp) berdasarkan Skala Usaha </v>
      </c>
    </row>
    <row r="51" spans="2:2" ht="10.199999999999999" customHeight="1" x14ac:dyDescent="0.25">
      <c r="B51" s="18" t="str">
        <f>AO1</f>
        <v>Tabel 77 Jumlah Hasil Produksi (Rp) berdasarkan Skala Usaha pada Kegiatan Pengolahan</v>
      </c>
    </row>
    <row r="52" spans="2:2" ht="10.199999999999999" customHeight="1" x14ac:dyDescent="0.25">
      <c r="B52" s="18" t="str">
        <f>AV1</f>
        <v>Tabel 78 Jumlah Hasil Produksi (Rp) berdasarkan Skala Usaha pada Kegiatan Pemasaran</v>
      </c>
    </row>
    <row r="53" spans="2:2" ht="10.199999999999999" customHeight="1" x14ac:dyDescent="0.25">
      <c r="B53" s="18" t="str">
        <f>BC1</f>
        <v xml:space="preserve">Tabel 79 Jumlah Hasil Produksi (Rp) berdasarkan Skala Usaha pada Jenis Kegiatan Fermentasi </v>
      </c>
    </row>
    <row r="54" spans="2:2" ht="10.199999999999999" customHeight="1" x14ac:dyDescent="0.25">
      <c r="B54" s="18" t="str">
        <f>BJ1</f>
        <v xml:space="preserve">Tabel 80 Jumlah Hasil Produksi (Rp) berdasarkan Skala Usaha pada Jenis Kegiatan Pelumatan Daging Ikan </v>
      </c>
    </row>
    <row r="55" spans="2:2" ht="10.199999999999999" customHeight="1" x14ac:dyDescent="0.25">
      <c r="B55" s="18" t="str">
        <f>BQ1</f>
        <v xml:space="preserve">Tabel 81 Jumlah Hasil Produksi (Rp) berdasarkan Skala Usaha pada Jenis Kegiatan Pembekuan </v>
      </c>
    </row>
    <row r="56" spans="2:2" ht="10.199999999999999" customHeight="1" x14ac:dyDescent="0.25">
      <c r="B56" s="18" t="str">
        <f>BX1</f>
        <v xml:space="preserve">Tabel 82 Jumlah Hasil Produksi (Rp) berdasarkan Skala Usaha pada Jenis Kegiatan Pemindangan </v>
      </c>
    </row>
    <row r="57" spans="2:2" ht="10.199999999999999" customHeight="1" x14ac:dyDescent="0.25">
      <c r="B57" s="18" t="str">
        <f>CE1</f>
        <v xml:space="preserve">Tabel 83 Jumlah Hasil Produksi (Rp) berdasarkan Skala Usaha pada Jenis Kegiatan Penanganan Produk Segar  </v>
      </c>
    </row>
    <row r="58" spans="2:2" ht="10.199999999999999" customHeight="1" x14ac:dyDescent="0.25">
      <c r="B58" s="18" t="str">
        <f>CL1</f>
        <v xml:space="preserve">Tabel 84 Jumlah Hasil Produksi (Rp) berdasarkan Skala Usaha pada Jenis Kegiatan Pengalengan </v>
      </c>
    </row>
    <row r="59" spans="2:2" ht="10.199999999999999" customHeight="1" x14ac:dyDescent="0.25">
      <c r="B59" s="18" t="str">
        <f>CS1</f>
        <v xml:space="preserve">Tabel 84 Jumlah Hasil Produksi (Rp) berdasarkan Skala Usaha pada Jenis Kegiatan Pengasapan / Pemanggangan </v>
      </c>
    </row>
    <row r="60" spans="2:2" ht="10.199999999999999" customHeight="1" x14ac:dyDescent="0.25">
      <c r="B60" s="18" t="str">
        <f>CZ1</f>
        <v xml:space="preserve"> Tabel 86 Jumlah Hasil Produksi (Rp) berdasarkan Skala Usaha pada Jenis Kegiatan Penggaraman / Pengeringan </v>
      </c>
    </row>
    <row r="61" spans="2:2" ht="10.199999999999999" customHeight="1" x14ac:dyDescent="0.25">
      <c r="B61" s="18" t="str">
        <f>DG1</f>
        <v xml:space="preserve">Tabel 87 Jumlah Hasil Produksi (Rp) berdasarkan Skala Usaha pada Jenis Kegiatan Pereduksian/Ekstraksi </v>
      </c>
    </row>
    <row r="62" spans="2:2" ht="10.199999999999999" customHeight="1" x14ac:dyDescent="0.25">
      <c r="B62" s="18" t="str">
        <f>DN1</f>
        <v xml:space="preserve">Tabel 88 Jumlah Hasil Produksi (Rp) berdasarkan Skala Usaha pada Jenis Kegiatan Pengolahan Lainnya </v>
      </c>
    </row>
    <row r="63" spans="2:2" ht="10.199999999999999" customHeight="1" x14ac:dyDescent="0.25">
      <c r="B63" s="18" t="str">
        <f>DU1</f>
        <v xml:space="preserve">Tabel 89 Jumlah Hasil Produksi (Rp) berdasarkan Skala Usaha pada Jenis Kegiatan Pengumpul/Pedagang Besar/Distributor </v>
      </c>
    </row>
    <row r="64" spans="2:2" ht="10.199999999999999" customHeight="1" x14ac:dyDescent="0.25">
      <c r="B64" s="18" t="str">
        <f>EB1</f>
        <v xml:space="preserve">Tabel 90 Jumlah Hasil Produksi (Rp) berdasarkan Skala Usaha pada Jenis Kegiatan Pengecer </v>
      </c>
    </row>
    <row r="67" spans="1:132" s="21" customFormat="1" ht="12" x14ac:dyDescent="0.25">
      <c r="A67" s="67" t="s">
        <v>0</v>
      </c>
      <c r="B67" s="67" t="s">
        <v>4</v>
      </c>
      <c r="C67" s="33" t="s">
        <v>442</v>
      </c>
    </row>
    <row r="68" spans="1:132" s="18" customFormat="1" ht="12" x14ac:dyDescent="0.25">
      <c r="A68" s="72">
        <v>1</v>
      </c>
      <c r="B68" s="69" t="s">
        <v>9</v>
      </c>
      <c r="C68" s="34">
        <f>C42</f>
        <v>16531634255.13633</v>
      </c>
      <c r="P68" s="21"/>
      <c r="AC68" s="21"/>
      <c r="AH68" s="21"/>
      <c r="AO68" s="21"/>
      <c r="AV68" s="21"/>
      <c r="BC68" s="21"/>
      <c r="BJ68" s="21"/>
      <c r="BQ68" s="21"/>
      <c r="BX68" s="21"/>
      <c r="CE68" s="21"/>
      <c r="CL68" s="21"/>
      <c r="CS68" s="21"/>
      <c r="CZ68" s="21"/>
      <c r="DG68" s="21"/>
      <c r="DN68" s="21"/>
      <c r="DU68" s="21"/>
      <c r="EB68" s="21"/>
    </row>
    <row r="69" spans="1:132" s="18" customFormat="1" ht="12" x14ac:dyDescent="0.25">
      <c r="A69" s="72">
        <v>2</v>
      </c>
      <c r="B69" s="69" t="s">
        <v>10</v>
      </c>
      <c r="C69" s="34">
        <f>D42</f>
        <v>1362413026407.0247</v>
      </c>
      <c r="P69" s="21"/>
      <c r="AC69" s="21"/>
      <c r="AH69" s="21"/>
      <c r="AO69" s="21"/>
      <c r="AV69" s="21"/>
      <c r="BC69" s="21"/>
      <c r="BJ69" s="21"/>
      <c r="BQ69" s="21"/>
      <c r="BX69" s="21"/>
      <c r="CE69" s="21"/>
      <c r="CL69" s="21"/>
      <c r="CS69" s="21"/>
      <c r="CZ69" s="21"/>
      <c r="DG69" s="21"/>
      <c r="DN69" s="21"/>
      <c r="DU69" s="21"/>
      <c r="EB69" s="21"/>
    </row>
    <row r="70" spans="1:132" s="18" customFormat="1" ht="12" x14ac:dyDescent="0.25">
      <c r="A70" s="72">
        <v>3</v>
      </c>
      <c r="B70" s="69" t="s">
        <v>11</v>
      </c>
      <c r="C70" s="34">
        <f>E42</f>
        <v>19352610480967.777</v>
      </c>
      <c r="P70" s="21"/>
      <c r="AC70" s="21"/>
      <c r="AH70" s="21"/>
      <c r="AO70" s="21"/>
      <c r="AV70" s="21"/>
      <c r="BC70" s="21"/>
      <c r="BJ70" s="21"/>
      <c r="BQ70" s="21"/>
      <c r="BX70" s="21"/>
      <c r="CE70" s="21"/>
      <c r="CL70" s="21"/>
      <c r="CS70" s="21"/>
      <c r="CZ70" s="21"/>
      <c r="DG70" s="21"/>
      <c r="DN70" s="21"/>
      <c r="DU70" s="21"/>
      <c r="EB70" s="21"/>
    </row>
    <row r="71" spans="1:132" s="18" customFormat="1" ht="12" x14ac:dyDescent="0.25">
      <c r="A71" s="72">
        <v>4</v>
      </c>
      <c r="B71" s="69" t="s">
        <v>12</v>
      </c>
      <c r="C71" s="34">
        <f>F42</f>
        <v>1008620765228.0006</v>
      </c>
      <c r="P71" s="21"/>
      <c r="AC71" s="21"/>
      <c r="AH71" s="21"/>
      <c r="AO71" s="21"/>
      <c r="AV71" s="21"/>
      <c r="BC71" s="21"/>
      <c r="BJ71" s="21"/>
      <c r="BQ71" s="21"/>
      <c r="BX71" s="21"/>
      <c r="CE71" s="21"/>
      <c r="CL71" s="21"/>
      <c r="CS71" s="21"/>
      <c r="CZ71" s="21"/>
      <c r="DG71" s="21"/>
      <c r="DN71" s="21"/>
      <c r="DU71" s="21"/>
      <c r="EB71" s="21"/>
    </row>
    <row r="72" spans="1:132" s="18" customFormat="1" ht="12" x14ac:dyDescent="0.25">
      <c r="A72" s="72">
        <v>5</v>
      </c>
      <c r="B72" s="69" t="s">
        <v>13</v>
      </c>
      <c r="C72" s="34">
        <f>G42</f>
        <v>217389441988.01749</v>
      </c>
      <c r="P72" s="21"/>
      <c r="AC72" s="21"/>
      <c r="AH72" s="21"/>
      <c r="AO72" s="21"/>
      <c r="AV72" s="21"/>
      <c r="BC72" s="21"/>
      <c r="BJ72" s="21"/>
      <c r="BQ72" s="21"/>
      <c r="BX72" s="21"/>
      <c r="CE72" s="21"/>
      <c r="CL72" s="21"/>
      <c r="CS72" s="21"/>
      <c r="CZ72" s="21"/>
      <c r="DG72" s="21"/>
      <c r="DN72" s="21"/>
      <c r="DU72" s="21"/>
      <c r="EB72" s="21"/>
    </row>
    <row r="73" spans="1:132" s="18" customFormat="1" ht="12" x14ac:dyDescent="0.25">
      <c r="A73" s="72">
        <v>6</v>
      </c>
      <c r="B73" s="69" t="s">
        <v>14</v>
      </c>
      <c r="C73" s="34">
        <f>H42</f>
        <v>1206963551994.3074</v>
      </c>
      <c r="P73" s="21"/>
      <c r="AC73" s="21"/>
      <c r="AH73" s="21"/>
      <c r="AO73" s="21"/>
      <c r="AV73" s="21"/>
      <c r="BC73" s="21"/>
      <c r="BJ73" s="21"/>
      <c r="BQ73" s="21"/>
      <c r="BX73" s="21"/>
      <c r="CE73" s="21"/>
      <c r="CL73" s="21"/>
      <c r="CS73" s="21"/>
      <c r="CZ73" s="21"/>
      <c r="DG73" s="21"/>
      <c r="DN73" s="21"/>
      <c r="DU73" s="21"/>
      <c r="EB73" s="21"/>
    </row>
    <row r="74" spans="1:132" s="18" customFormat="1" ht="12" x14ac:dyDescent="0.25">
      <c r="A74" s="72">
        <v>7</v>
      </c>
      <c r="B74" s="69" t="s">
        <v>15</v>
      </c>
      <c r="C74" s="34">
        <f>I42</f>
        <v>563229845491.28101</v>
      </c>
      <c r="P74" s="21"/>
      <c r="AC74" s="21"/>
      <c r="AH74" s="21"/>
      <c r="AO74" s="21"/>
      <c r="AV74" s="21"/>
      <c r="BC74" s="21"/>
      <c r="BJ74" s="21"/>
      <c r="BQ74" s="21"/>
      <c r="BX74" s="21"/>
      <c r="CE74" s="21"/>
      <c r="CL74" s="21"/>
      <c r="CS74" s="21"/>
      <c r="CZ74" s="21"/>
      <c r="DG74" s="21"/>
      <c r="DN74" s="21"/>
      <c r="DU74" s="21"/>
      <c r="EB74" s="21"/>
    </row>
    <row r="75" spans="1:132" s="18" customFormat="1" ht="12" x14ac:dyDescent="0.25">
      <c r="A75" s="72">
        <v>8</v>
      </c>
      <c r="B75" s="69" t="s">
        <v>19</v>
      </c>
      <c r="C75" s="34">
        <f>J42</f>
        <v>3166063691834.5371</v>
      </c>
      <c r="P75" s="21"/>
      <c r="AC75" s="21"/>
      <c r="AH75" s="21"/>
      <c r="AO75" s="21"/>
      <c r="AV75" s="21"/>
      <c r="BC75" s="21"/>
      <c r="BJ75" s="21"/>
      <c r="BQ75" s="21"/>
      <c r="BX75" s="21"/>
      <c r="CE75" s="21"/>
      <c r="CL75" s="21"/>
      <c r="CS75" s="21"/>
      <c r="CZ75" s="21"/>
      <c r="DG75" s="21"/>
      <c r="DN75" s="21"/>
      <c r="DU75" s="21"/>
      <c r="EB75" s="21"/>
    </row>
    <row r="76" spans="1:132" s="18" customFormat="1" ht="12" x14ac:dyDescent="0.25">
      <c r="A76" s="72">
        <v>9</v>
      </c>
      <c r="B76" s="69" t="s">
        <v>17</v>
      </c>
      <c r="C76" s="34">
        <f>K42</f>
        <v>984927360050.29553</v>
      </c>
      <c r="P76" s="21"/>
      <c r="AC76" s="21"/>
      <c r="AH76" s="21"/>
      <c r="AO76" s="21"/>
      <c r="AV76" s="21"/>
      <c r="BC76" s="21"/>
      <c r="BJ76" s="21"/>
      <c r="BQ76" s="21"/>
      <c r="BX76" s="21"/>
      <c r="CE76" s="21"/>
      <c r="CL76" s="21"/>
      <c r="CS76" s="21"/>
      <c r="CZ76" s="21"/>
      <c r="DG76" s="21"/>
      <c r="DN76" s="21"/>
      <c r="DU76" s="21"/>
      <c r="EB76" s="21"/>
    </row>
    <row r="77" spans="1:132" s="18" customFormat="1" ht="12" x14ac:dyDescent="0.25">
      <c r="A77" s="72">
        <v>10</v>
      </c>
      <c r="B77" s="69" t="s">
        <v>18</v>
      </c>
      <c r="C77" s="34">
        <f>L42</f>
        <v>1956056370534.2104</v>
      </c>
      <c r="P77" s="21"/>
      <c r="AC77" s="21"/>
      <c r="AH77" s="21"/>
      <c r="AO77" s="21"/>
      <c r="AV77" s="21"/>
      <c r="BC77" s="21"/>
      <c r="BJ77" s="21"/>
      <c r="BQ77" s="21"/>
      <c r="BX77" s="21"/>
      <c r="CE77" s="21"/>
      <c r="CL77" s="21"/>
      <c r="CS77" s="21"/>
      <c r="CZ77" s="21"/>
      <c r="DG77" s="21"/>
      <c r="DN77" s="21"/>
      <c r="DU77" s="21"/>
      <c r="EB77" s="21"/>
    </row>
    <row r="78" spans="1:132" s="18" customFormat="1" ht="12" x14ac:dyDescent="0.25">
      <c r="A78" s="72">
        <v>11</v>
      </c>
      <c r="B78" s="69" t="s">
        <v>20</v>
      </c>
      <c r="C78" s="34">
        <f>M42</f>
        <v>3832835936213.8267</v>
      </c>
      <c r="P78" s="21"/>
      <c r="AC78" s="21"/>
      <c r="AH78" s="21"/>
      <c r="AO78" s="21"/>
      <c r="AV78" s="21"/>
      <c r="BC78" s="21"/>
      <c r="BJ78" s="21"/>
      <c r="BQ78" s="21"/>
      <c r="BX78" s="21"/>
      <c r="CE78" s="21"/>
      <c r="CL78" s="21"/>
      <c r="CS78" s="21"/>
      <c r="CZ78" s="21"/>
      <c r="DG78" s="21"/>
      <c r="DN78" s="21"/>
      <c r="DU78" s="21"/>
      <c r="EB78" s="21"/>
    </row>
    <row r="79" spans="1:132" s="18" customFormat="1" ht="12" x14ac:dyDescent="0.25">
      <c r="A79" s="72">
        <v>12</v>
      </c>
      <c r="B79" s="69" t="s">
        <v>16</v>
      </c>
      <c r="C79" s="34">
        <f>N42</f>
        <v>9524360466802.4922</v>
      </c>
      <c r="P79" s="21"/>
      <c r="AC79" s="21"/>
      <c r="AH79" s="21"/>
      <c r="AO79" s="21"/>
      <c r="AV79" s="21"/>
      <c r="BC79" s="21"/>
      <c r="BJ79" s="21"/>
      <c r="BQ79" s="21"/>
      <c r="BX79" s="21"/>
      <c r="CE79" s="21"/>
      <c r="CL79" s="21"/>
      <c r="CS79" s="21"/>
      <c r="CZ79" s="21"/>
      <c r="DG79" s="21"/>
      <c r="DN79" s="21"/>
      <c r="DU79" s="21"/>
      <c r="EB79" s="21"/>
    </row>
    <row r="80" spans="1:132" s="18" customFormat="1" ht="12" x14ac:dyDescent="0.25">
      <c r="A80" s="72"/>
      <c r="B80" s="69" t="s">
        <v>400</v>
      </c>
      <c r="C80" s="34">
        <f>O42</f>
        <v>43192002571766.898</v>
      </c>
      <c r="D80" s="51">
        <f>SUM(C68:C79)</f>
        <v>43192002571766.906</v>
      </c>
      <c r="P80" s="21"/>
      <c r="AC80" s="21"/>
      <c r="AH80" s="21"/>
      <c r="AO80" s="21"/>
      <c r="AV80" s="21"/>
      <c r="BC80" s="21"/>
      <c r="BJ80" s="21"/>
      <c r="BQ80" s="21"/>
      <c r="BX80" s="21"/>
      <c r="CE80" s="21"/>
      <c r="CL80" s="21"/>
      <c r="CS80" s="21"/>
      <c r="CZ80" s="21"/>
      <c r="DG80" s="21"/>
      <c r="DN80" s="21"/>
      <c r="DU80" s="21"/>
      <c r="EB80" s="21"/>
    </row>
    <row r="81" spans="1:132" s="18" customFormat="1" ht="12" x14ac:dyDescent="0.25">
      <c r="A81" s="71"/>
      <c r="B81" s="66"/>
      <c r="C81" s="36"/>
      <c r="P81" s="21"/>
      <c r="AC81" s="21"/>
      <c r="AH81" s="21"/>
      <c r="AO81" s="21"/>
      <c r="AV81" s="21"/>
      <c r="BC81" s="21"/>
      <c r="BJ81" s="21"/>
      <c r="BQ81" s="21"/>
      <c r="BX81" s="21"/>
      <c r="CE81" s="21"/>
      <c r="CL81" s="21"/>
      <c r="CS81" s="21"/>
      <c r="CZ81" s="21"/>
      <c r="DG81" s="21"/>
      <c r="DN81" s="21"/>
      <c r="DU81" s="21"/>
      <c r="EB81" s="21"/>
    </row>
    <row r="82" spans="1:132" s="18" customFormat="1" ht="12" x14ac:dyDescent="0.25">
      <c r="A82" s="75"/>
      <c r="B82" s="75"/>
      <c r="C82" s="75"/>
      <c r="P82" s="21"/>
      <c r="AC82" s="21"/>
      <c r="AH82" s="21"/>
      <c r="AO82" s="21"/>
      <c r="AV82" s="21"/>
      <c r="BC82" s="21"/>
      <c r="BJ82" s="21"/>
      <c r="BQ82" s="21"/>
      <c r="BX82" s="21"/>
      <c r="CE82" s="21"/>
      <c r="CL82" s="21"/>
      <c r="CS82" s="21"/>
      <c r="CZ82" s="21"/>
      <c r="DG82" s="21"/>
      <c r="DN82" s="21"/>
      <c r="DU82" s="21"/>
      <c r="EB82" s="21"/>
    </row>
    <row r="83" spans="1:132" s="21" customFormat="1" ht="12" x14ac:dyDescent="0.25">
      <c r="A83" s="67" t="s">
        <v>0</v>
      </c>
      <c r="B83" s="67" t="s">
        <v>2</v>
      </c>
      <c r="C83" s="33" t="s">
        <v>442</v>
      </c>
    </row>
    <row r="84" spans="1:132" s="18" customFormat="1" ht="12" x14ac:dyDescent="0.25">
      <c r="A84" s="72">
        <v>1</v>
      </c>
      <c r="B84" s="69" t="s">
        <v>5</v>
      </c>
      <c r="C84" s="34">
        <f>AJ42</f>
        <v>3325268599530.7344</v>
      </c>
      <c r="P84" s="21"/>
      <c r="AC84" s="21"/>
      <c r="AH84" s="21"/>
      <c r="AO84" s="21"/>
      <c r="AV84" s="21"/>
      <c r="BC84" s="21"/>
      <c r="BJ84" s="21"/>
      <c r="BQ84" s="21"/>
      <c r="BX84" s="21"/>
      <c r="CE84" s="21"/>
      <c r="CL84" s="21"/>
      <c r="CS84" s="21"/>
      <c r="CZ84" s="21"/>
      <c r="DG84" s="21"/>
      <c r="DN84" s="21"/>
      <c r="DU84" s="21"/>
      <c r="EB84" s="21"/>
    </row>
    <row r="85" spans="1:132" s="18" customFormat="1" ht="12" x14ac:dyDescent="0.25">
      <c r="A85" s="72">
        <v>2</v>
      </c>
      <c r="B85" s="69" t="s">
        <v>6</v>
      </c>
      <c r="C85" s="34">
        <f>AK42</f>
        <v>4171521787602.5083</v>
      </c>
      <c r="P85" s="21"/>
      <c r="AC85" s="21"/>
      <c r="AH85" s="21"/>
      <c r="AO85" s="21"/>
      <c r="AV85" s="21"/>
      <c r="BC85" s="21"/>
      <c r="BJ85" s="21"/>
      <c r="BQ85" s="21"/>
      <c r="BX85" s="21"/>
      <c r="CE85" s="21"/>
      <c r="CL85" s="21"/>
      <c r="CS85" s="21"/>
      <c r="CZ85" s="21"/>
      <c r="DG85" s="21"/>
      <c r="DN85" s="21"/>
      <c r="DU85" s="21"/>
      <c r="EB85" s="21"/>
    </row>
    <row r="86" spans="1:132" s="18" customFormat="1" ht="12" x14ac:dyDescent="0.25">
      <c r="A86" s="72">
        <v>3</v>
      </c>
      <c r="B86" s="69" t="s">
        <v>7</v>
      </c>
      <c r="C86" s="34">
        <f>AL42</f>
        <v>4798938068578.25</v>
      </c>
      <c r="P86" s="21"/>
      <c r="AC86" s="21"/>
      <c r="AH86" s="21"/>
      <c r="AO86" s="21"/>
      <c r="AV86" s="21"/>
      <c r="BC86" s="21"/>
      <c r="BJ86" s="21"/>
      <c r="BQ86" s="21"/>
      <c r="BX86" s="21"/>
      <c r="CE86" s="21"/>
      <c r="CL86" s="21"/>
      <c r="CS86" s="21"/>
      <c r="CZ86" s="21"/>
      <c r="DG86" s="21"/>
      <c r="DN86" s="21"/>
      <c r="DU86" s="21"/>
      <c r="EB86" s="21"/>
    </row>
    <row r="87" spans="1:132" s="18" customFormat="1" ht="12" x14ac:dyDescent="0.25">
      <c r="A87" s="72">
        <v>4</v>
      </c>
      <c r="B87" s="69" t="s">
        <v>8</v>
      </c>
      <c r="C87" s="34">
        <f>AM42</f>
        <v>30896274116055.402</v>
      </c>
      <c r="P87" s="21"/>
      <c r="AC87" s="21"/>
      <c r="AH87" s="21"/>
      <c r="AO87" s="21"/>
      <c r="AV87" s="21"/>
      <c r="BC87" s="21"/>
      <c r="BJ87" s="21"/>
      <c r="BQ87" s="21"/>
      <c r="BX87" s="21"/>
      <c r="CE87" s="21"/>
      <c r="CL87" s="21"/>
      <c r="CS87" s="21"/>
      <c r="CZ87" s="21"/>
      <c r="DG87" s="21"/>
      <c r="DN87" s="21"/>
      <c r="DU87" s="21"/>
      <c r="EB87" s="21"/>
    </row>
    <row r="88" spans="1:132" s="18" customFormat="1" ht="12" x14ac:dyDescent="0.25">
      <c r="A88" s="72"/>
      <c r="B88" s="69" t="s">
        <v>400</v>
      </c>
      <c r="C88" s="34">
        <f>AN42</f>
        <v>43192002571766.891</v>
      </c>
      <c r="D88" s="51">
        <f>SUM(C84:C87)</f>
        <v>43192002571766.891</v>
      </c>
      <c r="P88" s="21"/>
      <c r="AC88" s="21"/>
      <c r="AH88" s="21"/>
      <c r="AO88" s="21"/>
      <c r="AV88" s="21"/>
      <c r="BC88" s="21"/>
      <c r="BJ88" s="21"/>
      <c r="BQ88" s="21"/>
      <c r="BX88" s="21"/>
      <c r="CE88" s="21"/>
      <c r="CL88" s="21"/>
      <c r="CS88" s="21"/>
      <c r="CZ88" s="21"/>
      <c r="DG88" s="21"/>
      <c r="DN88" s="21"/>
      <c r="DU88" s="21"/>
      <c r="EB88" s="21"/>
    </row>
    <row r="89" spans="1:132" s="18" customFormat="1" ht="12" x14ac:dyDescent="0.25">
      <c r="A89" s="71"/>
      <c r="B89" s="66"/>
      <c r="C89" s="66"/>
      <c r="D89" s="66"/>
      <c r="P89" s="21"/>
      <c r="AC89" s="21"/>
      <c r="AH89" s="21"/>
      <c r="AO89" s="21"/>
      <c r="AV89" s="21"/>
      <c r="BC89" s="21"/>
      <c r="BJ89" s="21"/>
      <c r="BQ89" s="21"/>
      <c r="BX89" s="21"/>
      <c r="CE89" s="21"/>
      <c r="CL89" s="21"/>
      <c r="CS89" s="21"/>
      <c r="CZ89" s="21"/>
      <c r="DG89" s="21"/>
      <c r="DN89" s="21"/>
      <c r="DU89" s="21"/>
      <c r="EB89" s="21"/>
    </row>
    <row r="90" spans="1:132" s="18" customFormat="1" ht="12" x14ac:dyDescent="0.25">
      <c r="A90" s="21"/>
      <c r="P90" s="21"/>
      <c r="AC90" s="21"/>
      <c r="AH90" s="21"/>
      <c r="AO90" s="21"/>
      <c r="AV90" s="21"/>
      <c r="BC90" s="21"/>
      <c r="BJ90" s="21"/>
      <c r="BQ90" s="21"/>
      <c r="BX90" s="21"/>
      <c r="CE90" s="21"/>
      <c r="CL90" s="21"/>
      <c r="CS90" s="21"/>
      <c r="CZ90" s="21"/>
      <c r="DG90" s="21"/>
      <c r="DN90" s="21"/>
      <c r="DU90" s="21"/>
      <c r="EB90" s="21"/>
    </row>
    <row r="91" spans="1:132" s="78" customFormat="1" ht="12" x14ac:dyDescent="0.3">
      <c r="A91" s="76" t="s">
        <v>0</v>
      </c>
      <c r="B91" s="76" t="s">
        <v>60</v>
      </c>
      <c r="C91" s="33" t="s">
        <v>442</v>
      </c>
      <c r="P91" s="79"/>
      <c r="AC91" s="79"/>
      <c r="AH91" s="79"/>
      <c r="AO91" s="79"/>
      <c r="AV91" s="79"/>
      <c r="BC91" s="79"/>
      <c r="BJ91" s="79"/>
      <c r="BQ91" s="79"/>
      <c r="BX91" s="79"/>
      <c r="CE91" s="79"/>
      <c r="CL91" s="79"/>
      <c r="CS91" s="79"/>
      <c r="CZ91" s="79"/>
      <c r="DG91" s="79"/>
      <c r="DN91" s="79"/>
      <c r="DU91" s="79"/>
      <c r="EB91" s="79"/>
    </row>
    <row r="92" spans="1:132" s="18" customFormat="1" ht="12" x14ac:dyDescent="0.25">
      <c r="A92" s="72">
        <v>1</v>
      </c>
      <c r="B92" s="69" t="s">
        <v>401</v>
      </c>
      <c r="C92" s="34">
        <f>O4</f>
        <v>129656128628.5403</v>
      </c>
      <c r="P92" s="21"/>
      <c r="AC92" s="21"/>
      <c r="AH92" s="21"/>
      <c r="AO92" s="21"/>
      <c r="AV92" s="21"/>
      <c r="BC92" s="21"/>
      <c r="BJ92" s="21"/>
      <c r="BQ92" s="21"/>
      <c r="BX92" s="21"/>
      <c r="CE92" s="21"/>
      <c r="CL92" s="21"/>
      <c r="CS92" s="21"/>
      <c r="CZ92" s="21"/>
      <c r="DG92" s="21"/>
      <c r="DN92" s="21"/>
      <c r="DU92" s="21"/>
      <c r="EB92" s="21"/>
    </row>
    <row r="93" spans="1:132" s="18" customFormat="1" ht="12" x14ac:dyDescent="0.25">
      <c r="A93" s="72">
        <v>2</v>
      </c>
      <c r="B93" s="69" t="s">
        <v>402</v>
      </c>
      <c r="C93" s="34">
        <f t="shared" ref="C93:C120" si="35">O5</f>
        <v>62759235619.85228</v>
      </c>
      <c r="P93" s="21"/>
      <c r="AC93" s="21"/>
      <c r="AH93" s="21"/>
      <c r="AO93" s="21"/>
      <c r="AV93" s="21"/>
      <c r="BC93" s="21"/>
      <c r="BJ93" s="21"/>
      <c r="BQ93" s="21"/>
      <c r="BX93" s="21"/>
      <c r="CE93" s="21"/>
      <c r="CL93" s="21"/>
      <c r="CS93" s="21"/>
      <c r="CZ93" s="21"/>
      <c r="DG93" s="21"/>
      <c r="DN93" s="21"/>
      <c r="DU93" s="21"/>
      <c r="EB93" s="21"/>
    </row>
    <row r="94" spans="1:132" s="18" customFormat="1" ht="12" x14ac:dyDescent="0.25">
      <c r="A94" s="72">
        <v>3</v>
      </c>
      <c r="B94" s="69" t="s">
        <v>403</v>
      </c>
      <c r="C94" s="34">
        <f t="shared" si="35"/>
        <v>807827310955.05554</v>
      </c>
      <c r="P94" s="21"/>
      <c r="AC94" s="21"/>
      <c r="AH94" s="21"/>
      <c r="AO94" s="21"/>
      <c r="AV94" s="21"/>
      <c r="BC94" s="21"/>
      <c r="BJ94" s="21"/>
      <c r="BQ94" s="21"/>
      <c r="BX94" s="21"/>
      <c r="CE94" s="21"/>
      <c r="CL94" s="21"/>
      <c r="CS94" s="21"/>
      <c r="CZ94" s="21"/>
      <c r="DG94" s="21"/>
      <c r="DN94" s="21"/>
      <c r="DU94" s="21"/>
      <c r="EB94" s="21"/>
    </row>
    <row r="95" spans="1:132" s="18" customFormat="1" ht="12" x14ac:dyDescent="0.25">
      <c r="A95" s="72">
        <v>4</v>
      </c>
      <c r="B95" s="69" t="s">
        <v>404</v>
      </c>
      <c r="C95" s="34">
        <f t="shared" si="35"/>
        <v>330777531019.86877</v>
      </c>
      <c r="P95" s="21"/>
      <c r="AC95" s="21"/>
      <c r="AH95" s="21"/>
      <c r="AO95" s="21"/>
      <c r="AV95" s="21"/>
      <c r="BC95" s="21"/>
      <c r="BJ95" s="21"/>
      <c r="BQ95" s="21"/>
      <c r="BX95" s="21"/>
      <c r="CE95" s="21"/>
      <c r="CL95" s="21"/>
      <c r="CS95" s="21"/>
      <c r="CZ95" s="21"/>
      <c r="DG95" s="21"/>
      <c r="DN95" s="21"/>
      <c r="DU95" s="21"/>
      <c r="EB95" s="21"/>
    </row>
    <row r="96" spans="1:132" s="18" customFormat="1" ht="12" x14ac:dyDescent="0.25">
      <c r="A96" s="72">
        <v>5</v>
      </c>
      <c r="B96" s="69" t="s">
        <v>405</v>
      </c>
      <c r="C96" s="34">
        <f t="shared" si="35"/>
        <v>199664072834.07932</v>
      </c>
      <c r="P96" s="21"/>
      <c r="AC96" s="21"/>
      <c r="AH96" s="21"/>
      <c r="AO96" s="21"/>
      <c r="AV96" s="21"/>
      <c r="BC96" s="21"/>
      <c r="BJ96" s="21"/>
      <c r="BQ96" s="21"/>
      <c r="BX96" s="21"/>
      <c r="CE96" s="21"/>
      <c r="CL96" s="21"/>
      <c r="CS96" s="21"/>
      <c r="CZ96" s="21"/>
      <c r="DG96" s="21"/>
      <c r="DN96" s="21"/>
      <c r="DU96" s="21"/>
      <c r="EB96" s="21"/>
    </row>
    <row r="97" spans="1:132" s="18" customFormat="1" ht="12" x14ac:dyDescent="0.25">
      <c r="A97" s="72">
        <v>6</v>
      </c>
      <c r="B97" s="69" t="s">
        <v>406</v>
      </c>
      <c r="C97" s="34">
        <f t="shared" si="35"/>
        <v>53591608703.162331</v>
      </c>
      <c r="P97" s="21"/>
      <c r="AC97" s="21"/>
      <c r="AH97" s="21"/>
      <c r="AO97" s="21"/>
      <c r="AV97" s="21"/>
      <c r="BC97" s="21"/>
      <c r="BJ97" s="21"/>
      <c r="BQ97" s="21"/>
      <c r="BX97" s="21"/>
      <c r="CE97" s="21"/>
      <c r="CL97" s="21"/>
      <c r="CS97" s="21"/>
      <c r="CZ97" s="21"/>
      <c r="DG97" s="21"/>
      <c r="DN97" s="21"/>
      <c r="DU97" s="21"/>
      <c r="EB97" s="21"/>
    </row>
    <row r="98" spans="1:132" s="18" customFormat="1" ht="12" x14ac:dyDescent="0.25">
      <c r="A98" s="72">
        <v>7</v>
      </c>
      <c r="B98" s="69" t="s">
        <v>407</v>
      </c>
      <c r="C98" s="34">
        <f t="shared" si="35"/>
        <v>867921230548.11328</v>
      </c>
      <c r="P98" s="21"/>
      <c r="AC98" s="21"/>
      <c r="AH98" s="21"/>
      <c r="AO98" s="21"/>
      <c r="AV98" s="21"/>
      <c r="BC98" s="21"/>
      <c r="BJ98" s="21"/>
      <c r="BQ98" s="21"/>
      <c r="BX98" s="21"/>
      <c r="CE98" s="21"/>
      <c r="CL98" s="21"/>
      <c r="CS98" s="21"/>
      <c r="CZ98" s="21"/>
      <c r="DG98" s="21"/>
      <c r="DN98" s="21"/>
      <c r="DU98" s="21"/>
      <c r="EB98" s="21"/>
    </row>
    <row r="99" spans="1:132" s="18" customFormat="1" ht="12" x14ac:dyDescent="0.25">
      <c r="A99" s="72">
        <v>8</v>
      </c>
      <c r="B99" s="69" t="s">
        <v>408</v>
      </c>
      <c r="C99" s="34">
        <f t="shared" si="35"/>
        <v>392106343265.32806</v>
      </c>
      <c r="P99" s="21"/>
      <c r="AC99" s="21"/>
      <c r="AH99" s="21"/>
      <c r="AO99" s="21"/>
      <c r="AV99" s="21"/>
      <c r="BC99" s="21"/>
      <c r="BJ99" s="21"/>
      <c r="BQ99" s="21"/>
      <c r="BX99" s="21"/>
      <c r="CE99" s="21"/>
      <c r="CL99" s="21"/>
      <c r="CS99" s="21"/>
      <c r="CZ99" s="21"/>
      <c r="DG99" s="21"/>
      <c r="DN99" s="21"/>
      <c r="DU99" s="21"/>
      <c r="EB99" s="21"/>
    </row>
    <row r="100" spans="1:132" s="18" customFormat="1" ht="12" x14ac:dyDescent="0.25">
      <c r="A100" s="72">
        <v>9</v>
      </c>
      <c r="B100" s="69" t="s">
        <v>409</v>
      </c>
      <c r="C100" s="34">
        <f t="shared" si="35"/>
        <v>461249403917.56409</v>
      </c>
      <c r="P100" s="21"/>
      <c r="AC100" s="21"/>
      <c r="AH100" s="21"/>
      <c r="AO100" s="21"/>
      <c r="AV100" s="21"/>
      <c r="BC100" s="21"/>
      <c r="BJ100" s="21"/>
      <c r="BQ100" s="21"/>
      <c r="BX100" s="21"/>
      <c r="CE100" s="21"/>
      <c r="CL100" s="21"/>
      <c r="CS100" s="21"/>
      <c r="CZ100" s="21"/>
      <c r="DG100" s="21"/>
      <c r="DN100" s="21"/>
      <c r="DU100" s="21"/>
      <c r="EB100" s="21"/>
    </row>
    <row r="101" spans="1:132" s="18" customFormat="1" ht="12" x14ac:dyDescent="0.25">
      <c r="A101" s="72">
        <v>10</v>
      </c>
      <c r="B101" s="69" t="s">
        <v>410</v>
      </c>
      <c r="C101" s="34">
        <f t="shared" si="35"/>
        <v>10048554524865.592</v>
      </c>
      <c r="P101" s="21"/>
      <c r="AC101" s="21"/>
      <c r="AH101" s="21"/>
      <c r="AO101" s="21"/>
      <c r="AV101" s="21"/>
      <c r="BC101" s="21"/>
      <c r="BJ101" s="21"/>
      <c r="BQ101" s="21"/>
      <c r="BX101" s="21"/>
      <c r="CE101" s="21"/>
      <c r="CL101" s="21"/>
      <c r="CS101" s="21"/>
      <c r="CZ101" s="21"/>
      <c r="DG101" s="21"/>
      <c r="DN101" s="21"/>
      <c r="DU101" s="21"/>
      <c r="EB101" s="21"/>
    </row>
    <row r="102" spans="1:132" s="18" customFormat="1" ht="12" x14ac:dyDescent="0.25">
      <c r="A102" s="72">
        <v>11</v>
      </c>
      <c r="B102" s="69" t="s">
        <v>411</v>
      </c>
      <c r="C102" s="34">
        <f t="shared" si="35"/>
        <v>5862335490.2976513</v>
      </c>
      <c r="P102" s="21"/>
      <c r="AC102" s="21"/>
      <c r="AH102" s="21"/>
      <c r="AO102" s="21"/>
      <c r="AV102" s="21"/>
      <c r="BC102" s="21"/>
      <c r="BJ102" s="21"/>
      <c r="BQ102" s="21"/>
      <c r="BX102" s="21"/>
      <c r="CE102" s="21"/>
      <c r="CL102" s="21"/>
      <c r="CS102" s="21"/>
      <c r="CZ102" s="21"/>
      <c r="DG102" s="21"/>
      <c r="DN102" s="21"/>
      <c r="DU102" s="21"/>
      <c r="EB102" s="21"/>
    </row>
    <row r="103" spans="1:132" s="18" customFormat="1" ht="12" x14ac:dyDescent="0.25">
      <c r="A103" s="72">
        <v>12</v>
      </c>
      <c r="B103" s="69" t="s">
        <v>412</v>
      </c>
      <c r="C103" s="34">
        <f t="shared" si="35"/>
        <v>7020363404193.457</v>
      </c>
      <c r="P103" s="21"/>
      <c r="AC103" s="21"/>
      <c r="AH103" s="21"/>
      <c r="AO103" s="21"/>
      <c r="AV103" s="21"/>
      <c r="BC103" s="21"/>
      <c r="BJ103" s="21"/>
      <c r="BQ103" s="21"/>
      <c r="BX103" s="21"/>
      <c r="CE103" s="21"/>
      <c r="CL103" s="21"/>
      <c r="CS103" s="21"/>
      <c r="CZ103" s="21"/>
      <c r="DG103" s="21"/>
      <c r="DN103" s="21"/>
      <c r="DU103" s="21"/>
      <c r="EB103" s="21"/>
    </row>
    <row r="104" spans="1:132" s="18" customFormat="1" ht="12" x14ac:dyDescent="0.25">
      <c r="A104" s="72">
        <v>13</v>
      </c>
      <c r="B104" s="69" t="s">
        <v>413</v>
      </c>
      <c r="C104" s="34">
        <f t="shared" si="35"/>
        <v>61202782109.459976</v>
      </c>
      <c r="P104" s="21"/>
      <c r="AC104" s="21"/>
      <c r="AH104" s="21"/>
      <c r="AO104" s="21"/>
      <c r="AV104" s="21"/>
      <c r="BC104" s="21"/>
      <c r="BJ104" s="21"/>
      <c r="BQ104" s="21"/>
      <c r="BX104" s="21"/>
      <c r="CE104" s="21"/>
      <c r="CL104" s="21"/>
      <c r="CS104" s="21"/>
      <c r="CZ104" s="21"/>
      <c r="DG104" s="21"/>
      <c r="DN104" s="21"/>
      <c r="DU104" s="21"/>
      <c r="EB104" s="21"/>
    </row>
    <row r="105" spans="1:132" s="18" customFormat="1" ht="12" x14ac:dyDescent="0.25">
      <c r="A105" s="72">
        <v>14</v>
      </c>
      <c r="B105" s="69" t="s">
        <v>414</v>
      </c>
      <c r="C105" s="34">
        <f t="shared" si="35"/>
        <v>6322224790840.7705</v>
      </c>
      <c r="P105" s="21"/>
      <c r="AC105" s="21"/>
      <c r="AH105" s="21"/>
      <c r="AO105" s="21"/>
      <c r="AV105" s="21"/>
      <c r="BC105" s="21"/>
      <c r="BJ105" s="21"/>
      <c r="BQ105" s="21"/>
      <c r="BX105" s="21"/>
      <c r="CE105" s="21"/>
      <c r="CL105" s="21"/>
      <c r="CS105" s="21"/>
      <c r="CZ105" s="21"/>
      <c r="DG105" s="21"/>
      <c r="DN105" s="21"/>
      <c r="DU105" s="21"/>
      <c r="EB105" s="21"/>
    </row>
    <row r="106" spans="1:132" s="18" customFormat="1" ht="12" x14ac:dyDescent="0.25">
      <c r="A106" s="72">
        <v>15</v>
      </c>
      <c r="B106" s="69" t="s">
        <v>415</v>
      </c>
      <c r="C106" s="34">
        <f t="shared" si="35"/>
        <v>3943087254914.5713</v>
      </c>
      <c r="P106" s="21"/>
      <c r="AC106" s="21"/>
      <c r="AH106" s="21"/>
      <c r="AO106" s="21"/>
      <c r="AV106" s="21"/>
      <c r="BC106" s="21"/>
      <c r="BJ106" s="21"/>
      <c r="BQ106" s="21"/>
      <c r="BX106" s="21"/>
      <c r="CE106" s="21"/>
      <c r="CL106" s="21"/>
      <c r="CS106" s="21"/>
      <c r="CZ106" s="21"/>
      <c r="DG106" s="21"/>
      <c r="DN106" s="21"/>
      <c r="DU106" s="21"/>
      <c r="EB106" s="21"/>
    </row>
    <row r="107" spans="1:132" s="18" customFormat="1" ht="12" x14ac:dyDescent="0.25">
      <c r="A107" s="72">
        <v>16</v>
      </c>
      <c r="B107" s="69" t="s">
        <v>416</v>
      </c>
      <c r="C107" s="34">
        <f t="shared" si="35"/>
        <v>284556180254.03284</v>
      </c>
      <c r="P107" s="21"/>
      <c r="AC107" s="21"/>
      <c r="AH107" s="21"/>
      <c r="AO107" s="21"/>
      <c r="AV107" s="21"/>
      <c r="BC107" s="21"/>
      <c r="BJ107" s="21"/>
      <c r="BQ107" s="21"/>
      <c r="BX107" s="21"/>
      <c r="CE107" s="21"/>
      <c r="CL107" s="21"/>
      <c r="CS107" s="21"/>
      <c r="CZ107" s="21"/>
      <c r="DG107" s="21"/>
      <c r="DN107" s="21"/>
      <c r="DU107" s="21"/>
      <c r="EB107" s="21"/>
    </row>
    <row r="108" spans="1:132" s="18" customFormat="1" ht="12" x14ac:dyDescent="0.25">
      <c r="A108" s="72">
        <v>17</v>
      </c>
      <c r="B108" s="69" t="s">
        <v>417</v>
      </c>
      <c r="C108" s="34">
        <f t="shared" si="35"/>
        <v>14471014851.370171</v>
      </c>
      <c r="P108" s="21"/>
      <c r="AC108" s="21"/>
      <c r="AH108" s="21"/>
      <c r="AO108" s="21"/>
      <c r="AV108" s="21"/>
      <c r="BC108" s="21"/>
      <c r="BJ108" s="21"/>
      <c r="BQ108" s="21"/>
      <c r="BX108" s="21"/>
      <c r="CE108" s="21"/>
      <c r="CL108" s="21"/>
      <c r="CS108" s="21"/>
      <c r="CZ108" s="21"/>
      <c r="DG108" s="21"/>
      <c r="DN108" s="21"/>
      <c r="DU108" s="21"/>
      <c r="EB108" s="21"/>
    </row>
    <row r="109" spans="1:132" s="18" customFormat="1" ht="12" x14ac:dyDescent="0.25">
      <c r="A109" s="72">
        <v>18</v>
      </c>
      <c r="B109" s="69" t="s">
        <v>418</v>
      </c>
      <c r="C109" s="34">
        <f t="shared" si="35"/>
        <v>7183558908.9392834</v>
      </c>
      <c r="P109" s="21"/>
      <c r="AC109" s="21"/>
      <c r="AH109" s="21"/>
      <c r="AO109" s="21"/>
      <c r="AV109" s="21"/>
      <c r="BC109" s="21"/>
      <c r="BJ109" s="21"/>
      <c r="BQ109" s="21"/>
      <c r="BX109" s="21"/>
      <c r="CE109" s="21"/>
      <c r="CL109" s="21"/>
      <c r="CS109" s="21"/>
      <c r="CZ109" s="21"/>
      <c r="DG109" s="21"/>
      <c r="DN109" s="21"/>
      <c r="DU109" s="21"/>
      <c r="EB109" s="21"/>
    </row>
    <row r="110" spans="1:132" s="18" customFormat="1" ht="12" x14ac:dyDescent="0.25">
      <c r="A110" s="72">
        <v>19</v>
      </c>
      <c r="B110" s="69" t="s">
        <v>419</v>
      </c>
      <c r="C110" s="34">
        <f t="shared" si="35"/>
        <v>366912553810.49048</v>
      </c>
      <c r="P110" s="21"/>
      <c r="AC110" s="21"/>
      <c r="AH110" s="21"/>
      <c r="AO110" s="21"/>
      <c r="AV110" s="21"/>
      <c r="BC110" s="21"/>
      <c r="BJ110" s="21"/>
      <c r="BQ110" s="21"/>
      <c r="BX110" s="21"/>
      <c r="CE110" s="21"/>
      <c r="CL110" s="21"/>
      <c r="CS110" s="21"/>
      <c r="CZ110" s="21"/>
      <c r="DG110" s="21"/>
      <c r="DN110" s="21"/>
      <c r="DU110" s="21"/>
      <c r="EB110" s="21"/>
    </row>
    <row r="111" spans="1:132" s="18" customFormat="1" ht="12" x14ac:dyDescent="0.25">
      <c r="A111" s="72">
        <v>20</v>
      </c>
      <c r="B111" s="69" t="s">
        <v>420</v>
      </c>
      <c r="C111" s="34">
        <f t="shared" si="35"/>
        <v>65663552941.659561</v>
      </c>
      <c r="P111" s="21"/>
      <c r="AC111" s="21"/>
      <c r="AH111" s="21"/>
      <c r="AO111" s="21"/>
      <c r="AV111" s="21"/>
      <c r="BC111" s="21"/>
      <c r="BJ111" s="21"/>
      <c r="BQ111" s="21"/>
      <c r="BX111" s="21"/>
      <c r="CE111" s="21"/>
      <c r="CL111" s="21"/>
      <c r="CS111" s="21"/>
      <c r="CZ111" s="21"/>
      <c r="DG111" s="21"/>
      <c r="DN111" s="21"/>
      <c r="DU111" s="21"/>
      <c r="EB111" s="21"/>
    </row>
    <row r="112" spans="1:132" s="18" customFormat="1" ht="12" x14ac:dyDescent="0.25">
      <c r="A112" s="72">
        <v>21</v>
      </c>
      <c r="B112" s="69" t="s">
        <v>421</v>
      </c>
      <c r="C112" s="34">
        <f t="shared" si="35"/>
        <v>1129088340310.2502</v>
      </c>
      <c r="P112" s="21"/>
      <c r="AC112" s="21"/>
      <c r="AH112" s="21"/>
      <c r="AO112" s="21"/>
      <c r="AV112" s="21"/>
      <c r="BC112" s="21"/>
      <c r="BJ112" s="21"/>
      <c r="BQ112" s="21"/>
      <c r="BX112" s="21"/>
      <c r="CE112" s="21"/>
      <c r="CL112" s="21"/>
      <c r="CS112" s="21"/>
      <c r="CZ112" s="21"/>
      <c r="DG112" s="21"/>
      <c r="DN112" s="21"/>
      <c r="DU112" s="21"/>
      <c r="EB112" s="21"/>
    </row>
    <row r="113" spans="1:132" s="18" customFormat="1" ht="12" x14ac:dyDescent="0.25">
      <c r="A113" s="72">
        <v>22</v>
      </c>
      <c r="B113" s="69" t="s">
        <v>422</v>
      </c>
      <c r="C113" s="34">
        <f t="shared" si="35"/>
        <v>45788688899.207405</v>
      </c>
      <c r="P113" s="21"/>
      <c r="AC113" s="21"/>
      <c r="AH113" s="21"/>
      <c r="AO113" s="21"/>
      <c r="AV113" s="21"/>
      <c r="BC113" s="21"/>
      <c r="BJ113" s="21"/>
      <c r="BQ113" s="21"/>
      <c r="BX113" s="21"/>
      <c r="CE113" s="21"/>
      <c r="CL113" s="21"/>
      <c r="CS113" s="21"/>
      <c r="CZ113" s="21"/>
      <c r="DG113" s="21"/>
      <c r="DN113" s="21"/>
      <c r="DU113" s="21"/>
      <c r="EB113" s="21"/>
    </row>
    <row r="114" spans="1:132" s="18" customFormat="1" ht="12" x14ac:dyDescent="0.25">
      <c r="A114" s="72">
        <v>23</v>
      </c>
      <c r="B114" s="69" t="s">
        <v>423</v>
      </c>
      <c r="C114" s="34">
        <f t="shared" si="35"/>
        <v>1095959751586.996</v>
      </c>
      <c r="P114" s="21"/>
      <c r="AC114" s="21"/>
      <c r="AH114" s="21"/>
      <c r="AO114" s="21"/>
      <c r="AV114" s="21"/>
      <c r="BC114" s="21"/>
      <c r="BJ114" s="21"/>
      <c r="BQ114" s="21"/>
      <c r="BX114" s="21"/>
      <c r="CE114" s="21"/>
      <c r="CL114" s="21"/>
      <c r="CS114" s="21"/>
      <c r="CZ114" s="21"/>
      <c r="DG114" s="21"/>
      <c r="DN114" s="21"/>
      <c r="DU114" s="21"/>
      <c r="EB114" s="21"/>
    </row>
    <row r="115" spans="1:132" s="18" customFormat="1" ht="12" x14ac:dyDescent="0.25">
      <c r="A115" s="72">
        <v>24</v>
      </c>
      <c r="B115" s="69" t="s">
        <v>424</v>
      </c>
      <c r="C115" s="34">
        <f t="shared" si="35"/>
        <v>2105944944143.2366</v>
      </c>
      <c r="P115" s="21"/>
      <c r="AC115" s="21"/>
      <c r="AH115" s="21"/>
      <c r="AO115" s="21"/>
      <c r="AV115" s="21"/>
      <c r="BC115" s="21"/>
      <c r="BJ115" s="21"/>
      <c r="BQ115" s="21"/>
      <c r="BX115" s="21"/>
      <c r="CE115" s="21"/>
      <c r="CL115" s="21"/>
      <c r="CS115" s="21"/>
      <c r="CZ115" s="21"/>
      <c r="DG115" s="21"/>
      <c r="DN115" s="21"/>
      <c r="DU115" s="21"/>
      <c r="EB115" s="21"/>
    </row>
    <row r="116" spans="1:132" s="18" customFormat="1" ht="12" x14ac:dyDescent="0.25">
      <c r="A116" s="72">
        <v>25</v>
      </c>
      <c r="B116" s="69" t="s">
        <v>425</v>
      </c>
      <c r="C116" s="34">
        <f t="shared" si="35"/>
        <v>321913775905.54163</v>
      </c>
      <c r="P116" s="21"/>
      <c r="AC116" s="21"/>
      <c r="AH116" s="21"/>
      <c r="AO116" s="21"/>
      <c r="AV116" s="21"/>
      <c r="BC116" s="21"/>
      <c r="BJ116" s="21"/>
      <c r="BQ116" s="21"/>
      <c r="BX116" s="21"/>
      <c r="CE116" s="21"/>
      <c r="CL116" s="21"/>
      <c r="CS116" s="21"/>
      <c r="CZ116" s="21"/>
      <c r="DG116" s="21"/>
      <c r="DN116" s="21"/>
      <c r="DU116" s="21"/>
      <c r="EB116" s="21"/>
    </row>
    <row r="117" spans="1:132" s="18" customFormat="1" ht="12" x14ac:dyDescent="0.25">
      <c r="A117" s="72">
        <v>26</v>
      </c>
      <c r="B117" s="69" t="s">
        <v>426</v>
      </c>
      <c r="C117" s="34">
        <f t="shared" si="35"/>
        <v>45321223769.226608</v>
      </c>
      <c r="P117" s="21"/>
      <c r="AC117" s="21"/>
      <c r="AH117" s="21"/>
      <c r="AO117" s="21"/>
      <c r="AV117" s="21"/>
      <c r="BC117" s="21"/>
      <c r="BJ117" s="21"/>
      <c r="BQ117" s="21"/>
      <c r="BX117" s="21"/>
      <c r="CE117" s="21"/>
      <c r="CL117" s="21"/>
      <c r="CS117" s="21"/>
      <c r="CZ117" s="21"/>
      <c r="DG117" s="21"/>
      <c r="DN117" s="21"/>
      <c r="DU117" s="21"/>
      <c r="EB117" s="21"/>
    </row>
    <row r="118" spans="1:132" s="18" customFormat="1" ht="12" x14ac:dyDescent="0.25">
      <c r="A118" s="72">
        <v>27</v>
      </c>
      <c r="B118" s="69" t="s">
        <v>427</v>
      </c>
      <c r="C118" s="34">
        <f t="shared" si="35"/>
        <v>870617116746.54712</v>
      </c>
      <c r="P118" s="21"/>
      <c r="AC118" s="21"/>
      <c r="AH118" s="21"/>
      <c r="AO118" s="21"/>
      <c r="AV118" s="21"/>
      <c r="BC118" s="21"/>
      <c r="BJ118" s="21"/>
      <c r="BQ118" s="21"/>
      <c r="BX118" s="21"/>
      <c r="CE118" s="21"/>
      <c r="CL118" s="21"/>
      <c r="CS118" s="21"/>
      <c r="CZ118" s="21"/>
      <c r="DG118" s="21"/>
      <c r="DN118" s="21"/>
      <c r="DU118" s="21"/>
      <c r="EB118" s="21"/>
    </row>
    <row r="119" spans="1:132" s="18" customFormat="1" ht="12" x14ac:dyDescent="0.25">
      <c r="A119" s="72">
        <v>28</v>
      </c>
      <c r="B119" s="69" t="s">
        <v>428</v>
      </c>
      <c r="C119" s="34">
        <f t="shared" si="35"/>
        <v>204470417211.89423</v>
      </c>
      <c r="P119" s="21"/>
      <c r="AC119" s="21"/>
      <c r="AH119" s="21"/>
      <c r="AO119" s="21"/>
      <c r="AV119" s="21"/>
      <c r="BC119" s="21"/>
      <c r="BJ119" s="21"/>
      <c r="BQ119" s="21"/>
      <c r="BX119" s="21"/>
      <c r="CE119" s="21"/>
      <c r="CL119" s="21"/>
      <c r="CS119" s="21"/>
      <c r="CZ119" s="21"/>
      <c r="DG119" s="21"/>
      <c r="DN119" s="21"/>
      <c r="DU119" s="21"/>
      <c r="EB119" s="21"/>
    </row>
    <row r="120" spans="1:132" s="18" customFormat="1" ht="12" x14ac:dyDescent="0.25">
      <c r="A120" s="72">
        <v>29</v>
      </c>
      <c r="B120" s="69" t="s">
        <v>429</v>
      </c>
      <c r="C120" s="34">
        <f t="shared" si="35"/>
        <v>398312292942.69897</v>
      </c>
      <c r="P120" s="21"/>
      <c r="AC120" s="21"/>
      <c r="AH120" s="21"/>
      <c r="AO120" s="21"/>
      <c r="AV120" s="21"/>
      <c r="BC120" s="21"/>
      <c r="BJ120" s="21"/>
      <c r="BQ120" s="21"/>
      <c r="BX120" s="21"/>
      <c r="CE120" s="21"/>
      <c r="CL120" s="21"/>
      <c r="CS120" s="21"/>
      <c r="CZ120" s="21"/>
      <c r="DG120" s="21"/>
      <c r="DN120" s="21"/>
      <c r="DU120" s="21"/>
      <c r="EB120" s="21"/>
    </row>
    <row r="121" spans="1:132" s="18" customFormat="1" ht="12" x14ac:dyDescent="0.25">
      <c r="A121" s="72">
        <v>30</v>
      </c>
      <c r="B121" s="69" t="s">
        <v>430</v>
      </c>
      <c r="C121" s="34">
        <f>O33</f>
        <v>95544786492.64743</v>
      </c>
      <c r="P121" s="21"/>
      <c r="AC121" s="21"/>
      <c r="AH121" s="21"/>
      <c r="AO121" s="21"/>
      <c r="AV121" s="21"/>
      <c r="BC121" s="21"/>
      <c r="BJ121" s="21"/>
      <c r="BQ121" s="21"/>
      <c r="BX121" s="21"/>
      <c r="CE121" s="21"/>
      <c r="CL121" s="21"/>
      <c r="CS121" s="21"/>
      <c r="CZ121" s="21"/>
      <c r="DG121" s="21"/>
      <c r="DN121" s="21"/>
      <c r="DU121" s="21"/>
      <c r="EB121" s="21"/>
    </row>
    <row r="122" spans="1:132" s="18" customFormat="1" ht="12" x14ac:dyDescent="0.25">
      <c r="A122" s="72">
        <v>31</v>
      </c>
      <c r="B122" s="69" t="s">
        <v>431</v>
      </c>
      <c r="C122" s="34">
        <f t="shared" ref="C122:C129" si="36">O34</f>
        <v>13198418116.557095</v>
      </c>
      <c r="P122" s="21"/>
      <c r="AC122" s="21"/>
      <c r="AH122" s="21"/>
      <c r="AO122" s="21"/>
      <c r="AV122" s="21"/>
      <c r="BC122" s="21"/>
      <c r="BJ122" s="21"/>
      <c r="BQ122" s="21"/>
      <c r="BX122" s="21"/>
      <c r="CE122" s="21"/>
      <c r="CL122" s="21"/>
      <c r="CS122" s="21"/>
      <c r="CZ122" s="21"/>
      <c r="DG122" s="21"/>
      <c r="DN122" s="21"/>
      <c r="DU122" s="21"/>
      <c r="EB122" s="21"/>
    </row>
    <row r="123" spans="1:132" s="18" customFormat="1" ht="12" x14ac:dyDescent="0.25">
      <c r="A123" s="72">
        <v>32</v>
      </c>
      <c r="B123" s="69" t="s">
        <v>432</v>
      </c>
      <c r="C123" s="34">
        <f t="shared" si="36"/>
        <v>297400572.66739047</v>
      </c>
      <c r="P123" s="21"/>
      <c r="AC123" s="21"/>
      <c r="AH123" s="21"/>
      <c r="AO123" s="21"/>
      <c r="AV123" s="21"/>
      <c r="BC123" s="21"/>
      <c r="BJ123" s="21"/>
      <c r="BQ123" s="21"/>
      <c r="BX123" s="21"/>
      <c r="CE123" s="21"/>
      <c r="CL123" s="21"/>
      <c r="CS123" s="21"/>
      <c r="CZ123" s="21"/>
      <c r="DG123" s="21"/>
      <c r="DN123" s="21"/>
      <c r="DU123" s="21"/>
      <c r="EB123" s="21"/>
    </row>
    <row r="124" spans="1:132" s="18" customFormat="1" ht="12" x14ac:dyDescent="0.25">
      <c r="A124" s="72">
        <v>33</v>
      </c>
      <c r="B124" s="69" t="s">
        <v>433</v>
      </c>
      <c r="C124" s="34">
        <f t="shared" si="36"/>
        <v>1892898431412.5286</v>
      </c>
      <c r="P124" s="21"/>
      <c r="AC124" s="21"/>
      <c r="AH124" s="21"/>
      <c r="AO124" s="21"/>
      <c r="AV124" s="21"/>
      <c r="BC124" s="21"/>
      <c r="BJ124" s="21"/>
      <c r="BQ124" s="21"/>
      <c r="BX124" s="21"/>
      <c r="CE124" s="21"/>
      <c r="CL124" s="21"/>
      <c r="CS124" s="21"/>
      <c r="CZ124" s="21"/>
      <c r="DG124" s="21"/>
      <c r="DN124" s="21"/>
      <c r="DU124" s="21"/>
      <c r="EB124" s="21"/>
    </row>
    <row r="125" spans="1:132" s="18" customFormat="1" ht="12" x14ac:dyDescent="0.25">
      <c r="A125" s="72">
        <v>34</v>
      </c>
      <c r="B125" s="69" t="s">
        <v>434</v>
      </c>
      <c r="C125" s="34">
        <f t="shared" si="36"/>
        <v>1098049985089.5535</v>
      </c>
      <c r="P125" s="21"/>
      <c r="AC125" s="21"/>
      <c r="AH125" s="21"/>
      <c r="AO125" s="21"/>
      <c r="AV125" s="21"/>
      <c r="BC125" s="21"/>
      <c r="BJ125" s="21"/>
      <c r="BQ125" s="21"/>
      <c r="BX125" s="21"/>
      <c r="CE125" s="21"/>
      <c r="CL125" s="21"/>
      <c r="CS125" s="21"/>
      <c r="CZ125" s="21"/>
      <c r="DG125" s="21"/>
      <c r="DN125" s="21"/>
      <c r="DU125" s="21"/>
      <c r="EB125" s="21"/>
    </row>
    <row r="126" spans="1:132" s="18" customFormat="1" ht="12" x14ac:dyDescent="0.25">
      <c r="A126" s="72">
        <v>35</v>
      </c>
      <c r="B126" s="69" t="s">
        <v>435</v>
      </c>
      <c r="C126" s="34">
        <f t="shared" si="36"/>
        <v>21642402652.320389</v>
      </c>
      <c r="P126" s="21"/>
      <c r="AC126" s="21"/>
      <c r="AH126" s="21"/>
      <c r="AO126" s="21"/>
      <c r="AV126" s="21"/>
      <c r="BC126" s="21"/>
      <c r="BJ126" s="21"/>
      <c r="BQ126" s="21"/>
      <c r="BX126" s="21"/>
      <c r="CE126" s="21"/>
      <c r="CL126" s="21"/>
      <c r="CS126" s="21"/>
      <c r="CZ126" s="21"/>
      <c r="DG126" s="21"/>
      <c r="DN126" s="21"/>
      <c r="DU126" s="21"/>
      <c r="EB126" s="21"/>
    </row>
    <row r="127" spans="1:132" s="18" customFormat="1" ht="12" x14ac:dyDescent="0.25">
      <c r="A127" s="72">
        <v>36</v>
      </c>
      <c r="B127" s="69" t="s">
        <v>436</v>
      </c>
      <c r="C127" s="34">
        <f t="shared" si="36"/>
        <v>59715024469.299133</v>
      </c>
      <c r="P127" s="21"/>
      <c r="AC127" s="21"/>
      <c r="AH127" s="21"/>
      <c r="AO127" s="21"/>
      <c r="AV127" s="21"/>
      <c r="BC127" s="21"/>
      <c r="BJ127" s="21"/>
      <c r="BQ127" s="21"/>
      <c r="BX127" s="21"/>
      <c r="CE127" s="21"/>
      <c r="CL127" s="21"/>
      <c r="CS127" s="21"/>
      <c r="CZ127" s="21"/>
      <c r="DG127" s="21"/>
      <c r="DN127" s="21"/>
      <c r="DU127" s="21"/>
      <c r="EB127" s="21"/>
    </row>
    <row r="128" spans="1:132" s="18" customFormat="1" ht="12" x14ac:dyDescent="0.25">
      <c r="A128" s="72">
        <v>37</v>
      </c>
      <c r="B128" s="69" t="s">
        <v>437</v>
      </c>
      <c r="C128" s="34">
        <f t="shared" si="36"/>
        <v>2323644227241.418</v>
      </c>
      <c r="P128" s="21"/>
      <c r="AC128" s="21"/>
      <c r="AH128" s="21"/>
      <c r="AO128" s="21"/>
      <c r="AV128" s="21"/>
      <c r="BC128" s="21"/>
      <c r="BJ128" s="21"/>
      <c r="BQ128" s="21"/>
      <c r="BX128" s="21"/>
      <c r="CE128" s="21"/>
      <c r="CL128" s="21"/>
      <c r="CS128" s="21"/>
      <c r="CZ128" s="21"/>
      <c r="DG128" s="21"/>
      <c r="DN128" s="21"/>
      <c r="DU128" s="21"/>
      <c r="EB128" s="21"/>
    </row>
    <row r="129" spans="1:132" s="18" customFormat="1" ht="12" x14ac:dyDescent="0.25">
      <c r="A129" s="72">
        <v>38</v>
      </c>
      <c r="B129" s="69" t="s">
        <v>438</v>
      </c>
      <c r="C129" s="34">
        <f t="shared" si="36"/>
        <v>23960525532.116207</v>
      </c>
      <c r="P129" s="21"/>
      <c r="AC129" s="21"/>
      <c r="AH129" s="21"/>
      <c r="AO129" s="21"/>
      <c r="AV129" s="21"/>
      <c r="BC129" s="21"/>
      <c r="BJ129" s="21"/>
      <c r="BQ129" s="21"/>
      <c r="BX129" s="21"/>
      <c r="CE129" s="21"/>
      <c r="CL129" s="21"/>
      <c r="CS129" s="21"/>
      <c r="CZ129" s="21"/>
      <c r="DG129" s="21"/>
      <c r="DN129" s="21"/>
      <c r="DU129" s="21"/>
      <c r="EB129" s="21"/>
    </row>
    <row r="130" spans="1:132" s="18" customFormat="1" ht="12" x14ac:dyDescent="0.25">
      <c r="A130" s="72"/>
      <c r="B130" s="69" t="s">
        <v>400</v>
      </c>
      <c r="C130" s="34">
        <f>SUM(C92:C129)</f>
        <v>43192002571766.898</v>
      </c>
      <c r="P130" s="21"/>
      <c r="AC130" s="21"/>
      <c r="AH130" s="21"/>
      <c r="AO130" s="21"/>
      <c r="AV130" s="21"/>
      <c r="BC130" s="21"/>
      <c r="BJ130" s="21"/>
      <c r="BQ130" s="21"/>
      <c r="BX130" s="21"/>
      <c r="CE130" s="21"/>
      <c r="CL130" s="21"/>
      <c r="CS130" s="21"/>
      <c r="CZ130" s="21"/>
      <c r="DG130" s="21"/>
      <c r="DN130" s="21"/>
      <c r="DU130" s="21"/>
      <c r="EB130" s="21"/>
    </row>
  </sheetData>
  <mergeCells count="90">
    <mergeCell ref="AG2:AG3"/>
    <mergeCell ref="A2:A3"/>
    <mergeCell ref="B2:B3"/>
    <mergeCell ref="C2:N2"/>
    <mergeCell ref="O2:O3"/>
    <mergeCell ref="P2:P3"/>
    <mergeCell ref="Q2:Q3"/>
    <mergeCell ref="R2:AA2"/>
    <mergeCell ref="AB2:AB3"/>
    <mergeCell ref="AC2:AC3"/>
    <mergeCell ref="AD2:AD3"/>
    <mergeCell ref="AE2:AF2"/>
    <mergeCell ref="DG2:DG3"/>
    <mergeCell ref="DH2:DH3"/>
    <mergeCell ref="DI2:DL2"/>
    <mergeCell ref="BB2:BB3"/>
    <mergeCell ref="AH2:AH3"/>
    <mergeCell ref="AI2:AI3"/>
    <mergeCell ref="AJ2:AM2"/>
    <mergeCell ref="AN2:AN3"/>
    <mergeCell ref="AO2:AO3"/>
    <mergeCell ref="AP2:AP3"/>
    <mergeCell ref="AQ2:AT2"/>
    <mergeCell ref="AU2:AU3"/>
    <mergeCell ref="AV2:AV3"/>
    <mergeCell ref="AW2:AW3"/>
    <mergeCell ref="AX2:BA2"/>
    <mergeCell ref="DF2:DF3"/>
    <mergeCell ref="EB2:EB3"/>
    <mergeCell ref="EC2:EC3"/>
    <mergeCell ref="ED2:EG2"/>
    <mergeCell ref="EH2:EH3"/>
    <mergeCell ref="CZ2:CZ3"/>
    <mergeCell ref="DA2:DA3"/>
    <mergeCell ref="DB2:DE2"/>
    <mergeCell ref="DM2:DM3"/>
    <mergeCell ref="DN2:DN3"/>
    <mergeCell ref="DO2:DO3"/>
    <mergeCell ref="DP2:DS2"/>
    <mergeCell ref="DT2:DT3"/>
    <mergeCell ref="DU2:DU3"/>
    <mergeCell ref="DV2:DV3"/>
    <mergeCell ref="DW2:DZ2"/>
    <mergeCell ref="EA2:EA3"/>
    <mergeCell ref="CS2:CS3"/>
    <mergeCell ref="CT2:CT3"/>
    <mergeCell ref="CU2:CX2"/>
    <mergeCell ref="CY2:CY3"/>
    <mergeCell ref="CR2:CR3"/>
    <mergeCell ref="CL2:CL3"/>
    <mergeCell ref="CM2:CM3"/>
    <mergeCell ref="BX2:BX3"/>
    <mergeCell ref="BY2:BY3"/>
    <mergeCell ref="BZ2:CC2"/>
    <mergeCell ref="CD2:CD3"/>
    <mergeCell ref="CE2:CE3"/>
    <mergeCell ref="CN2:CQ2"/>
    <mergeCell ref="BW2:BW3"/>
    <mergeCell ref="BC2:BC3"/>
    <mergeCell ref="BD2:BD3"/>
    <mergeCell ref="BE2:BH2"/>
    <mergeCell ref="BI2:BI3"/>
    <mergeCell ref="BJ2:BJ3"/>
    <mergeCell ref="BK2:BK3"/>
    <mergeCell ref="BL2:BO2"/>
    <mergeCell ref="BP2:BP3"/>
    <mergeCell ref="BQ2:BQ3"/>
    <mergeCell ref="BR2:BR3"/>
    <mergeCell ref="BS2:BV2"/>
    <mergeCell ref="CF2:CF3"/>
    <mergeCell ref="CG2:CJ2"/>
    <mergeCell ref="CK2:CK3"/>
    <mergeCell ref="CS1:CY1"/>
    <mergeCell ref="EB1:EH1"/>
    <mergeCell ref="CZ1:DF1"/>
    <mergeCell ref="DN1:DT1"/>
    <mergeCell ref="DU1:EA1"/>
    <mergeCell ref="DG1:DM1"/>
    <mergeCell ref="CL1:CR1"/>
    <mergeCell ref="AH1:AN1"/>
    <mergeCell ref="AO1:AU1"/>
    <mergeCell ref="AV1:BB1"/>
    <mergeCell ref="A1:O1"/>
    <mergeCell ref="P1:AB1"/>
    <mergeCell ref="AC1:AG1"/>
    <mergeCell ref="BC1:BI1"/>
    <mergeCell ref="BJ1:BP1"/>
    <mergeCell ref="BQ1:BW1"/>
    <mergeCell ref="BX1:CD1"/>
    <mergeCell ref="CE1:CK1"/>
  </mergeCells>
  <pageMargins left="0.27559055118110237" right="0" top="0.59055118110236227" bottom="0.35433070866141736" header="0.31496062992125984" footer="0.31496062992125984"/>
  <pageSetup paperSize="9" scale="75" firstPageNumber="73" orientation="landscape" useFirstPageNumber="1" r:id="rId1"/>
  <headerFooter>
    <oddFooter>&amp;C&amp;P</oddFooter>
  </headerFooter>
  <colBreaks count="16" manualBreakCount="16">
    <brk id="28" max="1048575" man="1"/>
    <brk id="33" max="1048575" man="1"/>
    <brk id="40" max="1048575" man="1"/>
    <brk id="47" max="1048575" man="1"/>
    <brk id="54" max="1048575" man="1"/>
    <brk id="61" max="1048575" man="1"/>
    <brk id="68" max="1048575" man="1"/>
    <brk id="75" max="1048575" man="1"/>
    <brk id="82" max="1048575" man="1"/>
    <brk id="89" max="1048575" man="1"/>
    <brk id="96" max="1048575" man="1"/>
    <brk id="103" max="1048575" man="1"/>
    <brk id="110" max="1048575" man="1"/>
    <brk id="117" max="1048575" man="1"/>
    <brk id="124" max="1048575" man="1"/>
    <brk id="131" max="41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CF6C-35EB-41D9-B48E-A1AD3BF43221}">
  <dimension ref="A1:EH130"/>
  <sheetViews>
    <sheetView view="pageBreakPreview" zoomScale="70" zoomScaleNormal="70" zoomScaleSheetLayoutView="70" workbookViewId="0">
      <selection activeCell="A67" sqref="A67:C80"/>
    </sheetView>
  </sheetViews>
  <sheetFormatPr defaultColWidth="7.77734375" defaultRowHeight="10.199999999999999" customHeight="1" x14ac:dyDescent="0.2"/>
  <cols>
    <col min="1" max="1" width="4.6640625" style="9" customWidth="1"/>
    <col min="2" max="2" width="16.33203125" style="1" customWidth="1"/>
    <col min="3" max="3" width="11.21875" style="1" customWidth="1"/>
    <col min="4" max="4" width="13.44140625" style="1" customWidth="1"/>
    <col min="5" max="5" width="14.109375" style="1" bestFit="1" customWidth="1"/>
    <col min="6" max="6" width="12.77734375" style="1" customWidth="1"/>
    <col min="7" max="7" width="11.21875" style="1" customWidth="1"/>
    <col min="8" max="8" width="13.44140625" style="1" customWidth="1"/>
    <col min="9" max="9" width="12.77734375" style="1" customWidth="1"/>
    <col min="10" max="10" width="13.33203125" style="1" customWidth="1"/>
    <col min="11" max="11" width="12.44140625" style="1" customWidth="1"/>
    <col min="12" max="13" width="13.44140625" style="1" customWidth="1"/>
    <col min="14" max="14" width="13.77734375" style="1" customWidth="1"/>
    <col min="15" max="15" width="14.6640625" style="1" customWidth="1"/>
    <col min="16" max="16" width="4.5546875" style="9" customWidth="1"/>
    <col min="17" max="17" width="16.109375" style="1" customWidth="1"/>
    <col min="18" max="18" width="12.6640625" style="1" bestFit="1" customWidth="1"/>
    <col min="19" max="19" width="14.88671875" style="1" bestFit="1" customWidth="1"/>
    <col min="20" max="20" width="16" style="1" bestFit="1" customWidth="1"/>
    <col min="21" max="21" width="14.21875" style="1" bestFit="1" customWidth="1"/>
    <col min="22" max="22" width="13" style="1" bestFit="1" customWidth="1"/>
    <col min="23" max="23" width="14.21875" style="1" bestFit="1" customWidth="1"/>
    <col min="24" max="24" width="13.77734375" style="1" bestFit="1" customWidth="1"/>
    <col min="25" max="25" width="15.88671875" style="1" bestFit="1" customWidth="1"/>
    <col min="26" max="26" width="14" style="1" bestFit="1" customWidth="1"/>
    <col min="27" max="27" width="14.88671875" style="1" bestFit="1" customWidth="1"/>
    <col min="28" max="28" width="16.21875" style="1" bestFit="1" customWidth="1"/>
    <col min="29" max="29" width="7.77734375" style="9"/>
    <col min="30" max="30" width="44.21875" style="1" customWidth="1"/>
    <col min="31" max="33" width="14.33203125" style="1" customWidth="1"/>
    <col min="34" max="34" width="7.77734375" style="9"/>
    <col min="35" max="35" width="44.21875" style="1" customWidth="1"/>
    <col min="36" max="40" width="14.5546875" style="1" customWidth="1"/>
    <col min="41" max="41" width="7.77734375" style="9"/>
    <col min="42" max="42" width="44.21875" style="1" customWidth="1"/>
    <col min="43" max="47" width="14.33203125" style="1" customWidth="1"/>
    <col min="48" max="48" width="7.77734375" style="9"/>
    <col min="49" max="49" width="44.21875" style="1" customWidth="1"/>
    <col min="50" max="54" width="14.5546875" style="1" customWidth="1"/>
    <col min="55" max="55" width="7.77734375" style="9"/>
    <col min="56" max="56" width="44.21875" style="1" customWidth="1"/>
    <col min="57" max="61" width="14.5546875" style="1" customWidth="1"/>
    <col min="62" max="62" width="7.77734375" style="9"/>
    <col min="63" max="63" width="44.21875" style="1" customWidth="1"/>
    <col min="64" max="68" width="14.5546875" style="1" customWidth="1"/>
    <col min="69" max="69" width="7.77734375" style="9"/>
    <col min="70" max="70" width="44.21875" style="1" customWidth="1"/>
    <col min="71" max="75" width="14.44140625" style="1" customWidth="1"/>
    <col min="76" max="76" width="7.77734375" style="9"/>
    <col min="77" max="77" width="44.21875" style="1" customWidth="1"/>
    <col min="78" max="82" width="14.33203125" style="1" customWidth="1"/>
    <col min="83" max="83" width="7.77734375" style="9"/>
    <col min="84" max="84" width="44.21875" style="1" customWidth="1"/>
    <col min="85" max="89" width="14.33203125" style="1" customWidth="1"/>
    <col min="90" max="90" width="7.77734375" style="9"/>
    <col min="91" max="91" width="44.21875" style="1" customWidth="1"/>
    <col min="92" max="96" width="14.44140625" style="1" customWidth="1"/>
    <col min="97" max="97" width="7.77734375" style="9"/>
    <col min="98" max="98" width="44.21875" style="1" customWidth="1"/>
    <col min="99" max="103" width="14.5546875" style="1" customWidth="1"/>
    <col min="104" max="104" width="7.77734375" style="9"/>
    <col min="105" max="105" width="44.21875" style="1" customWidth="1"/>
    <col min="106" max="110" width="14.21875" style="1" customWidth="1"/>
    <col min="111" max="111" width="7.77734375" style="9"/>
    <col min="112" max="112" width="44.21875" style="1" customWidth="1"/>
    <col min="113" max="114" width="9.44140625" style="1" bestFit="1" customWidth="1"/>
    <col min="115" max="115" width="11.6640625" style="1" bestFit="1" customWidth="1"/>
    <col min="116" max="117" width="13.5546875" style="1" bestFit="1" customWidth="1"/>
    <col min="118" max="118" width="7.77734375" style="9"/>
    <col min="119" max="119" width="44.21875" style="1" customWidth="1"/>
    <col min="120" max="124" width="14.44140625" style="1" customWidth="1"/>
    <col min="125" max="125" width="7.77734375" style="9"/>
    <col min="126" max="126" width="44.21875" style="1" customWidth="1"/>
    <col min="127" max="131" width="14.44140625" style="1" customWidth="1"/>
    <col min="132" max="132" width="7.77734375" style="9"/>
    <col min="133" max="133" width="44.21875" style="1" customWidth="1"/>
    <col min="134" max="138" width="14.44140625" style="1" customWidth="1"/>
    <col min="139" max="16384" width="7.77734375" style="1"/>
  </cols>
  <sheetData>
    <row r="1" spans="1:138" s="38" customFormat="1" ht="21" customHeight="1" x14ac:dyDescent="0.3">
      <c r="A1" s="97" t="s">
        <v>231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 t="s">
        <v>232</v>
      </c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 t="s">
        <v>233</v>
      </c>
      <c r="AD1" s="97"/>
      <c r="AE1" s="97"/>
      <c r="AF1" s="97"/>
      <c r="AG1" s="97"/>
      <c r="AH1" s="97" t="s">
        <v>234</v>
      </c>
      <c r="AI1" s="97"/>
      <c r="AJ1" s="97"/>
      <c r="AK1" s="97"/>
      <c r="AL1" s="97"/>
      <c r="AM1" s="97"/>
      <c r="AN1" s="97"/>
      <c r="AO1" s="97" t="s">
        <v>235</v>
      </c>
      <c r="AP1" s="97"/>
      <c r="AQ1" s="97"/>
      <c r="AR1" s="97"/>
      <c r="AS1" s="97"/>
      <c r="AT1" s="97"/>
      <c r="AU1" s="97"/>
      <c r="AV1" s="97" t="s">
        <v>236</v>
      </c>
      <c r="AW1" s="97"/>
      <c r="AX1" s="97"/>
      <c r="AY1" s="97"/>
      <c r="AZ1" s="97"/>
      <c r="BA1" s="97"/>
      <c r="BB1" s="97"/>
      <c r="BC1" s="97" t="s">
        <v>237</v>
      </c>
      <c r="BD1" s="97"/>
      <c r="BE1" s="97"/>
      <c r="BF1" s="97"/>
      <c r="BG1" s="97"/>
      <c r="BH1" s="97"/>
      <c r="BI1" s="97"/>
      <c r="BJ1" s="97" t="s">
        <v>238</v>
      </c>
      <c r="BK1" s="97"/>
      <c r="BL1" s="97"/>
      <c r="BM1" s="97"/>
      <c r="BN1" s="97"/>
      <c r="BO1" s="97"/>
      <c r="BP1" s="97"/>
      <c r="BQ1" s="97" t="s">
        <v>239</v>
      </c>
      <c r="BR1" s="97"/>
      <c r="BS1" s="97"/>
      <c r="BT1" s="97"/>
      <c r="BU1" s="97"/>
      <c r="BV1" s="97"/>
      <c r="BW1" s="97"/>
      <c r="BX1" s="97" t="s">
        <v>240</v>
      </c>
      <c r="BY1" s="97"/>
      <c r="BZ1" s="97"/>
      <c r="CA1" s="97"/>
      <c r="CB1" s="97"/>
      <c r="CC1" s="97"/>
      <c r="CD1" s="97"/>
      <c r="CE1" s="97" t="s">
        <v>241</v>
      </c>
      <c r="CF1" s="97"/>
      <c r="CG1" s="97"/>
      <c r="CH1" s="97"/>
      <c r="CI1" s="97"/>
      <c r="CJ1" s="97"/>
      <c r="CK1" s="97"/>
      <c r="CL1" s="97" t="s">
        <v>242</v>
      </c>
      <c r="CM1" s="97"/>
      <c r="CN1" s="97"/>
      <c r="CO1" s="97"/>
      <c r="CP1" s="97"/>
      <c r="CQ1" s="97"/>
      <c r="CR1" s="97"/>
      <c r="CS1" s="97" t="s">
        <v>243</v>
      </c>
      <c r="CT1" s="97"/>
      <c r="CU1" s="97"/>
      <c r="CV1" s="97"/>
      <c r="CW1" s="97"/>
      <c r="CX1" s="97"/>
      <c r="CY1" s="97"/>
      <c r="CZ1" s="97" t="s">
        <v>244</v>
      </c>
      <c r="DA1" s="97"/>
      <c r="DB1" s="97"/>
      <c r="DC1" s="97"/>
      <c r="DD1" s="97"/>
      <c r="DE1" s="97"/>
      <c r="DF1" s="97"/>
      <c r="DG1" s="97" t="s">
        <v>245</v>
      </c>
      <c r="DH1" s="97"/>
      <c r="DI1" s="97"/>
      <c r="DJ1" s="97"/>
      <c r="DK1" s="97"/>
      <c r="DL1" s="97"/>
      <c r="DM1" s="97"/>
      <c r="DN1" s="97" t="s">
        <v>246</v>
      </c>
      <c r="DO1" s="97"/>
      <c r="DP1" s="97"/>
      <c r="DQ1" s="97"/>
      <c r="DR1" s="97"/>
      <c r="DS1" s="97"/>
      <c r="DT1" s="97"/>
      <c r="DU1" s="97" t="s">
        <v>247</v>
      </c>
      <c r="DV1" s="97"/>
      <c r="DW1" s="97"/>
      <c r="DX1" s="97"/>
      <c r="DY1" s="97"/>
      <c r="DZ1" s="97"/>
      <c r="EA1" s="97"/>
      <c r="EB1" s="97" t="s">
        <v>248</v>
      </c>
      <c r="EC1" s="97"/>
      <c r="ED1" s="97"/>
      <c r="EE1" s="97"/>
      <c r="EF1" s="97"/>
      <c r="EG1" s="97"/>
      <c r="EH1" s="97"/>
    </row>
    <row r="2" spans="1:138" s="10" customFormat="1" ht="21" customHeight="1" x14ac:dyDescent="0.3">
      <c r="A2" s="98" t="s">
        <v>0</v>
      </c>
      <c r="B2" s="98" t="s">
        <v>1</v>
      </c>
      <c r="C2" s="98" t="s">
        <v>4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 t="s">
        <v>3</v>
      </c>
      <c r="P2" s="98" t="s">
        <v>0</v>
      </c>
      <c r="Q2" s="98" t="s">
        <v>1</v>
      </c>
      <c r="R2" s="98" t="s">
        <v>4</v>
      </c>
      <c r="S2" s="98"/>
      <c r="T2" s="98"/>
      <c r="U2" s="98"/>
      <c r="V2" s="98"/>
      <c r="W2" s="98"/>
      <c r="X2" s="98"/>
      <c r="Y2" s="98"/>
      <c r="Z2" s="98"/>
      <c r="AA2" s="98"/>
      <c r="AB2" s="98" t="s">
        <v>3</v>
      </c>
      <c r="AC2" s="98" t="s">
        <v>0</v>
      </c>
      <c r="AD2" s="98" t="s">
        <v>1</v>
      </c>
      <c r="AE2" s="98" t="s">
        <v>4</v>
      </c>
      <c r="AF2" s="98"/>
      <c r="AG2" s="98" t="s">
        <v>3</v>
      </c>
      <c r="AH2" s="98" t="s">
        <v>0</v>
      </c>
      <c r="AI2" s="98" t="s">
        <v>1</v>
      </c>
      <c r="AJ2" s="98" t="s">
        <v>2</v>
      </c>
      <c r="AK2" s="98"/>
      <c r="AL2" s="98"/>
      <c r="AM2" s="98"/>
      <c r="AN2" s="98" t="s">
        <v>3</v>
      </c>
      <c r="AO2" s="98" t="s">
        <v>0</v>
      </c>
      <c r="AP2" s="98" t="s">
        <v>1</v>
      </c>
      <c r="AQ2" s="98" t="s">
        <v>2</v>
      </c>
      <c r="AR2" s="98"/>
      <c r="AS2" s="98"/>
      <c r="AT2" s="98"/>
      <c r="AU2" s="98" t="s">
        <v>3</v>
      </c>
      <c r="AV2" s="98" t="s">
        <v>0</v>
      </c>
      <c r="AW2" s="98" t="s">
        <v>1</v>
      </c>
      <c r="AX2" s="98" t="s">
        <v>2</v>
      </c>
      <c r="AY2" s="98"/>
      <c r="AZ2" s="98"/>
      <c r="BA2" s="98"/>
      <c r="BB2" s="98" t="s">
        <v>3</v>
      </c>
      <c r="BC2" s="98" t="s">
        <v>0</v>
      </c>
      <c r="BD2" s="98" t="s">
        <v>1</v>
      </c>
      <c r="BE2" s="98" t="s">
        <v>2</v>
      </c>
      <c r="BF2" s="98"/>
      <c r="BG2" s="98"/>
      <c r="BH2" s="98"/>
      <c r="BI2" s="98" t="s">
        <v>3</v>
      </c>
      <c r="BJ2" s="98" t="s">
        <v>0</v>
      </c>
      <c r="BK2" s="98" t="s">
        <v>1</v>
      </c>
      <c r="BL2" s="98" t="s">
        <v>2</v>
      </c>
      <c r="BM2" s="98"/>
      <c r="BN2" s="98"/>
      <c r="BO2" s="98"/>
      <c r="BP2" s="98" t="s">
        <v>3</v>
      </c>
      <c r="BQ2" s="98" t="s">
        <v>0</v>
      </c>
      <c r="BR2" s="98" t="s">
        <v>1</v>
      </c>
      <c r="BS2" s="98" t="s">
        <v>2</v>
      </c>
      <c r="BT2" s="98"/>
      <c r="BU2" s="98"/>
      <c r="BV2" s="98"/>
      <c r="BW2" s="98" t="s">
        <v>3</v>
      </c>
      <c r="BX2" s="98" t="s">
        <v>0</v>
      </c>
      <c r="BY2" s="98" t="s">
        <v>1</v>
      </c>
      <c r="BZ2" s="98" t="s">
        <v>2</v>
      </c>
      <c r="CA2" s="98"/>
      <c r="CB2" s="98"/>
      <c r="CC2" s="98"/>
      <c r="CD2" s="98" t="s">
        <v>3</v>
      </c>
      <c r="CE2" s="98" t="s">
        <v>0</v>
      </c>
      <c r="CF2" s="98" t="s">
        <v>1</v>
      </c>
      <c r="CG2" s="98" t="s">
        <v>2</v>
      </c>
      <c r="CH2" s="98"/>
      <c r="CI2" s="98"/>
      <c r="CJ2" s="98"/>
      <c r="CK2" s="98" t="s">
        <v>3</v>
      </c>
      <c r="CL2" s="98" t="s">
        <v>0</v>
      </c>
      <c r="CM2" s="98" t="s">
        <v>1</v>
      </c>
      <c r="CN2" s="98" t="s">
        <v>2</v>
      </c>
      <c r="CO2" s="98"/>
      <c r="CP2" s="98"/>
      <c r="CQ2" s="98"/>
      <c r="CR2" s="98" t="s">
        <v>3</v>
      </c>
      <c r="CS2" s="98" t="s">
        <v>0</v>
      </c>
      <c r="CT2" s="98" t="s">
        <v>1</v>
      </c>
      <c r="CU2" s="98" t="s">
        <v>2</v>
      </c>
      <c r="CV2" s="98"/>
      <c r="CW2" s="98"/>
      <c r="CX2" s="98"/>
      <c r="CY2" s="98" t="s">
        <v>3</v>
      </c>
      <c r="CZ2" s="98" t="s">
        <v>0</v>
      </c>
      <c r="DA2" s="98" t="s">
        <v>1</v>
      </c>
      <c r="DB2" s="98" t="s">
        <v>2</v>
      </c>
      <c r="DC2" s="98"/>
      <c r="DD2" s="98"/>
      <c r="DE2" s="98"/>
      <c r="DF2" s="98" t="s">
        <v>3</v>
      </c>
      <c r="DG2" s="98" t="s">
        <v>0</v>
      </c>
      <c r="DH2" s="98" t="s">
        <v>1</v>
      </c>
      <c r="DI2" s="98" t="s">
        <v>2</v>
      </c>
      <c r="DJ2" s="98"/>
      <c r="DK2" s="98"/>
      <c r="DL2" s="98"/>
      <c r="DM2" s="98" t="s">
        <v>3</v>
      </c>
      <c r="DN2" s="98" t="s">
        <v>0</v>
      </c>
      <c r="DO2" s="98" t="s">
        <v>1</v>
      </c>
      <c r="DP2" s="98" t="s">
        <v>2</v>
      </c>
      <c r="DQ2" s="98"/>
      <c r="DR2" s="98"/>
      <c r="DS2" s="98"/>
      <c r="DT2" s="98" t="s">
        <v>3</v>
      </c>
      <c r="DU2" s="98" t="s">
        <v>0</v>
      </c>
      <c r="DV2" s="98" t="s">
        <v>1</v>
      </c>
      <c r="DW2" s="98" t="s">
        <v>2</v>
      </c>
      <c r="DX2" s="98"/>
      <c r="DY2" s="98"/>
      <c r="DZ2" s="98"/>
      <c r="EA2" s="98" t="s">
        <v>3</v>
      </c>
      <c r="EB2" s="98" t="s">
        <v>0</v>
      </c>
      <c r="EC2" s="98" t="s">
        <v>1</v>
      </c>
      <c r="ED2" s="98" t="s">
        <v>2</v>
      </c>
      <c r="EE2" s="98"/>
      <c r="EF2" s="98"/>
      <c r="EG2" s="98"/>
      <c r="EH2" s="98" t="s">
        <v>3</v>
      </c>
    </row>
    <row r="3" spans="1:138" s="10" customFormat="1" ht="48.6" customHeight="1" x14ac:dyDescent="0.3">
      <c r="A3" s="98"/>
      <c r="B3" s="98"/>
      <c r="C3" s="11" t="s">
        <v>9</v>
      </c>
      <c r="D3" s="11" t="s">
        <v>10</v>
      </c>
      <c r="E3" s="11" t="s">
        <v>11</v>
      </c>
      <c r="F3" s="11" t="s">
        <v>12</v>
      </c>
      <c r="G3" s="24" t="s">
        <v>13</v>
      </c>
      <c r="H3" s="24" t="s">
        <v>14</v>
      </c>
      <c r="I3" s="24" t="s">
        <v>131</v>
      </c>
      <c r="J3" s="24" t="s">
        <v>132</v>
      </c>
      <c r="K3" s="24" t="s">
        <v>17</v>
      </c>
      <c r="L3" s="24" t="s">
        <v>18</v>
      </c>
      <c r="M3" s="24" t="s">
        <v>19</v>
      </c>
      <c r="N3" s="24" t="s">
        <v>133</v>
      </c>
      <c r="O3" s="98"/>
      <c r="P3" s="98"/>
      <c r="Q3" s="98"/>
      <c r="R3" s="11" t="s">
        <v>9</v>
      </c>
      <c r="S3" s="11" t="s">
        <v>10</v>
      </c>
      <c r="T3" s="11" t="s">
        <v>11</v>
      </c>
      <c r="U3" s="11" t="s">
        <v>12</v>
      </c>
      <c r="V3" s="24" t="s">
        <v>13</v>
      </c>
      <c r="W3" s="24" t="s">
        <v>14</v>
      </c>
      <c r="X3" s="24" t="s">
        <v>131</v>
      </c>
      <c r="Y3" s="24" t="s">
        <v>132</v>
      </c>
      <c r="Z3" s="24" t="s">
        <v>134</v>
      </c>
      <c r="AA3" s="24" t="s">
        <v>18</v>
      </c>
      <c r="AB3" s="98"/>
      <c r="AC3" s="98"/>
      <c r="AD3" s="98"/>
      <c r="AE3" s="24" t="s">
        <v>19</v>
      </c>
      <c r="AF3" s="24" t="s">
        <v>137</v>
      </c>
      <c r="AG3" s="98"/>
      <c r="AH3" s="98"/>
      <c r="AI3" s="98"/>
      <c r="AJ3" s="11" t="s">
        <v>5</v>
      </c>
      <c r="AK3" s="11" t="s">
        <v>6</v>
      </c>
      <c r="AL3" s="11" t="s">
        <v>7</v>
      </c>
      <c r="AM3" s="11" t="s">
        <v>8</v>
      </c>
      <c r="AN3" s="98"/>
      <c r="AO3" s="98"/>
      <c r="AP3" s="98"/>
      <c r="AQ3" s="11" t="s">
        <v>5</v>
      </c>
      <c r="AR3" s="11" t="s">
        <v>6</v>
      </c>
      <c r="AS3" s="11" t="s">
        <v>7</v>
      </c>
      <c r="AT3" s="11" t="s">
        <v>8</v>
      </c>
      <c r="AU3" s="98"/>
      <c r="AV3" s="98"/>
      <c r="AW3" s="98"/>
      <c r="AX3" s="11" t="s">
        <v>5</v>
      </c>
      <c r="AY3" s="11" t="s">
        <v>6</v>
      </c>
      <c r="AZ3" s="11" t="s">
        <v>7</v>
      </c>
      <c r="BA3" s="11" t="s">
        <v>8</v>
      </c>
      <c r="BB3" s="98"/>
      <c r="BC3" s="98"/>
      <c r="BD3" s="98"/>
      <c r="BE3" s="11" t="s">
        <v>5</v>
      </c>
      <c r="BF3" s="11" t="s">
        <v>6</v>
      </c>
      <c r="BG3" s="11" t="s">
        <v>7</v>
      </c>
      <c r="BH3" s="11" t="s">
        <v>8</v>
      </c>
      <c r="BI3" s="98"/>
      <c r="BJ3" s="98"/>
      <c r="BK3" s="98"/>
      <c r="BL3" s="11" t="s">
        <v>5</v>
      </c>
      <c r="BM3" s="11" t="s">
        <v>6</v>
      </c>
      <c r="BN3" s="11" t="s">
        <v>7</v>
      </c>
      <c r="BO3" s="11" t="s">
        <v>8</v>
      </c>
      <c r="BP3" s="98"/>
      <c r="BQ3" s="98"/>
      <c r="BR3" s="98"/>
      <c r="BS3" s="11" t="s">
        <v>5</v>
      </c>
      <c r="BT3" s="11" t="s">
        <v>6</v>
      </c>
      <c r="BU3" s="11" t="s">
        <v>7</v>
      </c>
      <c r="BV3" s="11" t="s">
        <v>8</v>
      </c>
      <c r="BW3" s="98"/>
      <c r="BX3" s="98"/>
      <c r="BY3" s="98"/>
      <c r="BZ3" s="11" t="s">
        <v>5</v>
      </c>
      <c r="CA3" s="11" t="s">
        <v>6</v>
      </c>
      <c r="CB3" s="11" t="s">
        <v>7</v>
      </c>
      <c r="CC3" s="11" t="s">
        <v>8</v>
      </c>
      <c r="CD3" s="98"/>
      <c r="CE3" s="98"/>
      <c r="CF3" s="98"/>
      <c r="CG3" s="11" t="s">
        <v>5</v>
      </c>
      <c r="CH3" s="11" t="s">
        <v>6</v>
      </c>
      <c r="CI3" s="11" t="s">
        <v>7</v>
      </c>
      <c r="CJ3" s="11" t="s">
        <v>8</v>
      </c>
      <c r="CK3" s="98"/>
      <c r="CL3" s="98"/>
      <c r="CM3" s="98"/>
      <c r="CN3" s="11" t="s">
        <v>5</v>
      </c>
      <c r="CO3" s="11" t="s">
        <v>6</v>
      </c>
      <c r="CP3" s="11" t="s">
        <v>7</v>
      </c>
      <c r="CQ3" s="11" t="s">
        <v>8</v>
      </c>
      <c r="CR3" s="98"/>
      <c r="CS3" s="98"/>
      <c r="CT3" s="98"/>
      <c r="CU3" s="11" t="s">
        <v>5</v>
      </c>
      <c r="CV3" s="11" t="s">
        <v>6</v>
      </c>
      <c r="CW3" s="11" t="s">
        <v>7</v>
      </c>
      <c r="CX3" s="11" t="s">
        <v>8</v>
      </c>
      <c r="CY3" s="98"/>
      <c r="CZ3" s="98"/>
      <c r="DA3" s="98"/>
      <c r="DB3" s="11" t="s">
        <v>5</v>
      </c>
      <c r="DC3" s="11" t="s">
        <v>6</v>
      </c>
      <c r="DD3" s="11" t="s">
        <v>7</v>
      </c>
      <c r="DE3" s="11" t="s">
        <v>8</v>
      </c>
      <c r="DF3" s="98"/>
      <c r="DG3" s="98"/>
      <c r="DH3" s="98"/>
      <c r="DI3" s="11" t="s">
        <v>5</v>
      </c>
      <c r="DJ3" s="11" t="s">
        <v>6</v>
      </c>
      <c r="DK3" s="11" t="s">
        <v>7</v>
      </c>
      <c r="DL3" s="11" t="s">
        <v>8</v>
      </c>
      <c r="DM3" s="98"/>
      <c r="DN3" s="98"/>
      <c r="DO3" s="98"/>
      <c r="DP3" s="11" t="s">
        <v>5</v>
      </c>
      <c r="DQ3" s="11" t="s">
        <v>6</v>
      </c>
      <c r="DR3" s="11" t="s">
        <v>7</v>
      </c>
      <c r="DS3" s="11" t="s">
        <v>8</v>
      </c>
      <c r="DT3" s="98"/>
      <c r="DU3" s="98"/>
      <c r="DV3" s="98"/>
      <c r="DW3" s="11" t="s">
        <v>5</v>
      </c>
      <c r="DX3" s="11" t="s">
        <v>6</v>
      </c>
      <c r="DY3" s="11" t="s">
        <v>7</v>
      </c>
      <c r="DZ3" s="11" t="s">
        <v>8</v>
      </c>
      <c r="EA3" s="98"/>
      <c r="EB3" s="98"/>
      <c r="EC3" s="98"/>
      <c r="ED3" s="11" t="s">
        <v>5</v>
      </c>
      <c r="EE3" s="11" t="s">
        <v>6</v>
      </c>
      <c r="EF3" s="11" t="s">
        <v>7</v>
      </c>
      <c r="EG3" s="11" t="s">
        <v>8</v>
      </c>
      <c r="EH3" s="98"/>
    </row>
    <row r="4" spans="1:138" ht="10.199999999999999" customHeight="1" x14ac:dyDescent="0.2">
      <c r="A4" s="7" t="s">
        <v>110</v>
      </c>
      <c r="B4" s="2" t="s">
        <v>38</v>
      </c>
      <c r="C4" s="3">
        <f>BI4</f>
        <v>376039180.77049112</v>
      </c>
      <c r="D4" s="3">
        <f>BP4</f>
        <v>35613161531.834839</v>
      </c>
      <c r="E4" s="3">
        <f>BW4</f>
        <v>7168484771.3527985</v>
      </c>
      <c r="F4" s="3">
        <f>CD4</f>
        <v>63897849.225692019</v>
      </c>
      <c r="G4" s="3">
        <f>CK4</f>
        <v>16045230986.138397</v>
      </c>
      <c r="H4" s="3">
        <f>CR4</f>
        <v>0</v>
      </c>
      <c r="I4" s="3">
        <f>CY4</f>
        <v>122490743.1623348</v>
      </c>
      <c r="J4" s="3">
        <f>DM4</f>
        <v>8652679.6054091956</v>
      </c>
      <c r="K4" s="3">
        <f>DF4</f>
        <v>2074070503.2548814</v>
      </c>
      <c r="L4" s="3">
        <f>DT4</f>
        <v>920839388.50471711</v>
      </c>
      <c r="M4" s="3">
        <f>EH4</f>
        <v>389400651.39948559</v>
      </c>
      <c r="N4" s="3">
        <f>EA4</f>
        <v>7958773.6352685839</v>
      </c>
      <c r="O4" s="3">
        <f>SUM(C4:N4)</f>
        <v>62790227058.884315</v>
      </c>
      <c r="P4" s="7" t="s">
        <v>110</v>
      </c>
      <c r="Q4" s="2" t="s">
        <v>38</v>
      </c>
      <c r="R4" s="3">
        <f t="shared" ref="R4:AA4" si="0">C4</f>
        <v>376039180.77049112</v>
      </c>
      <c r="S4" s="3">
        <f t="shared" si="0"/>
        <v>35613161531.834839</v>
      </c>
      <c r="T4" s="3">
        <f t="shared" si="0"/>
        <v>7168484771.3527985</v>
      </c>
      <c r="U4" s="3">
        <f t="shared" si="0"/>
        <v>63897849.225692019</v>
      </c>
      <c r="V4" s="3">
        <f t="shared" si="0"/>
        <v>16045230986.138397</v>
      </c>
      <c r="W4" s="3">
        <f t="shared" si="0"/>
        <v>0</v>
      </c>
      <c r="X4" s="3">
        <f t="shared" si="0"/>
        <v>122490743.1623348</v>
      </c>
      <c r="Y4" s="3">
        <f t="shared" si="0"/>
        <v>8652679.6054091956</v>
      </c>
      <c r="Z4" s="3">
        <f t="shared" si="0"/>
        <v>2074070503.2548814</v>
      </c>
      <c r="AA4" s="3">
        <f t="shared" si="0"/>
        <v>920839388.50471711</v>
      </c>
      <c r="AB4" s="3">
        <f>SUM(R4:AA4)</f>
        <v>62392867633.849564</v>
      </c>
      <c r="AC4" s="7" t="s">
        <v>110</v>
      </c>
      <c r="AD4" s="2" t="s">
        <v>38</v>
      </c>
      <c r="AE4" s="3">
        <f>M4</f>
        <v>389400651.39948559</v>
      </c>
      <c r="AF4" s="3">
        <f>N4</f>
        <v>7958773.6352685839</v>
      </c>
      <c r="AG4" s="3">
        <f>SUM(AE4:AF4)</f>
        <v>397359425.03475416</v>
      </c>
      <c r="AH4" s="7" t="s">
        <v>110</v>
      </c>
      <c r="AI4" s="2" t="s">
        <v>38</v>
      </c>
      <c r="AJ4" s="3">
        <f>AQ4+AX4</f>
        <v>26421789174.849258</v>
      </c>
      <c r="AK4" s="3">
        <f t="shared" ref="AK4:AM19" si="1">AR4+AY4</f>
        <v>31026510928.688126</v>
      </c>
      <c r="AL4" s="3">
        <f t="shared" si="1"/>
        <v>5341926955.3469353</v>
      </c>
      <c r="AM4" s="3">
        <f t="shared" si="1"/>
        <v>0</v>
      </c>
      <c r="AN4" s="3">
        <f>SUM(AJ4:AM4)</f>
        <v>62790227058.884323</v>
      </c>
      <c r="AO4" s="7" t="s">
        <v>110</v>
      </c>
      <c r="AP4" s="2" t="s">
        <v>38</v>
      </c>
      <c r="AQ4" s="3">
        <f>BE4+BL4+BS4+BZ4+CG4+CN4+CU4+DB4+DI4+DP4</f>
        <v>26030492617.167183</v>
      </c>
      <c r="AR4" s="3">
        <f t="shared" ref="AR4:AT19" si="2">BF4+BM4+BT4+CA4+CH4+CO4+CV4+DC4+DJ4+DQ4</f>
        <v>31020448061.335445</v>
      </c>
      <c r="AS4" s="3">
        <f t="shared" si="2"/>
        <v>5341926955.3469353</v>
      </c>
      <c r="AT4" s="3">
        <f t="shared" si="2"/>
        <v>0</v>
      </c>
      <c r="AU4" s="3">
        <f>SUM(AQ4:AT4)</f>
        <v>62392867633.849564</v>
      </c>
      <c r="AV4" s="7" t="s">
        <v>110</v>
      </c>
      <c r="AW4" s="2" t="s">
        <v>38</v>
      </c>
      <c r="AX4" s="3">
        <f>DW4+ED4</f>
        <v>391296557.68207455</v>
      </c>
      <c r="AY4" s="3">
        <f t="shared" ref="AY4:BA19" si="3">DX4+EE4</f>
        <v>6062867.3526795954</v>
      </c>
      <c r="AZ4" s="3">
        <f t="shared" si="3"/>
        <v>0</v>
      </c>
      <c r="BA4" s="3">
        <f t="shared" si="3"/>
        <v>0</v>
      </c>
      <c r="BB4" s="3">
        <f>SUM(AX4:BA4)</f>
        <v>397359425.03475416</v>
      </c>
      <c r="BC4" s="7" t="s">
        <v>110</v>
      </c>
      <c r="BD4" s="2" t="s">
        <v>38</v>
      </c>
      <c r="BE4" s="3">
        <f>'Hasil (Rp)'!BE4-Biaya!BE4</f>
        <v>376039180.77049112</v>
      </c>
      <c r="BF4" s="3">
        <f>'Hasil (Rp)'!BF4-Biaya!BF4</f>
        <v>0</v>
      </c>
      <c r="BG4" s="3">
        <f>'Hasil (Rp)'!BG4-Biaya!BG4</f>
        <v>0</v>
      </c>
      <c r="BH4" s="3">
        <f>'Hasil (Rp)'!BH4-Biaya!BH4</f>
        <v>0</v>
      </c>
      <c r="BI4" s="3">
        <f>'Hasil (Rp)'!BI4-Biaya!BI4</f>
        <v>376039180.77049112</v>
      </c>
      <c r="BJ4" s="7" t="s">
        <v>110</v>
      </c>
      <c r="BK4" s="2" t="s">
        <v>38</v>
      </c>
      <c r="BL4" s="3">
        <f>'Hasil (Rp)'!BL4-Biaya!BL4</f>
        <v>871442711.30348575</v>
      </c>
      <c r="BM4" s="3">
        <f>'Hasil (Rp)'!BM4-Biaya!BM4</f>
        <v>29399791865.184418</v>
      </c>
      <c r="BN4" s="3">
        <f>'Hasil (Rp)'!BN4-Biaya!BN4</f>
        <v>5341926955.3469353</v>
      </c>
      <c r="BO4" s="3">
        <f>'Hasil (Rp)'!BO4-Biaya!BO4</f>
        <v>0</v>
      </c>
      <c r="BP4" s="3">
        <f>'Hasil (Rp)'!BP4-Biaya!BP4</f>
        <v>35613161531.834839</v>
      </c>
      <c r="BQ4" s="7" t="s">
        <v>110</v>
      </c>
      <c r="BR4" s="2" t="s">
        <v>38</v>
      </c>
      <c r="BS4" s="3">
        <f>'Hasil (Rp)'!BS4-Biaya!BS4</f>
        <v>7168484771.3527985</v>
      </c>
      <c r="BT4" s="3">
        <f>'Hasil (Rp)'!BT4-Biaya!BT4</f>
        <v>0</v>
      </c>
      <c r="BU4" s="3">
        <f>'Hasil (Rp)'!BU4-Biaya!BU4</f>
        <v>0</v>
      </c>
      <c r="BV4" s="3">
        <f>'Hasil (Rp)'!BV4-Biaya!BV4</f>
        <v>0</v>
      </c>
      <c r="BW4" s="3">
        <f>'Hasil (Rp)'!BW4-Biaya!BW4</f>
        <v>7168484771.3527985</v>
      </c>
      <c r="BX4" s="7" t="s">
        <v>110</v>
      </c>
      <c r="BY4" s="2" t="s">
        <v>38</v>
      </c>
      <c r="BZ4" s="3">
        <f>'Hasil (Rp)'!BZ4-Biaya!BZ4</f>
        <v>63897849.225692019</v>
      </c>
      <c r="CA4" s="3">
        <f>'Hasil (Rp)'!CA4-Biaya!CA4</f>
        <v>0</v>
      </c>
      <c r="CB4" s="3">
        <f>'Hasil (Rp)'!CB4-Biaya!CB4</f>
        <v>0</v>
      </c>
      <c r="CC4" s="3">
        <f>'Hasil (Rp)'!CC4-Biaya!CC4</f>
        <v>0</v>
      </c>
      <c r="CD4" s="3">
        <f>'Hasil (Rp)'!CD4-Biaya!CD4</f>
        <v>63897849.225692019</v>
      </c>
      <c r="CE4" s="7" t="s">
        <v>110</v>
      </c>
      <c r="CF4" s="2" t="s">
        <v>38</v>
      </c>
      <c r="CG4" s="3">
        <f>'Hasil (Rp)'!CG4-Biaya!CG4</f>
        <v>14424574789.987373</v>
      </c>
      <c r="CH4" s="3">
        <f>'Hasil (Rp)'!CH4-Biaya!CH4</f>
        <v>1620656196.1510277</v>
      </c>
      <c r="CI4" s="3">
        <f>'Hasil (Rp)'!CI4-Biaya!CI4</f>
        <v>0</v>
      </c>
      <c r="CJ4" s="3">
        <f>'Hasil (Rp)'!CJ4-Biaya!CJ4</f>
        <v>0</v>
      </c>
      <c r="CK4" s="3">
        <f>'Hasil (Rp)'!CK4-Biaya!CK4</f>
        <v>16045230986.138397</v>
      </c>
      <c r="CL4" s="7" t="s">
        <v>110</v>
      </c>
      <c r="CM4" s="2" t="s">
        <v>38</v>
      </c>
      <c r="CN4" s="3">
        <f>'Hasil (Rp)'!CN4-Biaya!CN4</f>
        <v>0</v>
      </c>
      <c r="CO4" s="3">
        <f>'Hasil (Rp)'!CO4-Biaya!CO4</f>
        <v>0</v>
      </c>
      <c r="CP4" s="3">
        <f>'Hasil (Rp)'!CP4-Biaya!CP4</f>
        <v>0</v>
      </c>
      <c r="CQ4" s="3">
        <f>'Hasil (Rp)'!CQ4-Biaya!CQ4</f>
        <v>0</v>
      </c>
      <c r="CR4" s="3">
        <f>'Hasil (Rp)'!CR4-Biaya!CR4</f>
        <v>0</v>
      </c>
      <c r="CS4" s="7" t="s">
        <v>110</v>
      </c>
      <c r="CT4" s="2" t="s">
        <v>38</v>
      </c>
      <c r="CU4" s="3">
        <f>'Hasil (Rp)'!CU4-Biaya!CU4</f>
        <v>122490743.1623348</v>
      </c>
      <c r="CV4" s="3">
        <f>'Hasil (Rp)'!CV4-Biaya!CV4</f>
        <v>0</v>
      </c>
      <c r="CW4" s="3">
        <f>'Hasil (Rp)'!CW4-Biaya!CW4</f>
        <v>0</v>
      </c>
      <c r="CX4" s="3">
        <f>'Hasil (Rp)'!CX4-Biaya!CX4</f>
        <v>0</v>
      </c>
      <c r="CY4" s="3">
        <f>'Hasil (Rp)'!CY4-Biaya!CY4</f>
        <v>122490743.1623348</v>
      </c>
      <c r="CZ4" s="7" t="s">
        <v>110</v>
      </c>
      <c r="DA4" s="2" t="s">
        <v>38</v>
      </c>
      <c r="DB4" s="3">
        <f>'Hasil (Rp)'!DB4-Biaya!DB4</f>
        <v>2074070503.2548814</v>
      </c>
      <c r="DC4" s="3">
        <f>'Hasil (Rp)'!DC4-Biaya!DC4</f>
        <v>0</v>
      </c>
      <c r="DD4" s="3">
        <f>'Hasil (Rp)'!DD4-Biaya!DD4</f>
        <v>0</v>
      </c>
      <c r="DE4" s="3">
        <f>'Hasil (Rp)'!DE4-Biaya!DE4</f>
        <v>0</v>
      </c>
      <c r="DF4" s="3">
        <f>'Hasil (Rp)'!DF4-Biaya!DF4</f>
        <v>2074070503.2548814</v>
      </c>
      <c r="DG4" s="7" t="s">
        <v>110</v>
      </c>
      <c r="DH4" s="2" t="s">
        <v>38</v>
      </c>
      <c r="DI4" s="3">
        <f>'Hasil (Rp)'!DI4-Biaya!DI4</f>
        <v>8652679.6054091956</v>
      </c>
      <c r="DJ4" s="3">
        <f>'Hasil (Rp)'!DJ4-Biaya!DJ4</f>
        <v>0</v>
      </c>
      <c r="DK4" s="3">
        <f>'Hasil (Rp)'!DK4-Biaya!DK4</f>
        <v>0</v>
      </c>
      <c r="DL4" s="3">
        <f>'Hasil (Rp)'!DL4-Biaya!DL4</f>
        <v>0</v>
      </c>
      <c r="DM4" s="3">
        <f>'Hasil (Rp)'!DM4-Biaya!DM4</f>
        <v>8652679.6054091956</v>
      </c>
      <c r="DN4" s="7" t="s">
        <v>110</v>
      </c>
      <c r="DO4" s="2" t="s">
        <v>38</v>
      </c>
      <c r="DP4" s="3">
        <f>'Hasil (Rp)'!DP4-Biaya!DP4</f>
        <v>920839388.50471711</v>
      </c>
      <c r="DQ4" s="3">
        <f>'Hasil (Rp)'!DQ4-Biaya!DQ4</f>
        <v>0</v>
      </c>
      <c r="DR4" s="3">
        <f>'Hasil (Rp)'!DR4-Biaya!DR4</f>
        <v>0</v>
      </c>
      <c r="DS4" s="3">
        <f>'Hasil (Rp)'!DS4-Biaya!DS4</f>
        <v>0</v>
      </c>
      <c r="DT4" s="3">
        <f>'Hasil (Rp)'!DT4-Biaya!DT4</f>
        <v>920839388.50471711</v>
      </c>
      <c r="DU4" s="7" t="s">
        <v>110</v>
      </c>
      <c r="DV4" s="2" t="s">
        <v>38</v>
      </c>
      <c r="DW4" s="3">
        <f>'Hasil (Rp)'!DW4-Biaya!DW4</f>
        <v>1895906.282588983</v>
      </c>
      <c r="DX4" s="3">
        <f>'Hasil (Rp)'!DX4-Biaya!DX4</f>
        <v>6062867.3526795954</v>
      </c>
      <c r="DY4" s="3">
        <f>'Hasil (Rp)'!DY4-Biaya!DY4</f>
        <v>0</v>
      </c>
      <c r="DZ4" s="3">
        <f>'Hasil (Rp)'!DZ4-Biaya!DZ4</f>
        <v>0</v>
      </c>
      <c r="EA4" s="3">
        <f>'Hasil (Rp)'!EA4-Biaya!EA4</f>
        <v>7958773.6352685839</v>
      </c>
      <c r="EB4" s="7" t="s">
        <v>110</v>
      </c>
      <c r="EC4" s="2" t="s">
        <v>38</v>
      </c>
      <c r="ED4" s="3">
        <f>'Hasil (Rp)'!ED4-Biaya!ED4</f>
        <v>389400651.39948559</v>
      </c>
      <c r="EE4" s="3">
        <f>'Hasil (Rp)'!EE4-Biaya!EE4</f>
        <v>0</v>
      </c>
      <c r="EF4" s="3">
        <f>'Hasil (Rp)'!EF4-Biaya!EF4</f>
        <v>0</v>
      </c>
      <c r="EG4" s="3">
        <f>'Hasil (Rp)'!EG4-Biaya!EG4</f>
        <v>0</v>
      </c>
      <c r="EH4" s="3">
        <f>'Hasil (Rp)'!EH4-Biaya!EH4</f>
        <v>389400651.39948559</v>
      </c>
    </row>
    <row r="5" spans="1:138" ht="10.199999999999999" customHeight="1" x14ac:dyDescent="0.2">
      <c r="A5" s="7" t="s">
        <v>113</v>
      </c>
      <c r="B5" s="2" t="s">
        <v>41</v>
      </c>
      <c r="C5" s="3">
        <f t="shared" ref="C5:C41" si="4">BI5</f>
        <v>0</v>
      </c>
      <c r="D5" s="3">
        <f t="shared" ref="D5:D41" si="5">BP5</f>
        <v>545978824.56138289</v>
      </c>
      <c r="E5" s="3">
        <f t="shared" ref="E5:E41" si="6">BW5</f>
        <v>0</v>
      </c>
      <c r="F5" s="3">
        <f t="shared" ref="F5:F41" si="7">CD5</f>
        <v>0</v>
      </c>
      <c r="G5" s="3">
        <f t="shared" ref="G5:G41" si="8">CK5</f>
        <v>35773666.125278324</v>
      </c>
      <c r="H5" s="3">
        <f t="shared" ref="H5:H41" si="9">CR5</f>
        <v>0</v>
      </c>
      <c r="I5" s="3">
        <f t="shared" ref="I5:I41" si="10">CY5</f>
        <v>0</v>
      </c>
      <c r="J5" s="3">
        <f t="shared" ref="J5:J41" si="11">DM5</f>
        <v>0</v>
      </c>
      <c r="K5" s="3">
        <f t="shared" ref="K5:K41" si="12">DF5</f>
        <v>0</v>
      </c>
      <c r="L5" s="3">
        <f t="shared" ref="L5:L41" si="13">DT5</f>
        <v>19716539667.462425</v>
      </c>
      <c r="M5" s="3">
        <f t="shared" ref="M5:M41" si="14">EH5</f>
        <v>1680978628.2903361</v>
      </c>
      <c r="N5" s="3">
        <f t="shared" ref="N5:N41" si="15">EA5</f>
        <v>2922624237.8618164</v>
      </c>
      <c r="O5" s="3">
        <f t="shared" ref="O5:O41" si="16">SUM(C5:N5)</f>
        <v>24901895024.301239</v>
      </c>
      <c r="P5" s="7" t="s">
        <v>113</v>
      </c>
      <c r="Q5" s="2" t="s">
        <v>41</v>
      </c>
      <c r="R5" s="3">
        <f t="shared" ref="R5:AA30" si="17">C5</f>
        <v>0</v>
      </c>
      <c r="S5" s="3">
        <f t="shared" si="17"/>
        <v>545978824.56138289</v>
      </c>
      <c r="T5" s="3">
        <f t="shared" si="17"/>
        <v>0</v>
      </c>
      <c r="U5" s="3">
        <f t="shared" si="17"/>
        <v>0</v>
      </c>
      <c r="V5" s="3">
        <f t="shared" si="17"/>
        <v>35773666.125278324</v>
      </c>
      <c r="W5" s="3">
        <f t="shared" si="17"/>
        <v>0</v>
      </c>
      <c r="X5" s="3">
        <f t="shared" si="17"/>
        <v>0</v>
      </c>
      <c r="Y5" s="3">
        <f t="shared" si="17"/>
        <v>0</v>
      </c>
      <c r="Z5" s="3">
        <f t="shared" si="17"/>
        <v>0</v>
      </c>
      <c r="AA5" s="3">
        <f t="shared" si="17"/>
        <v>19716539667.462425</v>
      </c>
      <c r="AB5" s="3">
        <f t="shared" ref="AB5:AB41" si="18">SUM(R5:AA5)</f>
        <v>20298292158.149086</v>
      </c>
      <c r="AC5" s="7" t="s">
        <v>113</v>
      </c>
      <c r="AD5" s="2" t="s">
        <v>41</v>
      </c>
      <c r="AE5" s="3">
        <f t="shared" ref="AE5:AF41" si="19">M5</f>
        <v>1680978628.2903361</v>
      </c>
      <c r="AF5" s="3">
        <f t="shared" si="19"/>
        <v>2922624237.8618164</v>
      </c>
      <c r="AG5" s="3">
        <f t="shared" ref="AG5:AG41" si="20">SUM(AE5:AF5)</f>
        <v>4603602866.152153</v>
      </c>
      <c r="AH5" s="7" t="s">
        <v>113</v>
      </c>
      <c r="AI5" s="2" t="s">
        <v>41</v>
      </c>
      <c r="AJ5" s="3">
        <f t="shared" ref="AJ5:AM41" si="21">AQ5+AX5</f>
        <v>22032624244.373589</v>
      </c>
      <c r="AK5" s="3">
        <f t="shared" si="1"/>
        <v>664350330.6200943</v>
      </c>
      <c r="AL5" s="3">
        <f t="shared" si="1"/>
        <v>2204920449.3075466</v>
      </c>
      <c r="AM5" s="3">
        <f t="shared" si="1"/>
        <v>0</v>
      </c>
      <c r="AN5" s="3">
        <f t="shared" ref="AN5:AN41" si="22">SUM(AJ5:AM5)</f>
        <v>24901895024.301231</v>
      </c>
      <c r="AO5" s="7" t="s">
        <v>113</v>
      </c>
      <c r="AP5" s="2" t="s">
        <v>41</v>
      </c>
      <c r="AQ5" s="3">
        <f t="shared" ref="AQ5:AT41" si="23">BE5+BL5+BS5+BZ5+CG5+CN5+CU5+DB5+DI5+DP5</f>
        <v>20294484046.047035</v>
      </c>
      <c r="AR5" s="3">
        <f t="shared" si="2"/>
        <v>3808112.1020454462</v>
      </c>
      <c r="AS5" s="3">
        <f t="shared" si="2"/>
        <v>0</v>
      </c>
      <c r="AT5" s="3">
        <f t="shared" si="2"/>
        <v>0</v>
      </c>
      <c r="AU5" s="3">
        <f t="shared" ref="AU5:AU41" si="24">SUM(AQ5:AT5)</f>
        <v>20298292158.149082</v>
      </c>
      <c r="AV5" s="7" t="s">
        <v>113</v>
      </c>
      <c r="AW5" s="2" t="s">
        <v>41</v>
      </c>
      <c r="AX5" s="3">
        <f t="shared" ref="AX5:BA41" si="25">DW5+ED5</f>
        <v>1738140198.3265553</v>
      </c>
      <c r="AY5" s="3">
        <f t="shared" si="3"/>
        <v>660542218.51804888</v>
      </c>
      <c r="AZ5" s="3">
        <f t="shared" si="3"/>
        <v>2204920449.3075466</v>
      </c>
      <c r="BA5" s="3">
        <f t="shared" si="3"/>
        <v>0</v>
      </c>
      <c r="BB5" s="3">
        <f t="shared" ref="BB5:BB41" si="26">SUM(AX5:BA5)</f>
        <v>4603602866.1521511</v>
      </c>
      <c r="BC5" s="7" t="s">
        <v>113</v>
      </c>
      <c r="BD5" s="2" t="s">
        <v>41</v>
      </c>
      <c r="BE5" s="3">
        <f>'Hasil (Rp)'!BE5-Biaya!BE5</f>
        <v>0</v>
      </c>
      <c r="BF5" s="3">
        <f>'Hasil (Rp)'!BF5-Biaya!BF5</f>
        <v>0</v>
      </c>
      <c r="BG5" s="3">
        <f>'Hasil (Rp)'!BG5-Biaya!BG5</f>
        <v>0</v>
      </c>
      <c r="BH5" s="3">
        <f>'Hasil (Rp)'!BH5-Biaya!BH5</f>
        <v>0</v>
      </c>
      <c r="BI5" s="3">
        <f>'Hasil (Rp)'!BI5-Biaya!BI5</f>
        <v>0</v>
      </c>
      <c r="BJ5" s="7" t="s">
        <v>113</v>
      </c>
      <c r="BK5" s="2" t="s">
        <v>41</v>
      </c>
      <c r="BL5" s="3">
        <f>'Hasil (Rp)'!BL5-Biaya!BL5</f>
        <v>542754367.39988387</v>
      </c>
      <c r="BM5" s="3">
        <f>'Hasil (Rp)'!BM5-Biaya!BM5</f>
        <v>3224457.161499029</v>
      </c>
      <c r="BN5" s="3">
        <f>'Hasil (Rp)'!BN5-Biaya!BN5</f>
        <v>0</v>
      </c>
      <c r="BO5" s="3">
        <f>'Hasil (Rp)'!BO5-Biaya!BO5</f>
        <v>0</v>
      </c>
      <c r="BP5" s="3">
        <f>'Hasil (Rp)'!BP5-Biaya!BP5</f>
        <v>545978824.56138289</v>
      </c>
      <c r="BQ5" s="7" t="s">
        <v>113</v>
      </c>
      <c r="BR5" s="2" t="s">
        <v>41</v>
      </c>
      <c r="BS5" s="3">
        <f>'Hasil (Rp)'!BS5-Biaya!BS5</f>
        <v>0</v>
      </c>
      <c r="BT5" s="3">
        <f>'Hasil (Rp)'!BT5-Biaya!BT5</f>
        <v>0</v>
      </c>
      <c r="BU5" s="3">
        <f>'Hasil (Rp)'!BU5-Biaya!BU5</f>
        <v>0</v>
      </c>
      <c r="BV5" s="3">
        <f>'Hasil (Rp)'!BV5-Biaya!BV5</f>
        <v>0</v>
      </c>
      <c r="BW5" s="3">
        <f>'Hasil (Rp)'!BW5-Biaya!BW5</f>
        <v>0</v>
      </c>
      <c r="BX5" s="7" t="s">
        <v>113</v>
      </c>
      <c r="BY5" s="2" t="s">
        <v>41</v>
      </c>
      <c r="BZ5" s="3">
        <f>'Hasil (Rp)'!BZ5-Biaya!BZ5</f>
        <v>0</v>
      </c>
      <c r="CA5" s="3">
        <f>'Hasil (Rp)'!CA5-Biaya!CA5</f>
        <v>0</v>
      </c>
      <c r="CB5" s="3">
        <f>'Hasil (Rp)'!CB5-Biaya!CB5</f>
        <v>0</v>
      </c>
      <c r="CC5" s="3">
        <f>'Hasil (Rp)'!CC5-Biaya!CC5</f>
        <v>0</v>
      </c>
      <c r="CD5" s="3">
        <f>'Hasil (Rp)'!CD5-Biaya!CD5</f>
        <v>0</v>
      </c>
      <c r="CE5" s="7" t="s">
        <v>113</v>
      </c>
      <c r="CF5" s="2" t="s">
        <v>41</v>
      </c>
      <c r="CG5" s="3">
        <f>'Hasil (Rp)'!CG5-Biaya!CG5</f>
        <v>35773666.125278324</v>
      </c>
      <c r="CH5" s="3">
        <f>'Hasil (Rp)'!CH5-Biaya!CH5</f>
        <v>0</v>
      </c>
      <c r="CI5" s="3">
        <f>'Hasil (Rp)'!CI5-Biaya!CI5</f>
        <v>0</v>
      </c>
      <c r="CJ5" s="3">
        <f>'Hasil (Rp)'!CJ5-Biaya!CJ5</f>
        <v>0</v>
      </c>
      <c r="CK5" s="3">
        <f>'Hasil (Rp)'!CK5-Biaya!CK5</f>
        <v>35773666.125278324</v>
      </c>
      <c r="CL5" s="7" t="s">
        <v>113</v>
      </c>
      <c r="CM5" s="2" t="s">
        <v>41</v>
      </c>
      <c r="CN5" s="3">
        <f>'Hasil (Rp)'!CN5-Biaya!CN5</f>
        <v>0</v>
      </c>
      <c r="CO5" s="3">
        <f>'Hasil (Rp)'!CO5-Biaya!CO5</f>
        <v>0</v>
      </c>
      <c r="CP5" s="3">
        <f>'Hasil (Rp)'!CP5-Biaya!CP5</f>
        <v>0</v>
      </c>
      <c r="CQ5" s="3">
        <f>'Hasil (Rp)'!CQ5-Biaya!CQ5</f>
        <v>0</v>
      </c>
      <c r="CR5" s="3">
        <f>'Hasil (Rp)'!CR5-Biaya!CR5</f>
        <v>0</v>
      </c>
      <c r="CS5" s="7" t="s">
        <v>113</v>
      </c>
      <c r="CT5" s="2" t="s">
        <v>41</v>
      </c>
      <c r="CU5" s="3">
        <f>'Hasil (Rp)'!CU5-Biaya!CU5</f>
        <v>0</v>
      </c>
      <c r="CV5" s="3">
        <f>'Hasil (Rp)'!CV5-Biaya!CV5</f>
        <v>0</v>
      </c>
      <c r="CW5" s="3">
        <f>'Hasil (Rp)'!CW5-Biaya!CW5</f>
        <v>0</v>
      </c>
      <c r="CX5" s="3">
        <f>'Hasil (Rp)'!CX5-Biaya!CX5</f>
        <v>0</v>
      </c>
      <c r="CY5" s="3">
        <f>'Hasil (Rp)'!CY5-Biaya!CY5</f>
        <v>0</v>
      </c>
      <c r="CZ5" s="7" t="s">
        <v>113</v>
      </c>
      <c r="DA5" s="2" t="s">
        <v>41</v>
      </c>
      <c r="DB5" s="3">
        <f>'Hasil (Rp)'!DB5-Biaya!DB5</f>
        <v>0</v>
      </c>
      <c r="DC5" s="3">
        <f>'Hasil (Rp)'!DC5-Biaya!DC5</f>
        <v>0</v>
      </c>
      <c r="DD5" s="3">
        <f>'Hasil (Rp)'!DD5-Biaya!DD5</f>
        <v>0</v>
      </c>
      <c r="DE5" s="3">
        <f>'Hasil (Rp)'!DE5-Biaya!DE5</f>
        <v>0</v>
      </c>
      <c r="DF5" s="3">
        <f>'Hasil (Rp)'!DF5-Biaya!DF5</f>
        <v>0</v>
      </c>
      <c r="DG5" s="7" t="s">
        <v>113</v>
      </c>
      <c r="DH5" s="2" t="s">
        <v>41</v>
      </c>
      <c r="DI5" s="3">
        <f>'Hasil (Rp)'!DI5-Biaya!DI5</f>
        <v>0</v>
      </c>
      <c r="DJ5" s="3">
        <f>'Hasil (Rp)'!DJ5-Biaya!DJ5</f>
        <v>0</v>
      </c>
      <c r="DK5" s="3">
        <f>'Hasil (Rp)'!DK5-Biaya!DK5</f>
        <v>0</v>
      </c>
      <c r="DL5" s="3">
        <f>'Hasil (Rp)'!DL5-Biaya!DL5</f>
        <v>0</v>
      </c>
      <c r="DM5" s="3">
        <f>'Hasil (Rp)'!DM5-Biaya!DM5</f>
        <v>0</v>
      </c>
      <c r="DN5" s="7" t="s">
        <v>113</v>
      </c>
      <c r="DO5" s="2" t="s">
        <v>41</v>
      </c>
      <c r="DP5" s="3">
        <f>'Hasil (Rp)'!DP5-Biaya!DP5</f>
        <v>19715956012.521873</v>
      </c>
      <c r="DQ5" s="3">
        <f>'Hasil (Rp)'!DQ5-Biaya!DQ5</f>
        <v>583654.94054641726</v>
      </c>
      <c r="DR5" s="3">
        <f>'Hasil (Rp)'!DR5-Biaya!DR5</f>
        <v>0</v>
      </c>
      <c r="DS5" s="3">
        <f>'Hasil (Rp)'!DS5-Biaya!DS5</f>
        <v>0</v>
      </c>
      <c r="DT5" s="3">
        <f>'Hasil (Rp)'!DT5-Biaya!DT5</f>
        <v>19716539667.462425</v>
      </c>
      <c r="DU5" s="7" t="s">
        <v>113</v>
      </c>
      <c r="DV5" s="2" t="s">
        <v>41</v>
      </c>
      <c r="DW5" s="3">
        <f>'Hasil (Rp)'!DW5-Biaya!DW5</f>
        <v>104371616.33152962</v>
      </c>
      <c r="DX5" s="3">
        <f>'Hasil (Rp)'!DX5-Biaya!DX5</f>
        <v>613332172.22273827</v>
      </c>
      <c r="DY5" s="3">
        <f>'Hasil (Rp)'!DY5-Biaya!DY5</f>
        <v>2204920449.3075466</v>
      </c>
      <c r="DZ5" s="3">
        <f>'Hasil (Rp)'!DZ5-Biaya!DZ5</f>
        <v>0</v>
      </c>
      <c r="EA5" s="3">
        <f>'Hasil (Rp)'!EA5-Biaya!EA5</f>
        <v>2922624237.8618164</v>
      </c>
      <c r="EB5" s="7" t="s">
        <v>113</v>
      </c>
      <c r="EC5" s="2" t="s">
        <v>41</v>
      </c>
      <c r="ED5" s="3">
        <f>'Hasil (Rp)'!ED5-Biaya!ED5</f>
        <v>1633768581.9950256</v>
      </c>
      <c r="EE5" s="3">
        <f>'Hasil (Rp)'!EE5-Biaya!EE5</f>
        <v>47210046.295310616</v>
      </c>
      <c r="EF5" s="3">
        <f>'Hasil (Rp)'!EF5-Biaya!EF5</f>
        <v>0</v>
      </c>
      <c r="EG5" s="3">
        <f>'Hasil (Rp)'!EG5-Biaya!EG5</f>
        <v>0</v>
      </c>
      <c r="EH5" s="3">
        <f>'Hasil (Rp)'!EH5-Biaya!EH5</f>
        <v>1680978628.2903361</v>
      </c>
    </row>
    <row r="6" spans="1:138" ht="10.199999999999999" customHeight="1" x14ac:dyDescent="0.2">
      <c r="A6" s="7" t="s">
        <v>119</v>
      </c>
      <c r="B6" s="2" t="s">
        <v>47</v>
      </c>
      <c r="C6" s="3">
        <f t="shared" si="4"/>
        <v>0</v>
      </c>
      <c r="D6" s="3">
        <f t="shared" si="5"/>
        <v>172146089.67846099</v>
      </c>
      <c r="E6" s="3">
        <f t="shared" si="6"/>
        <v>22124121272.717178</v>
      </c>
      <c r="F6" s="3">
        <f t="shared" si="7"/>
        <v>29657494361.003265</v>
      </c>
      <c r="G6" s="3">
        <f t="shared" si="8"/>
        <v>0</v>
      </c>
      <c r="H6" s="3">
        <f t="shared" si="9"/>
        <v>0</v>
      </c>
      <c r="I6" s="3">
        <f t="shared" si="10"/>
        <v>4980898122.0168228</v>
      </c>
      <c r="J6" s="3">
        <f t="shared" si="11"/>
        <v>0</v>
      </c>
      <c r="K6" s="3">
        <f t="shared" si="12"/>
        <v>1679415483.3787632</v>
      </c>
      <c r="L6" s="3">
        <f t="shared" si="13"/>
        <v>55460415.975659683</v>
      </c>
      <c r="M6" s="3">
        <f t="shared" si="14"/>
        <v>328256626830.50079</v>
      </c>
      <c r="N6" s="3">
        <f t="shared" si="15"/>
        <v>11493731134.703911</v>
      </c>
      <c r="O6" s="3">
        <f t="shared" si="16"/>
        <v>398419893709.97485</v>
      </c>
      <c r="P6" s="7" t="s">
        <v>119</v>
      </c>
      <c r="Q6" s="2" t="s">
        <v>47</v>
      </c>
      <c r="R6" s="3">
        <f t="shared" si="17"/>
        <v>0</v>
      </c>
      <c r="S6" s="3">
        <f t="shared" si="17"/>
        <v>172146089.67846099</v>
      </c>
      <c r="T6" s="3">
        <f t="shared" si="17"/>
        <v>22124121272.717178</v>
      </c>
      <c r="U6" s="3">
        <f t="shared" si="17"/>
        <v>29657494361.003265</v>
      </c>
      <c r="V6" s="3">
        <f t="shared" si="17"/>
        <v>0</v>
      </c>
      <c r="W6" s="3">
        <f t="shared" si="17"/>
        <v>0</v>
      </c>
      <c r="X6" s="3">
        <f t="shared" si="17"/>
        <v>4980898122.0168228</v>
      </c>
      <c r="Y6" s="3">
        <f t="shared" si="17"/>
        <v>0</v>
      </c>
      <c r="Z6" s="3">
        <f t="shared" si="17"/>
        <v>1679415483.3787632</v>
      </c>
      <c r="AA6" s="3">
        <f t="shared" si="17"/>
        <v>55460415.975659683</v>
      </c>
      <c r="AB6" s="3">
        <f t="shared" si="18"/>
        <v>58669535744.770149</v>
      </c>
      <c r="AC6" s="7" t="s">
        <v>119</v>
      </c>
      <c r="AD6" s="2" t="s">
        <v>47</v>
      </c>
      <c r="AE6" s="3">
        <f t="shared" si="19"/>
        <v>328256626830.50079</v>
      </c>
      <c r="AF6" s="3">
        <f t="shared" si="19"/>
        <v>11493731134.703911</v>
      </c>
      <c r="AG6" s="3">
        <f t="shared" si="20"/>
        <v>339750357965.20471</v>
      </c>
      <c r="AH6" s="7" t="s">
        <v>119</v>
      </c>
      <c r="AI6" s="2" t="s">
        <v>47</v>
      </c>
      <c r="AJ6" s="3">
        <f t="shared" si="21"/>
        <v>25864239411.462021</v>
      </c>
      <c r="AK6" s="3">
        <f t="shared" si="1"/>
        <v>6872448286.9469738</v>
      </c>
      <c r="AL6" s="3">
        <f t="shared" si="1"/>
        <v>341551729148.59351</v>
      </c>
      <c r="AM6" s="3">
        <f t="shared" si="1"/>
        <v>24131476862.972355</v>
      </c>
      <c r="AN6" s="3">
        <f t="shared" si="22"/>
        <v>398419893709.97485</v>
      </c>
      <c r="AO6" s="7" t="s">
        <v>119</v>
      </c>
      <c r="AP6" s="2" t="s">
        <v>47</v>
      </c>
      <c r="AQ6" s="3">
        <f t="shared" si="23"/>
        <v>5212131192.0176487</v>
      </c>
      <c r="AR6" s="3">
        <f t="shared" si="2"/>
        <v>3769877776.251112</v>
      </c>
      <c r="AS6" s="3">
        <f t="shared" si="2"/>
        <v>27230512092.301086</v>
      </c>
      <c r="AT6" s="3">
        <f t="shared" si="2"/>
        <v>22457014684.200321</v>
      </c>
      <c r="AU6" s="3">
        <f t="shared" si="24"/>
        <v>58669535744.770172</v>
      </c>
      <c r="AV6" s="7" t="s">
        <v>119</v>
      </c>
      <c r="AW6" s="2" t="s">
        <v>47</v>
      </c>
      <c r="AX6" s="3">
        <f t="shared" si="25"/>
        <v>20652108219.444374</v>
      </c>
      <c r="AY6" s="3">
        <f t="shared" si="3"/>
        <v>3102570510.6958618</v>
      </c>
      <c r="AZ6" s="3">
        <f t="shared" si="3"/>
        <v>314321217056.29242</v>
      </c>
      <c r="BA6" s="3">
        <f t="shared" si="3"/>
        <v>1674462178.7720337</v>
      </c>
      <c r="BB6" s="3">
        <f t="shared" si="26"/>
        <v>339750357965.20471</v>
      </c>
      <c r="BC6" s="7" t="s">
        <v>119</v>
      </c>
      <c r="BD6" s="2" t="s">
        <v>47</v>
      </c>
      <c r="BE6" s="3">
        <f>'Hasil (Rp)'!BE6-Biaya!BE6</f>
        <v>0</v>
      </c>
      <c r="BF6" s="3">
        <f>'Hasil (Rp)'!BF6-Biaya!BF6</f>
        <v>0</v>
      </c>
      <c r="BG6" s="3">
        <f>'Hasil (Rp)'!BG6-Biaya!BG6</f>
        <v>0</v>
      </c>
      <c r="BH6" s="3">
        <f>'Hasil (Rp)'!BH6-Biaya!BH6</f>
        <v>0</v>
      </c>
      <c r="BI6" s="3">
        <f>'Hasil (Rp)'!BI6-Biaya!BI6</f>
        <v>0</v>
      </c>
      <c r="BJ6" s="7" t="s">
        <v>119</v>
      </c>
      <c r="BK6" s="2" t="s">
        <v>47</v>
      </c>
      <c r="BL6" s="3">
        <f>'Hasil (Rp)'!BL6-Biaya!BL6</f>
        <v>172146089.67846099</v>
      </c>
      <c r="BM6" s="3">
        <f>'Hasil (Rp)'!BM6-Biaya!BM6</f>
        <v>0</v>
      </c>
      <c r="BN6" s="3">
        <f>'Hasil (Rp)'!BN6-Biaya!BN6</f>
        <v>0</v>
      </c>
      <c r="BO6" s="3">
        <f>'Hasil (Rp)'!BO6-Biaya!BO6</f>
        <v>0</v>
      </c>
      <c r="BP6" s="3">
        <f>'Hasil (Rp)'!BP6-Biaya!BP6</f>
        <v>172146089.67846099</v>
      </c>
      <c r="BQ6" s="7" t="s">
        <v>119</v>
      </c>
      <c r="BR6" s="2" t="s">
        <v>47</v>
      </c>
      <c r="BS6" s="3">
        <f>'Hasil (Rp)'!BS6-Biaya!BS6</f>
        <v>0</v>
      </c>
      <c r="BT6" s="3">
        <f>'Hasil (Rp)'!BT6-Biaya!BT6</f>
        <v>0</v>
      </c>
      <c r="BU6" s="3">
        <f>'Hasil (Rp)'!BU6-Biaya!BU6</f>
        <v>0</v>
      </c>
      <c r="BV6" s="3">
        <f>'Hasil (Rp)'!BV6-Biaya!BV6</f>
        <v>22124121272.717178</v>
      </c>
      <c r="BW6" s="3">
        <f>'Hasil (Rp)'!BW6-Biaya!BW6</f>
        <v>22124121272.717178</v>
      </c>
      <c r="BX6" s="7" t="s">
        <v>119</v>
      </c>
      <c r="BY6" s="2" t="s">
        <v>47</v>
      </c>
      <c r="BZ6" s="3">
        <f>'Hasil (Rp)'!BZ6-Biaya!BZ6</f>
        <v>40800000</v>
      </c>
      <c r="CA6" s="3">
        <f>'Hasil (Rp)'!CA6-Biaya!CA6</f>
        <v>2053288857.2190533</v>
      </c>
      <c r="CB6" s="3">
        <f>'Hasil (Rp)'!CB6-Biaya!CB6</f>
        <v>27230512092.301086</v>
      </c>
      <c r="CC6" s="3">
        <f>'Hasil (Rp)'!CC6-Biaya!CC6</f>
        <v>332893411.48314333</v>
      </c>
      <c r="CD6" s="3">
        <f>'Hasil (Rp)'!CD6-Biaya!CD6</f>
        <v>29657494361.003265</v>
      </c>
      <c r="CE6" s="7" t="s">
        <v>119</v>
      </c>
      <c r="CF6" s="2" t="s">
        <v>47</v>
      </c>
      <c r="CG6" s="3">
        <f>'Hasil (Rp)'!CG6-Biaya!CG6</f>
        <v>0</v>
      </c>
      <c r="CH6" s="3">
        <f>'Hasil (Rp)'!CH6-Biaya!CH6</f>
        <v>0</v>
      </c>
      <c r="CI6" s="3">
        <f>'Hasil (Rp)'!CI6-Biaya!CI6</f>
        <v>0</v>
      </c>
      <c r="CJ6" s="3">
        <f>'Hasil (Rp)'!CJ6-Biaya!CJ6</f>
        <v>0</v>
      </c>
      <c r="CK6" s="3">
        <f>'Hasil (Rp)'!CK6-Biaya!CK6</f>
        <v>0</v>
      </c>
      <c r="CL6" s="7" t="s">
        <v>119</v>
      </c>
      <c r="CM6" s="2" t="s">
        <v>47</v>
      </c>
      <c r="CN6" s="3">
        <f>'Hasil (Rp)'!CN6-Biaya!CN6</f>
        <v>0</v>
      </c>
      <c r="CO6" s="3">
        <f>'Hasil (Rp)'!CO6-Biaya!CO6</f>
        <v>0</v>
      </c>
      <c r="CP6" s="3">
        <f>'Hasil (Rp)'!CP6-Biaya!CP6</f>
        <v>0</v>
      </c>
      <c r="CQ6" s="3">
        <f>'Hasil (Rp)'!CQ6-Biaya!CQ6</f>
        <v>0</v>
      </c>
      <c r="CR6" s="3">
        <f>'Hasil (Rp)'!CR6-Biaya!CR6</f>
        <v>0</v>
      </c>
      <c r="CS6" s="7" t="s">
        <v>119</v>
      </c>
      <c r="CT6" s="2" t="s">
        <v>47</v>
      </c>
      <c r="CU6" s="3">
        <f>'Hasil (Rp)'!CU6-Biaya!CU6</f>
        <v>4912481497.6667099</v>
      </c>
      <c r="CV6" s="3">
        <f>'Hasil (Rp)'!CV6-Biaya!CV6</f>
        <v>68416624.350113153</v>
      </c>
      <c r="CW6" s="3">
        <f>'Hasil (Rp)'!CW6-Biaya!CW6</f>
        <v>0</v>
      </c>
      <c r="CX6" s="3">
        <f>'Hasil (Rp)'!CX6-Biaya!CX6</f>
        <v>0</v>
      </c>
      <c r="CY6" s="3">
        <f>'Hasil (Rp)'!CY6-Biaya!CY6</f>
        <v>4980898122.0168228</v>
      </c>
      <c r="CZ6" s="7" t="s">
        <v>119</v>
      </c>
      <c r="DA6" s="2" t="s">
        <v>47</v>
      </c>
      <c r="DB6" s="3">
        <f>'Hasil (Rp)'!DB6-Biaya!DB6</f>
        <v>31243188.696817935</v>
      </c>
      <c r="DC6" s="3">
        <f>'Hasil (Rp)'!DC6-Biaya!DC6</f>
        <v>1648172294.6819458</v>
      </c>
      <c r="DD6" s="3">
        <f>'Hasil (Rp)'!DD6-Biaya!DD6</f>
        <v>0</v>
      </c>
      <c r="DE6" s="3">
        <f>'Hasil (Rp)'!DE6-Biaya!DE6</f>
        <v>0</v>
      </c>
      <c r="DF6" s="3">
        <f>'Hasil (Rp)'!DF6-Biaya!DF6</f>
        <v>1679415483.3787632</v>
      </c>
      <c r="DG6" s="7" t="s">
        <v>119</v>
      </c>
      <c r="DH6" s="2" t="s">
        <v>47</v>
      </c>
      <c r="DI6" s="3">
        <f>'Hasil (Rp)'!DI6-Biaya!DI6</f>
        <v>0</v>
      </c>
      <c r="DJ6" s="3">
        <f>'Hasil (Rp)'!DJ6-Biaya!DJ6</f>
        <v>0</v>
      </c>
      <c r="DK6" s="3">
        <f>'Hasil (Rp)'!DK6-Biaya!DK6</f>
        <v>0</v>
      </c>
      <c r="DL6" s="3">
        <f>'Hasil (Rp)'!DL6-Biaya!DL6</f>
        <v>0</v>
      </c>
      <c r="DM6" s="3">
        <f>'Hasil (Rp)'!DM6-Biaya!DM6</f>
        <v>0</v>
      </c>
      <c r="DN6" s="7" t="s">
        <v>119</v>
      </c>
      <c r="DO6" s="2" t="s">
        <v>47</v>
      </c>
      <c r="DP6" s="3">
        <f>'Hasil (Rp)'!DP6-Biaya!DP6</f>
        <v>55460415.975659683</v>
      </c>
      <c r="DQ6" s="3">
        <f>'Hasil (Rp)'!DQ6-Biaya!DQ6</f>
        <v>0</v>
      </c>
      <c r="DR6" s="3">
        <f>'Hasil (Rp)'!DR6-Biaya!DR6</f>
        <v>0</v>
      </c>
      <c r="DS6" s="3">
        <f>'Hasil (Rp)'!DS6-Biaya!DS6</f>
        <v>0</v>
      </c>
      <c r="DT6" s="3">
        <f>'Hasil (Rp)'!DT6-Biaya!DT6</f>
        <v>55460415.975659683</v>
      </c>
      <c r="DU6" s="7" t="s">
        <v>119</v>
      </c>
      <c r="DV6" s="2" t="s">
        <v>47</v>
      </c>
      <c r="DW6" s="3">
        <f>'Hasil (Rp)'!DW6-Biaya!DW6</f>
        <v>8448261265.4660187</v>
      </c>
      <c r="DX6" s="3">
        <f>'Hasil (Rp)'!DX6-Biaya!DX6</f>
        <v>453369277.6395874</v>
      </c>
      <c r="DY6" s="3">
        <f>'Hasil (Rp)'!DY6-Biaya!DY6</f>
        <v>917638412.82626724</v>
      </c>
      <c r="DZ6" s="3">
        <f>'Hasil (Rp)'!DZ6-Biaya!DZ6</f>
        <v>1674462178.7720337</v>
      </c>
      <c r="EA6" s="3">
        <f>'Hasil (Rp)'!EA6-Biaya!EA6</f>
        <v>11493731134.703911</v>
      </c>
      <c r="EB6" s="7" t="s">
        <v>119</v>
      </c>
      <c r="EC6" s="2" t="s">
        <v>47</v>
      </c>
      <c r="ED6" s="3">
        <f>'Hasil (Rp)'!ED6-Biaya!ED6</f>
        <v>12203846953.978355</v>
      </c>
      <c r="EE6" s="3">
        <f>'Hasil (Rp)'!EE6-Biaya!EE6</f>
        <v>2649201233.0562744</v>
      </c>
      <c r="EF6" s="3">
        <f>'Hasil (Rp)'!EF6-Biaya!EF6</f>
        <v>313403578643.46613</v>
      </c>
      <c r="EG6" s="3">
        <f>'Hasil (Rp)'!EG6-Biaya!EG6</f>
        <v>0</v>
      </c>
      <c r="EH6" s="3">
        <f>'Hasil (Rp)'!EH6-Biaya!EH6</f>
        <v>328256626830.50079</v>
      </c>
    </row>
    <row r="7" spans="1:138" ht="10.199999999999999" customHeight="1" x14ac:dyDescent="0.2">
      <c r="A7" s="7" t="s">
        <v>121</v>
      </c>
      <c r="B7" s="2" t="s">
        <v>49</v>
      </c>
      <c r="C7" s="3">
        <f t="shared" si="4"/>
        <v>0</v>
      </c>
      <c r="D7" s="3">
        <f t="shared" si="5"/>
        <v>40843593.225602448</v>
      </c>
      <c r="E7" s="3">
        <f t="shared" si="6"/>
        <v>21015524411.972038</v>
      </c>
      <c r="F7" s="3">
        <f t="shared" si="7"/>
        <v>837415940.60774612</v>
      </c>
      <c r="G7" s="3">
        <f t="shared" si="8"/>
        <v>145567348.02695739</v>
      </c>
      <c r="H7" s="3">
        <f t="shared" si="9"/>
        <v>0</v>
      </c>
      <c r="I7" s="3">
        <f t="shared" si="10"/>
        <v>77720038693.989716</v>
      </c>
      <c r="J7" s="3">
        <f t="shared" si="11"/>
        <v>0</v>
      </c>
      <c r="K7" s="3">
        <f t="shared" si="12"/>
        <v>62069247.836488873</v>
      </c>
      <c r="L7" s="3">
        <f t="shared" si="13"/>
        <v>464993131.8395071</v>
      </c>
      <c r="M7" s="3">
        <f t="shared" si="14"/>
        <v>12019094372.117149</v>
      </c>
      <c r="N7" s="3">
        <f t="shared" si="15"/>
        <v>2101323124.5598564</v>
      </c>
      <c r="O7" s="3">
        <f t="shared" si="16"/>
        <v>114406869864.17506</v>
      </c>
      <c r="P7" s="7" t="s">
        <v>121</v>
      </c>
      <c r="Q7" s="2" t="s">
        <v>49</v>
      </c>
      <c r="R7" s="3">
        <f t="shared" si="17"/>
        <v>0</v>
      </c>
      <c r="S7" s="3">
        <f t="shared" si="17"/>
        <v>40843593.225602448</v>
      </c>
      <c r="T7" s="3">
        <f t="shared" si="17"/>
        <v>21015524411.972038</v>
      </c>
      <c r="U7" s="3">
        <f t="shared" si="17"/>
        <v>837415940.60774612</v>
      </c>
      <c r="V7" s="3">
        <f t="shared" si="17"/>
        <v>145567348.02695739</v>
      </c>
      <c r="W7" s="3">
        <f t="shared" si="17"/>
        <v>0</v>
      </c>
      <c r="X7" s="3">
        <f t="shared" si="17"/>
        <v>77720038693.989716</v>
      </c>
      <c r="Y7" s="3">
        <f t="shared" si="17"/>
        <v>0</v>
      </c>
      <c r="Z7" s="3">
        <f t="shared" si="17"/>
        <v>62069247.836488873</v>
      </c>
      <c r="AA7" s="3">
        <f t="shared" si="17"/>
        <v>464993131.8395071</v>
      </c>
      <c r="AB7" s="3">
        <f t="shared" si="18"/>
        <v>100286452367.49805</v>
      </c>
      <c r="AC7" s="7" t="s">
        <v>121</v>
      </c>
      <c r="AD7" s="2" t="s">
        <v>49</v>
      </c>
      <c r="AE7" s="3">
        <f t="shared" si="19"/>
        <v>12019094372.117149</v>
      </c>
      <c r="AF7" s="3">
        <f t="shared" si="19"/>
        <v>2101323124.5598564</v>
      </c>
      <c r="AG7" s="3">
        <f t="shared" si="20"/>
        <v>14120417496.677006</v>
      </c>
      <c r="AH7" s="7" t="s">
        <v>121</v>
      </c>
      <c r="AI7" s="2" t="s">
        <v>49</v>
      </c>
      <c r="AJ7" s="3">
        <f t="shared" si="21"/>
        <v>23740853030.371056</v>
      </c>
      <c r="AK7" s="3">
        <f t="shared" si="1"/>
        <v>53932539573.857445</v>
      </c>
      <c r="AL7" s="3">
        <f t="shared" si="1"/>
        <v>36730404690.60347</v>
      </c>
      <c r="AM7" s="3">
        <f t="shared" si="1"/>
        <v>3072569.3431274556</v>
      </c>
      <c r="AN7" s="3">
        <f t="shared" si="22"/>
        <v>114406869864.17509</v>
      </c>
      <c r="AO7" s="7" t="s">
        <v>121</v>
      </c>
      <c r="AP7" s="2" t="s">
        <v>49</v>
      </c>
      <c r="AQ7" s="3">
        <f t="shared" si="23"/>
        <v>17232487606.223713</v>
      </c>
      <c r="AR7" s="3">
        <f t="shared" si="2"/>
        <v>46350735692.515244</v>
      </c>
      <c r="AS7" s="3">
        <f t="shared" si="2"/>
        <v>36703229068.759132</v>
      </c>
      <c r="AT7" s="3">
        <f t="shared" si="2"/>
        <v>0</v>
      </c>
      <c r="AU7" s="3">
        <f t="shared" si="24"/>
        <v>100286452367.49808</v>
      </c>
      <c r="AV7" s="7" t="s">
        <v>121</v>
      </c>
      <c r="AW7" s="2" t="s">
        <v>49</v>
      </c>
      <c r="AX7" s="3">
        <f t="shared" si="25"/>
        <v>6508365424.1473436</v>
      </c>
      <c r="AY7" s="3">
        <f t="shared" si="3"/>
        <v>7581803881.3422012</v>
      </c>
      <c r="AZ7" s="3">
        <f t="shared" si="3"/>
        <v>27175621.844338953</v>
      </c>
      <c r="BA7" s="3">
        <f t="shared" si="3"/>
        <v>3072569.3431274556</v>
      </c>
      <c r="BB7" s="3">
        <f t="shared" si="26"/>
        <v>14120417496.677011</v>
      </c>
      <c r="BC7" s="7" t="s">
        <v>121</v>
      </c>
      <c r="BD7" s="2" t="s">
        <v>49</v>
      </c>
      <c r="BE7" s="3">
        <f>'Hasil (Rp)'!BE7-Biaya!BE7</f>
        <v>0</v>
      </c>
      <c r="BF7" s="3">
        <f>'Hasil (Rp)'!BF7-Biaya!BF7</f>
        <v>0</v>
      </c>
      <c r="BG7" s="3">
        <f>'Hasil (Rp)'!BG7-Biaya!BG7</f>
        <v>0</v>
      </c>
      <c r="BH7" s="3">
        <f>'Hasil (Rp)'!BH7-Biaya!BH7</f>
        <v>0</v>
      </c>
      <c r="BI7" s="3">
        <f>'Hasil (Rp)'!BI7-Biaya!BI7</f>
        <v>0</v>
      </c>
      <c r="BJ7" s="7" t="s">
        <v>121</v>
      </c>
      <c r="BK7" s="2" t="s">
        <v>49</v>
      </c>
      <c r="BL7" s="3">
        <f>'Hasil (Rp)'!BL7-Biaya!BL7</f>
        <v>40843593.225602448</v>
      </c>
      <c r="BM7" s="3">
        <f>'Hasil (Rp)'!BM7-Biaya!BM7</f>
        <v>0</v>
      </c>
      <c r="BN7" s="3">
        <f>'Hasil (Rp)'!BN7-Biaya!BN7</f>
        <v>0</v>
      </c>
      <c r="BO7" s="3">
        <f>'Hasil (Rp)'!BO7-Biaya!BO7</f>
        <v>0</v>
      </c>
      <c r="BP7" s="3">
        <f>'Hasil (Rp)'!BP7-Biaya!BP7</f>
        <v>40843593.225602448</v>
      </c>
      <c r="BQ7" s="7" t="s">
        <v>121</v>
      </c>
      <c r="BR7" s="2" t="s">
        <v>49</v>
      </c>
      <c r="BS7" s="3">
        <f>'Hasil (Rp)'!BS7-Biaya!BS7</f>
        <v>6709842.8607157171</v>
      </c>
      <c r="BT7" s="3">
        <f>'Hasil (Rp)'!BT7-Biaya!BT7</f>
        <v>19190026874.388294</v>
      </c>
      <c r="BU7" s="3">
        <f>'Hasil (Rp)'!BU7-Biaya!BU7</f>
        <v>1818787694.723031</v>
      </c>
      <c r="BV7" s="3">
        <f>'Hasil (Rp)'!BV7-Biaya!BV7</f>
        <v>0</v>
      </c>
      <c r="BW7" s="3">
        <f>'Hasil (Rp)'!BW7-Biaya!BW7</f>
        <v>21015524411.972038</v>
      </c>
      <c r="BX7" s="7" t="s">
        <v>121</v>
      </c>
      <c r="BY7" s="2" t="s">
        <v>49</v>
      </c>
      <c r="BZ7" s="3">
        <f>'Hasil (Rp)'!BZ7-Biaya!BZ7</f>
        <v>804689624.32555294</v>
      </c>
      <c r="CA7" s="3">
        <f>'Hasil (Rp)'!CA7-Biaya!CA7</f>
        <v>32726316.282193676</v>
      </c>
      <c r="CB7" s="3">
        <f>'Hasil (Rp)'!CB7-Biaya!CB7</f>
        <v>0</v>
      </c>
      <c r="CC7" s="3">
        <f>'Hasil (Rp)'!CC7-Biaya!CC7</f>
        <v>0</v>
      </c>
      <c r="CD7" s="3">
        <f>'Hasil (Rp)'!CD7-Biaya!CD7</f>
        <v>837415940.60774612</v>
      </c>
      <c r="CE7" s="7" t="s">
        <v>121</v>
      </c>
      <c r="CF7" s="2" t="s">
        <v>49</v>
      </c>
      <c r="CG7" s="3">
        <f>'Hasil (Rp)'!CG7-Biaya!CG7</f>
        <v>99313590.123456836</v>
      </c>
      <c r="CH7" s="3">
        <f>'Hasil (Rp)'!CH7-Biaya!CH7</f>
        <v>30392603.407784224</v>
      </c>
      <c r="CI7" s="3">
        <f>'Hasil (Rp)'!CI7-Biaya!CI7</f>
        <v>15861154.495716274</v>
      </c>
      <c r="CJ7" s="3">
        <f>'Hasil (Rp)'!CJ7-Biaya!CJ7</f>
        <v>0</v>
      </c>
      <c r="CK7" s="3">
        <f>'Hasil (Rp)'!CK7-Biaya!CK7</f>
        <v>145567348.02695739</v>
      </c>
      <c r="CL7" s="7" t="s">
        <v>121</v>
      </c>
      <c r="CM7" s="2" t="s">
        <v>49</v>
      </c>
      <c r="CN7" s="3">
        <f>'Hasil (Rp)'!CN7-Biaya!CN7</f>
        <v>0</v>
      </c>
      <c r="CO7" s="3">
        <f>'Hasil (Rp)'!CO7-Biaya!CO7</f>
        <v>0</v>
      </c>
      <c r="CP7" s="3">
        <f>'Hasil (Rp)'!CP7-Biaya!CP7</f>
        <v>0</v>
      </c>
      <c r="CQ7" s="3">
        <f>'Hasil (Rp)'!CQ7-Biaya!CQ7</f>
        <v>0</v>
      </c>
      <c r="CR7" s="3">
        <f>'Hasil (Rp)'!CR7-Biaya!CR7</f>
        <v>0</v>
      </c>
      <c r="CS7" s="7" t="s">
        <v>121</v>
      </c>
      <c r="CT7" s="2" t="s">
        <v>49</v>
      </c>
      <c r="CU7" s="3">
        <f>'Hasil (Rp)'!CU7-Biaya!CU7</f>
        <v>15880938367.012856</v>
      </c>
      <c r="CV7" s="3">
        <f>'Hasil (Rp)'!CV7-Biaya!CV7</f>
        <v>26970520107.436508</v>
      </c>
      <c r="CW7" s="3">
        <f>'Hasil (Rp)'!CW7-Biaya!CW7</f>
        <v>34868580219.540382</v>
      </c>
      <c r="CX7" s="3">
        <f>'Hasil (Rp)'!CX7-Biaya!CX7</f>
        <v>0</v>
      </c>
      <c r="CY7" s="3">
        <f>'Hasil (Rp)'!CY7-Biaya!CY7</f>
        <v>77720038693.989716</v>
      </c>
      <c r="CZ7" s="7" t="s">
        <v>121</v>
      </c>
      <c r="DA7" s="2" t="s">
        <v>49</v>
      </c>
      <c r="DB7" s="3">
        <f>'Hasil (Rp)'!DB7-Biaya!DB7</f>
        <v>62069247.836488873</v>
      </c>
      <c r="DC7" s="3">
        <f>'Hasil (Rp)'!DC7-Biaya!DC7</f>
        <v>0</v>
      </c>
      <c r="DD7" s="3">
        <f>'Hasil (Rp)'!DD7-Biaya!DD7</f>
        <v>0</v>
      </c>
      <c r="DE7" s="3">
        <f>'Hasil (Rp)'!DE7-Biaya!DE7</f>
        <v>0</v>
      </c>
      <c r="DF7" s="3">
        <f>'Hasil (Rp)'!DF7-Biaya!DF7</f>
        <v>62069247.836488873</v>
      </c>
      <c r="DG7" s="7" t="s">
        <v>121</v>
      </c>
      <c r="DH7" s="2" t="s">
        <v>49</v>
      </c>
      <c r="DI7" s="3">
        <f>'Hasil (Rp)'!DI7-Biaya!DI7</f>
        <v>0</v>
      </c>
      <c r="DJ7" s="3">
        <f>'Hasil (Rp)'!DJ7-Biaya!DJ7</f>
        <v>0</v>
      </c>
      <c r="DK7" s="3">
        <f>'Hasil (Rp)'!DK7-Biaya!DK7</f>
        <v>0</v>
      </c>
      <c r="DL7" s="3">
        <f>'Hasil (Rp)'!DL7-Biaya!DL7</f>
        <v>0</v>
      </c>
      <c r="DM7" s="3">
        <f>'Hasil (Rp)'!DM7-Biaya!DM7</f>
        <v>0</v>
      </c>
      <c r="DN7" s="7" t="s">
        <v>121</v>
      </c>
      <c r="DO7" s="2" t="s">
        <v>49</v>
      </c>
      <c r="DP7" s="3">
        <f>'Hasil (Rp)'!DP7-Biaya!DP7</f>
        <v>337923340.83903956</v>
      </c>
      <c r="DQ7" s="3">
        <f>'Hasil (Rp)'!DQ7-Biaya!DQ7</f>
        <v>127069791.00046763</v>
      </c>
      <c r="DR7" s="3">
        <f>'Hasil (Rp)'!DR7-Biaya!DR7</f>
        <v>0</v>
      </c>
      <c r="DS7" s="3">
        <f>'Hasil (Rp)'!DS7-Biaya!DS7</f>
        <v>0</v>
      </c>
      <c r="DT7" s="3">
        <f>'Hasil (Rp)'!DT7-Biaya!DT7</f>
        <v>464993131.8395071</v>
      </c>
      <c r="DU7" s="7" t="s">
        <v>121</v>
      </c>
      <c r="DV7" s="2" t="s">
        <v>49</v>
      </c>
      <c r="DW7" s="3">
        <f>'Hasil (Rp)'!DW7-Biaya!DW7</f>
        <v>962196732.41874027</v>
      </c>
      <c r="DX7" s="3">
        <f>'Hasil (Rp)'!DX7-Biaya!DX7</f>
        <v>1111950770.2967756</v>
      </c>
      <c r="DY7" s="3">
        <f>'Hasil (Rp)'!DY7-Biaya!DY7</f>
        <v>27175621.844338953</v>
      </c>
      <c r="DZ7" s="3">
        <f>'Hasil (Rp)'!DZ7-Biaya!DZ7</f>
        <v>0</v>
      </c>
      <c r="EA7" s="3">
        <f>'Hasil (Rp)'!EA7-Biaya!EA7</f>
        <v>2101323124.5598564</v>
      </c>
      <c r="EB7" s="7" t="s">
        <v>121</v>
      </c>
      <c r="EC7" s="2" t="s">
        <v>49</v>
      </c>
      <c r="ED7" s="3">
        <f>'Hasil (Rp)'!ED7-Biaya!ED7</f>
        <v>5546168691.7286034</v>
      </c>
      <c r="EE7" s="3">
        <f>'Hasil (Rp)'!EE7-Biaya!EE7</f>
        <v>6469853111.0454254</v>
      </c>
      <c r="EF7" s="3">
        <f>'Hasil (Rp)'!EF7-Biaya!EF7</f>
        <v>0</v>
      </c>
      <c r="EG7" s="3">
        <f>'Hasil (Rp)'!EG7-Biaya!EG7</f>
        <v>3072569.3431274556</v>
      </c>
      <c r="EH7" s="3">
        <f>'Hasil (Rp)'!EH7-Biaya!EH7</f>
        <v>12019094372.117149</v>
      </c>
    </row>
    <row r="8" spans="1:138" ht="10.199999999999999" customHeight="1" x14ac:dyDescent="0.2">
      <c r="A8" s="7" t="s">
        <v>95</v>
      </c>
      <c r="B8" s="2" t="s">
        <v>23</v>
      </c>
      <c r="C8" s="3">
        <f t="shared" si="4"/>
        <v>0</v>
      </c>
      <c r="D8" s="3">
        <f t="shared" si="5"/>
        <v>22532817.493062887</v>
      </c>
      <c r="E8" s="3">
        <f t="shared" si="6"/>
        <v>0</v>
      </c>
      <c r="F8" s="3">
        <f t="shared" si="7"/>
        <v>0</v>
      </c>
      <c r="G8" s="3">
        <f t="shared" si="8"/>
        <v>143469210.88878167</v>
      </c>
      <c r="H8" s="3">
        <f t="shared" si="9"/>
        <v>0</v>
      </c>
      <c r="I8" s="3">
        <f t="shared" si="10"/>
        <v>1538696665.8593445</v>
      </c>
      <c r="J8" s="3">
        <f t="shared" si="11"/>
        <v>8425589448.0153198</v>
      </c>
      <c r="K8" s="3">
        <f t="shared" si="12"/>
        <v>0</v>
      </c>
      <c r="L8" s="3">
        <f t="shared" si="13"/>
        <v>53294925.809826031</v>
      </c>
      <c r="M8" s="3">
        <f t="shared" si="14"/>
        <v>16248139127.642799</v>
      </c>
      <c r="N8" s="3">
        <f t="shared" si="15"/>
        <v>7148298050.211565</v>
      </c>
      <c r="O8" s="3">
        <f t="shared" si="16"/>
        <v>33580020245.9207</v>
      </c>
      <c r="P8" s="7" t="s">
        <v>95</v>
      </c>
      <c r="Q8" s="2" t="s">
        <v>23</v>
      </c>
      <c r="R8" s="3">
        <f t="shared" si="17"/>
        <v>0</v>
      </c>
      <c r="S8" s="3">
        <f t="shared" si="17"/>
        <v>22532817.493062887</v>
      </c>
      <c r="T8" s="3">
        <f t="shared" si="17"/>
        <v>0</v>
      </c>
      <c r="U8" s="3">
        <f t="shared" si="17"/>
        <v>0</v>
      </c>
      <c r="V8" s="3">
        <f t="shared" si="17"/>
        <v>143469210.88878167</v>
      </c>
      <c r="W8" s="3">
        <f t="shared" si="17"/>
        <v>0</v>
      </c>
      <c r="X8" s="3">
        <f t="shared" si="17"/>
        <v>1538696665.8593445</v>
      </c>
      <c r="Y8" s="3">
        <f t="shared" si="17"/>
        <v>8425589448.0153198</v>
      </c>
      <c r="Z8" s="3">
        <f t="shared" si="17"/>
        <v>0</v>
      </c>
      <c r="AA8" s="3">
        <f t="shared" si="17"/>
        <v>53294925.809826031</v>
      </c>
      <c r="AB8" s="3">
        <f t="shared" si="18"/>
        <v>10183583068.066334</v>
      </c>
      <c r="AC8" s="7" t="s">
        <v>95</v>
      </c>
      <c r="AD8" s="2" t="s">
        <v>23</v>
      </c>
      <c r="AE8" s="3">
        <f t="shared" si="19"/>
        <v>16248139127.642799</v>
      </c>
      <c r="AF8" s="3">
        <f t="shared" si="19"/>
        <v>7148298050.211565</v>
      </c>
      <c r="AG8" s="3">
        <f t="shared" si="20"/>
        <v>23396437177.854362</v>
      </c>
      <c r="AH8" s="7" t="s">
        <v>95</v>
      </c>
      <c r="AI8" s="2" t="s">
        <v>23</v>
      </c>
      <c r="AJ8" s="3">
        <f t="shared" si="21"/>
        <v>24821439115.607399</v>
      </c>
      <c r="AK8" s="3">
        <f t="shared" si="1"/>
        <v>7180824600.4425459</v>
      </c>
      <c r="AL8" s="3">
        <f t="shared" si="1"/>
        <v>1577756529.8707445</v>
      </c>
      <c r="AM8" s="3">
        <f t="shared" si="1"/>
        <v>0</v>
      </c>
      <c r="AN8" s="3">
        <f t="shared" si="22"/>
        <v>33580020245.920689</v>
      </c>
      <c r="AO8" s="7" t="s">
        <v>95</v>
      </c>
      <c r="AP8" s="2" t="s">
        <v>23</v>
      </c>
      <c r="AQ8" s="3">
        <f t="shared" si="23"/>
        <v>8148281806.1097202</v>
      </c>
      <c r="AR8" s="3">
        <f t="shared" si="2"/>
        <v>888079673.47774231</v>
      </c>
      <c r="AS8" s="3">
        <f t="shared" si="2"/>
        <v>1147221588.4788599</v>
      </c>
      <c r="AT8" s="3">
        <f t="shared" si="2"/>
        <v>0</v>
      </c>
      <c r="AU8" s="3">
        <f t="shared" si="24"/>
        <v>10183583068.066322</v>
      </c>
      <c r="AV8" s="7" t="s">
        <v>95</v>
      </c>
      <c r="AW8" s="2" t="s">
        <v>23</v>
      </c>
      <c r="AX8" s="3">
        <f t="shared" si="25"/>
        <v>16673157309.497677</v>
      </c>
      <c r="AY8" s="3">
        <f t="shared" si="3"/>
        <v>6292744926.9648037</v>
      </c>
      <c r="AZ8" s="3">
        <f t="shared" si="3"/>
        <v>430534941.39188451</v>
      </c>
      <c r="BA8" s="3">
        <f t="shared" si="3"/>
        <v>0</v>
      </c>
      <c r="BB8" s="3">
        <f t="shared" si="26"/>
        <v>23396437177.854362</v>
      </c>
      <c r="BC8" s="7" t="s">
        <v>95</v>
      </c>
      <c r="BD8" s="2" t="s">
        <v>23</v>
      </c>
      <c r="BE8" s="3">
        <f>'Hasil (Rp)'!BE8-Biaya!BE8</f>
        <v>0</v>
      </c>
      <c r="BF8" s="3">
        <f>'Hasil (Rp)'!BF8-Biaya!BF8</f>
        <v>0</v>
      </c>
      <c r="BG8" s="3">
        <f>'Hasil (Rp)'!BG8-Biaya!BG8</f>
        <v>0</v>
      </c>
      <c r="BH8" s="3">
        <f>'Hasil (Rp)'!BH8-Biaya!BH8</f>
        <v>0</v>
      </c>
      <c r="BI8" s="3">
        <f>'Hasil (Rp)'!BI8-Biaya!BI8</f>
        <v>0</v>
      </c>
      <c r="BJ8" s="7" t="s">
        <v>95</v>
      </c>
      <c r="BK8" s="2" t="s">
        <v>23</v>
      </c>
      <c r="BL8" s="3">
        <f>'Hasil (Rp)'!BL8-Biaya!BL8</f>
        <v>0</v>
      </c>
      <c r="BM8" s="3">
        <f>'Hasil (Rp)'!BM8-Biaya!BM8</f>
        <v>8721662.9125660695</v>
      </c>
      <c r="BN8" s="3">
        <f>'Hasil (Rp)'!BN8-Biaya!BN8</f>
        <v>13811154.580496814</v>
      </c>
      <c r="BO8" s="3">
        <f>'Hasil (Rp)'!BO8-Biaya!BO8</f>
        <v>0</v>
      </c>
      <c r="BP8" s="3">
        <f>'Hasil (Rp)'!BP8-Biaya!BP8</f>
        <v>22532817.493062887</v>
      </c>
      <c r="BQ8" s="7" t="s">
        <v>95</v>
      </c>
      <c r="BR8" s="2" t="s">
        <v>23</v>
      </c>
      <c r="BS8" s="3">
        <f>'Hasil (Rp)'!BS8-Biaya!BS8</f>
        <v>0</v>
      </c>
      <c r="BT8" s="3">
        <f>'Hasil (Rp)'!BT8-Biaya!BT8</f>
        <v>0</v>
      </c>
      <c r="BU8" s="3">
        <f>'Hasil (Rp)'!BU8-Biaya!BU8</f>
        <v>0</v>
      </c>
      <c r="BV8" s="3">
        <f>'Hasil (Rp)'!BV8-Biaya!BV8</f>
        <v>0</v>
      </c>
      <c r="BW8" s="3">
        <f>'Hasil (Rp)'!BW8-Biaya!BW8</f>
        <v>0</v>
      </c>
      <c r="BX8" s="7" t="s">
        <v>95</v>
      </c>
      <c r="BY8" s="2" t="s">
        <v>23</v>
      </c>
      <c r="BZ8" s="3">
        <f>'Hasil (Rp)'!BZ8-Biaya!BZ8</f>
        <v>0</v>
      </c>
      <c r="CA8" s="3">
        <f>'Hasil (Rp)'!CA8-Biaya!CA8</f>
        <v>0</v>
      </c>
      <c r="CB8" s="3">
        <f>'Hasil (Rp)'!CB8-Biaya!CB8</f>
        <v>0</v>
      </c>
      <c r="CC8" s="3">
        <f>'Hasil (Rp)'!CC8-Biaya!CC8</f>
        <v>0</v>
      </c>
      <c r="CD8" s="3">
        <f>'Hasil (Rp)'!CD8-Biaya!CD8</f>
        <v>0</v>
      </c>
      <c r="CE8" s="7" t="s">
        <v>95</v>
      </c>
      <c r="CF8" s="2" t="s">
        <v>23</v>
      </c>
      <c r="CG8" s="3">
        <f>'Hasil (Rp)'!CG8-Biaya!CG8</f>
        <v>43605282.413746148</v>
      </c>
      <c r="CH8" s="3">
        <f>'Hasil (Rp)'!CH8-Biaya!CH8</f>
        <v>99863928.475035548</v>
      </c>
      <c r="CI8" s="3">
        <f>'Hasil (Rp)'!CI8-Biaya!CI8</f>
        <v>0</v>
      </c>
      <c r="CJ8" s="3">
        <f>'Hasil (Rp)'!CJ8-Biaya!CJ8</f>
        <v>0</v>
      </c>
      <c r="CK8" s="3">
        <f>'Hasil (Rp)'!CK8-Biaya!CK8</f>
        <v>143469210.88878167</v>
      </c>
      <c r="CL8" s="7" t="s">
        <v>95</v>
      </c>
      <c r="CM8" s="2" t="s">
        <v>23</v>
      </c>
      <c r="CN8" s="3">
        <f>'Hasil (Rp)'!CN8-Biaya!CN8</f>
        <v>0</v>
      </c>
      <c r="CO8" s="3">
        <f>'Hasil (Rp)'!CO8-Biaya!CO8</f>
        <v>0</v>
      </c>
      <c r="CP8" s="3">
        <f>'Hasil (Rp)'!CP8-Biaya!CP8</f>
        <v>0</v>
      </c>
      <c r="CQ8" s="3">
        <f>'Hasil (Rp)'!CQ8-Biaya!CQ8</f>
        <v>0</v>
      </c>
      <c r="CR8" s="3">
        <f>'Hasil (Rp)'!CR8-Biaya!CR8</f>
        <v>0</v>
      </c>
      <c r="CS8" s="7" t="s">
        <v>95</v>
      </c>
      <c r="CT8" s="2" t="s">
        <v>23</v>
      </c>
      <c r="CU8" s="3">
        <f>'Hasil (Rp)'!CU8-Biaya!CU8</f>
        <v>769862838.8644197</v>
      </c>
      <c r="CV8" s="3">
        <f>'Hasil (Rp)'!CV8-Biaya!CV8</f>
        <v>768833826.99492526</v>
      </c>
      <c r="CW8" s="3">
        <f>'Hasil (Rp)'!CW8-Biaya!CW8</f>
        <v>0</v>
      </c>
      <c r="CX8" s="3">
        <f>'Hasil (Rp)'!CX8-Biaya!CX8</f>
        <v>0</v>
      </c>
      <c r="CY8" s="3">
        <f>'Hasil (Rp)'!CY8-Biaya!CY8</f>
        <v>1538696665.8593445</v>
      </c>
      <c r="CZ8" s="7" t="s">
        <v>95</v>
      </c>
      <c r="DA8" s="2" t="s">
        <v>23</v>
      </c>
      <c r="DB8" s="3">
        <f>'Hasil (Rp)'!DB8-Biaya!DB8</f>
        <v>0</v>
      </c>
      <c r="DC8" s="3">
        <f>'Hasil (Rp)'!DC8-Biaya!DC8</f>
        <v>0</v>
      </c>
      <c r="DD8" s="3">
        <f>'Hasil (Rp)'!DD8-Biaya!DD8</f>
        <v>0</v>
      </c>
      <c r="DE8" s="3">
        <f>'Hasil (Rp)'!DE8-Biaya!DE8</f>
        <v>0</v>
      </c>
      <c r="DF8" s="3">
        <f>'Hasil (Rp)'!DF8-Biaya!DF8</f>
        <v>0</v>
      </c>
      <c r="DG8" s="7" t="s">
        <v>95</v>
      </c>
      <c r="DH8" s="2" t="s">
        <v>23</v>
      </c>
      <c r="DI8" s="3">
        <f>'Hasil (Rp)'!DI8-Biaya!DI8</f>
        <v>7292179014.1169434</v>
      </c>
      <c r="DJ8" s="3">
        <f>'Hasil (Rp)'!DJ8-Biaya!DJ8</f>
        <v>0</v>
      </c>
      <c r="DK8" s="3">
        <f>'Hasil (Rp)'!DK8-Biaya!DK8</f>
        <v>1133410433.8983631</v>
      </c>
      <c r="DL8" s="3">
        <f>'Hasil (Rp)'!DL8-Biaya!DL8</f>
        <v>0</v>
      </c>
      <c r="DM8" s="3">
        <f>'Hasil (Rp)'!DM8-Biaya!DM8</f>
        <v>8425589448.0153198</v>
      </c>
      <c r="DN8" s="7" t="s">
        <v>95</v>
      </c>
      <c r="DO8" s="2" t="s">
        <v>23</v>
      </c>
      <c r="DP8" s="3">
        <f>'Hasil (Rp)'!DP8-Biaya!DP8</f>
        <v>42634670.714610584</v>
      </c>
      <c r="DQ8" s="3">
        <f>'Hasil (Rp)'!DQ8-Biaya!DQ8</f>
        <v>10660255.095215451</v>
      </c>
      <c r="DR8" s="3">
        <f>'Hasil (Rp)'!DR8-Biaya!DR8</f>
        <v>0</v>
      </c>
      <c r="DS8" s="3">
        <f>'Hasil (Rp)'!DS8-Biaya!DS8</f>
        <v>0</v>
      </c>
      <c r="DT8" s="3">
        <f>'Hasil (Rp)'!DT8-Biaya!DT8</f>
        <v>53294925.809826031</v>
      </c>
      <c r="DU8" s="7" t="s">
        <v>95</v>
      </c>
      <c r="DV8" s="2" t="s">
        <v>23</v>
      </c>
      <c r="DW8" s="3">
        <f>'Hasil (Rp)'!DW8-Biaya!DW8</f>
        <v>2862490412.8668628</v>
      </c>
      <c r="DX8" s="3">
        <f>'Hasil (Rp)'!DX8-Biaya!DX8</f>
        <v>4014669314.7671795</v>
      </c>
      <c r="DY8" s="3">
        <f>'Hasil (Rp)'!DY8-Biaya!DY8</f>
        <v>271138322.57752156</v>
      </c>
      <c r="DZ8" s="3">
        <f>'Hasil (Rp)'!DZ8-Biaya!DZ8</f>
        <v>0</v>
      </c>
      <c r="EA8" s="3">
        <f>'Hasil (Rp)'!EA8-Biaya!EA8</f>
        <v>7148298050.211565</v>
      </c>
      <c r="EB8" s="7" t="s">
        <v>95</v>
      </c>
      <c r="EC8" s="2" t="s">
        <v>23</v>
      </c>
      <c r="ED8" s="3">
        <f>'Hasil (Rp)'!ED8-Biaya!ED8</f>
        <v>13810666896.630814</v>
      </c>
      <c r="EE8" s="3">
        <f>'Hasil (Rp)'!EE8-Biaya!EE8</f>
        <v>2278075612.1976242</v>
      </c>
      <c r="EF8" s="3">
        <f>'Hasil (Rp)'!EF8-Biaya!EF8</f>
        <v>159396618.81436294</v>
      </c>
      <c r="EG8" s="3">
        <f>'Hasil (Rp)'!EG8-Biaya!EG8</f>
        <v>0</v>
      </c>
      <c r="EH8" s="3">
        <f>'Hasil (Rp)'!EH8-Biaya!EH8</f>
        <v>16248139127.642799</v>
      </c>
    </row>
    <row r="9" spans="1:138" ht="10.199999999999999" customHeight="1" x14ac:dyDescent="0.2">
      <c r="A9" s="7" t="s">
        <v>101</v>
      </c>
      <c r="B9" s="2" t="s">
        <v>29</v>
      </c>
      <c r="C9" s="3">
        <f t="shared" si="4"/>
        <v>0</v>
      </c>
      <c r="D9" s="3">
        <f t="shared" si="5"/>
        <v>1804382080.064209</v>
      </c>
      <c r="E9" s="3">
        <f t="shared" si="6"/>
        <v>0</v>
      </c>
      <c r="F9" s="3">
        <f t="shared" si="7"/>
        <v>0</v>
      </c>
      <c r="G9" s="3">
        <f t="shared" si="8"/>
        <v>461400.74022255809</v>
      </c>
      <c r="H9" s="3">
        <f t="shared" si="9"/>
        <v>0</v>
      </c>
      <c r="I9" s="3">
        <f t="shared" si="10"/>
        <v>53187257.614760101</v>
      </c>
      <c r="J9" s="3">
        <f t="shared" si="11"/>
        <v>20799939.757817753</v>
      </c>
      <c r="K9" s="3">
        <f t="shared" si="12"/>
        <v>0</v>
      </c>
      <c r="L9" s="3">
        <f t="shared" si="13"/>
        <v>1962220412.0491071</v>
      </c>
      <c r="M9" s="3">
        <f t="shared" si="14"/>
        <v>11401658956.269573</v>
      </c>
      <c r="N9" s="3">
        <f t="shared" si="15"/>
        <v>684743684.61434793</v>
      </c>
      <c r="O9" s="3">
        <f t="shared" si="16"/>
        <v>15927453731.110037</v>
      </c>
      <c r="P9" s="7" t="s">
        <v>101</v>
      </c>
      <c r="Q9" s="2" t="s">
        <v>29</v>
      </c>
      <c r="R9" s="3">
        <f t="shared" si="17"/>
        <v>0</v>
      </c>
      <c r="S9" s="3">
        <f t="shared" si="17"/>
        <v>1804382080.064209</v>
      </c>
      <c r="T9" s="3">
        <f t="shared" si="17"/>
        <v>0</v>
      </c>
      <c r="U9" s="3">
        <f t="shared" si="17"/>
        <v>0</v>
      </c>
      <c r="V9" s="3">
        <f t="shared" si="17"/>
        <v>461400.74022255809</v>
      </c>
      <c r="W9" s="3">
        <f t="shared" si="17"/>
        <v>0</v>
      </c>
      <c r="X9" s="3">
        <f t="shared" si="17"/>
        <v>53187257.614760101</v>
      </c>
      <c r="Y9" s="3">
        <f t="shared" si="17"/>
        <v>20799939.757817753</v>
      </c>
      <c r="Z9" s="3">
        <f t="shared" si="17"/>
        <v>0</v>
      </c>
      <c r="AA9" s="3">
        <f t="shared" si="17"/>
        <v>1962220412.0491071</v>
      </c>
      <c r="AB9" s="3">
        <f t="shared" si="18"/>
        <v>3841051090.2261162</v>
      </c>
      <c r="AC9" s="7" t="s">
        <v>101</v>
      </c>
      <c r="AD9" s="2" t="s">
        <v>29</v>
      </c>
      <c r="AE9" s="3">
        <f t="shared" si="19"/>
        <v>11401658956.269573</v>
      </c>
      <c r="AF9" s="3">
        <f t="shared" si="19"/>
        <v>684743684.61434793</v>
      </c>
      <c r="AG9" s="3">
        <f t="shared" si="20"/>
        <v>12086402640.883921</v>
      </c>
      <c r="AH9" s="7" t="s">
        <v>101</v>
      </c>
      <c r="AI9" s="2" t="s">
        <v>29</v>
      </c>
      <c r="AJ9" s="3">
        <f t="shared" si="21"/>
        <v>5737848020.427022</v>
      </c>
      <c r="AK9" s="3">
        <f t="shared" si="1"/>
        <v>10189605710.683014</v>
      </c>
      <c r="AL9" s="3">
        <f t="shared" si="1"/>
        <v>0</v>
      </c>
      <c r="AM9" s="3">
        <f t="shared" si="1"/>
        <v>0</v>
      </c>
      <c r="AN9" s="3">
        <f t="shared" si="22"/>
        <v>15927453731.110035</v>
      </c>
      <c r="AO9" s="7" t="s">
        <v>101</v>
      </c>
      <c r="AP9" s="2" t="s">
        <v>29</v>
      </c>
      <c r="AQ9" s="3">
        <f t="shared" si="23"/>
        <v>1731638943.4442704</v>
      </c>
      <c r="AR9" s="3">
        <f t="shared" si="2"/>
        <v>2109412146.7818456</v>
      </c>
      <c r="AS9" s="3">
        <f t="shared" si="2"/>
        <v>0</v>
      </c>
      <c r="AT9" s="3">
        <f t="shared" si="2"/>
        <v>0</v>
      </c>
      <c r="AU9" s="3">
        <f t="shared" si="24"/>
        <v>3841051090.2261162</v>
      </c>
      <c r="AV9" s="7" t="s">
        <v>101</v>
      </c>
      <c r="AW9" s="2" t="s">
        <v>29</v>
      </c>
      <c r="AX9" s="3">
        <f t="shared" si="25"/>
        <v>4006209076.9827514</v>
      </c>
      <c r="AY9" s="3">
        <f t="shared" si="3"/>
        <v>8080193563.9011679</v>
      </c>
      <c r="AZ9" s="3">
        <f t="shared" si="3"/>
        <v>0</v>
      </c>
      <c r="BA9" s="3">
        <f t="shared" si="3"/>
        <v>0</v>
      </c>
      <c r="BB9" s="3">
        <f t="shared" si="26"/>
        <v>12086402640.883919</v>
      </c>
      <c r="BC9" s="7" t="s">
        <v>101</v>
      </c>
      <c r="BD9" s="2" t="s">
        <v>29</v>
      </c>
      <c r="BE9" s="3">
        <f>'Hasil (Rp)'!BE9-Biaya!BE9</f>
        <v>0</v>
      </c>
      <c r="BF9" s="3">
        <f>'Hasil (Rp)'!BF9-Biaya!BF9</f>
        <v>0</v>
      </c>
      <c r="BG9" s="3">
        <f>'Hasil (Rp)'!BG9-Biaya!BG9</f>
        <v>0</v>
      </c>
      <c r="BH9" s="3">
        <f>'Hasil (Rp)'!BH9-Biaya!BH9</f>
        <v>0</v>
      </c>
      <c r="BI9" s="3">
        <f>'Hasil (Rp)'!BI9-Biaya!BI9</f>
        <v>0</v>
      </c>
      <c r="BJ9" s="7" t="s">
        <v>101</v>
      </c>
      <c r="BK9" s="2" t="s">
        <v>29</v>
      </c>
      <c r="BL9" s="3">
        <f>'Hasil (Rp)'!BL9-Biaya!BL9</f>
        <v>1621864993.3321457</v>
      </c>
      <c r="BM9" s="3">
        <f>'Hasil (Rp)'!BM9-Biaya!BM9</f>
        <v>182517086.73206294</v>
      </c>
      <c r="BN9" s="3">
        <f>'Hasil (Rp)'!BN9-Biaya!BN9</f>
        <v>0</v>
      </c>
      <c r="BO9" s="3">
        <f>'Hasil (Rp)'!BO9-Biaya!BO9</f>
        <v>0</v>
      </c>
      <c r="BP9" s="3">
        <f>'Hasil (Rp)'!BP9-Biaya!BP9</f>
        <v>1804382080.064209</v>
      </c>
      <c r="BQ9" s="7" t="s">
        <v>101</v>
      </c>
      <c r="BR9" s="2" t="s">
        <v>29</v>
      </c>
      <c r="BS9" s="3">
        <f>'Hasil (Rp)'!BS9-Biaya!BS9</f>
        <v>0</v>
      </c>
      <c r="BT9" s="3">
        <f>'Hasil (Rp)'!BT9-Biaya!BT9</f>
        <v>0</v>
      </c>
      <c r="BU9" s="3">
        <f>'Hasil (Rp)'!BU9-Biaya!BU9</f>
        <v>0</v>
      </c>
      <c r="BV9" s="3">
        <f>'Hasil (Rp)'!BV9-Biaya!BV9</f>
        <v>0</v>
      </c>
      <c r="BW9" s="3">
        <f>'Hasil (Rp)'!BW9-Biaya!BW9</f>
        <v>0</v>
      </c>
      <c r="BX9" s="7" t="s">
        <v>101</v>
      </c>
      <c r="BY9" s="2" t="s">
        <v>29</v>
      </c>
      <c r="BZ9" s="3">
        <f>'Hasil (Rp)'!BZ9-Biaya!BZ9</f>
        <v>0</v>
      </c>
      <c r="CA9" s="3">
        <f>'Hasil (Rp)'!CA9-Biaya!CA9</f>
        <v>0</v>
      </c>
      <c r="CB9" s="3">
        <f>'Hasil (Rp)'!CB9-Biaya!CB9</f>
        <v>0</v>
      </c>
      <c r="CC9" s="3">
        <f>'Hasil (Rp)'!CC9-Biaya!CC9</f>
        <v>0</v>
      </c>
      <c r="CD9" s="3">
        <f>'Hasil (Rp)'!CD9-Biaya!CD9</f>
        <v>0</v>
      </c>
      <c r="CE9" s="7" t="s">
        <v>101</v>
      </c>
      <c r="CF9" s="2" t="s">
        <v>29</v>
      </c>
      <c r="CG9" s="3">
        <f>'Hasil (Rp)'!CG9-Biaya!CG9</f>
        <v>461400.74022255809</v>
      </c>
      <c r="CH9" s="3">
        <f>'Hasil (Rp)'!CH9-Biaya!CH9</f>
        <v>0</v>
      </c>
      <c r="CI9" s="3">
        <f>'Hasil (Rp)'!CI9-Biaya!CI9</f>
        <v>0</v>
      </c>
      <c r="CJ9" s="3">
        <f>'Hasil (Rp)'!CJ9-Biaya!CJ9</f>
        <v>0</v>
      </c>
      <c r="CK9" s="3">
        <f>'Hasil (Rp)'!CK9-Biaya!CK9</f>
        <v>461400.74022255809</v>
      </c>
      <c r="CL9" s="7" t="s">
        <v>101</v>
      </c>
      <c r="CM9" s="2" t="s">
        <v>29</v>
      </c>
      <c r="CN9" s="3">
        <f>'Hasil (Rp)'!CN9-Biaya!CN9</f>
        <v>0</v>
      </c>
      <c r="CO9" s="3">
        <f>'Hasil (Rp)'!CO9-Biaya!CO9</f>
        <v>0</v>
      </c>
      <c r="CP9" s="3">
        <f>'Hasil (Rp)'!CP9-Biaya!CP9</f>
        <v>0</v>
      </c>
      <c r="CQ9" s="3">
        <f>'Hasil (Rp)'!CQ9-Biaya!CQ9</f>
        <v>0</v>
      </c>
      <c r="CR9" s="3">
        <f>'Hasil (Rp)'!CR9-Biaya!CR9</f>
        <v>0</v>
      </c>
      <c r="CS9" s="7" t="s">
        <v>101</v>
      </c>
      <c r="CT9" s="2" t="s">
        <v>29</v>
      </c>
      <c r="CU9" s="3">
        <f>'Hasil (Rp)'!CU9-Biaya!CU9</f>
        <v>21666565.037751943</v>
      </c>
      <c r="CV9" s="3">
        <f>'Hasil (Rp)'!CV9-Biaya!CV9</f>
        <v>31520692.577008151</v>
      </c>
      <c r="CW9" s="3">
        <f>'Hasil (Rp)'!CW9-Biaya!CW9</f>
        <v>0</v>
      </c>
      <c r="CX9" s="3">
        <f>'Hasil (Rp)'!CX9-Biaya!CX9</f>
        <v>0</v>
      </c>
      <c r="CY9" s="3">
        <f>'Hasil (Rp)'!CY9-Biaya!CY9</f>
        <v>53187257.614760101</v>
      </c>
      <c r="CZ9" s="7" t="s">
        <v>101</v>
      </c>
      <c r="DA9" s="2" t="s">
        <v>29</v>
      </c>
      <c r="DB9" s="3">
        <f>'Hasil (Rp)'!DB9-Biaya!DB9</f>
        <v>0</v>
      </c>
      <c r="DC9" s="3">
        <f>'Hasil (Rp)'!DC9-Biaya!DC9</f>
        <v>0</v>
      </c>
      <c r="DD9" s="3">
        <f>'Hasil (Rp)'!DD9-Biaya!DD9</f>
        <v>0</v>
      </c>
      <c r="DE9" s="3">
        <f>'Hasil (Rp)'!DE9-Biaya!DE9</f>
        <v>0</v>
      </c>
      <c r="DF9" s="3">
        <f>'Hasil (Rp)'!DF9-Biaya!DF9</f>
        <v>0</v>
      </c>
      <c r="DG9" s="7" t="s">
        <v>101</v>
      </c>
      <c r="DH9" s="2" t="s">
        <v>29</v>
      </c>
      <c r="DI9" s="3">
        <f>'Hasil (Rp)'!DI9-Biaya!DI9</f>
        <v>0</v>
      </c>
      <c r="DJ9" s="3">
        <f>'Hasil (Rp)'!DJ9-Biaya!DJ9</f>
        <v>20799939.757817753</v>
      </c>
      <c r="DK9" s="3">
        <f>'Hasil (Rp)'!DK9-Biaya!DK9</f>
        <v>0</v>
      </c>
      <c r="DL9" s="3">
        <f>'Hasil (Rp)'!DL9-Biaya!DL9</f>
        <v>0</v>
      </c>
      <c r="DM9" s="3">
        <f>'Hasil (Rp)'!DM9-Biaya!DM9</f>
        <v>20799939.757817753</v>
      </c>
      <c r="DN9" s="7" t="s">
        <v>101</v>
      </c>
      <c r="DO9" s="2" t="s">
        <v>29</v>
      </c>
      <c r="DP9" s="3">
        <f>'Hasil (Rp)'!DP9-Biaya!DP9</f>
        <v>87645984.334150314</v>
      </c>
      <c r="DQ9" s="3">
        <f>'Hasil (Rp)'!DQ9-Biaya!DQ9</f>
        <v>1874574427.7149568</v>
      </c>
      <c r="DR9" s="3">
        <f>'Hasil (Rp)'!DR9-Biaya!DR9</f>
        <v>0</v>
      </c>
      <c r="DS9" s="3">
        <f>'Hasil (Rp)'!DS9-Biaya!DS9</f>
        <v>0</v>
      </c>
      <c r="DT9" s="3">
        <f>'Hasil (Rp)'!DT9-Biaya!DT9</f>
        <v>1962220412.0491071</v>
      </c>
      <c r="DU9" s="7" t="s">
        <v>101</v>
      </c>
      <c r="DV9" s="2" t="s">
        <v>29</v>
      </c>
      <c r="DW9" s="3">
        <f>'Hasil (Rp)'!DW9-Biaya!DW9</f>
        <v>145243283.14432466</v>
      </c>
      <c r="DX9" s="3">
        <f>'Hasil (Rp)'!DX9-Biaya!DX9</f>
        <v>539500401.47002316</v>
      </c>
      <c r="DY9" s="3">
        <f>'Hasil (Rp)'!DY9-Biaya!DY9</f>
        <v>0</v>
      </c>
      <c r="DZ9" s="3">
        <f>'Hasil (Rp)'!DZ9-Biaya!DZ9</f>
        <v>0</v>
      </c>
      <c r="EA9" s="3">
        <f>'Hasil (Rp)'!EA9-Biaya!EA9</f>
        <v>684743684.61434793</v>
      </c>
      <c r="EB9" s="7" t="s">
        <v>101</v>
      </c>
      <c r="EC9" s="2" t="s">
        <v>29</v>
      </c>
      <c r="ED9" s="3">
        <f>'Hasil (Rp)'!ED9-Biaya!ED9</f>
        <v>3860965793.8384266</v>
      </c>
      <c r="EE9" s="3">
        <f>'Hasil (Rp)'!EE9-Biaya!EE9</f>
        <v>7540693162.4311447</v>
      </c>
      <c r="EF9" s="3">
        <f>'Hasil (Rp)'!EF9-Biaya!EF9</f>
        <v>0</v>
      </c>
      <c r="EG9" s="3">
        <f>'Hasil (Rp)'!EG9-Biaya!EG9</f>
        <v>0</v>
      </c>
      <c r="EH9" s="3">
        <f>'Hasil (Rp)'!EH9-Biaya!EH9</f>
        <v>11401658956.269573</v>
      </c>
    </row>
    <row r="10" spans="1:138" ht="10.199999999999999" customHeight="1" x14ac:dyDescent="0.2">
      <c r="A10" s="7" t="s">
        <v>106</v>
      </c>
      <c r="B10" s="2" t="s">
        <v>34</v>
      </c>
      <c r="C10" s="3">
        <f t="shared" si="4"/>
        <v>0</v>
      </c>
      <c r="D10" s="3">
        <f t="shared" si="5"/>
        <v>30822381.607848089</v>
      </c>
      <c r="E10" s="3">
        <f t="shared" si="6"/>
        <v>216603457023.33496</v>
      </c>
      <c r="F10" s="3">
        <f t="shared" si="7"/>
        <v>16581186482.634836</v>
      </c>
      <c r="G10" s="3">
        <f t="shared" si="8"/>
        <v>12113758.803086091</v>
      </c>
      <c r="H10" s="3">
        <f t="shared" si="9"/>
        <v>0</v>
      </c>
      <c r="I10" s="3">
        <f t="shared" si="10"/>
        <v>262189439.17973542</v>
      </c>
      <c r="J10" s="3">
        <f t="shared" si="11"/>
        <v>161316132.9659977</v>
      </c>
      <c r="K10" s="3">
        <f t="shared" si="12"/>
        <v>244033244.96154833</v>
      </c>
      <c r="L10" s="3">
        <f t="shared" si="13"/>
        <v>8876449967.9068069</v>
      </c>
      <c r="M10" s="3">
        <f t="shared" si="14"/>
        <v>3073307005.805933</v>
      </c>
      <c r="N10" s="3">
        <f t="shared" si="15"/>
        <v>89336966114.405731</v>
      </c>
      <c r="O10" s="3">
        <f t="shared" si="16"/>
        <v>335181841551.60651</v>
      </c>
      <c r="P10" s="7" t="s">
        <v>106</v>
      </c>
      <c r="Q10" s="2" t="s">
        <v>34</v>
      </c>
      <c r="R10" s="3">
        <f t="shared" si="17"/>
        <v>0</v>
      </c>
      <c r="S10" s="3">
        <f t="shared" si="17"/>
        <v>30822381.607848089</v>
      </c>
      <c r="T10" s="3">
        <f t="shared" si="17"/>
        <v>216603457023.33496</v>
      </c>
      <c r="U10" s="3">
        <f t="shared" si="17"/>
        <v>16581186482.634836</v>
      </c>
      <c r="V10" s="3">
        <f t="shared" si="17"/>
        <v>12113758.803086091</v>
      </c>
      <c r="W10" s="3">
        <f t="shared" si="17"/>
        <v>0</v>
      </c>
      <c r="X10" s="3">
        <f t="shared" si="17"/>
        <v>262189439.17973542</v>
      </c>
      <c r="Y10" s="3">
        <f t="shared" si="17"/>
        <v>161316132.9659977</v>
      </c>
      <c r="Z10" s="3">
        <f t="shared" si="17"/>
        <v>244033244.96154833</v>
      </c>
      <c r="AA10" s="3">
        <f t="shared" si="17"/>
        <v>8876449967.9068069</v>
      </c>
      <c r="AB10" s="3">
        <f t="shared" si="18"/>
        <v>242771568431.39484</v>
      </c>
      <c r="AC10" s="7" t="s">
        <v>106</v>
      </c>
      <c r="AD10" s="2" t="s">
        <v>34</v>
      </c>
      <c r="AE10" s="3">
        <f t="shared" si="19"/>
        <v>3073307005.805933</v>
      </c>
      <c r="AF10" s="3">
        <f t="shared" si="19"/>
        <v>89336966114.405731</v>
      </c>
      <c r="AG10" s="3">
        <f t="shared" si="20"/>
        <v>92410273120.21167</v>
      </c>
      <c r="AH10" s="7" t="s">
        <v>106</v>
      </c>
      <c r="AI10" s="2" t="s">
        <v>34</v>
      </c>
      <c r="AJ10" s="3">
        <f t="shared" si="21"/>
        <v>96500494586.996811</v>
      </c>
      <c r="AK10" s="3">
        <f t="shared" si="1"/>
        <v>3357255131.22998</v>
      </c>
      <c r="AL10" s="3">
        <f t="shared" si="1"/>
        <v>199294210.03272378</v>
      </c>
      <c r="AM10" s="3">
        <f t="shared" si="1"/>
        <v>235124797623.34698</v>
      </c>
      <c r="AN10" s="3">
        <f t="shared" si="22"/>
        <v>335181841551.60651</v>
      </c>
      <c r="AO10" s="7" t="s">
        <v>106</v>
      </c>
      <c r="AP10" s="2" t="s">
        <v>34</v>
      </c>
      <c r="AQ10" s="3">
        <f t="shared" si="23"/>
        <v>93261293803.972916</v>
      </c>
      <c r="AR10" s="3">
        <f t="shared" si="2"/>
        <v>2529061954.5873165</v>
      </c>
      <c r="AS10" s="3">
        <f t="shared" si="2"/>
        <v>43584173.067199618</v>
      </c>
      <c r="AT10" s="3">
        <f t="shared" si="2"/>
        <v>146937628499.7674</v>
      </c>
      <c r="AU10" s="3">
        <f t="shared" si="24"/>
        <v>242771568431.39484</v>
      </c>
      <c r="AV10" s="7" t="s">
        <v>106</v>
      </c>
      <c r="AW10" s="2" t="s">
        <v>34</v>
      </c>
      <c r="AX10" s="3">
        <f t="shared" si="25"/>
        <v>3239200783.0238886</v>
      </c>
      <c r="AY10" s="3">
        <f t="shared" si="3"/>
        <v>828193176.6426636</v>
      </c>
      <c r="AZ10" s="3">
        <f t="shared" si="3"/>
        <v>155710036.96552417</v>
      </c>
      <c r="BA10" s="3">
        <f t="shared" si="3"/>
        <v>88187169123.57959</v>
      </c>
      <c r="BB10" s="3">
        <f t="shared" si="26"/>
        <v>92410273120.21167</v>
      </c>
      <c r="BC10" s="7" t="s">
        <v>106</v>
      </c>
      <c r="BD10" s="2" t="s">
        <v>34</v>
      </c>
      <c r="BE10" s="3">
        <f>'Hasil (Rp)'!BE10-Biaya!BE10</f>
        <v>0</v>
      </c>
      <c r="BF10" s="3">
        <f>'Hasil (Rp)'!BF10-Biaya!BF10</f>
        <v>0</v>
      </c>
      <c r="BG10" s="3">
        <f>'Hasil (Rp)'!BG10-Biaya!BG10</f>
        <v>0</v>
      </c>
      <c r="BH10" s="3">
        <f>'Hasil (Rp)'!BH10-Biaya!BH10</f>
        <v>0</v>
      </c>
      <c r="BI10" s="3">
        <f>'Hasil (Rp)'!BI10-Biaya!BI10</f>
        <v>0</v>
      </c>
      <c r="BJ10" s="7" t="s">
        <v>106</v>
      </c>
      <c r="BK10" s="2" t="s">
        <v>34</v>
      </c>
      <c r="BL10" s="3">
        <f>'Hasil (Rp)'!BL10-Biaya!BL10</f>
        <v>30822381.607848089</v>
      </c>
      <c r="BM10" s="3">
        <f>'Hasil (Rp)'!BM10-Biaya!BM10</f>
        <v>0</v>
      </c>
      <c r="BN10" s="3">
        <f>'Hasil (Rp)'!BN10-Biaya!BN10</f>
        <v>0</v>
      </c>
      <c r="BO10" s="3">
        <f>'Hasil (Rp)'!BO10-Biaya!BO10</f>
        <v>0</v>
      </c>
      <c r="BP10" s="3">
        <f>'Hasil (Rp)'!BP10-Biaya!BP10</f>
        <v>30822381.607848089</v>
      </c>
      <c r="BQ10" s="7" t="s">
        <v>106</v>
      </c>
      <c r="BR10" s="2" t="s">
        <v>34</v>
      </c>
      <c r="BS10" s="3">
        <f>'Hasil (Rp)'!BS10-Biaya!BS10</f>
        <v>75677922708.727356</v>
      </c>
      <c r="BT10" s="3">
        <f>'Hasil (Rp)'!BT10-Biaya!BT10</f>
        <v>1555969519.7902133</v>
      </c>
      <c r="BU10" s="3">
        <f>'Hasil (Rp)'!BU10-Biaya!BU10</f>
        <v>0</v>
      </c>
      <c r="BV10" s="3">
        <f>'Hasil (Rp)'!BV10-Biaya!BV10</f>
        <v>139369564794.81738</v>
      </c>
      <c r="BW10" s="3">
        <f>'Hasil (Rp)'!BW10-Biaya!BW10</f>
        <v>216603457023.33496</v>
      </c>
      <c r="BX10" s="7" t="s">
        <v>106</v>
      </c>
      <c r="BY10" s="2" t="s">
        <v>34</v>
      </c>
      <c r="BZ10" s="3">
        <f>'Hasil (Rp)'!BZ10-Biaya!BZ10</f>
        <v>16573762008.779316</v>
      </c>
      <c r="CA10" s="3">
        <f>'Hasil (Rp)'!CA10-Biaya!CA10</f>
        <v>7424473.8555212822</v>
      </c>
      <c r="CB10" s="3">
        <f>'Hasil (Rp)'!CB10-Biaya!CB10</f>
        <v>0</v>
      </c>
      <c r="CC10" s="3">
        <f>'Hasil (Rp)'!CC10-Biaya!CC10</f>
        <v>0</v>
      </c>
      <c r="CD10" s="3">
        <f>'Hasil (Rp)'!CD10-Biaya!CD10</f>
        <v>16581186482.634836</v>
      </c>
      <c r="CE10" s="7" t="s">
        <v>106</v>
      </c>
      <c r="CF10" s="2" t="s">
        <v>34</v>
      </c>
      <c r="CG10" s="3">
        <f>'Hasil (Rp)'!CG10-Biaya!CG10</f>
        <v>12113758.803086091</v>
      </c>
      <c r="CH10" s="3">
        <f>'Hasil (Rp)'!CH10-Biaya!CH10</f>
        <v>0</v>
      </c>
      <c r="CI10" s="3">
        <f>'Hasil (Rp)'!CI10-Biaya!CI10</f>
        <v>0</v>
      </c>
      <c r="CJ10" s="3">
        <f>'Hasil (Rp)'!CJ10-Biaya!CJ10</f>
        <v>0</v>
      </c>
      <c r="CK10" s="3">
        <f>'Hasil (Rp)'!CK10-Biaya!CK10</f>
        <v>12113758.803086091</v>
      </c>
      <c r="CL10" s="7" t="s">
        <v>106</v>
      </c>
      <c r="CM10" s="2" t="s">
        <v>34</v>
      </c>
      <c r="CN10" s="3">
        <f>'Hasil (Rp)'!CN10-Biaya!CN10</f>
        <v>0</v>
      </c>
      <c r="CO10" s="3">
        <f>'Hasil (Rp)'!CO10-Biaya!CO10</f>
        <v>0</v>
      </c>
      <c r="CP10" s="3">
        <f>'Hasil (Rp)'!CP10-Biaya!CP10</f>
        <v>0</v>
      </c>
      <c r="CQ10" s="3">
        <f>'Hasil (Rp)'!CQ10-Biaya!CQ10</f>
        <v>0</v>
      </c>
      <c r="CR10" s="3">
        <f>'Hasil (Rp)'!CR10-Biaya!CR10</f>
        <v>0</v>
      </c>
      <c r="CS10" s="7" t="s">
        <v>106</v>
      </c>
      <c r="CT10" s="2" t="s">
        <v>34</v>
      </c>
      <c r="CU10" s="3">
        <f>'Hasil (Rp)'!CU10-Biaya!CU10</f>
        <v>218605266.11253595</v>
      </c>
      <c r="CV10" s="3">
        <f>'Hasil (Rp)'!CV10-Biaya!CV10</f>
        <v>0</v>
      </c>
      <c r="CW10" s="3">
        <f>'Hasil (Rp)'!CW10-Biaya!CW10</f>
        <v>43584173.067199618</v>
      </c>
      <c r="CX10" s="3">
        <f>'Hasil (Rp)'!CX10-Biaya!CX10</f>
        <v>0</v>
      </c>
      <c r="CY10" s="3">
        <f>'Hasil (Rp)'!CY10-Biaya!CY10</f>
        <v>262189439.17973542</v>
      </c>
      <c r="CZ10" s="7" t="s">
        <v>106</v>
      </c>
      <c r="DA10" s="2" t="s">
        <v>34</v>
      </c>
      <c r="DB10" s="3">
        <f>'Hasil (Rp)'!DB10-Biaya!DB10</f>
        <v>244033244.96154833</v>
      </c>
      <c r="DC10" s="3">
        <f>'Hasil (Rp)'!DC10-Biaya!DC10</f>
        <v>0</v>
      </c>
      <c r="DD10" s="3">
        <f>'Hasil (Rp)'!DD10-Biaya!DD10</f>
        <v>0</v>
      </c>
      <c r="DE10" s="3">
        <f>'Hasil (Rp)'!DE10-Biaya!DE10</f>
        <v>0</v>
      </c>
      <c r="DF10" s="3">
        <f>'Hasil (Rp)'!DF10-Biaya!DF10</f>
        <v>244033244.96154833</v>
      </c>
      <c r="DG10" s="7" t="s">
        <v>106</v>
      </c>
      <c r="DH10" s="2" t="s">
        <v>34</v>
      </c>
      <c r="DI10" s="3">
        <f>'Hasil (Rp)'!DI10-Biaya!DI10</f>
        <v>161316132.9659977</v>
      </c>
      <c r="DJ10" s="3">
        <f>'Hasil (Rp)'!DJ10-Biaya!DJ10</f>
        <v>0</v>
      </c>
      <c r="DK10" s="3">
        <f>'Hasil (Rp)'!DK10-Biaya!DK10</f>
        <v>0</v>
      </c>
      <c r="DL10" s="3">
        <f>'Hasil (Rp)'!DL10-Biaya!DL10</f>
        <v>0</v>
      </c>
      <c r="DM10" s="3">
        <f>'Hasil (Rp)'!DM10-Biaya!DM10</f>
        <v>161316132.9659977</v>
      </c>
      <c r="DN10" s="7" t="s">
        <v>106</v>
      </c>
      <c r="DO10" s="2" t="s">
        <v>34</v>
      </c>
      <c r="DP10" s="3">
        <f>'Hasil (Rp)'!DP10-Biaya!DP10</f>
        <v>342718302.01522493</v>
      </c>
      <c r="DQ10" s="3">
        <f>'Hasil (Rp)'!DQ10-Biaya!DQ10</f>
        <v>965667960.94158173</v>
      </c>
      <c r="DR10" s="3">
        <f>'Hasil (Rp)'!DR10-Biaya!DR10</f>
        <v>0</v>
      </c>
      <c r="DS10" s="3">
        <f>'Hasil (Rp)'!DS10-Biaya!DS10</f>
        <v>7568063704.9500046</v>
      </c>
      <c r="DT10" s="3">
        <f>'Hasil (Rp)'!DT10-Biaya!DT10</f>
        <v>8876449967.9068069</v>
      </c>
      <c r="DU10" s="7" t="s">
        <v>106</v>
      </c>
      <c r="DV10" s="2" t="s">
        <v>34</v>
      </c>
      <c r="DW10" s="3">
        <f>'Hasil (Rp)'!DW10-Biaya!DW10</f>
        <v>177132527.98762727</v>
      </c>
      <c r="DX10" s="3">
        <f>'Hasil (Rp)'!DX10-Biaya!DX10</f>
        <v>816954425.87299204</v>
      </c>
      <c r="DY10" s="3">
        <f>'Hasil (Rp)'!DY10-Biaya!DY10</f>
        <v>155710036.96552417</v>
      </c>
      <c r="DZ10" s="3">
        <f>'Hasil (Rp)'!DZ10-Biaya!DZ10</f>
        <v>88187169123.57959</v>
      </c>
      <c r="EA10" s="3">
        <f>'Hasil (Rp)'!EA10-Biaya!EA10</f>
        <v>89336966114.405731</v>
      </c>
      <c r="EB10" s="7" t="s">
        <v>106</v>
      </c>
      <c r="EC10" s="2" t="s">
        <v>34</v>
      </c>
      <c r="ED10" s="3">
        <f>'Hasil (Rp)'!ED10-Biaya!ED10</f>
        <v>3062068255.0362616</v>
      </c>
      <c r="EE10" s="3">
        <f>'Hasil (Rp)'!EE10-Biaya!EE10</f>
        <v>11238750.769671552</v>
      </c>
      <c r="EF10" s="3">
        <f>'Hasil (Rp)'!EF10-Biaya!EF10</f>
        <v>0</v>
      </c>
      <c r="EG10" s="3">
        <f>'Hasil (Rp)'!EG10-Biaya!EG10</f>
        <v>0</v>
      </c>
      <c r="EH10" s="3">
        <f>'Hasil (Rp)'!EH10-Biaya!EH10</f>
        <v>3073307005.805933</v>
      </c>
    </row>
    <row r="11" spans="1:138" ht="10.199999999999999" customHeight="1" x14ac:dyDescent="0.2">
      <c r="A11" s="7" t="s">
        <v>103</v>
      </c>
      <c r="B11" s="2" t="s">
        <v>31</v>
      </c>
      <c r="C11" s="3">
        <f t="shared" si="4"/>
        <v>95971385.899328485</v>
      </c>
      <c r="D11" s="3">
        <f t="shared" si="5"/>
        <v>78357913.771278143</v>
      </c>
      <c r="E11" s="3">
        <f t="shared" si="6"/>
        <v>0</v>
      </c>
      <c r="F11" s="3">
        <f t="shared" si="7"/>
        <v>16840571136.17421</v>
      </c>
      <c r="G11" s="3">
        <f t="shared" si="8"/>
        <v>0</v>
      </c>
      <c r="H11" s="3">
        <f t="shared" si="9"/>
        <v>0</v>
      </c>
      <c r="I11" s="3">
        <f t="shared" si="10"/>
        <v>1180214911.6841764</v>
      </c>
      <c r="J11" s="3">
        <f t="shared" si="11"/>
        <v>84752251.596616283</v>
      </c>
      <c r="K11" s="3">
        <f t="shared" si="12"/>
        <v>0</v>
      </c>
      <c r="L11" s="3">
        <f t="shared" si="13"/>
        <v>196760921.37954444</v>
      </c>
      <c r="M11" s="3">
        <f t="shared" si="14"/>
        <v>85400397814.068604</v>
      </c>
      <c r="N11" s="3">
        <f t="shared" si="15"/>
        <v>8885211645.108654</v>
      </c>
      <c r="O11" s="3">
        <f t="shared" si="16"/>
        <v>112762237979.68242</v>
      </c>
      <c r="P11" s="7" t="s">
        <v>103</v>
      </c>
      <c r="Q11" s="2" t="s">
        <v>31</v>
      </c>
      <c r="R11" s="3">
        <f t="shared" si="17"/>
        <v>95971385.899328485</v>
      </c>
      <c r="S11" s="3">
        <f t="shared" si="17"/>
        <v>78357913.771278143</v>
      </c>
      <c r="T11" s="3">
        <f t="shared" si="17"/>
        <v>0</v>
      </c>
      <c r="U11" s="3">
        <f t="shared" si="17"/>
        <v>16840571136.17421</v>
      </c>
      <c r="V11" s="3">
        <f t="shared" si="17"/>
        <v>0</v>
      </c>
      <c r="W11" s="3">
        <f t="shared" si="17"/>
        <v>0</v>
      </c>
      <c r="X11" s="3">
        <f t="shared" si="17"/>
        <v>1180214911.6841764</v>
      </c>
      <c r="Y11" s="3">
        <f t="shared" si="17"/>
        <v>84752251.596616283</v>
      </c>
      <c r="Z11" s="3">
        <f t="shared" si="17"/>
        <v>0</v>
      </c>
      <c r="AA11" s="3">
        <f t="shared" si="17"/>
        <v>196760921.37954444</v>
      </c>
      <c r="AB11" s="3">
        <f t="shared" si="18"/>
        <v>18476628520.50515</v>
      </c>
      <c r="AC11" s="7" t="s">
        <v>103</v>
      </c>
      <c r="AD11" s="2" t="s">
        <v>31</v>
      </c>
      <c r="AE11" s="3">
        <f t="shared" si="19"/>
        <v>85400397814.068604</v>
      </c>
      <c r="AF11" s="3">
        <f t="shared" si="19"/>
        <v>8885211645.108654</v>
      </c>
      <c r="AG11" s="3">
        <f t="shared" si="20"/>
        <v>94285609459.177261</v>
      </c>
      <c r="AH11" s="7" t="s">
        <v>103</v>
      </c>
      <c r="AI11" s="2" t="s">
        <v>31</v>
      </c>
      <c r="AJ11" s="3">
        <f t="shared" si="21"/>
        <v>70531664894.327393</v>
      </c>
      <c r="AK11" s="3">
        <f t="shared" si="1"/>
        <v>35489780958.329224</v>
      </c>
      <c r="AL11" s="3">
        <f t="shared" si="1"/>
        <v>6740792127.0257988</v>
      </c>
      <c r="AM11" s="3">
        <f t="shared" si="1"/>
        <v>0</v>
      </c>
      <c r="AN11" s="3">
        <f t="shared" si="22"/>
        <v>112762237979.68242</v>
      </c>
      <c r="AO11" s="7" t="s">
        <v>103</v>
      </c>
      <c r="AP11" s="2" t="s">
        <v>31</v>
      </c>
      <c r="AQ11" s="3">
        <f t="shared" si="23"/>
        <v>13965036802.309963</v>
      </c>
      <c r="AR11" s="3">
        <f t="shared" si="2"/>
        <v>4511591718.1951866</v>
      </c>
      <c r="AS11" s="3">
        <f t="shared" si="2"/>
        <v>0</v>
      </c>
      <c r="AT11" s="3">
        <f t="shared" si="2"/>
        <v>0</v>
      </c>
      <c r="AU11" s="3">
        <f t="shared" si="24"/>
        <v>18476628520.50515</v>
      </c>
      <c r="AV11" s="7" t="s">
        <v>103</v>
      </c>
      <c r="AW11" s="2" t="s">
        <v>31</v>
      </c>
      <c r="AX11" s="3">
        <f t="shared" si="25"/>
        <v>56566628092.017426</v>
      </c>
      <c r="AY11" s="3">
        <f t="shared" si="3"/>
        <v>30978189240.134037</v>
      </c>
      <c r="AZ11" s="3">
        <f t="shared" si="3"/>
        <v>6740792127.0257988</v>
      </c>
      <c r="BA11" s="3">
        <f t="shared" si="3"/>
        <v>0</v>
      </c>
      <c r="BB11" s="3">
        <f t="shared" si="26"/>
        <v>94285609459.177261</v>
      </c>
      <c r="BC11" s="7" t="s">
        <v>103</v>
      </c>
      <c r="BD11" s="2" t="s">
        <v>31</v>
      </c>
      <c r="BE11" s="3">
        <f>'Hasil (Rp)'!BE11-Biaya!BE11</f>
        <v>95971385.899328485</v>
      </c>
      <c r="BF11" s="3">
        <f>'Hasil (Rp)'!BF11-Biaya!BF11</f>
        <v>0</v>
      </c>
      <c r="BG11" s="3">
        <f>'Hasil (Rp)'!BG11-Biaya!BG11</f>
        <v>0</v>
      </c>
      <c r="BH11" s="3">
        <f>'Hasil (Rp)'!BH11-Biaya!BH11</f>
        <v>0</v>
      </c>
      <c r="BI11" s="3">
        <f>'Hasil (Rp)'!BI11-Biaya!BI11</f>
        <v>95971385.899328485</v>
      </c>
      <c r="BJ11" s="7" t="s">
        <v>103</v>
      </c>
      <c r="BK11" s="2" t="s">
        <v>31</v>
      </c>
      <c r="BL11" s="3">
        <f>'Hasil (Rp)'!BL11-Biaya!BL11</f>
        <v>63977887.01872687</v>
      </c>
      <c r="BM11" s="3">
        <f>'Hasil (Rp)'!BM11-Biaya!BM11</f>
        <v>14380026.752551271</v>
      </c>
      <c r="BN11" s="3">
        <f>'Hasil (Rp)'!BN11-Biaya!BN11</f>
        <v>0</v>
      </c>
      <c r="BO11" s="3">
        <f>'Hasil (Rp)'!BO11-Biaya!BO11</f>
        <v>0</v>
      </c>
      <c r="BP11" s="3">
        <f>'Hasil (Rp)'!BP11-Biaya!BP11</f>
        <v>78357913.771278143</v>
      </c>
      <c r="BQ11" s="7" t="s">
        <v>103</v>
      </c>
      <c r="BR11" s="2" t="s">
        <v>31</v>
      </c>
      <c r="BS11" s="3">
        <f>'Hasil (Rp)'!BS11-Biaya!BS11</f>
        <v>0</v>
      </c>
      <c r="BT11" s="3">
        <f>'Hasil (Rp)'!BT11-Biaya!BT11</f>
        <v>0</v>
      </c>
      <c r="BU11" s="3">
        <f>'Hasil (Rp)'!BU11-Biaya!BU11</f>
        <v>0</v>
      </c>
      <c r="BV11" s="3">
        <f>'Hasil (Rp)'!BV11-Biaya!BV11</f>
        <v>0</v>
      </c>
      <c r="BW11" s="3">
        <f>'Hasil (Rp)'!BW11-Biaya!BW11</f>
        <v>0</v>
      </c>
      <c r="BX11" s="7" t="s">
        <v>103</v>
      </c>
      <c r="BY11" s="2" t="s">
        <v>31</v>
      </c>
      <c r="BZ11" s="3">
        <f>'Hasil (Rp)'!BZ11-Biaya!BZ11</f>
        <v>12472372714.11628</v>
      </c>
      <c r="CA11" s="3">
        <f>'Hasil (Rp)'!CA11-Biaya!CA11</f>
        <v>4368198422.0579281</v>
      </c>
      <c r="CB11" s="3">
        <f>'Hasil (Rp)'!CB11-Biaya!CB11</f>
        <v>0</v>
      </c>
      <c r="CC11" s="3">
        <f>'Hasil (Rp)'!CC11-Biaya!CC11</f>
        <v>0</v>
      </c>
      <c r="CD11" s="3">
        <f>'Hasil (Rp)'!CD11-Biaya!CD11</f>
        <v>16840571136.17421</v>
      </c>
      <c r="CE11" s="7" t="s">
        <v>103</v>
      </c>
      <c r="CF11" s="2" t="s">
        <v>31</v>
      </c>
      <c r="CG11" s="3">
        <f>'Hasil (Rp)'!CG11-Biaya!CG11</f>
        <v>0</v>
      </c>
      <c r="CH11" s="3">
        <f>'Hasil (Rp)'!CH11-Biaya!CH11</f>
        <v>0</v>
      </c>
      <c r="CI11" s="3">
        <f>'Hasil (Rp)'!CI11-Biaya!CI11</f>
        <v>0</v>
      </c>
      <c r="CJ11" s="3">
        <f>'Hasil (Rp)'!CJ11-Biaya!CJ11</f>
        <v>0</v>
      </c>
      <c r="CK11" s="3">
        <f>'Hasil (Rp)'!CK11-Biaya!CK11</f>
        <v>0</v>
      </c>
      <c r="CL11" s="7" t="s">
        <v>103</v>
      </c>
      <c r="CM11" s="2" t="s">
        <v>31</v>
      </c>
      <c r="CN11" s="3">
        <f>'Hasil (Rp)'!CN11-Biaya!CN11</f>
        <v>0</v>
      </c>
      <c r="CO11" s="3">
        <f>'Hasil (Rp)'!CO11-Biaya!CO11</f>
        <v>0</v>
      </c>
      <c r="CP11" s="3">
        <f>'Hasil (Rp)'!CP11-Biaya!CP11</f>
        <v>0</v>
      </c>
      <c r="CQ11" s="3">
        <f>'Hasil (Rp)'!CQ11-Biaya!CQ11</f>
        <v>0</v>
      </c>
      <c r="CR11" s="3">
        <f>'Hasil (Rp)'!CR11-Biaya!CR11</f>
        <v>0</v>
      </c>
      <c r="CS11" s="7" t="s">
        <v>103</v>
      </c>
      <c r="CT11" s="2" t="s">
        <v>31</v>
      </c>
      <c r="CU11" s="3">
        <f>'Hasil (Rp)'!CU11-Biaya!CU11</f>
        <v>1086135980.2007246</v>
      </c>
      <c r="CV11" s="3">
        <f>'Hasil (Rp)'!CV11-Biaya!CV11</f>
        <v>94078931.483451873</v>
      </c>
      <c r="CW11" s="3">
        <f>'Hasil (Rp)'!CW11-Biaya!CW11</f>
        <v>0</v>
      </c>
      <c r="CX11" s="3">
        <f>'Hasil (Rp)'!CX11-Biaya!CX11</f>
        <v>0</v>
      </c>
      <c r="CY11" s="3">
        <f>'Hasil (Rp)'!CY11-Biaya!CY11</f>
        <v>1180214911.6841764</v>
      </c>
      <c r="CZ11" s="7" t="s">
        <v>103</v>
      </c>
      <c r="DA11" s="2" t="s">
        <v>31</v>
      </c>
      <c r="DB11" s="3">
        <f>'Hasil (Rp)'!DB11-Biaya!DB11</f>
        <v>0</v>
      </c>
      <c r="DC11" s="3">
        <f>'Hasil (Rp)'!DC11-Biaya!DC11</f>
        <v>0</v>
      </c>
      <c r="DD11" s="3">
        <f>'Hasil (Rp)'!DD11-Biaya!DD11</f>
        <v>0</v>
      </c>
      <c r="DE11" s="3">
        <f>'Hasil (Rp)'!DE11-Biaya!DE11</f>
        <v>0</v>
      </c>
      <c r="DF11" s="3">
        <f>'Hasil (Rp)'!DF11-Biaya!DF11</f>
        <v>0</v>
      </c>
      <c r="DG11" s="7" t="s">
        <v>103</v>
      </c>
      <c r="DH11" s="2" t="s">
        <v>31</v>
      </c>
      <c r="DI11" s="3">
        <f>'Hasil (Rp)'!DI11-Biaya!DI11</f>
        <v>71033551.888665408</v>
      </c>
      <c r="DJ11" s="3">
        <f>'Hasil (Rp)'!DJ11-Biaya!DJ11</f>
        <v>13718699.707950883</v>
      </c>
      <c r="DK11" s="3">
        <f>'Hasil (Rp)'!DK11-Biaya!DK11</f>
        <v>0</v>
      </c>
      <c r="DL11" s="3">
        <f>'Hasil (Rp)'!DL11-Biaya!DL11</f>
        <v>0</v>
      </c>
      <c r="DM11" s="3">
        <f>'Hasil (Rp)'!DM11-Biaya!DM11</f>
        <v>84752251.596616283</v>
      </c>
      <c r="DN11" s="7" t="s">
        <v>103</v>
      </c>
      <c r="DO11" s="2" t="s">
        <v>31</v>
      </c>
      <c r="DP11" s="3">
        <f>'Hasil (Rp)'!DP11-Biaya!DP11</f>
        <v>175545283.18623894</v>
      </c>
      <c r="DQ11" s="3">
        <f>'Hasil (Rp)'!DQ11-Biaya!DQ11</f>
        <v>21215638.193305463</v>
      </c>
      <c r="DR11" s="3">
        <f>'Hasil (Rp)'!DR11-Biaya!DR11</f>
        <v>0</v>
      </c>
      <c r="DS11" s="3">
        <f>'Hasil (Rp)'!DS11-Biaya!DS11</f>
        <v>0</v>
      </c>
      <c r="DT11" s="3">
        <f>'Hasil (Rp)'!DT11-Biaya!DT11</f>
        <v>196760921.37954444</v>
      </c>
      <c r="DU11" s="7" t="s">
        <v>103</v>
      </c>
      <c r="DV11" s="2" t="s">
        <v>31</v>
      </c>
      <c r="DW11" s="3">
        <f>'Hasil (Rp)'!DW11-Biaya!DW11</f>
        <v>1936848936.0648475</v>
      </c>
      <c r="DX11" s="3">
        <f>'Hasil (Rp)'!DX11-Biaya!DX11</f>
        <v>207570582.01800823</v>
      </c>
      <c r="DY11" s="3">
        <f>'Hasil (Rp)'!DY11-Biaya!DY11</f>
        <v>6740792127.0257988</v>
      </c>
      <c r="DZ11" s="3">
        <f>'Hasil (Rp)'!DZ11-Biaya!DZ11</f>
        <v>0</v>
      </c>
      <c r="EA11" s="3">
        <f>'Hasil (Rp)'!EA11-Biaya!EA11</f>
        <v>8885211645.108654</v>
      </c>
      <c r="EB11" s="7" t="s">
        <v>103</v>
      </c>
      <c r="EC11" s="2" t="s">
        <v>31</v>
      </c>
      <c r="ED11" s="3">
        <f>'Hasil (Rp)'!ED11-Biaya!ED11</f>
        <v>54629779155.952576</v>
      </c>
      <c r="EE11" s="3">
        <f>'Hasil (Rp)'!EE11-Biaya!EE11</f>
        <v>30770618658.116028</v>
      </c>
      <c r="EF11" s="3">
        <f>'Hasil (Rp)'!EF11-Biaya!EF11</f>
        <v>0</v>
      </c>
      <c r="EG11" s="3">
        <f>'Hasil (Rp)'!EG11-Biaya!EG11</f>
        <v>0</v>
      </c>
      <c r="EH11" s="3">
        <f>'Hasil (Rp)'!EH11-Biaya!EH11</f>
        <v>85400397814.068604</v>
      </c>
    </row>
    <row r="12" spans="1:138" ht="10.199999999999999" customHeight="1" x14ac:dyDescent="0.2">
      <c r="A12" s="7" t="s">
        <v>99</v>
      </c>
      <c r="B12" s="2" t="s">
        <v>27</v>
      </c>
      <c r="C12" s="3">
        <f t="shared" si="4"/>
        <v>994887650.27334428</v>
      </c>
      <c r="D12" s="3">
        <f t="shared" si="5"/>
        <v>562500.02490486635</v>
      </c>
      <c r="E12" s="3">
        <f t="shared" si="6"/>
        <v>0</v>
      </c>
      <c r="F12" s="3">
        <f t="shared" si="7"/>
        <v>41289795611.500031</v>
      </c>
      <c r="G12" s="3">
        <f t="shared" si="8"/>
        <v>375557623.65642834</v>
      </c>
      <c r="H12" s="3">
        <f t="shared" si="9"/>
        <v>0</v>
      </c>
      <c r="I12" s="3">
        <f t="shared" si="10"/>
        <v>6001340788.1606445</v>
      </c>
      <c r="J12" s="3">
        <f t="shared" si="11"/>
        <v>1577770.7939728489</v>
      </c>
      <c r="K12" s="3">
        <f t="shared" si="12"/>
        <v>3785685626.9308205</v>
      </c>
      <c r="L12" s="3">
        <f t="shared" si="13"/>
        <v>326058703.08651549</v>
      </c>
      <c r="M12" s="3">
        <f t="shared" si="14"/>
        <v>31878614410.144623</v>
      </c>
      <c r="N12" s="3">
        <f t="shared" si="15"/>
        <v>39134474987.720062</v>
      </c>
      <c r="O12" s="3">
        <f t="shared" si="16"/>
        <v>123788555672.29135</v>
      </c>
      <c r="P12" s="7" t="s">
        <v>99</v>
      </c>
      <c r="Q12" s="2" t="s">
        <v>27</v>
      </c>
      <c r="R12" s="3">
        <f t="shared" si="17"/>
        <v>994887650.27334428</v>
      </c>
      <c r="S12" s="3">
        <f t="shared" si="17"/>
        <v>562500.02490486635</v>
      </c>
      <c r="T12" s="3">
        <f t="shared" si="17"/>
        <v>0</v>
      </c>
      <c r="U12" s="3">
        <f t="shared" si="17"/>
        <v>41289795611.500031</v>
      </c>
      <c r="V12" s="3">
        <f t="shared" si="17"/>
        <v>375557623.65642834</v>
      </c>
      <c r="W12" s="3">
        <f t="shared" si="17"/>
        <v>0</v>
      </c>
      <c r="X12" s="3">
        <f t="shared" si="17"/>
        <v>6001340788.1606445</v>
      </c>
      <c r="Y12" s="3">
        <f t="shared" si="17"/>
        <v>1577770.7939728489</v>
      </c>
      <c r="Z12" s="3">
        <f t="shared" si="17"/>
        <v>3785685626.9308205</v>
      </c>
      <c r="AA12" s="3">
        <f t="shared" si="17"/>
        <v>326058703.08651549</v>
      </c>
      <c r="AB12" s="3">
        <f t="shared" si="18"/>
        <v>52775466274.426666</v>
      </c>
      <c r="AC12" s="7" t="s">
        <v>99</v>
      </c>
      <c r="AD12" s="2" t="s">
        <v>27</v>
      </c>
      <c r="AE12" s="3">
        <f t="shared" si="19"/>
        <v>31878614410.144623</v>
      </c>
      <c r="AF12" s="3">
        <f t="shared" si="19"/>
        <v>39134474987.720062</v>
      </c>
      <c r="AG12" s="3">
        <f t="shared" si="20"/>
        <v>71013089397.864685</v>
      </c>
      <c r="AH12" s="7" t="s">
        <v>99</v>
      </c>
      <c r="AI12" s="2" t="s">
        <v>27</v>
      </c>
      <c r="AJ12" s="3">
        <f t="shared" si="21"/>
        <v>10296352693.936493</v>
      </c>
      <c r="AK12" s="3">
        <f t="shared" si="1"/>
        <v>55436860246.764816</v>
      </c>
      <c r="AL12" s="3">
        <f t="shared" si="1"/>
        <v>57801764905.880966</v>
      </c>
      <c r="AM12" s="3">
        <f t="shared" si="1"/>
        <v>253577825.70905972</v>
      </c>
      <c r="AN12" s="3">
        <f t="shared" si="22"/>
        <v>123788555672.29134</v>
      </c>
      <c r="AO12" s="7" t="s">
        <v>99</v>
      </c>
      <c r="AP12" s="2" t="s">
        <v>27</v>
      </c>
      <c r="AQ12" s="3">
        <f t="shared" si="23"/>
        <v>6477077891.4243298</v>
      </c>
      <c r="AR12" s="3">
        <f t="shared" si="2"/>
        <v>31356651792.616199</v>
      </c>
      <c r="AS12" s="3">
        <f t="shared" si="2"/>
        <v>14941736590.386122</v>
      </c>
      <c r="AT12" s="3">
        <f t="shared" si="2"/>
        <v>0</v>
      </c>
      <c r="AU12" s="3">
        <f t="shared" si="24"/>
        <v>52775466274.426651</v>
      </c>
      <c r="AV12" s="7" t="s">
        <v>99</v>
      </c>
      <c r="AW12" s="2" t="s">
        <v>27</v>
      </c>
      <c r="AX12" s="3">
        <f t="shared" si="25"/>
        <v>3819274802.5121636</v>
      </c>
      <c r="AY12" s="3">
        <f t="shared" si="3"/>
        <v>24080208454.148621</v>
      </c>
      <c r="AZ12" s="3">
        <f t="shared" si="3"/>
        <v>42860028315.494843</v>
      </c>
      <c r="BA12" s="3">
        <f t="shared" si="3"/>
        <v>253577825.70905972</v>
      </c>
      <c r="BB12" s="3">
        <f t="shared" si="26"/>
        <v>71013089397.864685</v>
      </c>
      <c r="BC12" s="7" t="s">
        <v>99</v>
      </c>
      <c r="BD12" s="2" t="s">
        <v>27</v>
      </c>
      <c r="BE12" s="3">
        <f>'Hasil (Rp)'!BE12-Biaya!BE12</f>
        <v>931769749.99999976</v>
      </c>
      <c r="BF12" s="3">
        <f>'Hasil (Rp)'!BF12-Biaya!BF12</f>
        <v>63117900.2733448</v>
      </c>
      <c r="BG12" s="3">
        <f>'Hasil (Rp)'!BG12-Biaya!BG12</f>
        <v>0</v>
      </c>
      <c r="BH12" s="3">
        <f>'Hasil (Rp)'!BH12-Biaya!BH12</f>
        <v>0</v>
      </c>
      <c r="BI12" s="3">
        <f>'Hasil (Rp)'!BI12-Biaya!BI12</f>
        <v>994887650.27334428</v>
      </c>
      <c r="BJ12" s="7" t="s">
        <v>99</v>
      </c>
      <c r="BK12" s="2" t="s">
        <v>27</v>
      </c>
      <c r="BL12" s="3">
        <f>'Hasil (Rp)'!BL12-Biaya!BL12</f>
        <v>0</v>
      </c>
      <c r="BM12" s="3">
        <f>'Hasil (Rp)'!BM12-Biaya!BM12</f>
        <v>0</v>
      </c>
      <c r="BN12" s="3">
        <f>'Hasil (Rp)'!BN12-Biaya!BN12</f>
        <v>562500.02490486635</v>
      </c>
      <c r="BO12" s="3">
        <f>'Hasil (Rp)'!BO12-Biaya!BO12</f>
        <v>0</v>
      </c>
      <c r="BP12" s="3">
        <f>'Hasil (Rp)'!BP12-Biaya!BP12</f>
        <v>562500.02490486635</v>
      </c>
      <c r="BQ12" s="7" t="s">
        <v>99</v>
      </c>
      <c r="BR12" s="2" t="s">
        <v>27</v>
      </c>
      <c r="BS12" s="3">
        <f>'Hasil (Rp)'!BS12-Biaya!BS12</f>
        <v>0</v>
      </c>
      <c r="BT12" s="3">
        <f>'Hasil (Rp)'!BT12-Biaya!BT12</f>
        <v>0</v>
      </c>
      <c r="BU12" s="3">
        <f>'Hasil (Rp)'!BU12-Biaya!BU12</f>
        <v>0</v>
      </c>
      <c r="BV12" s="3">
        <f>'Hasil (Rp)'!BV12-Biaya!BV12</f>
        <v>0</v>
      </c>
      <c r="BW12" s="3">
        <f>'Hasil (Rp)'!BW12-Biaya!BW12</f>
        <v>0</v>
      </c>
      <c r="BX12" s="7" t="s">
        <v>99</v>
      </c>
      <c r="BY12" s="2" t="s">
        <v>27</v>
      </c>
      <c r="BZ12" s="3">
        <f>'Hasil (Rp)'!BZ12-Biaya!BZ12</f>
        <v>1893356317.6615014</v>
      </c>
      <c r="CA12" s="3">
        <f>'Hasil (Rp)'!CA12-Biaya!CA12</f>
        <v>24953887501.008049</v>
      </c>
      <c r="CB12" s="3">
        <f>'Hasil (Rp)'!CB12-Biaya!CB12</f>
        <v>14442551792.830475</v>
      </c>
      <c r="CC12" s="3">
        <f>'Hasil (Rp)'!CC12-Biaya!CC12</f>
        <v>0</v>
      </c>
      <c r="CD12" s="3">
        <f>'Hasil (Rp)'!CD12-Biaya!CD12</f>
        <v>41289795611.500031</v>
      </c>
      <c r="CE12" s="7" t="s">
        <v>99</v>
      </c>
      <c r="CF12" s="2" t="s">
        <v>27</v>
      </c>
      <c r="CG12" s="3">
        <f>'Hasil (Rp)'!CG12-Biaya!CG12</f>
        <v>369888589.09396601</v>
      </c>
      <c r="CH12" s="3">
        <f>'Hasil (Rp)'!CH12-Biaya!CH12</f>
        <v>5669034.5624625124</v>
      </c>
      <c r="CI12" s="3">
        <f>'Hasil (Rp)'!CI12-Biaya!CI12</f>
        <v>0</v>
      </c>
      <c r="CJ12" s="3">
        <f>'Hasil (Rp)'!CJ12-Biaya!CJ12</f>
        <v>0</v>
      </c>
      <c r="CK12" s="3">
        <f>'Hasil (Rp)'!CK12-Biaya!CK12</f>
        <v>375557623.65642834</v>
      </c>
      <c r="CL12" s="7" t="s">
        <v>99</v>
      </c>
      <c r="CM12" s="2" t="s">
        <v>27</v>
      </c>
      <c r="CN12" s="3">
        <f>'Hasil (Rp)'!CN12-Biaya!CN12</f>
        <v>0</v>
      </c>
      <c r="CO12" s="3">
        <f>'Hasil (Rp)'!CO12-Biaya!CO12</f>
        <v>0</v>
      </c>
      <c r="CP12" s="3">
        <f>'Hasil (Rp)'!CP12-Biaya!CP12</f>
        <v>0</v>
      </c>
      <c r="CQ12" s="3">
        <f>'Hasil (Rp)'!CQ12-Biaya!CQ12</f>
        <v>0</v>
      </c>
      <c r="CR12" s="3">
        <f>'Hasil (Rp)'!CR12-Biaya!CR12</f>
        <v>0</v>
      </c>
      <c r="CS12" s="7" t="s">
        <v>99</v>
      </c>
      <c r="CT12" s="2" t="s">
        <v>27</v>
      </c>
      <c r="CU12" s="3">
        <f>'Hasil (Rp)'!CU12-Biaya!CU12</f>
        <v>177442520.45793927</v>
      </c>
      <c r="CV12" s="3">
        <f>'Hasil (Rp)'!CV12-Biaya!CV12</f>
        <v>5329566198.3301105</v>
      </c>
      <c r="CW12" s="3">
        <f>'Hasil (Rp)'!CW12-Biaya!CW12</f>
        <v>494332069.37259531</v>
      </c>
      <c r="CX12" s="3">
        <f>'Hasil (Rp)'!CX12-Biaya!CX12</f>
        <v>0</v>
      </c>
      <c r="CY12" s="3">
        <f>'Hasil (Rp)'!CY12-Biaya!CY12</f>
        <v>6001340788.1606445</v>
      </c>
      <c r="CZ12" s="7" t="s">
        <v>99</v>
      </c>
      <c r="DA12" s="2" t="s">
        <v>27</v>
      </c>
      <c r="DB12" s="3">
        <f>'Hasil (Rp)'!DB12-Biaya!DB12</f>
        <v>2953685348.1032257</v>
      </c>
      <c r="DC12" s="3">
        <f>'Hasil (Rp)'!DC12-Biaya!DC12</f>
        <v>827710050.66944647</v>
      </c>
      <c r="DD12" s="3">
        <f>'Hasil (Rp)'!DD12-Biaya!DD12</f>
        <v>4290228.1581471078</v>
      </c>
      <c r="DE12" s="3">
        <f>'Hasil (Rp)'!DE12-Biaya!DE12</f>
        <v>0</v>
      </c>
      <c r="DF12" s="3">
        <f>'Hasil (Rp)'!DF12-Biaya!DF12</f>
        <v>3785685626.9308205</v>
      </c>
      <c r="DG12" s="7" t="s">
        <v>99</v>
      </c>
      <c r="DH12" s="2" t="s">
        <v>27</v>
      </c>
      <c r="DI12" s="3">
        <f>'Hasil (Rp)'!DI12-Biaya!DI12</f>
        <v>1577770.7939728489</v>
      </c>
      <c r="DJ12" s="3">
        <f>'Hasil (Rp)'!DJ12-Biaya!DJ12</f>
        <v>0</v>
      </c>
      <c r="DK12" s="3">
        <f>'Hasil (Rp)'!DK12-Biaya!DK12</f>
        <v>0</v>
      </c>
      <c r="DL12" s="3">
        <f>'Hasil (Rp)'!DL12-Biaya!DL12</f>
        <v>0</v>
      </c>
      <c r="DM12" s="3">
        <f>'Hasil (Rp)'!DM12-Biaya!DM12</f>
        <v>1577770.7939728489</v>
      </c>
      <c r="DN12" s="7" t="s">
        <v>99</v>
      </c>
      <c r="DO12" s="2" t="s">
        <v>27</v>
      </c>
      <c r="DP12" s="3">
        <f>'Hasil (Rp)'!DP12-Biaya!DP12</f>
        <v>149357595.3137255</v>
      </c>
      <c r="DQ12" s="3">
        <f>'Hasil (Rp)'!DQ12-Biaya!DQ12</f>
        <v>176701107.77278998</v>
      </c>
      <c r="DR12" s="3">
        <f>'Hasil (Rp)'!DR12-Biaya!DR12</f>
        <v>0</v>
      </c>
      <c r="DS12" s="3">
        <f>'Hasil (Rp)'!DS12-Biaya!DS12</f>
        <v>0</v>
      </c>
      <c r="DT12" s="3">
        <f>'Hasil (Rp)'!DT12-Biaya!DT12</f>
        <v>326058703.08651549</v>
      </c>
      <c r="DU12" s="7" t="s">
        <v>99</v>
      </c>
      <c r="DV12" s="2" t="s">
        <v>27</v>
      </c>
      <c r="DW12" s="3">
        <f>'Hasil (Rp)'!DW12-Biaya!DW12</f>
        <v>90836980.585701287</v>
      </c>
      <c r="DX12" s="3">
        <f>'Hasil (Rp)'!DX12-Biaya!DX12</f>
        <v>8647011093.1315842</v>
      </c>
      <c r="DY12" s="3">
        <f>'Hasil (Rp)'!DY12-Biaya!DY12</f>
        <v>30143049088.293716</v>
      </c>
      <c r="DZ12" s="3">
        <f>'Hasil (Rp)'!DZ12-Biaya!DZ12</f>
        <v>253577825.70905972</v>
      </c>
      <c r="EA12" s="3">
        <f>'Hasil (Rp)'!EA12-Biaya!EA12</f>
        <v>39134474987.720062</v>
      </c>
      <c r="EB12" s="7" t="s">
        <v>99</v>
      </c>
      <c r="EC12" s="2" t="s">
        <v>27</v>
      </c>
      <c r="ED12" s="3">
        <f>'Hasil (Rp)'!ED12-Biaya!ED12</f>
        <v>3728437821.9264622</v>
      </c>
      <c r="EE12" s="3">
        <f>'Hasil (Rp)'!EE12-Biaya!EE12</f>
        <v>15433197361.017036</v>
      </c>
      <c r="EF12" s="3">
        <f>'Hasil (Rp)'!EF12-Biaya!EF12</f>
        <v>12716979227.201122</v>
      </c>
      <c r="EG12" s="3">
        <f>'Hasil (Rp)'!EG12-Biaya!EG12</f>
        <v>0</v>
      </c>
      <c r="EH12" s="3">
        <f>'Hasil (Rp)'!EH12-Biaya!EH12</f>
        <v>31878614410.144623</v>
      </c>
    </row>
    <row r="13" spans="1:138" ht="10.199999999999999" customHeight="1" x14ac:dyDescent="0.2">
      <c r="A13" s="7" t="s">
        <v>94</v>
      </c>
      <c r="B13" s="2" t="s">
        <v>22</v>
      </c>
      <c r="C13" s="3">
        <f t="shared" si="4"/>
        <v>0</v>
      </c>
      <c r="D13" s="3">
        <f t="shared" si="5"/>
        <v>106686527.47421762</v>
      </c>
      <c r="E13" s="3">
        <f t="shared" si="6"/>
        <v>389230012797.72559</v>
      </c>
      <c r="F13" s="3">
        <f t="shared" si="7"/>
        <v>21254321232.881287</v>
      </c>
      <c r="G13" s="3">
        <f t="shared" si="8"/>
        <v>7365306.4508361146</v>
      </c>
      <c r="H13" s="3">
        <f t="shared" si="9"/>
        <v>218312127381.09937</v>
      </c>
      <c r="I13" s="3">
        <f t="shared" si="10"/>
        <v>620040991.34104586</v>
      </c>
      <c r="J13" s="3">
        <f t="shared" si="11"/>
        <v>370630179053.29932</v>
      </c>
      <c r="K13" s="3">
        <f t="shared" si="12"/>
        <v>6592672970.5252476</v>
      </c>
      <c r="L13" s="3">
        <f t="shared" si="13"/>
        <v>48578857.363327429</v>
      </c>
      <c r="M13" s="3">
        <f t="shared" si="14"/>
        <v>31640702290.998138</v>
      </c>
      <c r="N13" s="3">
        <f t="shared" si="15"/>
        <v>250624127971.58252</v>
      </c>
      <c r="O13" s="3">
        <f t="shared" si="16"/>
        <v>1289066815380.741</v>
      </c>
      <c r="P13" s="7" t="s">
        <v>94</v>
      </c>
      <c r="Q13" s="2" t="s">
        <v>22</v>
      </c>
      <c r="R13" s="3">
        <f t="shared" si="17"/>
        <v>0</v>
      </c>
      <c r="S13" s="3">
        <f t="shared" si="17"/>
        <v>106686527.47421762</v>
      </c>
      <c r="T13" s="3">
        <f t="shared" si="17"/>
        <v>389230012797.72559</v>
      </c>
      <c r="U13" s="3">
        <f t="shared" si="17"/>
        <v>21254321232.881287</v>
      </c>
      <c r="V13" s="3">
        <f t="shared" si="17"/>
        <v>7365306.4508361146</v>
      </c>
      <c r="W13" s="3">
        <f t="shared" si="17"/>
        <v>218312127381.09937</v>
      </c>
      <c r="X13" s="3">
        <f t="shared" si="17"/>
        <v>620040991.34104586</v>
      </c>
      <c r="Y13" s="3">
        <f t="shared" si="17"/>
        <v>370630179053.29932</v>
      </c>
      <c r="Z13" s="3">
        <f t="shared" si="17"/>
        <v>6592672970.5252476</v>
      </c>
      <c r="AA13" s="3">
        <f t="shared" si="17"/>
        <v>48578857.363327429</v>
      </c>
      <c r="AB13" s="3">
        <f t="shared" si="18"/>
        <v>1006801985118.1603</v>
      </c>
      <c r="AC13" s="7" t="s">
        <v>94</v>
      </c>
      <c r="AD13" s="2" t="s">
        <v>22</v>
      </c>
      <c r="AE13" s="3">
        <f t="shared" si="19"/>
        <v>31640702290.998138</v>
      </c>
      <c r="AF13" s="3">
        <f t="shared" si="19"/>
        <v>250624127971.58252</v>
      </c>
      <c r="AG13" s="3">
        <f t="shared" si="20"/>
        <v>282264830262.58069</v>
      </c>
      <c r="AH13" s="7" t="s">
        <v>94</v>
      </c>
      <c r="AI13" s="2" t="s">
        <v>22</v>
      </c>
      <c r="AJ13" s="3">
        <f t="shared" si="21"/>
        <v>28934511788.845406</v>
      </c>
      <c r="AK13" s="3">
        <f t="shared" si="1"/>
        <v>17753186107.695435</v>
      </c>
      <c r="AL13" s="3">
        <f t="shared" si="1"/>
        <v>154455364107.02582</v>
      </c>
      <c r="AM13" s="3">
        <f t="shared" si="1"/>
        <v>1087923753377.1746</v>
      </c>
      <c r="AN13" s="3">
        <f t="shared" si="22"/>
        <v>1289066815380.7412</v>
      </c>
      <c r="AO13" s="7" t="s">
        <v>94</v>
      </c>
      <c r="AP13" s="2" t="s">
        <v>22</v>
      </c>
      <c r="AQ13" s="3">
        <f t="shared" si="23"/>
        <v>2552977516.6556268</v>
      </c>
      <c r="AR13" s="3">
        <f t="shared" si="2"/>
        <v>12313053153.152775</v>
      </c>
      <c r="AS13" s="3">
        <f t="shared" si="2"/>
        <v>154455364107.02582</v>
      </c>
      <c r="AT13" s="3">
        <f t="shared" si="2"/>
        <v>837480590341.32617</v>
      </c>
      <c r="AU13" s="3">
        <f t="shared" si="24"/>
        <v>1006801985118.1604</v>
      </c>
      <c r="AV13" s="7" t="s">
        <v>94</v>
      </c>
      <c r="AW13" s="2" t="s">
        <v>22</v>
      </c>
      <c r="AX13" s="3">
        <f t="shared" si="25"/>
        <v>26381534272.189777</v>
      </c>
      <c r="AY13" s="3">
        <f t="shared" si="3"/>
        <v>5440132954.5426598</v>
      </c>
      <c r="AZ13" s="3">
        <f t="shared" si="3"/>
        <v>0</v>
      </c>
      <c r="BA13" s="3">
        <f t="shared" si="3"/>
        <v>250443163035.84839</v>
      </c>
      <c r="BB13" s="3">
        <f t="shared" si="26"/>
        <v>282264830262.58081</v>
      </c>
      <c r="BC13" s="7" t="s">
        <v>94</v>
      </c>
      <c r="BD13" s="2" t="s">
        <v>22</v>
      </c>
      <c r="BE13" s="3">
        <f>'Hasil (Rp)'!BE13-Biaya!BE13</f>
        <v>0</v>
      </c>
      <c r="BF13" s="3">
        <f>'Hasil (Rp)'!BF13-Biaya!BF13</f>
        <v>0</v>
      </c>
      <c r="BG13" s="3">
        <f>'Hasil (Rp)'!BG13-Biaya!BG13</f>
        <v>0</v>
      </c>
      <c r="BH13" s="3">
        <f>'Hasil (Rp)'!BH13-Biaya!BH13</f>
        <v>0</v>
      </c>
      <c r="BI13" s="3">
        <f>'Hasil (Rp)'!BI13-Biaya!BI13</f>
        <v>0</v>
      </c>
      <c r="BJ13" s="7" t="s">
        <v>94</v>
      </c>
      <c r="BK13" s="2" t="s">
        <v>22</v>
      </c>
      <c r="BL13" s="3">
        <f>'Hasil (Rp)'!BL13-Biaya!BL13</f>
        <v>658312.11447192461</v>
      </c>
      <c r="BM13" s="3">
        <f>'Hasil (Rp)'!BM13-Biaya!BM13</f>
        <v>0</v>
      </c>
      <c r="BN13" s="3">
        <f>'Hasil (Rp)'!BN13-Biaya!BN13</f>
        <v>0</v>
      </c>
      <c r="BO13" s="3">
        <f>'Hasil (Rp)'!BO13-Biaya!BO13</f>
        <v>106028215.35974574</v>
      </c>
      <c r="BP13" s="3">
        <f>'Hasil (Rp)'!BP13-Biaya!BP13</f>
        <v>106686527.47421762</v>
      </c>
      <c r="BQ13" s="7" t="s">
        <v>94</v>
      </c>
      <c r="BR13" s="2" t="s">
        <v>22</v>
      </c>
      <c r="BS13" s="3">
        <f>'Hasil (Rp)'!BS13-Biaya!BS13</f>
        <v>0</v>
      </c>
      <c r="BT13" s="3">
        <f>'Hasil (Rp)'!BT13-Biaya!BT13</f>
        <v>9972441.4892470837</v>
      </c>
      <c r="BU13" s="3">
        <f>'Hasil (Rp)'!BU13-Biaya!BU13</f>
        <v>419201857.8720088</v>
      </c>
      <c r="BV13" s="3">
        <f>'Hasil (Rp)'!BV13-Biaya!BV13</f>
        <v>388800838498.36426</v>
      </c>
      <c r="BW13" s="3">
        <f>'Hasil (Rp)'!BW13-Biaya!BW13</f>
        <v>389230012797.72559</v>
      </c>
      <c r="BX13" s="7" t="s">
        <v>94</v>
      </c>
      <c r="BY13" s="2" t="s">
        <v>22</v>
      </c>
      <c r="BZ13" s="3">
        <f>'Hasil (Rp)'!BZ13-Biaya!BZ13</f>
        <v>1939361333.0561328</v>
      </c>
      <c r="CA13" s="3">
        <f>'Hasil (Rp)'!CA13-Biaya!CA13</f>
        <v>9084228052.6459961</v>
      </c>
      <c r="CB13" s="3">
        <f>'Hasil (Rp)'!CB13-Biaya!CB13</f>
        <v>0</v>
      </c>
      <c r="CC13" s="3">
        <f>'Hasil (Rp)'!CC13-Biaya!CC13</f>
        <v>10230731847.179138</v>
      </c>
      <c r="CD13" s="3">
        <f>'Hasil (Rp)'!CD13-Biaya!CD13</f>
        <v>21254321232.881287</v>
      </c>
      <c r="CE13" s="7" t="s">
        <v>94</v>
      </c>
      <c r="CF13" s="2" t="s">
        <v>22</v>
      </c>
      <c r="CG13" s="3">
        <f>'Hasil (Rp)'!CG13-Biaya!CG13</f>
        <v>2076389.5845442237</v>
      </c>
      <c r="CH13" s="3">
        <f>'Hasil (Rp)'!CH13-Biaya!CH13</f>
        <v>5288916.8662918918</v>
      </c>
      <c r="CI13" s="3">
        <f>'Hasil (Rp)'!CI13-Biaya!CI13</f>
        <v>0</v>
      </c>
      <c r="CJ13" s="3">
        <f>'Hasil (Rp)'!CJ13-Biaya!CJ13</f>
        <v>0</v>
      </c>
      <c r="CK13" s="3">
        <f>'Hasil (Rp)'!CK13-Biaya!CK13</f>
        <v>7365306.4508361146</v>
      </c>
      <c r="CL13" s="7" t="s">
        <v>94</v>
      </c>
      <c r="CM13" s="2" t="s">
        <v>22</v>
      </c>
      <c r="CN13" s="3">
        <f>'Hasil (Rp)'!CN13-Biaya!CN13</f>
        <v>0</v>
      </c>
      <c r="CO13" s="3">
        <f>'Hasil (Rp)'!CO13-Biaya!CO13</f>
        <v>0</v>
      </c>
      <c r="CP13" s="3">
        <f>'Hasil (Rp)'!CP13-Biaya!CP13</f>
        <v>148411705064.62073</v>
      </c>
      <c r="CQ13" s="3">
        <f>'Hasil (Rp)'!CQ13-Biaya!CQ13</f>
        <v>69900422316.478699</v>
      </c>
      <c r="CR13" s="3">
        <f>'Hasil (Rp)'!CR13-Biaya!CR13</f>
        <v>218312127381.09937</v>
      </c>
      <c r="CS13" s="7" t="s">
        <v>94</v>
      </c>
      <c r="CT13" s="2" t="s">
        <v>22</v>
      </c>
      <c r="CU13" s="3">
        <f>'Hasil (Rp)'!CU13-Biaya!CU13</f>
        <v>449728995.13414538</v>
      </c>
      <c r="CV13" s="3">
        <f>'Hasil (Rp)'!CV13-Biaya!CV13</f>
        <v>170311996.20690036</v>
      </c>
      <c r="CW13" s="3">
        <f>'Hasil (Rp)'!CW13-Biaya!CW13</f>
        <v>0</v>
      </c>
      <c r="CX13" s="3">
        <f>'Hasil (Rp)'!CX13-Biaya!CX13</f>
        <v>0</v>
      </c>
      <c r="CY13" s="3">
        <f>'Hasil (Rp)'!CY13-Biaya!CY13</f>
        <v>620040991.34104586</v>
      </c>
      <c r="CZ13" s="7" t="s">
        <v>94</v>
      </c>
      <c r="DA13" s="2" t="s">
        <v>22</v>
      </c>
      <c r="DB13" s="3">
        <f>'Hasil (Rp)'!DB13-Biaya!DB13</f>
        <v>83242286.82968843</v>
      </c>
      <c r="DC13" s="3">
        <f>'Hasil (Rp)'!DC13-Biaya!DC13</f>
        <v>2996792075.1706038</v>
      </c>
      <c r="DD13" s="3">
        <f>'Hasil (Rp)'!DD13-Biaya!DD13</f>
        <v>341787269.0888989</v>
      </c>
      <c r="DE13" s="3">
        <f>'Hasil (Rp)'!DE13-Biaya!DE13</f>
        <v>3170851339.4360542</v>
      </c>
      <c r="DF13" s="3">
        <f>'Hasil (Rp)'!DF13-Biaya!DF13</f>
        <v>6592672970.5252476</v>
      </c>
      <c r="DG13" s="7" t="s">
        <v>94</v>
      </c>
      <c r="DH13" s="2" t="s">
        <v>22</v>
      </c>
      <c r="DI13" s="3">
        <f>'Hasil (Rp)'!DI13-Biaya!DI13</f>
        <v>40067385.832718082</v>
      </c>
      <c r="DJ13" s="3">
        <f>'Hasil (Rp)'!DJ13-Biaya!DJ13</f>
        <v>35723627.51433742</v>
      </c>
      <c r="DK13" s="3">
        <f>'Hasil (Rp)'!DK13-Biaya!DK13</f>
        <v>5282669915.444191</v>
      </c>
      <c r="DL13" s="3">
        <f>'Hasil (Rp)'!DL13-Biaya!DL13</f>
        <v>365271718124.5083</v>
      </c>
      <c r="DM13" s="3">
        <f>'Hasil (Rp)'!DM13-Biaya!DM13</f>
        <v>370630179053.29932</v>
      </c>
      <c r="DN13" s="7" t="s">
        <v>94</v>
      </c>
      <c r="DO13" s="2" t="s">
        <v>22</v>
      </c>
      <c r="DP13" s="3">
        <f>'Hasil (Rp)'!DP13-Biaya!DP13</f>
        <v>37842814.103926077</v>
      </c>
      <c r="DQ13" s="3">
        <f>'Hasil (Rp)'!DQ13-Biaya!DQ13</f>
        <v>10736043.259401351</v>
      </c>
      <c r="DR13" s="3">
        <f>'Hasil (Rp)'!DR13-Biaya!DR13</f>
        <v>0</v>
      </c>
      <c r="DS13" s="3">
        <f>'Hasil (Rp)'!DS13-Biaya!DS13</f>
        <v>0</v>
      </c>
      <c r="DT13" s="3">
        <f>'Hasil (Rp)'!DT13-Biaya!DT13</f>
        <v>48578857.363327429</v>
      </c>
      <c r="DU13" s="7" t="s">
        <v>94</v>
      </c>
      <c r="DV13" s="2" t="s">
        <v>22</v>
      </c>
      <c r="DW13" s="3">
        <f>'Hasil (Rp)'!DW13-Biaya!DW13</f>
        <v>180964935.73428732</v>
      </c>
      <c r="DX13" s="3">
        <f>'Hasil (Rp)'!DX13-Biaya!DX13</f>
        <v>0</v>
      </c>
      <c r="DY13" s="3">
        <f>'Hasil (Rp)'!DY13-Biaya!DY13</f>
        <v>0</v>
      </c>
      <c r="DZ13" s="3">
        <f>'Hasil (Rp)'!DZ13-Biaya!DZ13</f>
        <v>250443163035.84839</v>
      </c>
      <c r="EA13" s="3">
        <f>'Hasil (Rp)'!EA13-Biaya!EA13</f>
        <v>250624127971.58252</v>
      </c>
      <c r="EB13" s="7" t="s">
        <v>94</v>
      </c>
      <c r="EC13" s="2" t="s">
        <v>22</v>
      </c>
      <c r="ED13" s="3">
        <f>'Hasil (Rp)'!ED13-Biaya!ED13</f>
        <v>26200569336.45549</v>
      </c>
      <c r="EE13" s="3">
        <f>'Hasil (Rp)'!EE13-Biaya!EE13</f>
        <v>5440132954.5426598</v>
      </c>
      <c r="EF13" s="3">
        <f>'Hasil (Rp)'!EF13-Biaya!EF13</f>
        <v>0</v>
      </c>
      <c r="EG13" s="3">
        <f>'Hasil (Rp)'!EG13-Biaya!EG13</f>
        <v>0</v>
      </c>
      <c r="EH13" s="3">
        <f>'Hasil (Rp)'!EH13-Biaya!EH13</f>
        <v>31640702290.998138</v>
      </c>
    </row>
    <row r="14" spans="1:138" ht="10.199999999999999" customHeight="1" x14ac:dyDescent="0.2">
      <c r="A14" s="7" t="s">
        <v>97</v>
      </c>
      <c r="B14" s="2" t="s">
        <v>25</v>
      </c>
      <c r="C14" s="3">
        <f t="shared" si="4"/>
        <v>0</v>
      </c>
      <c r="D14" s="3">
        <f t="shared" si="5"/>
        <v>188820736.01747847</v>
      </c>
      <c r="E14" s="3">
        <f t="shared" si="6"/>
        <v>0</v>
      </c>
      <c r="F14" s="3">
        <f t="shared" si="7"/>
        <v>51656147.905426472</v>
      </c>
      <c r="G14" s="3">
        <f t="shared" si="8"/>
        <v>0</v>
      </c>
      <c r="H14" s="3">
        <f t="shared" si="9"/>
        <v>0</v>
      </c>
      <c r="I14" s="3">
        <f t="shared" si="10"/>
        <v>180803.57943370711</v>
      </c>
      <c r="J14" s="3">
        <f t="shared" si="11"/>
        <v>0</v>
      </c>
      <c r="K14" s="3">
        <f t="shared" si="12"/>
        <v>0</v>
      </c>
      <c r="L14" s="3">
        <f t="shared" si="13"/>
        <v>270491709.95411855</v>
      </c>
      <c r="M14" s="3">
        <f t="shared" si="14"/>
        <v>945296126.62626362</v>
      </c>
      <c r="N14" s="3">
        <f t="shared" si="15"/>
        <v>206662464.42085391</v>
      </c>
      <c r="O14" s="3">
        <f t="shared" si="16"/>
        <v>1663107988.5035746</v>
      </c>
      <c r="P14" s="7" t="s">
        <v>97</v>
      </c>
      <c r="Q14" s="2" t="s">
        <v>25</v>
      </c>
      <c r="R14" s="3">
        <f t="shared" si="17"/>
        <v>0</v>
      </c>
      <c r="S14" s="3">
        <f t="shared" si="17"/>
        <v>188820736.01747847</v>
      </c>
      <c r="T14" s="3">
        <f t="shared" si="17"/>
        <v>0</v>
      </c>
      <c r="U14" s="3">
        <f t="shared" si="17"/>
        <v>51656147.905426472</v>
      </c>
      <c r="V14" s="3">
        <f t="shared" si="17"/>
        <v>0</v>
      </c>
      <c r="W14" s="3">
        <f t="shared" si="17"/>
        <v>0</v>
      </c>
      <c r="X14" s="3">
        <f t="shared" si="17"/>
        <v>180803.57943370711</v>
      </c>
      <c r="Y14" s="3">
        <f t="shared" si="17"/>
        <v>0</v>
      </c>
      <c r="Z14" s="3">
        <f t="shared" si="17"/>
        <v>0</v>
      </c>
      <c r="AA14" s="3">
        <f t="shared" si="17"/>
        <v>270491709.95411855</v>
      </c>
      <c r="AB14" s="3">
        <f t="shared" si="18"/>
        <v>511149397.4564572</v>
      </c>
      <c r="AC14" s="7" t="s">
        <v>97</v>
      </c>
      <c r="AD14" s="2" t="s">
        <v>25</v>
      </c>
      <c r="AE14" s="3">
        <f t="shared" si="19"/>
        <v>945296126.62626362</v>
      </c>
      <c r="AF14" s="3">
        <f t="shared" si="19"/>
        <v>206662464.42085391</v>
      </c>
      <c r="AG14" s="3">
        <f t="shared" si="20"/>
        <v>1151958591.0471175</v>
      </c>
      <c r="AH14" s="7" t="s">
        <v>97</v>
      </c>
      <c r="AI14" s="2" t="s">
        <v>25</v>
      </c>
      <c r="AJ14" s="3">
        <f t="shared" si="21"/>
        <v>1663107988.5035746</v>
      </c>
      <c r="AK14" s="3">
        <f t="shared" si="1"/>
        <v>0</v>
      </c>
      <c r="AL14" s="3">
        <f t="shared" si="1"/>
        <v>0</v>
      </c>
      <c r="AM14" s="3">
        <f t="shared" si="1"/>
        <v>0</v>
      </c>
      <c r="AN14" s="3">
        <f t="shared" si="22"/>
        <v>1663107988.5035746</v>
      </c>
      <c r="AO14" s="7" t="s">
        <v>97</v>
      </c>
      <c r="AP14" s="2" t="s">
        <v>25</v>
      </c>
      <c r="AQ14" s="3">
        <f t="shared" si="23"/>
        <v>511149397.4564572</v>
      </c>
      <c r="AR14" s="3">
        <f t="shared" si="2"/>
        <v>0</v>
      </c>
      <c r="AS14" s="3">
        <f t="shared" si="2"/>
        <v>0</v>
      </c>
      <c r="AT14" s="3">
        <f t="shared" si="2"/>
        <v>0</v>
      </c>
      <c r="AU14" s="3">
        <f t="shared" si="24"/>
        <v>511149397.4564572</v>
      </c>
      <c r="AV14" s="7" t="s">
        <v>97</v>
      </c>
      <c r="AW14" s="2" t="s">
        <v>25</v>
      </c>
      <c r="AX14" s="3">
        <f t="shared" si="25"/>
        <v>1151958591.0471175</v>
      </c>
      <c r="AY14" s="3">
        <f t="shared" si="3"/>
        <v>0</v>
      </c>
      <c r="AZ14" s="3">
        <f t="shared" si="3"/>
        <v>0</v>
      </c>
      <c r="BA14" s="3">
        <f t="shared" si="3"/>
        <v>0</v>
      </c>
      <c r="BB14" s="3">
        <f t="shared" si="26"/>
        <v>1151958591.0471175</v>
      </c>
      <c r="BC14" s="7" t="s">
        <v>97</v>
      </c>
      <c r="BD14" s="2" t="s">
        <v>25</v>
      </c>
      <c r="BE14" s="3">
        <f>'Hasil (Rp)'!BE14-Biaya!BE14</f>
        <v>0</v>
      </c>
      <c r="BF14" s="3">
        <f>'Hasil (Rp)'!BF14-Biaya!BF14</f>
        <v>0</v>
      </c>
      <c r="BG14" s="3">
        <f>'Hasil (Rp)'!BG14-Biaya!BG14</f>
        <v>0</v>
      </c>
      <c r="BH14" s="3">
        <f>'Hasil (Rp)'!BH14-Biaya!BH14</f>
        <v>0</v>
      </c>
      <c r="BI14" s="3">
        <f>'Hasil (Rp)'!BI14-Biaya!BI14</f>
        <v>0</v>
      </c>
      <c r="BJ14" s="7" t="s">
        <v>97</v>
      </c>
      <c r="BK14" s="2" t="s">
        <v>25</v>
      </c>
      <c r="BL14" s="3">
        <f>'Hasil (Rp)'!BL14-Biaya!BL14</f>
        <v>188820736.01747847</v>
      </c>
      <c r="BM14" s="3">
        <f>'Hasil (Rp)'!BM14-Biaya!BM14</f>
        <v>0</v>
      </c>
      <c r="BN14" s="3">
        <f>'Hasil (Rp)'!BN14-Biaya!BN14</f>
        <v>0</v>
      </c>
      <c r="BO14" s="3">
        <f>'Hasil (Rp)'!BO14-Biaya!BO14</f>
        <v>0</v>
      </c>
      <c r="BP14" s="3">
        <f>'Hasil (Rp)'!BP14-Biaya!BP14</f>
        <v>188820736.01747847</v>
      </c>
      <c r="BQ14" s="7" t="s">
        <v>97</v>
      </c>
      <c r="BR14" s="2" t="s">
        <v>25</v>
      </c>
      <c r="BS14" s="3">
        <f>'Hasil (Rp)'!BS14-Biaya!BS14</f>
        <v>0</v>
      </c>
      <c r="BT14" s="3">
        <f>'Hasil (Rp)'!BT14-Biaya!BT14</f>
        <v>0</v>
      </c>
      <c r="BU14" s="3">
        <f>'Hasil (Rp)'!BU14-Biaya!BU14</f>
        <v>0</v>
      </c>
      <c r="BV14" s="3">
        <f>'Hasil (Rp)'!BV14-Biaya!BV14</f>
        <v>0</v>
      </c>
      <c r="BW14" s="3">
        <f>'Hasil (Rp)'!BW14-Biaya!BW14</f>
        <v>0</v>
      </c>
      <c r="BX14" s="7" t="s">
        <v>97</v>
      </c>
      <c r="BY14" s="2" t="s">
        <v>25</v>
      </c>
      <c r="BZ14" s="3">
        <f>'Hasil (Rp)'!BZ14-Biaya!BZ14</f>
        <v>51656147.905426472</v>
      </c>
      <c r="CA14" s="3">
        <f>'Hasil (Rp)'!CA14-Biaya!CA14</f>
        <v>0</v>
      </c>
      <c r="CB14" s="3">
        <f>'Hasil (Rp)'!CB14-Biaya!CB14</f>
        <v>0</v>
      </c>
      <c r="CC14" s="3">
        <f>'Hasil (Rp)'!CC14-Biaya!CC14</f>
        <v>0</v>
      </c>
      <c r="CD14" s="3">
        <f>'Hasil (Rp)'!CD14-Biaya!CD14</f>
        <v>51656147.905426472</v>
      </c>
      <c r="CE14" s="7" t="s">
        <v>97</v>
      </c>
      <c r="CF14" s="2" t="s">
        <v>25</v>
      </c>
      <c r="CG14" s="3">
        <f>'Hasil (Rp)'!CG14-Biaya!CG14</f>
        <v>0</v>
      </c>
      <c r="CH14" s="3">
        <f>'Hasil (Rp)'!CH14-Biaya!CH14</f>
        <v>0</v>
      </c>
      <c r="CI14" s="3">
        <f>'Hasil (Rp)'!CI14-Biaya!CI14</f>
        <v>0</v>
      </c>
      <c r="CJ14" s="3">
        <f>'Hasil (Rp)'!CJ14-Biaya!CJ14</f>
        <v>0</v>
      </c>
      <c r="CK14" s="3">
        <f>'Hasil (Rp)'!CK14-Biaya!CK14</f>
        <v>0</v>
      </c>
      <c r="CL14" s="7" t="s">
        <v>97</v>
      </c>
      <c r="CM14" s="2" t="s">
        <v>25</v>
      </c>
      <c r="CN14" s="3">
        <f>'Hasil (Rp)'!CN14-Biaya!CN14</f>
        <v>0</v>
      </c>
      <c r="CO14" s="3">
        <f>'Hasil (Rp)'!CO14-Biaya!CO14</f>
        <v>0</v>
      </c>
      <c r="CP14" s="3">
        <f>'Hasil (Rp)'!CP14-Biaya!CP14</f>
        <v>0</v>
      </c>
      <c r="CQ14" s="3">
        <f>'Hasil (Rp)'!CQ14-Biaya!CQ14</f>
        <v>0</v>
      </c>
      <c r="CR14" s="3">
        <f>'Hasil (Rp)'!CR14-Biaya!CR14</f>
        <v>0</v>
      </c>
      <c r="CS14" s="7" t="s">
        <v>97</v>
      </c>
      <c r="CT14" s="2" t="s">
        <v>25</v>
      </c>
      <c r="CU14" s="3">
        <f>'Hasil (Rp)'!CU14-Biaya!CU14</f>
        <v>180803.57943370711</v>
      </c>
      <c r="CV14" s="3">
        <f>'Hasil (Rp)'!CV14-Biaya!CV14</f>
        <v>0</v>
      </c>
      <c r="CW14" s="3">
        <f>'Hasil (Rp)'!CW14-Biaya!CW14</f>
        <v>0</v>
      </c>
      <c r="CX14" s="3">
        <f>'Hasil (Rp)'!CX14-Biaya!CX14</f>
        <v>0</v>
      </c>
      <c r="CY14" s="3">
        <f>'Hasil (Rp)'!CY14-Biaya!CY14</f>
        <v>180803.57943370711</v>
      </c>
      <c r="CZ14" s="7" t="s">
        <v>97</v>
      </c>
      <c r="DA14" s="2" t="s">
        <v>25</v>
      </c>
      <c r="DB14" s="3">
        <f>'Hasil (Rp)'!DB14-Biaya!DB14</f>
        <v>0</v>
      </c>
      <c r="DC14" s="3">
        <f>'Hasil (Rp)'!DC14-Biaya!DC14</f>
        <v>0</v>
      </c>
      <c r="DD14" s="3">
        <f>'Hasil (Rp)'!DD14-Biaya!DD14</f>
        <v>0</v>
      </c>
      <c r="DE14" s="3">
        <f>'Hasil (Rp)'!DE14-Biaya!DE14</f>
        <v>0</v>
      </c>
      <c r="DF14" s="3">
        <f>'Hasil (Rp)'!DF14-Biaya!DF14</f>
        <v>0</v>
      </c>
      <c r="DG14" s="7" t="s">
        <v>97</v>
      </c>
      <c r="DH14" s="2" t="s">
        <v>25</v>
      </c>
      <c r="DI14" s="3">
        <f>'Hasil (Rp)'!DI14-Biaya!DI14</f>
        <v>0</v>
      </c>
      <c r="DJ14" s="3">
        <f>'Hasil (Rp)'!DJ14-Biaya!DJ14</f>
        <v>0</v>
      </c>
      <c r="DK14" s="3">
        <f>'Hasil (Rp)'!DK14-Biaya!DK14</f>
        <v>0</v>
      </c>
      <c r="DL14" s="3">
        <f>'Hasil (Rp)'!DL14-Biaya!DL14</f>
        <v>0</v>
      </c>
      <c r="DM14" s="3">
        <f>'Hasil (Rp)'!DM14-Biaya!DM14</f>
        <v>0</v>
      </c>
      <c r="DN14" s="7" t="s">
        <v>97</v>
      </c>
      <c r="DO14" s="2" t="s">
        <v>25</v>
      </c>
      <c r="DP14" s="3">
        <f>'Hasil (Rp)'!DP14-Biaya!DP14</f>
        <v>270491709.95411855</v>
      </c>
      <c r="DQ14" s="3">
        <f>'Hasil (Rp)'!DQ14-Biaya!DQ14</f>
        <v>0</v>
      </c>
      <c r="DR14" s="3">
        <f>'Hasil (Rp)'!DR14-Biaya!DR14</f>
        <v>0</v>
      </c>
      <c r="DS14" s="3">
        <f>'Hasil (Rp)'!DS14-Biaya!DS14</f>
        <v>0</v>
      </c>
      <c r="DT14" s="3">
        <f>'Hasil (Rp)'!DT14-Biaya!DT14</f>
        <v>270491709.95411855</v>
      </c>
      <c r="DU14" s="7" t="s">
        <v>97</v>
      </c>
      <c r="DV14" s="2" t="s">
        <v>25</v>
      </c>
      <c r="DW14" s="3">
        <f>'Hasil (Rp)'!DW14-Biaya!DW14</f>
        <v>206662464.42085391</v>
      </c>
      <c r="DX14" s="3">
        <f>'Hasil (Rp)'!DX14-Biaya!DX14</f>
        <v>0</v>
      </c>
      <c r="DY14" s="3">
        <f>'Hasil (Rp)'!DY14-Biaya!DY14</f>
        <v>0</v>
      </c>
      <c r="DZ14" s="3">
        <f>'Hasil (Rp)'!DZ14-Biaya!DZ14</f>
        <v>0</v>
      </c>
      <c r="EA14" s="3">
        <f>'Hasil (Rp)'!EA14-Biaya!EA14</f>
        <v>206662464.42085391</v>
      </c>
      <c r="EB14" s="7" t="s">
        <v>97</v>
      </c>
      <c r="EC14" s="2" t="s">
        <v>25</v>
      </c>
      <c r="ED14" s="3">
        <f>'Hasil (Rp)'!ED14-Biaya!ED14</f>
        <v>945296126.62626362</v>
      </c>
      <c r="EE14" s="3">
        <f>'Hasil (Rp)'!EE14-Biaya!EE14</f>
        <v>0</v>
      </c>
      <c r="EF14" s="3">
        <f>'Hasil (Rp)'!EF14-Biaya!EF14</f>
        <v>0</v>
      </c>
      <c r="EG14" s="3">
        <f>'Hasil (Rp)'!EG14-Biaya!EG14</f>
        <v>0</v>
      </c>
      <c r="EH14" s="3">
        <f>'Hasil (Rp)'!EH14-Biaya!EH14</f>
        <v>945296126.62626362</v>
      </c>
    </row>
    <row r="15" spans="1:138" ht="10.199999999999999" customHeight="1" x14ac:dyDescent="0.2">
      <c r="A15" s="7" t="s">
        <v>117</v>
      </c>
      <c r="B15" s="2" t="s">
        <v>45</v>
      </c>
      <c r="C15" s="3">
        <f t="shared" si="4"/>
        <v>0</v>
      </c>
      <c r="D15" s="3">
        <f t="shared" si="5"/>
        <v>0</v>
      </c>
      <c r="E15" s="3">
        <f t="shared" si="6"/>
        <v>1630356826982.6709</v>
      </c>
      <c r="F15" s="3">
        <f t="shared" si="7"/>
        <v>3620956522.1123657</v>
      </c>
      <c r="G15" s="3">
        <f t="shared" si="8"/>
        <v>93397831.978712901</v>
      </c>
      <c r="H15" s="3">
        <f t="shared" si="9"/>
        <v>0</v>
      </c>
      <c r="I15" s="3">
        <f t="shared" si="10"/>
        <v>0</v>
      </c>
      <c r="J15" s="3">
        <f t="shared" si="11"/>
        <v>10210296.63899016</v>
      </c>
      <c r="K15" s="3">
        <f t="shared" si="12"/>
        <v>1768792564.5597193</v>
      </c>
      <c r="L15" s="3">
        <f t="shared" si="13"/>
        <v>4307159508.466917</v>
      </c>
      <c r="M15" s="3">
        <f t="shared" si="14"/>
        <v>2708466826.0100136</v>
      </c>
      <c r="N15" s="3">
        <f t="shared" si="15"/>
        <v>528633703827.05273</v>
      </c>
      <c r="O15" s="3">
        <f t="shared" si="16"/>
        <v>2171499514359.4902</v>
      </c>
      <c r="P15" s="7" t="s">
        <v>117</v>
      </c>
      <c r="Q15" s="2" t="s">
        <v>45</v>
      </c>
      <c r="R15" s="3">
        <f t="shared" si="17"/>
        <v>0</v>
      </c>
      <c r="S15" s="3">
        <f t="shared" si="17"/>
        <v>0</v>
      </c>
      <c r="T15" s="3">
        <f t="shared" si="17"/>
        <v>1630356826982.6709</v>
      </c>
      <c r="U15" s="3">
        <f t="shared" si="17"/>
        <v>3620956522.1123657</v>
      </c>
      <c r="V15" s="3">
        <f t="shared" si="17"/>
        <v>93397831.978712901</v>
      </c>
      <c r="W15" s="3">
        <f t="shared" si="17"/>
        <v>0</v>
      </c>
      <c r="X15" s="3">
        <f t="shared" si="17"/>
        <v>0</v>
      </c>
      <c r="Y15" s="3">
        <f t="shared" si="17"/>
        <v>10210296.63899016</v>
      </c>
      <c r="Z15" s="3">
        <f t="shared" si="17"/>
        <v>1768792564.5597193</v>
      </c>
      <c r="AA15" s="3">
        <f t="shared" si="17"/>
        <v>4307159508.466917</v>
      </c>
      <c r="AB15" s="3">
        <f t="shared" si="18"/>
        <v>1640157343706.4275</v>
      </c>
      <c r="AC15" s="7" t="s">
        <v>117</v>
      </c>
      <c r="AD15" s="2" t="s">
        <v>45</v>
      </c>
      <c r="AE15" s="3">
        <f t="shared" si="19"/>
        <v>2708466826.0100136</v>
      </c>
      <c r="AF15" s="3">
        <f t="shared" si="19"/>
        <v>528633703827.05273</v>
      </c>
      <c r="AG15" s="3">
        <f t="shared" si="20"/>
        <v>531342170653.06274</v>
      </c>
      <c r="AH15" s="7" t="s">
        <v>117</v>
      </c>
      <c r="AI15" s="2" t="s">
        <v>45</v>
      </c>
      <c r="AJ15" s="3">
        <f t="shared" si="21"/>
        <v>9492610345.0420723</v>
      </c>
      <c r="AK15" s="3">
        <f t="shared" si="1"/>
        <v>23858370938.330067</v>
      </c>
      <c r="AL15" s="3">
        <f t="shared" si="1"/>
        <v>576722631.13267338</v>
      </c>
      <c r="AM15" s="3">
        <f t="shared" si="1"/>
        <v>2137571810444.9858</v>
      </c>
      <c r="AN15" s="3">
        <f t="shared" si="22"/>
        <v>2171499514359.4907</v>
      </c>
      <c r="AO15" s="7" t="s">
        <v>117</v>
      </c>
      <c r="AP15" s="2" t="s">
        <v>45</v>
      </c>
      <c r="AQ15" s="3">
        <f t="shared" si="23"/>
        <v>6500621810.1778698</v>
      </c>
      <c r="AR15" s="3">
        <f t="shared" si="2"/>
        <v>3255600040.2774835</v>
      </c>
      <c r="AS15" s="3">
        <f t="shared" si="2"/>
        <v>44294873.301352784</v>
      </c>
      <c r="AT15" s="3">
        <f t="shared" si="2"/>
        <v>1630356826982.6709</v>
      </c>
      <c r="AU15" s="3">
        <f t="shared" si="24"/>
        <v>1640157343706.4275</v>
      </c>
      <c r="AV15" s="7" t="s">
        <v>117</v>
      </c>
      <c r="AW15" s="2" t="s">
        <v>45</v>
      </c>
      <c r="AX15" s="3">
        <f t="shared" si="25"/>
        <v>2991988534.8642035</v>
      </c>
      <c r="AY15" s="3">
        <f t="shared" si="3"/>
        <v>20602770898.052582</v>
      </c>
      <c r="AZ15" s="3">
        <f t="shared" si="3"/>
        <v>532427757.83132064</v>
      </c>
      <c r="BA15" s="3">
        <f t="shared" si="3"/>
        <v>507214983462.31482</v>
      </c>
      <c r="BB15" s="3">
        <f t="shared" si="26"/>
        <v>531342170653.06293</v>
      </c>
      <c r="BC15" s="7" t="s">
        <v>117</v>
      </c>
      <c r="BD15" s="2" t="s">
        <v>45</v>
      </c>
      <c r="BE15" s="3">
        <f>'Hasil (Rp)'!BE15-Biaya!BE15</f>
        <v>0</v>
      </c>
      <c r="BF15" s="3">
        <f>'Hasil (Rp)'!BF15-Biaya!BF15</f>
        <v>0</v>
      </c>
      <c r="BG15" s="3">
        <f>'Hasil (Rp)'!BG15-Biaya!BG15</f>
        <v>0</v>
      </c>
      <c r="BH15" s="3">
        <f>'Hasil (Rp)'!BH15-Biaya!BH15</f>
        <v>0</v>
      </c>
      <c r="BI15" s="3">
        <f>'Hasil (Rp)'!BI15-Biaya!BI15</f>
        <v>0</v>
      </c>
      <c r="BJ15" s="7" t="s">
        <v>117</v>
      </c>
      <c r="BK15" s="2" t="s">
        <v>45</v>
      </c>
      <c r="BL15" s="3">
        <f>'Hasil (Rp)'!BL15-Biaya!BL15</f>
        <v>0</v>
      </c>
      <c r="BM15" s="3">
        <f>'Hasil (Rp)'!BM15-Biaya!BM15</f>
        <v>0</v>
      </c>
      <c r="BN15" s="3">
        <f>'Hasil (Rp)'!BN15-Biaya!BN15</f>
        <v>0</v>
      </c>
      <c r="BO15" s="3">
        <f>'Hasil (Rp)'!BO15-Biaya!BO15</f>
        <v>0</v>
      </c>
      <c r="BP15" s="3">
        <f>'Hasil (Rp)'!BP15-Biaya!BP15</f>
        <v>0</v>
      </c>
      <c r="BQ15" s="7" t="s">
        <v>117</v>
      </c>
      <c r="BR15" s="2" t="s">
        <v>45</v>
      </c>
      <c r="BS15" s="3">
        <f>'Hasil (Rp)'!BS15-Biaya!BS15</f>
        <v>0</v>
      </c>
      <c r="BT15" s="3">
        <f>'Hasil (Rp)'!BT15-Biaya!BT15</f>
        <v>0</v>
      </c>
      <c r="BU15" s="3">
        <f>'Hasil (Rp)'!BU15-Biaya!BU15</f>
        <v>0</v>
      </c>
      <c r="BV15" s="3">
        <f>'Hasil (Rp)'!BV15-Biaya!BV15</f>
        <v>1630356826982.6709</v>
      </c>
      <c r="BW15" s="3">
        <f>'Hasil (Rp)'!BW15-Biaya!BW15</f>
        <v>1630356826982.6709</v>
      </c>
      <c r="BX15" s="7" t="s">
        <v>117</v>
      </c>
      <c r="BY15" s="2" t="s">
        <v>45</v>
      </c>
      <c r="BZ15" s="3">
        <f>'Hasil (Rp)'!BZ15-Biaya!BZ15</f>
        <v>1711379612.5984251</v>
      </c>
      <c r="CA15" s="3">
        <f>'Hasil (Rp)'!CA15-Biaya!CA15</f>
        <v>1909554188.4029074</v>
      </c>
      <c r="CB15" s="3">
        <f>'Hasil (Rp)'!CB15-Biaya!CB15</f>
        <v>22721.111034199035</v>
      </c>
      <c r="CC15" s="3">
        <f>'Hasil (Rp)'!CC15-Biaya!CC15</f>
        <v>0</v>
      </c>
      <c r="CD15" s="3">
        <f>'Hasil (Rp)'!CD15-Biaya!CD15</f>
        <v>3620956522.1123657</v>
      </c>
      <c r="CE15" s="7" t="s">
        <v>117</v>
      </c>
      <c r="CF15" s="2" t="s">
        <v>45</v>
      </c>
      <c r="CG15" s="3">
        <f>'Hasil (Rp)'!CG15-Biaya!CG15</f>
        <v>75832920.961342782</v>
      </c>
      <c r="CH15" s="3">
        <f>'Hasil (Rp)'!CH15-Biaya!CH15</f>
        <v>17564911.017370127</v>
      </c>
      <c r="CI15" s="3">
        <f>'Hasil (Rp)'!CI15-Biaya!CI15</f>
        <v>0</v>
      </c>
      <c r="CJ15" s="3">
        <f>'Hasil (Rp)'!CJ15-Biaya!CJ15</f>
        <v>0</v>
      </c>
      <c r="CK15" s="3">
        <f>'Hasil (Rp)'!CK15-Biaya!CK15</f>
        <v>93397831.978712901</v>
      </c>
      <c r="CL15" s="7" t="s">
        <v>117</v>
      </c>
      <c r="CM15" s="2" t="s">
        <v>45</v>
      </c>
      <c r="CN15" s="3">
        <f>'Hasil (Rp)'!CN15-Biaya!CN15</f>
        <v>0</v>
      </c>
      <c r="CO15" s="3">
        <f>'Hasil (Rp)'!CO15-Biaya!CO15</f>
        <v>0</v>
      </c>
      <c r="CP15" s="3">
        <f>'Hasil (Rp)'!CP15-Biaya!CP15</f>
        <v>0</v>
      </c>
      <c r="CQ15" s="3">
        <f>'Hasil (Rp)'!CQ15-Biaya!CQ15</f>
        <v>0</v>
      </c>
      <c r="CR15" s="3">
        <f>'Hasil (Rp)'!CR15-Biaya!CR15</f>
        <v>0</v>
      </c>
      <c r="CS15" s="7" t="s">
        <v>117</v>
      </c>
      <c r="CT15" s="2" t="s">
        <v>45</v>
      </c>
      <c r="CU15" s="3">
        <f>'Hasil (Rp)'!CU15-Biaya!CU15</f>
        <v>0</v>
      </c>
      <c r="CV15" s="3">
        <f>'Hasil (Rp)'!CV15-Biaya!CV15</f>
        <v>0</v>
      </c>
      <c r="CW15" s="3">
        <f>'Hasil (Rp)'!CW15-Biaya!CW15</f>
        <v>0</v>
      </c>
      <c r="CX15" s="3">
        <f>'Hasil (Rp)'!CX15-Biaya!CX15</f>
        <v>0</v>
      </c>
      <c r="CY15" s="3">
        <f>'Hasil (Rp)'!CY15-Biaya!CY15</f>
        <v>0</v>
      </c>
      <c r="CZ15" s="7" t="s">
        <v>117</v>
      </c>
      <c r="DA15" s="2" t="s">
        <v>45</v>
      </c>
      <c r="DB15" s="3">
        <f>'Hasil (Rp)'!DB15-Biaya!DB15</f>
        <v>396039471.51219511</v>
      </c>
      <c r="DC15" s="3">
        <f>'Hasil (Rp)'!DC15-Biaya!DC15</f>
        <v>1328480940.8572059</v>
      </c>
      <c r="DD15" s="3">
        <f>'Hasil (Rp)'!DD15-Biaya!DD15</f>
        <v>44272152.190318584</v>
      </c>
      <c r="DE15" s="3">
        <f>'Hasil (Rp)'!DE15-Biaya!DE15</f>
        <v>0</v>
      </c>
      <c r="DF15" s="3">
        <f>'Hasil (Rp)'!DF15-Biaya!DF15</f>
        <v>1768792564.5597193</v>
      </c>
      <c r="DG15" s="7" t="s">
        <v>117</v>
      </c>
      <c r="DH15" s="2" t="s">
        <v>45</v>
      </c>
      <c r="DI15" s="3">
        <f>'Hasil (Rp)'!DI15-Biaya!DI15</f>
        <v>10210296.63899016</v>
      </c>
      <c r="DJ15" s="3">
        <f>'Hasil (Rp)'!DJ15-Biaya!DJ15</f>
        <v>0</v>
      </c>
      <c r="DK15" s="3">
        <f>'Hasil (Rp)'!DK15-Biaya!DK15</f>
        <v>0</v>
      </c>
      <c r="DL15" s="3">
        <f>'Hasil (Rp)'!DL15-Biaya!DL15</f>
        <v>0</v>
      </c>
      <c r="DM15" s="3">
        <f>'Hasil (Rp)'!DM15-Biaya!DM15</f>
        <v>10210296.63899016</v>
      </c>
      <c r="DN15" s="7" t="s">
        <v>117</v>
      </c>
      <c r="DO15" s="2" t="s">
        <v>45</v>
      </c>
      <c r="DP15" s="3">
        <f>'Hasil (Rp)'!DP15-Biaya!DP15</f>
        <v>4307159508.466917</v>
      </c>
      <c r="DQ15" s="3">
        <f>'Hasil (Rp)'!DQ15-Biaya!DQ15</f>
        <v>0</v>
      </c>
      <c r="DR15" s="3">
        <f>'Hasil (Rp)'!DR15-Biaya!DR15</f>
        <v>0</v>
      </c>
      <c r="DS15" s="3">
        <f>'Hasil (Rp)'!DS15-Biaya!DS15</f>
        <v>0</v>
      </c>
      <c r="DT15" s="3">
        <f>'Hasil (Rp)'!DT15-Biaya!DT15</f>
        <v>4307159508.466917</v>
      </c>
      <c r="DU15" s="7" t="s">
        <v>117</v>
      </c>
      <c r="DV15" s="2" t="s">
        <v>45</v>
      </c>
      <c r="DW15" s="3">
        <f>'Hasil (Rp)'!DW15-Biaya!DW15</f>
        <v>683136711.6504854</v>
      </c>
      <c r="DX15" s="3">
        <f>'Hasil (Rp)'!DX15-Biaya!DX15</f>
        <v>20203155895.256287</v>
      </c>
      <c r="DY15" s="3">
        <f>'Hasil (Rp)'!DY15-Biaya!DY15</f>
        <v>532427757.83132064</v>
      </c>
      <c r="DZ15" s="3">
        <f>'Hasil (Rp)'!DZ15-Biaya!DZ15</f>
        <v>507214983462.31482</v>
      </c>
      <c r="EA15" s="3">
        <f>'Hasil (Rp)'!EA15-Biaya!EA15</f>
        <v>528633703827.05273</v>
      </c>
      <c r="EB15" s="7" t="s">
        <v>117</v>
      </c>
      <c r="EC15" s="2" t="s">
        <v>45</v>
      </c>
      <c r="ED15" s="3">
        <f>'Hasil (Rp)'!ED15-Biaya!ED15</f>
        <v>2308851823.2137179</v>
      </c>
      <c r="EE15" s="3">
        <f>'Hasil (Rp)'!EE15-Biaya!EE15</f>
        <v>399615002.79629469</v>
      </c>
      <c r="EF15" s="3">
        <f>'Hasil (Rp)'!EF15-Biaya!EF15</f>
        <v>0</v>
      </c>
      <c r="EG15" s="3">
        <f>'Hasil (Rp)'!EG15-Biaya!EG15</f>
        <v>0</v>
      </c>
      <c r="EH15" s="3">
        <f>'Hasil (Rp)'!EH15-Biaya!EH15</f>
        <v>2708466826.0100136</v>
      </c>
    </row>
    <row r="16" spans="1:138" ht="10.199999999999999" customHeight="1" x14ac:dyDescent="0.2">
      <c r="A16" s="7" t="s">
        <v>114</v>
      </c>
      <c r="B16" s="2" t="s">
        <v>42</v>
      </c>
      <c r="C16" s="3">
        <f t="shared" si="4"/>
        <v>53649428.57142856</v>
      </c>
      <c r="D16" s="3">
        <f t="shared" si="5"/>
        <v>10645461094.6492</v>
      </c>
      <c r="E16" s="3">
        <f t="shared" si="6"/>
        <v>2112542643.3967209</v>
      </c>
      <c r="F16" s="3">
        <f t="shared" si="7"/>
        <v>-154116033206.76181</v>
      </c>
      <c r="G16" s="3">
        <f t="shared" si="8"/>
        <v>67709512.444701254</v>
      </c>
      <c r="H16" s="3">
        <f t="shared" si="9"/>
        <v>0</v>
      </c>
      <c r="I16" s="3">
        <f t="shared" si="10"/>
        <v>393394237.21876597</v>
      </c>
      <c r="J16" s="3">
        <f t="shared" si="11"/>
        <v>30138153.84615384</v>
      </c>
      <c r="K16" s="3">
        <f t="shared" si="12"/>
        <v>653634114.81207943</v>
      </c>
      <c r="L16" s="3">
        <f t="shared" si="13"/>
        <v>2068930495.904335</v>
      </c>
      <c r="M16" s="3">
        <f t="shared" si="14"/>
        <v>9534532879.6264668</v>
      </c>
      <c r="N16" s="3">
        <f t="shared" si="15"/>
        <v>38912631.985186934</v>
      </c>
      <c r="O16" s="3">
        <f t="shared" si="16"/>
        <v>-128517128014.30678</v>
      </c>
      <c r="P16" s="7" t="s">
        <v>114</v>
      </c>
      <c r="Q16" s="2" t="s">
        <v>42</v>
      </c>
      <c r="R16" s="3">
        <f t="shared" si="17"/>
        <v>53649428.57142856</v>
      </c>
      <c r="S16" s="3">
        <f t="shared" si="17"/>
        <v>10645461094.6492</v>
      </c>
      <c r="T16" s="3">
        <f t="shared" si="17"/>
        <v>2112542643.3967209</v>
      </c>
      <c r="U16" s="3">
        <f t="shared" si="17"/>
        <v>-154116033206.76181</v>
      </c>
      <c r="V16" s="3">
        <f t="shared" si="17"/>
        <v>67709512.444701254</v>
      </c>
      <c r="W16" s="3">
        <f t="shared" si="17"/>
        <v>0</v>
      </c>
      <c r="X16" s="3">
        <f t="shared" si="17"/>
        <v>393394237.21876597</v>
      </c>
      <c r="Y16" s="3">
        <f t="shared" si="17"/>
        <v>30138153.84615384</v>
      </c>
      <c r="Z16" s="3">
        <f t="shared" si="17"/>
        <v>653634114.81207943</v>
      </c>
      <c r="AA16" s="3">
        <f t="shared" si="17"/>
        <v>2068930495.904335</v>
      </c>
      <c r="AB16" s="3">
        <f t="shared" si="18"/>
        <v>-138090573525.91843</v>
      </c>
      <c r="AC16" s="7" t="s">
        <v>114</v>
      </c>
      <c r="AD16" s="2" t="s">
        <v>42</v>
      </c>
      <c r="AE16" s="3">
        <f t="shared" si="19"/>
        <v>9534532879.6264668</v>
      </c>
      <c r="AF16" s="3">
        <f t="shared" si="19"/>
        <v>38912631.985186934</v>
      </c>
      <c r="AG16" s="3">
        <f t="shared" si="20"/>
        <v>9573445511.6116543</v>
      </c>
      <c r="AH16" s="7" t="s">
        <v>114</v>
      </c>
      <c r="AI16" s="2" t="s">
        <v>42</v>
      </c>
      <c r="AJ16" s="3">
        <f t="shared" si="21"/>
        <v>11363792914.215429</v>
      </c>
      <c r="AK16" s="3">
        <f t="shared" si="1"/>
        <v>12645653175.390137</v>
      </c>
      <c r="AL16" s="3">
        <f t="shared" si="1"/>
        <v>-155157710170.56232</v>
      </c>
      <c r="AM16" s="3">
        <f t="shared" si="1"/>
        <v>2631136066.649972</v>
      </c>
      <c r="AN16" s="3">
        <f t="shared" si="22"/>
        <v>-128517128014.30678</v>
      </c>
      <c r="AO16" s="7" t="s">
        <v>114</v>
      </c>
      <c r="AP16" s="2" t="s">
        <v>42</v>
      </c>
      <c r="AQ16" s="3">
        <f t="shared" si="23"/>
        <v>1790347402.603775</v>
      </c>
      <c r="AR16" s="3">
        <f t="shared" si="2"/>
        <v>12645653175.390137</v>
      </c>
      <c r="AS16" s="3">
        <f t="shared" si="2"/>
        <v>-155157710170.56232</v>
      </c>
      <c r="AT16" s="3">
        <f t="shared" si="2"/>
        <v>2631136066.649972</v>
      </c>
      <c r="AU16" s="3">
        <f t="shared" si="24"/>
        <v>-138090573525.91846</v>
      </c>
      <c r="AV16" s="7" t="s">
        <v>114</v>
      </c>
      <c r="AW16" s="2" t="s">
        <v>42</v>
      </c>
      <c r="AX16" s="3">
        <f t="shared" si="25"/>
        <v>9573445511.6116543</v>
      </c>
      <c r="AY16" s="3">
        <f t="shared" si="3"/>
        <v>0</v>
      </c>
      <c r="AZ16" s="3">
        <f t="shared" si="3"/>
        <v>0</v>
      </c>
      <c r="BA16" s="3">
        <f t="shared" si="3"/>
        <v>0</v>
      </c>
      <c r="BB16" s="3">
        <f t="shared" si="26"/>
        <v>9573445511.6116543</v>
      </c>
      <c r="BC16" s="7" t="s">
        <v>114</v>
      </c>
      <c r="BD16" s="2" t="s">
        <v>42</v>
      </c>
      <c r="BE16" s="3">
        <f>'Hasil (Rp)'!BE16-Biaya!BE16</f>
        <v>53649428.57142856</v>
      </c>
      <c r="BF16" s="3">
        <f>'Hasil (Rp)'!BF16-Biaya!BF16</f>
        <v>0</v>
      </c>
      <c r="BG16" s="3">
        <f>'Hasil (Rp)'!BG16-Biaya!BG16</f>
        <v>0</v>
      </c>
      <c r="BH16" s="3">
        <f>'Hasil (Rp)'!BH16-Biaya!BH16</f>
        <v>0</v>
      </c>
      <c r="BI16" s="3">
        <f>'Hasil (Rp)'!BI16-Biaya!BI16</f>
        <v>53649428.57142856</v>
      </c>
      <c r="BJ16" s="7" t="s">
        <v>114</v>
      </c>
      <c r="BK16" s="2" t="s">
        <v>42</v>
      </c>
      <c r="BL16" s="3">
        <f>'Hasil (Rp)'!BL16-Biaya!BL16</f>
        <v>0</v>
      </c>
      <c r="BM16" s="3">
        <f>'Hasil (Rp)'!BM16-Biaya!BM16</f>
        <v>10645461094.6492</v>
      </c>
      <c r="BN16" s="3">
        <f>'Hasil (Rp)'!BN16-Biaya!BN16</f>
        <v>0</v>
      </c>
      <c r="BO16" s="3">
        <f>'Hasil (Rp)'!BO16-Biaya!BO16</f>
        <v>0</v>
      </c>
      <c r="BP16" s="3">
        <f>'Hasil (Rp)'!BP16-Biaya!BP16</f>
        <v>10645461094.6492</v>
      </c>
      <c r="BQ16" s="7" t="s">
        <v>114</v>
      </c>
      <c r="BR16" s="2" t="s">
        <v>42</v>
      </c>
      <c r="BS16" s="3">
        <f>'Hasil (Rp)'!BS16-Biaya!BS16</f>
        <v>0</v>
      </c>
      <c r="BT16" s="3">
        <f>'Hasil (Rp)'!BT16-Biaya!BT16</f>
        <v>0</v>
      </c>
      <c r="BU16" s="3">
        <f>'Hasil (Rp)'!BU16-Biaya!BU16</f>
        <v>0</v>
      </c>
      <c r="BV16" s="3">
        <f>'Hasil (Rp)'!BV16-Biaya!BV16</f>
        <v>2112542643.3967209</v>
      </c>
      <c r="BW16" s="3">
        <f>'Hasil (Rp)'!BW16-Biaya!BW16</f>
        <v>2112542643.3967209</v>
      </c>
      <c r="BX16" s="7" t="s">
        <v>114</v>
      </c>
      <c r="BY16" s="2" t="s">
        <v>42</v>
      </c>
      <c r="BZ16" s="3">
        <f>'Hasil (Rp)'!BZ16-Biaya!BZ16</f>
        <v>523083540.54724741</v>
      </c>
      <c r="CA16" s="3">
        <f>'Hasil (Rp)'!CA16-Biaya!CA16</f>
        <v>0</v>
      </c>
      <c r="CB16" s="3">
        <f>'Hasil (Rp)'!CB16-Biaya!CB16</f>
        <v>-155157710170.56232</v>
      </c>
      <c r="CC16" s="3">
        <f>'Hasil (Rp)'!CC16-Biaya!CC16</f>
        <v>518593423.25325108</v>
      </c>
      <c r="CD16" s="3">
        <f>'Hasil (Rp)'!CD16-Biaya!CD16</f>
        <v>-154116033206.76181</v>
      </c>
      <c r="CE16" s="7" t="s">
        <v>114</v>
      </c>
      <c r="CF16" s="2" t="s">
        <v>42</v>
      </c>
      <c r="CG16" s="3">
        <f>'Hasil (Rp)'!CG16-Biaya!CG16</f>
        <v>67709512.444701254</v>
      </c>
      <c r="CH16" s="3">
        <f>'Hasil (Rp)'!CH16-Biaya!CH16</f>
        <v>0</v>
      </c>
      <c r="CI16" s="3">
        <f>'Hasil (Rp)'!CI16-Biaya!CI16</f>
        <v>0</v>
      </c>
      <c r="CJ16" s="3">
        <f>'Hasil (Rp)'!CJ16-Biaya!CJ16</f>
        <v>0</v>
      </c>
      <c r="CK16" s="3">
        <f>'Hasil (Rp)'!CK16-Biaya!CK16</f>
        <v>67709512.444701254</v>
      </c>
      <c r="CL16" s="7" t="s">
        <v>114</v>
      </c>
      <c r="CM16" s="2" t="s">
        <v>42</v>
      </c>
      <c r="CN16" s="3">
        <f>'Hasil (Rp)'!CN16-Biaya!CN16</f>
        <v>0</v>
      </c>
      <c r="CO16" s="3">
        <f>'Hasil (Rp)'!CO16-Biaya!CO16</f>
        <v>0</v>
      </c>
      <c r="CP16" s="3">
        <f>'Hasil (Rp)'!CP16-Biaya!CP16</f>
        <v>0</v>
      </c>
      <c r="CQ16" s="3">
        <f>'Hasil (Rp)'!CQ16-Biaya!CQ16</f>
        <v>0</v>
      </c>
      <c r="CR16" s="3">
        <f>'Hasil (Rp)'!CR16-Biaya!CR16</f>
        <v>0</v>
      </c>
      <c r="CS16" s="7" t="s">
        <v>114</v>
      </c>
      <c r="CT16" s="2" t="s">
        <v>42</v>
      </c>
      <c r="CU16" s="3">
        <f>'Hasil (Rp)'!CU16-Biaya!CU16</f>
        <v>393394237.21876597</v>
      </c>
      <c r="CV16" s="3">
        <f>'Hasil (Rp)'!CV16-Biaya!CV16</f>
        <v>0</v>
      </c>
      <c r="CW16" s="3">
        <f>'Hasil (Rp)'!CW16-Biaya!CW16</f>
        <v>0</v>
      </c>
      <c r="CX16" s="3">
        <f>'Hasil (Rp)'!CX16-Biaya!CX16</f>
        <v>0</v>
      </c>
      <c r="CY16" s="3">
        <f>'Hasil (Rp)'!CY16-Biaya!CY16</f>
        <v>393394237.21876597</v>
      </c>
      <c r="CZ16" s="7" t="s">
        <v>114</v>
      </c>
      <c r="DA16" s="2" t="s">
        <v>42</v>
      </c>
      <c r="DB16" s="3">
        <f>'Hasil (Rp)'!DB16-Biaya!DB16</f>
        <v>653634114.81207943</v>
      </c>
      <c r="DC16" s="3">
        <f>'Hasil (Rp)'!DC16-Biaya!DC16</f>
        <v>0</v>
      </c>
      <c r="DD16" s="3">
        <f>'Hasil (Rp)'!DD16-Biaya!DD16</f>
        <v>0</v>
      </c>
      <c r="DE16" s="3">
        <f>'Hasil (Rp)'!DE16-Biaya!DE16</f>
        <v>0</v>
      </c>
      <c r="DF16" s="3">
        <f>'Hasil (Rp)'!DF16-Biaya!DF16</f>
        <v>653634114.81207943</v>
      </c>
      <c r="DG16" s="7" t="s">
        <v>114</v>
      </c>
      <c r="DH16" s="2" t="s">
        <v>42</v>
      </c>
      <c r="DI16" s="3">
        <f>'Hasil (Rp)'!DI16-Biaya!DI16</f>
        <v>30138153.84615384</v>
      </c>
      <c r="DJ16" s="3">
        <f>'Hasil (Rp)'!DJ16-Biaya!DJ16</f>
        <v>0</v>
      </c>
      <c r="DK16" s="3">
        <f>'Hasil (Rp)'!DK16-Biaya!DK16</f>
        <v>0</v>
      </c>
      <c r="DL16" s="3">
        <f>'Hasil (Rp)'!DL16-Biaya!DL16</f>
        <v>0</v>
      </c>
      <c r="DM16" s="3">
        <f>'Hasil (Rp)'!DM16-Biaya!DM16</f>
        <v>30138153.84615384</v>
      </c>
      <c r="DN16" s="7" t="s">
        <v>114</v>
      </c>
      <c r="DO16" s="2" t="s">
        <v>42</v>
      </c>
      <c r="DP16" s="3">
        <f>'Hasil (Rp)'!DP16-Biaya!DP16</f>
        <v>68738415.163398683</v>
      </c>
      <c r="DQ16" s="3">
        <f>'Hasil (Rp)'!DQ16-Biaya!DQ16</f>
        <v>2000192080.7409363</v>
      </c>
      <c r="DR16" s="3">
        <f>'Hasil (Rp)'!DR16-Biaya!DR16</f>
        <v>0</v>
      </c>
      <c r="DS16" s="3">
        <f>'Hasil (Rp)'!DS16-Biaya!DS16</f>
        <v>0</v>
      </c>
      <c r="DT16" s="3">
        <f>'Hasil (Rp)'!DT16-Biaya!DT16</f>
        <v>2068930495.904335</v>
      </c>
      <c r="DU16" s="7" t="s">
        <v>114</v>
      </c>
      <c r="DV16" s="2" t="s">
        <v>42</v>
      </c>
      <c r="DW16" s="3">
        <f>'Hasil (Rp)'!DW16-Biaya!DW16</f>
        <v>38912631.985186934</v>
      </c>
      <c r="DX16" s="3">
        <f>'Hasil (Rp)'!DX16-Biaya!DX16</f>
        <v>0</v>
      </c>
      <c r="DY16" s="3">
        <f>'Hasil (Rp)'!DY16-Biaya!DY16</f>
        <v>0</v>
      </c>
      <c r="DZ16" s="3">
        <f>'Hasil (Rp)'!DZ16-Biaya!DZ16</f>
        <v>0</v>
      </c>
      <c r="EA16" s="3">
        <f>'Hasil (Rp)'!EA16-Biaya!EA16</f>
        <v>38912631.985186934</v>
      </c>
      <c r="EB16" s="7" t="s">
        <v>114</v>
      </c>
      <c r="EC16" s="2" t="s">
        <v>42</v>
      </c>
      <c r="ED16" s="3">
        <f>'Hasil (Rp)'!ED16-Biaya!ED16</f>
        <v>9534532879.6264668</v>
      </c>
      <c r="EE16" s="3">
        <f>'Hasil (Rp)'!EE16-Biaya!EE16</f>
        <v>0</v>
      </c>
      <c r="EF16" s="3">
        <f>'Hasil (Rp)'!EF16-Biaya!EF16</f>
        <v>0</v>
      </c>
      <c r="EG16" s="3">
        <f>'Hasil (Rp)'!EG16-Biaya!EG16</f>
        <v>0</v>
      </c>
      <c r="EH16" s="3">
        <f>'Hasil (Rp)'!EH16-Biaya!EH16</f>
        <v>9534532879.6264668</v>
      </c>
    </row>
    <row r="17" spans="1:138" ht="10.199999999999999" customHeight="1" x14ac:dyDescent="0.2">
      <c r="A17" s="7" t="s">
        <v>112</v>
      </c>
      <c r="B17" s="2" t="s">
        <v>40</v>
      </c>
      <c r="C17" s="3">
        <f t="shared" si="4"/>
        <v>0</v>
      </c>
      <c r="D17" s="3">
        <f t="shared" si="5"/>
        <v>0</v>
      </c>
      <c r="E17" s="3">
        <f t="shared" si="6"/>
        <v>594604715691.51367</v>
      </c>
      <c r="F17" s="3">
        <f t="shared" si="7"/>
        <v>3225564847.3298306</v>
      </c>
      <c r="G17" s="3">
        <f t="shared" si="8"/>
        <v>302280832.09876543</v>
      </c>
      <c r="H17" s="3">
        <f t="shared" si="9"/>
        <v>279662367276.72498</v>
      </c>
      <c r="I17" s="3">
        <f t="shared" si="10"/>
        <v>3345934552.2952881</v>
      </c>
      <c r="J17" s="3">
        <f t="shared" si="11"/>
        <v>29606187.242753964</v>
      </c>
      <c r="K17" s="3">
        <f t="shared" si="12"/>
        <v>66707031210.99482</v>
      </c>
      <c r="L17" s="3">
        <f t="shared" si="13"/>
        <v>8838694102.8950272</v>
      </c>
      <c r="M17" s="3">
        <f t="shared" si="14"/>
        <v>19999902453.262299</v>
      </c>
      <c r="N17" s="3">
        <f t="shared" si="15"/>
        <v>23450308674.487251</v>
      </c>
      <c r="O17" s="3">
        <f t="shared" si="16"/>
        <v>1000166405828.8448</v>
      </c>
      <c r="P17" s="7" t="s">
        <v>112</v>
      </c>
      <c r="Q17" s="2" t="s">
        <v>40</v>
      </c>
      <c r="R17" s="3">
        <f t="shared" si="17"/>
        <v>0</v>
      </c>
      <c r="S17" s="3">
        <f t="shared" si="17"/>
        <v>0</v>
      </c>
      <c r="T17" s="3">
        <f t="shared" si="17"/>
        <v>594604715691.51367</v>
      </c>
      <c r="U17" s="3">
        <f t="shared" si="17"/>
        <v>3225564847.3298306</v>
      </c>
      <c r="V17" s="3">
        <f t="shared" si="17"/>
        <v>302280832.09876543</v>
      </c>
      <c r="W17" s="3">
        <f t="shared" si="17"/>
        <v>279662367276.72498</v>
      </c>
      <c r="X17" s="3">
        <f t="shared" si="17"/>
        <v>3345934552.2952881</v>
      </c>
      <c r="Y17" s="3">
        <f t="shared" si="17"/>
        <v>29606187.242753964</v>
      </c>
      <c r="Z17" s="3">
        <f t="shared" si="17"/>
        <v>66707031210.99482</v>
      </c>
      <c r="AA17" s="3">
        <f t="shared" si="17"/>
        <v>8838694102.8950272</v>
      </c>
      <c r="AB17" s="3">
        <f t="shared" si="18"/>
        <v>956716194701.09521</v>
      </c>
      <c r="AC17" s="7" t="s">
        <v>112</v>
      </c>
      <c r="AD17" s="2" t="s">
        <v>40</v>
      </c>
      <c r="AE17" s="3">
        <f t="shared" si="19"/>
        <v>19999902453.262299</v>
      </c>
      <c r="AF17" s="3">
        <f t="shared" si="19"/>
        <v>23450308674.487251</v>
      </c>
      <c r="AG17" s="3">
        <f t="shared" si="20"/>
        <v>43450211127.74955</v>
      </c>
      <c r="AH17" s="7" t="s">
        <v>112</v>
      </c>
      <c r="AI17" s="2" t="s">
        <v>40</v>
      </c>
      <c r="AJ17" s="3">
        <f t="shared" si="21"/>
        <v>110713413324.2876</v>
      </c>
      <c r="AK17" s="3">
        <f t="shared" si="1"/>
        <v>15144170231.471676</v>
      </c>
      <c r="AL17" s="3">
        <f t="shared" si="1"/>
        <v>0</v>
      </c>
      <c r="AM17" s="3">
        <f t="shared" si="1"/>
        <v>874308822273.08545</v>
      </c>
      <c r="AN17" s="3">
        <f t="shared" si="22"/>
        <v>1000166405828.8447</v>
      </c>
      <c r="AO17" s="7" t="s">
        <v>112</v>
      </c>
      <c r="AP17" s="2" t="s">
        <v>40</v>
      </c>
      <c r="AQ17" s="3">
        <f t="shared" si="23"/>
        <v>67263202196.53804</v>
      </c>
      <c r="AR17" s="3">
        <f t="shared" si="2"/>
        <v>15144170231.471676</v>
      </c>
      <c r="AS17" s="3">
        <f t="shared" si="2"/>
        <v>0</v>
      </c>
      <c r="AT17" s="3">
        <f t="shared" si="2"/>
        <v>874308822273.08545</v>
      </c>
      <c r="AU17" s="3">
        <f t="shared" si="24"/>
        <v>956716194701.09521</v>
      </c>
      <c r="AV17" s="7" t="s">
        <v>112</v>
      </c>
      <c r="AW17" s="2" t="s">
        <v>40</v>
      </c>
      <c r="AX17" s="3">
        <f t="shared" si="25"/>
        <v>43450211127.74955</v>
      </c>
      <c r="AY17" s="3">
        <f t="shared" si="3"/>
        <v>0</v>
      </c>
      <c r="AZ17" s="3">
        <f t="shared" si="3"/>
        <v>0</v>
      </c>
      <c r="BA17" s="3">
        <f t="shared" si="3"/>
        <v>0</v>
      </c>
      <c r="BB17" s="3">
        <f t="shared" si="26"/>
        <v>43450211127.74955</v>
      </c>
      <c r="BC17" s="7" t="s">
        <v>112</v>
      </c>
      <c r="BD17" s="2" t="s">
        <v>40</v>
      </c>
      <c r="BE17" s="3">
        <f>'Hasil (Rp)'!BE17-Biaya!BE17</f>
        <v>0</v>
      </c>
      <c r="BF17" s="3">
        <f>'Hasil (Rp)'!BF17-Biaya!BF17</f>
        <v>0</v>
      </c>
      <c r="BG17" s="3">
        <f>'Hasil (Rp)'!BG17-Biaya!BG17</f>
        <v>0</v>
      </c>
      <c r="BH17" s="3">
        <f>'Hasil (Rp)'!BH17-Biaya!BH17</f>
        <v>0</v>
      </c>
      <c r="BI17" s="3">
        <f>'Hasil (Rp)'!BI17-Biaya!BI17</f>
        <v>0</v>
      </c>
      <c r="BJ17" s="7" t="s">
        <v>112</v>
      </c>
      <c r="BK17" s="2" t="s">
        <v>40</v>
      </c>
      <c r="BL17" s="3">
        <f>'Hasil (Rp)'!BL17-Biaya!BL17</f>
        <v>0</v>
      </c>
      <c r="BM17" s="3">
        <f>'Hasil (Rp)'!BM17-Biaya!BM17</f>
        <v>0</v>
      </c>
      <c r="BN17" s="3">
        <f>'Hasil (Rp)'!BN17-Biaya!BN17</f>
        <v>0</v>
      </c>
      <c r="BO17" s="3">
        <f>'Hasil (Rp)'!BO17-Biaya!BO17</f>
        <v>0</v>
      </c>
      <c r="BP17" s="3">
        <f>'Hasil (Rp)'!BP17-Biaya!BP17</f>
        <v>0</v>
      </c>
      <c r="BQ17" s="7" t="s">
        <v>112</v>
      </c>
      <c r="BR17" s="2" t="s">
        <v>40</v>
      </c>
      <c r="BS17" s="3">
        <f>'Hasil (Rp)'!BS17-Biaya!BS17</f>
        <v>0</v>
      </c>
      <c r="BT17" s="3">
        <f>'Hasil (Rp)'!BT17-Biaya!BT17</f>
        <v>0</v>
      </c>
      <c r="BU17" s="3">
        <f>'Hasil (Rp)'!BU17-Biaya!BU17</f>
        <v>0</v>
      </c>
      <c r="BV17" s="3">
        <f>'Hasil (Rp)'!BV17-Biaya!BV17</f>
        <v>594604715691.51367</v>
      </c>
      <c r="BW17" s="3">
        <f>'Hasil (Rp)'!BW17-Biaya!BW17</f>
        <v>594604715691.51367</v>
      </c>
      <c r="BX17" s="7" t="s">
        <v>112</v>
      </c>
      <c r="BY17" s="2" t="s">
        <v>40</v>
      </c>
      <c r="BZ17" s="3">
        <f>'Hasil (Rp)'!BZ17-Biaya!BZ17</f>
        <v>3225564847.3298306</v>
      </c>
      <c r="CA17" s="3">
        <f>'Hasil (Rp)'!CA17-Biaya!CA17</f>
        <v>0</v>
      </c>
      <c r="CB17" s="3">
        <f>'Hasil (Rp)'!CB17-Biaya!CB17</f>
        <v>0</v>
      </c>
      <c r="CC17" s="3">
        <f>'Hasil (Rp)'!CC17-Biaya!CC17</f>
        <v>0</v>
      </c>
      <c r="CD17" s="3">
        <f>'Hasil (Rp)'!CD17-Biaya!CD17</f>
        <v>3225564847.3298306</v>
      </c>
      <c r="CE17" s="7" t="s">
        <v>112</v>
      </c>
      <c r="CF17" s="2" t="s">
        <v>40</v>
      </c>
      <c r="CG17" s="3">
        <f>'Hasil (Rp)'!CG17-Biaya!CG17</f>
        <v>302280832.09876543</v>
      </c>
      <c r="CH17" s="3">
        <f>'Hasil (Rp)'!CH17-Biaya!CH17</f>
        <v>0</v>
      </c>
      <c r="CI17" s="3">
        <f>'Hasil (Rp)'!CI17-Biaya!CI17</f>
        <v>0</v>
      </c>
      <c r="CJ17" s="3">
        <f>'Hasil (Rp)'!CJ17-Biaya!CJ17</f>
        <v>0</v>
      </c>
      <c r="CK17" s="3">
        <f>'Hasil (Rp)'!CK17-Biaya!CK17</f>
        <v>302280832.09876543</v>
      </c>
      <c r="CL17" s="7" t="s">
        <v>112</v>
      </c>
      <c r="CM17" s="2" t="s">
        <v>40</v>
      </c>
      <c r="CN17" s="3">
        <f>'Hasil (Rp)'!CN17-Biaya!CN17</f>
        <v>0</v>
      </c>
      <c r="CO17" s="3">
        <f>'Hasil (Rp)'!CO17-Biaya!CO17</f>
        <v>0</v>
      </c>
      <c r="CP17" s="3">
        <f>'Hasil (Rp)'!CP17-Biaya!CP17</f>
        <v>0</v>
      </c>
      <c r="CQ17" s="3">
        <f>'Hasil (Rp)'!CQ17-Biaya!CQ17</f>
        <v>279662367276.72498</v>
      </c>
      <c r="CR17" s="3">
        <f>'Hasil (Rp)'!CR17-Biaya!CR17</f>
        <v>279662367276.72498</v>
      </c>
      <c r="CS17" s="7" t="s">
        <v>112</v>
      </c>
      <c r="CT17" s="2" t="s">
        <v>40</v>
      </c>
      <c r="CU17" s="3">
        <f>'Hasil (Rp)'!CU17-Biaya!CU17</f>
        <v>3345934552.2952881</v>
      </c>
      <c r="CV17" s="3">
        <f>'Hasil (Rp)'!CV17-Biaya!CV17</f>
        <v>0</v>
      </c>
      <c r="CW17" s="3">
        <f>'Hasil (Rp)'!CW17-Biaya!CW17</f>
        <v>0</v>
      </c>
      <c r="CX17" s="3">
        <f>'Hasil (Rp)'!CX17-Biaya!CX17</f>
        <v>0</v>
      </c>
      <c r="CY17" s="3">
        <f>'Hasil (Rp)'!CY17-Biaya!CY17</f>
        <v>3345934552.2952881</v>
      </c>
      <c r="CZ17" s="7" t="s">
        <v>112</v>
      </c>
      <c r="DA17" s="2" t="s">
        <v>40</v>
      </c>
      <c r="DB17" s="3">
        <f>'Hasil (Rp)'!DB17-Biaya!DB17</f>
        <v>51562860979.523148</v>
      </c>
      <c r="DC17" s="3">
        <f>'Hasil (Rp)'!DC17-Biaya!DC17</f>
        <v>15144170231.471676</v>
      </c>
      <c r="DD17" s="3">
        <f>'Hasil (Rp)'!DD17-Biaya!DD17</f>
        <v>0</v>
      </c>
      <c r="DE17" s="3">
        <f>'Hasil (Rp)'!DE17-Biaya!DE17</f>
        <v>0</v>
      </c>
      <c r="DF17" s="3">
        <f>'Hasil (Rp)'!DF17-Biaya!DF17</f>
        <v>66707031210.99482</v>
      </c>
      <c r="DG17" s="7" t="s">
        <v>112</v>
      </c>
      <c r="DH17" s="2" t="s">
        <v>40</v>
      </c>
      <c r="DI17" s="3">
        <f>'Hasil (Rp)'!DI17-Biaya!DI17</f>
        <v>29606187.242753964</v>
      </c>
      <c r="DJ17" s="3">
        <f>'Hasil (Rp)'!DJ17-Biaya!DJ17</f>
        <v>0</v>
      </c>
      <c r="DK17" s="3">
        <f>'Hasil (Rp)'!DK17-Biaya!DK17</f>
        <v>0</v>
      </c>
      <c r="DL17" s="3">
        <f>'Hasil (Rp)'!DL17-Biaya!DL17</f>
        <v>0</v>
      </c>
      <c r="DM17" s="3">
        <f>'Hasil (Rp)'!DM17-Biaya!DM17</f>
        <v>29606187.242753964</v>
      </c>
      <c r="DN17" s="7" t="s">
        <v>112</v>
      </c>
      <c r="DO17" s="2" t="s">
        <v>40</v>
      </c>
      <c r="DP17" s="3">
        <f>'Hasil (Rp)'!DP17-Biaya!DP17</f>
        <v>8796954798.0482597</v>
      </c>
      <c r="DQ17" s="3">
        <f>'Hasil (Rp)'!DQ17-Biaya!DQ17</f>
        <v>0</v>
      </c>
      <c r="DR17" s="3">
        <f>'Hasil (Rp)'!DR17-Biaya!DR17</f>
        <v>0</v>
      </c>
      <c r="DS17" s="3">
        <f>'Hasil (Rp)'!DS17-Biaya!DS17</f>
        <v>41739304.846768916</v>
      </c>
      <c r="DT17" s="3">
        <f>'Hasil (Rp)'!DT17-Biaya!DT17</f>
        <v>8838694102.8950272</v>
      </c>
      <c r="DU17" s="7" t="s">
        <v>112</v>
      </c>
      <c r="DV17" s="2" t="s">
        <v>40</v>
      </c>
      <c r="DW17" s="3">
        <f>'Hasil (Rp)'!DW17-Biaya!DW17</f>
        <v>23450308674.487251</v>
      </c>
      <c r="DX17" s="3">
        <f>'Hasil (Rp)'!DX17-Biaya!DX17</f>
        <v>0</v>
      </c>
      <c r="DY17" s="3">
        <f>'Hasil (Rp)'!DY17-Biaya!DY17</f>
        <v>0</v>
      </c>
      <c r="DZ17" s="3">
        <f>'Hasil (Rp)'!DZ17-Biaya!DZ17</f>
        <v>0</v>
      </c>
      <c r="EA17" s="3">
        <f>'Hasil (Rp)'!EA17-Biaya!EA17</f>
        <v>23450308674.487251</v>
      </c>
      <c r="EB17" s="7" t="s">
        <v>112</v>
      </c>
      <c r="EC17" s="2" t="s">
        <v>40</v>
      </c>
      <c r="ED17" s="3">
        <f>'Hasil (Rp)'!ED17-Biaya!ED17</f>
        <v>19999902453.262299</v>
      </c>
      <c r="EE17" s="3">
        <f>'Hasil (Rp)'!EE17-Biaya!EE17</f>
        <v>0</v>
      </c>
      <c r="EF17" s="3">
        <f>'Hasil (Rp)'!EF17-Biaya!EF17</f>
        <v>0</v>
      </c>
      <c r="EG17" s="3">
        <f>'Hasil (Rp)'!EG17-Biaya!EG17</f>
        <v>0</v>
      </c>
      <c r="EH17" s="3">
        <f>'Hasil (Rp)'!EH17-Biaya!EH17</f>
        <v>19999902453.262299</v>
      </c>
    </row>
    <row r="18" spans="1:138" ht="10.199999999999999" customHeight="1" x14ac:dyDescent="0.2">
      <c r="A18" s="7" t="s">
        <v>116</v>
      </c>
      <c r="B18" s="2" t="s">
        <v>44</v>
      </c>
      <c r="C18" s="3">
        <f t="shared" si="4"/>
        <v>756296048.23316801</v>
      </c>
      <c r="D18" s="3">
        <f t="shared" si="5"/>
        <v>89513668049.889496</v>
      </c>
      <c r="E18" s="3">
        <f t="shared" si="6"/>
        <v>477864374411.5144</v>
      </c>
      <c r="F18" s="3">
        <f t="shared" si="7"/>
        <v>276523056.5957433</v>
      </c>
      <c r="G18" s="3">
        <f t="shared" si="8"/>
        <v>3551027201.6977067</v>
      </c>
      <c r="H18" s="3">
        <f t="shared" si="9"/>
        <v>2866759863.255661</v>
      </c>
      <c r="I18" s="3">
        <f t="shared" si="10"/>
        <v>783076998.69889963</v>
      </c>
      <c r="J18" s="3">
        <f t="shared" si="11"/>
        <v>21379682559.90374</v>
      </c>
      <c r="K18" s="3">
        <f t="shared" si="12"/>
        <v>3142724815.95648</v>
      </c>
      <c r="L18" s="3">
        <f t="shared" si="13"/>
        <v>36569275730.363861</v>
      </c>
      <c r="M18" s="3">
        <f t="shared" si="14"/>
        <v>4911652124.4883232</v>
      </c>
      <c r="N18" s="3">
        <f t="shared" si="15"/>
        <v>660941559867.47046</v>
      </c>
      <c r="O18" s="3">
        <f t="shared" si="16"/>
        <v>1302556620728.0679</v>
      </c>
      <c r="P18" s="7" t="s">
        <v>116</v>
      </c>
      <c r="Q18" s="2" t="s">
        <v>44</v>
      </c>
      <c r="R18" s="3">
        <f t="shared" si="17"/>
        <v>756296048.23316801</v>
      </c>
      <c r="S18" s="3">
        <f t="shared" si="17"/>
        <v>89513668049.889496</v>
      </c>
      <c r="T18" s="3">
        <f t="shared" si="17"/>
        <v>477864374411.5144</v>
      </c>
      <c r="U18" s="3">
        <f t="shared" si="17"/>
        <v>276523056.5957433</v>
      </c>
      <c r="V18" s="3">
        <f t="shared" si="17"/>
        <v>3551027201.6977067</v>
      </c>
      <c r="W18" s="3">
        <f t="shared" si="17"/>
        <v>2866759863.255661</v>
      </c>
      <c r="X18" s="3">
        <f t="shared" si="17"/>
        <v>783076998.69889963</v>
      </c>
      <c r="Y18" s="3">
        <f t="shared" si="17"/>
        <v>21379682559.90374</v>
      </c>
      <c r="Z18" s="3">
        <f t="shared" si="17"/>
        <v>3142724815.95648</v>
      </c>
      <c r="AA18" s="3">
        <f t="shared" si="17"/>
        <v>36569275730.363861</v>
      </c>
      <c r="AB18" s="3">
        <f t="shared" si="18"/>
        <v>636703408736.10901</v>
      </c>
      <c r="AC18" s="7" t="s">
        <v>116</v>
      </c>
      <c r="AD18" s="2" t="s">
        <v>44</v>
      </c>
      <c r="AE18" s="3">
        <f t="shared" si="19"/>
        <v>4911652124.4883232</v>
      </c>
      <c r="AF18" s="3">
        <f t="shared" si="19"/>
        <v>660941559867.47046</v>
      </c>
      <c r="AG18" s="3">
        <f t="shared" si="20"/>
        <v>665853211991.95874</v>
      </c>
      <c r="AH18" s="7" t="s">
        <v>116</v>
      </c>
      <c r="AI18" s="2" t="s">
        <v>44</v>
      </c>
      <c r="AJ18" s="3">
        <f t="shared" si="21"/>
        <v>7613738546.2312126</v>
      </c>
      <c r="AK18" s="3">
        <f t="shared" si="1"/>
        <v>175416425380.35742</v>
      </c>
      <c r="AL18" s="3">
        <f t="shared" si="1"/>
        <v>680259035724.16711</v>
      </c>
      <c r="AM18" s="3">
        <f t="shared" si="1"/>
        <v>439267421077.31232</v>
      </c>
      <c r="AN18" s="3">
        <f t="shared" si="22"/>
        <v>1302556620728.0681</v>
      </c>
      <c r="AO18" s="7" t="s">
        <v>116</v>
      </c>
      <c r="AP18" s="2" t="s">
        <v>44</v>
      </c>
      <c r="AQ18" s="3">
        <f t="shared" si="23"/>
        <v>3497394829.9690456</v>
      </c>
      <c r="AR18" s="3">
        <f t="shared" si="2"/>
        <v>10396700075.415884</v>
      </c>
      <c r="AS18" s="3">
        <f t="shared" si="2"/>
        <v>576009400033.37158</v>
      </c>
      <c r="AT18" s="3">
        <f t="shared" si="2"/>
        <v>46799913797.352615</v>
      </c>
      <c r="AU18" s="3">
        <f t="shared" si="24"/>
        <v>636703408736.10913</v>
      </c>
      <c r="AV18" s="7" t="s">
        <v>116</v>
      </c>
      <c r="AW18" s="2" t="s">
        <v>44</v>
      </c>
      <c r="AX18" s="3">
        <f t="shared" si="25"/>
        <v>4116343716.2621675</v>
      </c>
      <c r="AY18" s="3">
        <f t="shared" si="3"/>
        <v>165019725304.94153</v>
      </c>
      <c r="AZ18" s="3">
        <f t="shared" si="3"/>
        <v>104249635690.79553</v>
      </c>
      <c r="BA18" s="3">
        <f t="shared" si="3"/>
        <v>392467507279.95972</v>
      </c>
      <c r="BB18" s="3">
        <f t="shared" si="26"/>
        <v>665853211991.95898</v>
      </c>
      <c r="BC18" s="7" t="s">
        <v>116</v>
      </c>
      <c r="BD18" s="2" t="s">
        <v>44</v>
      </c>
      <c r="BE18" s="3">
        <f>'Hasil (Rp)'!BE18-Biaya!BE18</f>
        <v>612576072.35253572</v>
      </c>
      <c r="BF18" s="3">
        <f>'Hasil (Rp)'!BF18-Biaya!BF18</f>
        <v>143719975.88063225</v>
      </c>
      <c r="BG18" s="3">
        <f>'Hasil (Rp)'!BG18-Biaya!BG18</f>
        <v>0</v>
      </c>
      <c r="BH18" s="3">
        <f>'Hasil (Rp)'!BH18-Biaya!BH18</f>
        <v>0</v>
      </c>
      <c r="BI18" s="3">
        <f>'Hasil (Rp)'!BI18-Biaya!BI18</f>
        <v>756296048.23316801</v>
      </c>
      <c r="BJ18" s="7" t="s">
        <v>116</v>
      </c>
      <c r="BK18" s="2" t="s">
        <v>44</v>
      </c>
      <c r="BL18" s="3">
        <f>'Hasil (Rp)'!BL18-Biaya!BL18</f>
        <v>413961410.80646133</v>
      </c>
      <c r="BM18" s="3">
        <f>'Hasil (Rp)'!BM18-Biaya!BM18</f>
        <v>6033585561.5206966</v>
      </c>
      <c r="BN18" s="3">
        <f>'Hasil (Rp)'!BN18-Biaya!BN18</f>
        <v>83066121077.562332</v>
      </c>
      <c r="BO18" s="3">
        <f>'Hasil (Rp)'!BO18-Biaya!BO18</f>
        <v>0</v>
      </c>
      <c r="BP18" s="3">
        <f>'Hasil (Rp)'!BP18-Biaya!BP18</f>
        <v>89513668049.889496</v>
      </c>
      <c r="BQ18" s="7" t="s">
        <v>116</v>
      </c>
      <c r="BR18" s="2" t="s">
        <v>44</v>
      </c>
      <c r="BS18" s="3">
        <f>'Hasil (Rp)'!BS18-Biaya!BS18</f>
        <v>0</v>
      </c>
      <c r="BT18" s="3">
        <f>'Hasil (Rp)'!BT18-Biaya!BT18</f>
        <v>747264824.95542979</v>
      </c>
      <c r="BU18" s="3">
        <f>'Hasil (Rp)'!BU18-Biaya!BU18</f>
        <v>475604801658.84558</v>
      </c>
      <c r="BV18" s="3">
        <f>'Hasil (Rp)'!BV18-Biaya!BV18</f>
        <v>1512307927.7133484</v>
      </c>
      <c r="BW18" s="3">
        <f>'Hasil (Rp)'!BW18-Biaya!BW18</f>
        <v>477864374411.5144</v>
      </c>
      <c r="BX18" s="7" t="s">
        <v>116</v>
      </c>
      <c r="BY18" s="2" t="s">
        <v>44</v>
      </c>
      <c r="BZ18" s="3">
        <f>'Hasil (Rp)'!BZ18-Biaya!BZ18</f>
        <v>175685542.62345785</v>
      </c>
      <c r="CA18" s="3">
        <f>'Hasil (Rp)'!CA18-Biaya!CA18</f>
        <v>71746245.882102728</v>
      </c>
      <c r="CB18" s="3">
        <f>'Hasil (Rp)'!CB18-Biaya!CB18</f>
        <v>29091268.090182707</v>
      </c>
      <c r="CC18" s="3">
        <f>'Hasil (Rp)'!CC18-Biaya!CC18</f>
        <v>0</v>
      </c>
      <c r="CD18" s="3">
        <f>'Hasil (Rp)'!CD18-Biaya!CD18</f>
        <v>276523056.5957433</v>
      </c>
      <c r="CE18" s="7" t="s">
        <v>116</v>
      </c>
      <c r="CF18" s="2" t="s">
        <v>44</v>
      </c>
      <c r="CG18" s="3">
        <f>'Hasil (Rp)'!CG18-Biaya!CG18</f>
        <v>787313282.4366169</v>
      </c>
      <c r="CH18" s="3">
        <f>'Hasil (Rp)'!CH18-Biaya!CH18</f>
        <v>2763713919.2610898</v>
      </c>
      <c r="CI18" s="3">
        <f>'Hasil (Rp)'!CI18-Biaya!CI18</f>
        <v>0</v>
      </c>
      <c r="CJ18" s="3">
        <f>'Hasil (Rp)'!CJ18-Biaya!CJ18</f>
        <v>0</v>
      </c>
      <c r="CK18" s="3">
        <f>'Hasil (Rp)'!CK18-Biaya!CK18</f>
        <v>3551027201.6977067</v>
      </c>
      <c r="CL18" s="7" t="s">
        <v>116</v>
      </c>
      <c r="CM18" s="2" t="s">
        <v>44</v>
      </c>
      <c r="CN18" s="3">
        <f>'Hasil (Rp)'!CN18-Biaya!CN18</f>
        <v>0</v>
      </c>
      <c r="CO18" s="3">
        <f>'Hasil (Rp)'!CO18-Biaya!CO18</f>
        <v>0</v>
      </c>
      <c r="CP18" s="3">
        <f>'Hasil (Rp)'!CP18-Biaya!CP18</f>
        <v>2866759863.255661</v>
      </c>
      <c r="CQ18" s="3">
        <f>'Hasil (Rp)'!CQ18-Biaya!CQ18</f>
        <v>0</v>
      </c>
      <c r="CR18" s="3">
        <f>'Hasil (Rp)'!CR18-Biaya!CR18</f>
        <v>2866759863.255661</v>
      </c>
      <c r="CS18" s="7" t="s">
        <v>116</v>
      </c>
      <c r="CT18" s="2" t="s">
        <v>44</v>
      </c>
      <c r="CU18" s="3">
        <f>'Hasil (Rp)'!CU18-Biaya!CU18</f>
        <v>517666389.12169385</v>
      </c>
      <c r="CV18" s="3">
        <f>'Hasil (Rp)'!CV18-Biaya!CV18</f>
        <v>265410609.57720578</v>
      </c>
      <c r="CW18" s="3">
        <f>'Hasil (Rp)'!CW18-Biaya!CW18</f>
        <v>0</v>
      </c>
      <c r="CX18" s="3">
        <f>'Hasil (Rp)'!CX18-Biaya!CX18</f>
        <v>0</v>
      </c>
      <c r="CY18" s="3">
        <f>'Hasil (Rp)'!CY18-Biaya!CY18</f>
        <v>783076998.69889963</v>
      </c>
      <c r="CZ18" s="7" t="s">
        <v>116</v>
      </c>
      <c r="DA18" s="2" t="s">
        <v>44</v>
      </c>
      <c r="DB18" s="3">
        <f>'Hasil (Rp)'!DB18-Biaya!DB18</f>
        <v>788935298.04878044</v>
      </c>
      <c r="DC18" s="3">
        <f>'Hasil (Rp)'!DC18-Biaya!DC18</f>
        <v>233425113.13991219</v>
      </c>
      <c r="DD18" s="3">
        <f>'Hasil (Rp)'!DD18-Biaya!DD18</f>
        <v>2120364404.7677879</v>
      </c>
      <c r="DE18" s="3">
        <f>'Hasil (Rp)'!DE18-Biaya!DE18</f>
        <v>0</v>
      </c>
      <c r="DF18" s="3">
        <f>'Hasil (Rp)'!DF18-Biaya!DF18</f>
        <v>3142724815.95648</v>
      </c>
      <c r="DG18" s="7" t="s">
        <v>116</v>
      </c>
      <c r="DH18" s="2" t="s">
        <v>44</v>
      </c>
      <c r="DI18" s="3">
        <f>'Hasil (Rp)'!DI18-Biaya!DI18</f>
        <v>105297221.96460146</v>
      </c>
      <c r="DJ18" s="3">
        <f>'Hasil (Rp)'!DJ18-Biaya!DJ18</f>
        <v>68742265.989997938</v>
      </c>
      <c r="DK18" s="3">
        <f>'Hasil (Rp)'!DK18-Biaya!DK18</f>
        <v>0</v>
      </c>
      <c r="DL18" s="3">
        <f>'Hasil (Rp)'!DL18-Biaya!DL18</f>
        <v>21205643071.949142</v>
      </c>
      <c r="DM18" s="3">
        <f>'Hasil (Rp)'!DM18-Biaya!DM18</f>
        <v>21379682559.90374</v>
      </c>
      <c r="DN18" s="7" t="s">
        <v>116</v>
      </c>
      <c r="DO18" s="2" t="s">
        <v>44</v>
      </c>
      <c r="DP18" s="3">
        <f>'Hasil (Rp)'!DP18-Biaya!DP18</f>
        <v>95959612.614897624</v>
      </c>
      <c r="DQ18" s="3">
        <f>'Hasil (Rp)'!DQ18-Biaya!DQ18</f>
        <v>69091559.208815724</v>
      </c>
      <c r="DR18" s="3">
        <f>'Hasil (Rp)'!DR18-Biaya!DR18</f>
        <v>12322261760.850031</v>
      </c>
      <c r="DS18" s="3">
        <f>'Hasil (Rp)'!DS18-Biaya!DS18</f>
        <v>24081962797.690125</v>
      </c>
      <c r="DT18" s="3">
        <f>'Hasil (Rp)'!DT18-Biaya!DT18</f>
        <v>36569275730.363861</v>
      </c>
      <c r="DU18" s="7" t="s">
        <v>116</v>
      </c>
      <c r="DV18" s="2" t="s">
        <v>44</v>
      </c>
      <c r="DW18" s="3">
        <f>'Hasil (Rp)'!DW18-Biaya!DW18</f>
        <v>118292053.39805824</v>
      </c>
      <c r="DX18" s="3">
        <f>'Hasil (Rp)'!DX18-Biaya!DX18</f>
        <v>164106124843.31732</v>
      </c>
      <c r="DY18" s="3">
        <f>'Hasil (Rp)'!DY18-Biaya!DY18</f>
        <v>104249635690.79553</v>
      </c>
      <c r="DZ18" s="3">
        <f>'Hasil (Rp)'!DZ18-Biaya!DZ18</f>
        <v>392467507279.95972</v>
      </c>
      <c r="EA18" s="3">
        <f>'Hasil (Rp)'!EA18-Biaya!EA18</f>
        <v>660941559867.47046</v>
      </c>
      <c r="EB18" s="7" t="s">
        <v>116</v>
      </c>
      <c r="EC18" s="2" t="s">
        <v>44</v>
      </c>
      <c r="ED18" s="3">
        <f>'Hasil (Rp)'!ED18-Biaya!ED18</f>
        <v>3998051662.864109</v>
      </c>
      <c r="EE18" s="3">
        <f>'Hasil (Rp)'!EE18-Biaya!EE18</f>
        <v>913600461.62421465</v>
      </c>
      <c r="EF18" s="3">
        <f>'Hasil (Rp)'!EF18-Biaya!EF18</f>
        <v>0</v>
      </c>
      <c r="EG18" s="3">
        <f>'Hasil (Rp)'!EG18-Biaya!EG18</f>
        <v>0</v>
      </c>
      <c r="EH18" s="3">
        <f>'Hasil (Rp)'!EH18-Biaya!EH18</f>
        <v>4911652124.4883232</v>
      </c>
    </row>
    <row r="19" spans="1:138" ht="10.199999999999999" customHeight="1" x14ac:dyDescent="0.2">
      <c r="A19" s="7" t="s">
        <v>107</v>
      </c>
      <c r="B19" s="2" t="s">
        <v>35</v>
      </c>
      <c r="C19" s="3">
        <f t="shared" si="4"/>
        <v>0</v>
      </c>
      <c r="D19" s="3">
        <f t="shared" si="5"/>
        <v>1814126.3670207611</v>
      </c>
      <c r="E19" s="3">
        <f t="shared" si="6"/>
        <v>0</v>
      </c>
      <c r="F19" s="3">
        <f t="shared" si="7"/>
        <v>0</v>
      </c>
      <c r="G19" s="3">
        <f t="shared" si="8"/>
        <v>0</v>
      </c>
      <c r="H19" s="3">
        <f t="shared" si="9"/>
        <v>0</v>
      </c>
      <c r="I19" s="3">
        <f t="shared" si="10"/>
        <v>533946968.86945677</v>
      </c>
      <c r="J19" s="3">
        <f t="shared" si="11"/>
        <v>0</v>
      </c>
      <c r="K19" s="3">
        <f t="shared" si="12"/>
        <v>1297275.8960277671</v>
      </c>
      <c r="L19" s="3">
        <f t="shared" si="13"/>
        <v>64634709473.33905</v>
      </c>
      <c r="M19" s="3">
        <f t="shared" si="14"/>
        <v>9346331806.111412</v>
      </c>
      <c r="N19" s="3">
        <f t="shared" si="15"/>
        <v>11632899152.092472</v>
      </c>
      <c r="O19" s="3">
        <f t="shared" si="16"/>
        <v>86150998802.675446</v>
      </c>
      <c r="P19" s="7" t="s">
        <v>107</v>
      </c>
      <c r="Q19" s="2" t="s">
        <v>35</v>
      </c>
      <c r="R19" s="3">
        <f t="shared" si="17"/>
        <v>0</v>
      </c>
      <c r="S19" s="3">
        <f t="shared" si="17"/>
        <v>1814126.3670207611</v>
      </c>
      <c r="T19" s="3">
        <f t="shared" si="17"/>
        <v>0</v>
      </c>
      <c r="U19" s="3">
        <f t="shared" si="17"/>
        <v>0</v>
      </c>
      <c r="V19" s="3">
        <f t="shared" si="17"/>
        <v>0</v>
      </c>
      <c r="W19" s="3">
        <f t="shared" si="17"/>
        <v>0</v>
      </c>
      <c r="X19" s="3">
        <f t="shared" si="17"/>
        <v>533946968.86945677</v>
      </c>
      <c r="Y19" s="3">
        <f t="shared" si="17"/>
        <v>0</v>
      </c>
      <c r="Z19" s="3">
        <f t="shared" si="17"/>
        <v>1297275.8960277671</v>
      </c>
      <c r="AA19" s="3">
        <f t="shared" si="17"/>
        <v>64634709473.33905</v>
      </c>
      <c r="AB19" s="3">
        <f t="shared" si="18"/>
        <v>65171767844.471558</v>
      </c>
      <c r="AC19" s="7" t="s">
        <v>107</v>
      </c>
      <c r="AD19" s="2" t="s">
        <v>35</v>
      </c>
      <c r="AE19" s="3">
        <f t="shared" si="19"/>
        <v>9346331806.111412</v>
      </c>
      <c r="AF19" s="3">
        <f t="shared" si="19"/>
        <v>11632899152.092472</v>
      </c>
      <c r="AG19" s="3">
        <f t="shared" si="20"/>
        <v>20979230958.203884</v>
      </c>
      <c r="AH19" s="7" t="s">
        <v>107</v>
      </c>
      <c r="AI19" s="2" t="s">
        <v>35</v>
      </c>
      <c r="AJ19" s="3">
        <f t="shared" si="21"/>
        <v>73493936170.346359</v>
      </c>
      <c r="AK19" s="3">
        <f t="shared" si="1"/>
        <v>3133897023.3219976</v>
      </c>
      <c r="AL19" s="3">
        <f t="shared" si="1"/>
        <v>10719400.506330281</v>
      </c>
      <c r="AM19" s="3">
        <f t="shared" si="1"/>
        <v>9512446208.5007935</v>
      </c>
      <c r="AN19" s="3">
        <f t="shared" si="22"/>
        <v>86150998802.675476</v>
      </c>
      <c r="AO19" s="7" t="s">
        <v>107</v>
      </c>
      <c r="AP19" s="2" t="s">
        <v>35</v>
      </c>
      <c r="AQ19" s="3">
        <f t="shared" si="23"/>
        <v>54540235306.441772</v>
      </c>
      <c r="AR19" s="3">
        <f t="shared" si="2"/>
        <v>1108366929.0227034</v>
      </c>
      <c r="AS19" s="3">
        <f t="shared" si="2"/>
        <v>10719400.506330281</v>
      </c>
      <c r="AT19" s="3">
        <f t="shared" si="2"/>
        <v>9512446208.5007935</v>
      </c>
      <c r="AU19" s="3">
        <f t="shared" si="24"/>
        <v>65171767844.471603</v>
      </c>
      <c r="AV19" s="7" t="s">
        <v>107</v>
      </c>
      <c r="AW19" s="2" t="s">
        <v>35</v>
      </c>
      <c r="AX19" s="3">
        <f t="shared" si="25"/>
        <v>18953700863.904587</v>
      </c>
      <c r="AY19" s="3">
        <f t="shared" si="3"/>
        <v>2025530094.2992945</v>
      </c>
      <c r="AZ19" s="3">
        <f t="shared" si="3"/>
        <v>0</v>
      </c>
      <c r="BA19" s="3">
        <f t="shared" si="3"/>
        <v>0</v>
      </c>
      <c r="BB19" s="3">
        <f t="shared" si="26"/>
        <v>20979230958.20388</v>
      </c>
      <c r="BC19" s="7" t="s">
        <v>107</v>
      </c>
      <c r="BD19" s="2" t="s">
        <v>35</v>
      </c>
      <c r="BE19" s="3">
        <f>'Hasil (Rp)'!BE19-Biaya!BE19</f>
        <v>0</v>
      </c>
      <c r="BF19" s="3">
        <f>'Hasil (Rp)'!BF19-Biaya!BF19</f>
        <v>0</v>
      </c>
      <c r="BG19" s="3">
        <f>'Hasil (Rp)'!BG19-Biaya!BG19</f>
        <v>0</v>
      </c>
      <c r="BH19" s="3">
        <f>'Hasil (Rp)'!BH19-Biaya!BH19</f>
        <v>0</v>
      </c>
      <c r="BI19" s="3">
        <f>'Hasil (Rp)'!BI19-Biaya!BI19</f>
        <v>0</v>
      </c>
      <c r="BJ19" s="7" t="s">
        <v>107</v>
      </c>
      <c r="BK19" s="2" t="s">
        <v>35</v>
      </c>
      <c r="BL19" s="3">
        <f>'Hasil (Rp)'!BL19-Biaya!BL19</f>
        <v>1814126.3670207611</v>
      </c>
      <c r="BM19" s="3">
        <f>'Hasil (Rp)'!BM19-Biaya!BM19</f>
        <v>0</v>
      </c>
      <c r="BN19" s="3">
        <f>'Hasil (Rp)'!BN19-Biaya!BN19</f>
        <v>0</v>
      </c>
      <c r="BO19" s="3">
        <f>'Hasil (Rp)'!BO19-Biaya!BO19</f>
        <v>0</v>
      </c>
      <c r="BP19" s="3">
        <f>'Hasil (Rp)'!BP19-Biaya!BP19</f>
        <v>1814126.3670207611</v>
      </c>
      <c r="BQ19" s="7" t="s">
        <v>107</v>
      </c>
      <c r="BR19" s="2" t="s">
        <v>35</v>
      </c>
      <c r="BS19" s="3">
        <f>'Hasil (Rp)'!BS19-Biaya!BS19</f>
        <v>0</v>
      </c>
      <c r="BT19" s="3">
        <f>'Hasil (Rp)'!BT19-Biaya!BT19</f>
        <v>0</v>
      </c>
      <c r="BU19" s="3">
        <f>'Hasil (Rp)'!BU19-Biaya!BU19</f>
        <v>0</v>
      </c>
      <c r="BV19" s="3">
        <f>'Hasil (Rp)'!BV19-Biaya!BV19</f>
        <v>0</v>
      </c>
      <c r="BW19" s="3">
        <f>'Hasil (Rp)'!BW19-Biaya!BW19</f>
        <v>0</v>
      </c>
      <c r="BX19" s="7" t="s">
        <v>107</v>
      </c>
      <c r="BY19" s="2" t="s">
        <v>35</v>
      </c>
      <c r="BZ19" s="3">
        <f>'Hasil (Rp)'!BZ19-Biaya!BZ19</f>
        <v>0</v>
      </c>
      <c r="CA19" s="3">
        <f>'Hasil (Rp)'!CA19-Biaya!CA19</f>
        <v>0</v>
      </c>
      <c r="CB19" s="3">
        <f>'Hasil (Rp)'!CB19-Biaya!CB19</f>
        <v>0</v>
      </c>
      <c r="CC19" s="3">
        <f>'Hasil (Rp)'!CC19-Biaya!CC19</f>
        <v>0</v>
      </c>
      <c r="CD19" s="3">
        <f>'Hasil (Rp)'!CD19-Biaya!CD19</f>
        <v>0</v>
      </c>
      <c r="CE19" s="7" t="s">
        <v>107</v>
      </c>
      <c r="CF19" s="2" t="s">
        <v>35</v>
      </c>
      <c r="CG19" s="3">
        <f>'Hasil (Rp)'!CG19-Biaya!CG19</f>
        <v>0</v>
      </c>
      <c r="CH19" s="3">
        <f>'Hasil (Rp)'!CH19-Biaya!CH19</f>
        <v>0</v>
      </c>
      <c r="CI19" s="3">
        <f>'Hasil (Rp)'!CI19-Biaya!CI19</f>
        <v>0</v>
      </c>
      <c r="CJ19" s="3">
        <f>'Hasil (Rp)'!CJ19-Biaya!CJ19</f>
        <v>0</v>
      </c>
      <c r="CK19" s="3">
        <f>'Hasil (Rp)'!CK19-Biaya!CK19</f>
        <v>0</v>
      </c>
      <c r="CL19" s="7" t="s">
        <v>107</v>
      </c>
      <c r="CM19" s="2" t="s">
        <v>35</v>
      </c>
      <c r="CN19" s="3">
        <f>'Hasil (Rp)'!CN19-Biaya!CN19</f>
        <v>0</v>
      </c>
      <c r="CO19" s="3">
        <f>'Hasil (Rp)'!CO19-Biaya!CO19</f>
        <v>0</v>
      </c>
      <c r="CP19" s="3">
        <f>'Hasil (Rp)'!CP19-Biaya!CP19</f>
        <v>0</v>
      </c>
      <c r="CQ19" s="3">
        <f>'Hasil (Rp)'!CQ19-Biaya!CQ19</f>
        <v>0</v>
      </c>
      <c r="CR19" s="3">
        <f>'Hasil (Rp)'!CR19-Biaya!CR19</f>
        <v>0</v>
      </c>
      <c r="CS19" s="7" t="s">
        <v>107</v>
      </c>
      <c r="CT19" s="2" t="s">
        <v>35</v>
      </c>
      <c r="CU19" s="3">
        <f>'Hasil (Rp)'!CU19-Biaya!CU19</f>
        <v>507272573.02979672</v>
      </c>
      <c r="CV19" s="3">
        <f>'Hasil (Rp)'!CV19-Biaya!CV19</f>
        <v>26674395.839660082</v>
      </c>
      <c r="CW19" s="3">
        <f>'Hasil (Rp)'!CW19-Biaya!CW19</f>
        <v>0</v>
      </c>
      <c r="CX19" s="3">
        <f>'Hasil (Rp)'!CX19-Biaya!CX19</f>
        <v>0</v>
      </c>
      <c r="CY19" s="3">
        <f>'Hasil (Rp)'!CY19-Biaya!CY19</f>
        <v>533946968.86945677</v>
      </c>
      <c r="CZ19" s="7" t="s">
        <v>107</v>
      </c>
      <c r="DA19" s="2" t="s">
        <v>35</v>
      </c>
      <c r="DB19" s="3">
        <f>'Hasil (Rp)'!DB19-Biaya!DB19</f>
        <v>1297275.8960277671</v>
      </c>
      <c r="DC19" s="3">
        <f>'Hasil (Rp)'!DC19-Biaya!DC19</f>
        <v>0</v>
      </c>
      <c r="DD19" s="3">
        <f>'Hasil (Rp)'!DD19-Biaya!DD19</f>
        <v>0</v>
      </c>
      <c r="DE19" s="3">
        <f>'Hasil (Rp)'!DE19-Biaya!DE19</f>
        <v>0</v>
      </c>
      <c r="DF19" s="3">
        <f>'Hasil (Rp)'!DF19-Biaya!DF19</f>
        <v>1297275.8960277671</v>
      </c>
      <c r="DG19" s="7" t="s">
        <v>107</v>
      </c>
      <c r="DH19" s="2" t="s">
        <v>35</v>
      </c>
      <c r="DI19" s="3">
        <f>'Hasil (Rp)'!DI19-Biaya!DI19</f>
        <v>0</v>
      </c>
      <c r="DJ19" s="3">
        <f>'Hasil (Rp)'!DJ19-Biaya!DJ19</f>
        <v>0</v>
      </c>
      <c r="DK19" s="3">
        <f>'Hasil (Rp)'!DK19-Biaya!DK19</f>
        <v>0</v>
      </c>
      <c r="DL19" s="3">
        <f>'Hasil (Rp)'!DL19-Biaya!DL19</f>
        <v>0</v>
      </c>
      <c r="DM19" s="3">
        <f>'Hasil (Rp)'!DM19-Biaya!DM19</f>
        <v>0</v>
      </c>
      <c r="DN19" s="7" t="s">
        <v>107</v>
      </c>
      <c r="DO19" s="2" t="s">
        <v>35</v>
      </c>
      <c r="DP19" s="3">
        <f>'Hasil (Rp)'!DP19-Biaya!DP19</f>
        <v>54029851331.148926</v>
      </c>
      <c r="DQ19" s="3">
        <f>'Hasil (Rp)'!DQ19-Biaya!DQ19</f>
        <v>1081692533.1830432</v>
      </c>
      <c r="DR19" s="3">
        <f>'Hasil (Rp)'!DR19-Biaya!DR19</f>
        <v>10719400.506330281</v>
      </c>
      <c r="DS19" s="3">
        <f>'Hasil (Rp)'!DS19-Biaya!DS19</f>
        <v>9512446208.5007935</v>
      </c>
      <c r="DT19" s="3">
        <f>'Hasil (Rp)'!DT19-Biaya!DT19</f>
        <v>64634709473.33905</v>
      </c>
      <c r="DU19" s="7" t="s">
        <v>107</v>
      </c>
      <c r="DV19" s="2" t="s">
        <v>35</v>
      </c>
      <c r="DW19" s="3">
        <f>'Hasil (Rp)'!DW19-Biaya!DW19</f>
        <v>10523191278.581276</v>
      </c>
      <c r="DX19" s="3">
        <f>'Hasil (Rp)'!DX19-Biaya!DX19</f>
        <v>1109707873.5111952</v>
      </c>
      <c r="DY19" s="3">
        <f>'Hasil (Rp)'!DY19-Biaya!DY19</f>
        <v>0</v>
      </c>
      <c r="DZ19" s="3">
        <f>'Hasil (Rp)'!DZ19-Biaya!DZ19</f>
        <v>0</v>
      </c>
      <c r="EA19" s="3">
        <f>'Hasil (Rp)'!EA19-Biaya!EA19</f>
        <v>11632899152.092472</v>
      </c>
      <c r="EB19" s="7" t="s">
        <v>107</v>
      </c>
      <c r="EC19" s="2" t="s">
        <v>35</v>
      </c>
      <c r="ED19" s="3">
        <f>'Hasil (Rp)'!ED19-Biaya!ED19</f>
        <v>8430509585.3233109</v>
      </c>
      <c r="EE19" s="3">
        <f>'Hasil (Rp)'!EE19-Biaya!EE19</f>
        <v>915822220.78809929</v>
      </c>
      <c r="EF19" s="3">
        <f>'Hasil (Rp)'!EF19-Biaya!EF19</f>
        <v>0</v>
      </c>
      <c r="EG19" s="3">
        <f>'Hasil (Rp)'!EG19-Biaya!EG19</f>
        <v>0</v>
      </c>
      <c r="EH19" s="3">
        <f>'Hasil (Rp)'!EH19-Biaya!EH19</f>
        <v>9346331806.111412</v>
      </c>
    </row>
    <row r="20" spans="1:138" ht="10.199999999999999" customHeight="1" x14ac:dyDescent="0.2">
      <c r="A20" s="7" t="s">
        <v>100</v>
      </c>
      <c r="B20" s="2" t="s">
        <v>28</v>
      </c>
      <c r="C20" s="3">
        <f t="shared" si="4"/>
        <v>0</v>
      </c>
      <c r="D20" s="3">
        <f t="shared" si="5"/>
        <v>10754356.399873558</v>
      </c>
      <c r="E20" s="3">
        <f t="shared" si="6"/>
        <v>0</v>
      </c>
      <c r="F20" s="3">
        <f t="shared" si="7"/>
        <v>0</v>
      </c>
      <c r="G20" s="3">
        <f t="shared" si="8"/>
        <v>800583410.4466691</v>
      </c>
      <c r="H20" s="3">
        <f t="shared" si="9"/>
        <v>0</v>
      </c>
      <c r="I20" s="3">
        <f t="shared" si="10"/>
        <v>82558632.749664873</v>
      </c>
      <c r="J20" s="3">
        <f t="shared" si="11"/>
        <v>0</v>
      </c>
      <c r="K20" s="3">
        <f t="shared" si="12"/>
        <v>44385857.852002457</v>
      </c>
      <c r="L20" s="3">
        <f t="shared" si="13"/>
        <v>68014278.732325509</v>
      </c>
      <c r="M20" s="3">
        <f t="shared" si="14"/>
        <v>2322468016.2615051</v>
      </c>
      <c r="N20" s="3">
        <f t="shared" si="15"/>
        <v>383636737.06175518</v>
      </c>
      <c r="O20" s="3">
        <f t="shared" si="16"/>
        <v>3712401289.5037961</v>
      </c>
      <c r="P20" s="7" t="s">
        <v>100</v>
      </c>
      <c r="Q20" s="2" t="s">
        <v>28</v>
      </c>
      <c r="R20" s="3">
        <f t="shared" si="17"/>
        <v>0</v>
      </c>
      <c r="S20" s="3">
        <f t="shared" si="17"/>
        <v>10754356.399873558</v>
      </c>
      <c r="T20" s="3">
        <f t="shared" si="17"/>
        <v>0</v>
      </c>
      <c r="U20" s="3">
        <f t="shared" si="17"/>
        <v>0</v>
      </c>
      <c r="V20" s="3">
        <f t="shared" si="17"/>
        <v>800583410.4466691</v>
      </c>
      <c r="W20" s="3">
        <f t="shared" si="17"/>
        <v>0</v>
      </c>
      <c r="X20" s="3">
        <f t="shared" si="17"/>
        <v>82558632.749664873</v>
      </c>
      <c r="Y20" s="3">
        <f t="shared" si="17"/>
        <v>0</v>
      </c>
      <c r="Z20" s="3">
        <f t="shared" si="17"/>
        <v>44385857.852002457</v>
      </c>
      <c r="AA20" s="3">
        <f t="shared" si="17"/>
        <v>68014278.732325509</v>
      </c>
      <c r="AB20" s="3">
        <f t="shared" si="18"/>
        <v>1006296536.1805357</v>
      </c>
      <c r="AC20" s="7" t="s">
        <v>100</v>
      </c>
      <c r="AD20" s="2" t="s">
        <v>28</v>
      </c>
      <c r="AE20" s="3">
        <f t="shared" si="19"/>
        <v>2322468016.2615051</v>
      </c>
      <c r="AF20" s="3">
        <f t="shared" si="19"/>
        <v>383636737.06175518</v>
      </c>
      <c r="AG20" s="3">
        <f t="shared" si="20"/>
        <v>2706104753.3232603</v>
      </c>
      <c r="AH20" s="7" t="s">
        <v>100</v>
      </c>
      <c r="AI20" s="2" t="s">
        <v>28</v>
      </c>
      <c r="AJ20" s="3">
        <f t="shared" si="21"/>
        <v>2501444666.067709</v>
      </c>
      <c r="AK20" s="3">
        <f t="shared" si="21"/>
        <v>981960019.92430139</v>
      </c>
      <c r="AL20" s="3">
        <f t="shared" si="21"/>
        <v>228996603.51178631</v>
      </c>
      <c r="AM20" s="3">
        <f t="shared" si="21"/>
        <v>0</v>
      </c>
      <c r="AN20" s="3">
        <f t="shared" si="22"/>
        <v>3712401289.5037966</v>
      </c>
      <c r="AO20" s="7" t="s">
        <v>100</v>
      </c>
      <c r="AP20" s="2" t="s">
        <v>28</v>
      </c>
      <c r="AQ20" s="3">
        <f t="shared" si="23"/>
        <v>216230393.12049359</v>
      </c>
      <c r="AR20" s="3">
        <f t="shared" si="23"/>
        <v>790066143.0600419</v>
      </c>
      <c r="AS20" s="3">
        <f t="shared" si="23"/>
        <v>0</v>
      </c>
      <c r="AT20" s="3">
        <f t="shared" si="23"/>
        <v>0</v>
      </c>
      <c r="AU20" s="3">
        <f t="shared" si="24"/>
        <v>1006296536.1805356</v>
      </c>
      <c r="AV20" s="7" t="s">
        <v>100</v>
      </c>
      <c r="AW20" s="2" t="s">
        <v>28</v>
      </c>
      <c r="AX20" s="3">
        <f t="shared" si="25"/>
        <v>2285214272.9472156</v>
      </c>
      <c r="AY20" s="3">
        <f t="shared" si="25"/>
        <v>191893876.86425954</v>
      </c>
      <c r="AZ20" s="3">
        <f t="shared" si="25"/>
        <v>228996603.51178631</v>
      </c>
      <c r="BA20" s="3">
        <f t="shared" si="25"/>
        <v>0</v>
      </c>
      <c r="BB20" s="3">
        <f t="shared" si="26"/>
        <v>2706104753.3232617</v>
      </c>
      <c r="BC20" s="7" t="s">
        <v>100</v>
      </c>
      <c r="BD20" s="2" t="s">
        <v>28</v>
      </c>
      <c r="BE20" s="3">
        <f>'Hasil (Rp)'!BE20-Biaya!BE20</f>
        <v>0</v>
      </c>
      <c r="BF20" s="3">
        <f>'Hasil (Rp)'!BF20-Biaya!BF20</f>
        <v>0</v>
      </c>
      <c r="BG20" s="3">
        <f>'Hasil (Rp)'!BG20-Biaya!BG20</f>
        <v>0</v>
      </c>
      <c r="BH20" s="3">
        <f>'Hasil (Rp)'!BH20-Biaya!BH20</f>
        <v>0</v>
      </c>
      <c r="BI20" s="3">
        <f>'Hasil (Rp)'!BI20-Biaya!BI20</f>
        <v>0</v>
      </c>
      <c r="BJ20" s="7" t="s">
        <v>100</v>
      </c>
      <c r="BK20" s="2" t="s">
        <v>28</v>
      </c>
      <c r="BL20" s="3">
        <f>'Hasil (Rp)'!BL20-Biaya!BL20</f>
        <v>10754356.399873558</v>
      </c>
      <c r="BM20" s="3">
        <f>'Hasil (Rp)'!BM20-Biaya!BM20</f>
        <v>0</v>
      </c>
      <c r="BN20" s="3">
        <f>'Hasil (Rp)'!BN20-Biaya!BN20</f>
        <v>0</v>
      </c>
      <c r="BO20" s="3">
        <f>'Hasil (Rp)'!BO20-Biaya!BO20</f>
        <v>0</v>
      </c>
      <c r="BP20" s="3">
        <f>'Hasil (Rp)'!BP20-Biaya!BP20</f>
        <v>10754356.399873558</v>
      </c>
      <c r="BQ20" s="7" t="s">
        <v>100</v>
      </c>
      <c r="BR20" s="2" t="s">
        <v>28</v>
      </c>
      <c r="BS20" s="3">
        <f>'Hasil (Rp)'!BS20-Biaya!BS20</f>
        <v>0</v>
      </c>
      <c r="BT20" s="3">
        <f>'Hasil (Rp)'!BT20-Biaya!BT20</f>
        <v>0</v>
      </c>
      <c r="BU20" s="3">
        <f>'Hasil (Rp)'!BU20-Biaya!BU20</f>
        <v>0</v>
      </c>
      <c r="BV20" s="3">
        <f>'Hasil (Rp)'!BV20-Biaya!BV20</f>
        <v>0</v>
      </c>
      <c r="BW20" s="3">
        <f>'Hasil (Rp)'!BW20-Biaya!BW20</f>
        <v>0</v>
      </c>
      <c r="BX20" s="7" t="s">
        <v>100</v>
      </c>
      <c r="BY20" s="2" t="s">
        <v>28</v>
      </c>
      <c r="BZ20" s="3">
        <f>'Hasil (Rp)'!BZ20-Biaya!BZ20</f>
        <v>0</v>
      </c>
      <c r="CA20" s="3">
        <f>'Hasil (Rp)'!CA20-Biaya!CA20</f>
        <v>0</v>
      </c>
      <c r="CB20" s="3">
        <f>'Hasil (Rp)'!CB20-Biaya!CB20</f>
        <v>0</v>
      </c>
      <c r="CC20" s="3">
        <f>'Hasil (Rp)'!CC20-Biaya!CC20</f>
        <v>0</v>
      </c>
      <c r="CD20" s="3">
        <f>'Hasil (Rp)'!CD20-Biaya!CD20</f>
        <v>0</v>
      </c>
      <c r="CE20" s="7" t="s">
        <v>100</v>
      </c>
      <c r="CF20" s="2" t="s">
        <v>28</v>
      </c>
      <c r="CG20" s="3">
        <f>'Hasil (Rp)'!CG20-Biaya!CG20</f>
        <v>10517267.386627216</v>
      </c>
      <c r="CH20" s="3">
        <f>'Hasil (Rp)'!CH20-Biaya!CH20</f>
        <v>790066143.0600419</v>
      </c>
      <c r="CI20" s="3">
        <f>'Hasil (Rp)'!CI20-Biaya!CI20</f>
        <v>0</v>
      </c>
      <c r="CJ20" s="3">
        <f>'Hasil (Rp)'!CJ20-Biaya!CJ20</f>
        <v>0</v>
      </c>
      <c r="CK20" s="3">
        <f>'Hasil (Rp)'!CK20-Biaya!CK20</f>
        <v>800583410.4466691</v>
      </c>
      <c r="CL20" s="7" t="s">
        <v>100</v>
      </c>
      <c r="CM20" s="2" t="s">
        <v>28</v>
      </c>
      <c r="CN20" s="3">
        <f>'Hasil (Rp)'!CN20-Biaya!CN20</f>
        <v>0</v>
      </c>
      <c r="CO20" s="3">
        <f>'Hasil (Rp)'!CO20-Biaya!CO20</f>
        <v>0</v>
      </c>
      <c r="CP20" s="3">
        <f>'Hasil (Rp)'!CP20-Biaya!CP20</f>
        <v>0</v>
      </c>
      <c r="CQ20" s="3">
        <f>'Hasil (Rp)'!CQ20-Biaya!CQ20</f>
        <v>0</v>
      </c>
      <c r="CR20" s="3">
        <f>'Hasil (Rp)'!CR20-Biaya!CR20</f>
        <v>0</v>
      </c>
      <c r="CS20" s="7" t="s">
        <v>100</v>
      </c>
      <c r="CT20" s="2" t="s">
        <v>28</v>
      </c>
      <c r="CU20" s="3">
        <f>'Hasil (Rp)'!CU20-Biaya!CU20</f>
        <v>82558632.749664873</v>
      </c>
      <c r="CV20" s="3">
        <f>'Hasil (Rp)'!CV20-Biaya!CV20</f>
        <v>0</v>
      </c>
      <c r="CW20" s="3">
        <f>'Hasil (Rp)'!CW20-Biaya!CW20</f>
        <v>0</v>
      </c>
      <c r="CX20" s="3">
        <f>'Hasil (Rp)'!CX20-Biaya!CX20</f>
        <v>0</v>
      </c>
      <c r="CY20" s="3">
        <f>'Hasil (Rp)'!CY20-Biaya!CY20</f>
        <v>82558632.749664873</v>
      </c>
      <c r="CZ20" s="7" t="s">
        <v>100</v>
      </c>
      <c r="DA20" s="2" t="s">
        <v>28</v>
      </c>
      <c r="DB20" s="3">
        <f>'Hasil (Rp)'!DB20-Biaya!DB20</f>
        <v>44385857.852002457</v>
      </c>
      <c r="DC20" s="3">
        <f>'Hasil (Rp)'!DC20-Biaya!DC20</f>
        <v>0</v>
      </c>
      <c r="DD20" s="3">
        <f>'Hasil (Rp)'!DD20-Biaya!DD20</f>
        <v>0</v>
      </c>
      <c r="DE20" s="3">
        <f>'Hasil (Rp)'!DE20-Biaya!DE20</f>
        <v>0</v>
      </c>
      <c r="DF20" s="3">
        <f>'Hasil (Rp)'!DF20-Biaya!DF20</f>
        <v>44385857.852002457</v>
      </c>
      <c r="DG20" s="7" t="s">
        <v>100</v>
      </c>
      <c r="DH20" s="2" t="s">
        <v>28</v>
      </c>
      <c r="DI20" s="3">
        <f>'Hasil (Rp)'!DI20-Biaya!DI20</f>
        <v>0</v>
      </c>
      <c r="DJ20" s="3">
        <f>'Hasil (Rp)'!DJ20-Biaya!DJ20</f>
        <v>0</v>
      </c>
      <c r="DK20" s="3">
        <f>'Hasil (Rp)'!DK20-Biaya!DK20</f>
        <v>0</v>
      </c>
      <c r="DL20" s="3">
        <f>'Hasil (Rp)'!DL20-Biaya!DL20</f>
        <v>0</v>
      </c>
      <c r="DM20" s="3">
        <f>'Hasil (Rp)'!DM20-Biaya!DM20</f>
        <v>0</v>
      </c>
      <c r="DN20" s="7" t="s">
        <v>100</v>
      </c>
      <c r="DO20" s="2" t="s">
        <v>28</v>
      </c>
      <c r="DP20" s="3">
        <f>'Hasil (Rp)'!DP20-Biaya!DP20</f>
        <v>68014278.732325509</v>
      </c>
      <c r="DQ20" s="3">
        <f>'Hasil (Rp)'!DQ20-Biaya!DQ20</f>
        <v>0</v>
      </c>
      <c r="DR20" s="3">
        <f>'Hasil (Rp)'!DR20-Biaya!DR20</f>
        <v>0</v>
      </c>
      <c r="DS20" s="3">
        <f>'Hasil (Rp)'!DS20-Biaya!DS20</f>
        <v>0</v>
      </c>
      <c r="DT20" s="3">
        <f>'Hasil (Rp)'!DT20-Biaya!DT20</f>
        <v>68014278.732325509</v>
      </c>
      <c r="DU20" s="7" t="s">
        <v>100</v>
      </c>
      <c r="DV20" s="2" t="s">
        <v>28</v>
      </c>
      <c r="DW20" s="3">
        <f>'Hasil (Rp)'!DW20-Biaya!DW20</f>
        <v>13826261.163282782</v>
      </c>
      <c r="DX20" s="3">
        <f>'Hasil (Rp)'!DX20-Biaya!DX20</f>
        <v>145449159.50649917</v>
      </c>
      <c r="DY20" s="3">
        <f>'Hasil (Rp)'!DY20-Biaya!DY20</f>
        <v>224361316.39197326</v>
      </c>
      <c r="DZ20" s="3">
        <f>'Hasil (Rp)'!DZ20-Biaya!DZ20</f>
        <v>0</v>
      </c>
      <c r="EA20" s="3">
        <f>'Hasil (Rp)'!EA20-Biaya!EA20</f>
        <v>383636737.06175518</v>
      </c>
      <c r="EB20" s="7" t="s">
        <v>100</v>
      </c>
      <c r="EC20" s="2" t="s">
        <v>28</v>
      </c>
      <c r="ED20" s="3">
        <f>'Hasil (Rp)'!ED20-Biaya!ED20</f>
        <v>2271388011.7839327</v>
      </c>
      <c r="EE20" s="3">
        <f>'Hasil (Rp)'!EE20-Biaya!EE20</f>
        <v>46444717.35776037</v>
      </c>
      <c r="EF20" s="3">
        <f>'Hasil (Rp)'!EF20-Biaya!EF20</f>
        <v>4635287.1198130473</v>
      </c>
      <c r="EG20" s="3">
        <f>'Hasil (Rp)'!EG20-Biaya!EG20</f>
        <v>0</v>
      </c>
      <c r="EH20" s="3">
        <f>'Hasil (Rp)'!EH20-Biaya!EH20</f>
        <v>2322468016.2615051</v>
      </c>
    </row>
    <row r="21" spans="1:138" ht="10.199999999999999" customHeight="1" x14ac:dyDescent="0.2">
      <c r="A21" s="7" t="s">
        <v>108</v>
      </c>
      <c r="B21" s="2" t="s">
        <v>36</v>
      </c>
      <c r="C21" s="3">
        <f t="shared" si="4"/>
        <v>0</v>
      </c>
      <c r="D21" s="3">
        <f t="shared" si="5"/>
        <v>0</v>
      </c>
      <c r="E21" s="3">
        <f t="shared" si="6"/>
        <v>0</v>
      </c>
      <c r="F21" s="3">
        <f t="shared" si="7"/>
        <v>0</v>
      </c>
      <c r="G21" s="3">
        <f t="shared" si="8"/>
        <v>0</v>
      </c>
      <c r="H21" s="3">
        <f t="shared" si="9"/>
        <v>0</v>
      </c>
      <c r="I21" s="3">
        <f t="shared" si="10"/>
        <v>0</v>
      </c>
      <c r="J21" s="3">
        <f t="shared" si="11"/>
        <v>0</v>
      </c>
      <c r="K21" s="3">
        <f t="shared" si="12"/>
        <v>0</v>
      </c>
      <c r="L21" s="3">
        <f t="shared" si="13"/>
        <v>32139573.169747926</v>
      </c>
      <c r="M21" s="3">
        <f t="shared" si="14"/>
        <v>1675267103.3801851</v>
      </c>
      <c r="N21" s="3">
        <f t="shared" si="15"/>
        <v>3229274216.534616</v>
      </c>
      <c r="O21" s="3">
        <f t="shared" si="16"/>
        <v>4936680893.084549</v>
      </c>
      <c r="P21" s="7" t="s">
        <v>108</v>
      </c>
      <c r="Q21" s="2" t="s">
        <v>36</v>
      </c>
      <c r="R21" s="3">
        <f t="shared" si="17"/>
        <v>0</v>
      </c>
      <c r="S21" s="3">
        <f t="shared" si="17"/>
        <v>0</v>
      </c>
      <c r="T21" s="3">
        <f t="shared" si="17"/>
        <v>0</v>
      </c>
      <c r="U21" s="3">
        <f t="shared" si="17"/>
        <v>0</v>
      </c>
      <c r="V21" s="3">
        <f t="shared" si="17"/>
        <v>0</v>
      </c>
      <c r="W21" s="3">
        <f t="shared" si="17"/>
        <v>0</v>
      </c>
      <c r="X21" s="3">
        <f t="shared" si="17"/>
        <v>0</v>
      </c>
      <c r="Y21" s="3">
        <f t="shared" si="17"/>
        <v>0</v>
      </c>
      <c r="Z21" s="3">
        <f t="shared" si="17"/>
        <v>0</v>
      </c>
      <c r="AA21" s="3">
        <f t="shared" si="17"/>
        <v>32139573.169747926</v>
      </c>
      <c r="AB21" s="3">
        <f t="shared" si="18"/>
        <v>32139573.169747926</v>
      </c>
      <c r="AC21" s="7" t="s">
        <v>108</v>
      </c>
      <c r="AD21" s="2" t="s">
        <v>36</v>
      </c>
      <c r="AE21" s="3">
        <f t="shared" si="19"/>
        <v>1675267103.3801851</v>
      </c>
      <c r="AF21" s="3">
        <f t="shared" si="19"/>
        <v>3229274216.534616</v>
      </c>
      <c r="AG21" s="3">
        <f t="shared" si="20"/>
        <v>4904541319.9148006</v>
      </c>
      <c r="AH21" s="7" t="s">
        <v>108</v>
      </c>
      <c r="AI21" s="2" t="s">
        <v>36</v>
      </c>
      <c r="AJ21" s="3">
        <f t="shared" si="21"/>
        <v>1847883736.9362855</v>
      </c>
      <c r="AK21" s="3">
        <f t="shared" si="21"/>
        <v>783091269.8263253</v>
      </c>
      <c r="AL21" s="3">
        <f t="shared" si="21"/>
        <v>2305705886.321938</v>
      </c>
      <c r="AM21" s="3">
        <f t="shared" si="21"/>
        <v>0</v>
      </c>
      <c r="AN21" s="3">
        <f t="shared" si="22"/>
        <v>4936680893.084549</v>
      </c>
      <c r="AO21" s="7" t="s">
        <v>108</v>
      </c>
      <c r="AP21" s="2" t="s">
        <v>36</v>
      </c>
      <c r="AQ21" s="3">
        <f t="shared" si="23"/>
        <v>32139573.169747926</v>
      </c>
      <c r="AR21" s="3">
        <f t="shared" si="23"/>
        <v>0</v>
      </c>
      <c r="AS21" s="3">
        <f t="shared" si="23"/>
        <v>0</v>
      </c>
      <c r="AT21" s="3">
        <f t="shared" si="23"/>
        <v>0</v>
      </c>
      <c r="AU21" s="3">
        <f t="shared" si="24"/>
        <v>32139573.169747926</v>
      </c>
      <c r="AV21" s="7" t="s">
        <v>108</v>
      </c>
      <c r="AW21" s="2" t="s">
        <v>36</v>
      </c>
      <c r="AX21" s="3">
        <f t="shared" si="25"/>
        <v>1815744163.7665377</v>
      </c>
      <c r="AY21" s="3">
        <f t="shared" si="25"/>
        <v>783091269.8263253</v>
      </c>
      <c r="AZ21" s="3">
        <f t="shared" si="25"/>
        <v>2305705886.321938</v>
      </c>
      <c r="BA21" s="3">
        <f t="shared" si="25"/>
        <v>0</v>
      </c>
      <c r="BB21" s="3">
        <f t="shared" si="26"/>
        <v>4904541319.9148006</v>
      </c>
      <c r="BC21" s="7" t="s">
        <v>108</v>
      </c>
      <c r="BD21" s="2" t="s">
        <v>36</v>
      </c>
      <c r="BE21" s="3">
        <f>'Hasil (Rp)'!BE21-Biaya!BE21</f>
        <v>0</v>
      </c>
      <c r="BF21" s="3">
        <f>'Hasil (Rp)'!BF21-Biaya!BF21</f>
        <v>0</v>
      </c>
      <c r="BG21" s="3">
        <f>'Hasil (Rp)'!BG21-Biaya!BG21</f>
        <v>0</v>
      </c>
      <c r="BH21" s="3">
        <f>'Hasil (Rp)'!BH21-Biaya!BH21</f>
        <v>0</v>
      </c>
      <c r="BI21" s="3">
        <f>'Hasil (Rp)'!BI21-Biaya!BI21</f>
        <v>0</v>
      </c>
      <c r="BJ21" s="7" t="s">
        <v>108</v>
      </c>
      <c r="BK21" s="2" t="s">
        <v>36</v>
      </c>
      <c r="BL21" s="3">
        <f>'Hasil (Rp)'!BL21-Biaya!BL21</f>
        <v>0</v>
      </c>
      <c r="BM21" s="3">
        <f>'Hasil (Rp)'!BM21-Biaya!BM21</f>
        <v>0</v>
      </c>
      <c r="BN21" s="3">
        <f>'Hasil (Rp)'!BN21-Biaya!BN21</f>
        <v>0</v>
      </c>
      <c r="BO21" s="3">
        <f>'Hasil (Rp)'!BO21-Biaya!BO21</f>
        <v>0</v>
      </c>
      <c r="BP21" s="3">
        <f>'Hasil (Rp)'!BP21-Biaya!BP21</f>
        <v>0</v>
      </c>
      <c r="BQ21" s="7" t="s">
        <v>108</v>
      </c>
      <c r="BR21" s="2" t="s">
        <v>36</v>
      </c>
      <c r="BS21" s="3">
        <f>'Hasil (Rp)'!BS21-Biaya!BS21</f>
        <v>0</v>
      </c>
      <c r="BT21" s="3">
        <f>'Hasil (Rp)'!BT21-Biaya!BT21</f>
        <v>0</v>
      </c>
      <c r="BU21" s="3">
        <f>'Hasil (Rp)'!BU21-Biaya!BU21</f>
        <v>0</v>
      </c>
      <c r="BV21" s="3">
        <f>'Hasil (Rp)'!BV21-Biaya!BV21</f>
        <v>0</v>
      </c>
      <c r="BW21" s="3">
        <f>'Hasil (Rp)'!BW21-Biaya!BW21</f>
        <v>0</v>
      </c>
      <c r="BX21" s="7" t="s">
        <v>108</v>
      </c>
      <c r="BY21" s="2" t="s">
        <v>36</v>
      </c>
      <c r="BZ21" s="3">
        <f>'Hasil (Rp)'!BZ21-Biaya!BZ21</f>
        <v>0</v>
      </c>
      <c r="CA21" s="3">
        <f>'Hasil (Rp)'!CA21-Biaya!CA21</f>
        <v>0</v>
      </c>
      <c r="CB21" s="3">
        <f>'Hasil (Rp)'!CB21-Biaya!CB21</f>
        <v>0</v>
      </c>
      <c r="CC21" s="3">
        <f>'Hasil (Rp)'!CC21-Biaya!CC21</f>
        <v>0</v>
      </c>
      <c r="CD21" s="3">
        <f>'Hasil (Rp)'!CD21-Biaya!CD21</f>
        <v>0</v>
      </c>
      <c r="CE21" s="7" t="s">
        <v>108</v>
      </c>
      <c r="CF21" s="2" t="s">
        <v>36</v>
      </c>
      <c r="CG21" s="3">
        <f>'Hasil (Rp)'!CG21-Biaya!CG21</f>
        <v>0</v>
      </c>
      <c r="CH21" s="3">
        <f>'Hasil (Rp)'!CH21-Biaya!CH21</f>
        <v>0</v>
      </c>
      <c r="CI21" s="3">
        <f>'Hasil (Rp)'!CI21-Biaya!CI21</f>
        <v>0</v>
      </c>
      <c r="CJ21" s="3">
        <f>'Hasil (Rp)'!CJ21-Biaya!CJ21</f>
        <v>0</v>
      </c>
      <c r="CK21" s="3">
        <f>'Hasil (Rp)'!CK21-Biaya!CK21</f>
        <v>0</v>
      </c>
      <c r="CL21" s="7" t="s">
        <v>108</v>
      </c>
      <c r="CM21" s="2" t="s">
        <v>36</v>
      </c>
      <c r="CN21" s="3">
        <f>'Hasil (Rp)'!CN21-Biaya!CN21</f>
        <v>0</v>
      </c>
      <c r="CO21" s="3">
        <f>'Hasil (Rp)'!CO21-Biaya!CO21</f>
        <v>0</v>
      </c>
      <c r="CP21" s="3">
        <f>'Hasil (Rp)'!CP21-Biaya!CP21</f>
        <v>0</v>
      </c>
      <c r="CQ21" s="3">
        <f>'Hasil (Rp)'!CQ21-Biaya!CQ21</f>
        <v>0</v>
      </c>
      <c r="CR21" s="3">
        <f>'Hasil (Rp)'!CR21-Biaya!CR21</f>
        <v>0</v>
      </c>
      <c r="CS21" s="7" t="s">
        <v>108</v>
      </c>
      <c r="CT21" s="2" t="s">
        <v>36</v>
      </c>
      <c r="CU21" s="3">
        <f>'Hasil (Rp)'!CU21-Biaya!CU21</f>
        <v>0</v>
      </c>
      <c r="CV21" s="3">
        <f>'Hasil (Rp)'!CV21-Biaya!CV21</f>
        <v>0</v>
      </c>
      <c r="CW21" s="3">
        <f>'Hasil (Rp)'!CW21-Biaya!CW21</f>
        <v>0</v>
      </c>
      <c r="CX21" s="3">
        <f>'Hasil (Rp)'!CX21-Biaya!CX21</f>
        <v>0</v>
      </c>
      <c r="CY21" s="3">
        <f>'Hasil (Rp)'!CY21-Biaya!CY21</f>
        <v>0</v>
      </c>
      <c r="CZ21" s="7" t="s">
        <v>108</v>
      </c>
      <c r="DA21" s="2" t="s">
        <v>36</v>
      </c>
      <c r="DB21" s="3">
        <f>'Hasil (Rp)'!DB21-Biaya!DB21</f>
        <v>0</v>
      </c>
      <c r="DC21" s="3">
        <f>'Hasil (Rp)'!DC21-Biaya!DC21</f>
        <v>0</v>
      </c>
      <c r="DD21" s="3">
        <f>'Hasil (Rp)'!DD21-Biaya!DD21</f>
        <v>0</v>
      </c>
      <c r="DE21" s="3">
        <f>'Hasil (Rp)'!DE21-Biaya!DE21</f>
        <v>0</v>
      </c>
      <c r="DF21" s="3">
        <f>'Hasil (Rp)'!DF21-Biaya!DF21</f>
        <v>0</v>
      </c>
      <c r="DG21" s="7" t="s">
        <v>108</v>
      </c>
      <c r="DH21" s="2" t="s">
        <v>36</v>
      </c>
      <c r="DI21" s="3">
        <f>'Hasil (Rp)'!DI21-Biaya!DI21</f>
        <v>0</v>
      </c>
      <c r="DJ21" s="3">
        <f>'Hasil (Rp)'!DJ21-Biaya!DJ21</f>
        <v>0</v>
      </c>
      <c r="DK21" s="3">
        <f>'Hasil (Rp)'!DK21-Biaya!DK21</f>
        <v>0</v>
      </c>
      <c r="DL21" s="3">
        <f>'Hasil (Rp)'!DL21-Biaya!DL21</f>
        <v>0</v>
      </c>
      <c r="DM21" s="3">
        <f>'Hasil (Rp)'!DM21-Biaya!DM21</f>
        <v>0</v>
      </c>
      <c r="DN21" s="7" t="s">
        <v>108</v>
      </c>
      <c r="DO21" s="2" t="s">
        <v>36</v>
      </c>
      <c r="DP21" s="3">
        <f>'Hasil (Rp)'!DP21-Biaya!DP21</f>
        <v>32139573.169747926</v>
      </c>
      <c r="DQ21" s="3">
        <f>'Hasil (Rp)'!DQ21-Biaya!DQ21</f>
        <v>0</v>
      </c>
      <c r="DR21" s="3">
        <f>'Hasil (Rp)'!DR21-Biaya!DR21</f>
        <v>0</v>
      </c>
      <c r="DS21" s="3">
        <f>'Hasil (Rp)'!DS21-Biaya!DS21</f>
        <v>0</v>
      </c>
      <c r="DT21" s="3">
        <f>'Hasil (Rp)'!DT21-Biaya!DT21</f>
        <v>32139573.169747926</v>
      </c>
      <c r="DU21" s="7" t="s">
        <v>108</v>
      </c>
      <c r="DV21" s="2" t="s">
        <v>36</v>
      </c>
      <c r="DW21" s="3">
        <f>'Hasil (Rp)'!DW21-Biaya!DW21</f>
        <v>140477060.38635257</v>
      </c>
      <c r="DX21" s="3">
        <f>'Hasil (Rp)'!DX21-Biaya!DX21</f>
        <v>783091269.8263253</v>
      </c>
      <c r="DY21" s="3">
        <f>'Hasil (Rp)'!DY21-Biaya!DY21</f>
        <v>2305705886.321938</v>
      </c>
      <c r="DZ21" s="3">
        <f>'Hasil (Rp)'!DZ21-Biaya!DZ21</f>
        <v>0</v>
      </c>
      <c r="EA21" s="3">
        <f>'Hasil (Rp)'!EA21-Biaya!EA21</f>
        <v>3229274216.534616</v>
      </c>
      <c r="EB21" s="7" t="s">
        <v>108</v>
      </c>
      <c r="EC21" s="2" t="s">
        <v>36</v>
      </c>
      <c r="ED21" s="3">
        <f>'Hasil (Rp)'!ED21-Biaya!ED21</f>
        <v>1675267103.3801851</v>
      </c>
      <c r="EE21" s="3">
        <f>'Hasil (Rp)'!EE21-Biaya!EE21</f>
        <v>0</v>
      </c>
      <c r="EF21" s="3">
        <f>'Hasil (Rp)'!EF21-Biaya!EF21</f>
        <v>0</v>
      </c>
      <c r="EG21" s="3">
        <f>'Hasil (Rp)'!EG21-Biaya!EG21</f>
        <v>0</v>
      </c>
      <c r="EH21" s="3">
        <f>'Hasil (Rp)'!EH21-Biaya!EH21</f>
        <v>1675267103.3801851</v>
      </c>
    </row>
    <row r="22" spans="1:138" ht="10.199999999999999" customHeight="1" x14ac:dyDescent="0.2">
      <c r="A22" s="7" t="s">
        <v>104</v>
      </c>
      <c r="B22" s="2" t="s">
        <v>32</v>
      </c>
      <c r="C22" s="3">
        <f t="shared" si="4"/>
        <v>0</v>
      </c>
      <c r="D22" s="3">
        <f t="shared" si="5"/>
        <v>0</v>
      </c>
      <c r="E22" s="3">
        <f t="shared" si="6"/>
        <v>0</v>
      </c>
      <c r="F22" s="3">
        <f t="shared" si="7"/>
        <v>0</v>
      </c>
      <c r="G22" s="3">
        <f t="shared" si="8"/>
        <v>0</v>
      </c>
      <c r="H22" s="3">
        <f t="shared" si="9"/>
        <v>0</v>
      </c>
      <c r="I22" s="3">
        <f t="shared" si="10"/>
        <v>0</v>
      </c>
      <c r="J22" s="3">
        <f t="shared" si="11"/>
        <v>76905849.250650212</v>
      </c>
      <c r="K22" s="3">
        <f t="shared" si="12"/>
        <v>1705208.5522757457</v>
      </c>
      <c r="L22" s="3">
        <f t="shared" si="13"/>
        <v>7696931922.7989197</v>
      </c>
      <c r="M22" s="3">
        <f t="shared" si="14"/>
        <v>2090046638.8034306</v>
      </c>
      <c r="N22" s="3">
        <f t="shared" si="15"/>
        <v>10459111161.236374</v>
      </c>
      <c r="O22" s="3">
        <f t="shared" si="16"/>
        <v>20324700780.641651</v>
      </c>
      <c r="P22" s="7" t="s">
        <v>104</v>
      </c>
      <c r="Q22" s="2" t="s">
        <v>32</v>
      </c>
      <c r="R22" s="3">
        <f t="shared" si="17"/>
        <v>0</v>
      </c>
      <c r="S22" s="3">
        <f t="shared" si="17"/>
        <v>0</v>
      </c>
      <c r="T22" s="3">
        <f t="shared" si="17"/>
        <v>0</v>
      </c>
      <c r="U22" s="3">
        <f t="shared" si="17"/>
        <v>0</v>
      </c>
      <c r="V22" s="3">
        <f t="shared" si="17"/>
        <v>0</v>
      </c>
      <c r="W22" s="3">
        <f t="shared" si="17"/>
        <v>0</v>
      </c>
      <c r="X22" s="3">
        <f t="shared" si="17"/>
        <v>0</v>
      </c>
      <c r="Y22" s="3">
        <f t="shared" si="17"/>
        <v>76905849.250650212</v>
      </c>
      <c r="Z22" s="3">
        <f t="shared" si="17"/>
        <v>1705208.5522757457</v>
      </c>
      <c r="AA22" s="3">
        <f t="shared" si="17"/>
        <v>7696931922.7989197</v>
      </c>
      <c r="AB22" s="3">
        <f t="shared" si="18"/>
        <v>7775542980.6018457</v>
      </c>
      <c r="AC22" s="7" t="s">
        <v>104</v>
      </c>
      <c r="AD22" s="2" t="s">
        <v>32</v>
      </c>
      <c r="AE22" s="3">
        <f t="shared" si="19"/>
        <v>2090046638.8034306</v>
      </c>
      <c r="AF22" s="3">
        <f t="shared" si="19"/>
        <v>10459111161.236374</v>
      </c>
      <c r="AG22" s="3">
        <f t="shared" si="20"/>
        <v>12549157800.039804</v>
      </c>
      <c r="AH22" s="7" t="s">
        <v>104</v>
      </c>
      <c r="AI22" s="2" t="s">
        <v>32</v>
      </c>
      <c r="AJ22" s="3">
        <f t="shared" si="21"/>
        <v>2928748631.3143306</v>
      </c>
      <c r="AK22" s="3">
        <f t="shared" si="21"/>
        <v>2779263962.4075065</v>
      </c>
      <c r="AL22" s="3">
        <f t="shared" si="21"/>
        <v>7833789491.3004913</v>
      </c>
      <c r="AM22" s="3">
        <f t="shared" si="21"/>
        <v>6782898695.6192932</v>
      </c>
      <c r="AN22" s="3">
        <f t="shared" si="22"/>
        <v>20324700780.641621</v>
      </c>
      <c r="AO22" s="7" t="s">
        <v>104</v>
      </c>
      <c r="AP22" s="2" t="s">
        <v>32</v>
      </c>
      <c r="AQ22" s="3">
        <f t="shared" si="23"/>
        <v>170421224.06252143</v>
      </c>
      <c r="AR22" s="3">
        <f t="shared" si="23"/>
        <v>822223060.92001522</v>
      </c>
      <c r="AS22" s="3">
        <f t="shared" si="23"/>
        <v>0</v>
      </c>
      <c r="AT22" s="3">
        <f t="shared" si="23"/>
        <v>6782898695.6192932</v>
      </c>
      <c r="AU22" s="3">
        <f t="shared" si="24"/>
        <v>7775542980.6018295</v>
      </c>
      <c r="AV22" s="7" t="s">
        <v>104</v>
      </c>
      <c r="AW22" s="2" t="s">
        <v>32</v>
      </c>
      <c r="AX22" s="3">
        <f t="shared" si="25"/>
        <v>2758327407.2518091</v>
      </c>
      <c r="AY22" s="3">
        <f t="shared" si="25"/>
        <v>1957040901.4874914</v>
      </c>
      <c r="AZ22" s="3">
        <f t="shared" si="25"/>
        <v>7833789491.3004913</v>
      </c>
      <c r="BA22" s="3">
        <f t="shared" si="25"/>
        <v>0</v>
      </c>
      <c r="BB22" s="3">
        <f t="shared" si="26"/>
        <v>12549157800.039791</v>
      </c>
      <c r="BC22" s="7" t="s">
        <v>104</v>
      </c>
      <c r="BD22" s="2" t="s">
        <v>32</v>
      </c>
      <c r="BE22" s="3">
        <f>'Hasil (Rp)'!BE22-Biaya!BE22</f>
        <v>0</v>
      </c>
      <c r="BF22" s="3">
        <f>'Hasil (Rp)'!BF22-Biaya!BF22</f>
        <v>0</v>
      </c>
      <c r="BG22" s="3">
        <f>'Hasil (Rp)'!BG22-Biaya!BG22</f>
        <v>0</v>
      </c>
      <c r="BH22" s="3">
        <f>'Hasil (Rp)'!BH22-Biaya!BH22</f>
        <v>0</v>
      </c>
      <c r="BI22" s="3">
        <f>'Hasil (Rp)'!BI22-Biaya!BI22</f>
        <v>0</v>
      </c>
      <c r="BJ22" s="7" t="s">
        <v>104</v>
      </c>
      <c r="BK22" s="2" t="s">
        <v>32</v>
      </c>
      <c r="BL22" s="3">
        <f>'Hasil (Rp)'!BL22-Biaya!BL22</f>
        <v>0</v>
      </c>
      <c r="BM22" s="3">
        <f>'Hasil (Rp)'!BM22-Biaya!BM22</f>
        <v>0</v>
      </c>
      <c r="BN22" s="3">
        <f>'Hasil (Rp)'!BN22-Biaya!BN22</f>
        <v>0</v>
      </c>
      <c r="BO22" s="3">
        <f>'Hasil (Rp)'!BO22-Biaya!BO22</f>
        <v>0</v>
      </c>
      <c r="BP22" s="3">
        <f>'Hasil (Rp)'!BP22-Biaya!BP22</f>
        <v>0</v>
      </c>
      <c r="BQ22" s="7" t="s">
        <v>104</v>
      </c>
      <c r="BR22" s="2" t="s">
        <v>32</v>
      </c>
      <c r="BS22" s="3">
        <f>'Hasil (Rp)'!BS22-Biaya!BS22</f>
        <v>0</v>
      </c>
      <c r="BT22" s="3">
        <f>'Hasil (Rp)'!BT22-Biaya!BT22</f>
        <v>0</v>
      </c>
      <c r="BU22" s="3">
        <f>'Hasil (Rp)'!BU22-Biaya!BU22</f>
        <v>0</v>
      </c>
      <c r="BV22" s="3">
        <f>'Hasil (Rp)'!BV22-Biaya!BV22</f>
        <v>0</v>
      </c>
      <c r="BW22" s="3">
        <f>'Hasil (Rp)'!BW22-Biaya!BW22</f>
        <v>0</v>
      </c>
      <c r="BX22" s="7" t="s">
        <v>104</v>
      </c>
      <c r="BY22" s="2" t="s">
        <v>32</v>
      </c>
      <c r="BZ22" s="3">
        <f>'Hasil (Rp)'!BZ22-Biaya!BZ22</f>
        <v>0</v>
      </c>
      <c r="CA22" s="3">
        <f>'Hasil (Rp)'!CA22-Biaya!CA22</f>
        <v>0</v>
      </c>
      <c r="CB22" s="3">
        <f>'Hasil (Rp)'!CB22-Biaya!CB22</f>
        <v>0</v>
      </c>
      <c r="CC22" s="3">
        <f>'Hasil (Rp)'!CC22-Biaya!CC22</f>
        <v>0</v>
      </c>
      <c r="CD22" s="3">
        <f>'Hasil (Rp)'!CD22-Biaya!CD22</f>
        <v>0</v>
      </c>
      <c r="CE22" s="7" t="s">
        <v>104</v>
      </c>
      <c r="CF22" s="2" t="s">
        <v>32</v>
      </c>
      <c r="CG22" s="3">
        <f>'Hasil (Rp)'!CG22-Biaya!CG22</f>
        <v>0</v>
      </c>
      <c r="CH22" s="3">
        <f>'Hasil (Rp)'!CH22-Biaya!CH22</f>
        <v>0</v>
      </c>
      <c r="CI22" s="3">
        <f>'Hasil (Rp)'!CI22-Biaya!CI22</f>
        <v>0</v>
      </c>
      <c r="CJ22" s="3">
        <f>'Hasil (Rp)'!CJ22-Biaya!CJ22</f>
        <v>0</v>
      </c>
      <c r="CK22" s="3">
        <f>'Hasil (Rp)'!CK22-Biaya!CK22</f>
        <v>0</v>
      </c>
      <c r="CL22" s="7" t="s">
        <v>104</v>
      </c>
      <c r="CM22" s="2" t="s">
        <v>32</v>
      </c>
      <c r="CN22" s="3">
        <f>'Hasil (Rp)'!CN22-Biaya!CN22</f>
        <v>0</v>
      </c>
      <c r="CO22" s="3">
        <f>'Hasil (Rp)'!CO22-Biaya!CO22</f>
        <v>0</v>
      </c>
      <c r="CP22" s="3">
        <f>'Hasil (Rp)'!CP22-Biaya!CP22</f>
        <v>0</v>
      </c>
      <c r="CQ22" s="3">
        <f>'Hasil (Rp)'!CQ22-Biaya!CQ22</f>
        <v>0</v>
      </c>
      <c r="CR22" s="3">
        <f>'Hasil (Rp)'!CR22-Biaya!CR22</f>
        <v>0</v>
      </c>
      <c r="CS22" s="7" t="s">
        <v>104</v>
      </c>
      <c r="CT22" s="2" t="s">
        <v>32</v>
      </c>
      <c r="CU22" s="3">
        <f>'Hasil (Rp)'!CU22-Biaya!CU22</f>
        <v>0</v>
      </c>
      <c r="CV22" s="3">
        <f>'Hasil (Rp)'!CV22-Biaya!CV22</f>
        <v>0</v>
      </c>
      <c r="CW22" s="3">
        <f>'Hasil (Rp)'!CW22-Biaya!CW22</f>
        <v>0</v>
      </c>
      <c r="CX22" s="3">
        <f>'Hasil (Rp)'!CX22-Biaya!CX22</f>
        <v>0</v>
      </c>
      <c r="CY22" s="3">
        <f>'Hasil (Rp)'!CY22-Biaya!CY22</f>
        <v>0</v>
      </c>
      <c r="CZ22" s="7" t="s">
        <v>104</v>
      </c>
      <c r="DA22" s="2" t="s">
        <v>32</v>
      </c>
      <c r="DB22" s="3">
        <f>'Hasil (Rp)'!DB22-Biaya!DB22</f>
        <v>1705208.5522757457</v>
      </c>
      <c r="DC22" s="3">
        <f>'Hasil (Rp)'!DC22-Biaya!DC22</f>
        <v>0</v>
      </c>
      <c r="DD22" s="3">
        <f>'Hasil (Rp)'!DD22-Biaya!DD22</f>
        <v>0</v>
      </c>
      <c r="DE22" s="3">
        <f>'Hasil (Rp)'!DE22-Biaya!DE22</f>
        <v>0</v>
      </c>
      <c r="DF22" s="3">
        <f>'Hasil (Rp)'!DF22-Biaya!DF22</f>
        <v>1705208.5522757457</v>
      </c>
      <c r="DG22" s="7" t="s">
        <v>104</v>
      </c>
      <c r="DH22" s="2" t="s">
        <v>32</v>
      </c>
      <c r="DI22" s="3">
        <f>'Hasil (Rp)'!DI22-Biaya!DI22</f>
        <v>721024.01690642349</v>
      </c>
      <c r="DJ22" s="3">
        <f>'Hasil (Rp)'!DJ22-Biaya!DJ22</f>
        <v>76184825.233743787</v>
      </c>
      <c r="DK22" s="3">
        <f>'Hasil (Rp)'!DK22-Biaya!DK22</f>
        <v>0</v>
      </c>
      <c r="DL22" s="3">
        <f>'Hasil (Rp)'!DL22-Biaya!DL22</f>
        <v>0</v>
      </c>
      <c r="DM22" s="3">
        <f>'Hasil (Rp)'!DM22-Biaya!DM22</f>
        <v>76905849.250650212</v>
      </c>
      <c r="DN22" s="7" t="s">
        <v>104</v>
      </c>
      <c r="DO22" s="2" t="s">
        <v>32</v>
      </c>
      <c r="DP22" s="3">
        <f>'Hasil (Rp)'!DP22-Biaya!DP22</f>
        <v>167994991.49333927</v>
      </c>
      <c r="DQ22" s="3">
        <f>'Hasil (Rp)'!DQ22-Biaya!DQ22</f>
        <v>746038235.68627143</v>
      </c>
      <c r="DR22" s="3">
        <f>'Hasil (Rp)'!DR22-Biaya!DR22</f>
        <v>0</v>
      </c>
      <c r="DS22" s="3">
        <f>'Hasil (Rp)'!DS22-Biaya!DS22</f>
        <v>6782898695.6192932</v>
      </c>
      <c r="DT22" s="3">
        <f>'Hasil (Rp)'!DT22-Biaya!DT22</f>
        <v>7696931922.7989197</v>
      </c>
      <c r="DU22" s="7" t="s">
        <v>104</v>
      </c>
      <c r="DV22" s="2" t="s">
        <v>32</v>
      </c>
      <c r="DW22" s="3">
        <f>'Hasil (Rp)'!DW22-Biaya!DW22</f>
        <v>892409224.20494652</v>
      </c>
      <c r="DX22" s="3">
        <f>'Hasil (Rp)'!DX22-Biaya!DX22</f>
        <v>1732912445.7309227</v>
      </c>
      <c r="DY22" s="3">
        <f>'Hasil (Rp)'!DY22-Biaya!DY22</f>
        <v>7833789491.3004913</v>
      </c>
      <c r="DZ22" s="3">
        <f>'Hasil (Rp)'!DZ22-Biaya!DZ22</f>
        <v>0</v>
      </c>
      <c r="EA22" s="3">
        <f>'Hasil (Rp)'!EA22-Biaya!EA22</f>
        <v>10459111161.236374</v>
      </c>
      <c r="EB22" s="7" t="s">
        <v>104</v>
      </c>
      <c r="EC22" s="2" t="s">
        <v>32</v>
      </c>
      <c r="ED22" s="3">
        <f>'Hasil (Rp)'!ED22-Biaya!ED22</f>
        <v>1865918183.0468626</v>
      </c>
      <c r="EE22" s="3">
        <f>'Hasil (Rp)'!EE22-Biaya!EE22</f>
        <v>224128455.75656867</v>
      </c>
      <c r="EF22" s="3">
        <f>'Hasil (Rp)'!EF22-Biaya!EF22</f>
        <v>0</v>
      </c>
      <c r="EG22" s="3">
        <f>'Hasil (Rp)'!EG22-Biaya!EG22</f>
        <v>0</v>
      </c>
      <c r="EH22" s="3">
        <f>'Hasil (Rp)'!EH22-Biaya!EH22</f>
        <v>2090046638.8034306</v>
      </c>
    </row>
    <row r="23" spans="1:138" ht="10.199999999999999" customHeight="1" x14ac:dyDescent="0.2">
      <c r="A23" s="7" t="s">
        <v>105</v>
      </c>
      <c r="B23" s="2" t="s">
        <v>33</v>
      </c>
      <c r="C23" s="3">
        <f t="shared" si="4"/>
        <v>0</v>
      </c>
      <c r="D23" s="3">
        <f t="shared" si="5"/>
        <v>235689822.64895985</v>
      </c>
      <c r="E23" s="3">
        <f t="shared" si="6"/>
        <v>853904.31603201875</v>
      </c>
      <c r="F23" s="3">
        <f t="shared" si="7"/>
        <v>4004763.2696802933</v>
      </c>
      <c r="G23" s="3">
        <f t="shared" si="8"/>
        <v>5417674895.1067772</v>
      </c>
      <c r="H23" s="3">
        <f t="shared" si="9"/>
        <v>0</v>
      </c>
      <c r="I23" s="3">
        <f t="shared" si="10"/>
        <v>8150453.8339947388</v>
      </c>
      <c r="J23" s="3">
        <f t="shared" si="11"/>
        <v>0</v>
      </c>
      <c r="K23" s="3">
        <f t="shared" si="12"/>
        <v>0</v>
      </c>
      <c r="L23" s="3">
        <f t="shared" si="13"/>
        <v>84466964.512467474</v>
      </c>
      <c r="M23" s="3">
        <f t="shared" si="14"/>
        <v>4718038752.805027</v>
      </c>
      <c r="N23" s="3">
        <f t="shared" si="15"/>
        <v>1280344329.6959906</v>
      </c>
      <c r="O23" s="3">
        <f t="shared" si="16"/>
        <v>11749223886.188931</v>
      </c>
      <c r="P23" s="7" t="s">
        <v>105</v>
      </c>
      <c r="Q23" s="2" t="s">
        <v>33</v>
      </c>
      <c r="R23" s="3">
        <f t="shared" si="17"/>
        <v>0</v>
      </c>
      <c r="S23" s="3">
        <f t="shared" si="17"/>
        <v>235689822.64895985</v>
      </c>
      <c r="T23" s="3">
        <f t="shared" si="17"/>
        <v>853904.31603201875</v>
      </c>
      <c r="U23" s="3">
        <f t="shared" si="17"/>
        <v>4004763.2696802933</v>
      </c>
      <c r="V23" s="3">
        <f t="shared" si="17"/>
        <v>5417674895.1067772</v>
      </c>
      <c r="W23" s="3">
        <f t="shared" si="17"/>
        <v>0</v>
      </c>
      <c r="X23" s="3">
        <f t="shared" si="17"/>
        <v>8150453.8339947388</v>
      </c>
      <c r="Y23" s="3">
        <f t="shared" si="17"/>
        <v>0</v>
      </c>
      <c r="Z23" s="3">
        <f t="shared" si="17"/>
        <v>0</v>
      </c>
      <c r="AA23" s="3">
        <f t="shared" si="17"/>
        <v>84466964.512467474</v>
      </c>
      <c r="AB23" s="3">
        <f t="shared" si="18"/>
        <v>5750840803.687912</v>
      </c>
      <c r="AC23" s="7" t="s">
        <v>105</v>
      </c>
      <c r="AD23" s="2" t="s">
        <v>33</v>
      </c>
      <c r="AE23" s="3">
        <f t="shared" si="19"/>
        <v>4718038752.805027</v>
      </c>
      <c r="AF23" s="3">
        <f t="shared" si="19"/>
        <v>1280344329.6959906</v>
      </c>
      <c r="AG23" s="3">
        <f t="shared" si="20"/>
        <v>5998383082.5010176</v>
      </c>
      <c r="AH23" s="7" t="s">
        <v>105</v>
      </c>
      <c r="AI23" s="2" t="s">
        <v>33</v>
      </c>
      <c r="AJ23" s="3">
        <f t="shared" si="21"/>
        <v>5137519841.5858307</v>
      </c>
      <c r="AK23" s="3">
        <f t="shared" si="21"/>
        <v>6611704044.6031027</v>
      </c>
      <c r="AL23" s="3">
        <f t="shared" si="21"/>
        <v>0</v>
      </c>
      <c r="AM23" s="3">
        <f t="shared" si="21"/>
        <v>0</v>
      </c>
      <c r="AN23" s="3">
        <f t="shared" si="22"/>
        <v>11749223886.188934</v>
      </c>
      <c r="AO23" s="7" t="s">
        <v>105</v>
      </c>
      <c r="AP23" s="2" t="s">
        <v>33</v>
      </c>
      <c r="AQ23" s="3">
        <f t="shared" si="23"/>
        <v>674309570.23199904</v>
      </c>
      <c r="AR23" s="3">
        <f t="shared" si="23"/>
        <v>5076531233.4559164</v>
      </c>
      <c r="AS23" s="3">
        <f t="shared" si="23"/>
        <v>0</v>
      </c>
      <c r="AT23" s="3">
        <f t="shared" si="23"/>
        <v>0</v>
      </c>
      <c r="AU23" s="3">
        <f t="shared" si="24"/>
        <v>5750840803.6879158</v>
      </c>
      <c r="AV23" s="7" t="s">
        <v>105</v>
      </c>
      <c r="AW23" s="2" t="s">
        <v>33</v>
      </c>
      <c r="AX23" s="3">
        <f t="shared" si="25"/>
        <v>4463210271.3538313</v>
      </c>
      <c r="AY23" s="3">
        <f t="shared" si="25"/>
        <v>1535172811.1471865</v>
      </c>
      <c r="AZ23" s="3">
        <f t="shared" si="25"/>
        <v>0</v>
      </c>
      <c r="BA23" s="3">
        <f t="shared" si="25"/>
        <v>0</v>
      </c>
      <c r="BB23" s="3">
        <f t="shared" si="26"/>
        <v>5998383082.5010176</v>
      </c>
      <c r="BC23" s="7" t="s">
        <v>105</v>
      </c>
      <c r="BD23" s="2" t="s">
        <v>33</v>
      </c>
      <c r="BE23" s="3">
        <f>'Hasil (Rp)'!BE23-Biaya!BE23</f>
        <v>0</v>
      </c>
      <c r="BF23" s="3">
        <f>'Hasil (Rp)'!BF23-Biaya!BF23</f>
        <v>0</v>
      </c>
      <c r="BG23" s="3">
        <f>'Hasil (Rp)'!BG23-Biaya!BG23</f>
        <v>0</v>
      </c>
      <c r="BH23" s="3">
        <f>'Hasil (Rp)'!BH23-Biaya!BH23</f>
        <v>0</v>
      </c>
      <c r="BI23" s="3">
        <f>'Hasil (Rp)'!BI23-Biaya!BI23</f>
        <v>0</v>
      </c>
      <c r="BJ23" s="7" t="s">
        <v>105</v>
      </c>
      <c r="BK23" s="2" t="s">
        <v>33</v>
      </c>
      <c r="BL23" s="3">
        <f>'Hasil (Rp)'!BL23-Biaya!BL23</f>
        <v>219083926.35471454</v>
      </c>
      <c r="BM23" s="3">
        <f>'Hasil (Rp)'!BM23-Biaya!BM23</f>
        <v>16605896.294245308</v>
      </c>
      <c r="BN23" s="3">
        <f>'Hasil (Rp)'!BN23-Biaya!BN23</f>
        <v>0</v>
      </c>
      <c r="BO23" s="3">
        <f>'Hasil (Rp)'!BO23-Biaya!BO23</f>
        <v>0</v>
      </c>
      <c r="BP23" s="3">
        <f>'Hasil (Rp)'!BP23-Biaya!BP23</f>
        <v>235689822.64895985</v>
      </c>
      <c r="BQ23" s="7" t="s">
        <v>105</v>
      </c>
      <c r="BR23" s="2" t="s">
        <v>33</v>
      </c>
      <c r="BS23" s="3">
        <f>'Hasil (Rp)'!BS23-Biaya!BS23</f>
        <v>853904.31603201875</v>
      </c>
      <c r="BT23" s="3">
        <f>'Hasil (Rp)'!BT23-Biaya!BT23</f>
        <v>0</v>
      </c>
      <c r="BU23" s="3">
        <f>'Hasil (Rp)'!BU23-Biaya!BU23</f>
        <v>0</v>
      </c>
      <c r="BV23" s="3">
        <f>'Hasil (Rp)'!BV23-Biaya!BV23</f>
        <v>0</v>
      </c>
      <c r="BW23" s="3">
        <f>'Hasil (Rp)'!BW23-Biaya!BW23</f>
        <v>853904.31603201875</v>
      </c>
      <c r="BX23" s="7" t="s">
        <v>105</v>
      </c>
      <c r="BY23" s="2" t="s">
        <v>33</v>
      </c>
      <c r="BZ23" s="3">
        <f>'Hasil (Rp)'!BZ23-Biaya!BZ23</f>
        <v>4004763.2696802933</v>
      </c>
      <c r="CA23" s="3">
        <f>'Hasil (Rp)'!CA23-Biaya!CA23</f>
        <v>0</v>
      </c>
      <c r="CB23" s="3">
        <f>'Hasil (Rp)'!CB23-Biaya!CB23</f>
        <v>0</v>
      </c>
      <c r="CC23" s="3">
        <f>'Hasil (Rp)'!CC23-Biaya!CC23</f>
        <v>0</v>
      </c>
      <c r="CD23" s="3">
        <f>'Hasil (Rp)'!CD23-Biaya!CD23</f>
        <v>4004763.2696802933</v>
      </c>
      <c r="CE23" s="7" t="s">
        <v>105</v>
      </c>
      <c r="CF23" s="2" t="s">
        <v>33</v>
      </c>
      <c r="CG23" s="3">
        <f>'Hasil (Rp)'!CG23-Biaya!CG23</f>
        <v>370214693.48030472</v>
      </c>
      <c r="CH23" s="3">
        <f>'Hasil (Rp)'!CH23-Biaya!CH23</f>
        <v>5047460201.6264763</v>
      </c>
      <c r="CI23" s="3">
        <f>'Hasil (Rp)'!CI23-Biaya!CI23</f>
        <v>0</v>
      </c>
      <c r="CJ23" s="3">
        <f>'Hasil (Rp)'!CJ23-Biaya!CJ23</f>
        <v>0</v>
      </c>
      <c r="CK23" s="3">
        <f>'Hasil (Rp)'!CK23-Biaya!CK23</f>
        <v>5417674895.1067772</v>
      </c>
      <c r="CL23" s="7" t="s">
        <v>105</v>
      </c>
      <c r="CM23" s="2" t="s">
        <v>33</v>
      </c>
      <c r="CN23" s="3">
        <f>'Hasil (Rp)'!CN23-Biaya!CN23</f>
        <v>0</v>
      </c>
      <c r="CO23" s="3">
        <f>'Hasil (Rp)'!CO23-Biaya!CO23</f>
        <v>0</v>
      </c>
      <c r="CP23" s="3">
        <f>'Hasil (Rp)'!CP23-Biaya!CP23</f>
        <v>0</v>
      </c>
      <c r="CQ23" s="3">
        <f>'Hasil (Rp)'!CQ23-Biaya!CQ23</f>
        <v>0</v>
      </c>
      <c r="CR23" s="3">
        <f>'Hasil (Rp)'!CR23-Biaya!CR23</f>
        <v>0</v>
      </c>
      <c r="CS23" s="7" t="s">
        <v>105</v>
      </c>
      <c r="CT23" s="2" t="s">
        <v>33</v>
      </c>
      <c r="CU23" s="3">
        <f>'Hasil (Rp)'!CU23-Biaya!CU23</f>
        <v>8150453.8339947388</v>
      </c>
      <c r="CV23" s="3">
        <f>'Hasil (Rp)'!CV23-Biaya!CV23</f>
        <v>0</v>
      </c>
      <c r="CW23" s="3">
        <f>'Hasil (Rp)'!CW23-Biaya!CW23</f>
        <v>0</v>
      </c>
      <c r="CX23" s="3">
        <f>'Hasil (Rp)'!CX23-Biaya!CX23</f>
        <v>0</v>
      </c>
      <c r="CY23" s="3">
        <f>'Hasil (Rp)'!CY23-Biaya!CY23</f>
        <v>8150453.8339947388</v>
      </c>
      <c r="CZ23" s="7" t="s">
        <v>105</v>
      </c>
      <c r="DA23" s="2" t="s">
        <v>33</v>
      </c>
      <c r="DB23" s="3">
        <f>'Hasil (Rp)'!DB23-Biaya!DB23</f>
        <v>0</v>
      </c>
      <c r="DC23" s="3">
        <f>'Hasil (Rp)'!DC23-Biaya!DC23</f>
        <v>0</v>
      </c>
      <c r="DD23" s="3">
        <f>'Hasil (Rp)'!DD23-Biaya!DD23</f>
        <v>0</v>
      </c>
      <c r="DE23" s="3">
        <f>'Hasil (Rp)'!DE23-Biaya!DE23</f>
        <v>0</v>
      </c>
      <c r="DF23" s="3">
        <f>'Hasil (Rp)'!DF23-Biaya!DF23</f>
        <v>0</v>
      </c>
      <c r="DG23" s="7" t="s">
        <v>105</v>
      </c>
      <c r="DH23" s="2" t="s">
        <v>33</v>
      </c>
      <c r="DI23" s="3">
        <f>'Hasil (Rp)'!DI23-Biaya!DI23</f>
        <v>0</v>
      </c>
      <c r="DJ23" s="3">
        <f>'Hasil (Rp)'!DJ23-Biaya!DJ23</f>
        <v>0</v>
      </c>
      <c r="DK23" s="3">
        <f>'Hasil (Rp)'!DK23-Biaya!DK23</f>
        <v>0</v>
      </c>
      <c r="DL23" s="3">
        <f>'Hasil (Rp)'!DL23-Biaya!DL23</f>
        <v>0</v>
      </c>
      <c r="DM23" s="3">
        <f>'Hasil (Rp)'!DM23-Biaya!DM23</f>
        <v>0</v>
      </c>
      <c r="DN23" s="7" t="s">
        <v>105</v>
      </c>
      <c r="DO23" s="2" t="s">
        <v>33</v>
      </c>
      <c r="DP23" s="3">
        <f>'Hasil (Rp)'!DP23-Biaya!DP23</f>
        <v>72001828.977272719</v>
      </c>
      <c r="DQ23" s="3">
        <f>'Hasil (Rp)'!DQ23-Biaya!DQ23</f>
        <v>12465135.535194777</v>
      </c>
      <c r="DR23" s="3">
        <f>'Hasil (Rp)'!DR23-Biaya!DR23</f>
        <v>0</v>
      </c>
      <c r="DS23" s="3">
        <f>'Hasil (Rp)'!DS23-Biaya!DS23</f>
        <v>0</v>
      </c>
      <c r="DT23" s="3">
        <f>'Hasil (Rp)'!DT23-Biaya!DT23</f>
        <v>84466964.512467474</v>
      </c>
      <c r="DU23" s="7" t="s">
        <v>105</v>
      </c>
      <c r="DV23" s="2" t="s">
        <v>33</v>
      </c>
      <c r="DW23" s="3">
        <f>'Hasil (Rp)'!DW23-Biaya!DW23</f>
        <v>19745941.551192179</v>
      </c>
      <c r="DX23" s="3">
        <f>'Hasil (Rp)'!DX23-Biaya!DX23</f>
        <v>1260598388.1447983</v>
      </c>
      <c r="DY23" s="3">
        <f>'Hasil (Rp)'!DY23-Biaya!DY23</f>
        <v>0</v>
      </c>
      <c r="DZ23" s="3">
        <f>'Hasil (Rp)'!DZ23-Biaya!DZ23</f>
        <v>0</v>
      </c>
      <c r="EA23" s="3">
        <f>'Hasil (Rp)'!EA23-Biaya!EA23</f>
        <v>1280344329.6959906</v>
      </c>
      <c r="EB23" s="7" t="s">
        <v>105</v>
      </c>
      <c r="EC23" s="2" t="s">
        <v>33</v>
      </c>
      <c r="ED23" s="3">
        <f>'Hasil (Rp)'!ED23-Biaya!ED23</f>
        <v>4443464329.802639</v>
      </c>
      <c r="EE23" s="3">
        <f>'Hasil (Rp)'!EE23-Biaya!EE23</f>
        <v>274574423.00238824</v>
      </c>
      <c r="EF23" s="3">
        <f>'Hasil (Rp)'!EF23-Biaya!EF23</f>
        <v>0</v>
      </c>
      <c r="EG23" s="3">
        <f>'Hasil (Rp)'!EG23-Biaya!EG23</f>
        <v>0</v>
      </c>
      <c r="EH23" s="3">
        <f>'Hasil (Rp)'!EH23-Biaya!EH23</f>
        <v>4718038752.805027</v>
      </c>
    </row>
    <row r="24" spans="1:138" ht="10.199999999999999" customHeight="1" x14ac:dyDescent="0.2">
      <c r="A24" s="7" t="s">
        <v>109</v>
      </c>
      <c r="B24" s="2" t="s">
        <v>37</v>
      </c>
      <c r="C24" s="3">
        <f t="shared" si="4"/>
        <v>0</v>
      </c>
      <c r="D24" s="3">
        <f t="shared" si="5"/>
        <v>0</v>
      </c>
      <c r="E24" s="3">
        <f t="shared" si="6"/>
        <v>0</v>
      </c>
      <c r="F24" s="3">
        <f t="shared" si="7"/>
        <v>1424461919.0162697</v>
      </c>
      <c r="G24" s="3">
        <f t="shared" si="8"/>
        <v>581115446.82747698</v>
      </c>
      <c r="H24" s="3">
        <f t="shared" si="9"/>
        <v>0</v>
      </c>
      <c r="I24" s="3">
        <f t="shared" si="10"/>
        <v>85116221.615372777</v>
      </c>
      <c r="J24" s="3">
        <f t="shared" si="11"/>
        <v>0</v>
      </c>
      <c r="K24" s="3">
        <f t="shared" si="12"/>
        <v>92105623.145921409</v>
      </c>
      <c r="L24" s="3">
        <f t="shared" si="13"/>
        <v>74860511.673597261</v>
      </c>
      <c r="M24" s="3">
        <f t="shared" si="14"/>
        <v>1101392062487.7661</v>
      </c>
      <c r="N24" s="3">
        <f t="shared" si="15"/>
        <v>202579902.80952835</v>
      </c>
      <c r="O24" s="3">
        <f t="shared" si="16"/>
        <v>1103852302112.8542</v>
      </c>
      <c r="P24" s="7" t="s">
        <v>109</v>
      </c>
      <c r="Q24" s="2" t="s">
        <v>37</v>
      </c>
      <c r="R24" s="3">
        <f t="shared" si="17"/>
        <v>0</v>
      </c>
      <c r="S24" s="3">
        <f t="shared" si="17"/>
        <v>0</v>
      </c>
      <c r="T24" s="3">
        <f t="shared" si="17"/>
        <v>0</v>
      </c>
      <c r="U24" s="3">
        <f t="shared" si="17"/>
        <v>1424461919.0162697</v>
      </c>
      <c r="V24" s="3">
        <f t="shared" si="17"/>
        <v>581115446.82747698</v>
      </c>
      <c r="W24" s="3">
        <f t="shared" si="17"/>
        <v>0</v>
      </c>
      <c r="X24" s="3">
        <f t="shared" si="17"/>
        <v>85116221.615372777</v>
      </c>
      <c r="Y24" s="3">
        <f t="shared" si="17"/>
        <v>0</v>
      </c>
      <c r="Z24" s="3">
        <f t="shared" si="17"/>
        <v>92105623.145921409</v>
      </c>
      <c r="AA24" s="3">
        <f t="shared" si="17"/>
        <v>74860511.673597261</v>
      </c>
      <c r="AB24" s="3">
        <f t="shared" si="18"/>
        <v>2257659722.2786379</v>
      </c>
      <c r="AC24" s="7" t="s">
        <v>109</v>
      </c>
      <c r="AD24" s="2" t="s">
        <v>37</v>
      </c>
      <c r="AE24" s="3">
        <f t="shared" si="19"/>
        <v>1101392062487.7661</v>
      </c>
      <c r="AF24" s="3">
        <f t="shared" si="19"/>
        <v>202579902.80952835</v>
      </c>
      <c r="AG24" s="3">
        <f t="shared" si="20"/>
        <v>1101594642390.5757</v>
      </c>
      <c r="AH24" s="7" t="s">
        <v>109</v>
      </c>
      <c r="AI24" s="2" t="s">
        <v>37</v>
      </c>
      <c r="AJ24" s="3">
        <f t="shared" si="21"/>
        <v>478765085578.74243</v>
      </c>
      <c r="AK24" s="3">
        <f t="shared" si="21"/>
        <v>624962458045.61462</v>
      </c>
      <c r="AL24" s="3">
        <f t="shared" si="21"/>
        <v>124758488.49705577</v>
      </c>
      <c r="AM24" s="3">
        <f t="shared" si="21"/>
        <v>0</v>
      </c>
      <c r="AN24" s="3">
        <f t="shared" si="22"/>
        <v>1103852302112.854</v>
      </c>
      <c r="AO24" s="7" t="s">
        <v>109</v>
      </c>
      <c r="AP24" s="2" t="s">
        <v>37</v>
      </c>
      <c r="AQ24" s="3">
        <f t="shared" si="23"/>
        <v>180056102.9297365</v>
      </c>
      <c r="AR24" s="3">
        <f t="shared" si="23"/>
        <v>1952845130.851846</v>
      </c>
      <c r="AS24" s="3">
        <f t="shared" si="23"/>
        <v>124758488.49705577</v>
      </c>
      <c r="AT24" s="3">
        <f t="shared" si="23"/>
        <v>0</v>
      </c>
      <c r="AU24" s="3">
        <f t="shared" si="24"/>
        <v>2257659722.2786379</v>
      </c>
      <c r="AV24" s="7" t="s">
        <v>109</v>
      </c>
      <c r="AW24" s="2" t="s">
        <v>37</v>
      </c>
      <c r="AX24" s="3">
        <f t="shared" si="25"/>
        <v>478585029475.81268</v>
      </c>
      <c r="AY24" s="3">
        <f t="shared" si="25"/>
        <v>623009612914.76282</v>
      </c>
      <c r="AZ24" s="3">
        <f t="shared" si="25"/>
        <v>0</v>
      </c>
      <c r="BA24" s="3">
        <f t="shared" si="25"/>
        <v>0</v>
      </c>
      <c r="BB24" s="3">
        <f t="shared" si="26"/>
        <v>1101594642390.5754</v>
      </c>
      <c r="BC24" s="7" t="s">
        <v>109</v>
      </c>
      <c r="BD24" s="2" t="s">
        <v>37</v>
      </c>
      <c r="BE24" s="3">
        <f>'Hasil (Rp)'!BE24-Biaya!BE24</f>
        <v>0</v>
      </c>
      <c r="BF24" s="3">
        <f>'Hasil (Rp)'!BF24-Biaya!BF24</f>
        <v>0</v>
      </c>
      <c r="BG24" s="3">
        <f>'Hasil (Rp)'!BG24-Biaya!BG24</f>
        <v>0</v>
      </c>
      <c r="BH24" s="3">
        <f>'Hasil (Rp)'!BH24-Biaya!BH24</f>
        <v>0</v>
      </c>
      <c r="BI24" s="3">
        <f>'Hasil (Rp)'!BI24-Biaya!BI24</f>
        <v>0</v>
      </c>
      <c r="BJ24" s="7" t="s">
        <v>109</v>
      </c>
      <c r="BK24" s="2" t="s">
        <v>37</v>
      </c>
      <c r="BL24" s="3">
        <f>'Hasil (Rp)'!BL24-Biaya!BL24</f>
        <v>0</v>
      </c>
      <c r="BM24" s="3">
        <f>'Hasil (Rp)'!BM24-Biaya!BM24</f>
        <v>0</v>
      </c>
      <c r="BN24" s="3">
        <f>'Hasil (Rp)'!BN24-Biaya!BN24</f>
        <v>0</v>
      </c>
      <c r="BO24" s="3">
        <f>'Hasil (Rp)'!BO24-Biaya!BO24</f>
        <v>0</v>
      </c>
      <c r="BP24" s="3">
        <f>'Hasil (Rp)'!BP24-Biaya!BP24</f>
        <v>0</v>
      </c>
      <c r="BQ24" s="7" t="s">
        <v>109</v>
      </c>
      <c r="BR24" s="2" t="s">
        <v>37</v>
      </c>
      <c r="BS24" s="3">
        <f>'Hasil (Rp)'!BS24-Biaya!BS24</f>
        <v>0</v>
      </c>
      <c r="BT24" s="3">
        <f>'Hasil (Rp)'!BT24-Biaya!BT24</f>
        <v>0</v>
      </c>
      <c r="BU24" s="3">
        <f>'Hasil (Rp)'!BU24-Biaya!BU24</f>
        <v>0</v>
      </c>
      <c r="BV24" s="3">
        <f>'Hasil (Rp)'!BV24-Biaya!BV24</f>
        <v>0</v>
      </c>
      <c r="BW24" s="3">
        <f>'Hasil (Rp)'!BW24-Biaya!BW24</f>
        <v>0</v>
      </c>
      <c r="BX24" s="7" t="s">
        <v>109</v>
      </c>
      <c r="BY24" s="2" t="s">
        <v>37</v>
      </c>
      <c r="BZ24" s="3">
        <f>'Hasil (Rp)'!BZ24-Biaya!BZ24</f>
        <v>7113776.1490613762</v>
      </c>
      <c r="CA24" s="3">
        <f>'Hasil (Rp)'!CA24-Biaya!CA24</f>
        <v>1417348142.8672085</v>
      </c>
      <c r="CB24" s="3">
        <f>'Hasil (Rp)'!CB24-Biaya!CB24</f>
        <v>0</v>
      </c>
      <c r="CC24" s="3">
        <f>'Hasil (Rp)'!CC24-Biaya!CC24</f>
        <v>0</v>
      </c>
      <c r="CD24" s="3">
        <f>'Hasil (Rp)'!CD24-Biaya!CD24</f>
        <v>1424461919.0162697</v>
      </c>
      <c r="CE24" s="7" t="s">
        <v>109</v>
      </c>
      <c r="CF24" s="2" t="s">
        <v>37</v>
      </c>
      <c r="CG24" s="3">
        <f>'Hasil (Rp)'!CG24-Biaya!CG24</f>
        <v>97696794.226315141</v>
      </c>
      <c r="CH24" s="3">
        <f>'Hasil (Rp)'!CH24-Biaya!CH24</f>
        <v>358660164.10410595</v>
      </c>
      <c r="CI24" s="3">
        <f>'Hasil (Rp)'!CI24-Biaya!CI24</f>
        <v>124758488.49705577</v>
      </c>
      <c r="CJ24" s="3">
        <f>'Hasil (Rp)'!CJ24-Biaya!CJ24</f>
        <v>0</v>
      </c>
      <c r="CK24" s="3">
        <f>'Hasil (Rp)'!CK24-Biaya!CK24</f>
        <v>581115446.82747698</v>
      </c>
      <c r="CL24" s="7" t="s">
        <v>109</v>
      </c>
      <c r="CM24" s="2" t="s">
        <v>37</v>
      </c>
      <c r="CN24" s="3">
        <f>'Hasil (Rp)'!CN24-Biaya!CN24</f>
        <v>0</v>
      </c>
      <c r="CO24" s="3">
        <f>'Hasil (Rp)'!CO24-Biaya!CO24</f>
        <v>0</v>
      </c>
      <c r="CP24" s="3">
        <f>'Hasil (Rp)'!CP24-Biaya!CP24</f>
        <v>0</v>
      </c>
      <c r="CQ24" s="3">
        <f>'Hasil (Rp)'!CQ24-Biaya!CQ24</f>
        <v>0</v>
      </c>
      <c r="CR24" s="3">
        <f>'Hasil (Rp)'!CR24-Biaya!CR24</f>
        <v>0</v>
      </c>
      <c r="CS24" s="7" t="s">
        <v>109</v>
      </c>
      <c r="CT24" s="2" t="s">
        <v>37</v>
      </c>
      <c r="CU24" s="3">
        <f>'Hasil (Rp)'!CU24-Biaya!CU24</f>
        <v>1137521.3561762087</v>
      </c>
      <c r="CV24" s="3">
        <f>'Hasil (Rp)'!CV24-Biaya!CV24</f>
        <v>83978700.259196579</v>
      </c>
      <c r="CW24" s="3">
        <f>'Hasil (Rp)'!CW24-Biaya!CW24</f>
        <v>0</v>
      </c>
      <c r="CX24" s="3">
        <f>'Hasil (Rp)'!CX24-Biaya!CX24</f>
        <v>0</v>
      </c>
      <c r="CY24" s="3">
        <f>'Hasil (Rp)'!CY24-Biaya!CY24</f>
        <v>85116221.615372777</v>
      </c>
      <c r="CZ24" s="7" t="s">
        <v>109</v>
      </c>
      <c r="DA24" s="2" t="s">
        <v>37</v>
      </c>
      <c r="DB24" s="3">
        <f>'Hasil (Rp)'!DB24-Biaya!DB24</f>
        <v>0</v>
      </c>
      <c r="DC24" s="3">
        <f>'Hasil (Rp)'!DC24-Biaya!DC24</f>
        <v>92105623.145921409</v>
      </c>
      <c r="DD24" s="3">
        <f>'Hasil (Rp)'!DD24-Biaya!DD24</f>
        <v>0</v>
      </c>
      <c r="DE24" s="3">
        <f>'Hasil (Rp)'!DE24-Biaya!DE24</f>
        <v>0</v>
      </c>
      <c r="DF24" s="3">
        <f>'Hasil (Rp)'!DF24-Biaya!DF24</f>
        <v>92105623.145921409</v>
      </c>
      <c r="DG24" s="7" t="s">
        <v>109</v>
      </c>
      <c r="DH24" s="2" t="s">
        <v>37</v>
      </c>
      <c r="DI24" s="3">
        <f>'Hasil (Rp)'!DI24-Biaya!DI24</f>
        <v>0</v>
      </c>
      <c r="DJ24" s="3">
        <f>'Hasil (Rp)'!DJ24-Biaya!DJ24</f>
        <v>0</v>
      </c>
      <c r="DK24" s="3">
        <f>'Hasil (Rp)'!DK24-Biaya!DK24</f>
        <v>0</v>
      </c>
      <c r="DL24" s="3">
        <f>'Hasil (Rp)'!DL24-Biaya!DL24</f>
        <v>0</v>
      </c>
      <c r="DM24" s="3">
        <f>'Hasil (Rp)'!DM24-Biaya!DM24</f>
        <v>0</v>
      </c>
      <c r="DN24" s="7" t="s">
        <v>109</v>
      </c>
      <c r="DO24" s="2" t="s">
        <v>37</v>
      </c>
      <c r="DP24" s="3">
        <f>'Hasil (Rp)'!DP24-Biaya!DP24</f>
        <v>74108011.19818376</v>
      </c>
      <c r="DQ24" s="3">
        <f>'Hasil (Rp)'!DQ24-Biaya!DQ24</f>
        <v>752500.47541350545</v>
      </c>
      <c r="DR24" s="3">
        <f>'Hasil (Rp)'!DR24-Biaya!DR24</f>
        <v>0</v>
      </c>
      <c r="DS24" s="3">
        <f>'Hasil (Rp)'!DS24-Biaya!DS24</f>
        <v>0</v>
      </c>
      <c r="DT24" s="3">
        <f>'Hasil (Rp)'!DT24-Biaya!DT24</f>
        <v>74860511.673597261</v>
      </c>
      <c r="DU24" s="7" t="s">
        <v>109</v>
      </c>
      <c r="DV24" s="2" t="s">
        <v>37</v>
      </c>
      <c r="DW24" s="3">
        <f>'Hasil (Rp)'!DW24-Biaya!DW24</f>
        <v>2307384.2408747692</v>
      </c>
      <c r="DX24" s="3">
        <f>'Hasil (Rp)'!DX24-Biaya!DX24</f>
        <v>200272518.56865358</v>
      </c>
      <c r="DY24" s="3">
        <f>'Hasil (Rp)'!DY24-Biaya!DY24</f>
        <v>0</v>
      </c>
      <c r="DZ24" s="3">
        <f>'Hasil (Rp)'!DZ24-Biaya!DZ24</f>
        <v>0</v>
      </c>
      <c r="EA24" s="3">
        <f>'Hasil (Rp)'!EA24-Biaya!EA24</f>
        <v>202579902.80952835</v>
      </c>
      <c r="EB24" s="7" t="s">
        <v>109</v>
      </c>
      <c r="EC24" s="2" t="s">
        <v>37</v>
      </c>
      <c r="ED24" s="3">
        <f>'Hasil (Rp)'!ED24-Biaya!ED24</f>
        <v>478582722091.57184</v>
      </c>
      <c r="EE24" s="3">
        <f>'Hasil (Rp)'!EE24-Biaya!EE24</f>
        <v>622809340396.19421</v>
      </c>
      <c r="EF24" s="3">
        <f>'Hasil (Rp)'!EF24-Biaya!EF24</f>
        <v>0</v>
      </c>
      <c r="EG24" s="3">
        <f>'Hasil (Rp)'!EG24-Biaya!EG24</f>
        <v>0</v>
      </c>
      <c r="EH24" s="3">
        <f>'Hasil (Rp)'!EH24-Biaya!EH24</f>
        <v>1101392062487.7661</v>
      </c>
    </row>
    <row r="25" spans="1:138" ht="10.199999999999999" customHeight="1" x14ac:dyDescent="0.2">
      <c r="A25" s="7" t="s">
        <v>96</v>
      </c>
      <c r="B25" s="2" t="s">
        <v>24</v>
      </c>
      <c r="C25" s="3">
        <f t="shared" si="4"/>
        <v>0</v>
      </c>
      <c r="D25" s="3">
        <f t="shared" si="5"/>
        <v>190527190.84079558</v>
      </c>
      <c r="E25" s="3">
        <f t="shared" si="6"/>
        <v>0</v>
      </c>
      <c r="F25" s="3">
        <f t="shared" si="7"/>
        <v>313737085.88684106</v>
      </c>
      <c r="G25" s="3">
        <f t="shared" si="8"/>
        <v>154683566.83070743</v>
      </c>
      <c r="H25" s="3">
        <f t="shared" si="9"/>
        <v>0</v>
      </c>
      <c r="I25" s="3">
        <f t="shared" si="10"/>
        <v>5446804350.0872726</v>
      </c>
      <c r="J25" s="3">
        <f t="shared" si="11"/>
        <v>0</v>
      </c>
      <c r="K25" s="3">
        <f t="shared" si="12"/>
        <v>67762563.994531095</v>
      </c>
      <c r="L25" s="3">
        <f t="shared" si="13"/>
        <v>62699521.069187075</v>
      </c>
      <c r="M25" s="3">
        <f t="shared" si="14"/>
        <v>4563135840.5242767</v>
      </c>
      <c r="N25" s="3">
        <f t="shared" si="15"/>
        <v>2380492663.3544655</v>
      </c>
      <c r="O25" s="3">
        <f t="shared" si="16"/>
        <v>13179842782.588078</v>
      </c>
      <c r="P25" s="7" t="s">
        <v>96</v>
      </c>
      <c r="Q25" s="2" t="s">
        <v>24</v>
      </c>
      <c r="R25" s="3">
        <f t="shared" si="17"/>
        <v>0</v>
      </c>
      <c r="S25" s="3">
        <f t="shared" si="17"/>
        <v>190527190.84079558</v>
      </c>
      <c r="T25" s="3">
        <f t="shared" si="17"/>
        <v>0</v>
      </c>
      <c r="U25" s="3">
        <f t="shared" si="17"/>
        <v>313737085.88684106</v>
      </c>
      <c r="V25" s="3">
        <f t="shared" si="17"/>
        <v>154683566.83070743</v>
      </c>
      <c r="W25" s="3">
        <f t="shared" si="17"/>
        <v>0</v>
      </c>
      <c r="X25" s="3">
        <f t="shared" si="17"/>
        <v>5446804350.0872726</v>
      </c>
      <c r="Y25" s="3">
        <f t="shared" si="17"/>
        <v>0</v>
      </c>
      <c r="Z25" s="3">
        <f t="shared" si="17"/>
        <v>67762563.994531095</v>
      </c>
      <c r="AA25" s="3">
        <f t="shared" si="17"/>
        <v>62699521.069187075</v>
      </c>
      <c r="AB25" s="3">
        <f t="shared" si="18"/>
        <v>6236214278.7093344</v>
      </c>
      <c r="AC25" s="7" t="s">
        <v>96</v>
      </c>
      <c r="AD25" s="2" t="s">
        <v>24</v>
      </c>
      <c r="AE25" s="3">
        <f t="shared" si="19"/>
        <v>4563135840.5242767</v>
      </c>
      <c r="AF25" s="3">
        <f t="shared" si="19"/>
        <v>2380492663.3544655</v>
      </c>
      <c r="AG25" s="3">
        <f t="shared" si="20"/>
        <v>6943628503.8787422</v>
      </c>
      <c r="AH25" s="7" t="s">
        <v>96</v>
      </c>
      <c r="AI25" s="2" t="s">
        <v>24</v>
      </c>
      <c r="AJ25" s="3">
        <f t="shared" si="21"/>
        <v>10493103133.022938</v>
      </c>
      <c r="AK25" s="3">
        <f t="shared" si="21"/>
        <v>2686739649.5651402</v>
      </c>
      <c r="AL25" s="3">
        <f t="shared" si="21"/>
        <v>0</v>
      </c>
      <c r="AM25" s="3">
        <f t="shared" si="21"/>
        <v>0</v>
      </c>
      <c r="AN25" s="3">
        <f t="shared" si="22"/>
        <v>13179842782.588078</v>
      </c>
      <c r="AO25" s="7" t="s">
        <v>96</v>
      </c>
      <c r="AP25" s="2" t="s">
        <v>24</v>
      </c>
      <c r="AQ25" s="3">
        <f t="shared" si="23"/>
        <v>3643820122.0665007</v>
      </c>
      <c r="AR25" s="3">
        <f t="shared" si="23"/>
        <v>2592394156.6428351</v>
      </c>
      <c r="AS25" s="3">
        <f t="shared" si="23"/>
        <v>0</v>
      </c>
      <c r="AT25" s="3">
        <f t="shared" si="23"/>
        <v>0</v>
      </c>
      <c r="AU25" s="3">
        <f t="shared" si="24"/>
        <v>6236214278.7093353</v>
      </c>
      <c r="AV25" s="7" t="s">
        <v>96</v>
      </c>
      <c r="AW25" s="2" t="s">
        <v>24</v>
      </c>
      <c r="AX25" s="3">
        <f t="shared" si="25"/>
        <v>6849283010.9564362</v>
      </c>
      <c r="AY25" s="3">
        <f t="shared" si="25"/>
        <v>94345492.922305003</v>
      </c>
      <c r="AZ25" s="3">
        <f t="shared" si="25"/>
        <v>0</v>
      </c>
      <c r="BA25" s="3">
        <f t="shared" si="25"/>
        <v>0</v>
      </c>
      <c r="BB25" s="3">
        <f t="shared" si="26"/>
        <v>6943628503.8787413</v>
      </c>
      <c r="BC25" s="7" t="s">
        <v>96</v>
      </c>
      <c r="BD25" s="2" t="s">
        <v>24</v>
      </c>
      <c r="BE25" s="3">
        <f>'Hasil (Rp)'!BE25-Biaya!BE25</f>
        <v>0</v>
      </c>
      <c r="BF25" s="3">
        <f>'Hasil (Rp)'!BF25-Biaya!BF25</f>
        <v>0</v>
      </c>
      <c r="BG25" s="3">
        <f>'Hasil (Rp)'!BG25-Biaya!BG25</f>
        <v>0</v>
      </c>
      <c r="BH25" s="3">
        <f>'Hasil (Rp)'!BH25-Biaya!BH25</f>
        <v>0</v>
      </c>
      <c r="BI25" s="3">
        <f>'Hasil (Rp)'!BI25-Biaya!BI25</f>
        <v>0</v>
      </c>
      <c r="BJ25" s="7" t="s">
        <v>96</v>
      </c>
      <c r="BK25" s="2" t="s">
        <v>24</v>
      </c>
      <c r="BL25" s="3">
        <f>'Hasil (Rp)'!BL25-Biaya!BL25</f>
        <v>190527190.84079558</v>
      </c>
      <c r="BM25" s="3">
        <f>'Hasil (Rp)'!BM25-Biaya!BM25</f>
        <v>0</v>
      </c>
      <c r="BN25" s="3">
        <f>'Hasil (Rp)'!BN25-Biaya!BN25</f>
        <v>0</v>
      </c>
      <c r="BO25" s="3">
        <f>'Hasil (Rp)'!BO25-Biaya!BO25</f>
        <v>0</v>
      </c>
      <c r="BP25" s="3">
        <f>'Hasil (Rp)'!BP25-Biaya!BP25</f>
        <v>190527190.84079558</v>
      </c>
      <c r="BQ25" s="7" t="s">
        <v>96</v>
      </c>
      <c r="BR25" s="2" t="s">
        <v>24</v>
      </c>
      <c r="BS25" s="3">
        <f>'Hasil (Rp)'!BS25-Biaya!BS25</f>
        <v>0</v>
      </c>
      <c r="BT25" s="3">
        <f>'Hasil (Rp)'!BT25-Biaya!BT25</f>
        <v>0</v>
      </c>
      <c r="BU25" s="3">
        <f>'Hasil (Rp)'!BU25-Biaya!BU25</f>
        <v>0</v>
      </c>
      <c r="BV25" s="3">
        <f>'Hasil (Rp)'!BV25-Biaya!BV25</f>
        <v>0</v>
      </c>
      <c r="BW25" s="3">
        <f>'Hasil (Rp)'!BW25-Biaya!BW25</f>
        <v>0</v>
      </c>
      <c r="BX25" s="7" t="s">
        <v>96</v>
      </c>
      <c r="BY25" s="2" t="s">
        <v>24</v>
      </c>
      <c r="BZ25" s="3">
        <f>'Hasil (Rp)'!BZ25-Biaya!BZ25</f>
        <v>293817257.67122871</v>
      </c>
      <c r="CA25" s="3">
        <f>'Hasil (Rp)'!CA25-Biaya!CA25</f>
        <v>19919828.215612292</v>
      </c>
      <c r="CB25" s="3">
        <f>'Hasil (Rp)'!CB25-Biaya!CB25</f>
        <v>0</v>
      </c>
      <c r="CC25" s="3">
        <f>'Hasil (Rp)'!CC25-Biaya!CC25</f>
        <v>0</v>
      </c>
      <c r="CD25" s="3">
        <f>'Hasil (Rp)'!CD25-Biaya!CD25</f>
        <v>313737085.88684106</v>
      </c>
      <c r="CE25" s="7" t="s">
        <v>96</v>
      </c>
      <c r="CF25" s="2" t="s">
        <v>24</v>
      </c>
      <c r="CG25" s="3">
        <f>'Hasil (Rp)'!CG25-Biaya!CG25</f>
        <v>95249604.320987612</v>
      </c>
      <c r="CH25" s="3">
        <f>'Hasil (Rp)'!CH25-Biaya!CH25</f>
        <v>59433962.509719729</v>
      </c>
      <c r="CI25" s="3">
        <f>'Hasil (Rp)'!CI25-Biaya!CI25</f>
        <v>0</v>
      </c>
      <c r="CJ25" s="3">
        <f>'Hasil (Rp)'!CJ25-Biaya!CJ25</f>
        <v>0</v>
      </c>
      <c r="CK25" s="3">
        <f>'Hasil (Rp)'!CK25-Biaya!CK25</f>
        <v>154683566.83070743</v>
      </c>
      <c r="CL25" s="7" t="s">
        <v>96</v>
      </c>
      <c r="CM25" s="2" t="s">
        <v>24</v>
      </c>
      <c r="CN25" s="3">
        <f>'Hasil (Rp)'!CN25-Biaya!CN25</f>
        <v>0</v>
      </c>
      <c r="CO25" s="3">
        <f>'Hasil (Rp)'!CO25-Biaya!CO25</f>
        <v>0</v>
      </c>
      <c r="CP25" s="3">
        <f>'Hasil (Rp)'!CP25-Biaya!CP25</f>
        <v>0</v>
      </c>
      <c r="CQ25" s="3">
        <f>'Hasil (Rp)'!CQ25-Biaya!CQ25</f>
        <v>0</v>
      </c>
      <c r="CR25" s="3">
        <f>'Hasil (Rp)'!CR25-Biaya!CR25</f>
        <v>0</v>
      </c>
      <c r="CS25" s="7" t="s">
        <v>96</v>
      </c>
      <c r="CT25" s="2" t="s">
        <v>24</v>
      </c>
      <c r="CU25" s="3">
        <f>'Hasil (Rp)'!CU25-Biaya!CU25</f>
        <v>2986980888.8255291</v>
      </c>
      <c r="CV25" s="3">
        <f>'Hasil (Rp)'!CV25-Biaya!CV25</f>
        <v>2459823461.2617445</v>
      </c>
      <c r="CW25" s="3">
        <f>'Hasil (Rp)'!CW25-Biaya!CW25</f>
        <v>0</v>
      </c>
      <c r="CX25" s="3">
        <f>'Hasil (Rp)'!CX25-Biaya!CX25</f>
        <v>0</v>
      </c>
      <c r="CY25" s="3">
        <f>'Hasil (Rp)'!CY25-Biaya!CY25</f>
        <v>5446804350.0872726</v>
      </c>
      <c r="CZ25" s="7" t="s">
        <v>96</v>
      </c>
      <c r="DA25" s="2" t="s">
        <v>24</v>
      </c>
      <c r="DB25" s="3">
        <f>'Hasil (Rp)'!DB25-Biaya!DB25</f>
        <v>14545659.338772783</v>
      </c>
      <c r="DC25" s="3">
        <f>'Hasil (Rp)'!DC25-Biaya!DC25</f>
        <v>53216904.655758306</v>
      </c>
      <c r="DD25" s="3">
        <f>'Hasil (Rp)'!DD25-Biaya!DD25</f>
        <v>0</v>
      </c>
      <c r="DE25" s="3">
        <f>'Hasil (Rp)'!DE25-Biaya!DE25</f>
        <v>0</v>
      </c>
      <c r="DF25" s="3">
        <f>'Hasil (Rp)'!DF25-Biaya!DF25</f>
        <v>67762563.994531095</v>
      </c>
      <c r="DG25" s="7" t="s">
        <v>96</v>
      </c>
      <c r="DH25" s="2" t="s">
        <v>24</v>
      </c>
      <c r="DI25" s="3">
        <f>'Hasil (Rp)'!DI25-Biaya!DI25</f>
        <v>0</v>
      </c>
      <c r="DJ25" s="3">
        <f>'Hasil (Rp)'!DJ25-Biaya!DJ25</f>
        <v>0</v>
      </c>
      <c r="DK25" s="3">
        <f>'Hasil (Rp)'!DK25-Biaya!DK25</f>
        <v>0</v>
      </c>
      <c r="DL25" s="3">
        <f>'Hasil (Rp)'!DL25-Biaya!DL25</f>
        <v>0</v>
      </c>
      <c r="DM25" s="3">
        <f>'Hasil (Rp)'!DM25-Biaya!DM25</f>
        <v>0</v>
      </c>
      <c r="DN25" s="7" t="s">
        <v>96</v>
      </c>
      <c r="DO25" s="2" t="s">
        <v>24</v>
      </c>
      <c r="DP25" s="3">
        <f>'Hasil (Rp)'!DP25-Biaya!DP25</f>
        <v>62699521.069187075</v>
      </c>
      <c r="DQ25" s="3">
        <f>'Hasil (Rp)'!DQ25-Biaya!DQ25</f>
        <v>0</v>
      </c>
      <c r="DR25" s="3">
        <f>'Hasil (Rp)'!DR25-Biaya!DR25</f>
        <v>0</v>
      </c>
      <c r="DS25" s="3">
        <f>'Hasil (Rp)'!DS25-Biaya!DS25</f>
        <v>0</v>
      </c>
      <c r="DT25" s="3">
        <f>'Hasil (Rp)'!DT25-Biaya!DT25</f>
        <v>62699521.069187075</v>
      </c>
      <c r="DU25" s="7" t="s">
        <v>96</v>
      </c>
      <c r="DV25" s="2" t="s">
        <v>24</v>
      </c>
      <c r="DW25" s="3">
        <f>'Hasil (Rp)'!DW25-Biaya!DW25</f>
        <v>2366810951.2524338</v>
      </c>
      <c r="DX25" s="3">
        <f>'Hasil (Rp)'!DX25-Biaya!DX25</f>
        <v>13681712.102031186</v>
      </c>
      <c r="DY25" s="3">
        <f>'Hasil (Rp)'!DY25-Biaya!DY25</f>
        <v>0</v>
      </c>
      <c r="DZ25" s="3">
        <f>'Hasil (Rp)'!DZ25-Biaya!DZ25</f>
        <v>0</v>
      </c>
      <c r="EA25" s="3">
        <f>'Hasil (Rp)'!EA25-Biaya!EA25</f>
        <v>2380492663.3544655</v>
      </c>
      <c r="EB25" s="7" t="s">
        <v>96</v>
      </c>
      <c r="EC25" s="2" t="s">
        <v>24</v>
      </c>
      <c r="ED25" s="3">
        <f>'Hasil (Rp)'!ED25-Biaya!ED25</f>
        <v>4482472059.7040024</v>
      </c>
      <c r="EE25" s="3">
        <f>'Hasil (Rp)'!EE25-Biaya!EE25</f>
        <v>80663780.820273817</v>
      </c>
      <c r="EF25" s="3">
        <f>'Hasil (Rp)'!EF25-Biaya!EF25</f>
        <v>0</v>
      </c>
      <c r="EG25" s="3">
        <f>'Hasil (Rp)'!EG25-Biaya!EG25</f>
        <v>0</v>
      </c>
      <c r="EH25" s="3">
        <f>'Hasil (Rp)'!EH25-Biaya!EH25</f>
        <v>4563135840.5242767</v>
      </c>
    </row>
    <row r="26" spans="1:138" ht="10.199999999999999" customHeight="1" x14ac:dyDescent="0.2">
      <c r="A26" s="7" t="s">
        <v>120</v>
      </c>
      <c r="B26" s="2" t="s">
        <v>48</v>
      </c>
      <c r="C26" s="3">
        <f t="shared" si="4"/>
        <v>52393534.285714284</v>
      </c>
      <c r="D26" s="3">
        <f t="shared" si="5"/>
        <v>4664373.1069562268</v>
      </c>
      <c r="E26" s="3">
        <f t="shared" si="6"/>
        <v>92556135517.427002</v>
      </c>
      <c r="F26" s="3">
        <f t="shared" si="7"/>
        <v>2073948330.5988684</v>
      </c>
      <c r="G26" s="3">
        <f t="shared" si="8"/>
        <v>2563030785.5165024</v>
      </c>
      <c r="H26" s="3">
        <f t="shared" si="9"/>
        <v>0</v>
      </c>
      <c r="I26" s="3">
        <f t="shared" si="10"/>
        <v>6578105041.1357231</v>
      </c>
      <c r="J26" s="3">
        <f t="shared" si="11"/>
        <v>458626402.5149653</v>
      </c>
      <c r="K26" s="3">
        <f t="shared" si="12"/>
        <v>65408618637.092163</v>
      </c>
      <c r="L26" s="3">
        <f t="shared" si="13"/>
        <v>2747030157.6282616</v>
      </c>
      <c r="M26" s="3">
        <f t="shared" si="14"/>
        <v>27992019975.144272</v>
      </c>
      <c r="N26" s="3">
        <f t="shared" si="15"/>
        <v>12507250254.762733</v>
      </c>
      <c r="O26" s="3">
        <f t="shared" si="16"/>
        <v>212941823009.21317</v>
      </c>
      <c r="P26" s="7" t="s">
        <v>120</v>
      </c>
      <c r="Q26" s="2" t="s">
        <v>48</v>
      </c>
      <c r="R26" s="3">
        <f t="shared" si="17"/>
        <v>52393534.285714284</v>
      </c>
      <c r="S26" s="3">
        <f t="shared" si="17"/>
        <v>4664373.1069562268</v>
      </c>
      <c r="T26" s="3">
        <f t="shared" si="17"/>
        <v>92556135517.427002</v>
      </c>
      <c r="U26" s="3">
        <f t="shared" si="17"/>
        <v>2073948330.5988684</v>
      </c>
      <c r="V26" s="3">
        <f t="shared" si="17"/>
        <v>2563030785.5165024</v>
      </c>
      <c r="W26" s="3">
        <f t="shared" si="17"/>
        <v>0</v>
      </c>
      <c r="X26" s="3">
        <f t="shared" si="17"/>
        <v>6578105041.1357231</v>
      </c>
      <c r="Y26" s="3">
        <f t="shared" si="17"/>
        <v>458626402.5149653</v>
      </c>
      <c r="Z26" s="3">
        <f t="shared" si="17"/>
        <v>65408618637.092163</v>
      </c>
      <c r="AA26" s="3">
        <f t="shared" si="17"/>
        <v>2747030157.6282616</v>
      </c>
      <c r="AB26" s="3">
        <f t="shared" si="18"/>
        <v>172442552779.30615</v>
      </c>
      <c r="AC26" s="7" t="s">
        <v>120</v>
      </c>
      <c r="AD26" s="2" t="s">
        <v>48</v>
      </c>
      <c r="AE26" s="3">
        <f t="shared" si="19"/>
        <v>27992019975.144272</v>
      </c>
      <c r="AF26" s="3">
        <f t="shared" si="19"/>
        <v>12507250254.762733</v>
      </c>
      <c r="AG26" s="3">
        <f t="shared" si="20"/>
        <v>40499270229.907005</v>
      </c>
      <c r="AH26" s="7" t="s">
        <v>120</v>
      </c>
      <c r="AI26" s="2" t="s">
        <v>48</v>
      </c>
      <c r="AJ26" s="3">
        <f t="shared" si="21"/>
        <v>28254945048.571655</v>
      </c>
      <c r="AK26" s="3">
        <f t="shared" si="21"/>
        <v>25545798652.794453</v>
      </c>
      <c r="AL26" s="3">
        <f t="shared" si="21"/>
        <v>113578106379.11475</v>
      </c>
      <c r="AM26" s="3">
        <f t="shared" si="21"/>
        <v>45562972928.732422</v>
      </c>
      <c r="AN26" s="3">
        <f t="shared" si="22"/>
        <v>212941823009.21326</v>
      </c>
      <c r="AO26" s="7" t="s">
        <v>120</v>
      </c>
      <c r="AP26" s="2" t="s">
        <v>48</v>
      </c>
      <c r="AQ26" s="3">
        <f t="shared" si="23"/>
        <v>8686035144.1131763</v>
      </c>
      <c r="AR26" s="3">
        <f t="shared" si="23"/>
        <v>9356632504.6586704</v>
      </c>
      <c r="AS26" s="3">
        <f t="shared" si="23"/>
        <v>108836912201.802</v>
      </c>
      <c r="AT26" s="3">
        <f t="shared" si="23"/>
        <v>45562972928.732422</v>
      </c>
      <c r="AU26" s="3">
        <f t="shared" si="24"/>
        <v>172442552779.30627</v>
      </c>
      <c r="AV26" s="7" t="s">
        <v>120</v>
      </c>
      <c r="AW26" s="2" t="s">
        <v>48</v>
      </c>
      <c r="AX26" s="3">
        <f t="shared" si="25"/>
        <v>19568909904.458481</v>
      </c>
      <c r="AY26" s="3">
        <f t="shared" si="25"/>
        <v>16189166148.135782</v>
      </c>
      <c r="AZ26" s="3">
        <f t="shared" si="25"/>
        <v>4741194177.3127518</v>
      </c>
      <c r="BA26" s="3">
        <f t="shared" si="25"/>
        <v>0</v>
      </c>
      <c r="BB26" s="3">
        <f t="shared" si="26"/>
        <v>40499270229.907013</v>
      </c>
      <c r="BC26" s="7" t="s">
        <v>120</v>
      </c>
      <c r="BD26" s="2" t="s">
        <v>48</v>
      </c>
      <c r="BE26" s="3">
        <f>'Hasil (Rp)'!BE26-Biaya!BE26</f>
        <v>52393534.285714284</v>
      </c>
      <c r="BF26" s="3">
        <f>'Hasil (Rp)'!BF26-Biaya!BF26</f>
        <v>0</v>
      </c>
      <c r="BG26" s="3">
        <f>'Hasil (Rp)'!BG26-Biaya!BG26</f>
        <v>0</v>
      </c>
      <c r="BH26" s="3">
        <f>'Hasil (Rp)'!BH26-Biaya!BH26</f>
        <v>0</v>
      </c>
      <c r="BI26" s="3">
        <f>'Hasil (Rp)'!BI26-Biaya!BI26</f>
        <v>52393534.285714284</v>
      </c>
      <c r="BJ26" s="7" t="s">
        <v>120</v>
      </c>
      <c r="BK26" s="2" t="s">
        <v>48</v>
      </c>
      <c r="BL26" s="3">
        <f>'Hasil (Rp)'!BL26-Biaya!BL26</f>
        <v>4664373.1069562268</v>
      </c>
      <c r="BM26" s="3">
        <f>'Hasil (Rp)'!BM26-Biaya!BM26</f>
        <v>0</v>
      </c>
      <c r="BN26" s="3">
        <f>'Hasil (Rp)'!BN26-Biaya!BN26</f>
        <v>0</v>
      </c>
      <c r="BO26" s="3">
        <f>'Hasil (Rp)'!BO26-Biaya!BO26</f>
        <v>0</v>
      </c>
      <c r="BP26" s="3">
        <f>'Hasil (Rp)'!BP26-Biaya!BP26</f>
        <v>4664373.1069562268</v>
      </c>
      <c r="BQ26" s="7" t="s">
        <v>120</v>
      </c>
      <c r="BR26" s="2" t="s">
        <v>48</v>
      </c>
      <c r="BS26" s="3">
        <f>'Hasil (Rp)'!BS26-Biaya!BS26</f>
        <v>0</v>
      </c>
      <c r="BT26" s="3">
        <f>'Hasil (Rp)'!BT26-Biaya!BT26</f>
        <v>246245332.78987437</v>
      </c>
      <c r="BU26" s="3">
        <f>'Hasil (Rp)'!BU26-Biaya!BU26</f>
        <v>54046490625.575348</v>
      </c>
      <c r="BV26" s="3">
        <f>'Hasil (Rp)'!BV26-Biaya!BV26</f>
        <v>38263399559.06189</v>
      </c>
      <c r="BW26" s="3">
        <f>'Hasil (Rp)'!BW26-Biaya!BW26</f>
        <v>92556135517.427002</v>
      </c>
      <c r="BX26" s="7" t="s">
        <v>120</v>
      </c>
      <c r="BY26" s="2" t="s">
        <v>48</v>
      </c>
      <c r="BZ26" s="3">
        <f>'Hasil (Rp)'!BZ26-Biaya!BZ26</f>
        <v>1695517709.2269692</v>
      </c>
      <c r="CA26" s="3">
        <f>'Hasil (Rp)'!CA26-Biaya!CA26</f>
        <v>259477953.61442709</v>
      </c>
      <c r="CB26" s="3">
        <f>'Hasil (Rp)'!CB26-Biaya!CB26</f>
        <v>118952667.7574718</v>
      </c>
      <c r="CC26" s="3">
        <f>'Hasil (Rp)'!CC26-Biaya!CC26</f>
        <v>0</v>
      </c>
      <c r="CD26" s="3">
        <f>'Hasil (Rp)'!CD26-Biaya!CD26</f>
        <v>2073948330.5988684</v>
      </c>
      <c r="CE26" s="7" t="s">
        <v>120</v>
      </c>
      <c r="CF26" s="2" t="s">
        <v>48</v>
      </c>
      <c r="CG26" s="3">
        <f>'Hasil (Rp)'!CG26-Biaya!CG26</f>
        <v>25977086.419753082</v>
      </c>
      <c r="CH26" s="3">
        <f>'Hasil (Rp)'!CH26-Biaya!CH26</f>
        <v>2537053699.0967493</v>
      </c>
      <c r="CI26" s="3">
        <f>'Hasil (Rp)'!CI26-Biaya!CI26</f>
        <v>0</v>
      </c>
      <c r="CJ26" s="3">
        <f>'Hasil (Rp)'!CJ26-Biaya!CJ26</f>
        <v>0</v>
      </c>
      <c r="CK26" s="3">
        <f>'Hasil (Rp)'!CK26-Biaya!CK26</f>
        <v>2563030785.5165024</v>
      </c>
      <c r="CL26" s="7" t="s">
        <v>120</v>
      </c>
      <c r="CM26" s="2" t="s">
        <v>48</v>
      </c>
      <c r="CN26" s="3">
        <f>'Hasil (Rp)'!CN26-Biaya!CN26</f>
        <v>0</v>
      </c>
      <c r="CO26" s="3">
        <f>'Hasil (Rp)'!CO26-Biaya!CO26</f>
        <v>0</v>
      </c>
      <c r="CP26" s="3">
        <f>'Hasil (Rp)'!CP26-Biaya!CP26</f>
        <v>0</v>
      </c>
      <c r="CQ26" s="3">
        <f>'Hasil (Rp)'!CQ26-Biaya!CQ26</f>
        <v>0</v>
      </c>
      <c r="CR26" s="3">
        <f>'Hasil (Rp)'!CR26-Biaya!CR26</f>
        <v>0</v>
      </c>
      <c r="CS26" s="7" t="s">
        <v>120</v>
      </c>
      <c r="CT26" s="2" t="s">
        <v>48</v>
      </c>
      <c r="CU26" s="3">
        <f>'Hasil (Rp)'!CU26-Biaya!CU26</f>
        <v>3447716639.5889511</v>
      </c>
      <c r="CV26" s="3">
        <f>'Hasil (Rp)'!CV26-Biaya!CV26</f>
        <v>1725733844.8255119</v>
      </c>
      <c r="CW26" s="3">
        <f>'Hasil (Rp)'!CW26-Biaya!CW26</f>
        <v>1404654556.7212582</v>
      </c>
      <c r="CX26" s="3">
        <f>'Hasil (Rp)'!CX26-Biaya!CX26</f>
        <v>0</v>
      </c>
      <c r="CY26" s="3">
        <f>'Hasil (Rp)'!CY26-Biaya!CY26</f>
        <v>6578105041.1357231</v>
      </c>
      <c r="CZ26" s="7" t="s">
        <v>120</v>
      </c>
      <c r="DA26" s="2" t="s">
        <v>48</v>
      </c>
      <c r="DB26" s="3">
        <f>'Hasil (Rp)'!DB26-Biaya!DB26</f>
        <v>3001670496.1351061</v>
      </c>
      <c r="DC26" s="3">
        <f>'Hasil (Rp)'!DC26-Biaya!DC26</f>
        <v>3075263678.3234167</v>
      </c>
      <c r="DD26" s="3">
        <f>'Hasil (Rp)'!DD26-Biaya!DD26</f>
        <v>52032111092.963112</v>
      </c>
      <c r="DE26" s="3">
        <f>'Hasil (Rp)'!DE26-Biaya!DE26</f>
        <v>7299573369.6705322</v>
      </c>
      <c r="DF26" s="3">
        <f>'Hasil (Rp)'!DF26-Biaya!DF26</f>
        <v>65408618637.092163</v>
      </c>
      <c r="DG26" s="7" t="s">
        <v>120</v>
      </c>
      <c r="DH26" s="2" t="s">
        <v>48</v>
      </c>
      <c r="DI26" s="3">
        <f>'Hasil (Rp)'!DI26-Biaya!DI26</f>
        <v>241833607.22595182</v>
      </c>
      <c r="DJ26" s="3">
        <f>'Hasil (Rp)'!DJ26-Biaya!DJ26</f>
        <v>41773800.909441888</v>
      </c>
      <c r="DK26" s="3">
        <f>'Hasil (Rp)'!DK26-Biaya!DK26</f>
        <v>175018994.37957144</v>
      </c>
      <c r="DL26" s="3">
        <f>'Hasil (Rp)'!DL26-Biaya!DL26</f>
        <v>0</v>
      </c>
      <c r="DM26" s="3">
        <f>'Hasil (Rp)'!DM26-Biaya!DM26</f>
        <v>458626402.5149653</v>
      </c>
      <c r="DN26" s="7" t="s">
        <v>120</v>
      </c>
      <c r="DO26" s="2" t="s">
        <v>48</v>
      </c>
      <c r="DP26" s="3">
        <f>'Hasil (Rp)'!DP26-Biaya!DP26</f>
        <v>216261698.1237745</v>
      </c>
      <c r="DQ26" s="3">
        <f>'Hasil (Rp)'!DQ26-Biaya!DQ26</f>
        <v>1471084195.0992484</v>
      </c>
      <c r="DR26" s="3">
        <f>'Hasil (Rp)'!DR26-Biaya!DR26</f>
        <v>1059684264.4052384</v>
      </c>
      <c r="DS26" s="3">
        <f>'Hasil (Rp)'!DS26-Biaya!DS26</f>
        <v>0</v>
      </c>
      <c r="DT26" s="3">
        <f>'Hasil (Rp)'!DT26-Biaya!DT26</f>
        <v>2747030157.6282616</v>
      </c>
      <c r="DU26" s="7" t="s">
        <v>120</v>
      </c>
      <c r="DV26" s="2" t="s">
        <v>48</v>
      </c>
      <c r="DW26" s="3">
        <f>'Hasil (Rp)'!DW26-Biaya!DW26</f>
        <v>602250558.8748951</v>
      </c>
      <c r="DX26" s="3">
        <f>'Hasil (Rp)'!DX26-Biaya!DX26</f>
        <v>6739421968.0495281</v>
      </c>
      <c r="DY26" s="3">
        <f>'Hasil (Rp)'!DY26-Biaya!DY26</f>
        <v>5165577727.8383141</v>
      </c>
      <c r="DZ26" s="3">
        <f>'Hasil (Rp)'!DZ26-Biaya!DZ26</f>
        <v>0</v>
      </c>
      <c r="EA26" s="3">
        <f>'Hasil (Rp)'!EA26-Biaya!EA26</f>
        <v>12507250254.762733</v>
      </c>
      <c r="EB26" s="7" t="s">
        <v>120</v>
      </c>
      <c r="EC26" s="2" t="s">
        <v>48</v>
      </c>
      <c r="ED26" s="3">
        <f>'Hasil (Rp)'!ED26-Biaya!ED26</f>
        <v>18966659345.583588</v>
      </c>
      <c r="EE26" s="3">
        <f>'Hasil (Rp)'!EE26-Biaya!EE26</f>
        <v>9449744180.0862541</v>
      </c>
      <c r="EF26" s="3">
        <f>'Hasil (Rp)'!EF26-Biaya!EF26</f>
        <v>-424383550.52556229</v>
      </c>
      <c r="EG26" s="3">
        <f>'Hasil (Rp)'!EG26-Biaya!EG26</f>
        <v>0</v>
      </c>
      <c r="EH26" s="3">
        <f>'Hasil (Rp)'!EH26-Biaya!EH26</f>
        <v>27992019975.144272</v>
      </c>
    </row>
    <row r="27" spans="1:138" ht="10.199999999999999" customHeight="1" x14ac:dyDescent="0.2">
      <c r="A27" s="7" t="s">
        <v>102</v>
      </c>
      <c r="B27" s="2" t="s">
        <v>30</v>
      </c>
      <c r="C27" s="3">
        <f t="shared" si="4"/>
        <v>1250599.9161587842</v>
      </c>
      <c r="D27" s="3">
        <f t="shared" si="5"/>
        <v>8223516904.7985535</v>
      </c>
      <c r="E27" s="3">
        <f t="shared" si="6"/>
        <v>143906347958.16376</v>
      </c>
      <c r="F27" s="3">
        <f t="shared" si="7"/>
        <v>17178938381.201553</v>
      </c>
      <c r="G27" s="3">
        <f t="shared" si="8"/>
        <v>673598330.93308687</v>
      </c>
      <c r="H27" s="3">
        <f t="shared" si="9"/>
        <v>2419568.2026288211</v>
      </c>
      <c r="I27" s="3">
        <f t="shared" si="10"/>
        <v>2214575821.1284256</v>
      </c>
      <c r="J27" s="3">
        <f t="shared" si="11"/>
        <v>14545172975.981934</v>
      </c>
      <c r="K27" s="3">
        <f t="shared" si="12"/>
        <v>15183692350.238289</v>
      </c>
      <c r="L27" s="3">
        <f t="shared" si="13"/>
        <v>197343504.66131115</v>
      </c>
      <c r="M27" s="3">
        <f t="shared" si="14"/>
        <v>123089240926.16528</v>
      </c>
      <c r="N27" s="3">
        <f t="shared" si="15"/>
        <v>89230226391.868652</v>
      </c>
      <c r="O27" s="3">
        <f t="shared" si="16"/>
        <v>414446323713.25964</v>
      </c>
      <c r="P27" s="7" t="s">
        <v>102</v>
      </c>
      <c r="Q27" s="2" t="s">
        <v>30</v>
      </c>
      <c r="R27" s="3">
        <f t="shared" si="17"/>
        <v>1250599.9161587842</v>
      </c>
      <c r="S27" s="3">
        <f t="shared" si="17"/>
        <v>8223516904.7985535</v>
      </c>
      <c r="T27" s="3">
        <f t="shared" si="17"/>
        <v>143906347958.16376</v>
      </c>
      <c r="U27" s="3">
        <f t="shared" si="17"/>
        <v>17178938381.201553</v>
      </c>
      <c r="V27" s="3">
        <f t="shared" si="17"/>
        <v>673598330.93308687</v>
      </c>
      <c r="W27" s="3">
        <f t="shared" si="17"/>
        <v>2419568.2026288211</v>
      </c>
      <c r="X27" s="3">
        <f t="shared" si="17"/>
        <v>2214575821.1284256</v>
      </c>
      <c r="Y27" s="3">
        <f t="shared" si="17"/>
        <v>14545172975.981934</v>
      </c>
      <c r="Z27" s="3">
        <f t="shared" si="17"/>
        <v>15183692350.238289</v>
      </c>
      <c r="AA27" s="3">
        <f t="shared" si="17"/>
        <v>197343504.66131115</v>
      </c>
      <c r="AB27" s="3">
        <f t="shared" si="18"/>
        <v>202126856395.22568</v>
      </c>
      <c r="AC27" s="7" t="s">
        <v>102</v>
      </c>
      <c r="AD27" s="2" t="s">
        <v>30</v>
      </c>
      <c r="AE27" s="3">
        <f t="shared" si="19"/>
        <v>123089240926.16528</v>
      </c>
      <c r="AF27" s="3">
        <f t="shared" si="19"/>
        <v>89230226391.868652</v>
      </c>
      <c r="AG27" s="3">
        <f t="shared" si="20"/>
        <v>212319467318.03394</v>
      </c>
      <c r="AH27" s="7" t="s">
        <v>102</v>
      </c>
      <c r="AI27" s="2" t="s">
        <v>30</v>
      </c>
      <c r="AJ27" s="3">
        <f t="shared" si="21"/>
        <v>85338577733.432831</v>
      </c>
      <c r="AK27" s="3">
        <f t="shared" si="21"/>
        <v>264205264226.4635</v>
      </c>
      <c r="AL27" s="3">
        <f t="shared" si="21"/>
        <v>31156388294.50872</v>
      </c>
      <c r="AM27" s="3">
        <f t="shared" si="21"/>
        <v>33746093458.854576</v>
      </c>
      <c r="AN27" s="3">
        <f t="shared" si="22"/>
        <v>414446323713.25964</v>
      </c>
      <c r="AO27" s="7" t="s">
        <v>102</v>
      </c>
      <c r="AP27" s="2" t="s">
        <v>30</v>
      </c>
      <c r="AQ27" s="3">
        <f t="shared" si="23"/>
        <v>64867641027.231895</v>
      </c>
      <c r="AR27" s="3">
        <f t="shared" si="23"/>
        <v>98815219143.769409</v>
      </c>
      <c r="AS27" s="3">
        <f t="shared" si="23"/>
        <v>4697902765.3697491</v>
      </c>
      <c r="AT27" s="3">
        <f t="shared" si="23"/>
        <v>33746093458.854576</v>
      </c>
      <c r="AU27" s="3">
        <f t="shared" si="24"/>
        <v>202126856395.22565</v>
      </c>
      <c r="AV27" s="7" t="s">
        <v>102</v>
      </c>
      <c r="AW27" s="2" t="s">
        <v>30</v>
      </c>
      <c r="AX27" s="3">
        <f t="shared" si="25"/>
        <v>20470936706.200935</v>
      </c>
      <c r="AY27" s="3">
        <f t="shared" si="25"/>
        <v>165390045082.69409</v>
      </c>
      <c r="AZ27" s="3">
        <f t="shared" si="25"/>
        <v>26458485529.138969</v>
      </c>
      <c r="BA27" s="3">
        <f t="shared" si="25"/>
        <v>0</v>
      </c>
      <c r="BB27" s="3">
        <f t="shared" si="26"/>
        <v>212319467318.034</v>
      </c>
      <c r="BC27" s="7" t="s">
        <v>102</v>
      </c>
      <c r="BD27" s="2" t="s">
        <v>30</v>
      </c>
      <c r="BE27" s="3">
        <f>'Hasil (Rp)'!BE27-Biaya!BE27</f>
        <v>1250599.9161587842</v>
      </c>
      <c r="BF27" s="3">
        <f>'Hasil (Rp)'!BF27-Biaya!BF27</f>
        <v>0</v>
      </c>
      <c r="BG27" s="3">
        <f>'Hasil (Rp)'!BG27-Biaya!BG27</f>
        <v>0</v>
      </c>
      <c r="BH27" s="3">
        <f>'Hasil (Rp)'!BH27-Biaya!BH27</f>
        <v>0</v>
      </c>
      <c r="BI27" s="3">
        <f>'Hasil (Rp)'!BI27-Biaya!BI27</f>
        <v>1250599.9161587842</v>
      </c>
      <c r="BJ27" s="7" t="s">
        <v>102</v>
      </c>
      <c r="BK27" s="2" t="s">
        <v>30</v>
      </c>
      <c r="BL27" s="3">
        <f>'Hasil (Rp)'!BL27-Biaya!BL27</f>
        <v>694886492.09906089</v>
      </c>
      <c r="BM27" s="3">
        <f>'Hasil (Rp)'!BM27-Biaya!BM27</f>
        <v>44526852.890415043</v>
      </c>
      <c r="BN27" s="3">
        <f>'Hasil (Rp)'!BN27-Biaya!BN27</f>
        <v>0</v>
      </c>
      <c r="BO27" s="3">
        <f>'Hasil (Rp)'!BO27-Biaya!BO27</f>
        <v>7484103559.8090744</v>
      </c>
      <c r="BP27" s="3">
        <f>'Hasil (Rp)'!BP27-Biaya!BP27</f>
        <v>8223516904.7985535</v>
      </c>
      <c r="BQ27" s="7" t="s">
        <v>102</v>
      </c>
      <c r="BR27" s="2" t="s">
        <v>30</v>
      </c>
      <c r="BS27" s="3">
        <f>'Hasil (Rp)'!BS27-Biaya!BS27</f>
        <v>57616435049.515427</v>
      </c>
      <c r="BT27" s="3">
        <f>'Hasil (Rp)'!BT27-Biaya!BT27</f>
        <v>74321027041.183533</v>
      </c>
      <c r="BU27" s="3">
        <f>'Hasil (Rp)'!BU27-Biaya!BU27</f>
        <v>246795956.66814232</v>
      </c>
      <c r="BV27" s="3">
        <f>'Hasil (Rp)'!BV27-Biaya!BV27</f>
        <v>11722089910.7966</v>
      </c>
      <c r="BW27" s="3">
        <f>'Hasil (Rp)'!BW27-Biaya!BW27</f>
        <v>143906347958.16376</v>
      </c>
      <c r="BX27" s="7" t="s">
        <v>102</v>
      </c>
      <c r="BY27" s="2" t="s">
        <v>30</v>
      </c>
      <c r="BZ27" s="3">
        <f>'Hasil (Rp)'!BZ27-Biaya!BZ27</f>
        <v>1424585493.5856543</v>
      </c>
      <c r="CA27" s="3">
        <f>'Hasil (Rp)'!CA27-Biaya!CA27</f>
        <v>11305665647.11692</v>
      </c>
      <c r="CB27" s="3">
        <f>'Hasil (Rp)'!CB27-Biaya!CB27</f>
        <v>4448687240.4989777</v>
      </c>
      <c r="CC27" s="3">
        <f>'Hasil (Rp)'!CC27-Biaya!CC27</f>
        <v>0</v>
      </c>
      <c r="CD27" s="3">
        <f>'Hasil (Rp)'!CD27-Biaya!CD27</f>
        <v>17178938381.201553</v>
      </c>
      <c r="CE27" s="7" t="s">
        <v>102</v>
      </c>
      <c r="CF27" s="2" t="s">
        <v>30</v>
      </c>
      <c r="CG27" s="3">
        <f>'Hasil (Rp)'!CG27-Biaya!CG27</f>
        <v>1050870.1841688342</v>
      </c>
      <c r="CH27" s="3">
        <f>'Hasil (Rp)'!CH27-Biaya!CH27</f>
        <v>672547460.74891806</v>
      </c>
      <c r="CI27" s="3">
        <f>'Hasil (Rp)'!CI27-Biaya!CI27</f>
        <v>0</v>
      </c>
      <c r="CJ27" s="3">
        <f>'Hasil (Rp)'!CJ27-Biaya!CJ27</f>
        <v>0</v>
      </c>
      <c r="CK27" s="3">
        <f>'Hasil (Rp)'!CK27-Biaya!CK27</f>
        <v>673598330.93308687</v>
      </c>
      <c r="CL27" s="7" t="s">
        <v>102</v>
      </c>
      <c r="CM27" s="2" t="s">
        <v>30</v>
      </c>
      <c r="CN27" s="3">
        <f>'Hasil (Rp)'!CN27-Biaya!CN27</f>
        <v>0</v>
      </c>
      <c r="CO27" s="3">
        <f>'Hasil (Rp)'!CO27-Biaya!CO27</f>
        <v>0</v>
      </c>
      <c r="CP27" s="3">
        <f>'Hasil (Rp)'!CP27-Biaya!CP27</f>
        <v>2419568.2026288211</v>
      </c>
      <c r="CQ27" s="3">
        <f>'Hasil (Rp)'!CQ27-Biaya!CQ27</f>
        <v>0</v>
      </c>
      <c r="CR27" s="3">
        <f>'Hasil (Rp)'!CR27-Biaya!CR27</f>
        <v>2419568.2026288211</v>
      </c>
      <c r="CS27" s="7" t="s">
        <v>102</v>
      </c>
      <c r="CT27" s="2" t="s">
        <v>30</v>
      </c>
      <c r="CU27" s="3">
        <f>'Hasil (Rp)'!CU27-Biaya!CU27</f>
        <v>2051012485.1355047</v>
      </c>
      <c r="CV27" s="3">
        <f>'Hasil (Rp)'!CV27-Biaya!CV27</f>
        <v>163563335.99292052</v>
      </c>
      <c r="CW27" s="3">
        <f>'Hasil (Rp)'!CW27-Biaya!CW27</f>
        <v>0</v>
      </c>
      <c r="CX27" s="3">
        <f>'Hasil (Rp)'!CX27-Biaya!CX27</f>
        <v>0</v>
      </c>
      <c r="CY27" s="3">
        <f>'Hasil (Rp)'!CY27-Biaya!CY27</f>
        <v>2214575821.1284256</v>
      </c>
      <c r="CZ27" s="7" t="s">
        <v>102</v>
      </c>
      <c r="DA27" s="2" t="s">
        <v>30</v>
      </c>
      <c r="DB27" s="3">
        <f>'Hasil (Rp)'!DB27-Biaya!DB27</f>
        <v>2922658116.9311428</v>
      </c>
      <c r="DC27" s="3">
        <f>'Hasil (Rp)'!DC27-Biaya!DC27</f>
        <v>12261034233.307144</v>
      </c>
      <c r="DD27" s="3">
        <f>'Hasil (Rp)'!DD27-Biaya!DD27</f>
        <v>0</v>
      </c>
      <c r="DE27" s="3">
        <f>'Hasil (Rp)'!DE27-Biaya!DE27</f>
        <v>0</v>
      </c>
      <c r="DF27" s="3">
        <f>'Hasil (Rp)'!DF27-Biaya!DF27</f>
        <v>15183692350.238289</v>
      </c>
      <c r="DG27" s="7" t="s">
        <v>102</v>
      </c>
      <c r="DH27" s="2" t="s">
        <v>30</v>
      </c>
      <c r="DI27" s="3">
        <f>'Hasil (Rp)'!DI27-Biaya!DI27</f>
        <v>5272987.733035597</v>
      </c>
      <c r="DJ27" s="3">
        <f>'Hasil (Rp)'!DJ27-Biaya!DJ27</f>
        <v>0</v>
      </c>
      <c r="DK27" s="3">
        <f>'Hasil (Rp)'!DK27-Biaya!DK27</f>
        <v>0</v>
      </c>
      <c r="DL27" s="3">
        <f>'Hasil (Rp)'!DL27-Biaya!DL27</f>
        <v>14539899988.248901</v>
      </c>
      <c r="DM27" s="3">
        <f>'Hasil (Rp)'!DM27-Biaya!DM27</f>
        <v>14545172975.981934</v>
      </c>
      <c r="DN27" s="7" t="s">
        <v>102</v>
      </c>
      <c r="DO27" s="2" t="s">
        <v>30</v>
      </c>
      <c r="DP27" s="3">
        <f>'Hasil (Rp)'!DP27-Biaya!DP27</f>
        <v>150488932.13174582</v>
      </c>
      <c r="DQ27" s="3">
        <f>'Hasil (Rp)'!DQ27-Biaya!DQ27</f>
        <v>46854572.529565394</v>
      </c>
      <c r="DR27" s="3">
        <f>'Hasil (Rp)'!DR27-Biaya!DR27</f>
        <v>0</v>
      </c>
      <c r="DS27" s="3">
        <f>'Hasil (Rp)'!DS27-Biaya!DS27</f>
        <v>0</v>
      </c>
      <c r="DT27" s="3">
        <f>'Hasil (Rp)'!DT27-Biaya!DT27</f>
        <v>197343504.66131115</v>
      </c>
      <c r="DU27" s="7" t="s">
        <v>102</v>
      </c>
      <c r="DV27" s="2" t="s">
        <v>30</v>
      </c>
      <c r="DW27" s="3">
        <f>'Hasil (Rp)'!DW27-Biaya!DW27</f>
        <v>14301322213.866135</v>
      </c>
      <c r="DX27" s="3">
        <f>'Hasil (Rp)'!DX27-Biaya!DX27</f>
        <v>48610408276.372009</v>
      </c>
      <c r="DY27" s="3">
        <f>'Hasil (Rp)'!DY27-Biaya!DY27</f>
        <v>26318495901.630554</v>
      </c>
      <c r="DZ27" s="3">
        <f>'Hasil (Rp)'!DZ27-Biaya!DZ27</f>
        <v>0</v>
      </c>
      <c r="EA27" s="3">
        <f>'Hasil (Rp)'!EA27-Biaya!EA27</f>
        <v>89230226391.868652</v>
      </c>
      <c r="EB27" s="7" t="s">
        <v>102</v>
      </c>
      <c r="EC27" s="2" t="s">
        <v>30</v>
      </c>
      <c r="ED27" s="3">
        <f>'Hasil (Rp)'!ED27-Biaya!ED27</f>
        <v>6169614492.3348007</v>
      </c>
      <c r="EE27" s="3">
        <f>'Hasil (Rp)'!EE27-Biaya!EE27</f>
        <v>116779636806.32208</v>
      </c>
      <c r="EF27" s="3">
        <f>'Hasil (Rp)'!EF27-Biaya!EF27</f>
        <v>139989627.50841713</v>
      </c>
      <c r="EG27" s="3">
        <f>'Hasil (Rp)'!EG27-Biaya!EG27</f>
        <v>0</v>
      </c>
      <c r="EH27" s="3">
        <f>'Hasil (Rp)'!EH27-Biaya!EH27</f>
        <v>123089240926.16528</v>
      </c>
    </row>
    <row r="28" spans="1:138" ht="10.199999999999999" customHeight="1" x14ac:dyDescent="0.2">
      <c r="A28" s="7" t="s">
        <v>98</v>
      </c>
      <c r="B28" s="2" t="s">
        <v>26</v>
      </c>
      <c r="C28" s="3">
        <f t="shared" si="4"/>
        <v>1133749215.3109674</v>
      </c>
      <c r="D28" s="3">
        <f t="shared" si="5"/>
        <v>9707380595.3826046</v>
      </c>
      <c r="E28" s="3">
        <f t="shared" si="6"/>
        <v>5277628967.3025742</v>
      </c>
      <c r="F28" s="3">
        <f t="shared" si="7"/>
        <v>128876713.98714608</v>
      </c>
      <c r="G28" s="3">
        <f t="shared" si="8"/>
        <v>1295458398.3347502</v>
      </c>
      <c r="H28" s="3">
        <f t="shared" si="9"/>
        <v>0</v>
      </c>
      <c r="I28" s="3">
        <f t="shared" si="10"/>
        <v>1062729186.5206847</v>
      </c>
      <c r="J28" s="3">
        <f t="shared" si="11"/>
        <v>21214887522.518166</v>
      </c>
      <c r="K28" s="3">
        <f t="shared" si="12"/>
        <v>87241743039.216721</v>
      </c>
      <c r="L28" s="3">
        <f t="shared" si="13"/>
        <v>14529681681.261942</v>
      </c>
      <c r="M28" s="3">
        <f t="shared" si="14"/>
        <v>3959394046.5459757</v>
      </c>
      <c r="N28" s="3">
        <f t="shared" si="15"/>
        <v>25988981605.902344</v>
      </c>
      <c r="O28" s="3">
        <f t="shared" si="16"/>
        <v>171540510972.28387</v>
      </c>
      <c r="P28" s="7" t="s">
        <v>98</v>
      </c>
      <c r="Q28" s="2" t="s">
        <v>26</v>
      </c>
      <c r="R28" s="3">
        <f t="shared" si="17"/>
        <v>1133749215.3109674</v>
      </c>
      <c r="S28" s="3">
        <f t="shared" si="17"/>
        <v>9707380595.3826046</v>
      </c>
      <c r="T28" s="3">
        <f t="shared" si="17"/>
        <v>5277628967.3025742</v>
      </c>
      <c r="U28" s="3">
        <f t="shared" si="17"/>
        <v>128876713.98714608</v>
      </c>
      <c r="V28" s="3">
        <f t="shared" si="17"/>
        <v>1295458398.3347502</v>
      </c>
      <c r="W28" s="3">
        <f t="shared" si="17"/>
        <v>0</v>
      </c>
      <c r="X28" s="3">
        <f t="shared" si="17"/>
        <v>1062729186.5206847</v>
      </c>
      <c r="Y28" s="3">
        <f t="shared" si="17"/>
        <v>21214887522.518166</v>
      </c>
      <c r="Z28" s="3">
        <f t="shared" si="17"/>
        <v>87241743039.216721</v>
      </c>
      <c r="AA28" s="3">
        <f t="shared" si="17"/>
        <v>14529681681.261942</v>
      </c>
      <c r="AB28" s="3">
        <f t="shared" si="18"/>
        <v>141592135319.83554</v>
      </c>
      <c r="AC28" s="7" t="s">
        <v>98</v>
      </c>
      <c r="AD28" s="2" t="s">
        <v>26</v>
      </c>
      <c r="AE28" s="3">
        <f t="shared" si="19"/>
        <v>3959394046.5459757</v>
      </c>
      <c r="AF28" s="3">
        <f t="shared" si="19"/>
        <v>25988981605.902344</v>
      </c>
      <c r="AG28" s="3">
        <f t="shared" si="20"/>
        <v>29948375652.448318</v>
      </c>
      <c r="AH28" s="7" t="s">
        <v>98</v>
      </c>
      <c r="AI28" s="2" t="s">
        <v>26</v>
      </c>
      <c r="AJ28" s="3">
        <f t="shared" si="21"/>
        <v>20150153553.838116</v>
      </c>
      <c r="AK28" s="3">
        <f t="shared" si="21"/>
        <v>104406151917.49557</v>
      </c>
      <c r="AL28" s="3">
        <f t="shared" si="21"/>
        <v>40551187758.193741</v>
      </c>
      <c r="AM28" s="3">
        <f t="shared" si="21"/>
        <v>6433017742.7564201</v>
      </c>
      <c r="AN28" s="3">
        <f t="shared" si="22"/>
        <v>171540510972.28384</v>
      </c>
      <c r="AO28" s="7" t="s">
        <v>98</v>
      </c>
      <c r="AP28" s="2" t="s">
        <v>26</v>
      </c>
      <c r="AQ28" s="3">
        <f t="shared" si="23"/>
        <v>17837608493.605988</v>
      </c>
      <c r="AR28" s="3">
        <f t="shared" si="23"/>
        <v>96170961201.926239</v>
      </c>
      <c r="AS28" s="3">
        <f t="shared" si="23"/>
        <v>21150547881.54689</v>
      </c>
      <c r="AT28" s="3">
        <f t="shared" si="23"/>
        <v>6433017742.7564201</v>
      </c>
      <c r="AU28" s="3">
        <f t="shared" si="24"/>
        <v>141592135319.83554</v>
      </c>
      <c r="AV28" s="7" t="s">
        <v>98</v>
      </c>
      <c r="AW28" s="2" t="s">
        <v>26</v>
      </c>
      <c r="AX28" s="3">
        <f t="shared" si="25"/>
        <v>2312545060.2321281</v>
      </c>
      <c r="AY28" s="3">
        <f t="shared" si="25"/>
        <v>8235190715.5693436</v>
      </c>
      <c r="AZ28" s="3">
        <f t="shared" si="25"/>
        <v>19400639876.646851</v>
      </c>
      <c r="BA28" s="3">
        <f t="shared" si="25"/>
        <v>0</v>
      </c>
      <c r="BB28" s="3">
        <f t="shared" si="26"/>
        <v>29948375652.448322</v>
      </c>
      <c r="BC28" s="7" t="s">
        <v>98</v>
      </c>
      <c r="BD28" s="2" t="s">
        <v>26</v>
      </c>
      <c r="BE28" s="3">
        <f>'Hasil (Rp)'!BE28-Biaya!BE28</f>
        <v>38970645.93088454</v>
      </c>
      <c r="BF28" s="3">
        <f>'Hasil (Rp)'!BF28-Biaya!BF28</f>
        <v>682507938.15812039</v>
      </c>
      <c r="BG28" s="3">
        <f>'Hasil (Rp)'!BG28-Biaya!BG28</f>
        <v>412270631.22196233</v>
      </c>
      <c r="BH28" s="3">
        <f>'Hasil (Rp)'!BH28-Biaya!BH28</f>
        <v>0</v>
      </c>
      <c r="BI28" s="3">
        <f>'Hasil (Rp)'!BI28-Biaya!BI28</f>
        <v>1133749215.3109674</v>
      </c>
      <c r="BJ28" s="7" t="s">
        <v>98</v>
      </c>
      <c r="BK28" s="2" t="s">
        <v>26</v>
      </c>
      <c r="BL28" s="3">
        <f>'Hasil (Rp)'!BL28-Biaya!BL28</f>
        <v>202892611.57024795</v>
      </c>
      <c r="BM28" s="3">
        <f>'Hasil (Rp)'!BM28-Biaya!BM28</f>
        <v>2999410349.6332793</v>
      </c>
      <c r="BN28" s="3">
        <f>'Hasil (Rp)'!BN28-Biaya!BN28</f>
        <v>5320996272.2892876</v>
      </c>
      <c r="BO28" s="3">
        <f>'Hasil (Rp)'!BO28-Biaya!BO28</f>
        <v>1184081361.8897893</v>
      </c>
      <c r="BP28" s="3">
        <f>'Hasil (Rp)'!BP28-Biaya!BP28</f>
        <v>9707380595.3826046</v>
      </c>
      <c r="BQ28" s="7" t="s">
        <v>98</v>
      </c>
      <c r="BR28" s="2" t="s">
        <v>26</v>
      </c>
      <c r="BS28" s="3">
        <f>'Hasil (Rp)'!BS28-Biaya!BS28</f>
        <v>0</v>
      </c>
      <c r="BT28" s="3">
        <f>'Hasil (Rp)'!BT28-Biaya!BT28</f>
        <v>28692586.4359474</v>
      </c>
      <c r="BU28" s="3">
        <f>'Hasil (Rp)'!BU28-Biaya!BU28</f>
        <v>0</v>
      </c>
      <c r="BV28" s="3">
        <f>'Hasil (Rp)'!BV28-Biaya!BV28</f>
        <v>5248936380.8666306</v>
      </c>
      <c r="BW28" s="3">
        <f>'Hasil (Rp)'!BW28-Biaya!BW28</f>
        <v>5277628967.3025742</v>
      </c>
      <c r="BX28" s="7" t="s">
        <v>98</v>
      </c>
      <c r="BY28" s="2" t="s">
        <v>26</v>
      </c>
      <c r="BZ28" s="3">
        <f>'Hasil (Rp)'!BZ28-Biaya!BZ28</f>
        <v>69779997.047244102</v>
      </c>
      <c r="CA28" s="3">
        <f>'Hasil (Rp)'!CA28-Biaya!CA28</f>
        <v>59096716.93990197</v>
      </c>
      <c r="CB28" s="3">
        <f>'Hasil (Rp)'!CB28-Biaya!CB28</f>
        <v>0</v>
      </c>
      <c r="CC28" s="3">
        <f>'Hasil (Rp)'!CC28-Biaya!CC28</f>
        <v>0</v>
      </c>
      <c r="CD28" s="3">
        <f>'Hasil (Rp)'!CD28-Biaya!CD28</f>
        <v>128876713.98714608</v>
      </c>
      <c r="CE28" s="7" t="s">
        <v>98</v>
      </c>
      <c r="CF28" s="2" t="s">
        <v>26</v>
      </c>
      <c r="CG28" s="3">
        <f>'Hasil (Rp)'!CG28-Biaya!CG28</f>
        <v>6733440.2942647133</v>
      </c>
      <c r="CH28" s="3">
        <f>'Hasil (Rp)'!CH28-Biaya!CH28</f>
        <v>1130008637.8315504</v>
      </c>
      <c r="CI28" s="3">
        <f>'Hasil (Rp)'!CI28-Biaya!CI28</f>
        <v>158716320.20893502</v>
      </c>
      <c r="CJ28" s="3">
        <f>'Hasil (Rp)'!CJ28-Biaya!CJ28</f>
        <v>0</v>
      </c>
      <c r="CK28" s="3">
        <f>'Hasil (Rp)'!CK28-Biaya!CK28</f>
        <v>1295458398.3347502</v>
      </c>
      <c r="CL28" s="7" t="s">
        <v>98</v>
      </c>
      <c r="CM28" s="2" t="s">
        <v>26</v>
      </c>
      <c r="CN28" s="3">
        <f>'Hasil (Rp)'!CN28-Biaya!CN28</f>
        <v>0</v>
      </c>
      <c r="CO28" s="3">
        <f>'Hasil (Rp)'!CO28-Biaya!CO28</f>
        <v>0</v>
      </c>
      <c r="CP28" s="3">
        <f>'Hasil (Rp)'!CP28-Biaya!CP28</f>
        <v>0</v>
      </c>
      <c r="CQ28" s="3">
        <f>'Hasil (Rp)'!CQ28-Biaya!CQ28</f>
        <v>0</v>
      </c>
      <c r="CR28" s="3">
        <f>'Hasil (Rp)'!CR28-Biaya!CR28</f>
        <v>0</v>
      </c>
      <c r="CS28" s="7" t="s">
        <v>98</v>
      </c>
      <c r="CT28" s="2" t="s">
        <v>26</v>
      </c>
      <c r="CU28" s="3">
        <f>'Hasil (Rp)'!CU28-Biaya!CU28</f>
        <v>385261834.77962613</v>
      </c>
      <c r="CV28" s="3">
        <f>'Hasil (Rp)'!CV28-Biaya!CV28</f>
        <v>390516068.11643267</v>
      </c>
      <c r="CW28" s="3">
        <f>'Hasil (Rp)'!CW28-Biaya!CW28</f>
        <v>286951283.62462562</v>
      </c>
      <c r="CX28" s="3">
        <f>'Hasil (Rp)'!CX28-Biaya!CX28</f>
        <v>0</v>
      </c>
      <c r="CY28" s="3">
        <f>'Hasil (Rp)'!CY28-Biaya!CY28</f>
        <v>1062729186.5206847</v>
      </c>
      <c r="CZ28" s="7" t="s">
        <v>98</v>
      </c>
      <c r="DA28" s="2" t="s">
        <v>26</v>
      </c>
      <c r="DB28" s="3">
        <f>'Hasil (Rp)'!DB28-Biaya!DB28</f>
        <v>14982977547.735592</v>
      </c>
      <c r="DC28" s="3">
        <f>'Hasil (Rp)'!DC28-Biaya!DC28</f>
        <v>69636655170.20079</v>
      </c>
      <c r="DD28" s="3">
        <f>'Hasil (Rp)'!DD28-Biaya!DD28</f>
        <v>2622110321.2803245</v>
      </c>
      <c r="DE28" s="3">
        <f>'Hasil (Rp)'!DE28-Biaya!DE28</f>
        <v>0</v>
      </c>
      <c r="DF28" s="3">
        <f>'Hasil (Rp)'!DF28-Biaya!DF28</f>
        <v>87241743039.216721</v>
      </c>
      <c r="DG28" s="7" t="s">
        <v>98</v>
      </c>
      <c r="DH28" s="2" t="s">
        <v>26</v>
      </c>
      <c r="DI28" s="3">
        <f>'Hasil (Rp)'!DI28-Biaya!DI28</f>
        <v>27502953.84615384</v>
      </c>
      <c r="DJ28" s="3">
        <f>'Hasil (Rp)'!DJ28-Biaya!DJ28</f>
        <v>10563240028.284971</v>
      </c>
      <c r="DK28" s="3">
        <f>'Hasil (Rp)'!DK28-Biaya!DK28</f>
        <v>10624144540.387045</v>
      </c>
      <c r="DL28" s="3">
        <f>'Hasil (Rp)'!DL28-Biaya!DL28</f>
        <v>0</v>
      </c>
      <c r="DM28" s="3">
        <f>'Hasil (Rp)'!DM28-Biaya!DM28</f>
        <v>21214887522.518166</v>
      </c>
      <c r="DN28" s="7" t="s">
        <v>98</v>
      </c>
      <c r="DO28" s="2" t="s">
        <v>26</v>
      </c>
      <c r="DP28" s="3">
        <f>'Hasil (Rp)'!DP28-Biaya!DP28</f>
        <v>2123489462.4019761</v>
      </c>
      <c r="DQ28" s="3">
        <f>'Hasil (Rp)'!DQ28-Biaya!DQ28</f>
        <v>10680833706.325249</v>
      </c>
      <c r="DR28" s="3">
        <f>'Hasil (Rp)'!DR28-Biaya!DR28</f>
        <v>1725358512.5347157</v>
      </c>
      <c r="DS28" s="3">
        <f>'Hasil (Rp)'!DS28-Biaya!DS28</f>
        <v>0</v>
      </c>
      <c r="DT28" s="3">
        <f>'Hasil (Rp)'!DT28-Biaya!DT28</f>
        <v>14529681681.261942</v>
      </c>
      <c r="DU28" s="7" t="s">
        <v>98</v>
      </c>
      <c r="DV28" s="2" t="s">
        <v>26</v>
      </c>
      <c r="DW28" s="3">
        <f>'Hasil (Rp)'!DW28-Biaya!DW28</f>
        <v>1845589634.5271873</v>
      </c>
      <c r="DX28" s="3">
        <f>'Hasil (Rp)'!DX28-Biaya!DX28</f>
        <v>5819841268.6230383</v>
      </c>
      <c r="DY28" s="3">
        <f>'Hasil (Rp)'!DY28-Biaya!DY28</f>
        <v>18323550702.752121</v>
      </c>
      <c r="DZ28" s="3">
        <f>'Hasil (Rp)'!DZ28-Biaya!DZ28</f>
        <v>0</v>
      </c>
      <c r="EA28" s="3">
        <f>'Hasil (Rp)'!EA28-Biaya!EA28</f>
        <v>25988981605.902344</v>
      </c>
      <c r="EB28" s="7" t="s">
        <v>98</v>
      </c>
      <c r="EC28" s="2" t="s">
        <v>26</v>
      </c>
      <c r="ED28" s="3">
        <f>'Hasil (Rp)'!ED28-Biaya!ED28</f>
        <v>466955425.7049408</v>
      </c>
      <c r="EE28" s="3">
        <f>'Hasil (Rp)'!EE28-Biaya!EE28</f>
        <v>2415349446.9463048</v>
      </c>
      <c r="EF28" s="3">
        <f>'Hasil (Rp)'!EF28-Biaya!EF28</f>
        <v>1077089173.8947287</v>
      </c>
      <c r="EG28" s="3">
        <f>'Hasil (Rp)'!EG28-Biaya!EG28</f>
        <v>0</v>
      </c>
      <c r="EH28" s="3">
        <f>'Hasil (Rp)'!EH28-Biaya!EH28</f>
        <v>3959394046.5459757</v>
      </c>
    </row>
    <row r="29" spans="1:138" ht="10.199999999999999" customHeight="1" x14ac:dyDescent="0.2">
      <c r="A29" s="7" t="s">
        <v>93</v>
      </c>
      <c r="B29" s="2" t="s">
        <v>21</v>
      </c>
      <c r="C29" s="3">
        <f t="shared" si="4"/>
        <v>8312357.4549321383</v>
      </c>
      <c r="D29" s="3">
        <f t="shared" si="5"/>
        <v>132512142.12562835</v>
      </c>
      <c r="E29" s="3">
        <f t="shared" si="6"/>
        <v>0</v>
      </c>
      <c r="F29" s="3">
        <f t="shared" si="7"/>
        <v>97704574.312907279</v>
      </c>
      <c r="G29" s="3">
        <f t="shared" si="8"/>
        <v>0</v>
      </c>
      <c r="H29" s="3">
        <f t="shared" si="9"/>
        <v>0</v>
      </c>
      <c r="I29" s="3">
        <f t="shared" si="10"/>
        <v>63438091.894025028</v>
      </c>
      <c r="J29" s="3">
        <f t="shared" si="11"/>
        <v>5994093.1889263019</v>
      </c>
      <c r="K29" s="3">
        <f t="shared" si="12"/>
        <v>221475322.26691151</v>
      </c>
      <c r="L29" s="3">
        <f t="shared" si="13"/>
        <v>33467635.252121106</v>
      </c>
      <c r="M29" s="3">
        <f t="shared" si="14"/>
        <v>14792337359.977772</v>
      </c>
      <c r="N29" s="3">
        <f t="shared" si="15"/>
        <v>159585020.86419088</v>
      </c>
      <c r="O29" s="3">
        <f t="shared" si="16"/>
        <v>15514826597.337414</v>
      </c>
      <c r="P29" s="7" t="s">
        <v>93</v>
      </c>
      <c r="Q29" s="2" t="s">
        <v>21</v>
      </c>
      <c r="R29" s="3">
        <f t="shared" si="17"/>
        <v>8312357.4549321383</v>
      </c>
      <c r="S29" s="3">
        <f t="shared" si="17"/>
        <v>132512142.12562835</v>
      </c>
      <c r="T29" s="3">
        <f t="shared" si="17"/>
        <v>0</v>
      </c>
      <c r="U29" s="3">
        <f t="shared" si="17"/>
        <v>97704574.312907279</v>
      </c>
      <c r="V29" s="3">
        <f t="shared" si="17"/>
        <v>0</v>
      </c>
      <c r="W29" s="3">
        <f t="shared" si="17"/>
        <v>0</v>
      </c>
      <c r="X29" s="3">
        <f t="shared" si="17"/>
        <v>63438091.894025028</v>
      </c>
      <c r="Y29" s="3">
        <f t="shared" si="17"/>
        <v>5994093.1889263019</v>
      </c>
      <c r="Z29" s="3">
        <f t="shared" si="17"/>
        <v>221475322.26691151</v>
      </c>
      <c r="AA29" s="3">
        <f t="shared" si="17"/>
        <v>33467635.252121106</v>
      </c>
      <c r="AB29" s="3">
        <f t="shared" si="18"/>
        <v>562904216.49545169</v>
      </c>
      <c r="AC29" s="7" t="s">
        <v>93</v>
      </c>
      <c r="AD29" s="2" t="s">
        <v>21</v>
      </c>
      <c r="AE29" s="3">
        <f t="shared" si="19"/>
        <v>14792337359.977772</v>
      </c>
      <c r="AF29" s="3">
        <f t="shared" si="19"/>
        <v>159585020.86419088</v>
      </c>
      <c r="AG29" s="3">
        <f t="shared" si="20"/>
        <v>14951922380.841963</v>
      </c>
      <c r="AH29" s="7" t="s">
        <v>93</v>
      </c>
      <c r="AI29" s="2" t="s">
        <v>21</v>
      </c>
      <c r="AJ29" s="3">
        <f t="shared" si="21"/>
        <v>15424994678.569149</v>
      </c>
      <c r="AK29" s="3">
        <f t="shared" si="21"/>
        <v>68378545.60210076</v>
      </c>
      <c r="AL29" s="3">
        <f t="shared" si="21"/>
        <v>21453373.166166492</v>
      </c>
      <c r="AM29" s="3">
        <f t="shared" si="21"/>
        <v>0</v>
      </c>
      <c r="AN29" s="3">
        <f t="shared" si="22"/>
        <v>15514826597.337416</v>
      </c>
      <c r="AO29" s="7" t="s">
        <v>93</v>
      </c>
      <c r="AP29" s="2" t="s">
        <v>21</v>
      </c>
      <c r="AQ29" s="3">
        <f t="shared" si="23"/>
        <v>498316859.35339105</v>
      </c>
      <c r="AR29" s="3">
        <f t="shared" si="23"/>
        <v>64587357.142060667</v>
      </c>
      <c r="AS29" s="3">
        <f t="shared" si="23"/>
        <v>0</v>
      </c>
      <c r="AT29" s="3">
        <f t="shared" si="23"/>
        <v>0</v>
      </c>
      <c r="AU29" s="3">
        <f t="shared" si="24"/>
        <v>562904216.49545169</v>
      </c>
      <c r="AV29" s="7" t="s">
        <v>93</v>
      </c>
      <c r="AW29" s="2" t="s">
        <v>21</v>
      </c>
      <c r="AX29" s="3">
        <f t="shared" si="25"/>
        <v>14926677819.215757</v>
      </c>
      <c r="AY29" s="3">
        <f t="shared" si="25"/>
        <v>3791188.460040085</v>
      </c>
      <c r="AZ29" s="3">
        <f t="shared" si="25"/>
        <v>21453373.166166492</v>
      </c>
      <c r="BA29" s="3">
        <f t="shared" si="25"/>
        <v>0</v>
      </c>
      <c r="BB29" s="3">
        <f t="shared" si="26"/>
        <v>14951922380.841963</v>
      </c>
      <c r="BC29" s="7" t="s">
        <v>93</v>
      </c>
      <c r="BD29" s="2" t="s">
        <v>21</v>
      </c>
      <c r="BE29" s="3">
        <f>'Hasil (Rp)'!BE29-Biaya!BE29</f>
        <v>0</v>
      </c>
      <c r="BF29" s="3">
        <f>'Hasil (Rp)'!BF29-Biaya!BF29</f>
        <v>8312357.4549321383</v>
      </c>
      <c r="BG29" s="3">
        <f>'Hasil (Rp)'!BG29-Biaya!BG29</f>
        <v>0</v>
      </c>
      <c r="BH29" s="3">
        <f>'Hasil (Rp)'!BH29-Biaya!BH29</f>
        <v>0</v>
      </c>
      <c r="BI29" s="3">
        <f>'Hasil (Rp)'!BI29-Biaya!BI29</f>
        <v>8312357.4549321383</v>
      </c>
      <c r="BJ29" s="7" t="s">
        <v>93</v>
      </c>
      <c r="BK29" s="2" t="s">
        <v>21</v>
      </c>
      <c r="BL29" s="3">
        <f>'Hasil (Rp)'!BL29-Biaya!BL29</f>
        <v>94307011.570247933</v>
      </c>
      <c r="BM29" s="3">
        <f>'Hasil (Rp)'!BM29-Biaya!BM29</f>
        <v>38205130.555380426</v>
      </c>
      <c r="BN29" s="3">
        <f>'Hasil (Rp)'!BN29-Biaya!BN29</f>
        <v>0</v>
      </c>
      <c r="BO29" s="3">
        <f>'Hasil (Rp)'!BO29-Biaya!BO29</f>
        <v>0</v>
      </c>
      <c r="BP29" s="3">
        <f>'Hasil (Rp)'!BP29-Biaya!BP29</f>
        <v>132512142.12562835</v>
      </c>
      <c r="BQ29" s="7" t="s">
        <v>93</v>
      </c>
      <c r="BR29" s="2" t="s">
        <v>21</v>
      </c>
      <c r="BS29" s="3">
        <f>'Hasil (Rp)'!BS29-Biaya!BS29</f>
        <v>0</v>
      </c>
      <c r="BT29" s="3">
        <f>'Hasil (Rp)'!BT29-Biaya!BT29</f>
        <v>0</v>
      </c>
      <c r="BU29" s="3">
        <f>'Hasil (Rp)'!BU29-Biaya!BU29</f>
        <v>0</v>
      </c>
      <c r="BV29" s="3">
        <f>'Hasil (Rp)'!BV29-Biaya!BV29</f>
        <v>0</v>
      </c>
      <c r="BW29" s="3">
        <f>'Hasil (Rp)'!BW29-Biaya!BW29</f>
        <v>0</v>
      </c>
      <c r="BX29" s="7" t="s">
        <v>93</v>
      </c>
      <c r="BY29" s="2" t="s">
        <v>21</v>
      </c>
      <c r="BZ29" s="3">
        <f>'Hasil (Rp)'!BZ29-Biaya!BZ29</f>
        <v>96651055.704286993</v>
      </c>
      <c r="CA29" s="3">
        <f>'Hasil (Rp)'!CA29-Biaya!CA29</f>
        <v>1053518.608620272</v>
      </c>
      <c r="CB29" s="3">
        <f>'Hasil (Rp)'!CB29-Biaya!CB29</f>
        <v>0</v>
      </c>
      <c r="CC29" s="3">
        <f>'Hasil (Rp)'!CC29-Biaya!CC29</f>
        <v>0</v>
      </c>
      <c r="CD29" s="3">
        <f>'Hasil (Rp)'!CD29-Biaya!CD29</f>
        <v>97704574.312907279</v>
      </c>
      <c r="CE29" s="7" t="s">
        <v>93</v>
      </c>
      <c r="CF29" s="2" t="s">
        <v>21</v>
      </c>
      <c r="CG29" s="3">
        <f>'Hasil (Rp)'!CG29-Biaya!CG29</f>
        <v>0</v>
      </c>
      <c r="CH29" s="3">
        <f>'Hasil (Rp)'!CH29-Biaya!CH29</f>
        <v>0</v>
      </c>
      <c r="CI29" s="3">
        <f>'Hasil (Rp)'!CI29-Biaya!CI29</f>
        <v>0</v>
      </c>
      <c r="CJ29" s="3">
        <f>'Hasil (Rp)'!CJ29-Biaya!CJ29</f>
        <v>0</v>
      </c>
      <c r="CK29" s="3">
        <f>'Hasil (Rp)'!CK29-Biaya!CK29</f>
        <v>0</v>
      </c>
      <c r="CL29" s="7" t="s">
        <v>93</v>
      </c>
      <c r="CM29" s="2" t="s">
        <v>21</v>
      </c>
      <c r="CN29" s="3">
        <f>'Hasil (Rp)'!CN29-Biaya!CN29</f>
        <v>0</v>
      </c>
      <c r="CO29" s="3">
        <f>'Hasil (Rp)'!CO29-Biaya!CO29</f>
        <v>0</v>
      </c>
      <c r="CP29" s="3">
        <f>'Hasil (Rp)'!CP29-Biaya!CP29</f>
        <v>0</v>
      </c>
      <c r="CQ29" s="3">
        <f>'Hasil (Rp)'!CQ29-Biaya!CQ29</f>
        <v>0</v>
      </c>
      <c r="CR29" s="3">
        <f>'Hasil (Rp)'!CR29-Biaya!CR29</f>
        <v>0</v>
      </c>
      <c r="CS29" s="7" t="s">
        <v>93</v>
      </c>
      <c r="CT29" s="2" t="s">
        <v>21</v>
      </c>
      <c r="CU29" s="3">
        <f>'Hasil (Rp)'!CU29-Biaya!CU29</f>
        <v>58630310.606060624</v>
      </c>
      <c r="CV29" s="3">
        <f>'Hasil (Rp)'!CV29-Biaya!CV29</f>
        <v>4807781.2879644074</v>
      </c>
      <c r="CW29" s="3">
        <f>'Hasil (Rp)'!CW29-Biaya!CW29</f>
        <v>0</v>
      </c>
      <c r="CX29" s="3">
        <f>'Hasil (Rp)'!CX29-Biaya!CX29</f>
        <v>0</v>
      </c>
      <c r="CY29" s="3">
        <f>'Hasil (Rp)'!CY29-Biaya!CY29</f>
        <v>63438091.894025028</v>
      </c>
      <c r="CZ29" s="7" t="s">
        <v>93</v>
      </c>
      <c r="DA29" s="2" t="s">
        <v>21</v>
      </c>
      <c r="DB29" s="3">
        <f>'Hasil (Rp)'!DB29-Biaya!DB29</f>
        <v>216277441.28048778</v>
      </c>
      <c r="DC29" s="3">
        <f>'Hasil (Rp)'!DC29-Biaya!DC29</f>
        <v>5197880.986423701</v>
      </c>
      <c r="DD29" s="3">
        <f>'Hasil (Rp)'!DD29-Biaya!DD29</f>
        <v>0</v>
      </c>
      <c r="DE29" s="3">
        <f>'Hasil (Rp)'!DE29-Biaya!DE29</f>
        <v>0</v>
      </c>
      <c r="DF29" s="3">
        <f>'Hasil (Rp)'!DF29-Biaya!DF29</f>
        <v>221475322.26691151</v>
      </c>
      <c r="DG29" s="7" t="s">
        <v>93</v>
      </c>
      <c r="DH29" s="2" t="s">
        <v>21</v>
      </c>
      <c r="DI29" s="3">
        <f>'Hasil (Rp)'!DI29-Biaya!DI29</f>
        <v>4769987.6923076883</v>
      </c>
      <c r="DJ29" s="3">
        <f>'Hasil (Rp)'!DJ29-Biaya!DJ29</f>
        <v>1224105.4966186117</v>
      </c>
      <c r="DK29" s="3">
        <f>'Hasil (Rp)'!DK29-Biaya!DK29</f>
        <v>0</v>
      </c>
      <c r="DL29" s="3">
        <f>'Hasil (Rp)'!DL29-Biaya!DL29</f>
        <v>0</v>
      </c>
      <c r="DM29" s="3">
        <f>'Hasil (Rp)'!DM29-Biaya!DM29</f>
        <v>5994093.1889263019</v>
      </c>
      <c r="DN29" s="7" t="s">
        <v>93</v>
      </c>
      <c r="DO29" s="2" t="s">
        <v>21</v>
      </c>
      <c r="DP29" s="3">
        <f>'Hasil (Rp)'!DP29-Biaya!DP29</f>
        <v>27681052.5</v>
      </c>
      <c r="DQ29" s="3">
        <f>'Hasil (Rp)'!DQ29-Biaya!DQ29</f>
        <v>5786582.7521211058</v>
      </c>
      <c r="DR29" s="3">
        <f>'Hasil (Rp)'!DR29-Biaya!DR29</f>
        <v>0</v>
      </c>
      <c r="DS29" s="3">
        <f>'Hasil (Rp)'!DS29-Biaya!DS29</f>
        <v>0</v>
      </c>
      <c r="DT29" s="3">
        <f>'Hasil (Rp)'!DT29-Biaya!DT29</f>
        <v>33467635.252121106</v>
      </c>
      <c r="DU29" s="7" t="s">
        <v>93</v>
      </c>
      <c r="DV29" s="2" t="s">
        <v>21</v>
      </c>
      <c r="DW29" s="3">
        <f>'Hasil (Rp)'!DW29-Biaya!DW29</f>
        <v>143605472.04545856</v>
      </c>
      <c r="DX29" s="3">
        <f>'Hasil (Rp)'!DX29-Biaya!DX29</f>
        <v>0</v>
      </c>
      <c r="DY29" s="3">
        <f>'Hasil (Rp)'!DY29-Biaya!DY29</f>
        <v>15979548.818732254</v>
      </c>
      <c r="DZ29" s="3">
        <f>'Hasil (Rp)'!DZ29-Biaya!DZ29</f>
        <v>0</v>
      </c>
      <c r="EA29" s="3">
        <f>'Hasil (Rp)'!EA29-Biaya!EA29</f>
        <v>159585020.86419088</v>
      </c>
      <c r="EB29" s="7" t="s">
        <v>93</v>
      </c>
      <c r="EC29" s="2" t="s">
        <v>21</v>
      </c>
      <c r="ED29" s="3">
        <f>'Hasil (Rp)'!ED29-Biaya!ED29</f>
        <v>14783072347.1703</v>
      </c>
      <c r="EE29" s="3">
        <f>'Hasil (Rp)'!EE29-Biaya!EE29</f>
        <v>3791188.460040085</v>
      </c>
      <c r="EF29" s="3">
        <f>'Hasil (Rp)'!EF29-Biaya!EF29</f>
        <v>5473824.3474342376</v>
      </c>
      <c r="EG29" s="3">
        <f>'Hasil (Rp)'!EG29-Biaya!EG29</f>
        <v>0</v>
      </c>
      <c r="EH29" s="3">
        <f>'Hasil (Rp)'!EH29-Biaya!EH29</f>
        <v>14792337359.977772</v>
      </c>
    </row>
    <row r="30" spans="1:138" ht="10.199999999999999" customHeight="1" x14ac:dyDescent="0.2">
      <c r="A30" s="7" t="s">
        <v>115</v>
      </c>
      <c r="B30" s="2" t="s">
        <v>43</v>
      </c>
      <c r="C30" s="3">
        <f t="shared" si="4"/>
        <v>1912850129.1857853</v>
      </c>
      <c r="D30" s="3">
        <f t="shared" si="5"/>
        <v>10417456.365947403</v>
      </c>
      <c r="E30" s="3">
        <f t="shared" si="6"/>
        <v>1891186083.7918816</v>
      </c>
      <c r="F30" s="3">
        <f t="shared" si="7"/>
        <v>14903374999.186188</v>
      </c>
      <c r="G30" s="3">
        <f t="shared" si="8"/>
        <v>3865427773.7893829</v>
      </c>
      <c r="H30" s="3">
        <f t="shared" si="9"/>
        <v>0</v>
      </c>
      <c r="I30" s="3">
        <f t="shared" si="10"/>
        <v>6978010005.6314278</v>
      </c>
      <c r="J30" s="3">
        <f t="shared" si="11"/>
        <v>350778861.14987898</v>
      </c>
      <c r="K30" s="3">
        <f t="shared" si="12"/>
        <v>1920142277.0113029</v>
      </c>
      <c r="L30" s="3">
        <f t="shared" si="13"/>
        <v>15254321511.72937</v>
      </c>
      <c r="M30" s="3">
        <f t="shared" si="14"/>
        <v>18179178803.187958</v>
      </c>
      <c r="N30" s="3">
        <f t="shared" si="15"/>
        <v>15116294586.619995</v>
      </c>
      <c r="O30" s="3">
        <f t="shared" si="16"/>
        <v>80381982487.649109</v>
      </c>
      <c r="P30" s="7" t="s">
        <v>115</v>
      </c>
      <c r="Q30" s="2" t="s">
        <v>43</v>
      </c>
      <c r="R30" s="3">
        <f t="shared" si="17"/>
        <v>1912850129.1857853</v>
      </c>
      <c r="S30" s="3">
        <f t="shared" si="17"/>
        <v>10417456.365947403</v>
      </c>
      <c r="T30" s="3">
        <f t="shared" si="17"/>
        <v>1891186083.7918816</v>
      </c>
      <c r="U30" s="3">
        <f t="shared" si="17"/>
        <v>14903374999.186188</v>
      </c>
      <c r="V30" s="3">
        <f t="shared" si="17"/>
        <v>3865427773.7893829</v>
      </c>
      <c r="W30" s="3">
        <f t="shared" ref="W30:AA41" si="27">H30</f>
        <v>0</v>
      </c>
      <c r="X30" s="3">
        <f t="shared" si="27"/>
        <v>6978010005.6314278</v>
      </c>
      <c r="Y30" s="3">
        <f t="shared" si="27"/>
        <v>350778861.14987898</v>
      </c>
      <c r="Z30" s="3">
        <f t="shared" si="27"/>
        <v>1920142277.0113029</v>
      </c>
      <c r="AA30" s="3">
        <f t="shared" si="27"/>
        <v>15254321511.72937</v>
      </c>
      <c r="AB30" s="3">
        <f t="shared" si="18"/>
        <v>47086509097.841164</v>
      </c>
      <c r="AC30" s="7" t="s">
        <v>115</v>
      </c>
      <c r="AD30" s="2" t="s">
        <v>43</v>
      </c>
      <c r="AE30" s="3">
        <f t="shared" si="19"/>
        <v>18179178803.187958</v>
      </c>
      <c r="AF30" s="3">
        <f t="shared" si="19"/>
        <v>15116294586.619995</v>
      </c>
      <c r="AG30" s="3">
        <f t="shared" si="20"/>
        <v>33295473389.807953</v>
      </c>
      <c r="AH30" s="7" t="s">
        <v>115</v>
      </c>
      <c r="AI30" s="2" t="s">
        <v>43</v>
      </c>
      <c r="AJ30" s="3">
        <f t="shared" si="21"/>
        <v>4761214853.1599674</v>
      </c>
      <c r="AK30" s="3">
        <f t="shared" si="21"/>
        <v>48908925043.720322</v>
      </c>
      <c r="AL30" s="3">
        <f t="shared" si="21"/>
        <v>26711842590.768898</v>
      </c>
      <c r="AM30" s="3">
        <f t="shared" si="21"/>
        <v>0</v>
      </c>
      <c r="AN30" s="3">
        <f t="shared" si="22"/>
        <v>80381982487.649185</v>
      </c>
      <c r="AO30" s="7" t="s">
        <v>115</v>
      </c>
      <c r="AP30" s="2" t="s">
        <v>43</v>
      </c>
      <c r="AQ30" s="3">
        <f t="shared" si="23"/>
        <v>3011116772.6158071</v>
      </c>
      <c r="AR30" s="3">
        <f t="shared" si="23"/>
        <v>32182360514.904041</v>
      </c>
      <c r="AS30" s="3">
        <f t="shared" si="23"/>
        <v>11893031810.321329</v>
      </c>
      <c r="AT30" s="3">
        <f t="shared" si="23"/>
        <v>0</v>
      </c>
      <c r="AU30" s="3">
        <f t="shared" si="24"/>
        <v>47086509097.841179</v>
      </c>
      <c r="AV30" s="7" t="s">
        <v>115</v>
      </c>
      <c r="AW30" s="2" t="s">
        <v>43</v>
      </c>
      <c r="AX30" s="3">
        <f t="shared" si="25"/>
        <v>1750098080.5441604</v>
      </c>
      <c r="AY30" s="3">
        <f t="shared" si="25"/>
        <v>16726564528.816277</v>
      </c>
      <c r="AZ30" s="3">
        <f t="shared" si="25"/>
        <v>14818810780.447567</v>
      </c>
      <c r="BA30" s="3">
        <f t="shared" si="25"/>
        <v>0</v>
      </c>
      <c r="BB30" s="3">
        <f t="shared" si="26"/>
        <v>33295473389.808002</v>
      </c>
      <c r="BC30" s="7" t="s">
        <v>115</v>
      </c>
      <c r="BD30" s="2" t="s">
        <v>43</v>
      </c>
      <c r="BE30" s="3">
        <f>'Hasil (Rp)'!BE30-Biaya!BE30</f>
        <v>219423534.133407</v>
      </c>
      <c r="BF30" s="3">
        <f>'Hasil (Rp)'!BF30-Biaya!BF30</f>
        <v>0</v>
      </c>
      <c r="BG30" s="3">
        <f>'Hasil (Rp)'!BG30-Biaya!BG30</f>
        <v>1693426595.0523777</v>
      </c>
      <c r="BH30" s="3">
        <f>'Hasil (Rp)'!BH30-Biaya!BH30</f>
        <v>0</v>
      </c>
      <c r="BI30" s="3">
        <f>'Hasil (Rp)'!BI30-Biaya!BI30</f>
        <v>1912850129.1857853</v>
      </c>
      <c r="BJ30" s="7" t="s">
        <v>115</v>
      </c>
      <c r="BK30" s="2" t="s">
        <v>43</v>
      </c>
      <c r="BL30" s="3">
        <f>'Hasil (Rp)'!BL30-Biaya!BL30</f>
        <v>10417456.365947403</v>
      </c>
      <c r="BM30" s="3">
        <f>'Hasil (Rp)'!BM30-Biaya!BM30</f>
        <v>0</v>
      </c>
      <c r="BN30" s="3">
        <f>'Hasil (Rp)'!BN30-Biaya!BN30</f>
        <v>0</v>
      </c>
      <c r="BO30" s="3">
        <f>'Hasil (Rp)'!BO30-Biaya!BO30</f>
        <v>0</v>
      </c>
      <c r="BP30" s="3">
        <f>'Hasil (Rp)'!BP30-Biaya!BP30</f>
        <v>10417456.365947403</v>
      </c>
      <c r="BQ30" s="7" t="s">
        <v>115</v>
      </c>
      <c r="BR30" s="2" t="s">
        <v>43</v>
      </c>
      <c r="BS30" s="3">
        <f>'Hasil (Rp)'!BS30-Biaya!BS30</f>
        <v>0</v>
      </c>
      <c r="BT30" s="3">
        <f>'Hasil (Rp)'!BT30-Biaya!BT30</f>
        <v>0</v>
      </c>
      <c r="BU30" s="3">
        <f>'Hasil (Rp)'!BU30-Biaya!BU30</f>
        <v>1891186083.7918816</v>
      </c>
      <c r="BV30" s="3">
        <f>'Hasil (Rp)'!BV30-Biaya!BV30</f>
        <v>0</v>
      </c>
      <c r="BW30" s="3">
        <f>'Hasil (Rp)'!BW30-Biaya!BW30</f>
        <v>1891186083.7918816</v>
      </c>
      <c r="BX30" s="7" t="s">
        <v>115</v>
      </c>
      <c r="BY30" s="2" t="s">
        <v>43</v>
      </c>
      <c r="BZ30" s="3">
        <f>'Hasil (Rp)'!BZ30-Biaya!BZ30</f>
        <v>1672325917.0624466</v>
      </c>
      <c r="CA30" s="3">
        <f>'Hasil (Rp)'!CA30-Biaya!CA30</f>
        <v>12441194670.65036</v>
      </c>
      <c r="CB30" s="3">
        <f>'Hasil (Rp)'!CB30-Biaya!CB30</f>
        <v>789854411.47338438</v>
      </c>
      <c r="CC30" s="3">
        <f>'Hasil (Rp)'!CC30-Biaya!CC30</f>
        <v>0</v>
      </c>
      <c r="CD30" s="3">
        <f>'Hasil (Rp)'!CD30-Biaya!CD30</f>
        <v>14903374999.186188</v>
      </c>
      <c r="CE30" s="7" t="s">
        <v>115</v>
      </c>
      <c r="CF30" s="2" t="s">
        <v>43</v>
      </c>
      <c r="CG30" s="3">
        <f>'Hasil (Rp)'!CG30-Biaya!CG30</f>
        <v>34364892.458759934</v>
      </c>
      <c r="CH30" s="3">
        <f>'Hasil (Rp)'!CH30-Biaya!CH30</f>
        <v>249335841.91385388</v>
      </c>
      <c r="CI30" s="3">
        <f>'Hasil (Rp)'!CI30-Biaya!CI30</f>
        <v>3581727039.416769</v>
      </c>
      <c r="CJ30" s="3">
        <f>'Hasil (Rp)'!CJ30-Biaya!CJ30</f>
        <v>0</v>
      </c>
      <c r="CK30" s="3">
        <f>'Hasil (Rp)'!CK30-Biaya!CK30</f>
        <v>3865427773.7893829</v>
      </c>
      <c r="CL30" s="7" t="s">
        <v>115</v>
      </c>
      <c r="CM30" s="2" t="s">
        <v>43</v>
      </c>
      <c r="CN30" s="3">
        <f>'Hasil (Rp)'!CN30-Biaya!CN30</f>
        <v>0</v>
      </c>
      <c r="CO30" s="3">
        <f>'Hasil (Rp)'!CO30-Biaya!CO30</f>
        <v>0</v>
      </c>
      <c r="CP30" s="3">
        <f>'Hasil (Rp)'!CP30-Biaya!CP30</f>
        <v>0</v>
      </c>
      <c r="CQ30" s="3">
        <f>'Hasil (Rp)'!CQ30-Biaya!CQ30</f>
        <v>0</v>
      </c>
      <c r="CR30" s="3">
        <f>'Hasil (Rp)'!CR30-Biaya!CR30</f>
        <v>0</v>
      </c>
      <c r="CS30" s="7" t="s">
        <v>115</v>
      </c>
      <c r="CT30" s="2" t="s">
        <v>43</v>
      </c>
      <c r="CU30" s="3">
        <f>'Hasil (Rp)'!CU30-Biaya!CU30</f>
        <v>76506433.966427803</v>
      </c>
      <c r="CV30" s="3">
        <f>'Hasil (Rp)'!CV30-Biaya!CV30</f>
        <v>6901503571.6650009</v>
      </c>
      <c r="CW30" s="3">
        <f>'Hasil (Rp)'!CW30-Biaya!CW30</f>
        <v>0</v>
      </c>
      <c r="CX30" s="3">
        <f>'Hasil (Rp)'!CX30-Biaya!CX30</f>
        <v>0</v>
      </c>
      <c r="CY30" s="3">
        <f>'Hasil (Rp)'!CY30-Biaya!CY30</f>
        <v>6978010005.6314278</v>
      </c>
      <c r="CZ30" s="7" t="s">
        <v>115</v>
      </c>
      <c r="DA30" s="2" t="s">
        <v>43</v>
      </c>
      <c r="DB30" s="3">
        <f>'Hasil (Rp)'!DB30-Biaya!DB30</f>
        <v>852097210.44991815</v>
      </c>
      <c r="DC30" s="3">
        <f>'Hasil (Rp)'!DC30-Biaya!DC30</f>
        <v>1065021786.9436843</v>
      </c>
      <c r="DD30" s="3">
        <f>'Hasil (Rp)'!DD30-Biaya!DD30</f>
        <v>3023279.6177004343</v>
      </c>
      <c r="DE30" s="3">
        <f>'Hasil (Rp)'!DE30-Biaya!DE30</f>
        <v>0</v>
      </c>
      <c r="DF30" s="3">
        <f>'Hasil (Rp)'!DF30-Biaya!DF30</f>
        <v>1920142277.0113029</v>
      </c>
      <c r="DG30" s="7" t="s">
        <v>115</v>
      </c>
      <c r="DH30" s="2" t="s">
        <v>43</v>
      </c>
      <c r="DI30" s="3">
        <f>'Hasil (Rp)'!DI30-Biaya!DI30</f>
        <v>12695842.982741559</v>
      </c>
      <c r="DJ30" s="3">
        <f>'Hasil (Rp)'!DJ30-Biaya!DJ30</f>
        <v>0</v>
      </c>
      <c r="DK30" s="3">
        <f>'Hasil (Rp)'!DK30-Biaya!DK30</f>
        <v>338083018.16713762</v>
      </c>
      <c r="DL30" s="3">
        <f>'Hasil (Rp)'!DL30-Biaya!DL30</f>
        <v>0</v>
      </c>
      <c r="DM30" s="3">
        <f>'Hasil (Rp)'!DM30-Biaya!DM30</f>
        <v>350778861.14987898</v>
      </c>
      <c r="DN30" s="7" t="s">
        <v>115</v>
      </c>
      <c r="DO30" s="2" t="s">
        <v>43</v>
      </c>
      <c r="DP30" s="3">
        <f>'Hasil (Rp)'!DP30-Biaya!DP30</f>
        <v>133285485.19615877</v>
      </c>
      <c r="DQ30" s="3">
        <f>'Hasil (Rp)'!DQ30-Biaya!DQ30</f>
        <v>11525304643.73114</v>
      </c>
      <c r="DR30" s="3">
        <f>'Hasil (Rp)'!DR30-Biaya!DR30</f>
        <v>3595731382.8020782</v>
      </c>
      <c r="DS30" s="3">
        <f>'Hasil (Rp)'!DS30-Biaya!DS30</f>
        <v>0</v>
      </c>
      <c r="DT30" s="3">
        <f>'Hasil (Rp)'!DT30-Biaya!DT30</f>
        <v>15254321511.72937</v>
      </c>
      <c r="DU30" s="7" t="s">
        <v>115</v>
      </c>
      <c r="DV30" s="2" t="s">
        <v>43</v>
      </c>
      <c r="DW30" s="3">
        <f>'Hasil (Rp)'!DW30-Biaya!DW30</f>
        <v>126105853.20951784</v>
      </c>
      <c r="DX30" s="3">
        <f>'Hasil (Rp)'!DX30-Biaya!DX30</f>
        <v>356099814.58014607</v>
      </c>
      <c r="DY30" s="3">
        <f>'Hasil (Rp)'!DY30-Biaya!DY30</f>
        <v>14634088918.830383</v>
      </c>
      <c r="DZ30" s="3">
        <f>'Hasil (Rp)'!DZ30-Biaya!DZ30</f>
        <v>0</v>
      </c>
      <c r="EA30" s="3">
        <f>'Hasil (Rp)'!EA30-Biaya!EA30</f>
        <v>15116294586.619995</v>
      </c>
      <c r="EB30" s="7" t="s">
        <v>115</v>
      </c>
      <c r="EC30" s="2" t="s">
        <v>43</v>
      </c>
      <c r="ED30" s="3">
        <f>'Hasil (Rp)'!ED30-Biaya!ED30</f>
        <v>1623992227.3346424</v>
      </c>
      <c r="EE30" s="3">
        <f>'Hasil (Rp)'!EE30-Biaya!EE30</f>
        <v>16370464714.23613</v>
      </c>
      <c r="EF30" s="3">
        <f>'Hasil (Rp)'!EF30-Biaya!EF30</f>
        <v>184721861.61718369</v>
      </c>
      <c r="EG30" s="3">
        <f>'Hasil (Rp)'!EG30-Biaya!EG30</f>
        <v>0</v>
      </c>
      <c r="EH30" s="3">
        <f>'Hasil (Rp)'!EH30-Biaya!EH30</f>
        <v>18179178803.187958</v>
      </c>
    </row>
    <row r="31" spans="1:138" ht="10.199999999999999" customHeight="1" x14ac:dyDescent="0.2">
      <c r="A31" s="7" t="s">
        <v>111</v>
      </c>
      <c r="B31" s="2" t="s">
        <v>39</v>
      </c>
      <c r="C31" s="3">
        <f t="shared" si="4"/>
        <v>128861203.210621</v>
      </c>
      <c r="D31" s="3">
        <f t="shared" si="5"/>
        <v>442229539.51474357</v>
      </c>
      <c r="E31" s="3">
        <f t="shared" si="6"/>
        <v>63794680.91862154</v>
      </c>
      <c r="F31" s="3">
        <f t="shared" si="7"/>
        <v>3935708867.20784</v>
      </c>
      <c r="G31" s="3">
        <f t="shared" si="8"/>
        <v>6131664.2594110444</v>
      </c>
      <c r="H31" s="3">
        <f t="shared" si="9"/>
        <v>0</v>
      </c>
      <c r="I31" s="3">
        <f t="shared" si="10"/>
        <v>183430265.17954034</v>
      </c>
      <c r="J31" s="3">
        <f t="shared" si="11"/>
        <v>3028017906.3980455</v>
      </c>
      <c r="K31" s="3">
        <f t="shared" si="12"/>
        <v>15614827395.284958</v>
      </c>
      <c r="L31" s="3">
        <f t="shared" si="13"/>
        <v>5183626353.429615</v>
      </c>
      <c r="M31" s="3">
        <f t="shared" si="14"/>
        <v>21849768469.266159</v>
      </c>
      <c r="N31" s="3">
        <f t="shared" si="15"/>
        <v>4461458825.636116</v>
      </c>
      <c r="O31" s="3">
        <f t="shared" si="16"/>
        <v>54897855170.305672</v>
      </c>
      <c r="P31" s="7" t="s">
        <v>111</v>
      </c>
      <c r="Q31" s="2" t="s">
        <v>39</v>
      </c>
      <c r="R31" s="3">
        <f t="shared" ref="R31:V41" si="28">C31</f>
        <v>128861203.210621</v>
      </c>
      <c r="S31" s="3">
        <f t="shared" si="28"/>
        <v>442229539.51474357</v>
      </c>
      <c r="T31" s="3">
        <f t="shared" si="28"/>
        <v>63794680.91862154</v>
      </c>
      <c r="U31" s="3">
        <f t="shared" si="28"/>
        <v>3935708867.20784</v>
      </c>
      <c r="V31" s="3">
        <f t="shared" si="28"/>
        <v>6131664.2594110444</v>
      </c>
      <c r="W31" s="3">
        <f t="shared" si="27"/>
        <v>0</v>
      </c>
      <c r="X31" s="3">
        <f t="shared" si="27"/>
        <v>183430265.17954034</v>
      </c>
      <c r="Y31" s="3">
        <f t="shared" si="27"/>
        <v>3028017906.3980455</v>
      </c>
      <c r="Z31" s="3">
        <f t="shared" si="27"/>
        <v>15614827395.284958</v>
      </c>
      <c r="AA31" s="3">
        <f t="shared" si="27"/>
        <v>5183626353.429615</v>
      </c>
      <c r="AB31" s="3">
        <f t="shared" si="18"/>
        <v>28586627875.403397</v>
      </c>
      <c r="AC31" s="7" t="s">
        <v>111</v>
      </c>
      <c r="AD31" s="2" t="s">
        <v>39</v>
      </c>
      <c r="AE31" s="3">
        <f t="shared" si="19"/>
        <v>21849768469.266159</v>
      </c>
      <c r="AF31" s="3">
        <f t="shared" si="19"/>
        <v>4461458825.636116</v>
      </c>
      <c r="AG31" s="3">
        <f t="shared" si="20"/>
        <v>26311227294.902275</v>
      </c>
      <c r="AH31" s="7" t="s">
        <v>111</v>
      </c>
      <c r="AI31" s="2" t="s">
        <v>39</v>
      </c>
      <c r="AJ31" s="3">
        <f t="shared" si="21"/>
        <v>44948102804.749207</v>
      </c>
      <c r="AK31" s="3">
        <f t="shared" si="21"/>
        <v>8768739347.33671</v>
      </c>
      <c r="AL31" s="3">
        <f t="shared" si="21"/>
        <v>0</v>
      </c>
      <c r="AM31" s="3">
        <f t="shared" si="21"/>
        <v>1181013018.2197518</v>
      </c>
      <c r="AN31" s="3">
        <f t="shared" si="22"/>
        <v>54897855170.305664</v>
      </c>
      <c r="AO31" s="7" t="s">
        <v>111</v>
      </c>
      <c r="AP31" s="2" t="s">
        <v>39</v>
      </c>
      <c r="AQ31" s="3">
        <f t="shared" si="23"/>
        <v>20157434665.975155</v>
      </c>
      <c r="AR31" s="3">
        <f t="shared" si="23"/>
        <v>8365398528.5096178</v>
      </c>
      <c r="AS31" s="3">
        <f t="shared" si="23"/>
        <v>0</v>
      </c>
      <c r="AT31" s="3">
        <f t="shared" si="23"/>
        <v>63794680.91862154</v>
      </c>
      <c r="AU31" s="3">
        <f t="shared" si="24"/>
        <v>28586627875.403393</v>
      </c>
      <c r="AV31" s="7" t="s">
        <v>111</v>
      </c>
      <c r="AW31" s="2" t="s">
        <v>39</v>
      </c>
      <c r="AX31" s="3">
        <f t="shared" si="25"/>
        <v>24790668138.774052</v>
      </c>
      <c r="AY31" s="3">
        <f t="shared" si="25"/>
        <v>403340818.82709289</v>
      </c>
      <c r="AZ31" s="3">
        <f t="shared" si="25"/>
        <v>0</v>
      </c>
      <c r="BA31" s="3">
        <f t="shared" si="25"/>
        <v>1117218337.3011303</v>
      </c>
      <c r="BB31" s="3">
        <f t="shared" si="26"/>
        <v>26311227294.902275</v>
      </c>
      <c r="BC31" s="7" t="s">
        <v>111</v>
      </c>
      <c r="BD31" s="2" t="s">
        <v>39</v>
      </c>
      <c r="BE31" s="3">
        <f>'Hasil (Rp)'!BE31-Biaya!BE31</f>
        <v>82760848.028997183</v>
      </c>
      <c r="BF31" s="3">
        <f>'Hasil (Rp)'!BF31-Biaya!BF31</f>
        <v>46100355.181623757</v>
      </c>
      <c r="BG31" s="3">
        <f>'Hasil (Rp)'!BG31-Biaya!BG31</f>
        <v>0</v>
      </c>
      <c r="BH31" s="3">
        <f>'Hasil (Rp)'!BH31-Biaya!BH31</f>
        <v>0</v>
      </c>
      <c r="BI31" s="3">
        <f>'Hasil (Rp)'!BI31-Biaya!BI31</f>
        <v>128861203.210621</v>
      </c>
      <c r="BJ31" s="7" t="s">
        <v>111</v>
      </c>
      <c r="BK31" s="2" t="s">
        <v>39</v>
      </c>
      <c r="BL31" s="3">
        <f>'Hasil (Rp)'!BL31-Biaya!BL31</f>
        <v>442229539.51474357</v>
      </c>
      <c r="BM31" s="3">
        <f>'Hasil (Rp)'!BM31-Biaya!BM31</f>
        <v>0</v>
      </c>
      <c r="BN31" s="3">
        <f>'Hasil (Rp)'!BN31-Biaya!BN31</f>
        <v>0</v>
      </c>
      <c r="BO31" s="3">
        <f>'Hasil (Rp)'!BO31-Biaya!BO31</f>
        <v>0</v>
      </c>
      <c r="BP31" s="3">
        <f>'Hasil (Rp)'!BP31-Biaya!BP31</f>
        <v>442229539.51474357</v>
      </c>
      <c r="BQ31" s="7" t="s">
        <v>111</v>
      </c>
      <c r="BR31" s="2" t="s">
        <v>39</v>
      </c>
      <c r="BS31" s="3">
        <f>'Hasil (Rp)'!BS31-Biaya!BS31</f>
        <v>0</v>
      </c>
      <c r="BT31" s="3">
        <f>'Hasil (Rp)'!BT31-Biaya!BT31</f>
        <v>0</v>
      </c>
      <c r="BU31" s="3">
        <f>'Hasil (Rp)'!BU31-Biaya!BU31</f>
        <v>0</v>
      </c>
      <c r="BV31" s="3">
        <f>'Hasil (Rp)'!BV31-Biaya!BV31</f>
        <v>63794680.91862154</v>
      </c>
      <c r="BW31" s="3">
        <f>'Hasil (Rp)'!BW31-Biaya!BW31</f>
        <v>63794680.91862154</v>
      </c>
      <c r="BX31" s="7" t="s">
        <v>111</v>
      </c>
      <c r="BY31" s="2" t="s">
        <v>39</v>
      </c>
      <c r="BZ31" s="3">
        <f>'Hasil (Rp)'!BZ31-Biaya!BZ31</f>
        <v>3745313991.9705658</v>
      </c>
      <c r="CA31" s="3">
        <f>'Hasil (Rp)'!CA31-Biaya!CA31</f>
        <v>190394875.23727465</v>
      </c>
      <c r="CB31" s="3">
        <f>'Hasil (Rp)'!CB31-Biaya!CB31</f>
        <v>0</v>
      </c>
      <c r="CC31" s="3">
        <f>'Hasil (Rp)'!CC31-Biaya!CC31</f>
        <v>0</v>
      </c>
      <c r="CD31" s="3">
        <f>'Hasil (Rp)'!CD31-Biaya!CD31</f>
        <v>3935708867.20784</v>
      </c>
      <c r="CE31" s="7" t="s">
        <v>111</v>
      </c>
      <c r="CF31" s="2" t="s">
        <v>39</v>
      </c>
      <c r="CG31" s="3">
        <f>'Hasil (Rp)'!CG31-Biaya!CG31</f>
        <v>6131664.2594110444</v>
      </c>
      <c r="CH31" s="3">
        <f>'Hasil (Rp)'!CH31-Biaya!CH31</f>
        <v>0</v>
      </c>
      <c r="CI31" s="3">
        <f>'Hasil (Rp)'!CI31-Biaya!CI31</f>
        <v>0</v>
      </c>
      <c r="CJ31" s="3">
        <f>'Hasil (Rp)'!CJ31-Biaya!CJ31</f>
        <v>0</v>
      </c>
      <c r="CK31" s="3">
        <f>'Hasil (Rp)'!CK31-Biaya!CK31</f>
        <v>6131664.2594110444</v>
      </c>
      <c r="CL31" s="7" t="s">
        <v>111</v>
      </c>
      <c r="CM31" s="2" t="s">
        <v>39</v>
      </c>
      <c r="CN31" s="3">
        <f>'Hasil (Rp)'!CN31-Biaya!CN31</f>
        <v>0</v>
      </c>
      <c r="CO31" s="3">
        <f>'Hasil (Rp)'!CO31-Biaya!CO31</f>
        <v>0</v>
      </c>
      <c r="CP31" s="3">
        <f>'Hasil (Rp)'!CP31-Biaya!CP31</f>
        <v>0</v>
      </c>
      <c r="CQ31" s="3">
        <f>'Hasil (Rp)'!CQ31-Biaya!CQ31</f>
        <v>0</v>
      </c>
      <c r="CR31" s="3">
        <f>'Hasil (Rp)'!CR31-Biaya!CR31</f>
        <v>0</v>
      </c>
      <c r="CS31" s="7" t="s">
        <v>111</v>
      </c>
      <c r="CT31" s="2" t="s">
        <v>39</v>
      </c>
      <c r="CU31" s="3">
        <f>'Hasil (Rp)'!CU31-Biaya!CU31</f>
        <v>183430265.17954034</v>
      </c>
      <c r="CV31" s="3">
        <f>'Hasil (Rp)'!CV31-Biaya!CV31</f>
        <v>0</v>
      </c>
      <c r="CW31" s="3">
        <f>'Hasil (Rp)'!CW31-Biaya!CW31</f>
        <v>0</v>
      </c>
      <c r="CX31" s="3">
        <f>'Hasil (Rp)'!CX31-Biaya!CX31</f>
        <v>0</v>
      </c>
      <c r="CY31" s="3">
        <f>'Hasil (Rp)'!CY31-Biaya!CY31</f>
        <v>183430265.17954034</v>
      </c>
      <c r="CZ31" s="7" t="s">
        <v>111</v>
      </c>
      <c r="DA31" s="2" t="s">
        <v>39</v>
      </c>
      <c r="DB31" s="3">
        <f>'Hasil (Rp)'!DB31-Biaya!DB31</f>
        <v>8441129942.2642517</v>
      </c>
      <c r="DC31" s="3">
        <f>'Hasil (Rp)'!DC31-Biaya!DC31</f>
        <v>7173697453.0207043</v>
      </c>
      <c r="DD31" s="3">
        <f>'Hasil (Rp)'!DD31-Biaya!DD31</f>
        <v>0</v>
      </c>
      <c r="DE31" s="3">
        <f>'Hasil (Rp)'!DE31-Biaya!DE31</f>
        <v>0</v>
      </c>
      <c r="DF31" s="3">
        <f>'Hasil (Rp)'!DF31-Biaya!DF31</f>
        <v>15614827395.284958</v>
      </c>
      <c r="DG31" s="7" t="s">
        <v>111</v>
      </c>
      <c r="DH31" s="2" t="s">
        <v>39</v>
      </c>
      <c r="DI31" s="3">
        <f>'Hasil (Rp)'!DI31-Biaya!DI31</f>
        <v>2463022401.6006651</v>
      </c>
      <c r="DJ31" s="3">
        <f>'Hasil (Rp)'!DJ31-Biaya!DJ31</f>
        <v>564995504.79737973</v>
      </c>
      <c r="DK31" s="3">
        <f>'Hasil (Rp)'!DK31-Biaya!DK31</f>
        <v>0</v>
      </c>
      <c r="DL31" s="3">
        <f>'Hasil (Rp)'!DL31-Biaya!DL31</f>
        <v>0</v>
      </c>
      <c r="DM31" s="3">
        <f>'Hasil (Rp)'!DM31-Biaya!DM31</f>
        <v>3028017906.3980455</v>
      </c>
      <c r="DN31" s="7" t="s">
        <v>111</v>
      </c>
      <c r="DO31" s="2" t="s">
        <v>39</v>
      </c>
      <c r="DP31" s="3">
        <f>'Hasil (Rp)'!DP31-Biaya!DP31</f>
        <v>4793416013.1569786</v>
      </c>
      <c r="DQ31" s="3">
        <f>'Hasil (Rp)'!DQ31-Biaya!DQ31</f>
        <v>390210340.27263582</v>
      </c>
      <c r="DR31" s="3">
        <f>'Hasil (Rp)'!DR31-Biaya!DR31</f>
        <v>0</v>
      </c>
      <c r="DS31" s="3">
        <f>'Hasil (Rp)'!DS31-Biaya!DS31</f>
        <v>0</v>
      </c>
      <c r="DT31" s="3">
        <f>'Hasil (Rp)'!DT31-Biaya!DT31</f>
        <v>5183626353.429615</v>
      </c>
      <c r="DU31" s="7" t="s">
        <v>111</v>
      </c>
      <c r="DV31" s="2" t="s">
        <v>39</v>
      </c>
      <c r="DW31" s="3">
        <f>'Hasil (Rp)'!DW31-Biaya!DW31</f>
        <v>2940899669.5078926</v>
      </c>
      <c r="DX31" s="3">
        <f>'Hasil (Rp)'!DX31-Biaya!DX31</f>
        <v>403340818.82709289</v>
      </c>
      <c r="DY31" s="3">
        <f>'Hasil (Rp)'!DY31-Biaya!DY31</f>
        <v>0</v>
      </c>
      <c r="DZ31" s="3">
        <f>'Hasil (Rp)'!DZ31-Biaya!DZ31</f>
        <v>1117218337.3011303</v>
      </c>
      <c r="EA31" s="3">
        <f>'Hasil (Rp)'!EA31-Biaya!EA31</f>
        <v>4461458825.636116</v>
      </c>
      <c r="EB31" s="7" t="s">
        <v>111</v>
      </c>
      <c r="EC31" s="2" t="s">
        <v>39</v>
      </c>
      <c r="ED31" s="3">
        <f>'Hasil (Rp)'!ED31-Biaya!ED31</f>
        <v>21849768469.266159</v>
      </c>
      <c r="EE31" s="3">
        <f>'Hasil (Rp)'!EE31-Biaya!EE31</f>
        <v>0</v>
      </c>
      <c r="EF31" s="3">
        <f>'Hasil (Rp)'!EF31-Biaya!EF31</f>
        <v>0</v>
      </c>
      <c r="EG31" s="3">
        <f>'Hasil (Rp)'!EG31-Biaya!EG31</f>
        <v>0</v>
      </c>
      <c r="EH31" s="3">
        <f>'Hasil (Rp)'!EH31-Biaya!EH31</f>
        <v>21849768469.266159</v>
      </c>
    </row>
    <row r="32" spans="1:138" ht="10.199999999999999" customHeight="1" x14ac:dyDescent="0.2">
      <c r="A32" s="7" t="s">
        <v>118</v>
      </c>
      <c r="B32" s="2" t="s">
        <v>46</v>
      </c>
      <c r="C32" s="3">
        <f t="shared" si="4"/>
        <v>338152013.24318862</v>
      </c>
      <c r="D32" s="3">
        <f t="shared" si="5"/>
        <v>0</v>
      </c>
      <c r="E32" s="3">
        <f t="shared" si="6"/>
        <v>7359530281.1945953</v>
      </c>
      <c r="F32" s="3">
        <f t="shared" si="7"/>
        <v>70750579.481536254</v>
      </c>
      <c r="G32" s="3">
        <f t="shared" si="8"/>
        <v>3157447.5037815459</v>
      </c>
      <c r="H32" s="3">
        <f t="shared" si="9"/>
        <v>0</v>
      </c>
      <c r="I32" s="3">
        <f t="shared" si="10"/>
        <v>0</v>
      </c>
      <c r="J32" s="3">
        <f t="shared" si="11"/>
        <v>88401759.903253064</v>
      </c>
      <c r="K32" s="3">
        <f t="shared" si="12"/>
        <v>213676723373.48401</v>
      </c>
      <c r="L32" s="3">
        <f t="shared" si="13"/>
        <v>3527154859.1646943</v>
      </c>
      <c r="M32" s="3">
        <f t="shared" si="14"/>
        <v>0</v>
      </c>
      <c r="N32" s="3">
        <f t="shared" si="15"/>
        <v>679131981.62651467</v>
      </c>
      <c r="O32" s="3">
        <f t="shared" si="16"/>
        <v>225743002295.60159</v>
      </c>
      <c r="P32" s="7" t="s">
        <v>118</v>
      </c>
      <c r="Q32" s="2" t="s">
        <v>46</v>
      </c>
      <c r="R32" s="3">
        <f t="shared" si="28"/>
        <v>338152013.24318862</v>
      </c>
      <c r="S32" s="3">
        <f t="shared" si="28"/>
        <v>0</v>
      </c>
      <c r="T32" s="3">
        <f t="shared" si="28"/>
        <v>7359530281.1945953</v>
      </c>
      <c r="U32" s="3">
        <f t="shared" si="28"/>
        <v>70750579.481536254</v>
      </c>
      <c r="V32" s="3">
        <f t="shared" si="28"/>
        <v>3157447.5037815459</v>
      </c>
      <c r="W32" s="3">
        <f t="shared" si="27"/>
        <v>0</v>
      </c>
      <c r="X32" s="3">
        <f t="shared" si="27"/>
        <v>0</v>
      </c>
      <c r="Y32" s="3">
        <f t="shared" si="27"/>
        <v>88401759.903253064</v>
      </c>
      <c r="Z32" s="3">
        <f t="shared" si="27"/>
        <v>213676723373.48401</v>
      </c>
      <c r="AA32" s="3">
        <f t="shared" si="27"/>
        <v>3527154859.1646943</v>
      </c>
      <c r="AB32" s="3">
        <f t="shared" si="18"/>
        <v>225063870313.97507</v>
      </c>
      <c r="AC32" s="7" t="s">
        <v>118</v>
      </c>
      <c r="AD32" s="2" t="s">
        <v>46</v>
      </c>
      <c r="AE32" s="3">
        <f t="shared" si="19"/>
        <v>0</v>
      </c>
      <c r="AF32" s="3">
        <f t="shared" si="19"/>
        <v>679131981.62651467</v>
      </c>
      <c r="AG32" s="3">
        <f t="shared" si="20"/>
        <v>679131981.62651467</v>
      </c>
      <c r="AH32" s="7" t="s">
        <v>118</v>
      </c>
      <c r="AI32" s="2" t="s">
        <v>46</v>
      </c>
      <c r="AJ32" s="3">
        <f t="shared" si="21"/>
        <v>2002586119.4774098</v>
      </c>
      <c r="AK32" s="3">
        <f t="shared" si="21"/>
        <v>2743924465.7554069</v>
      </c>
      <c r="AL32" s="3">
        <f t="shared" si="21"/>
        <v>2121742924.228117</v>
      </c>
      <c r="AM32" s="3">
        <f t="shared" si="21"/>
        <v>218874748786.14063</v>
      </c>
      <c r="AN32" s="3">
        <f t="shared" si="22"/>
        <v>225743002295.60156</v>
      </c>
      <c r="AO32" s="7" t="s">
        <v>118</v>
      </c>
      <c r="AP32" s="2" t="s">
        <v>46</v>
      </c>
      <c r="AQ32" s="3">
        <f t="shared" si="23"/>
        <v>1323838774.8761933</v>
      </c>
      <c r="AR32" s="3">
        <f t="shared" si="23"/>
        <v>2743539828.7301087</v>
      </c>
      <c r="AS32" s="3">
        <f t="shared" si="23"/>
        <v>2121742924.228117</v>
      </c>
      <c r="AT32" s="3">
        <f t="shared" si="23"/>
        <v>218874748786.14063</v>
      </c>
      <c r="AU32" s="3">
        <f t="shared" si="24"/>
        <v>225063870313.97504</v>
      </c>
      <c r="AV32" s="7" t="s">
        <v>118</v>
      </c>
      <c r="AW32" s="2" t="s">
        <v>46</v>
      </c>
      <c r="AX32" s="3">
        <f t="shared" si="25"/>
        <v>678747344.60121644</v>
      </c>
      <c r="AY32" s="3">
        <f t="shared" si="25"/>
        <v>384637.0252982052</v>
      </c>
      <c r="AZ32" s="3">
        <f t="shared" si="25"/>
        <v>0</v>
      </c>
      <c r="BA32" s="3">
        <f t="shared" si="25"/>
        <v>0</v>
      </c>
      <c r="BB32" s="3">
        <f t="shared" si="26"/>
        <v>679131981.62651467</v>
      </c>
      <c r="BC32" s="7" t="s">
        <v>118</v>
      </c>
      <c r="BD32" s="2" t="s">
        <v>46</v>
      </c>
      <c r="BE32" s="3">
        <f>'Hasil (Rp)'!BE32-Biaya!BE32</f>
        <v>56337859.376832873</v>
      </c>
      <c r="BF32" s="3">
        <f>'Hasil (Rp)'!BF32-Biaya!BF32</f>
        <v>281814153.86635578</v>
      </c>
      <c r="BG32" s="3">
        <f>'Hasil (Rp)'!BG32-Biaya!BG32</f>
        <v>0</v>
      </c>
      <c r="BH32" s="3">
        <f>'Hasil (Rp)'!BH32-Biaya!BH32</f>
        <v>0</v>
      </c>
      <c r="BI32" s="3">
        <f>'Hasil (Rp)'!BI32-Biaya!BI32</f>
        <v>338152013.24318862</v>
      </c>
      <c r="BJ32" s="7" t="s">
        <v>118</v>
      </c>
      <c r="BK32" s="2" t="s">
        <v>46</v>
      </c>
      <c r="BL32" s="3">
        <f>'Hasil (Rp)'!BL32-Biaya!BL32</f>
        <v>0</v>
      </c>
      <c r="BM32" s="3">
        <f>'Hasil (Rp)'!BM32-Biaya!BM32</f>
        <v>0</v>
      </c>
      <c r="BN32" s="3">
        <f>'Hasil (Rp)'!BN32-Biaya!BN32</f>
        <v>0</v>
      </c>
      <c r="BO32" s="3">
        <f>'Hasil (Rp)'!BO32-Biaya!BO32</f>
        <v>0</v>
      </c>
      <c r="BP32" s="3">
        <f>'Hasil (Rp)'!BP32-Biaya!BP32</f>
        <v>0</v>
      </c>
      <c r="BQ32" s="7" t="s">
        <v>118</v>
      </c>
      <c r="BR32" s="2" t="s">
        <v>46</v>
      </c>
      <c r="BS32" s="3">
        <f>'Hasil (Rp)'!BS32-Biaya!BS32</f>
        <v>0</v>
      </c>
      <c r="BT32" s="3">
        <f>'Hasil (Rp)'!BT32-Biaya!BT32</f>
        <v>0</v>
      </c>
      <c r="BU32" s="3">
        <f>'Hasil (Rp)'!BU32-Biaya!BU32</f>
        <v>0</v>
      </c>
      <c r="BV32" s="3">
        <f>'Hasil (Rp)'!BV32-Biaya!BV32</f>
        <v>7359530281.1945953</v>
      </c>
      <c r="BW32" s="3">
        <f>'Hasil (Rp)'!BW32-Biaya!BW32</f>
        <v>7359530281.1945953</v>
      </c>
      <c r="BX32" s="7" t="s">
        <v>118</v>
      </c>
      <c r="BY32" s="2" t="s">
        <v>46</v>
      </c>
      <c r="BZ32" s="3">
        <f>'Hasil (Rp)'!BZ32-Biaya!BZ32</f>
        <v>70750579.481536254</v>
      </c>
      <c r="CA32" s="3">
        <f>'Hasil (Rp)'!CA32-Biaya!CA32</f>
        <v>0</v>
      </c>
      <c r="CB32" s="3">
        <f>'Hasil (Rp)'!CB32-Biaya!CB32</f>
        <v>0</v>
      </c>
      <c r="CC32" s="3">
        <f>'Hasil (Rp)'!CC32-Biaya!CC32</f>
        <v>0</v>
      </c>
      <c r="CD32" s="3">
        <f>'Hasil (Rp)'!CD32-Biaya!CD32</f>
        <v>70750579.481536254</v>
      </c>
      <c r="CE32" s="7" t="s">
        <v>118</v>
      </c>
      <c r="CF32" s="2" t="s">
        <v>46</v>
      </c>
      <c r="CG32" s="3">
        <f>'Hasil (Rp)'!CG32-Biaya!CG32</f>
        <v>2647130.1468278598</v>
      </c>
      <c r="CH32" s="3">
        <f>'Hasil (Rp)'!CH32-Biaya!CH32</f>
        <v>510317.35695368645</v>
      </c>
      <c r="CI32" s="3">
        <f>'Hasil (Rp)'!CI32-Biaya!CI32</f>
        <v>0</v>
      </c>
      <c r="CJ32" s="3">
        <f>'Hasil (Rp)'!CJ32-Biaya!CJ32</f>
        <v>0</v>
      </c>
      <c r="CK32" s="3">
        <f>'Hasil (Rp)'!CK32-Biaya!CK32</f>
        <v>3157447.5037815459</v>
      </c>
      <c r="CL32" s="7" t="s">
        <v>118</v>
      </c>
      <c r="CM32" s="2" t="s">
        <v>46</v>
      </c>
      <c r="CN32" s="3">
        <f>'Hasil (Rp)'!CN32-Biaya!CN32</f>
        <v>0</v>
      </c>
      <c r="CO32" s="3">
        <f>'Hasil (Rp)'!CO32-Biaya!CO32</f>
        <v>0</v>
      </c>
      <c r="CP32" s="3">
        <f>'Hasil (Rp)'!CP32-Biaya!CP32</f>
        <v>0</v>
      </c>
      <c r="CQ32" s="3">
        <f>'Hasil (Rp)'!CQ32-Biaya!CQ32</f>
        <v>0</v>
      </c>
      <c r="CR32" s="3">
        <f>'Hasil (Rp)'!CR32-Biaya!CR32</f>
        <v>0</v>
      </c>
      <c r="CS32" s="7" t="s">
        <v>118</v>
      </c>
      <c r="CT32" s="2" t="s">
        <v>46</v>
      </c>
      <c r="CU32" s="3">
        <f>'Hasil (Rp)'!CU32-Biaya!CU32</f>
        <v>0</v>
      </c>
      <c r="CV32" s="3">
        <f>'Hasil (Rp)'!CV32-Biaya!CV32</f>
        <v>0</v>
      </c>
      <c r="CW32" s="3">
        <f>'Hasil (Rp)'!CW32-Biaya!CW32</f>
        <v>0</v>
      </c>
      <c r="CX32" s="3">
        <f>'Hasil (Rp)'!CX32-Biaya!CX32</f>
        <v>0</v>
      </c>
      <c r="CY32" s="3">
        <f>'Hasil (Rp)'!CY32-Biaya!CY32</f>
        <v>0</v>
      </c>
      <c r="CZ32" s="7" t="s">
        <v>118</v>
      </c>
      <c r="DA32" s="2" t="s">
        <v>46</v>
      </c>
      <c r="DB32" s="3">
        <f>'Hasil (Rp)'!DB32-Biaya!DB32</f>
        <v>0</v>
      </c>
      <c r="DC32" s="3">
        <f>'Hasil (Rp)'!DC32-Biaya!DC32</f>
        <v>39761944.309848301</v>
      </c>
      <c r="DD32" s="3">
        <f>'Hasil (Rp)'!DD32-Biaya!DD32</f>
        <v>2121742924.228117</v>
      </c>
      <c r="DE32" s="3">
        <f>'Hasil (Rp)'!DE32-Biaya!DE32</f>
        <v>211515218504.94604</v>
      </c>
      <c r="DF32" s="3">
        <f>'Hasil (Rp)'!DF32-Biaya!DF32</f>
        <v>213676723373.48401</v>
      </c>
      <c r="DG32" s="7" t="s">
        <v>118</v>
      </c>
      <c r="DH32" s="2" t="s">
        <v>46</v>
      </c>
      <c r="DI32" s="3">
        <f>'Hasil (Rp)'!DI32-Biaya!DI32</f>
        <v>88401759.903253064</v>
      </c>
      <c r="DJ32" s="3">
        <f>'Hasil (Rp)'!DJ32-Biaya!DJ32</f>
        <v>0</v>
      </c>
      <c r="DK32" s="3">
        <f>'Hasil (Rp)'!DK32-Biaya!DK32</f>
        <v>0</v>
      </c>
      <c r="DL32" s="3">
        <f>'Hasil (Rp)'!DL32-Biaya!DL32</f>
        <v>0</v>
      </c>
      <c r="DM32" s="3">
        <f>'Hasil (Rp)'!DM32-Biaya!DM32</f>
        <v>88401759.903253064</v>
      </c>
      <c r="DN32" s="7" t="s">
        <v>118</v>
      </c>
      <c r="DO32" s="2" t="s">
        <v>46</v>
      </c>
      <c r="DP32" s="3">
        <f>'Hasil (Rp)'!DP32-Biaya!DP32</f>
        <v>1105701445.9677432</v>
      </c>
      <c r="DQ32" s="3">
        <f>'Hasil (Rp)'!DQ32-Biaya!DQ32</f>
        <v>2421453413.1969509</v>
      </c>
      <c r="DR32" s="3">
        <f>'Hasil (Rp)'!DR32-Biaya!DR32</f>
        <v>0</v>
      </c>
      <c r="DS32" s="3">
        <f>'Hasil (Rp)'!DS32-Biaya!DS32</f>
        <v>0</v>
      </c>
      <c r="DT32" s="3">
        <f>'Hasil (Rp)'!DT32-Biaya!DT32</f>
        <v>3527154859.1646943</v>
      </c>
      <c r="DU32" s="7" t="s">
        <v>118</v>
      </c>
      <c r="DV32" s="2" t="s">
        <v>46</v>
      </c>
      <c r="DW32" s="3">
        <f>'Hasil (Rp)'!DW32-Biaya!DW32</f>
        <v>678747344.60121644</v>
      </c>
      <c r="DX32" s="3">
        <f>'Hasil (Rp)'!DX32-Biaya!DX32</f>
        <v>384637.0252982052</v>
      </c>
      <c r="DY32" s="3">
        <f>'Hasil (Rp)'!DY32-Biaya!DY32</f>
        <v>0</v>
      </c>
      <c r="DZ32" s="3">
        <f>'Hasil (Rp)'!DZ32-Biaya!DZ32</f>
        <v>0</v>
      </c>
      <c r="EA32" s="3">
        <f>'Hasil (Rp)'!EA32-Biaya!EA32</f>
        <v>679131981.62651467</v>
      </c>
      <c r="EB32" s="7" t="s">
        <v>118</v>
      </c>
      <c r="EC32" s="2" t="s">
        <v>46</v>
      </c>
      <c r="ED32" s="3">
        <f>'Hasil (Rp)'!ED32-Biaya!ED32</f>
        <v>0</v>
      </c>
      <c r="EE32" s="3">
        <f>'Hasil (Rp)'!EE32-Biaya!EE32</f>
        <v>0</v>
      </c>
      <c r="EF32" s="3">
        <f>'Hasil (Rp)'!EF32-Biaya!EF32</f>
        <v>0</v>
      </c>
      <c r="EG32" s="3">
        <f>'Hasil (Rp)'!EG32-Biaya!EG32</f>
        <v>0</v>
      </c>
      <c r="EH32" s="3">
        <f>'Hasil (Rp)'!EH32-Biaya!EH32</f>
        <v>0</v>
      </c>
    </row>
    <row r="33" spans="1:138" ht="10.199999999999999" customHeight="1" x14ac:dyDescent="0.2">
      <c r="A33" s="7" t="s">
        <v>124</v>
      </c>
      <c r="B33" s="2" t="s">
        <v>52</v>
      </c>
      <c r="C33" s="3">
        <f t="shared" si="4"/>
        <v>0</v>
      </c>
      <c r="D33" s="3">
        <f t="shared" si="5"/>
        <v>163055358.03167143</v>
      </c>
      <c r="E33" s="3">
        <f t="shared" si="6"/>
        <v>0</v>
      </c>
      <c r="F33" s="3">
        <f t="shared" si="7"/>
        <v>4355667235.7178621</v>
      </c>
      <c r="G33" s="3">
        <f t="shared" si="8"/>
        <v>34110967547.101315</v>
      </c>
      <c r="H33" s="3">
        <f t="shared" si="9"/>
        <v>1491141721.9519539</v>
      </c>
      <c r="I33" s="3">
        <f t="shared" si="10"/>
        <v>184054.3953692292</v>
      </c>
      <c r="J33" s="3">
        <f t="shared" si="11"/>
        <v>7552515.1227005385</v>
      </c>
      <c r="K33" s="3">
        <f t="shared" si="12"/>
        <v>0</v>
      </c>
      <c r="L33" s="3">
        <f t="shared" si="13"/>
        <v>9912949135.1144218</v>
      </c>
      <c r="M33" s="3">
        <f t="shared" si="14"/>
        <v>7700239816.5182152</v>
      </c>
      <c r="N33" s="3">
        <f t="shared" si="15"/>
        <v>625851208.16618848</v>
      </c>
      <c r="O33" s="3">
        <f t="shared" si="16"/>
        <v>58367608592.119698</v>
      </c>
      <c r="P33" s="7" t="s">
        <v>124</v>
      </c>
      <c r="Q33" s="2" t="s">
        <v>52</v>
      </c>
      <c r="R33" s="3">
        <f t="shared" si="28"/>
        <v>0</v>
      </c>
      <c r="S33" s="3">
        <f t="shared" si="28"/>
        <v>163055358.03167143</v>
      </c>
      <c r="T33" s="3">
        <f t="shared" si="28"/>
        <v>0</v>
      </c>
      <c r="U33" s="3">
        <f t="shared" si="28"/>
        <v>4355667235.7178621</v>
      </c>
      <c r="V33" s="3">
        <f t="shared" si="28"/>
        <v>34110967547.101315</v>
      </c>
      <c r="W33" s="3">
        <f t="shared" si="27"/>
        <v>1491141721.9519539</v>
      </c>
      <c r="X33" s="3">
        <f t="shared" si="27"/>
        <v>184054.3953692292</v>
      </c>
      <c r="Y33" s="3">
        <f t="shared" si="27"/>
        <v>7552515.1227005385</v>
      </c>
      <c r="Z33" s="3">
        <f t="shared" si="27"/>
        <v>0</v>
      </c>
      <c r="AA33" s="3">
        <f t="shared" si="27"/>
        <v>9912949135.1144218</v>
      </c>
      <c r="AB33" s="3">
        <f t="shared" si="18"/>
        <v>50041517567.435287</v>
      </c>
      <c r="AC33" s="7" t="s">
        <v>124</v>
      </c>
      <c r="AD33" s="2" t="s">
        <v>52</v>
      </c>
      <c r="AE33" s="3">
        <f t="shared" si="19"/>
        <v>7700239816.5182152</v>
      </c>
      <c r="AF33" s="3">
        <f t="shared" si="19"/>
        <v>625851208.16618848</v>
      </c>
      <c r="AG33" s="3">
        <f t="shared" si="20"/>
        <v>8326091024.6844034</v>
      </c>
      <c r="AH33" s="7" t="s">
        <v>124</v>
      </c>
      <c r="AI33" s="2" t="s">
        <v>52</v>
      </c>
      <c r="AJ33" s="3">
        <f t="shared" si="21"/>
        <v>23072546293.069817</v>
      </c>
      <c r="AK33" s="3">
        <f t="shared" si="21"/>
        <v>135115471.93243515</v>
      </c>
      <c r="AL33" s="3">
        <f t="shared" si="21"/>
        <v>5005795816.3799076</v>
      </c>
      <c r="AM33" s="3">
        <f t="shared" si="21"/>
        <v>30154151010.737541</v>
      </c>
      <c r="AN33" s="3">
        <f t="shared" si="22"/>
        <v>58367608592.119698</v>
      </c>
      <c r="AO33" s="7" t="s">
        <v>124</v>
      </c>
      <c r="AP33" s="2" t="s">
        <v>52</v>
      </c>
      <c r="AQ33" s="3">
        <f t="shared" si="23"/>
        <v>16320986511.605164</v>
      </c>
      <c r="AR33" s="3">
        <f t="shared" si="23"/>
        <v>39276046.607536145</v>
      </c>
      <c r="AS33" s="3">
        <f t="shared" si="23"/>
        <v>3527103998.4850583</v>
      </c>
      <c r="AT33" s="3">
        <f t="shared" si="23"/>
        <v>30154151010.737541</v>
      </c>
      <c r="AU33" s="3">
        <f t="shared" si="24"/>
        <v>50041517567.435303</v>
      </c>
      <c r="AV33" s="7" t="s">
        <v>124</v>
      </c>
      <c r="AW33" s="2" t="s">
        <v>52</v>
      </c>
      <c r="AX33" s="3">
        <f t="shared" si="25"/>
        <v>6751559781.464654</v>
      </c>
      <c r="AY33" s="3">
        <f t="shared" si="25"/>
        <v>95839425.324899018</v>
      </c>
      <c r="AZ33" s="3">
        <f t="shared" si="25"/>
        <v>1478691817.8948498</v>
      </c>
      <c r="BA33" s="3">
        <f t="shared" si="25"/>
        <v>0</v>
      </c>
      <c r="BB33" s="3">
        <f t="shared" si="26"/>
        <v>8326091024.6844025</v>
      </c>
      <c r="BC33" s="7" t="s">
        <v>124</v>
      </c>
      <c r="BD33" s="2" t="s">
        <v>52</v>
      </c>
      <c r="BE33" s="3">
        <f>'Hasil (Rp)'!BE33-Biaya!BE33</f>
        <v>0</v>
      </c>
      <c r="BF33" s="3">
        <f>'Hasil (Rp)'!BF33-Biaya!BF33</f>
        <v>0</v>
      </c>
      <c r="BG33" s="3">
        <f>'Hasil (Rp)'!BG33-Biaya!BG33</f>
        <v>0</v>
      </c>
      <c r="BH33" s="3">
        <f>'Hasil (Rp)'!BH33-Biaya!BH33</f>
        <v>0</v>
      </c>
      <c r="BI33" s="3">
        <f>'Hasil (Rp)'!BI33-Biaya!BI33</f>
        <v>0</v>
      </c>
      <c r="BJ33" s="7" t="s">
        <v>124</v>
      </c>
      <c r="BK33" s="2" t="s">
        <v>52</v>
      </c>
      <c r="BL33" s="3">
        <f>'Hasil (Rp)'!BL33-Biaya!BL33</f>
        <v>161785505.31735528</v>
      </c>
      <c r="BM33" s="3">
        <f>'Hasil (Rp)'!BM33-Biaya!BM33</f>
        <v>0</v>
      </c>
      <c r="BN33" s="3">
        <f>'Hasil (Rp)'!BN33-Biaya!BN33</f>
        <v>1269852.7143161756</v>
      </c>
      <c r="BO33" s="3">
        <f>'Hasil (Rp)'!BO33-Biaya!BO33</f>
        <v>0</v>
      </c>
      <c r="BP33" s="3">
        <f>'Hasil (Rp)'!BP33-Biaya!BP33</f>
        <v>163055358.03167143</v>
      </c>
      <c r="BQ33" s="7" t="s">
        <v>124</v>
      </c>
      <c r="BR33" s="2" t="s">
        <v>52</v>
      </c>
      <c r="BS33" s="3">
        <f>'Hasil (Rp)'!BS33-Biaya!BS33</f>
        <v>0</v>
      </c>
      <c r="BT33" s="3">
        <f>'Hasil (Rp)'!BT33-Biaya!BT33</f>
        <v>0</v>
      </c>
      <c r="BU33" s="3">
        <f>'Hasil (Rp)'!BU33-Biaya!BU33</f>
        <v>0</v>
      </c>
      <c r="BV33" s="3">
        <f>'Hasil (Rp)'!BV33-Biaya!BV33</f>
        <v>0</v>
      </c>
      <c r="BW33" s="3">
        <f>'Hasil (Rp)'!BW33-Biaya!BW33</f>
        <v>0</v>
      </c>
      <c r="BX33" s="7" t="s">
        <v>124</v>
      </c>
      <c r="BY33" s="2" t="s">
        <v>52</v>
      </c>
      <c r="BZ33" s="3">
        <f>'Hasil (Rp)'!BZ33-Biaya!BZ33</f>
        <v>4324037304.5189104</v>
      </c>
      <c r="CA33" s="3">
        <f>'Hasil (Rp)'!CA33-Biaya!CA33</f>
        <v>0</v>
      </c>
      <c r="CB33" s="3">
        <f>'Hasil (Rp)'!CB33-Biaya!CB33</f>
        <v>31629931.198951341</v>
      </c>
      <c r="CC33" s="3">
        <f>'Hasil (Rp)'!CC33-Biaya!CC33</f>
        <v>0</v>
      </c>
      <c r="CD33" s="3">
        <f>'Hasil (Rp)'!CD33-Biaya!CD33</f>
        <v>4355667235.7178621</v>
      </c>
      <c r="CE33" s="7" t="s">
        <v>124</v>
      </c>
      <c r="CF33" s="2" t="s">
        <v>52</v>
      </c>
      <c r="CG33" s="3">
        <f>'Hasil (Rp)'!CG33-Biaya!CG33</f>
        <v>3956816536.3637781</v>
      </c>
      <c r="CH33" s="3">
        <f>'Hasil (Rp)'!CH33-Biaya!CH33</f>
        <v>0</v>
      </c>
      <c r="CI33" s="3">
        <f>'Hasil (Rp)'!CI33-Biaya!CI33</f>
        <v>0</v>
      </c>
      <c r="CJ33" s="3">
        <f>'Hasil (Rp)'!CJ33-Biaya!CJ33</f>
        <v>30154151010.737541</v>
      </c>
      <c r="CK33" s="3">
        <f>'Hasil (Rp)'!CK33-Biaya!CK33</f>
        <v>34110967547.101315</v>
      </c>
      <c r="CL33" s="7" t="s">
        <v>124</v>
      </c>
      <c r="CM33" s="2" t="s">
        <v>52</v>
      </c>
      <c r="CN33" s="3">
        <f>'Hasil (Rp)'!CN33-Biaya!CN33</f>
        <v>0</v>
      </c>
      <c r="CO33" s="3">
        <f>'Hasil (Rp)'!CO33-Biaya!CO33</f>
        <v>0</v>
      </c>
      <c r="CP33" s="3">
        <f>'Hasil (Rp)'!CP33-Biaya!CP33</f>
        <v>1491141721.9519539</v>
      </c>
      <c r="CQ33" s="3">
        <f>'Hasil (Rp)'!CQ33-Biaya!CQ33</f>
        <v>0</v>
      </c>
      <c r="CR33" s="3">
        <f>'Hasil (Rp)'!CR33-Biaya!CR33</f>
        <v>1491141721.9519539</v>
      </c>
      <c r="CS33" s="7" t="s">
        <v>124</v>
      </c>
      <c r="CT33" s="2" t="s">
        <v>52</v>
      </c>
      <c r="CU33" s="3">
        <f>'Hasil (Rp)'!CU33-Biaya!CU33</f>
        <v>184054.3953692292</v>
      </c>
      <c r="CV33" s="3">
        <f>'Hasil (Rp)'!CV33-Biaya!CV33</f>
        <v>0</v>
      </c>
      <c r="CW33" s="3">
        <f>'Hasil (Rp)'!CW33-Biaya!CW33</f>
        <v>0</v>
      </c>
      <c r="CX33" s="3">
        <f>'Hasil (Rp)'!CX33-Biaya!CX33</f>
        <v>0</v>
      </c>
      <c r="CY33" s="3">
        <f>'Hasil (Rp)'!CY33-Biaya!CY33</f>
        <v>184054.3953692292</v>
      </c>
      <c r="CZ33" s="7" t="s">
        <v>124</v>
      </c>
      <c r="DA33" s="2" t="s">
        <v>52</v>
      </c>
      <c r="DB33" s="3">
        <f>'Hasil (Rp)'!DB33-Biaya!DB33</f>
        <v>0</v>
      </c>
      <c r="DC33" s="3">
        <f>'Hasil (Rp)'!DC33-Biaya!DC33</f>
        <v>0</v>
      </c>
      <c r="DD33" s="3">
        <f>'Hasil (Rp)'!DD33-Biaya!DD33</f>
        <v>0</v>
      </c>
      <c r="DE33" s="3">
        <f>'Hasil (Rp)'!DE33-Biaya!DE33</f>
        <v>0</v>
      </c>
      <c r="DF33" s="3">
        <f>'Hasil (Rp)'!DF33-Biaya!DF33</f>
        <v>0</v>
      </c>
      <c r="DG33" s="7" t="s">
        <v>124</v>
      </c>
      <c r="DH33" s="2" t="s">
        <v>52</v>
      </c>
      <c r="DI33" s="3">
        <f>'Hasil (Rp)'!DI33-Biaya!DI33</f>
        <v>5734826.2399646165</v>
      </c>
      <c r="DJ33" s="3">
        <f>'Hasil (Rp)'!DJ33-Biaya!DJ33</f>
        <v>1817688.882735922</v>
      </c>
      <c r="DK33" s="3">
        <f>'Hasil (Rp)'!DK33-Biaya!DK33</f>
        <v>0</v>
      </c>
      <c r="DL33" s="3">
        <f>'Hasil (Rp)'!DL33-Biaya!DL33</f>
        <v>0</v>
      </c>
      <c r="DM33" s="3">
        <f>'Hasil (Rp)'!DM33-Biaya!DM33</f>
        <v>7552515.1227005385</v>
      </c>
      <c r="DN33" s="7" t="s">
        <v>124</v>
      </c>
      <c r="DO33" s="2" t="s">
        <v>52</v>
      </c>
      <c r="DP33" s="3">
        <f>'Hasil (Rp)'!DP33-Biaya!DP33</f>
        <v>7872428284.7697849</v>
      </c>
      <c r="DQ33" s="3">
        <f>'Hasil (Rp)'!DQ33-Biaya!DQ33</f>
        <v>37458357.724800222</v>
      </c>
      <c r="DR33" s="3">
        <f>'Hasil (Rp)'!DR33-Biaya!DR33</f>
        <v>2003062492.6198368</v>
      </c>
      <c r="DS33" s="3">
        <f>'Hasil (Rp)'!DS33-Biaya!DS33</f>
        <v>0</v>
      </c>
      <c r="DT33" s="3">
        <f>'Hasil (Rp)'!DT33-Biaya!DT33</f>
        <v>9912949135.1144218</v>
      </c>
      <c r="DU33" s="7" t="s">
        <v>124</v>
      </c>
      <c r="DV33" s="2" t="s">
        <v>52</v>
      </c>
      <c r="DW33" s="3">
        <f>'Hasil (Rp)'!DW33-Biaya!DW33</f>
        <v>81812765.533980578</v>
      </c>
      <c r="DX33" s="3">
        <f>'Hasil (Rp)'!DX33-Biaya!DX33</f>
        <v>0</v>
      </c>
      <c r="DY33" s="3">
        <f>'Hasil (Rp)'!DY33-Biaya!DY33</f>
        <v>544038442.63220787</v>
      </c>
      <c r="DZ33" s="3">
        <f>'Hasil (Rp)'!DZ33-Biaya!DZ33</f>
        <v>0</v>
      </c>
      <c r="EA33" s="3">
        <f>'Hasil (Rp)'!EA33-Biaya!EA33</f>
        <v>625851208.16618848</v>
      </c>
      <c r="EB33" s="7" t="s">
        <v>124</v>
      </c>
      <c r="EC33" s="2" t="s">
        <v>52</v>
      </c>
      <c r="ED33" s="3">
        <f>'Hasil (Rp)'!ED33-Biaya!ED33</f>
        <v>6669747015.9306736</v>
      </c>
      <c r="EE33" s="3">
        <f>'Hasil (Rp)'!EE33-Biaya!EE33</f>
        <v>95839425.324899018</v>
      </c>
      <c r="EF33" s="3">
        <f>'Hasil (Rp)'!EF33-Biaya!EF33</f>
        <v>934653375.26264203</v>
      </c>
      <c r="EG33" s="3">
        <f>'Hasil (Rp)'!EG33-Biaya!EG33</f>
        <v>0</v>
      </c>
      <c r="EH33" s="3">
        <f>'Hasil (Rp)'!EH33-Biaya!EH33</f>
        <v>7700239816.5182152</v>
      </c>
    </row>
    <row r="34" spans="1:138" ht="10.199999999999999" customHeight="1" x14ac:dyDescent="0.2">
      <c r="A34" s="7" t="s">
        <v>123</v>
      </c>
      <c r="B34" s="2" t="s">
        <v>51</v>
      </c>
      <c r="C34" s="3">
        <f t="shared" si="4"/>
        <v>0</v>
      </c>
      <c r="D34" s="3">
        <f t="shared" si="5"/>
        <v>82698889.077731431</v>
      </c>
      <c r="E34" s="3">
        <f t="shared" si="6"/>
        <v>0</v>
      </c>
      <c r="F34" s="3">
        <f t="shared" si="7"/>
        <v>114107768.38990059</v>
      </c>
      <c r="G34" s="3">
        <f t="shared" si="8"/>
        <v>0</v>
      </c>
      <c r="H34" s="3">
        <f t="shared" si="9"/>
        <v>0</v>
      </c>
      <c r="I34" s="3">
        <f t="shared" si="10"/>
        <v>45046392.758485124</v>
      </c>
      <c r="J34" s="3">
        <f t="shared" si="11"/>
        <v>0</v>
      </c>
      <c r="K34" s="3">
        <f t="shared" si="12"/>
        <v>31980768.888388678</v>
      </c>
      <c r="L34" s="3">
        <f t="shared" si="13"/>
        <v>1602993504.9921618</v>
      </c>
      <c r="M34" s="3">
        <f t="shared" si="14"/>
        <v>369915155.5562706</v>
      </c>
      <c r="N34" s="3">
        <f t="shared" si="15"/>
        <v>532852442.2085458</v>
      </c>
      <c r="O34" s="3">
        <f t="shared" si="16"/>
        <v>2779594921.8714838</v>
      </c>
      <c r="P34" s="7" t="s">
        <v>123</v>
      </c>
      <c r="Q34" s="2" t="s">
        <v>51</v>
      </c>
      <c r="R34" s="3">
        <f t="shared" si="28"/>
        <v>0</v>
      </c>
      <c r="S34" s="3">
        <f t="shared" si="28"/>
        <v>82698889.077731431</v>
      </c>
      <c r="T34" s="3">
        <f t="shared" si="28"/>
        <v>0</v>
      </c>
      <c r="U34" s="3">
        <f t="shared" si="28"/>
        <v>114107768.38990059</v>
      </c>
      <c r="V34" s="3">
        <f t="shared" si="28"/>
        <v>0</v>
      </c>
      <c r="W34" s="3">
        <f t="shared" si="27"/>
        <v>0</v>
      </c>
      <c r="X34" s="3">
        <f t="shared" si="27"/>
        <v>45046392.758485124</v>
      </c>
      <c r="Y34" s="3">
        <f t="shared" si="27"/>
        <v>0</v>
      </c>
      <c r="Z34" s="3">
        <f t="shared" si="27"/>
        <v>31980768.888388678</v>
      </c>
      <c r="AA34" s="3">
        <f t="shared" si="27"/>
        <v>1602993504.9921618</v>
      </c>
      <c r="AB34" s="3">
        <f t="shared" si="18"/>
        <v>1876827324.1066675</v>
      </c>
      <c r="AC34" s="7" t="s">
        <v>123</v>
      </c>
      <c r="AD34" s="2" t="s">
        <v>51</v>
      </c>
      <c r="AE34" s="3">
        <f t="shared" si="19"/>
        <v>369915155.5562706</v>
      </c>
      <c r="AF34" s="3">
        <f t="shared" si="19"/>
        <v>532852442.2085458</v>
      </c>
      <c r="AG34" s="3">
        <f t="shared" si="20"/>
        <v>902767597.7648164</v>
      </c>
      <c r="AH34" s="7" t="s">
        <v>123</v>
      </c>
      <c r="AI34" s="2" t="s">
        <v>51</v>
      </c>
      <c r="AJ34" s="3">
        <f t="shared" si="21"/>
        <v>3229799940.4965825</v>
      </c>
      <c r="AK34" s="3">
        <f t="shared" si="21"/>
        <v>3075038020.0227203</v>
      </c>
      <c r="AL34" s="3">
        <f t="shared" si="21"/>
        <v>0</v>
      </c>
      <c r="AM34" s="3">
        <f t="shared" si="21"/>
        <v>-3525243038.6478195</v>
      </c>
      <c r="AN34" s="3">
        <f t="shared" si="22"/>
        <v>2779594921.8714828</v>
      </c>
      <c r="AO34" s="7" t="s">
        <v>123</v>
      </c>
      <c r="AP34" s="2" t="s">
        <v>51</v>
      </c>
      <c r="AQ34" s="3">
        <f t="shared" si="23"/>
        <v>412346465.36706531</v>
      </c>
      <c r="AR34" s="3">
        <f t="shared" si="23"/>
        <v>1464480858.7396023</v>
      </c>
      <c r="AS34" s="3">
        <f t="shared" si="23"/>
        <v>0</v>
      </c>
      <c r="AT34" s="3">
        <f t="shared" si="23"/>
        <v>0</v>
      </c>
      <c r="AU34" s="3">
        <f t="shared" si="24"/>
        <v>1876827324.1066675</v>
      </c>
      <c r="AV34" s="7" t="s">
        <v>123</v>
      </c>
      <c r="AW34" s="2" t="s">
        <v>51</v>
      </c>
      <c r="AX34" s="3">
        <f t="shared" si="25"/>
        <v>2817453475.1295171</v>
      </c>
      <c r="AY34" s="3">
        <f t="shared" si="25"/>
        <v>1610557161.2831182</v>
      </c>
      <c r="AZ34" s="3">
        <f t="shared" si="25"/>
        <v>0</v>
      </c>
      <c r="BA34" s="3">
        <f t="shared" si="25"/>
        <v>-3525243038.6478195</v>
      </c>
      <c r="BB34" s="3">
        <f t="shared" si="26"/>
        <v>902767597.76481628</v>
      </c>
      <c r="BC34" s="7" t="s">
        <v>123</v>
      </c>
      <c r="BD34" s="2" t="s">
        <v>51</v>
      </c>
      <c r="BE34" s="3">
        <f>'Hasil (Rp)'!BE34-Biaya!BE34</f>
        <v>0</v>
      </c>
      <c r="BF34" s="3">
        <f>'Hasil (Rp)'!BF34-Biaya!BF34</f>
        <v>0</v>
      </c>
      <c r="BG34" s="3">
        <f>'Hasil (Rp)'!BG34-Biaya!BG34</f>
        <v>0</v>
      </c>
      <c r="BH34" s="3">
        <f>'Hasil (Rp)'!BH34-Biaya!BH34</f>
        <v>0</v>
      </c>
      <c r="BI34" s="3">
        <f>'Hasil (Rp)'!BI34-Biaya!BI34</f>
        <v>0</v>
      </c>
      <c r="BJ34" s="7" t="s">
        <v>123</v>
      </c>
      <c r="BK34" s="2" t="s">
        <v>51</v>
      </c>
      <c r="BL34" s="3">
        <f>'Hasil (Rp)'!BL34-Biaya!BL34</f>
        <v>47941416.177116364</v>
      </c>
      <c r="BM34" s="3">
        <f>'Hasil (Rp)'!BM34-Biaya!BM34</f>
        <v>34757472.900615044</v>
      </c>
      <c r="BN34" s="3">
        <f>'Hasil (Rp)'!BN34-Biaya!BN34</f>
        <v>0</v>
      </c>
      <c r="BO34" s="3">
        <f>'Hasil (Rp)'!BO34-Biaya!BO34</f>
        <v>0</v>
      </c>
      <c r="BP34" s="3">
        <f>'Hasil (Rp)'!BP34-Biaya!BP34</f>
        <v>82698889.077731431</v>
      </c>
      <c r="BQ34" s="7" t="s">
        <v>123</v>
      </c>
      <c r="BR34" s="2" t="s">
        <v>51</v>
      </c>
      <c r="BS34" s="3">
        <f>'Hasil (Rp)'!BS34-Biaya!BS34</f>
        <v>0</v>
      </c>
      <c r="BT34" s="3">
        <f>'Hasil (Rp)'!BT34-Biaya!BT34</f>
        <v>0</v>
      </c>
      <c r="BU34" s="3">
        <f>'Hasil (Rp)'!BU34-Biaya!BU34</f>
        <v>0</v>
      </c>
      <c r="BV34" s="3">
        <f>'Hasil (Rp)'!BV34-Biaya!BV34</f>
        <v>0</v>
      </c>
      <c r="BW34" s="3">
        <f>'Hasil (Rp)'!BW34-Biaya!BW34</f>
        <v>0</v>
      </c>
      <c r="BX34" s="7" t="s">
        <v>123</v>
      </c>
      <c r="BY34" s="2" t="s">
        <v>51</v>
      </c>
      <c r="BZ34" s="3">
        <f>'Hasil (Rp)'!BZ34-Biaya!BZ34</f>
        <v>910490.58847196307</v>
      </c>
      <c r="CA34" s="3">
        <f>'Hasil (Rp)'!CA34-Biaya!CA34</f>
        <v>113197277.80142863</v>
      </c>
      <c r="CB34" s="3">
        <f>'Hasil (Rp)'!CB34-Biaya!CB34</f>
        <v>0</v>
      </c>
      <c r="CC34" s="3">
        <f>'Hasil (Rp)'!CC34-Biaya!CC34</f>
        <v>0</v>
      </c>
      <c r="CD34" s="3">
        <f>'Hasil (Rp)'!CD34-Biaya!CD34</f>
        <v>114107768.38990059</v>
      </c>
      <c r="CE34" s="7" t="s">
        <v>123</v>
      </c>
      <c r="CF34" s="2" t="s">
        <v>51</v>
      </c>
      <c r="CG34" s="3">
        <f>'Hasil (Rp)'!CG34-Biaya!CG34</f>
        <v>0</v>
      </c>
      <c r="CH34" s="3">
        <f>'Hasil (Rp)'!CH34-Biaya!CH34</f>
        <v>0</v>
      </c>
      <c r="CI34" s="3">
        <f>'Hasil (Rp)'!CI34-Biaya!CI34</f>
        <v>0</v>
      </c>
      <c r="CJ34" s="3">
        <f>'Hasil (Rp)'!CJ34-Biaya!CJ34</f>
        <v>0</v>
      </c>
      <c r="CK34" s="3">
        <f>'Hasil (Rp)'!CK34-Biaya!CK34</f>
        <v>0</v>
      </c>
      <c r="CL34" s="7" t="s">
        <v>123</v>
      </c>
      <c r="CM34" s="2" t="s">
        <v>51</v>
      </c>
      <c r="CN34" s="3">
        <f>'Hasil (Rp)'!CN34-Biaya!CN34</f>
        <v>0</v>
      </c>
      <c r="CO34" s="3">
        <f>'Hasil (Rp)'!CO34-Biaya!CO34</f>
        <v>0</v>
      </c>
      <c r="CP34" s="3">
        <f>'Hasil (Rp)'!CP34-Biaya!CP34</f>
        <v>0</v>
      </c>
      <c r="CQ34" s="3">
        <f>'Hasil (Rp)'!CQ34-Biaya!CQ34</f>
        <v>0</v>
      </c>
      <c r="CR34" s="3">
        <f>'Hasil (Rp)'!CR34-Biaya!CR34</f>
        <v>0</v>
      </c>
      <c r="CS34" s="7" t="s">
        <v>123</v>
      </c>
      <c r="CT34" s="2" t="s">
        <v>51</v>
      </c>
      <c r="CU34" s="3">
        <f>'Hasil (Rp)'!CU34-Biaya!CU34</f>
        <v>45046392.758485124</v>
      </c>
      <c r="CV34" s="3">
        <f>'Hasil (Rp)'!CV34-Biaya!CV34</f>
        <v>0</v>
      </c>
      <c r="CW34" s="3">
        <f>'Hasil (Rp)'!CW34-Biaya!CW34</f>
        <v>0</v>
      </c>
      <c r="CX34" s="3">
        <f>'Hasil (Rp)'!CX34-Biaya!CX34</f>
        <v>0</v>
      </c>
      <c r="CY34" s="3">
        <f>'Hasil (Rp)'!CY34-Biaya!CY34</f>
        <v>45046392.758485124</v>
      </c>
      <c r="CZ34" s="7" t="s">
        <v>123</v>
      </c>
      <c r="DA34" s="2" t="s">
        <v>51</v>
      </c>
      <c r="DB34" s="3">
        <f>'Hasil (Rp)'!DB34-Biaya!DB34</f>
        <v>31980768.888388678</v>
      </c>
      <c r="DC34" s="3">
        <f>'Hasil (Rp)'!DC34-Biaya!DC34</f>
        <v>0</v>
      </c>
      <c r="DD34" s="3">
        <f>'Hasil (Rp)'!DD34-Biaya!DD34</f>
        <v>0</v>
      </c>
      <c r="DE34" s="3">
        <f>'Hasil (Rp)'!DE34-Biaya!DE34</f>
        <v>0</v>
      </c>
      <c r="DF34" s="3">
        <f>'Hasil (Rp)'!DF34-Biaya!DF34</f>
        <v>31980768.888388678</v>
      </c>
      <c r="DG34" s="7" t="s">
        <v>123</v>
      </c>
      <c r="DH34" s="2" t="s">
        <v>51</v>
      </c>
      <c r="DI34" s="3">
        <f>'Hasil (Rp)'!DI34-Biaya!DI34</f>
        <v>0</v>
      </c>
      <c r="DJ34" s="3">
        <f>'Hasil (Rp)'!DJ34-Biaya!DJ34</f>
        <v>0</v>
      </c>
      <c r="DK34" s="3">
        <f>'Hasil (Rp)'!DK34-Biaya!DK34</f>
        <v>0</v>
      </c>
      <c r="DL34" s="3">
        <f>'Hasil (Rp)'!DL34-Biaya!DL34</f>
        <v>0</v>
      </c>
      <c r="DM34" s="3">
        <f>'Hasil (Rp)'!DM34-Biaya!DM34</f>
        <v>0</v>
      </c>
      <c r="DN34" s="7" t="s">
        <v>123</v>
      </c>
      <c r="DO34" s="2" t="s">
        <v>51</v>
      </c>
      <c r="DP34" s="3">
        <f>'Hasil (Rp)'!DP34-Biaya!DP34</f>
        <v>286467396.9546032</v>
      </c>
      <c r="DQ34" s="3">
        <f>'Hasil (Rp)'!DQ34-Biaya!DQ34</f>
        <v>1316526108.0375586</v>
      </c>
      <c r="DR34" s="3">
        <f>'Hasil (Rp)'!DR34-Biaya!DR34</f>
        <v>0</v>
      </c>
      <c r="DS34" s="3">
        <f>'Hasil (Rp)'!DS34-Biaya!DS34</f>
        <v>0</v>
      </c>
      <c r="DT34" s="3">
        <f>'Hasil (Rp)'!DT34-Biaya!DT34</f>
        <v>1602993504.9921618</v>
      </c>
      <c r="DU34" s="7" t="s">
        <v>123</v>
      </c>
      <c r="DV34" s="2" t="s">
        <v>51</v>
      </c>
      <c r="DW34" s="3">
        <f>'Hasil (Rp)'!DW34-Biaya!DW34</f>
        <v>0</v>
      </c>
      <c r="DX34" s="3">
        <f>'Hasil (Rp)'!DX34-Biaya!DX34</f>
        <v>532852442.2085458</v>
      </c>
      <c r="DY34" s="3">
        <f>'Hasil (Rp)'!DY34-Biaya!DY34</f>
        <v>0</v>
      </c>
      <c r="DZ34" s="3">
        <f>'Hasil (Rp)'!DZ34-Biaya!DZ34</f>
        <v>0</v>
      </c>
      <c r="EA34" s="3">
        <f>'Hasil (Rp)'!EA34-Biaya!EA34</f>
        <v>532852442.2085458</v>
      </c>
      <c r="EB34" s="7" t="s">
        <v>123</v>
      </c>
      <c r="EC34" s="2" t="s">
        <v>51</v>
      </c>
      <c r="ED34" s="3">
        <f>'Hasil (Rp)'!ED34-Biaya!ED34</f>
        <v>2817453475.1295171</v>
      </c>
      <c r="EE34" s="3">
        <f>'Hasil (Rp)'!EE34-Biaya!EE34</f>
        <v>1077704719.0745726</v>
      </c>
      <c r="EF34" s="3">
        <f>'Hasil (Rp)'!EF34-Biaya!EF34</f>
        <v>0</v>
      </c>
      <c r="EG34" s="3">
        <f>'Hasil (Rp)'!EG34-Biaya!EG34</f>
        <v>-3525243038.6478195</v>
      </c>
      <c r="EH34" s="3">
        <f>'Hasil (Rp)'!EH34-Biaya!EH34</f>
        <v>369915155.5562706</v>
      </c>
    </row>
    <row r="35" spans="1:138" ht="10.199999999999999" customHeight="1" x14ac:dyDescent="0.2">
      <c r="A35" s="7" t="s">
        <v>126</v>
      </c>
      <c r="B35" s="2" t="s">
        <v>54</v>
      </c>
      <c r="C35" s="3">
        <f t="shared" si="4"/>
        <v>0</v>
      </c>
      <c r="D35" s="3">
        <f t="shared" si="5"/>
        <v>0</v>
      </c>
      <c r="E35" s="3">
        <f t="shared" si="6"/>
        <v>0</v>
      </c>
      <c r="F35" s="3">
        <f t="shared" si="7"/>
        <v>84450226.777919054</v>
      </c>
      <c r="G35" s="3">
        <f t="shared" si="8"/>
        <v>0</v>
      </c>
      <c r="H35" s="3">
        <f t="shared" si="9"/>
        <v>0</v>
      </c>
      <c r="I35" s="3">
        <f t="shared" si="10"/>
        <v>3212831.6031393092</v>
      </c>
      <c r="J35" s="3">
        <f t="shared" si="11"/>
        <v>0</v>
      </c>
      <c r="K35" s="3">
        <f t="shared" si="12"/>
        <v>0</v>
      </c>
      <c r="L35" s="3">
        <f t="shared" si="13"/>
        <v>40878325.15549805</v>
      </c>
      <c r="M35" s="3">
        <f t="shared" si="14"/>
        <v>0</v>
      </c>
      <c r="N35" s="3">
        <f t="shared" si="15"/>
        <v>0</v>
      </c>
      <c r="O35" s="3">
        <f t="shared" si="16"/>
        <v>128541383.53655642</v>
      </c>
      <c r="P35" s="7" t="s">
        <v>126</v>
      </c>
      <c r="Q35" s="2" t="s">
        <v>54</v>
      </c>
      <c r="R35" s="3">
        <f t="shared" si="28"/>
        <v>0</v>
      </c>
      <c r="S35" s="3">
        <f t="shared" si="28"/>
        <v>0</v>
      </c>
      <c r="T35" s="3">
        <f t="shared" si="28"/>
        <v>0</v>
      </c>
      <c r="U35" s="3">
        <f t="shared" si="28"/>
        <v>84450226.777919054</v>
      </c>
      <c r="V35" s="3">
        <f t="shared" si="28"/>
        <v>0</v>
      </c>
      <c r="W35" s="3">
        <f t="shared" si="27"/>
        <v>0</v>
      </c>
      <c r="X35" s="3">
        <f t="shared" si="27"/>
        <v>3212831.6031393092</v>
      </c>
      <c r="Y35" s="3">
        <f t="shared" si="27"/>
        <v>0</v>
      </c>
      <c r="Z35" s="3">
        <f t="shared" si="27"/>
        <v>0</v>
      </c>
      <c r="AA35" s="3">
        <f t="shared" si="27"/>
        <v>40878325.15549805</v>
      </c>
      <c r="AB35" s="3">
        <f t="shared" si="18"/>
        <v>128541383.53655642</v>
      </c>
      <c r="AC35" s="7" t="s">
        <v>126</v>
      </c>
      <c r="AD35" s="2" t="s">
        <v>54</v>
      </c>
      <c r="AE35" s="3">
        <f t="shared" si="19"/>
        <v>0</v>
      </c>
      <c r="AF35" s="3">
        <f t="shared" si="19"/>
        <v>0</v>
      </c>
      <c r="AG35" s="3">
        <f t="shared" si="20"/>
        <v>0</v>
      </c>
      <c r="AH35" s="7" t="s">
        <v>126</v>
      </c>
      <c r="AI35" s="2" t="s">
        <v>54</v>
      </c>
      <c r="AJ35" s="3">
        <f t="shared" si="21"/>
        <v>125462549.94892502</v>
      </c>
      <c r="AK35" s="3">
        <f t="shared" si="21"/>
        <v>3078833.5876313997</v>
      </c>
      <c r="AL35" s="3">
        <f t="shared" si="21"/>
        <v>0</v>
      </c>
      <c r="AM35" s="3">
        <f t="shared" si="21"/>
        <v>0</v>
      </c>
      <c r="AN35" s="3">
        <f t="shared" si="22"/>
        <v>128541383.53655642</v>
      </c>
      <c r="AO35" s="7" t="s">
        <v>126</v>
      </c>
      <c r="AP35" s="2" t="s">
        <v>54</v>
      </c>
      <c r="AQ35" s="3">
        <f t="shared" si="23"/>
        <v>125462549.94892502</v>
      </c>
      <c r="AR35" s="3">
        <f t="shared" si="23"/>
        <v>3078833.5876313997</v>
      </c>
      <c r="AS35" s="3">
        <f t="shared" si="23"/>
        <v>0</v>
      </c>
      <c r="AT35" s="3">
        <f t="shared" si="23"/>
        <v>0</v>
      </c>
      <c r="AU35" s="3">
        <f t="shared" si="24"/>
        <v>128541383.53655642</v>
      </c>
      <c r="AV35" s="7" t="s">
        <v>126</v>
      </c>
      <c r="AW35" s="2" t="s">
        <v>54</v>
      </c>
      <c r="AX35" s="3">
        <f t="shared" si="25"/>
        <v>0</v>
      </c>
      <c r="AY35" s="3">
        <f t="shared" si="25"/>
        <v>0</v>
      </c>
      <c r="AZ35" s="3">
        <f t="shared" si="25"/>
        <v>0</v>
      </c>
      <c r="BA35" s="3">
        <f t="shared" si="25"/>
        <v>0</v>
      </c>
      <c r="BB35" s="3">
        <f t="shared" si="26"/>
        <v>0</v>
      </c>
      <c r="BC35" s="7" t="s">
        <v>126</v>
      </c>
      <c r="BD35" s="2" t="s">
        <v>54</v>
      </c>
      <c r="BE35" s="3">
        <f>'Hasil (Rp)'!BE35-Biaya!BE35</f>
        <v>0</v>
      </c>
      <c r="BF35" s="3">
        <f>'Hasil (Rp)'!BF35-Biaya!BF35</f>
        <v>0</v>
      </c>
      <c r="BG35" s="3">
        <f>'Hasil (Rp)'!BG35-Biaya!BG35</f>
        <v>0</v>
      </c>
      <c r="BH35" s="3">
        <f>'Hasil (Rp)'!BH35-Biaya!BH35</f>
        <v>0</v>
      </c>
      <c r="BI35" s="3">
        <f>'Hasil (Rp)'!BI35-Biaya!BI35</f>
        <v>0</v>
      </c>
      <c r="BJ35" s="7" t="s">
        <v>126</v>
      </c>
      <c r="BK35" s="2" t="s">
        <v>54</v>
      </c>
      <c r="BL35" s="3">
        <f>'Hasil (Rp)'!BL35-Biaya!BL35</f>
        <v>0</v>
      </c>
      <c r="BM35" s="3">
        <f>'Hasil (Rp)'!BM35-Biaya!BM35</f>
        <v>0</v>
      </c>
      <c r="BN35" s="3">
        <f>'Hasil (Rp)'!BN35-Biaya!BN35</f>
        <v>0</v>
      </c>
      <c r="BO35" s="3">
        <f>'Hasil (Rp)'!BO35-Biaya!BO35</f>
        <v>0</v>
      </c>
      <c r="BP35" s="3">
        <f>'Hasil (Rp)'!BP35-Biaya!BP35</f>
        <v>0</v>
      </c>
      <c r="BQ35" s="7" t="s">
        <v>126</v>
      </c>
      <c r="BR35" s="2" t="s">
        <v>54</v>
      </c>
      <c r="BS35" s="3">
        <f>'Hasil (Rp)'!BS35-Biaya!BS35</f>
        <v>0</v>
      </c>
      <c r="BT35" s="3">
        <f>'Hasil (Rp)'!BT35-Biaya!BT35</f>
        <v>0</v>
      </c>
      <c r="BU35" s="3">
        <f>'Hasil (Rp)'!BU35-Biaya!BU35</f>
        <v>0</v>
      </c>
      <c r="BV35" s="3">
        <f>'Hasil (Rp)'!BV35-Biaya!BV35</f>
        <v>0</v>
      </c>
      <c r="BW35" s="3">
        <f>'Hasil (Rp)'!BW35-Biaya!BW35</f>
        <v>0</v>
      </c>
      <c r="BX35" s="7" t="s">
        <v>126</v>
      </c>
      <c r="BY35" s="2" t="s">
        <v>54</v>
      </c>
      <c r="BZ35" s="3">
        <f>'Hasil (Rp)'!BZ35-Biaya!BZ35</f>
        <v>84450226.777919054</v>
      </c>
      <c r="CA35" s="3">
        <f>'Hasil (Rp)'!CA35-Biaya!CA35</f>
        <v>0</v>
      </c>
      <c r="CB35" s="3">
        <f>'Hasil (Rp)'!CB35-Biaya!CB35</f>
        <v>0</v>
      </c>
      <c r="CC35" s="3">
        <f>'Hasil (Rp)'!CC35-Biaya!CC35</f>
        <v>0</v>
      </c>
      <c r="CD35" s="3">
        <f>'Hasil (Rp)'!CD35-Biaya!CD35</f>
        <v>84450226.777919054</v>
      </c>
      <c r="CE35" s="7" t="s">
        <v>126</v>
      </c>
      <c r="CF35" s="2" t="s">
        <v>54</v>
      </c>
      <c r="CG35" s="3">
        <f>'Hasil (Rp)'!CG35-Biaya!CG35</f>
        <v>0</v>
      </c>
      <c r="CH35" s="3">
        <f>'Hasil (Rp)'!CH35-Biaya!CH35</f>
        <v>0</v>
      </c>
      <c r="CI35" s="3">
        <f>'Hasil (Rp)'!CI35-Biaya!CI35</f>
        <v>0</v>
      </c>
      <c r="CJ35" s="3">
        <f>'Hasil (Rp)'!CJ35-Biaya!CJ35</f>
        <v>0</v>
      </c>
      <c r="CK35" s="3">
        <f>'Hasil (Rp)'!CK35-Biaya!CK35</f>
        <v>0</v>
      </c>
      <c r="CL35" s="7" t="s">
        <v>126</v>
      </c>
      <c r="CM35" s="2" t="s">
        <v>54</v>
      </c>
      <c r="CN35" s="3">
        <f>'Hasil (Rp)'!CN35-Biaya!CN35</f>
        <v>0</v>
      </c>
      <c r="CO35" s="3">
        <f>'Hasil (Rp)'!CO35-Biaya!CO35</f>
        <v>0</v>
      </c>
      <c r="CP35" s="3">
        <f>'Hasil (Rp)'!CP35-Biaya!CP35</f>
        <v>0</v>
      </c>
      <c r="CQ35" s="3">
        <f>'Hasil (Rp)'!CQ35-Biaya!CQ35</f>
        <v>0</v>
      </c>
      <c r="CR35" s="3">
        <f>'Hasil (Rp)'!CR35-Biaya!CR35</f>
        <v>0</v>
      </c>
      <c r="CS35" s="7" t="s">
        <v>126</v>
      </c>
      <c r="CT35" s="2" t="s">
        <v>54</v>
      </c>
      <c r="CU35" s="3">
        <f>'Hasil (Rp)'!CU35-Biaya!CU35</f>
        <v>133998.0155079086</v>
      </c>
      <c r="CV35" s="3">
        <f>'Hasil (Rp)'!CV35-Biaya!CV35</f>
        <v>3078833.5876313997</v>
      </c>
      <c r="CW35" s="3">
        <f>'Hasil (Rp)'!CW35-Biaya!CW35</f>
        <v>0</v>
      </c>
      <c r="CX35" s="3">
        <f>'Hasil (Rp)'!CX35-Biaya!CX35</f>
        <v>0</v>
      </c>
      <c r="CY35" s="3">
        <f>'Hasil (Rp)'!CY35-Biaya!CY35</f>
        <v>3212831.6031393092</v>
      </c>
      <c r="CZ35" s="7" t="s">
        <v>126</v>
      </c>
      <c r="DA35" s="2" t="s">
        <v>54</v>
      </c>
      <c r="DB35" s="3">
        <f>'Hasil (Rp)'!DB35-Biaya!DB35</f>
        <v>0</v>
      </c>
      <c r="DC35" s="3">
        <f>'Hasil (Rp)'!DC35-Biaya!DC35</f>
        <v>0</v>
      </c>
      <c r="DD35" s="3">
        <f>'Hasil (Rp)'!DD35-Biaya!DD35</f>
        <v>0</v>
      </c>
      <c r="DE35" s="3">
        <f>'Hasil (Rp)'!DE35-Biaya!DE35</f>
        <v>0</v>
      </c>
      <c r="DF35" s="3">
        <f>'Hasil (Rp)'!DF35-Biaya!DF35</f>
        <v>0</v>
      </c>
      <c r="DG35" s="7" t="s">
        <v>126</v>
      </c>
      <c r="DH35" s="2" t="s">
        <v>54</v>
      </c>
      <c r="DI35" s="3">
        <f>'Hasil (Rp)'!DI35-Biaya!DI35</f>
        <v>0</v>
      </c>
      <c r="DJ35" s="3">
        <f>'Hasil (Rp)'!DJ35-Biaya!DJ35</f>
        <v>0</v>
      </c>
      <c r="DK35" s="3">
        <f>'Hasil (Rp)'!DK35-Biaya!DK35</f>
        <v>0</v>
      </c>
      <c r="DL35" s="3">
        <f>'Hasil (Rp)'!DL35-Biaya!DL35</f>
        <v>0</v>
      </c>
      <c r="DM35" s="3">
        <f>'Hasil (Rp)'!DM35-Biaya!DM35</f>
        <v>0</v>
      </c>
      <c r="DN35" s="7" t="s">
        <v>126</v>
      </c>
      <c r="DO35" s="2" t="s">
        <v>54</v>
      </c>
      <c r="DP35" s="3">
        <f>'Hasil (Rp)'!DP35-Biaya!DP35</f>
        <v>40878325.15549805</v>
      </c>
      <c r="DQ35" s="3">
        <f>'Hasil (Rp)'!DQ35-Biaya!DQ35</f>
        <v>0</v>
      </c>
      <c r="DR35" s="3">
        <f>'Hasil (Rp)'!DR35-Biaya!DR35</f>
        <v>0</v>
      </c>
      <c r="DS35" s="3">
        <f>'Hasil (Rp)'!DS35-Biaya!DS35</f>
        <v>0</v>
      </c>
      <c r="DT35" s="3">
        <f>'Hasil (Rp)'!DT35-Biaya!DT35</f>
        <v>40878325.15549805</v>
      </c>
      <c r="DU35" s="7" t="s">
        <v>126</v>
      </c>
      <c r="DV35" s="2" t="s">
        <v>54</v>
      </c>
      <c r="DW35" s="3">
        <f>'Hasil (Rp)'!DW35-Biaya!DW35</f>
        <v>0</v>
      </c>
      <c r="DX35" s="3">
        <f>'Hasil (Rp)'!DX35-Biaya!DX35</f>
        <v>0</v>
      </c>
      <c r="DY35" s="3">
        <f>'Hasil (Rp)'!DY35-Biaya!DY35</f>
        <v>0</v>
      </c>
      <c r="DZ35" s="3">
        <f>'Hasil (Rp)'!DZ35-Biaya!DZ35</f>
        <v>0</v>
      </c>
      <c r="EA35" s="3">
        <f>'Hasil (Rp)'!EA35-Biaya!EA35</f>
        <v>0</v>
      </c>
      <c r="EB35" s="7" t="s">
        <v>126</v>
      </c>
      <c r="EC35" s="2" t="s">
        <v>54</v>
      </c>
      <c r="ED35" s="3">
        <f>'Hasil (Rp)'!ED35-Biaya!ED35</f>
        <v>0</v>
      </c>
      <c r="EE35" s="3">
        <f>'Hasil (Rp)'!EE35-Biaya!EE35</f>
        <v>0</v>
      </c>
      <c r="EF35" s="3">
        <f>'Hasil (Rp)'!EF35-Biaya!EF35</f>
        <v>0</v>
      </c>
      <c r="EG35" s="3">
        <f>'Hasil (Rp)'!EG35-Biaya!EG35</f>
        <v>0</v>
      </c>
      <c r="EH35" s="3">
        <f>'Hasil (Rp)'!EH35-Biaya!EH35</f>
        <v>0</v>
      </c>
    </row>
    <row r="36" spans="1:138" ht="10.199999999999999" customHeight="1" x14ac:dyDescent="0.2">
      <c r="A36" s="7" t="s">
        <v>129</v>
      </c>
      <c r="B36" s="2" t="s">
        <v>57</v>
      </c>
      <c r="C36" s="3">
        <f t="shared" si="4"/>
        <v>139350236.85489249</v>
      </c>
      <c r="D36" s="3">
        <f t="shared" si="5"/>
        <v>984920011216.32104</v>
      </c>
      <c r="E36" s="3">
        <f t="shared" si="6"/>
        <v>40948821490.66272</v>
      </c>
      <c r="F36" s="3">
        <f t="shared" si="7"/>
        <v>622571873.24374557</v>
      </c>
      <c r="G36" s="3">
        <f t="shared" si="8"/>
        <v>1880815172.0977478</v>
      </c>
      <c r="H36" s="3">
        <f t="shared" si="9"/>
        <v>0</v>
      </c>
      <c r="I36" s="3">
        <f t="shared" si="10"/>
        <v>345314665.23192966</v>
      </c>
      <c r="J36" s="3">
        <f t="shared" si="11"/>
        <v>16801982.363314658</v>
      </c>
      <c r="K36" s="3">
        <f t="shared" si="12"/>
        <v>11078731608.291054</v>
      </c>
      <c r="L36" s="3">
        <f t="shared" si="13"/>
        <v>946273563.31694472</v>
      </c>
      <c r="M36" s="3">
        <f t="shared" si="14"/>
        <v>62447060810.321442</v>
      </c>
      <c r="N36" s="3">
        <f t="shared" si="15"/>
        <v>41581424239.722382</v>
      </c>
      <c r="O36" s="3">
        <f t="shared" si="16"/>
        <v>1144927176858.4272</v>
      </c>
      <c r="P36" s="7" t="s">
        <v>129</v>
      </c>
      <c r="Q36" s="2" t="s">
        <v>57</v>
      </c>
      <c r="R36" s="3">
        <f t="shared" si="28"/>
        <v>139350236.85489249</v>
      </c>
      <c r="S36" s="3">
        <f t="shared" si="28"/>
        <v>984920011216.32104</v>
      </c>
      <c r="T36" s="3">
        <f t="shared" si="28"/>
        <v>40948821490.66272</v>
      </c>
      <c r="U36" s="3">
        <f t="shared" si="28"/>
        <v>622571873.24374557</v>
      </c>
      <c r="V36" s="3">
        <f t="shared" si="28"/>
        <v>1880815172.0977478</v>
      </c>
      <c r="W36" s="3">
        <f t="shared" si="27"/>
        <v>0</v>
      </c>
      <c r="X36" s="3">
        <f t="shared" si="27"/>
        <v>345314665.23192966</v>
      </c>
      <c r="Y36" s="3">
        <f t="shared" si="27"/>
        <v>16801982.363314658</v>
      </c>
      <c r="Z36" s="3">
        <f t="shared" si="27"/>
        <v>11078731608.291054</v>
      </c>
      <c r="AA36" s="3">
        <f t="shared" si="27"/>
        <v>946273563.31694472</v>
      </c>
      <c r="AB36" s="3">
        <f t="shared" si="18"/>
        <v>1040898691808.3833</v>
      </c>
      <c r="AC36" s="7" t="s">
        <v>129</v>
      </c>
      <c r="AD36" s="2" t="s">
        <v>57</v>
      </c>
      <c r="AE36" s="3">
        <f t="shared" si="19"/>
        <v>62447060810.321442</v>
      </c>
      <c r="AF36" s="3">
        <f t="shared" si="19"/>
        <v>41581424239.722382</v>
      </c>
      <c r="AG36" s="3">
        <f t="shared" si="20"/>
        <v>104028485050.04382</v>
      </c>
      <c r="AH36" s="7" t="s">
        <v>129</v>
      </c>
      <c r="AI36" s="2" t="s">
        <v>57</v>
      </c>
      <c r="AJ36" s="3">
        <f t="shared" si="21"/>
        <v>102608036225.42102</v>
      </c>
      <c r="AK36" s="3">
        <f t="shared" si="21"/>
        <v>5643367327.0335159</v>
      </c>
      <c r="AL36" s="3">
        <f t="shared" si="21"/>
        <v>6939967859.257288</v>
      </c>
      <c r="AM36" s="3">
        <f t="shared" si="21"/>
        <v>1029735805446.7153</v>
      </c>
      <c r="AN36" s="3">
        <f t="shared" si="22"/>
        <v>1144927176858.4272</v>
      </c>
      <c r="AO36" s="7" t="s">
        <v>129</v>
      </c>
      <c r="AP36" s="2" t="s">
        <v>57</v>
      </c>
      <c r="AQ36" s="3">
        <f t="shared" si="23"/>
        <v>10115103271.577971</v>
      </c>
      <c r="AR36" s="3">
        <f t="shared" si="23"/>
        <v>3940303193.4836612</v>
      </c>
      <c r="AS36" s="3">
        <f t="shared" si="23"/>
        <v>833568452.11369514</v>
      </c>
      <c r="AT36" s="3">
        <f t="shared" si="23"/>
        <v>1026009716891.208</v>
      </c>
      <c r="AU36" s="3">
        <f t="shared" si="24"/>
        <v>1040898691808.3833</v>
      </c>
      <c r="AV36" s="7" t="s">
        <v>129</v>
      </c>
      <c r="AW36" s="2" t="s">
        <v>57</v>
      </c>
      <c r="AX36" s="3">
        <f t="shared" si="25"/>
        <v>92492932953.843048</v>
      </c>
      <c r="AY36" s="3">
        <f t="shared" si="25"/>
        <v>1703064133.5498545</v>
      </c>
      <c r="AZ36" s="3">
        <f t="shared" si="25"/>
        <v>6106399407.1435928</v>
      </c>
      <c r="BA36" s="3">
        <f t="shared" si="25"/>
        <v>3726088555.5073299</v>
      </c>
      <c r="BB36" s="3">
        <f t="shared" si="26"/>
        <v>104028485050.04382</v>
      </c>
      <c r="BC36" s="7" t="s">
        <v>129</v>
      </c>
      <c r="BD36" s="2" t="s">
        <v>57</v>
      </c>
      <c r="BE36" s="3">
        <f>'Hasil (Rp)'!BE36-Biaya!BE36</f>
        <v>119895819.11397094</v>
      </c>
      <c r="BF36" s="3">
        <f>'Hasil (Rp)'!BF36-Biaya!BF36</f>
        <v>19454417.740921572</v>
      </c>
      <c r="BG36" s="3">
        <f>'Hasil (Rp)'!BG36-Biaya!BG36</f>
        <v>0</v>
      </c>
      <c r="BH36" s="3">
        <f>'Hasil (Rp)'!BH36-Biaya!BH36</f>
        <v>0</v>
      </c>
      <c r="BI36" s="3">
        <f>'Hasil (Rp)'!BI36-Biaya!BI36</f>
        <v>139350236.85489249</v>
      </c>
      <c r="BJ36" s="7" t="s">
        <v>129</v>
      </c>
      <c r="BK36" s="2" t="s">
        <v>57</v>
      </c>
      <c r="BL36" s="3">
        <f>'Hasil (Rp)'!BL36-Biaya!BL36</f>
        <v>120820068.46280992</v>
      </c>
      <c r="BM36" s="3">
        <f>'Hasil (Rp)'!BM36-Biaya!BM36</f>
        <v>0</v>
      </c>
      <c r="BN36" s="3">
        <f>'Hasil (Rp)'!BN36-Biaya!BN36</f>
        <v>13184105.02129212</v>
      </c>
      <c r="BO36" s="3">
        <f>'Hasil (Rp)'!BO36-Biaya!BO36</f>
        <v>984786007042.83691</v>
      </c>
      <c r="BP36" s="3">
        <f>'Hasil (Rp)'!BP36-Biaya!BP36</f>
        <v>984920011216.32104</v>
      </c>
      <c r="BQ36" s="7" t="s">
        <v>129</v>
      </c>
      <c r="BR36" s="2" t="s">
        <v>57</v>
      </c>
      <c r="BS36" s="3">
        <f>'Hasil (Rp)'!BS36-Biaya!BS36</f>
        <v>0</v>
      </c>
      <c r="BT36" s="3">
        <f>'Hasil (Rp)'!BT36-Biaya!BT36</f>
        <v>124687066.40031713</v>
      </c>
      <c r="BU36" s="3">
        <f>'Hasil (Rp)'!BU36-Biaya!BU36</f>
        <v>447650786.63361514</v>
      </c>
      <c r="BV36" s="3">
        <f>'Hasil (Rp)'!BV36-Biaya!BV36</f>
        <v>40376483637.628784</v>
      </c>
      <c r="BW36" s="3">
        <f>'Hasil (Rp)'!BW36-Biaya!BW36</f>
        <v>40948821490.66272</v>
      </c>
      <c r="BX36" s="7" t="s">
        <v>129</v>
      </c>
      <c r="BY36" s="2" t="s">
        <v>57</v>
      </c>
      <c r="BZ36" s="3">
        <f>'Hasil (Rp)'!BZ36-Biaya!BZ36</f>
        <v>269805323.81714118</v>
      </c>
      <c r="CA36" s="3">
        <f>'Hasil (Rp)'!CA36-Biaya!CA36</f>
        <v>91547.387648375763</v>
      </c>
      <c r="CB36" s="3">
        <f>'Hasil (Rp)'!CB36-Biaya!CB36</f>
        <v>352675002.03895617</v>
      </c>
      <c r="CC36" s="3">
        <f>'Hasil (Rp)'!CC36-Biaya!CC36</f>
        <v>0</v>
      </c>
      <c r="CD36" s="3">
        <f>'Hasil (Rp)'!CD36-Biaya!CD36</f>
        <v>622571873.24374557</v>
      </c>
      <c r="CE36" s="7" t="s">
        <v>129</v>
      </c>
      <c r="CF36" s="2" t="s">
        <v>57</v>
      </c>
      <c r="CG36" s="3">
        <f>'Hasil (Rp)'!CG36-Biaya!CG36</f>
        <v>463880327.66506529</v>
      </c>
      <c r="CH36" s="3">
        <f>'Hasil (Rp)'!CH36-Biaya!CH36</f>
        <v>1416362806.9194002</v>
      </c>
      <c r="CI36" s="3">
        <f>'Hasil (Rp)'!CI36-Biaya!CI36</f>
        <v>572037.51328192092</v>
      </c>
      <c r="CJ36" s="3">
        <f>'Hasil (Rp)'!CJ36-Biaya!CJ36</f>
        <v>0</v>
      </c>
      <c r="CK36" s="3">
        <f>'Hasil (Rp)'!CK36-Biaya!CK36</f>
        <v>1880815172.0977478</v>
      </c>
      <c r="CL36" s="7" t="s">
        <v>129</v>
      </c>
      <c r="CM36" s="2" t="s">
        <v>57</v>
      </c>
      <c r="CN36" s="3">
        <f>'Hasil (Rp)'!CN36-Biaya!CN36</f>
        <v>0</v>
      </c>
      <c r="CO36" s="3">
        <f>'Hasil (Rp)'!CO36-Biaya!CO36</f>
        <v>0</v>
      </c>
      <c r="CP36" s="3">
        <f>'Hasil (Rp)'!CP36-Biaya!CP36</f>
        <v>0</v>
      </c>
      <c r="CQ36" s="3">
        <f>'Hasil (Rp)'!CQ36-Biaya!CQ36</f>
        <v>0</v>
      </c>
      <c r="CR36" s="3">
        <f>'Hasil (Rp)'!CR36-Biaya!CR36</f>
        <v>0</v>
      </c>
      <c r="CS36" s="7" t="s">
        <v>129</v>
      </c>
      <c r="CT36" s="2" t="s">
        <v>57</v>
      </c>
      <c r="CU36" s="3">
        <f>'Hasil (Rp)'!CU36-Biaya!CU36</f>
        <v>339836017.52813935</v>
      </c>
      <c r="CV36" s="3">
        <f>'Hasil (Rp)'!CV36-Biaya!CV36</f>
        <v>5478647.7037902661</v>
      </c>
      <c r="CW36" s="3">
        <f>'Hasil (Rp)'!CW36-Biaya!CW36</f>
        <v>0</v>
      </c>
      <c r="CX36" s="3">
        <f>'Hasil (Rp)'!CX36-Biaya!CX36</f>
        <v>0</v>
      </c>
      <c r="CY36" s="3">
        <f>'Hasil (Rp)'!CY36-Biaya!CY36</f>
        <v>345314665.23192966</v>
      </c>
      <c r="CZ36" s="7" t="s">
        <v>129</v>
      </c>
      <c r="DA36" s="2" t="s">
        <v>57</v>
      </c>
      <c r="DB36" s="3">
        <f>'Hasil (Rp)'!DB36-Biaya!DB36</f>
        <v>7934062692.6230316</v>
      </c>
      <c r="DC36" s="3">
        <f>'Hasil (Rp)'!DC36-Biaya!DC36</f>
        <v>2297442704.9256859</v>
      </c>
      <c r="DD36" s="3">
        <f>'Hasil (Rp)'!DD36-Biaya!DD36</f>
        <v>0</v>
      </c>
      <c r="DE36" s="3">
        <f>'Hasil (Rp)'!DE36-Biaya!DE36</f>
        <v>847226210.74233413</v>
      </c>
      <c r="DF36" s="3">
        <f>'Hasil (Rp)'!DF36-Biaya!DF36</f>
        <v>11078731608.291054</v>
      </c>
      <c r="DG36" s="7" t="s">
        <v>129</v>
      </c>
      <c r="DH36" s="2" t="s">
        <v>57</v>
      </c>
      <c r="DI36" s="3">
        <f>'Hasil (Rp)'!DI36-Biaya!DI36</f>
        <v>4441022.9924648469</v>
      </c>
      <c r="DJ36" s="3">
        <f>'Hasil (Rp)'!DJ36-Biaya!DJ36</f>
        <v>5969281.0851961188</v>
      </c>
      <c r="DK36" s="3">
        <f>'Hasil (Rp)'!DK36-Biaya!DK36</f>
        <v>6391678.2856536927</v>
      </c>
      <c r="DL36" s="3">
        <f>'Hasil (Rp)'!DL36-Biaya!DL36</f>
        <v>0</v>
      </c>
      <c r="DM36" s="3">
        <f>'Hasil (Rp)'!DM36-Biaya!DM36</f>
        <v>16801982.363314658</v>
      </c>
      <c r="DN36" s="7" t="s">
        <v>129</v>
      </c>
      <c r="DO36" s="2" t="s">
        <v>57</v>
      </c>
      <c r="DP36" s="3">
        <f>'Hasil (Rp)'!DP36-Biaya!DP36</f>
        <v>862361999.37534714</v>
      </c>
      <c r="DQ36" s="3">
        <f>'Hasil (Rp)'!DQ36-Biaya!DQ36</f>
        <v>70816721.32070142</v>
      </c>
      <c r="DR36" s="3">
        <f>'Hasil (Rp)'!DR36-Biaya!DR36</f>
        <v>13094842.620896064</v>
      </c>
      <c r="DS36" s="3">
        <f>'Hasil (Rp)'!DS36-Biaya!DS36</f>
        <v>0</v>
      </c>
      <c r="DT36" s="3">
        <f>'Hasil (Rp)'!DT36-Biaya!DT36</f>
        <v>946273563.31694472</v>
      </c>
      <c r="DU36" s="7" t="s">
        <v>129</v>
      </c>
      <c r="DV36" s="2" t="s">
        <v>57</v>
      </c>
      <c r="DW36" s="3">
        <f>'Hasil (Rp)'!DW36-Biaya!DW36</f>
        <v>30084413217.924355</v>
      </c>
      <c r="DX36" s="3">
        <f>'Hasil (Rp)'!DX36-Biaya!DX36</f>
        <v>1664523059.14711</v>
      </c>
      <c r="DY36" s="3">
        <f>'Hasil (Rp)'!DY36-Biaya!DY36</f>
        <v>6106399407.1435928</v>
      </c>
      <c r="DZ36" s="3">
        <f>'Hasil (Rp)'!DZ36-Biaya!DZ36</f>
        <v>3726088555.5073299</v>
      </c>
      <c r="EA36" s="3">
        <f>'Hasil (Rp)'!EA36-Biaya!EA36</f>
        <v>41581424239.722382</v>
      </c>
      <c r="EB36" s="7" t="s">
        <v>129</v>
      </c>
      <c r="EC36" s="2" t="s">
        <v>57</v>
      </c>
      <c r="ED36" s="3">
        <f>'Hasil (Rp)'!ED36-Biaya!ED36</f>
        <v>62408519735.918701</v>
      </c>
      <c r="EE36" s="3">
        <f>'Hasil (Rp)'!EE36-Biaya!EE36</f>
        <v>38541074.402744532</v>
      </c>
      <c r="EF36" s="3">
        <f>'Hasil (Rp)'!EF36-Biaya!EF36</f>
        <v>0</v>
      </c>
      <c r="EG36" s="3">
        <f>'Hasil (Rp)'!EG36-Biaya!EG36</f>
        <v>0</v>
      </c>
      <c r="EH36" s="3">
        <f>'Hasil (Rp)'!EH36-Biaya!EH36</f>
        <v>62447060810.321442</v>
      </c>
    </row>
    <row r="37" spans="1:138" ht="10.199999999999999" customHeight="1" x14ac:dyDescent="0.2">
      <c r="A37" s="7" t="s">
        <v>128</v>
      </c>
      <c r="B37" s="2" t="s">
        <v>56</v>
      </c>
      <c r="C37" s="3">
        <f t="shared" si="4"/>
        <v>61210483.522872835</v>
      </c>
      <c r="D37" s="3">
        <f t="shared" si="5"/>
        <v>121118855.98246072</v>
      </c>
      <c r="E37" s="3">
        <f t="shared" si="6"/>
        <v>6676702.5668119397</v>
      </c>
      <c r="F37" s="3">
        <f t="shared" si="7"/>
        <v>2259932358.5312862</v>
      </c>
      <c r="G37" s="3">
        <f t="shared" si="8"/>
        <v>485308.40527001768</v>
      </c>
      <c r="H37" s="3">
        <f t="shared" si="9"/>
        <v>3008558450.9616394</v>
      </c>
      <c r="I37" s="3">
        <f t="shared" si="10"/>
        <v>209012234361.31924</v>
      </c>
      <c r="J37" s="3">
        <f t="shared" si="11"/>
        <v>24825307.552939758</v>
      </c>
      <c r="K37" s="3">
        <f t="shared" si="12"/>
        <v>21501567495.665215</v>
      </c>
      <c r="L37" s="3">
        <f t="shared" si="13"/>
        <v>5301073112.2585297</v>
      </c>
      <c r="M37" s="3">
        <f t="shared" si="14"/>
        <v>15585938158.76503</v>
      </c>
      <c r="N37" s="3">
        <f t="shared" si="15"/>
        <v>125181938768.95496</v>
      </c>
      <c r="O37" s="3">
        <f t="shared" si="16"/>
        <v>382065559364.48627</v>
      </c>
      <c r="P37" s="7" t="s">
        <v>128</v>
      </c>
      <c r="Q37" s="2" t="s">
        <v>56</v>
      </c>
      <c r="R37" s="3">
        <f t="shared" si="28"/>
        <v>61210483.522872835</v>
      </c>
      <c r="S37" s="3">
        <f t="shared" si="28"/>
        <v>121118855.98246072</v>
      </c>
      <c r="T37" s="3">
        <f t="shared" si="28"/>
        <v>6676702.5668119397</v>
      </c>
      <c r="U37" s="3">
        <f t="shared" si="28"/>
        <v>2259932358.5312862</v>
      </c>
      <c r="V37" s="3">
        <f t="shared" si="28"/>
        <v>485308.40527001768</v>
      </c>
      <c r="W37" s="3">
        <f t="shared" si="27"/>
        <v>3008558450.9616394</v>
      </c>
      <c r="X37" s="3">
        <f t="shared" si="27"/>
        <v>209012234361.31924</v>
      </c>
      <c r="Y37" s="3">
        <f t="shared" si="27"/>
        <v>24825307.552939758</v>
      </c>
      <c r="Z37" s="3">
        <f t="shared" si="27"/>
        <v>21501567495.665215</v>
      </c>
      <c r="AA37" s="3">
        <f t="shared" si="27"/>
        <v>5301073112.2585297</v>
      </c>
      <c r="AB37" s="3">
        <f t="shared" si="18"/>
        <v>241297682436.7663</v>
      </c>
      <c r="AC37" s="7" t="s">
        <v>128</v>
      </c>
      <c r="AD37" s="2" t="s">
        <v>56</v>
      </c>
      <c r="AE37" s="3">
        <f t="shared" si="19"/>
        <v>15585938158.76503</v>
      </c>
      <c r="AF37" s="3">
        <f t="shared" si="19"/>
        <v>125181938768.95496</v>
      </c>
      <c r="AG37" s="3">
        <f t="shared" si="20"/>
        <v>140767876927.71997</v>
      </c>
      <c r="AH37" s="7" t="s">
        <v>128</v>
      </c>
      <c r="AI37" s="2" t="s">
        <v>56</v>
      </c>
      <c r="AJ37" s="3">
        <f t="shared" si="21"/>
        <v>12169242339.478252</v>
      </c>
      <c r="AK37" s="3">
        <f t="shared" si="21"/>
        <v>32938365797.130005</v>
      </c>
      <c r="AL37" s="3">
        <f t="shared" si="21"/>
        <v>333949392776.91632</v>
      </c>
      <c r="AM37" s="3">
        <f t="shared" si="21"/>
        <v>3008558450.9616394</v>
      </c>
      <c r="AN37" s="3">
        <f t="shared" si="22"/>
        <v>382065559364.48621</v>
      </c>
      <c r="AO37" s="7" t="s">
        <v>128</v>
      </c>
      <c r="AP37" s="2" t="s">
        <v>56</v>
      </c>
      <c r="AQ37" s="3">
        <f t="shared" si="23"/>
        <v>5087108355.8524036</v>
      </c>
      <c r="AR37" s="3">
        <f t="shared" si="23"/>
        <v>22716532873.082294</v>
      </c>
      <c r="AS37" s="3">
        <f t="shared" si="23"/>
        <v>210485482756.86993</v>
      </c>
      <c r="AT37" s="3">
        <f t="shared" si="23"/>
        <v>3008558450.9616394</v>
      </c>
      <c r="AU37" s="3">
        <f t="shared" si="24"/>
        <v>241297682436.76627</v>
      </c>
      <c r="AV37" s="7" t="s">
        <v>128</v>
      </c>
      <c r="AW37" s="2" t="s">
        <v>56</v>
      </c>
      <c r="AX37" s="3">
        <f t="shared" si="25"/>
        <v>7082133983.6258488</v>
      </c>
      <c r="AY37" s="3">
        <f t="shared" si="25"/>
        <v>10221832924.04771</v>
      </c>
      <c r="AZ37" s="3">
        <f t="shared" si="25"/>
        <v>123463910020.04639</v>
      </c>
      <c r="BA37" s="3">
        <f t="shared" si="25"/>
        <v>0</v>
      </c>
      <c r="BB37" s="3">
        <f t="shared" si="26"/>
        <v>140767876927.71994</v>
      </c>
      <c r="BC37" s="7" t="s">
        <v>128</v>
      </c>
      <c r="BD37" s="2" t="s">
        <v>56</v>
      </c>
      <c r="BE37" s="3">
        <f>'Hasil (Rp)'!BE37-Biaya!BE37</f>
        <v>61210483.522872835</v>
      </c>
      <c r="BF37" s="3">
        <f>'Hasil (Rp)'!BF37-Biaya!BF37</f>
        <v>0</v>
      </c>
      <c r="BG37" s="3">
        <f>'Hasil (Rp)'!BG37-Biaya!BG37</f>
        <v>0</v>
      </c>
      <c r="BH37" s="3">
        <f>'Hasil (Rp)'!BH37-Biaya!BH37</f>
        <v>0</v>
      </c>
      <c r="BI37" s="3">
        <f>'Hasil (Rp)'!BI37-Biaya!BI37</f>
        <v>61210483.522872835</v>
      </c>
      <c r="BJ37" s="7" t="s">
        <v>128</v>
      </c>
      <c r="BK37" s="2" t="s">
        <v>56</v>
      </c>
      <c r="BL37" s="3">
        <f>'Hasil (Rp)'!BL37-Biaya!BL37</f>
        <v>121118855.98246072</v>
      </c>
      <c r="BM37" s="3">
        <f>'Hasil (Rp)'!BM37-Biaya!BM37</f>
        <v>0</v>
      </c>
      <c r="BN37" s="3">
        <f>'Hasil (Rp)'!BN37-Biaya!BN37</f>
        <v>0</v>
      </c>
      <c r="BO37" s="3">
        <f>'Hasil (Rp)'!BO37-Biaya!BO37</f>
        <v>0</v>
      </c>
      <c r="BP37" s="3">
        <f>'Hasil (Rp)'!BP37-Biaya!BP37</f>
        <v>121118855.98246072</v>
      </c>
      <c r="BQ37" s="7" t="s">
        <v>128</v>
      </c>
      <c r="BR37" s="2" t="s">
        <v>56</v>
      </c>
      <c r="BS37" s="3">
        <f>'Hasil (Rp)'!BS37-Biaya!BS37</f>
        <v>6676702.5668119397</v>
      </c>
      <c r="BT37" s="3">
        <f>'Hasil (Rp)'!BT37-Biaya!BT37</f>
        <v>0</v>
      </c>
      <c r="BU37" s="3">
        <f>'Hasil (Rp)'!BU37-Biaya!BU37</f>
        <v>0</v>
      </c>
      <c r="BV37" s="3">
        <f>'Hasil (Rp)'!BV37-Biaya!BV37</f>
        <v>0</v>
      </c>
      <c r="BW37" s="3">
        <f>'Hasil (Rp)'!BW37-Biaya!BW37</f>
        <v>6676702.5668119397</v>
      </c>
      <c r="BX37" s="7" t="s">
        <v>128</v>
      </c>
      <c r="BY37" s="2" t="s">
        <v>56</v>
      </c>
      <c r="BZ37" s="3">
        <f>'Hasil (Rp)'!BZ37-Biaya!BZ37</f>
        <v>91286334.784858584</v>
      </c>
      <c r="CA37" s="3">
        <f>'Hasil (Rp)'!CA37-Biaya!CA37</f>
        <v>2146848636.177206</v>
      </c>
      <c r="CB37" s="3">
        <f>'Hasil (Rp)'!CB37-Biaya!CB37</f>
        <v>21797387.56922099</v>
      </c>
      <c r="CC37" s="3">
        <f>'Hasil (Rp)'!CC37-Biaya!CC37</f>
        <v>0</v>
      </c>
      <c r="CD37" s="3">
        <f>'Hasil (Rp)'!CD37-Biaya!CD37</f>
        <v>2259932358.5312862</v>
      </c>
      <c r="CE37" s="7" t="s">
        <v>128</v>
      </c>
      <c r="CF37" s="2" t="s">
        <v>56</v>
      </c>
      <c r="CG37" s="3">
        <f>'Hasil (Rp)'!CG37-Biaya!CG37</f>
        <v>485308.40527001768</v>
      </c>
      <c r="CH37" s="3">
        <f>'Hasil (Rp)'!CH37-Biaya!CH37</f>
        <v>0</v>
      </c>
      <c r="CI37" s="3">
        <f>'Hasil (Rp)'!CI37-Biaya!CI37</f>
        <v>0</v>
      </c>
      <c r="CJ37" s="3">
        <f>'Hasil (Rp)'!CJ37-Biaya!CJ37</f>
        <v>0</v>
      </c>
      <c r="CK37" s="3">
        <f>'Hasil (Rp)'!CK37-Biaya!CK37</f>
        <v>485308.40527001768</v>
      </c>
      <c r="CL37" s="7" t="s">
        <v>128</v>
      </c>
      <c r="CM37" s="2" t="s">
        <v>56</v>
      </c>
      <c r="CN37" s="3">
        <f>'Hasil (Rp)'!CN37-Biaya!CN37</f>
        <v>0</v>
      </c>
      <c r="CO37" s="3">
        <f>'Hasil (Rp)'!CO37-Biaya!CO37</f>
        <v>0</v>
      </c>
      <c r="CP37" s="3">
        <f>'Hasil (Rp)'!CP37-Biaya!CP37</f>
        <v>0</v>
      </c>
      <c r="CQ37" s="3">
        <f>'Hasil (Rp)'!CQ37-Biaya!CQ37</f>
        <v>3008558450.9616394</v>
      </c>
      <c r="CR37" s="3">
        <f>'Hasil (Rp)'!CR37-Biaya!CR37</f>
        <v>3008558450.9616394</v>
      </c>
      <c r="CS37" s="7" t="s">
        <v>128</v>
      </c>
      <c r="CT37" s="2" t="s">
        <v>56</v>
      </c>
      <c r="CU37" s="3">
        <f>'Hasil (Rp)'!CU37-Biaya!CU37</f>
        <v>1191227578.6034737</v>
      </c>
      <c r="CV37" s="3">
        <f>'Hasil (Rp)'!CV37-Biaya!CV37</f>
        <v>4616613057.0014238</v>
      </c>
      <c r="CW37" s="3">
        <f>'Hasil (Rp)'!CW37-Biaya!CW37</f>
        <v>203204393725.71436</v>
      </c>
      <c r="CX37" s="3">
        <f>'Hasil (Rp)'!CX37-Biaya!CX37</f>
        <v>0</v>
      </c>
      <c r="CY37" s="3">
        <f>'Hasil (Rp)'!CY37-Biaya!CY37</f>
        <v>209012234361.31924</v>
      </c>
      <c r="CZ37" s="7" t="s">
        <v>128</v>
      </c>
      <c r="DA37" s="2" t="s">
        <v>56</v>
      </c>
      <c r="DB37" s="3">
        <f>'Hasil (Rp)'!DB37-Biaya!DB37</f>
        <v>1445267934.8484278</v>
      </c>
      <c r="DC37" s="3">
        <f>'Hasil (Rp)'!DC37-Biaya!DC37</f>
        <v>12797007917.230423</v>
      </c>
      <c r="DD37" s="3">
        <f>'Hasil (Rp)'!DD37-Biaya!DD37</f>
        <v>7259291643.5863609</v>
      </c>
      <c r="DE37" s="3">
        <f>'Hasil (Rp)'!DE37-Biaya!DE37</f>
        <v>0</v>
      </c>
      <c r="DF37" s="3">
        <f>'Hasil (Rp)'!DF37-Biaya!DF37</f>
        <v>21501567495.665215</v>
      </c>
      <c r="DG37" s="7" t="s">
        <v>128</v>
      </c>
      <c r="DH37" s="2" t="s">
        <v>56</v>
      </c>
      <c r="DI37" s="3">
        <f>'Hasil (Rp)'!DI37-Biaya!DI37</f>
        <v>24825307.552939758</v>
      </c>
      <c r="DJ37" s="3">
        <f>'Hasil (Rp)'!DJ37-Biaya!DJ37</f>
        <v>0</v>
      </c>
      <c r="DK37" s="3">
        <f>'Hasil (Rp)'!DK37-Biaya!DK37</f>
        <v>0</v>
      </c>
      <c r="DL37" s="3">
        <f>'Hasil (Rp)'!DL37-Biaya!DL37</f>
        <v>0</v>
      </c>
      <c r="DM37" s="3">
        <f>'Hasil (Rp)'!DM37-Biaya!DM37</f>
        <v>24825307.552939758</v>
      </c>
      <c r="DN37" s="7" t="s">
        <v>128</v>
      </c>
      <c r="DO37" s="2" t="s">
        <v>56</v>
      </c>
      <c r="DP37" s="3">
        <f>'Hasil (Rp)'!DP37-Biaya!DP37</f>
        <v>2145009849.585289</v>
      </c>
      <c r="DQ37" s="3">
        <f>'Hasil (Rp)'!DQ37-Biaya!DQ37</f>
        <v>3156063262.6732407</v>
      </c>
      <c r="DR37" s="3">
        <f>'Hasil (Rp)'!DR37-Biaya!DR37</f>
        <v>0</v>
      </c>
      <c r="DS37" s="3">
        <f>'Hasil (Rp)'!DS37-Biaya!DS37</f>
        <v>0</v>
      </c>
      <c r="DT37" s="3">
        <f>'Hasil (Rp)'!DT37-Biaya!DT37</f>
        <v>5301073112.2585297</v>
      </c>
      <c r="DU37" s="7" t="s">
        <v>128</v>
      </c>
      <c r="DV37" s="2" t="s">
        <v>56</v>
      </c>
      <c r="DW37" s="3">
        <f>'Hasil (Rp)'!DW37-Biaya!DW37</f>
        <v>48160780.419320941</v>
      </c>
      <c r="DX37" s="3">
        <f>'Hasil (Rp)'!DX37-Biaya!DX37</f>
        <v>1669867968.489212</v>
      </c>
      <c r="DY37" s="3">
        <f>'Hasil (Rp)'!DY37-Biaya!DY37</f>
        <v>123463910020.04639</v>
      </c>
      <c r="DZ37" s="3">
        <f>'Hasil (Rp)'!DZ37-Biaya!DZ37</f>
        <v>0</v>
      </c>
      <c r="EA37" s="3">
        <f>'Hasil (Rp)'!EA37-Biaya!EA37</f>
        <v>125181938768.95496</v>
      </c>
      <c r="EB37" s="7" t="s">
        <v>128</v>
      </c>
      <c r="EC37" s="2" t="s">
        <v>56</v>
      </c>
      <c r="ED37" s="3">
        <f>'Hasil (Rp)'!ED37-Biaya!ED37</f>
        <v>7033973203.2065277</v>
      </c>
      <c r="EE37" s="3">
        <f>'Hasil (Rp)'!EE37-Biaya!EE37</f>
        <v>8551964955.5584984</v>
      </c>
      <c r="EF37" s="3">
        <f>'Hasil (Rp)'!EF37-Biaya!EF37</f>
        <v>0</v>
      </c>
      <c r="EG37" s="3">
        <f>'Hasil (Rp)'!EG37-Biaya!EG37</f>
        <v>0</v>
      </c>
      <c r="EH37" s="3">
        <f>'Hasil (Rp)'!EH37-Biaya!EH37</f>
        <v>15585938158.76503</v>
      </c>
    </row>
    <row r="38" spans="1:138" ht="10.199999999999999" customHeight="1" x14ac:dyDescent="0.2">
      <c r="A38" s="7" t="s">
        <v>127</v>
      </c>
      <c r="B38" s="2" t="s">
        <v>55</v>
      </c>
      <c r="C38" s="3">
        <f t="shared" si="4"/>
        <v>0</v>
      </c>
      <c r="D38" s="3">
        <f t="shared" si="5"/>
        <v>0</v>
      </c>
      <c r="E38" s="3">
        <f t="shared" si="6"/>
        <v>0</v>
      </c>
      <c r="F38" s="3">
        <f t="shared" si="7"/>
        <v>390290317.53777313</v>
      </c>
      <c r="G38" s="3">
        <f t="shared" si="8"/>
        <v>0</v>
      </c>
      <c r="H38" s="3">
        <f t="shared" si="9"/>
        <v>0</v>
      </c>
      <c r="I38" s="3">
        <f t="shared" si="10"/>
        <v>632793940.47614789</v>
      </c>
      <c r="J38" s="3">
        <f t="shared" si="11"/>
        <v>0</v>
      </c>
      <c r="K38" s="3">
        <f t="shared" si="12"/>
        <v>0</v>
      </c>
      <c r="L38" s="3">
        <f t="shared" si="13"/>
        <v>1870151858.0342424</v>
      </c>
      <c r="M38" s="3">
        <f t="shared" si="14"/>
        <v>3584415151.762949</v>
      </c>
      <c r="N38" s="3">
        <f t="shared" si="15"/>
        <v>0</v>
      </c>
      <c r="O38" s="3">
        <f t="shared" si="16"/>
        <v>6477651267.8111124</v>
      </c>
      <c r="P38" s="7" t="s">
        <v>127</v>
      </c>
      <c r="Q38" s="2" t="s">
        <v>55</v>
      </c>
      <c r="R38" s="3">
        <f t="shared" si="28"/>
        <v>0</v>
      </c>
      <c r="S38" s="3">
        <f t="shared" si="28"/>
        <v>0</v>
      </c>
      <c r="T38" s="3">
        <f t="shared" si="28"/>
        <v>0</v>
      </c>
      <c r="U38" s="3">
        <f t="shared" si="28"/>
        <v>390290317.53777313</v>
      </c>
      <c r="V38" s="3">
        <f t="shared" si="28"/>
        <v>0</v>
      </c>
      <c r="W38" s="3">
        <f t="shared" si="27"/>
        <v>0</v>
      </c>
      <c r="X38" s="3">
        <f t="shared" si="27"/>
        <v>632793940.47614789</v>
      </c>
      <c r="Y38" s="3">
        <f t="shared" si="27"/>
        <v>0</v>
      </c>
      <c r="Z38" s="3">
        <f t="shared" si="27"/>
        <v>0</v>
      </c>
      <c r="AA38" s="3">
        <f t="shared" si="27"/>
        <v>1870151858.0342424</v>
      </c>
      <c r="AB38" s="3">
        <f t="shared" si="18"/>
        <v>2893236116.0481634</v>
      </c>
      <c r="AC38" s="7" t="s">
        <v>127</v>
      </c>
      <c r="AD38" s="2" t="s">
        <v>55</v>
      </c>
      <c r="AE38" s="3">
        <f t="shared" si="19"/>
        <v>3584415151.762949</v>
      </c>
      <c r="AF38" s="3">
        <f t="shared" si="19"/>
        <v>0</v>
      </c>
      <c r="AG38" s="3">
        <f t="shared" si="20"/>
        <v>3584415151.762949</v>
      </c>
      <c r="AH38" s="7" t="s">
        <v>127</v>
      </c>
      <c r="AI38" s="2" t="s">
        <v>55</v>
      </c>
      <c r="AJ38" s="3">
        <f t="shared" si="21"/>
        <v>5788861606.0858059</v>
      </c>
      <c r="AK38" s="3">
        <f t="shared" si="21"/>
        <v>688789661.72530591</v>
      </c>
      <c r="AL38" s="3">
        <f t="shared" si="21"/>
        <v>0</v>
      </c>
      <c r="AM38" s="3">
        <f t="shared" si="21"/>
        <v>0</v>
      </c>
      <c r="AN38" s="3">
        <f t="shared" si="22"/>
        <v>6477651267.8111115</v>
      </c>
      <c r="AO38" s="7" t="s">
        <v>127</v>
      </c>
      <c r="AP38" s="2" t="s">
        <v>55</v>
      </c>
      <c r="AQ38" s="3">
        <f t="shared" si="23"/>
        <v>2204446454.3228574</v>
      </c>
      <c r="AR38" s="3">
        <f t="shared" si="23"/>
        <v>688789661.72530591</v>
      </c>
      <c r="AS38" s="3">
        <f t="shared" si="23"/>
        <v>0</v>
      </c>
      <c r="AT38" s="3">
        <f t="shared" si="23"/>
        <v>0</v>
      </c>
      <c r="AU38" s="3">
        <f t="shared" si="24"/>
        <v>2893236116.0481634</v>
      </c>
      <c r="AV38" s="7" t="s">
        <v>127</v>
      </c>
      <c r="AW38" s="2" t="s">
        <v>55</v>
      </c>
      <c r="AX38" s="3">
        <f t="shared" si="25"/>
        <v>3584415151.762949</v>
      </c>
      <c r="AY38" s="3">
        <f t="shared" si="25"/>
        <v>0</v>
      </c>
      <c r="AZ38" s="3">
        <f t="shared" si="25"/>
        <v>0</v>
      </c>
      <c r="BA38" s="3">
        <f t="shared" si="25"/>
        <v>0</v>
      </c>
      <c r="BB38" s="3">
        <f t="shared" si="26"/>
        <v>3584415151.762949</v>
      </c>
      <c r="BC38" s="7" t="s">
        <v>127</v>
      </c>
      <c r="BD38" s="2" t="s">
        <v>55</v>
      </c>
      <c r="BE38" s="3">
        <f>'Hasil (Rp)'!BE38-Biaya!BE38</f>
        <v>0</v>
      </c>
      <c r="BF38" s="3">
        <f>'Hasil (Rp)'!BF38-Biaya!BF38</f>
        <v>0</v>
      </c>
      <c r="BG38" s="3">
        <f>'Hasil (Rp)'!BG38-Biaya!BG38</f>
        <v>0</v>
      </c>
      <c r="BH38" s="3">
        <f>'Hasil (Rp)'!BH38-Biaya!BH38</f>
        <v>0</v>
      </c>
      <c r="BI38" s="3">
        <f>'Hasil (Rp)'!BI38-Biaya!BI38</f>
        <v>0</v>
      </c>
      <c r="BJ38" s="7" t="s">
        <v>127</v>
      </c>
      <c r="BK38" s="2" t="s">
        <v>55</v>
      </c>
      <c r="BL38" s="3">
        <f>'Hasil (Rp)'!BL38-Biaya!BL38</f>
        <v>0</v>
      </c>
      <c r="BM38" s="3">
        <f>'Hasil (Rp)'!BM38-Biaya!BM38</f>
        <v>0</v>
      </c>
      <c r="BN38" s="3">
        <f>'Hasil (Rp)'!BN38-Biaya!BN38</f>
        <v>0</v>
      </c>
      <c r="BO38" s="3">
        <f>'Hasil (Rp)'!BO38-Biaya!BO38</f>
        <v>0</v>
      </c>
      <c r="BP38" s="3">
        <f>'Hasil (Rp)'!BP38-Biaya!BP38</f>
        <v>0</v>
      </c>
      <c r="BQ38" s="7" t="s">
        <v>127</v>
      </c>
      <c r="BR38" s="2" t="s">
        <v>55</v>
      </c>
      <c r="BS38" s="3">
        <f>'Hasil (Rp)'!BS38-Biaya!BS38</f>
        <v>0</v>
      </c>
      <c r="BT38" s="3">
        <f>'Hasil (Rp)'!BT38-Biaya!BT38</f>
        <v>0</v>
      </c>
      <c r="BU38" s="3">
        <f>'Hasil (Rp)'!BU38-Biaya!BU38</f>
        <v>0</v>
      </c>
      <c r="BV38" s="3">
        <f>'Hasil (Rp)'!BV38-Biaya!BV38</f>
        <v>0</v>
      </c>
      <c r="BW38" s="3">
        <f>'Hasil (Rp)'!BW38-Biaya!BW38</f>
        <v>0</v>
      </c>
      <c r="BX38" s="7" t="s">
        <v>127</v>
      </c>
      <c r="BY38" s="2" t="s">
        <v>55</v>
      </c>
      <c r="BZ38" s="3">
        <f>'Hasil (Rp)'!BZ38-Biaya!BZ38</f>
        <v>390290317.53777313</v>
      </c>
      <c r="CA38" s="3">
        <f>'Hasil (Rp)'!CA38-Biaya!CA38</f>
        <v>0</v>
      </c>
      <c r="CB38" s="3">
        <f>'Hasil (Rp)'!CB38-Biaya!CB38</f>
        <v>0</v>
      </c>
      <c r="CC38" s="3">
        <f>'Hasil (Rp)'!CC38-Biaya!CC38</f>
        <v>0</v>
      </c>
      <c r="CD38" s="3">
        <f>'Hasil (Rp)'!CD38-Biaya!CD38</f>
        <v>390290317.53777313</v>
      </c>
      <c r="CE38" s="7" t="s">
        <v>127</v>
      </c>
      <c r="CF38" s="2" t="s">
        <v>55</v>
      </c>
      <c r="CG38" s="3">
        <f>'Hasil (Rp)'!CG38-Biaya!CG38</f>
        <v>0</v>
      </c>
      <c r="CH38" s="3">
        <f>'Hasil (Rp)'!CH38-Biaya!CH38</f>
        <v>0</v>
      </c>
      <c r="CI38" s="3">
        <f>'Hasil (Rp)'!CI38-Biaya!CI38</f>
        <v>0</v>
      </c>
      <c r="CJ38" s="3">
        <f>'Hasil (Rp)'!CJ38-Biaya!CJ38</f>
        <v>0</v>
      </c>
      <c r="CK38" s="3">
        <f>'Hasil (Rp)'!CK38-Biaya!CK38</f>
        <v>0</v>
      </c>
      <c r="CL38" s="7" t="s">
        <v>127</v>
      </c>
      <c r="CM38" s="2" t="s">
        <v>55</v>
      </c>
      <c r="CN38" s="3">
        <f>'Hasil (Rp)'!CN38-Biaya!CN38</f>
        <v>0</v>
      </c>
      <c r="CO38" s="3">
        <f>'Hasil (Rp)'!CO38-Biaya!CO38</f>
        <v>0</v>
      </c>
      <c r="CP38" s="3">
        <f>'Hasil (Rp)'!CP38-Biaya!CP38</f>
        <v>0</v>
      </c>
      <c r="CQ38" s="3">
        <f>'Hasil (Rp)'!CQ38-Biaya!CQ38</f>
        <v>0</v>
      </c>
      <c r="CR38" s="3">
        <f>'Hasil (Rp)'!CR38-Biaya!CR38</f>
        <v>0</v>
      </c>
      <c r="CS38" s="7" t="s">
        <v>127</v>
      </c>
      <c r="CT38" s="2" t="s">
        <v>55</v>
      </c>
      <c r="CU38" s="3">
        <f>'Hasil (Rp)'!CU38-Biaya!CU38</f>
        <v>0</v>
      </c>
      <c r="CV38" s="3">
        <f>'Hasil (Rp)'!CV38-Biaya!CV38</f>
        <v>632793940.47614789</v>
      </c>
      <c r="CW38" s="3">
        <f>'Hasil (Rp)'!CW38-Biaya!CW38</f>
        <v>0</v>
      </c>
      <c r="CX38" s="3">
        <f>'Hasil (Rp)'!CX38-Biaya!CX38</f>
        <v>0</v>
      </c>
      <c r="CY38" s="3">
        <f>'Hasil (Rp)'!CY38-Biaya!CY38</f>
        <v>632793940.47614789</v>
      </c>
      <c r="CZ38" s="7" t="s">
        <v>127</v>
      </c>
      <c r="DA38" s="2" t="s">
        <v>55</v>
      </c>
      <c r="DB38" s="3">
        <f>'Hasil (Rp)'!DB38-Biaya!DB38</f>
        <v>0</v>
      </c>
      <c r="DC38" s="3">
        <f>'Hasil (Rp)'!DC38-Biaya!DC38</f>
        <v>0</v>
      </c>
      <c r="DD38" s="3">
        <f>'Hasil (Rp)'!DD38-Biaya!DD38</f>
        <v>0</v>
      </c>
      <c r="DE38" s="3">
        <f>'Hasil (Rp)'!DE38-Biaya!DE38</f>
        <v>0</v>
      </c>
      <c r="DF38" s="3">
        <f>'Hasil (Rp)'!DF38-Biaya!DF38</f>
        <v>0</v>
      </c>
      <c r="DG38" s="7" t="s">
        <v>127</v>
      </c>
      <c r="DH38" s="2" t="s">
        <v>55</v>
      </c>
      <c r="DI38" s="3">
        <f>'Hasil (Rp)'!DI38-Biaya!DI38</f>
        <v>0</v>
      </c>
      <c r="DJ38" s="3">
        <f>'Hasil (Rp)'!DJ38-Biaya!DJ38</f>
        <v>0</v>
      </c>
      <c r="DK38" s="3">
        <f>'Hasil (Rp)'!DK38-Biaya!DK38</f>
        <v>0</v>
      </c>
      <c r="DL38" s="3">
        <f>'Hasil (Rp)'!DL38-Biaya!DL38</f>
        <v>0</v>
      </c>
      <c r="DM38" s="3">
        <f>'Hasil (Rp)'!DM38-Biaya!DM38</f>
        <v>0</v>
      </c>
      <c r="DN38" s="7" t="s">
        <v>127</v>
      </c>
      <c r="DO38" s="2" t="s">
        <v>55</v>
      </c>
      <c r="DP38" s="3">
        <f>'Hasil (Rp)'!DP38-Biaya!DP38</f>
        <v>1814156136.7850842</v>
      </c>
      <c r="DQ38" s="3">
        <f>'Hasil (Rp)'!DQ38-Biaya!DQ38</f>
        <v>55995721.249158069</v>
      </c>
      <c r="DR38" s="3">
        <f>'Hasil (Rp)'!DR38-Biaya!DR38</f>
        <v>0</v>
      </c>
      <c r="DS38" s="3">
        <f>'Hasil (Rp)'!DS38-Biaya!DS38</f>
        <v>0</v>
      </c>
      <c r="DT38" s="3">
        <f>'Hasil (Rp)'!DT38-Biaya!DT38</f>
        <v>1870151858.0342424</v>
      </c>
      <c r="DU38" s="7" t="s">
        <v>127</v>
      </c>
      <c r="DV38" s="2" t="s">
        <v>55</v>
      </c>
      <c r="DW38" s="3">
        <f>'Hasil (Rp)'!DW38-Biaya!DW38</f>
        <v>0</v>
      </c>
      <c r="DX38" s="3">
        <f>'Hasil (Rp)'!DX38-Biaya!DX38</f>
        <v>0</v>
      </c>
      <c r="DY38" s="3">
        <f>'Hasil (Rp)'!DY38-Biaya!DY38</f>
        <v>0</v>
      </c>
      <c r="DZ38" s="3">
        <f>'Hasil (Rp)'!DZ38-Biaya!DZ38</f>
        <v>0</v>
      </c>
      <c r="EA38" s="3">
        <f>'Hasil (Rp)'!EA38-Biaya!EA38</f>
        <v>0</v>
      </c>
      <c r="EB38" s="7" t="s">
        <v>127</v>
      </c>
      <c r="EC38" s="2" t="s">
        <v>55</v>
      </c>
      <c r="ED38" s="3">
        <f>'Hasil (Rp)'!ED38-Biaya!ED38</f>
        <v>3584415151.762949</v>
      </c>
      <c r="EE38" s="3">
        <f>'Hasil (Rp)'!EE38-Biaya!EE38</f>
        <v>0</v>
      </c>
      <c r="EF38" s="3">
        <f>'Hasil (Rp)'!EF38-Biaya!EF38</f>
        <v>0</v>
      </c>
      <c r="EG38" s="3">
        <f>'Hasil (Rp)'!EG38-Biaya!EG38</f>
        <v>0</v>
      </c>
      <c r="EH38" s="3">
        <f>'Hasil (Rp)'!EH38-Biaya!EH38</f>
        <v>3584415151.762949</v>
      </c>
    </row>
    <row r="39" spans="1:138" ht="10.199999999999999" customHeight="1" x14ac:dyDescent="0.2">
      <c r="A39" s="7" t="s">
        <v>125</v>
      </c>
      <c r="B39" s="2" t="s">
        <v>53</v>
      </c>
      <c r="C39" s="3">
        <f t="shared" si="4"/>
        <v>0</v>
      </c>
      <c r="D39" s="3">
        <f t="shared" si="5"/>
        <v>129780936.35520738</v>
      </c>
      <c r="E39" s="3">
        <f t="shared" si="6"/>
        <v>0</v>
      </c>
      <c r="F39" s="3">
        <f t="shared" si="7"/>
        <v>90591033.382383347</v>
      </c>
      <c r="G39" s="3">
        <f t="shared" si="8"/>
        <v>1464523715.3605499</v>
      </c>
      <c r="H39" s="3">
        <f t="shared" si="9"/>
        <v>0</v>
      </c>
      <c r="I39" s="3">
        <f t="shared" si="10"/>
        <v>0</v>
      </c>
      <c r="J39" s="3">
        <f t="shared" si="11"/>
        <v>0</v>
      </c>
      <c r="K39" s="3">
        <f t="shared" si="12"/>
        <v>2586635.0663868636</v>
      </c>
      <c r="L39" s="3">
        <f t="shared" si="13"/>
        <v>5093833.9237594269</v>
      </c>
      <c r="M39" s="3">
        <f t="shared" si="14"/>
        <v>7084557946.9769211</v>
      </c>
      <c r="N39" s="3">
        <f t="shared" si="15"/>
        <v>2141916577.450335</v>
      </c>
      <c r="O39" s="3">
        <f t="shared" si="16"/>
        <v>10919050678.515543</v>
      </c>
      <c r="P39" s="7" t="s">
        <v>125</v>
      </c>
      <c r="Q39" s="2" t="s">
        <v>53</v>
      </c>
      <c r="R39" s="3">
        <f t="shared" si="28"/>
        <v>0</v>
      </c>
      <c r="S39" s="3">
        <f t="shared" si="28"/>
        <v>129780936.35520738</v>
      </c>
      <c r="T39" s="3">
        <f t="shared" si="28"/>
        <v>0</v>
      </c>
      <c r="U39" s="3">
        <f t="shared" si="28"/>
        <v>90591033.382383347</v>
      </c>
      <c r="V39" s="3">
        <f t="shared" si="28"/>
        <v>1464523715.3605499</v>
      </c>
      <c r="W39" s="3">
        <f t="shared" si="27"/>
        <v>0</v>
      </c>
      <c r="X39" s="3">
        <f t="shared" si="27"/>
        <v>0</v>
      </c>
      <c r="Y39" s="3">
        <f t="shared" si="27"/>
        <v>0</v>
      </c>
      <c r="Z39" s="3">
        <f t="shared" si="27"/>
        <v>2586635.0663868636</v>
      </c>
      <c r="AA39" s="3">
        <f t="shared" si="27"/>
        <v>5093833.9237594269</v>
      </c>
      <c r="AB39" s="3">
        <f t="shared" si="18"/>
        <v>1692576154.0882871</v>
      </c>
      <c r="AC39" s="7" t="s">
        <v>125</v>
      </c>
      <c r="AD39" s="2" t="s">
        <v>53</v>
      </c>
      <c r="AE39" s="3">
        <f t="shared" si="19"/>
        <v>7084557946.9769211</v>
      </c>
      <c r="AF39" s="3">
        <f t="shared" si="19"/>
        <v>2141916577.450335</v>
      </c>
      <c r="AG39" s="3">
        <f t="shared" si="20"/>
        <v>9226474524.4272556</v>
      </c>
      <c r="AH39" s="7" t="s">
        <v>125</v>
      </c>
      <c r="AI39" s="2" t="s">
        <v>53</v>
      </c>
      <c r="AJ39" s="3">
        <f t="shared" si="21"/>
        <v>6218587019.2361612</v>
      </c>
      <c r="AK39" s="3">
        <f t="shared" si="21"/>
        <v>4700463659.2793827</v>
      </c>
      <c r="AL39" s="3">
        <f t="shared" si="21"/>
        <v>0</v>
      </c>
      <c r="AM39" s="3">
        <f t="shared" si="21"/>
        <v>0</v>
      </c>
      <c r="AN39" s="3">
        <f t="shared" si="22"/>
        <v>10919050678.515545</v>
      </c>
      <c r="AO39" s="7" t="s">
        <v>125</v>
      </c>
      <c r="AP39" s="2" t="s">
        <v>53</v>
      </c>
      <c r="AQ39" s="3">
        <f t="shared" si="23"/>
        <v>502409913.11485612</v>
      </c>
      <c r="AR39" s="3">
        <f t="shared" si="23"/>
        <v>1190166240.9734347</v>
      </c>
      <c r="AS39" s="3">
        <f t="shared" si="23"/>
        <v>0</v>
      </c>
      <c r="AT39" s="3">
        <f t="shared" si="23"/>
        <v>0</v>
      </c>
      <c r="AU39" s="3">
        <f t="shared" si="24"/>
        <v>1692576154.0882907</v>
      </c>
      <c r="AV39" s="7" t="s">
        <v>125</v>
      </c>
      <c r="AW39" s="2" t="s">
        <v>53</v>
      </c>
      <c r="AX39" s="3">
        <f t="shared" si="25"/>
        <v>5716177106.1213055</v>
      </c>
      <c r="AY39" s="3">
        <f t="shared" si="25"/>
        <v>3510297418.3059478</v>
      </c>
      <c r="AZ39" s="3">
        <f t="shared" si="25"/>
        <v>0</v>
      </c>
      <c r="BA39" s="3">
        <f t="shared" si="25"/>
        <v>0</v>
      </c>
      <c r="BB39" s="3">
        <f t="shared" si="26"/>
        <v>9226474524.4272537</v>
      </c>
      <c r="BC39" s="7" t="s">
        <v>125</v>
      </c>
      <c r="BD39" s="2" t="s">
        <v>53</v>
      </c>
      <c r="BE39" s="3">
        <f>'Hasil (Rp)'!BE39-Biaya!BE39</f>
        <v>0</v>
      </c>
      <c r="BF39" s="3">
        <f>'Hasil (Rp)'!BF39-Biaya!BF39</f>
        <v>0</v>
      </c>
      <c r="BG39" s="3">
        <f>'Hasil (Rp)'!BG39-Biaya!BG39</f>
        <v>0</v>
      </c>
      <c r="BH39" s="3">
        <f>'Hasil (Rp)'!BH39-Biaya!BH39</f>
        <v>0</v>
      </c>
      <c r="BI39" s="3">
        <f>'Hasil (Rp)'!BI39-Biaya!BI39</f>
        <v>0</v>
      </c>
      <c r="BJ39" s="7" t="s">
        <v>125</v>
      </c>
      <c r="BK39" s="2" t="s">
        <v>53</v>
      </c>
      <c r="BL39" s="3">
        <f>'Hasil (Rp)'!BL39-Biaya!BL39</f>
        <v>128359401.10791183</v>
      </c>
      <c r="BM39" s="3">
        <f>'Hasil (Rp)'!BM39-Biaya!BM39</f>
        <v>1421535.2472956115</v>
      </c>
      <c r="BN39" s="3">
        <f>'Hasil (Rp)'!BN39-Biaya!BN39</f>
        <v>0</v>
      </c>
      <c r="BO39" s="3">
        <f>'Hasil (Rp)'!BO39-Biaya!BO39</f>
        <v>0</v>
      </c>
      <c r="BP39" s="3">
        <f>'Hasil (Rp)'!BP39-Biaya!BP39</f>
        <v>129780936.35520738</v>
      </c>
      <c r="BQ39" s="7" t="s">
        <v>125</v>
      </c>
      <c r="BR39" s="2" t="s">
        <v>53</v>
      </c>
      <c r="BS39" s="3">
        <f>'Hasil (Rp)'!BS39-Biaya!BS39</f>
        <v>0</v>
      </c>
      <c r="BT39" s="3">
        <f>'Hasil (Rp)'!BT39-Biaya!BT39</f>
        <v>0</v>
      </c>
      <c r="BU39" s="3">
        <f>'Hasil (Rp)'!BU39-Biaya!BU39</f>
        <v>0</v>
      </c>
      <c r="BV39" s="3">
        <f>'Hasil (Rp)'!BV39-Biaya!BV39</f>
        <v>0</v>
      </c>
      <c r="BW39" s="3">
        <f>'Hasil (Rp)'!BW39-Biaya!BW39</f>
        <v>0</v>
      </c>
      <c r="BX39" s="7" t="s">
        <v>125</v>
      </c>
      <c r="BY39" s="2" t="s">
        <v>53</v>
      </c>
      <c r="BZ39" s="3">
        <f>'Hasil (Rp)'!BZ39-Biaya!BZ39</f>
        <v>90591033.382383347</v>
      </c>
      <c r="CA39" s="3">
        <f>'Hasil (Rp)'!CA39-Biaya!CA39</f>
        <v>0</v>
      </c>
      <c r="CB39" s="3">
        <f>'Hasil (Rp)'!CB39-Biaya!CB39</f>
        <v>0</v>
      </c>
      <c r="CC39" s="3">
        <f>'Hasil (Rp)'!CC39-Biaya!CC39</f>
        <v>0</v>
      </c>
      <c r="CD39" s="3">
        <f>'Hasil (Rp)'!CD39-Biaya!CD39</f>
        <v>90591033.382383347</v>
      </c>
      <c r="CE39" s="7" t="s">
        <v>125</v>
      </c>
      <c r="CF39" s="2" t="s">
        <v>53</v>
      </c>
      <c r="CG39" s="3">
        <f>'Hasil (Rp)'!CG39-Biaya!CG39</f>
        <v>275779009.63441467</v>
      </c>
      <c r="CH39" s="3">
        <f>'Hasil (Rp)'!CH39-Biaya!CH39</f>
        <v>1188744705.7261391</v>
      </c>
      <c r="CI39" s="3">
        <f>'Hasil (Rp)'!CI39-Biaya!CI39</f>
        <v>0</v>
      </c>
      <c r="CJ39" s="3">
        <f>'Hasil (Rp)'!CJ39-Biaya!CJ39</f>
        <v>0</v>
      </c>
      <c r="CK39" s="3">
        <f>'Hasil (Rp)'!CK39-Biaya!CK39</f>
        <v>1464523715.3605499</v>
      </c>
      <c r="CL39" s="7" t="s">
        <v>125</v>
      </c>
      <c r="CM39" s="2" t="s">
        <v>53</v>
      </c>
      <c r="CN39" s="3">
        <f>'Hasil (Rp)'!CN39-Biaya!CN39</f>
        <v>0</v>
      </c>
      <c r="CO39" s="3">
        <f>'Hasil (Rp)'!CO39-Biaya!CO39</f>
        <v>0</v>
      </c>
      <c r="CP39" s="3">
        <f>'Hasil (Rp)'!CP39-Biaya!CP39</f>
        <v>0</v>
      </c>
      <c r="CQ39" s="3">
        <f>'Hasil (Rp)'!CQ39-Biaya!CQ39</f>
        <v>0</v>
      </c>
      <c r="CR39" s="3">
        <f>'Hasil (Rp)'!CR39-Biaya!CR39</f>
        <v>0</v>
      </c>
      <c r="CS39" s="7" t="s">
        <v>125</v>
      </c>
      <c r="CT39" s="2" t="s">
        <v>53</v>
      </c>
      <c r="CU39" s="3">
        <f>'Hasil (Rp)'!CU39-Biaya!CU39</f>
        <v>0</v>
      </c>
      <c r="CV39" s="3">
        <f>'Hasil (Rp)'!CV39-Biaya!CV39</f>
        <v>0</v>
      </c>
      <c r="CW39" s="3">
        <f>'Hasil (Rp)'!CW39-Biaya!CW39</f>
        <v>0</v>
      </c>
      <c r="CX39" s="3">
        <f>'Hasil (Rp)'!CX39-Biaya!CX39</f>
        <v>0</v>
      </c>
      <c r="CY39" s="3">
        <f>'Hasil (Rp)'!CY39-Biaya!CY39</f>
        <v>0</v>
      </c>
      <c r="CZ39" s="7" t="s">
        <v>125</v>
      </c>
      <c r="DA39" s="2" t="s">
        <v>53</v>
      </c>
      <c r="DB39" s="3">
        <f>'Hasil (Rp)'!DB39-Biaya!DB39</f>
        <v>2586635.0663868636</v>
      </c>
      <c r="DC39" s="3">
        <f>'Hasil (Rp)'!DC39-Biaya!DC39</f>
        <v>0</v>
      </c>
      <c r="DD39" s="3">
        <f>'Hasil (Rp)'!DD39-Biaya!DD39</f>
        <v>0</v>
      </c>
      <c r="DE39" s="3">
        <f>'Hasil (Rp)'!DE39-Biaya!DE39</f>
        <v>0</v>
      </c>
      <c r="DF39" s="3">
        <f>'Hasil (Rp)'!DF39-Biaya!DF39</f>
        <v>2586635.0663868636</v>
      </c>
      <c r="DG39" s="7" t="s">
        <v>125</v>
      </c>
      <c r="DH39" s="2" t="s">
        <v>53</v>
      </c>
      <c r="DI39" s="3">
        <f>'Hasil (Rp)'!DI39-Biaya!DI39</f>
        <v>0</v>
      </c>
      <c r="DJ39" s="3">
        <f>'Hasil (Rp)'!DJ39-Biaya!DJ39</f>
        <v>0</v>
      </c>
      <c r="DK39" s="3">
        <f>'Hasil (Rp)'!DK39-Biaya!DK39</f>
        <v>0</v>
      </c>
      <c r="DL39" s="3">
        <f>'Hasil (Rp)'!DL39-Biaya!DL39</f>
        <v>0</v>
      </c>
      <c r="DM39" s="3">
        <f>'Hasil (Rp)'!DM39-Biaya!DM39</f>
        <v>0</v>
      </c>
      <c r="DN39" s="7" t="s">
        <v>125</v>
      </c>
      <c r="DO39" s="2" t="s">
        <v>53</v>
      </c>
      <c r="DP39" s="3">
        <f>'Hasil (Rp)'!DP39-Biaya!DP39</f>
        <v>5093833.9237594269</v>
      </c>
      <c r="DQ39" s="3">
        <f>'Hasil (Rp)'!DQ39-Biaya!DQ39</f>
        <v>0</v>
      </c>
      <c r="DR39" s="3">
        <f>'Hasil (Rp)'!DR39-Biaya!DR39</f>
        <v>0</v>
      </c>
      <c r="DS39" s="3">
        <f>'Hasil (Rp)'!DS39-Biaya!DS39</f>
        <v>0</v>
      </c>
      <c r="DT39" s="3">
        <f>'Hasil (Rp)'!DT39-Biaya!DT39</f>
        <v>5093833.9237594269</v>
      </c>
      <c r="DU39" s="7" t="s">
        <v>125</v>
      </c>
      <c r="DV39" s="2" t="s">
        <v>53</v>
      </c>
      <c r="DW39" s="3">
        <f>'Hasil (Rp)'!DW39-Biaya!DW39</f>
        <v>28002255.843900859</v>
      </c>
      <c r="DX39" s="3">
        <f>'Hasil (Rp)'!DX39-Biaya!DX39</f>
        <v>2113914321.6064343</v>
      </c>
      <c r="DY39" s="3">
        <f>'Hasil (Rp)'!DY39-Biaya!DY39</f>
        <v>0</v>
      </c>
      <c r="DZ39" s="3">
        <f>'Hasil (Rp)'!DZ39-Biaya!DZ39</f>
        <v>0</v>
      </c>
      <c r="EA39" s="3">
        <f>'Hasil (Rp)'!EA39-Biaya!EA39</f>
        <v>2141916577.450335</v>
      </c>
      <c r="EB39" s="7" t="s">
        <v>125</v>
      </c>
      <c r="EC39" s="2" t="s">
        <v>53</v>
      </c>
      <c r="ED39" s="3">
        <f>'Hasil (Rp)'!ED39-Biaya!ED39</f>
        <v>5688174850.2774048</v>
      </c>
      <c r="EE39" s="3">
        <f>'Hasil (Rp)'!EE39-Biaya!EE39</f>
        <v>1396383096.6995134</v>
      </c>
      <c r="EF39" s="3">
        <f>'Hasil (Rp)'!EF39-Biaya!EF39</f>
        <v>0</v>
      </c>
      <c r="EG39" s="3">
        <f>'Hasil (Rp)'!EG39-Biaya!EG39</f>
        <v>0</v>
      </c>
      <c r="EH39" s="3">
        <f>'Hasil (Rp)'!EH39-Biaya!EH39</f>
        <v>7084557946.9769211</v>
      </c>
    </row>
    <row r="40" spans="1:138" ht="10.199999999999999" customHeight="1" x14ac:dyDescent="0.2">
      <c r="A40" s="7" t="s">
        <v>130</v>
      </c>
      <c r="B40" s="2" t="s">
        <v>58</v>
      </c>
      <c r="C40" s="3">
        <f t="shared" si="4"/>
        <v>0</v>
      </c>
      <c r="D40" s="3">
        <f t="shared" si="5"/>
        <v>73694787962.573837</v>
      </c>
      <c r="E40" s="3">
        <f t="shared" si="6"/>
        <v>344120928.10388803</v>
      </c>
      <c r="F40" s="3">
        <f t="shared" si="7"/>
        <v>285658.0768643613</v>
      </c>
      <c r="G40" s="3">
        <f t="shared" si="8"/>
        <v>29048414.832139514</v>
      </c>
      <c r="H40" s="3">
        <f t="shared" si="9"/>
        <v>0</v>
      </c>
      <c r="I40" s="3">
        <f t="shared" si="10"/>
        <v>1217663190.7522526</v>
      </c>
      <c r="J40" s="3">
        <f t="shared" si="11"/>
        <v>0</v>
      </c>
      <c r="K40" s="3">
        <f t="shared" si="12"/>
        <v>882763490.1478014</v>
      </c>
      <c r="L40" s="3">
        <f t="shared" si="13"/>
        <v>120464765413.5116</v>
      </c>
      <c r="M40" s="3">
        <f t="shared" si="14"/>
        <v>18266126194.912178</v>
      </c>
      <c r="N40" s="3">
        <f t="shared" si="15"/>
        <v>110251107678.00073</v>
      </c>
      <c r="O40" s="3">
        <f t="shared" si="16"/>
        <v>325150668930.91125</v>
      </c>
      <c r="P40" s="7" t="s">
        <v>130</v>
      </c>
      <c r="Q40" s="2" t="s">
        <v>58</v>
      </c>
      <c r="R40" s="3">
        <f t="shared" si="28"/>
        <v>0</v>
      </c>
      <c r="S40" s="3">
        <f t="shared" si="28"/>
        <v>73694787962.573837</v>
      </c>
      <c r="T40" s="3">
        <f t="shared" si="28"/>
        <v>344120928.10388803</v>
      </c>
      <c r="U40" s="3">
        <f t="shared" si="28"/>
        <v>285658.0768643613</v>
      </c>
      <c r="V40" s="3">
        <f t="shared" si="28"/>
        <v>29048414.832139514</v>
      </c>
      <c r="W40" s="3">
        <f t="shared" si="27"/>
        <v>0</v>
      </c>
      <c r="X40" s="3">
        <f t="shared" si="27"/>
        <v>1217663190.7522526</v>
      </c>
      <c r="Y40" s="3">
        <f t="shared" si="27"/>
        <v>0</v>
      </c>
      <c r="Z40" s="3">
        <f t="shared" si="27"/>
        <v>882763490.1478014</v>
      </c>
      <c r="AA40" s="3">
        <f t="shared" si="27"/>
        <v>120464765413.5116</v>
      </c>
      <c r="AB40" s="3">
        <f t="shared" si="18"/>
        <v>196633435057.99835</v>
      </c>
      <c r="AC40" s="7" t="s">
        <v>130</v>
      </c>
      <c r="AD40" s="2" t="s">
        <v>58</v>
      </c>
      <c r="AE40" s="3">
        <f t="shared" si="19"/>
        <v>18266126194.912178</v>
      </c>
      <c r="AF40" s="3">
        <f t="shared" si="19"/>
        <v>110251107678.00073</v>
      </c>
      <c r="AG40" s="3">
        <f t="shared" si="20"/>
        <v>128517233872.9129</v>
      </c>
      <c r="AH40" s="7" t="s">
        <v>130</v>
      </c>
      <c r="AI40" s="2" t="s">
        <v>58</v>
      </c>
      <c r="AJ40" s="3">
        <f t="shared" si="21"/>
        <v>10898631338.62723</v>
      </c>
      <c r="AK40" s="3">
        <f t="shared" si="21"/>
        <v>84304347789.00592</v>
      </c>
      <c r="AL40" s="3">
        <f t="shared" si="21"/>
        <v>2026868671.3561175</v>
      </c>
      <c r="AM40" s="3">
        <f t="shared" si="21"/>
        <v>227920821131.92188</v>
      </c>
      <c r="AN40" s="3">
        <f t="shared" si="22"/>
        <v>325150668930.91113</v>
      </c>
      <c r="AO40" s="7" t="s">
        <v>130</v>
      </c>
      <c r="AP40" s="2" t="s">
        <v>58</v>
      </c>
      <c r="AQ40" s="3">
        <f t="shared" si="23"/>
        <v>408798435.97491598</v>
      </c>
      <c r="AR40" s="3">
        <f t="shared" si="23"/>
        <v>75611182462.664047</v>
      </c>
      <c r="AS40" s="3">
        <f t="shared" si="23"/>
        <v>0</v>
      </c>
      <c r="AT40" s="3">
        <f t="shared" si="23"/>
        <v>120613454159.35938</v>
      </c>
      <c r="AU40" s="3">
        <f t="shared" si="24"/>
        <v>196633435057.99835</v>
      </c>
      <c r="AV40" s="7" t="s">
        <v>130</v>
      </c>
      <c r="AW40" s="2" t="s">
        <v>58</v>
      </c>
      <c r="AX40" s="3">
        <f t="shared" si="25"/>
        <v>10489832902.652313</v>
      </c>
      <c r="AY40" s="3">
        <f t="shared" si="25"/>
        <v>8693165326.341877</v>
      </c>
      <c r="AZ40" s="3">
        <f t="shared" si="25"/>
        <v>2026868671.3561175</v>
      </c>
      <c r="BA40" s="3">
        <f t="shared" si="25"/>
        <v>107307366972.5625</v>
      </c>
      <c r="BB40" s="3">
        <f t="shared" si="26"/>
        <v>128517233872.91281</v>
      </c>
      <c r="BC40" s="7" t="s">
        <v>130</v>
      </c>
      <c r="BD40" s="2" t="s">
        <v>58</v>
      </c>
      <c r="BE40" s="3">
        <f>'Hasil (Rp)'!BE40-Biaya!BE40</f>
        <v>0</v>
      </c>
      <c r="BF40" s="3">
        <f>'Hasil (Rp)'!BF40-Biaya!BF40</f>
        <v>0</v>
      </c>
      <c r="BG40" s="3">
        <f>'Hasil (Rp)'!BG40-Biaya!BG40</f>
        <v>0</v>
      </c>
      <c r="BH40" s="3">
        <f>'Hasil (Rp)'!BH40-Biaya!BH40</f>
        <v>0</v>
      </c>
      <c r="BI40" s="3">
        <f>'Hasil (Rp)'!BI40-Biaya!BI40</f>
        <v>0</v>
      </c>
      <c r="BJ40" s="7" t="s">
        <v>130</v>
      </c>
      <c r="BK40" s="2" t="s">
        <v>58</v>
      </c>
      <c r="BL40" s="3">
        <f>'Hasil (Rp)'!BL40-Biaya!BL40</f>
        <v>19717716.296997838</v>
      </c>
      <c r="BM40" s="3">
        <f>'Hasil (Rp)'!BM40-Biaya!BM40</f>
        <v>73675070246.276855</v>
      </c>
      <c r="BN40" s="3">
        <f>'Hasil (Rp)'!BN40-Biaya!BN40</f>
        <v>0</v>
      </c>
      <c r="BO40" s="3">
        <f>'Hasil (Rp)'!BO40-Biaya!BO40</f>
        <v>0</v>
      </c>
      <c r="BP40" s="3">
        <f>'Hasil (Rp)'!BP40-Biaya!BP40</f>
        <v>73694787962.573837</v>
      </c>
      <c r="BQ40" s="7" t="s">
        <v>130</v>
      </c>
      <c r="BR40" s="2" t="s">
        <v>58</v>
      </c>
      <c r="BS40" s="3">
        <f>'Hasil (Rp)'!BS40-Biaya!BS40</f>
        <v>0</v>
      </c>
      <c r="BT40" s="3">
        <f>'Hasil (Rp)'!BT40-Biaya!BT40</f>
        <v>0</v>
      </c>
      <c r="BU40" s="3">
        <f>'Hasil (Rp)'!BU40-Biaya!BU40</f>
        <v>0</v>
      </c>
      <c r="BV40" s="3">
        <f>'Hasil (Rp)'!BV40-Biaya!BV40</f>
        <v>344120928.10388803</v>
      </c>
      <c r="BW40" s="3">
        <f>'Hasil (Rp)'!BW40-Biaya!BW40</f>
        <v>344120928.10388803</v>
      </c>
      <c r="BX40" s="7" t="s">
        <v>130</v>
      </c>
      <c r="BY40" s="2" t="s">
        <v>58</v>
      </c>
      <c r="BZ40" s="3">
        <f>'Hasil (Rp)'!BZ40-Biaya!BZ40</f>
        <v>285658.0768643613</v>
      </c>
      <c r="CA40" s="3">
        <f>'Hasil (Rp)'!CA40-Biaya!CA40</f>
        <v>0</v>
      </c>
      <c r="CB40" s="3">
        <f>'Hasil (Rp)'!CB40-Biaya!CB40</f>
        <v>0</v>
      </c>
      <c r="CC40" s="3">
        <f>'Hasil (Rp)'!CC40-Biaya!CC40</f>
        <v>0</v>
      </c>
      <c r="CD40" s="3">
        <f>'Hasil (Rp)'!CD40-Biaya!CD40</f>
        <v>285658.0768643613</v>
      </c>
      <c r="CE40" s="7" t="s">
        <v>130</v>
      </c>
      <c r="CF40" s="2" t="s">
        <v>58</v>
      </c>
      <c r="CG40" s="3">
        <f>'Hasil (Rp)'!CG40-Biaya!CG40</f>
        <v>29048414.832139514</v>
      </c>
      <c r="CH40" s="3">
        <f>'Hasil (Rp)'!CH40-Biaya!CH40</f>
        <v>0</v>
      </c>
      <c r="CI40" s="3">
        <f>'Hasil (Rp)'!CI40-Biaya!CI40</f>
        <v>0</v>
      </c>
      <c r="CJ40" s="3">
        <f>'Hasil (Rp)'!CJ40-Biaya!CJ40</f>
        <v>0</v>
      </c>
      <c r="CK40" s="3">
        <f>'Hasil (Rp)'!CK40-Biaya!CK40</f>
        <v>29048414.832139514</v>
      </c>
      <c r="CL40" s="7" t="s">
        <v>130</v>
      </c>
      <c r="CM40" s="2" t="s">
        <v>58</v>
      </c>
      <c r="CN40" s="3">
        <f>'Hasil (Rp)'!CN40-Biaya!CN40</f>
        <v>0</v>
      </c>
      <c r="CO40" s="3">
        <f>'Hasil (Rp)'!CO40-Biaya!CO40</f>
        <v>0</v>
      </c>
      <c r="CP40" s="3">
        <f>'Hasil (Rp)'!CP40-Biaya!CP40</f>
        <v>0</v>
      </c>
      <c r="CQ40" s="3">
        <f>'Hasil (Rp)'!CQ40-Biaya!CQ40</f>
        <v>0</v>
      </c>
      <c r="CR40" s="3">
        <f>'Hasil (Rp)'!CR40-Biaya!CR40</f>
        <v>0</v>
      </c>
      <c r="CS40" s="7" t="s">
        <v>130</v>
      </c>
      <c r="CT40" s="2" t="s">
        <v>58</v>
      </c>
      <c r="CU40" s="3">
        <f>'Hasil (Rp)'!CU40-Biaya!CU40</f>
        <v>161300258.97559237</v>
      </c>
      <c r="CV40" s="3">
        <f>'Hasil (Rp)'!CV40-Biaya!CV40</f>
        <v>1056362931.7766601</v>
      </c>
      <c r="CW40" s="3">
        <f>'Hasil (Rp)'!CW40-Biaya!CW40</f>
        <v>0</v>
      </c>
      <c r="CX40" s="3">
        <f>'Hasil (Rp)'!CX40-Biaya!CX40</f>
        <v>0</v>
      </c>
      <c r="CY40" s="3">
        <f>'Hasil (Rp)'!CY40-Biaya!CY40</f>
        <v>1217663190.7522526</v>
      </c>
      <c r="CZ40" s="7" t="s">
        <v>130</v>
      </c>
      <c r="DA40" s="2" t="s">
        <v>58</v>
      </c>
      <c r="DB40" s="3">
        <f>'Hasil (Rp)'!DB40-Biaya!DB40</f>
        <v>3014205.5372597147</v>
      </c>
      <c r="DC40" s="3">
        <f>'Hasil (Rp)'!DC40-Biaya!DC40</f>
        <v>879749284.61054158</v>
      </c>
      <c r="DD40" s="3">
        <f>'Hasil (Rp)'!DD40-Biaya!DD40</f>
        <v>0</v>
      </c>
      <c r="DE40" s="3">
        <f>'Hasil (Rp)'!DE40-Biaya!DE40</f>
        <v>0</v>
      </c>
      <c r="DF40" s="3">
        <f>'Hasil (Rp)'!DF40-Biaya!DF40</f>
        <v>882763490.1478014</v>
      </c>
      <c r="DG40" s="7" t="s">
        <v>130</v>
      </c>
      <c r="DH40" s="2" t="s">
        <v>58</v>
      </c>
      <c r="DI40" s="3">
        <f>'Hasil (Rp)'!DI40-Biaya!DI40</f>
        <v>0</v>
      </c>
      <c r="DJ40" s="3">
        <f>'Hasil (Rp)'!DJ40-Biaya!DJ40</f>
        <v>0</v>
      </c>
      <c r="DK40" s="3">
        <f>'Hasil (Rp)'!DK40-Biaya!DK40</f>
        <v>0</v>
      </c>
      <c r="DL40" s="3">
        <f>'Hasil (Rp)'!DL40-Biaya!DL40</f>
        <v>0</v>
      </c>
      <c r="DM40" s="3">
        <f>'Hasil (Rp)'!DM40-Biaya!DM40</f>
        <v>0</v>
      </c>
      <c r="DN40" s="7" t="s">
        <v>130</v>
      </c>
      <c r="DO40" s="2" t="s">
        <v>58</v>
      </c>
      <c r="DP40" s="3">
        <f>'Hasil (Rp)'!DP40-Biaya!DP40</f>
        <v>195432182.25606215</v>
      </c>
      <c r="DQ40" s="3">
        <f>'Hasil (Rp)'!DQ40-Biaya!DQ40</f>
        <v>0</v>
      </c>
      <c r="DR40" s="3">
        <f>'Hasil (Rp)'!DR40-Biaya!DR40</f>
        <v>0</v>
      </c>
      <c r="DS40" s="3">
        <f>'Hasil (Rp)'!DS40-Biaya!DS40</f>
        <v>120269333231.25549</v>
      </c>
      <c r="DT40" s="3">
        <f>'Hasil (Rp)'!DT40-Biaya!DT40</f>
        <v>120464765413.5116</v>
      </c>
      <c r="DU40" s="7" t="s">
        <v>130</v>
      </c>
      <c r="DV40" s="2" t="s">
        <v>58</v>
      </c>
      <c r="DW40" s="3">
        <f>'Hasil (Rp)'!DW40-Biaya!DW40</f>
        <v>917313072.32847595</v>
      </c>
      <c r="DX40" s="3">
        <f>'Hasil (Rp)'!DX40-Biaya!DX40</f>
        <v>0</v>
      </c>
      <c r="DY40" s="3">
        <f>'Hasil (Rp)'!DY40-Biaya!DY40</f>
        <v>2026427633.1096497</v>
      </c>
      <c r="DZ40" s="3">
        <f>'Hasil (Rp)'!DZ40-Biaya!DZ40</f>
        <v>107307366972.5625</v>
      </c>
      <c r="EA40" s="3">
        <f>'Hasil (Rp)'!EA40-Biaya!EA40</f>
        <v>110251107678.00073</v>
      </c>
      <c r="EB40" s="7" t="s">
        <v>130</v>
      </c>
      <c r="EC40" s="2" t="s">
        <v>58</v>
      </c>
      <c r="ED40" s="3">
        <f>'Hasil (Rp)'!ED40-Biaya!ED40</f>
        <v>9572519830.3238373</v>
      </c>
      <c r="EE40" s="3">
        <f>'Hasil (Rp)'!EE40-Biaya!EE40</f>
        <v>8693165326.341877</v>
      </c>
      <c r="EF40" s="3">
        <f>'Hasil (Rp)'!EF40-Biaya!EF40</f>
        <v>441038.24646775541</v>
      </c>
      <c r="EG40" s="3">
        <f>'Hasil (Rp)'!EG40-Biaya!EG40</f>
        <v>0</v>
      </c>
      <c r="EH40" s="3">
        <f>'Hasil (Rp)'!EH40-Biaya!EH40</f>
        <v>18266126194.912178</v>
      </c>
    </row>
    <row r="41" spans="1:138" ht="10.199999999999999" customHeight="1" x14ac:dyDescent="0.2">
      <c r="A41" s="7" t="s">
        <v>122</v>
      </c>
      <c r="B41" s="2" t="s">
        <v>50</v>
      </c>
      <c r="C41" s="3">
        <f t="shared" si="4"/>
        <v>0</v>
      </c>
      <c r="D41" s="3">
        <f t="shared" si="5"/>
        <v>104548197.02328646</v>
      </c>
      <c r="E41" s="3">
        <f t="shared" si="6"/>
        <v>0</v>
      </c>
      <c r="F41" s="3">
        <f t="shared" si="7"/>
        <v>660322.77131962788</v>
      </c>
      <c r="G41" s="3">
        <f t="shared" si="8"/>
        <v>1097124.9813323151</v>
      </c>
      <c r="H41" s="3">
        <f t="shared" si="9"/>
        <v>0</v>
      </c>
      <c r="I41" s="3">
        <f t="shared" si="10"/>
        <v>0</v>
      </c>
      <c r="J41" s="3">
        <f t="shared" si="11"/>
        <v>0</v>
      </c>
      <c r="K41" s="3">
        <f t="shared" si="12"/>
        <v>1569349.3761099335</v>
      </c>
      <c r="L41" s="3">
        <f t="shared" si="13"/>
        <v>97072972.39856407</v>
      </c>
      <c r="M41" s="3">
        <f t="shared" si="14"/>
        <v>5173920455.4798698</v>
      </c>
      <c r="N41" s="3">
        <f t="shared" si="15"/>
        <v>0</v>
      </c>
      <c r="O41" s="3">
        <f t="shared" si="16"/>
        <v>5378868422.0304823</v>
      </c>
      <c r="P41" s="7" t="s">
        <v>122</v>
      </c>
      <c r="Q41" s="2" t="s">
        <v>50</v>
      </c>
      <c r="R41" s="3">
        <f t="shared" si="28"/>
        <v>0</v>
      </c>
      <c r="S41" s="3">
        <f t="shared" si="28"/>
        <v>104548197.02328646</v>
      </c>
      <c r="T41" s="3">
        <f t="shared" si="28"/>
        <v>0</v>
      </c>
      <c r="U41" s="3">
        <f t="shared" si="28"/>
        <v>660322.77131962788</v>
      </c>
      <c r="V41" s="3">
        <f t="shared" si="28"/>
        <v>1097124.9813323151</v>
      </c>
      <c r="W41" s="3">
        <f t="shared" si="27"/>
        <v>0</v>
      </c>
      <c r="X41" s="3">
        <f t="shared" si="27"/>
        <v>0</v>
      </c>
      <c r="Y41" s="3">
        <f t="shared" si="27"/>
        <v>0</v>
      </c>
      <c r="Z41" s="3">
        <f t="shared" si="27"/>
        <v>1569349.3761099335</v>
      </c>
      <c r="AA41" s="3">
        <f t="shared" si="27"/>
        <v>97072972.39856407</v>
      </c>
      <c r="AB41" s="3">
        <f t="shared" si="18"/>
        <v>204947966.55061239</v>
      </c>
      <c r="AC41" s="7" t="s">
        <v>122</v>
      </c>
      <c r="AD41" s="2" t="s">
        <v>50</v>
      </c>
      <c r="AE41" s="3">
        <f t="shared" si="19"/>
        <v>5173920455.4798698</v>
      </c>
      <c r="AF41" s="3">
        <f t="shared" si="19"/>
        <v>0</v>
      </c>
      <c r="AG41" s="3">
        <f t="shared" si="20"/>
        <v>5173920455.4798698</v>
      </c>
      <c r="AH41" s="7" t="s">
        <v>122</v>
      </c>
      <c r="AI41" s="2" t="s">
        <v>50</v>
      </c>
      <c r="AJ41" s="3">
        <f t="shared" si="21"/>
        <v>570008085.21012008</v>
      </c>
      <c r="AK41" s="3">
        <f t="shared" si="21"/>
        <v>4808860336.820364</v>
      </c>
      <c r="AL41" s="3">
        <f t="shared" si="21"/>
        <v>0</v>
      </c>
      <c r="AM41" s="3">
        <f t="shared" si="21"/>
        <v>0</v>
      </c>
      <c r="AN41" s="3">
        <f t="shared" si="22"/>
        <v>5378868422.0304842</v>
      </c>
      <c r="AO41" s="7" t="s">
        <v>122</v>
      </c>
      <c r="AP41" s="2" t="s">
        <v>50</v>
      </c>
      <c r="AQ41" s="3">
        <f t="shared" si="23"/>
        <v>203527422.63743702</v>
      </c>
      <c r="AR41" s="3">
        <f t="shared" si="23"/>
        <v>1420543.9131753945</v>
      </c>
      <c r="AS41" s="3">
        <f t="shared" si="23"/>
        <v>0</v>
      </c>
      <c r="AT41" s="3">
        <f t="shared" si="23"/>
        <v>0</v>
      </c>
      <c r="AU41" s="3">
        <f t="shared" si="24"/>
        <v>204947966.55061242</v>
      </c>
      <c r="AV41" s="7" t="s">
        <v>122</v>
      </c>
      <c r="AW41" s="2" t="s">
        <v>50</v>
      </c>
      <c r="AX41" s="3">
        <f t="shared" si="25"/>
        <v>366480662.5726831</v>
      </c>
      <c r="AY41" s="3">
        <f t="shared" si="25"/>
        <v>4807439792.9071884</v>
      </c>
      <c r="AZ41" s="3">
        <f t="shared" si="25"/>
        <v>0</v>
      </c>
      <c r="BA41" s="3">
        <f t="shared" si="25"/>
        <v>0</v>
      </c>
      <c r="BB41" s="3">
        <f t="shared" si="26"/>
        <v>5173920455.4798717</v>
      </c>
      <c r="BC41" s="7" t="s">
        <v>122</v>
      </c>
      <c r="BD41" s="2" t="s">
        <v>50</v>
      </c>
      <c r="BE41" s="3">
        <f>'Hasil (Rp)'!BE41-Biaya!BE41</f>
        <v>0</v>
      </c>
      <c r="BF41" s="3">
        <f>'Hasil (Rp)'!BF41-Biaya!BF41</f>
        <v>0</v>
      </c>
      <c r="BG41" s="3">
        <f>'Hasil (Rp)'!BG41-Biaya!BG41</f>
        <v>0</v>
      </c>
      <c r="BH41" s="3">
        <f>'Hasil (Rp)'!BH41-Biaya!BH41</f>
        <v>0</v>
      </c>
      <c r="BI41" s="3">
        <f>'Hasil (Rp)'!BI41-Biaya!BI41</f>
        <v>0</v>
      </c>
      <c r="BJ41" s="7" t="s">
        <v>122</v>
      </c>
      <c r="BK41" s="2" t="s">
        <v>50</v>
      </c>
      <c r="BL41" s="3">
        <f>'Hasil (Rp)'!BL41-Biaya!BL41</f>
        <v>104548197.02328646</v>
      </c>
      <c r="BM41" s="3">
        <f>'Hasil (Rp)'!BM41-Biaya!BM41</f>
        <v>0</v>
      </c>
      <c r="BN41" s="3">
        <f>'Hasil (Rp)'!BN41-Biaya!BN41</f>
        <v>0</v>
      </c>
      <c r="BO41" s="3">
        <f>'Hasil (Rp)'!BO41-Biaya!BO41</f>
        <v>0</v>
      </c>
      <c r="BP41" s="3">
        <f>'Hasil (Rp)'!BP41-Biaya!BP41</f>
        <v>104548197.02328646</v>
      </c>
      <c r="BQ41" s="7" t="s">
        <v>122</v>
      </c>
      <c r="BR41" s="2" t="s">
        <v>50</v>
      </c>
      <c r="BS41" s="3">
        <f>'Hasil (Rp)'!BS41-Biaya!BS41</f>
        <v>0</v>
      </c>
      <c r="BT41" s="3">
        <f>'Hasil (Rp)'!BT41-Biaya!BT41</f>
        <v>0</v>
      </c>
      <c r="BU41" s="3">
        <f>'Hasil (Rp)'!BU41-Biaya!BU41</f>
        <v>0</v>
      </c>
      <c r="BV41" s="3">
        <f>'Hasil (Rp)'!BV41-Biaya!BV41</f>
        <v>0</v>
      </c>
      <c r="BW41" s="3">
        <f>'Hasil (Rp)'!BW41-Biaya!BW41</f>
        <v>0</v>
      </c>
      <c r="BX41" s="7" t="s">
        <v>122</v>
      </c>
      <c r="BY41" s="2" t="s">
        <v>50</v>
      </c>
      <c r="BZ41" s="3">
        <f>'Hasil (Rp)'!BZ41-Biaya!BZ41</f>
        <v>660322.77131962788</v>
      </c>
      <c r="CA41" s="3">
        <f>'Hasil (Rp)'!CA41-Biaya!CA41</f>
        <v>0</v>
      </c>
      <c r="CB41" s="3">
        <f>'Hasil (Rp)'!CB41-Biaya!CB41</f>
        <v>0</v>
      </c>
      <c r="CC41" s="3">
        <f>'Hasil (Rp)'!CC41-Biaya!CC41</f>
        <v>0</v>
      </c>
      <c r="CD41" s="3">
        <f>'Hasil (Rp)'!CD41-Biaya!CD41</f>
        <v>660322.77131962788</v>
      </c>
      <c r="CE41" s="7" t="s">
        <v>122</v>
      </c>
      <c r="CF41" s="2" t="s">
        <v>50</v>
      </c>
      <c r="CG41" s="3">
        <f>'Hasil (Rp)'!CG41-Biaya!CG41</f>
        <v>270638.92781218607</v>
      </c>
      <c r="CH41" s="3">
        <f>'Hasil (Rp)'!CH41-Biaya!CH41</f>
        <v>826486.05352012906</v>
      </c>
      <c r="CI41" s="3">
        <f>'Hasil (Rp)'!CI41-Biaya!CI41</f>
        <v>0</v>
      </c>
      <c r="CJ41" s="3">
        <f>'Hasil (Rp)'!CJ41-Biaya!CJ41</f>
        <v>0</v>
      </c>
      <c r="CK41" s="3">
        <f>'Hasil (Rp)'!CK41-Biaya!CK41</f>
        <v>1097124.9813323151</v>
      </c>
      <c r="CL41" s="7" t="s">
        <v>122</v>
      </c>
      <c r="CM41" s="2" t="s">
        <v>50</v>
      </c>
      <c r="CN41" s="3">
        <f>'Hasil (Rp)'!CN41-Biaya!CN41</f>
        <v>0</v>
      </c>
      <c r="CO41" s="3">
        <f>'Hasil (Rp)'!CO41-Biaya!CO41</f>
        <v>0</v>
      </c>
      <c r="CP41" s="3">
        <f>'Hasil (Rp)'!CP41-Biaya!CP41</f>
        <v>0</v>
      </c>
      <c r="CQ41" s="3">
        <f>'Hasil (Rp)'!CQ41-Biaya!CQ41</f>
        <v>0</v>
      </c>
      <c r="CR41" s="3">
        <f>'Hasil (Rp)'!CR41-Biaya!CR41</f>
        <v>0</v>
      </c>
      <c r="CS41" s="7" t="s">
        <v>122</v>
      </c>
      <c r="CT41" s="2" t="s">
        <v>50</v>
      </c>
      <c r="CU41" s="3">
        <f>'Hasil (Rp)'!CU41-Biaya!CU41</f>
        <v>0</v>
      </c>
      <c r="CV41" s="3">
        <f>'Hasil (Rp)'!CV41-Biaya!CV41</f>
        <v>0</v>
      </c>
      <c r="CW41" s="3">
        <f>'Hasil (Rp)'!CW41-Biaya!CW41</f>
        <v>0</v>
      </c>
      <c r="CX41" s="3">
        <f>'Hasil (Rp)'!CX41-Biaya!CX41</f>
        <v>0</v>
      </c>
      <c r="CY41" s="3">
        <f>'Hasil (Rp)'!CY41-Biaya!CY41</f>
        <v>0</v>
      </c>
      <c r="CZ41" s="7" t="s">
        <v>122</v>
      </c>
      <c r="DA41" s="2" t="s">
        <v>50</v>
      </c>
      <c r="DB41" s="3">
        <f>'Hasil (Rp)'!DB41-Biaya!DB41</f>
        <v>1569349.3761099335</v>
      </c>
      <c r="DC41" s="3">
        <f>'Hasil (Rp)'!DC41-Biaya!DC41</f>
        <v>0</v>
      </c>
      <c r="DD41" s="3">
        <f>'Hasil (Rp)'!DD41-Biaya!DD41</f>
        <v>0</v>
      </c>
      <c r="DE41" s="3">
        <f>'Hasil (Rp)'!DE41-Biaya!DE41</f>
        <v>0</v>
      </c>
      <c r="DF41" s="3">
        <f>'Hasil (Rp)'!DF41-Biaya!DF41</f>
        <v>1569349.3761099335</v>
      </c>
      <c r="DG41" s="7" t="s">
        <v>122</v>
      </c>
      <c r="DH41" s="2" t="s">
        <v>50</v>
      </c>
      <c r="DI41" s="3">
        <f>'Hasil (Rp)'!DI41-Biaya!DI41</f>
        <v>0</v>
      </c>
      <c r="DJ41" s="3">
        <f>'Hasil (Rp)'!DJ41-Biaya!DJ41</f>
        <v>0</v>
      </c>
      <c r="DK41" s="3">
        <f>'Hasil (Rp)'!DK41-Biaya!DK41</f>
        <v>0</v>
      </c>
      <c r="DL41" s="3">
        <f>'Hasil (Rp)'!DL41-Biaya!DL41</f>
        <v>0</v>
      </c>
      <c r="DM41" s="3">
        <f>'Hasil (Rp)'!DM41-Biaya!DM41</f>
        <v>0</v>
      </c>
      <c r="DN41" s="7" t="s">
        <v>122</v>
      </c>
      <c r="DO41" s="2" t="s">
        <v>50</v>
      </c>
      <c r="DP41" s="3">
        <f>'Hasil (Rp)'!DP41-Biaya!DP41</f>
        <v>96478914.538908809</v>
      </c>
      <c r="DQ41" s="3">
        <f>'Hasil (Rp)'!DQ41-Biaya!DQ41</f>
        <v>594057.85965526546</v>
      </c>
      <c r="DR41" s="3">
        <f>'Hasil (Rp)'!DR41-Biaya!DR41</f>
        <v>0</v>
      </c>
      <c r="DS41" s="3">
        <f>'Hasil (Rp)'!DS41-Biaya!DS41</f>
        <v>0</v>
      </c>
      <c r="DT41" s="3">
        <f>'Hasil (Rp)'!DT41-Biaya!DT41</f>
        <v>97072972.39856407</v>
      </c>
      <c r="DU41" s="7" t="s">
        <v>122</v>
      </c>
      <c r="DV41" s="2" t="s">
        <v>50</v>
      </c>
      <c r="DW41" s="3">
        <f>'Hasil (Rp)'!DW41-Biaya!DW41</f>
        <v>0</v>
      </c>
      <c r="DX41" s="3">
        <f>'Hasil (Rp)'!DX41-Biaya!DX41</f>
        <v>0</v>
      </c>
      <c r="DY41" s="3">
        <f>'Hasil (Rp)'!DY41-Biaya!DY41</f>
        <v>0</v>
      </c>
      <c r="DZ41" s="3">
        <f>'Hasil (Rp)'!DZ41-Biaya!DZ41</f>
        <v>0</v>
      </c>
      <c r="EA41" s="3">
        <f>'Hasil (Rp)'!EA41-Biaya!EA41</f>
        <v>0</v>
      </c>
      <c r="EB41" s="7" t="s">
        <v>122</v>
      </c>
      <c r="EC41" s="2" t="s">
        <v>50</v>
      </c>
      <c r="ED41" s="3">
        <f>'Hasil (Rp)'!ED41-Biaya!ED41</f>
        <v>366480662.5726831</v>
      </c>
      <c r="EE41" s="3">
        <f>'Hasil (Rp)'!EE41-Biaya!EE41</f>
        <v>4807439792.9071884</v>
      </c>
      <c r="EF41" s="3">
        <f>'Hasil (Rp)'!EF41-Biaya!EF41</f>
        <v>0</v>
      </c>
      <c r="EG41" s="3">
        <f>'Hasil (Rp)'!EG41-Biaya!EG41</f>
        <v>0</v>
      </c>
      <c r="EH41" s="3">
        <f>'Hasil (Rp)'!EH41-Biaya!EH41</f>
        <v>5173920455.4798698</v>
      </c>
    </row>
    <row r="42" spans="1:138" ht="10.199999999999999" customHeight="1" x14ac:dyDescent="0.2">
      <c r="A42" s="8"/>
      <c r="B42" s="4" t="s">
        <v>59</v>
      </c>
      <c r="C42" s="3">
        <f>SUM(C4:C41)</f>
        <v>6052973466.732893</v>
      </c>
      <c r="D42" s="3">
        <f t="shared" ref="D42:O42" si="29">SUM(D4:D41)</f>
        <v>1216938932063.208</v>
      </c>
      <c r="E42" s="3">
        <f t="shared" si="29"/>
        <v>3653435156520.6465</v>
      </c>
      <c r="F42" s="3">
        <f t="shared" si="29"/>
        <v>27633412989.78651</v>
      </c>
      <c r="G42" s="3">
        <f t="shared" si="29"/>
        <v>73627753681.376785</v>
      </c>
      <c r="H42" s="3">
        <f t="shared" si="29"/>
        <v>505343374262.19629</v>
      </c>
      <c r="I42" s="3">
        <f t="shared" si="29"/>
        <v>331494998679.98315</v>
      </c>
      <c r="J42" s="3">
        <f t="shared" si="29"/>
        <v>440600469649.61084</v>
      </c>
      <c r="K42" s="3">
        <f t="shared" si="29"/>
        <v>519683808054.68097</v>
      </c>
      <c r="L42" s="3">
        <f t="shared" si="29"/>
        <v>339043447606.09003</v>
      </c>
      <c r="M42" s="3">
        <f t="shared" si="29"/>
        <v>2016270234413.4829</v>
      </c>
      <c r="N42" s="3">
        <f t="shared" si="29"/>
        <v>2083636964934.3896</v>
      </c>
      <c r="O42" s="3">
        <f t="shared" si="29"/>
        <v>11213761526322.186</v>
      </c>
      <c r="P42" s="8"/>
      <c r="Q42" s="4" t="s">
        <v>59</v>
      </c>
      <c r="R42" s="3">
        <f>SUM(R4:R41)</f>
        <v>6052973466.732893</v>
      </c>
      <c r="S42" s="3">
        <f t="shared" ref="S42:AB42" si="30">SUM(S4:S41)</f>
        <v>1216938932063.208</v>
      </c>
      <c r="T42" s="3">
        <f t="shared" si="30"/>
        <v>3653435156520.6465</v>
      </c>
      <c r="U42" s="3">
        <f t="shared" si="30"/>
        <v>27633412989.78651</v>
      </c>
      <c r="V42" s="3">
        <f t="shared" si="30"/>
        <v>73627753681.376785</v>
      </c>
      <c r="W42" s="3">
        <f t="shared" si="30"/>
        <v>505343374262.19629</v>
      </c>
      <c r="X42" s="3">
        <f t="shared" si="30"/>
        <v>331494998679.98315</v>
      </c>
      <c r="Y42" s="3">
        <f t="shared" si="30"/>
        <v>440600469649.61084</v>
      </c>
      <c r="Z42" s="3">
        <f t="shared" si="30"/>
        <v>519683808054.68097</v>
      </c>
      <c r="AA42" s="3">
        <f t="shared" si="30"/>
        <v>339043447606.09003</v>
      </c>
      <c r="AB42" s="3">
        <f t="shared" si="30"/>
        <v>7113854326974.3086</v>
      </c>
      <c r="AC42" s="8"/>
      <c r="AD42" s="4" t="s">
        <v>59</v>
      </c>
      <c r="AE42" s="3">
        <f>SUM(AE4:AE41)</f>
        <v>2016270234413.4829</v>
      </c>
      <c r="AF42" s="3">
        <f t="shared" ref="AF42:AG42" si="31">SUM(AF4:AF41)</f>
        <v>2083636964934.3896</v>
      </c>
      <c r="AG42" s="3">
        <f t="shared" si="31"/>
        <v>4099907199347.8735</v>
      </c>
      <c r="AH42" s="8"/>
      <c r="AI42" s="4" t="s">
        <v>59</v>
      </c>
      <c r="AJ42" s="3">
        <f>SUM(AJ4:AJ41)</f>
        <v>1416457952026.8645</v>
      </c>
      <c r="AK42" s="3">
        <f t="shared" ref="AK42:AN42" si="32">SUM(AK4:AK41)</f>
        <v>1681851704711.7751</v>
      </c>
      <c r="AL42" s="3">
        <f t="shared" si="32"/>
        <v>1704848717622.4529</v>
      </c>
      <c r="AM42" s="3">
        <f t="shared" si="32"/>
        <v>6410603151961.0928</v>
      </c>
      <c r="AN42" s="3">
        <f t="shared" si="32"/>
        <v>11213761526322.184</v>
      </c>
      <c r="AO42" s="8"/>
      <c r="AP42" s="4" t="s">
        <v>59</v>
      </c>
      <c r="AQ42" s="3">
        <f>SUM(AQ4:AQ41)</f>
        <v>485688011272.31348</v>
      </c>
      <c r="AR42" s="3">
        <f t="shared" ref="AR42:AU42" si="33">SUM(AR4:AR41)</f>
        <v>541991200051.94025</v>
      </c>
      <c r="AS42" s="3">
        <f t="shared" si="33"/>
        <v>1024441329991.2161</v>
      </c>
      <c r="AT42" s="3">
        <f t="shared" si="33"/>
        <v>5061733785658.8418</v>
      </c>
      <c r="AU42" s="3">
        <f t="shared" si="33"/>
        <v>7113854326974.3105</v>
      </c>
      <c r="AV42" s="8"/>
      <c r="AW42" s="4" t="s">
        <v>59</v>
      </c>
      <c r="AX42" s="3">
        <f>SUM(AX4:AX41)</f>
        <v>930769940754.55078</v>
      </c>
      <c r="AY42" s="3">
        <f t="shared" ref="AY42:BB42" si="34">SUM(AY4:AY41)</f>
        <v>1139860504659.8352</v>
      </c>
      <c r="AZ42" s="3">
        <f t="shared" si="34"/>
        <v>680407387631.23657</v>
      </c>
      <c r="BA42" s="3">
        <f t="shared" si="34"/>
        <v>1348869366302.25</v>
      </c>
      <c r="BB42" s="3">
        <f t="shared" si="34"/>
        <v>4099907199347.873</v>
      </c>
      <c r="BC42" s="8"/>
      <c r="BD42" s="4" t="s">
        <v>59</v>
      </c>
      <c r="BE42" s="3">
        <f>'Hasil (Rp)'!BE42-Biaya!BE42</f>
        <v>2702249141.9026208</v>
      </c>
      <c r="BF42" s="3">
        <f>'Hasil (Rp)'!BF42-Biaya!BF42</f>
        <v>1245027098.5559311</v>
      </c>
      <c r="BG42" s="3">
        <f>'Hasil (Rp)'!BG42-Biaya!BG42</f>
        <v>2105697226.2743397</v>
      </c>
      <c r="BH42" s="3">
        <f>'Hasil (Rp)'!BH42-Biaya!BH42</f>
        <v>0</v>
      </c>
      <c r="BI42" s="3">
        <f>'Hasil (Rp)'!BI42-Biaya!BI42</f>
        <v>6052973466.732893</v>
      </c>
      <c r="BJ42" s="8"/>
      <c r="BK42" s="4" t="s">
        <v>59</v>
      </c>
      <c r="BL42" s="3">
        <f>'Hasil (Rp)'!BL42-Biaya!BL42</f>
        <v>6523160727.0621119</v>
      </c>
      <c r="BM42" s="3">
        <f>'Hasil (Rp)'!BM42-Biaya!BM42</f>
        <v>123097679238.71109</v>
      </c>
      <c r="BN42" s="3">
        <f>'Hasil (Rp)'!BN42-Biaya!BN42</f>
        <v>93757871917.539551</v>
      </c>
      <c r="BO42" s="3">
        <f>'Hasil (Rp)'!BO42-Biaya!BO42</f>
        <v>993560220179.89563</v>
      </c>
      <c r="BP42" s="3">
        <f>'Hasil (Rp)'!BP42-Biaya!BP42</f>
        <v>1216938932063.2083</v>
      </c>
      <c r="BQ42" s="8"/>
      <c r="BR42" s="4" t="s">
        <v>59</v>
      </c>
      <c r="BS42" s="3">
        <f>'Hasil (Rp)'!BS42-Biaya!BS42</f>
        <v>140477082979.33914</v>
      </c>
      <c r="BT42" s="3">
        <f>'Hasil (Rp)'!BT42-Biaya!BT42</f>
        <v>96223885687.432831</v>
      </c>
      <c r="BU42" s="3">
        <f>'Hasil (Rp)'!BU42-Biaya!BU42</f>
        <v>534474914664.10986</v>
      </c>
      <c r="BV42" s="3">
        <f>'Hasil (Rp)'!BV42-Biaya!BV42</f>
        <v>2882259273189.7676</v>
      </c>
      <c r="BW42" s="3">
        <f>'Hasil (Rp)'!BW42-Biaya!BW42</f>
        <v>3653435156520.6465</v>
      </c>
      <c r="BX42" s="8"/>
      <c r="BY42" s="4" t="s">
        <v>59</v>
      </c>
      <c r="BZ42" s="3">
        <f>'Hasil (Rp)'!BZ42-Biaya!BZ42</f>
        <v>53807787091.593185</v>
      </c>
      <c r="CA42" s="3">
        <f>'Hasil (Rp)'!CA42-Biaya!CA42</f>
        <v>70435342871.970337</v>
      </c>
      <c r="CB42" s="3">
        <f>'Hasil (Rp)'!CB42-Biaya!CB42</f>
        <v>-107691935655.69254</v>
      </c>
      <c r="CC42" s="3">
        <f>'Hasil (Rp)'!CC42-Biaya!CC42</f>
        <v>11082218681.915527</v>
      </c>
      <c r="CD42" s="3">
        <f>'Hasil (Rp)'!CD42-Biaya!CD42</f>
        <v>27633412989.786499</v>
      </c>
      <c r="CE42" s="8"/>
      <c r="CF42" s="4" t="s">
        <v>59</v>
      </c>
      <c r="CG42" s="3">
        <f>'Hasil (Rp)'!CG42-Biaya!CG42</f>
        <v>21597807693.819023</v>
      </c>
      <c r="CH42" s="3">
        <f>'Hasil (Rp)'!CH42-Biaya!CH42</f>
        <v>17994159936.688477</v>
      </c>
      <c r="CI42" s="3">
        <f>'Hasil (Rp)'!CI42-Biaya!CI42</f>
        <v>3881635040.1317587</v>
      </c>
      <c r="CJ42" s="3">
        <f>'Hasil (Rp)'!CJ42-Biaya!CJ42</f>
        <v>30154151010.737541</v>
      </c>
      <c r="CK42" s="3">
        <f>'Hasil (Rp)'!CK42-Biaya!CK42</f>
        <v>73627753681.37677</v>
      </c>
      <c r="CL42" s="8"/>
      <c r="CM42" s="4" t="s">
        <v>59</v>
      </c>
      <c r="CN42" s="3">
        <f>'Hasil (Rp)'!CN42-Biaya!CN42</f>
        <v>0</v>
      </c>
      <c r="CO42" s="3">
        <f>'Hasil (Rp)'!CO42-Biaya!CO42</f>
        <v>0</v>
      </c>
      <c r="CP42" s="3">
        <f>'Hasil (Rp)'!CP42-Biaya!CP42</f>
        <v>152772026218.03101</v>
      </c>
      <c r="CQ42" s="3">
        <f>'Hasil (Rp)'!CQ42-Biaya!CQ42</f>
        <v>352571348044.16522</v>
      </c>
      <c r="CR42" s="3">
        <f>'Hasil (Rp)'!CR42-Biaya!CR42</f>
        <v>505343374262.19592</v>
      </c>
      <c r="CS42" s="8"/>
      <c r="CT42" s="4" t="s">
        <v>59</v>
      </c>
      <c r="CU42" s="3">
        <f>'Hasil (Rp)'!CU42-Biaya!CU42</f>
        <v>39422915095.192398</v>
      </c>
      <c r="CV42" s="3">
        <f>'Hasil (Rp)'!CV42-Biaya!CV42</f>
        <v>51769587556.750305</v>
      </c>
      <c r="CW42" s="3">
        <f>'Hasil (Rp)'!CW42-Biaya!CW42</f>
        <v>240302496028.04044</v>
      </c>
      <c r="CX42" s="3">
        <f>'Hasil (Rp)'!CX42-Biaya!CX42</f>
        <v>0</v>
      </c>
      <c r="CY42" s="3">
        <f>'Hasil (Rp)'!CY42-Biaya!CY42</f>
        <v>331494998679.98309</v>
      </c>
      <c r="CZ42" s="8"/>
      <c r="DA42" s="4" t="s">
        <v>59</v>
      </c>
      <c r="DB42" s="3">
        <f>'Hasil (Rp)'!DB42-Biaya!DB42</f>
        <v>98747040026.354034</v>
      </c>
      <c r="DC42" s="3">
        <f>'Hasil (Rp)'!DC42-Biaya!DC42</f>
        <v>131554905287.65103</v>
      </c>
      <c r="DD42" s="3">
        <f>'Hasil (Rp)'!DD42-Biaya!DD42</f>
        <v>66548993315.880768</v>
      </c>
      <c r="DE42" s="3">
        <f>'Hasil (Rp)'!DE42-Biaya!DE42</f>
        <v>222832869424.79495</v>
      </c>
      <c r="DF42" s="3">
        <f>'Hasil (Rp)'!DF42-Biaya!DF42</f>
        <v>519683808054.68073</v>
      </c>
      <c r="DG42" s="8"/>
      <c r="DH42" s="4" t="s">
        <v>59</v>
      </c>
      <c r="DI42" s="3">
        <f>'Hasil (Rp)'!DI42-Biaya!DI42</f>
        <v>10629300116.682632</v>
      </c>
      <c r="DJ42" s="3">
        <f>'Hasil (Rp)'!DJ42-Biaya!DJ42</f>
        <v>11394189767.660189</v>
      </c>
      <c r="DK42" s="3">
        <f>'Hasil (Rp)'!DK42-Biaya!DK42</f>
        <v>17559718580.561958</v>
      </c>
      <c r="DL42" s="3">
        <f>'Hasil (Rp)'!DL42-Biaya!DL42</f>
        <v>401017261184.70654</v>
      </c>
      <c r="DM42" s="3">
        <f>'Hasil (Rp)'!DM42-Biaya!DM42</f>
        <v>440600469649.61133</v>
      </c>
      <c r="DN42" s="8"/>
      <c r="DO42" s="4" t="s">
        <v>59</v>
      </c>
      <c r="DP42" s="3">
        <f>'Hasil (Rp)'!DP42-Biaya!DP42</f>
        <v>111780668400.36832</v>
      </c>
      <c r="DQ42" s="3">
        <f>'Hasil (Rp)'!DQ42-Biaya!DQ42</f>
        <v>38276422606.519928</v>
      </c>
      <c r="DR42" s="3">
        <f>'Hasil (Rp)'!DR42-Biaya!DR42</f>
        <v>20729912656.339111</v>
      </c>
      <c r="DS42" s="3">
        <f>'Hasil (Rp)'!DS42-Biaya!DS42</f>
        <v>168256443942.86255</v>
      </c>
      <c r="DT42" s="3">
        <f>'Hasil (Rp)'!DT42-Biaya!DT42</f>
        <v>339043447606.09058</v>
      </c>
      <c r="DU42" s="8"/>
      <c r="DV42" s="4" t="s">
        <v>59</v>
      </c>
      <c r="DW42" s="3">
        <f>'Hasil (Rp)'!DW42-Biaya!DW42</f>
        <v>105164546072.88699</v>
      </c>
      <c r="DX42" s="3">
        <f>'Hasil (Rp)'!DX42-Biaya!DX42</f>
        <v>273876069585.6637</v>
      </c>
      <c r="DY42" s="3">
        <f>'Hasil (Rp)'!DY42-Biaya!DY42</f>
        <v>352204812504.28345</v>
      </c>
      <c r="DZ42" s="3">
        <f>'Hasil (Rp)'!DZ42-Biaya!DZ42</f>
        <v>1352391536771.5557</v>
      </c>
      <c r="EA42" s="3">
        <f>'Hasil (Rp)'!EA42-Biaya!EA42</f>
        <v>2083636964934.3906</v>
      </c>
      <c r="EB42" s="8"/>
      <c r="EC42" s="4" t="s">
        <v>59</v>
      </c>
      <c r="ED42" s="3">
        <f>'Hasil (Rp)'!ED42-Biaya!ED42</f>
        <v>825605394681.66406</v>
      </c>
      <c r="EE42" s="3">
        <f>'Hasil (Rp)'!EE42-Biaya!EE42</f>
        <v>865984435074.17114</v>
      </c>
      <c r="EF42" s="3">
        <f>'Hasil (Rp)'!EF42-Biaya!EF42</f>
        <v>328202575126.9527</v>
      </c>
      <c r="EG42" s="3">
        <f>'Hasil (Rp)'!EG42-Biaya!EG42</f>
        <v>-3522170469.3046923</v>
      </c>
      <c r="EH42" s="3">
        <f>'Hasil (Rp)'!EH42-Biaya!EH42</f>
        <v>2016270234413.4834</v>
      </c>
    </row>
    <row r="43" spans="1:138" ht="10.199999999999999" customHeight="1" x14ac:dyDescent="0.2">
      <c r="O43" s="52">
        <f>AB42+AG42</f>
        <v>11213761526322.182</v>
      </c>
      <c r="AJ43" s="5"/>
      <c r="AK43" s="5"/>
      <c r="AN43" s="52">
        <f>O42</f>
        <v>11213761526322.186</v>
      </c>
      <c r="AQ43" s="5"/>
      <c r="AR43" s="5"/>
      <c r="AU43" s="52">
        <f>AB42</f>
        <v>7113854326974.3086</v>
      </c>
      <c r="AX43" s="5"/>
      <c r="AY43" s="5"/>
      <c r="BB43" s="1">
        <f>AG42</f>
        <v>4099907199347.8735</v>
      </c>
      <c r="BE43" s="5"/>
      <c r="BF43" s="5"/>
      <c r="BL43" s="5"/>
      <c r="BM43" s="5"/>
      <c r="BS43" s="5"/>
      <c r="BT43" s="5"/>
      <c r="BZ43" s="5"/>
      <c r="CA43" s="5"/>
      <c r="CG43" s="5"/>
      <c r="CH43" s="5"/>
      <c r="CN43" s="5"/>
      <c r="CO43" s="5"/>
      <c r="CU43" s="5"/>
      <c r="CV43" s="5"/>
      <c r="DB43" s="5"/>
      <c r="DC43" s="5"/>
      <c r="DI43" s="5"/>
      <c r="DJ43" s="5"/>
      <c r="DP43" s="5"/>
      <c r="DQ43" s="5"/>
      <c r="DW43" s="5"/>
      <c r="DX43" s="5"/>
      <c r="ED43" s="5"/>
      <c r="EE43" s="5"/>
    </row>
    <row r="44" spans="1:138" ht="10.199999999999999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E44" s="6"/>
      <c r="AF44" s="6"/>
      <c r="AG44" s="6"/>
    </row>
    <row r="46" spans="1:138" ht="10.199999999999999" customHeight="1" x14ac:dyDescent="0.2">
      <c r="AN46" s="5"/>
      <c r="AU46" s="5"/>
      <c r="BB46" s="5"/>
      <c r="BI46" s="5"/>
      <c r="BP46" s="5"/>
      <c r="BW46" s="5"/>
      <c r="CD46" s="5"/>
      <c r="CK46" s="5"/>
      <c r="CR46" s="5"/>
      <c r="CY46" s="5"/>
      <c r="DF46" s="5"/>
      <c r="DM46" s="5"/>
      <c r="DT46" s="5"/>
      <c r="EA46" s="5"/>
      <c r="EH46" s="5"/>
    </row>
    <row r="47" spans="1:138" ht="10.199999999999999" customHeight="1" x14ac:dyDescent="0.25">
      <c r="B47" s="18" t="str">
        <f>A1</f>
        <v>Tabel 91 Nilai Tambah (Rp) berdasarkan Jenis Kegiatan</v>
      </c>
      <c r="AN47" s="5"/>
      <c r="AU47" s="5"/>
      <c r="BB47" s="5"/>
      <c r="BI47" s="5"/>
      <c r="BP47" s="5"/>
      <c r="BW47" s="5"/>
      <c r="CD47" s="5"/>
      <c r="CK47" s="5"/>
      <c r="CR47" s="5"/>
      <c r="CY47" s="5"/>
      <c r="DF47" s="5"/>
      <c r="DM47" s="5"/>
      <c r="DT47" s="5"/>
      <c r="EA47" s="5"/>
      <c r="EH47" s="5"/>
    </row>
    <row r="48" spans="1:138" ht="10.199999999999999" customHeight="1" x14ac:dyDescent="0.25">
      <c r="B48" s="18" t="str">
        <f>P1</f>
        <v>Tabel 92 Nilai Tambah (Rp) berdasarkan Jenis Kegiatan Pengolahan</v>
      </c>
    </row>
    <row r="49" spans="2:2" ht="10.199999999999999" customHeight="1" x14ac:dyDescent="0.25">
      <c r="B49" s="18" t="str">
        <f>AC1</f>
        <v>Tabel 93 Nilai Tambah (Rp) berdasarkan Jenis Kegiatan Pemasaran</v>
      </c>
    </row>
    <row r="50" spans="2:2" ht="10.199999999999999" customHeight="1" x14ac:dyDescent="0.25">
      <c r="B50" s="18" t="str">
        <f>AH1</f>
        <v xml:space="preserve">Tabel 94 Nilai Tambah (Rp) berdasarkan Skala Usaha </v>
      </c>
    </row>
    <row r="51" spans="2:2" ht="10.199999999999999" customHeight="1" x14ac:dyDescent="0.25">
      <c r="B51" s="18" t="str">
        <f>AO1</f>
        <v>Tabel 95 Nilai Tambah (Rp) berdasarkan Skala Usaha pada Kegiatan Pengolahan</v>
      </c>
    </row>
    <row r="52" spans="2:2" ht="10.199999999999999" customHeight="1" x14ac:dyDescent="0.25">
      <c r="B52" s="18" t="str">
        <f>AV1</f>
        <v>Tabel 96 Nilai Tambah (Rp) berdasarkan Skala Usaha pada Kegiatan Pemasaran</v>
      </c>
    </row>
    <row r="53" spans="2:2" ht="10.199999999999999" customHeight="1" x14ac:dyDescent="0.25">
      <c r="B53" s="18" t="str">
        <f>BC1</f>
        <v xml:space="preserve">Tabel 97 Nilai Tambah (Rp) berdasarkan Skala Usaha pada Jenis Kegiatan Fermentasi </v>
      </c>
    </row>
    <row r="54" spans="2:2" ht="10.199999999999999" customHeight="1" x14ac:dyDescent="0.25">
      <c r="B54" s="18" t="str">
        <f>BJ1</f>
        <v xml:space="preserve">Tabel 98 Nilai Tambah (Rp) berdasarkan Skala Usaha pada Jenis Kegiatan Pelumatan Daging Ikan </v>
      </c>
    </row>
    <row r="55" spans="2:2" ht="10.199999999999999" customHeight="1" x14ac:dyDescent="0.25">
      <c r="B55" s="18" t="str">
        <f>BQ1</f>
        <v xml:space="preserve">Tabel 99 Nilai Tambah (Rp) berdasarkan Skala Usaha pada Jenis Kegiatan Pembekuan </v>
      </c>
    </row>
    <row r="56" spans="2:2" ht="10.199999999999999" customHeight="1" x14ac:dyDescent="0.25">
      <c r="B56" s="18" t="str">
        <f>BX1</f>
        <v xml:space="preserve">Tabel 100 Nilai Tambah (Rp) berdasarkan Skala Usaha pada Jenis Kegiatan Pemindangan </v>
      </c>
    </row>
    <row r="57" spans="2:2" ht="10.199999999999999" customHeight="1" x14ac:dyDescent="0.25">
      <c r="B57" s="18" t="str">
        <f>CE1</f>
        <v xml:space="preserve">Tabel 101 Nilai Tambah (Rp) berdasarkan Skala Usaha pada Jenis Kegiatan Penanganan Produk Segar  </v>
      </c>
    </row>
    <row r="58" spans="2:2" ht="10.199999999999999" customHeight="1" x14ac:dyDescent="0.25">
      <c r="B58" s="18" t="str">
        <f>CL1</f>
        <v xml:space="preserve">Tabel 102 Nilai Tambah (Rp) berdasarkan Skala Usaha pada Jenis Kegiatan Pengalengan </v>
      </c>
    </row>
    <row r="59" spans="2:2" ht="10.199999999999999" customHeight="1" x14ac:dyDescent="0.25">
      <c r="B59" s="18" t="str">
        <f>CS1</f>
        <v xml:space="preserve">Tabel 103 Nilai Tambah (Rp) berdasarkan Skala Usaha pada Jenis Kegiatan Pengasapan / Pemanggangan </v>
      </c>
    </row>
    <row r="60" spans="2:2" ht="10.199999999999999" customHeight="1" x14ac:dyDescent="0.25">
      <c r="B60" s="18" t="str">
        <f>CZ1</f>
        <v xml:space="preserve">Tabel 104 Nilai Tambah (Rp) berdasarkan Skala Usaha pada Jenis Kegiatan Penggaraman / Pengeringan </v>
      </c>
    </row>
    <row r="61" spans="2:2" ht="10.199999999999999" customHeight="1" x14ac:dyDescent="0.25">
      <c r="B61" s="18" t="str">
        <f>DG1</f>
        <v xml:space="preserve">Tabel 105 Nilai Tambah (Rp) berdasarkan Skala Usaha pada Jenis Kegiatan Pereduksian/Ekstraksi </v>
      </c>
    </row>
    <row r="62" spans="2:2" ht="10.199999999999999" customHeight="1" x14ac:dyDescent="0.25">
      <c r="B62" s="18" t="str">
        <f>DN1</f>
        <v xml:space="preserve">Tabel 106 Nilai Tambah (Rp) berdasarkan Skala Usaha pada Jenis Kegiatan Pengolahan Lainnya </v>
      </c>
    </row>
    <row r="63" spans="2:2" ht="10.199999999999999" customHeight="1" x14ac:dyDescent="0.25">
      <c r="B63" s="18" t="str">
        <f>DU1</f>
        <v xml:space="preserve">Tabel 107 Nilai Tambah (Rp) berdasarkan Skala Usaha pada Jenis Kegiatan Pengumpul/Pedagang Besar/Distributor </v>
      </c>
    </row>
    <row r="64" spans="2:2" ht="10.199999999999999" customHeight="1" x14ac:dyDescent="0.25">
      <c r="B64" s="18" t="str">
        <f>EB1</f>
        <v xml:space="preserve">Tabel 108 Nilai Tambah (Rp) berdasarkan Skala Usaha pada Jenis Kegiatan Pengecer </v>
      </c>
    </row>
    <row r="67" spans="1:132" s="21" customFormat="1" ht="12" x14ac:dyDescent="0.25">
      <c r="A67" s="67" t="s">
        <v>0</v>
      </c>
      <c r="B67" s="67" t="s">
        <v>4</v>
      </c>
      <c r="C67" s="33" t="s">
        <v>442</v>
      </c>
    </row>
    <row r="68" spans="1:132" s="18" customFormat="1" ht="12" x14ac:dyDescent="0.25">
      <c r="A68" s="72">
        <v>1</v>
      </c>
      <c r="B68" s="69" t="s">
        <v>9</v>
      </c>
      <c r="C68" s="34">
        <f>C42</f>
        <v>6052973466.732893</v>
      </c>
      <c r="P68" s="21"/>
      <c r="AC68" s="21"/>
      <c r="AH68" s="21"/>
      <c r="AO68" s="21"/>
      <c r="AV68" s="21"/>
      <c r="BC68" s="21"/>
      <c r="BJ68" s="21"/>
      <c r="BQ68" s="21"/>
      <c r="BX68" s="21"/>
      <c r="CE68" s="21"/>
      <c r="CL68" s="21"/>
      <c r="CS68" s="21"/>
      <c r="CZ68" s="21"/>
      <c r="DG68" s="21"/>
      <c r="DN68" s="21"/>
      <c r="DU68" s="21"/>
      <c r="EB68" s="21"/>
    </row>
    <row r="69" spans="1:132" s="18" customFormat="1" ht="12" x14ac:dyDescent="0.25">
      <c r="A69" s="72">
        <v>2</v>
      </c>
      <c r="B69" s="69" t="s">
        <v>10</v>
      </c>
      <c r="C69" s="34">
        <f>D42</f>
        <v>1216938932063.208</v>
      </c>
      <c r="P69" s="21"/>
      <c r="AC69" s="21"/>
      <c r="AH69" s="21"/>
      <c r="AO69" s="21"/>
      <c r="AV69" s="21"/>
      <c r="BC69" s="21"/>
      <c r="BJ69" s="21"/>
      <c r="BQ69" s="21"/>
      <c r="BX69" s="21"/>
      <c r="CE69" s="21"/>
      <c r="CL69" s="21"/>
      <c r="CS69" s="21"/>
      <c r="CZ69" s="21"/>
      <c r="DG69" s="21"/>
      <c r="DN69" s="21"/>
      <c r="DU69" s="21"/>
      <c r="EB69" s="21"/>
    </row>
    <row r="70" spans="1:132" s="18" customFormat="1" ht="12" x14ac:dyDescent="0.25">
      <c r="A70" s="72">
        <v>3</v>
      </c>
      <c r="B70" s="69" t="s">
        <v>11</v>
      </c>
      <c r="C70" s="34">
        <f>E42</f>
        <v>3653435156520.6465</v>
      </c>
      <c r="P70" s="21"/>
      <c r="AC70" s="21"/>
      <c r="AH70" s="21"/>
      <c r="AO70" s="21"/>
      <c r="AV70" s="21"/>
      <c r="BC70" s="21"/>
      <c r="BJ70" s="21"/>
      <c r="BQ70" s="21"/>
      <c r="BX70" s="21"/>
      <c r="CE70" s="21"/>
      <c r="CL70" s="21"/>
      <c r="CS70" s="21"/>
      <c r="CZ70" s="21"/>
      <c r="DG70" s="21"/>
      <c r="DN70" s="21"/>
      <c r="DU70" s="21"/>
      <c r="EB70" s="21"/>
    </row>
    <row r="71" spans="1:132" s="18" customFormat="1" ht="12" x14ac:dyDescent="0.25">
      <c r="A71" s="72">
        <v>4</v>
      </c>
      <c r="B71" s="69" t="s">
        <v>12</v>
      </c>
      <c r="C71" s="34">
        <f>F42</f>
        <v>27633412989.78651</v>
      </c>
      <c r="P71" s="21"/>
      <c r="AC71" s="21"/>
      <c r="AH71" s="21"/>
      <c r="AO71" s="21"/>
      <c r="AV71" s="21"/>
      <c r="BC71" s="21"/>
      <c r="BJ71" s="21"/>
      <c r="BQ71" s="21"/>
      <c r="BX71" s="21"/>
      <c r="CE71" s="21"/>
      <c r="CL71" s="21"/>
      <c r="CS71" s="21"/>
      <c r="CZ71" s="21"/>
      <c r="DG71" s="21"/>
      <c r="DN71" s="21"/>
      <c r="DU71" s="21"/>
      <c r="EB71" s="21"/>
    </row>
    <row r="72" spans="1:132" s="18" customFormat="1" ht="12" x14ac:dyDescent="0.25">
      <c r="A72" s="72">
        <v>5</v>
      </c>
      <c r="B72" s="69" t="s">
        <v>13</v>
      </c>
      <c r="C72" s="34">
        <f>G42</f>
        <v>73627753681.376785</v>
      </c>
      <c r="P72" s="21"/>
      <c r="AC72" s="21"/>
      <c r="AH72" s="21"/>
      <c r="AO72" s="21"/>
      <c r="AV72" s="21"/>
      <c r="BC72" s="21"/>
      <c r="BJ72" s="21"/>
      <c r="BQ72" s="21"/>
      <c r="BX72" s="21"/>
      <c r="CE72" s="21"/>
      <c r="CL72" s="21"/>
      <c r="CS72" s="21"/>
      <c r="CZ72" s="21"/>
      <c r="DG72" s="21"/>
      <c r="DN72" s="21"/>
      <c r="DU72" s="21"/>
      <c r="EB72" s="21"/>
    </row>
    <row r="73" spans="1:132" s="18" customFormat="1" ht="12" x14ac:dyDescent="0.25">
      <c r="A73" s="72">
        <v>6</v>
      </c>
      <c r="B73" s="69" t="s">
        <v>14</v>
      </c>
      <c r="C73" s="34">
        <f>H42</f>
        <v>505343374262.19629</v>
      </c>
      <c r="P73" s="21"/>
      <c r="AC73" s="21"/>
      <c r="AH73" s="21"/>
      <c r="AO73" s="21"/>
      <c r="AV73" s="21"/>
      <c r="BC73" s="21"/>
      <c r="BJ73" s="21"/>
      <c r="BQ73" s="21"/>
      <c r="BX73" s="21"/>
      <c r="CE73" s="21"/>
      <c r="CL73" s="21"/>
      <c r="CS73" s="21"/>
      <c r="CZ73" s="21"/>
      <c r="DG73" s="21"/>
      <c r="DN73" s="21"/>
      <c r="DU73" s="21"/>
      <c r="EB73" s="21"/>
    </row>
    <row r="74" spans="1:132" s="18" customFormat="1" ht="12" x14ac:dyDescent="0.25">
      <c r="A74" s="72">
        <v>7</v>
      </c>
      <c r="B74" s="69" t="s">
        <v>15</v>
      </c>
      <c r="C74" s="34">
        <f>I42</f>
        <v>331494998679.98315</v>
      </c>
      <c r="P74" s="21"/>
      <c r="AC74" s="21"/>
      <c r="AH74" s="21"/>
      <c r="AO74" s="21"/>
      <c r="AV74" s="21"/>
      <c r="BC74" s="21"/>
      <c r="BJ74" s="21"/>
      <c r="BQ74" s="21"/>
      <c r="BX74" s="21"/>
      <c r="CE74" s="21"/>
      <c r="CL74" s="21"/>
      <c r="CS74" s="21"/>
      <c r="CZ74" s="21"/>
      <c r="DG74" s="21"/>
      <c r="DN74" s="21"/>
      <c r="DU74" s="21"/>
      <c r="EB74" s="21"/>
    </row>
    <row r="75" spans="1:132" s="18" customFormat="1" ht="12" x14ac:dyDescent="0.25">
      <c r="A75" s="72">
        <v>8</v>
      </c>
      <c r="B75" s="69" t="s">
        <v>19</v>
      </c>
      <c r="C75" s="34">
        <f>J42</f>
        <v>440600469649.61084</v>
      </c>
      <c r="P75" s="21"/>
      <c r="AC75" s="21"/>
      <c r="AH75" s="21"/>
      <c r="AO75" s="21"/>
      <c r="AV75" s="21"/>
      <c r="BC75" s="21"/>
      <c r="BJ75" s="21"/>
      <c r="BQ75" s="21"/>
      <c r="BX75" s="21"/>
      <c r="CE75" s="21"/>
      <c r="CL75" s="21"/>
      <c r="CS75" s="21"/>
      <c r="CZ75" s="21"/>
      <c r="DG75" s="21"/>
      <c r="DN75" s="21"/>
      <c r="DU75" s="21"/>
      <c r="EB75" s="21"/>
    </row>
    <row r="76" spans="1:132" s="18" customFormat="1" ht="12" x14ac:dyDescent="0.25">
      <c r="A76" s="72">
        <v>9</v>
      </c>
      <c r="B76" s="69" t="s">
        <v>17</v>
      </c>
      <c r="C76" s="34">
        <f>K42</f>
        <v>519683808054.68097</v>
      </c>
      <c r="P76" s="21"/>
      <c r="AC76" s="21"/>
      <c r="AH76" s="21"/>
      <c r="AO76" s="21"/>
      <c r="AV76" s="21"/>
      <c r="BC76" s="21"/>
      <c r="BJ76" s="21"/>
      <c r="BQ76" s="21"/>
      <c r="BX76" s="21"/>
      <c r="CE76" s="21"/>
      <c r="CL76" s="21"/>
      <c r="CS76" s="21"/>
      <c r="CZ76" s="21"/>
      <c r="DG76" s="21"/>
      <c r="DN76" s="21"/>
      <c r="DU76" s="21"/>
      <c r="EB76" s="21"/>
    </row>
    <row r="77" spans="1:132" s="18" customFormat="1" ht="12" x14ac:dyDescent="0.25">
      <c r="A77" s="72">
        <v>10</v>
      </c>
      <c r="B77" s="69" t="s">
        <v>18</v>
      </c>
      <c r="C77" s="34">
        <f>L42</f>
        <v>339043447606.09003</v>
      </c>
      <c r="P77" s="21"/>
      <c r="AC77" s="21"/>
      <c r="AH77" s="21"/>
      <c r="AO77" s="21"/>
      <c r="AV77" s="21"/>
      <c r="BC77" s="21"/>
      <c r="BJ77" s="21"/>
      <c r="BQ77" s="21"/>
      <c r="BX77" s="21"/>
      <c r="CE77" s="21"/>
      <c r="CL77" s="21"/>
      <c r="CS77" s="21"/>
      <c r="CZ77" s="21"/>
      <c r="DG77" s="21"/>
      <c r="DN77" s="21"/>
      <c r="DU77" s="21"/>
      <c r="EB77" s="21"/>
    </row>
    <row r="78" spans="1:132" s="18" customFormat="1" ht="12" x14ac:dyDescent="0.25">
      <c r="A78" s="72">
        <v>11</v>
      </c>
      <c r="B78" s="69" t="s">
        <v>20</v>
      </c>
      <c r="C78" s="34">
        <f>M42</f>
        <v>2016270234413.4829</v>
      </c>
      <c r="P78" s="21"/>
      <c r="AC78" s="21"/>
      <c r="AH78" s="21"/>
      <c r="AO78" s="21"/>
      <c r="AV78" s="21"/>
      <c r="BC78" s="21"/>
      <c r="BJ78" s="21"/>
      <c r="BQ78" s="21"/>
      <c r="BX78" s="21"/>
      <c r="CE78" s="21"/>
      <c r="CL78" s="21"/>
      <c r="CS78" s="21"/>
      <c r="CZ78" s="21"/>
      <c r="DG78" s="21"/>
      <c r="DN78" s="21"/>
      <c r="DU78" s="21"/>
      <c r="EB78" s="21"/>
    </row>
    <row r="79" spans="1:132" s="18" customFormat="1" ht="12" x14ac:dyDescent="0.25">
      <c r="A79" s="72">
        <v>12</v>
      </c>
      <c r="B79" s="69" t="s">
        <v>16</v>
      </c>
      <c r="C79" s="34">
        <f>N42</f>
        <v>2083636964934.3896</v>
      </c>
      <c r="P79" s="21"/>
      <c r="AC79" s="21"/>
      <c r="AH79" s="21"/>
      <c r="AO79" s="21"/>
      <c r="AV79" s="21"/>
      <c r="BC79" s="21"/>
      <c r="BJ79" s="21"/>
      <c r="BQ79" s="21"/>
      <c r="BX79" s="21"/>
      <c r="CE79" s="21"/>
      <c r="CL79" s="21"/>
      <c r="CS79" s="21"/>
      <c r="CZ79" s="21"/>
      <c r="DG79" s="21"/>
      <c r="DN79" s="21"/>
      <c r="DU79" s="21"/>
      <c r="EB79" s="21"/>
    </row>
    <row r="80" spans="1:132" s="18" customFormat="1" ht="12" x14ac:dyDescent="0.25">
      <c r="A80" s="72"/>
      <c r="B80" s="69" t="s">
        <v>400</v>
      </c>
      <c r="C80" s="34">
        <f>O42</f>
        <v>11213761526322.186</v>
      </c>
      <c r="D80" s="51">
        <f>SUM(C68:C79)</f>
        <v>11213761526322.184</v>
      </c>
      <c r="P80" s="21"/>
      <c r="AC80" s="21"/>
      <c r="AH80" s="21"/>
      <c r="AO80" s="21"/>
      <c r="AV80" s="21"/>
      <c r="BC80" s="21"/>
      <c r="BJ80" s="21"/>
      <c r="BQ80" s="21"/>
      <c r="BX80" s="21"/>
      <c r="CE80" s="21"/>
      <c r="CL80" s="21"/>
      <c r="CS80" s="21"/>
      <c r="CZ80" s="21"/>
      <c r="DG80" s="21"/>
      <c r="DN80" s="21"/>
      <c r="DU80" s="21"/>
      <c r="EB80" s="21"/>
    </row>
    <row r="81" spans="1:132" s="18" customFormat="1" ht="12" x14ac:dyDescent="0.25">
      <c r="A81" s="71"/>
      <c r="B81" s="66"/>
      <c r="C81" s="36"/>
      <c r="P81" s="21"/>
      <c r="AC81" s="21"/>
      <c r="AH81" s="21"/>
      <c r="AO81" s="21"/>
      <c r="AV81" s="21"/>
      <c r="BC81" s="21"/>
      <c r="BJ81" s="21"/>
      <c r="BQ81" s="21"/>
      <c r="BX81" s="21"/>
      <c r="CE81" s="21"/>
      <c r="CL81" s="21"/>
      <c r="CS81" s="21"/>
      <c r="CZ81" s="21"/>
      <c r="DG81" s="21"/>
      <c r="DN81" s="21"/>
      <c r="DU81" s="21"/>
      <c r="EB81" s="21"/>
    </row>
    <row r="82" spans="1:132" s="18" customFormat="1" ht="12" x14ac:dyDescent="0.25">
      <c r="A82" s="75"/>
      <c r="B82" s="75"/>
      <c r="C82" s="75"/>
      <c r="P82" s="21"/>
      <c r="AC82" s="21"/>
      <c r="AH82" s="21"/>
      <c r="AO82" s="21"/>
      <c r="AV82" s="21"/>
      <c r="BC82" s="21"/>
      <c r="BJ82" s="21"/>
      <c r="BQ82" s="21"/>
      <c r="BX82" s="21"/>
      <c r="CE82" s="21"/>
      <c r="CL82" s="21"/>
      <c r="CS82" s="21"/>
      <c r="CZ82" s="21"/>
      <c r="DG82" s="21"/>
      <c r="DN82" s="21"/>
      <c r="DU82" s="21"/>
      <c r="EB82" s="21"/>
    </row>
    <row r="83" spans="1:132" s="21" customFormat="1" ht="12" x14ac:dyDescent="0.25">
      <c r="A83" s="67" t="s">
        <v>0</v>
      </c>
      <c r="B83" s="67" t="s">
        <v>2</v>
      </c>
      <c r="C83" s="33" t="s">
        <v>442</v>
      </c>
    </row>
    <row r="84" spans="1:132" s="18" customFormat="1" ht="12" x14ac:dyDescent="0.25">
      <c r="A84" s="72">
        <v>1</v>
      </c>
      <c r="B84" s="69" t="s">
        <v>5</v>
      </c>
      <c r="C84" s="34">
        <f>AJ42</f>
        <v>1416457952026.8645</v>
      </c>
      <c r="P84" s="21"/>
      <c r="AC84" s="21"/>
      <c r="AH84" s="21"/>
      <c r="AO84" s="21"/>
      <c r="AV84" s="21"/>
      <c r="BC84" s="21"/>
      <c r="BJ84" s="21"/>
      <c r="BQ84" s="21"/>
      <c r="BX84" s="21"/>
      <c r="CE84" s="21"/>
      <c r="CL84" s="21"/>
      <c r="CS84" s="21"/>
      <c r="CZ84" s="21"/>
      <c r="DG84" s="21"/>
      <c r="DN84" s="21"/>
      <c r="DU84" s="21"/>
      <c r="EB84" s="21"/>
    </row>
    <row r="85" spans="1:132" s="18" customFormat="1" ht="12" x14ac:dyDescent="0.25">
      <c r="A85" s="72">
        <v>2</v>
      </c>
      <c r="B85" s="69" t="s">
        <v>6</v>
      </c>
      <c r="C85" s="34">
        <f>AK42</f>
        <v>1681851704711.7751</v>
      </c>
      <c r="P85" s="21"/>
      <c r="AC85" s="21"/>
      <c r="AH85" s="21"/>
      <c r="AO85" s="21"/>
      <c r="AV85" s="21"/>
      <c r="BC85" s="21"/>
      <c r="BJ85" s="21"/>
      <c r="BQ85" s="21"/>
      <c r="BX85" s="21"/>
      <c r="CE85" s="21"/>
      <c r="CL85" s="21"/>
      <c r="CS85" s="21"/>
      <c r="CZ85" s="21"/>
      <c r="DG85" s="21"/>
      <c r="DN85" s="21"/>
      <c r="DU85" s="21"/>
      <c r="EB85" s="21"/>
    </row>
    <row r="86" spans="1:132" s="18" customFormat="1" ht="12" x14ac:dyDescent="0.25">
      <c r="A86" s="72">
        <v>3</v>
      </c>
      <c r="B86" s="69" t="s">
        <v>7</v>
      </c>
      <c r="C86" s="34">
        <f>AL42</f>
        <v>1704848717622.4529</v>
      </c>
      <c r="P86" s="21"/>
      <c r="AC86" s="21"/>
      <c r="AH86" s="21"/>
      <c r="AO86" s="21"/>
      <c r="AV86" s="21"/>
      <c r="BC86" s="21"/>
      <c r="BJ86" s="21"/>
      <c r="BQ86" s="21"/>
      <c r="BX86" s="21"/>
      <c r="CE86" s="21"/>
      <c r="CL86" s="21"/>
      <c r="CS86" s="21"/>
      <c r="CZ86" s="21"/>
      <c r="DG86" s="21"/>
      <c r="DN86" s="21"/>
      <c r="DU86" s="21"/>
      <c r="EB86" s="21"/>
    </row>
    <row r="87" spans="1:132" s="18" customFormat="1" ht="12" x14ac:dyDescent="0.25">
      <c r="A87" s="72">
        <v>4</v>
      </c>
      <c r="B87" s="69" t="s">
        <v>8</v>
      </c>
      <c r="C87" s="34">
        <f>AM42</f>
        <v>6410603151961.0928</v>
      </c>
      <c r="P87" s="21"/>
      <c r="AC87" s="21"/>
      <c r="AH87" s="21"/>
      <c r="AO87" s="21"/>
      <c r="AV87" s="21"/>
      <c r="BC87" s="21"/>
      <c r="BJ87" s="21"/>
      <c r="BQ87" s="21"/>
      <c r="BX87" s="21"/>
      <c r="CE87" s="21"/>
      <c r="CL87" s="21"/>
      <c r="CS87" s="21"/>
      <c r="CZ87" s="21"/>
      <c r="DG87" s="21"/>
      <c r="DN87" s="21"/>
      <c r="DU87" s="21"/>
      <c r="EB87" s="21"/>
    </row>
    <row r="88" spans="1:132" s="18" customFormat="1" ht="12" x14ac:dyDescent="0.25">
      <c r="A88" s="72"/>
      <c r="B88" s="69" t="s">
        <v>400</v>
      </c>
      <c r="C88" s="34">
        <f>AN42</f>
        <v>11213761526322.184</v>
      </c>
      <c r="D88" s="51">
        <f>SUM(C84:C87)</f>
        <v>11213761526322.186</v>
      </c>
      <c r="P88" s="21"/>
      <c r="AC88" s="21"/>
      <c r="AH88" s="21"/>
      <c r="AO88" s="21"/>
      <c r="AV88" s="21"/>
      <c r="BC88" s="21"/>
      <c r="BJ88" s="21"/>
      <c r="BQ88" s="21"/>
      <c r="BX88" s="21"/>
      <c r="CE88" s="21"/>
      <c r="CL88" s="21"/>
      <c r="CS88" s="21"/>
      <c r="CZ88" s="21"/>
      <c r="DG88" s="21"/>
      <c r="DN88" s="21"/>
      <c r="DU88" s="21"/>
      <c r="EB88" s="21"/>
    </row>
    <row r="89" spans="1:132" s="18" customFormat="1" ht="12" x14ac:dyDescent="0.25">
      <c r="A89" s="71"/>
      <c r="B89" s="66"/>
      <c r="C89" s="66"/>
      <c r="D89" s="66"/>
      <c r="P89" s="21"/>
      <c r="AC89" s="21"/>
      <c r="AH89" s="21"/>
      <c r="AO89" s="21"/>
      <c r="AV89" s="21"/>
      <c r="BC89" s="21"/>
      <c r="BJ89" s="21"/>
      <c r="BQ89" s="21"/>
      <c r="BX89" s="21"/>
      <c r="CE89" s="21"/>
      <c r="CL89" s="21"/>
      <c r="CS89" s="21"/>
      <c r="CZ89" s="21"/>
      <c r="DG89" s="21"/>
      <c r="DN89" s="21"/>
      <c r="DU89" s="21"/>
      <c r="EB89" s="21"/>
    </row>
    <row r="90" spans="1:132" s="18" customFormat="1" ht="12" x14ac:dyDescent="0.25">
      <c r="A90" s="21"/>
      <c r="P90" s="21"/>
      <c r="AC90" s="21"/>
      <c r="AH90" s="21"/>
      <c r="AO90" s="21"/>
      <c r="AV90" s="21"/>
      <c r="BC90" s="21"/>
      <c r="BJ90" s="21"/>
      <c r="BQ90" s="21"/>
      <c r="BX90" s="21"/>
      <c r="CE90" s="21"/>
      <c r="CL90" s="21"/>
      <c r="CS90" s="21"/>
      <c r="CZ90" s="21"/>
      <c r="DG90" s="21"/>
      <c r="DN90" s="21"/>
      <c r="DU90" s="21"/>
      <c r="EB90" s="21"/>
    </row>
    <row r="91" spans="1:132" s="79" customFormat="1" ht="12" x14ac:dyDescent="0.3">
      <c r="A91" s="84" t="s">
        <v>0</v>
      </c>
      <c r="B91" s="84" t="s">
        <v>60</v>
      </c>
      <c r="C91" s="33" t="s">
        <v>442</v>
      </c>
    </row>
    <row r="92" spans="1:132" s="18" customFormat="1" ht="12" x14ac:dyDescent="0.25">
      <c r="A92" s="72">
        <v>1</v>
      </c>
      <c r="B92" s="69" t="s">
        <v>401</v>
      </c>
      <c r="C92" s="34">
        <f>O4</f>
        <v>62790227058.884315</v>
      </c>
      <c r="P92" s="21"/>
      <c r="AC92" s="21"/>
      <c r="AH92" s="21"/>
      <c r="AO92" s="21"/>
      <c r="AV92" s="21"/>
      <c r="BC92" s="21"/>
      <c r="BJ92" s="21"/>
      <c r="BQ92" s="21"/>
      <c r="BX92" s="21"/>
      <c r="CE92" s="21"/>
      <c r="CL92" s="21"/>
      <c r="CS92" s="21"/>
      <c r="CZ92" s="21"/>
      <c r="DG92" s="21"/>
      <c r="DN92" s="21"/>
      <c r="DU92" s="21"/>
      <c r="EB92" s="21"/>
    </row>
    <row r="93" spans="1:132" s="18" customFormat="1" ht="12" x14ac:dyDescent="0.25">
      <c r="A93" s="72">
        <v>2</v>
      </c>
      <c r="B93" s="69" t="s">
        <v>402</v>
      </c>
      <c r="C93" s="34">
        <f t="shared" ref="C93:C120" si="35">O5</f>
        <v>24901895024.301239</v>
      </c>
      <c r="P93" s="21"/>
      <c r="AC93" s="21"/>
      <c r="AH93" s="21"/>
      <c r="AO93" s="21"/>
      <c r="AV93" s="21"/>
      <c r="BC93" s="21"/>
      <c r="BJ93" s="21"/>
      <c r="BQ93" s="21"/>
      <c r="BX93" s="21"/>
      <c r="CE93" s="21"/>
      <c r="CL93" s="21"/>
      <c r="CS93" s="21"/>
      <c r="CZ93" s="21"/>
      <c r="DG93" s="21"/>
      <c r="DN93" s="21"/>
      <c r="DU93" s="21"/>
      <c r="EB93" s="21"/>
    </row>
    <row r="94" spans="1:132" s="18" customFormat="1" ht="12" x14ac:dyDescent="0.25">
      <c r="A94" s="72">
        <v>3</v>
      </c>
      <c r="B94" s="69" t="s">
        <v>403</v>
      </c>
      <c r="C94" s="34">
        <f t="shared" si="35"/>
        <v>398419893709.97485</v>
      </c>
      <c r="P94" s="21"/>
      <c r="AC94" s="21"/>
      <c r="AH94" s="21"/>
      <c r="AO94" s="21"/>
      <c r="AV94" s="21"/>
      <c r="BC94" s="21"/>
      <c r="BJ94" s="21"/>
      <c r="BQ94" s="21"/>
      <c r="BX94" s="21"/>
      <c r="CE94" s="21"/>
      <c r="CL94" s="21"/>
      <c r="CS94" s="21"/>
      <c r="CZ94" s="21"/>
      <c r="DG94" s="21"/>
      <c r="DN94" s="21"/>
      <c r="DU94" s="21"/>
      <c r="EB94" s="21"/>
    </row>
    <row r="95" spans="1:132" s="18" customFormat="1" ht="12" x14ac:dyDescent="0.25">
      <c r="A95" s="72">
        <v>4</v>
      </c>
      <c r="B95" s="69" t="s">
        <v>404</v>
      </c>
      <c r="C95" s="34">
        <f t="shared" si="35"/>
        <v>114406869864.17506</v>
      </c>
      <c r="P95" s="21"/>
      <c r="AC95" s="21"/>
      <c r="AH95" s="21"/>
      <c r="AO95" s="21"/>
      <c r="AV95" s="21"/>
      <c r="BC95" s="21"/>
      <c r="BJ95" s="21"/>
      <c r="BQ95" s="21"/>
      <c r="BX95" s="21"/>
      <c r="CE95" s="21"/>
      <c r="CL95" s="21"/>
      <c r="CS95" s="21"/>
      <c r="CZ95" s="21"/>
      <c r="DG95" s="21"/>
      <c r="DN95" s="21"/>
      <c r="DU95" s="21"/>
      <c r="EB95" s="21"/>
    </row>
    <row r="96" spans="1:132" s="18" customFormat="1" ht="12" x14ac:dyDescent="0.25">
      <c r="A96" s="72">
        <v>5</v>
      </c>
      <c r="B96" s="69" t="s">
        <v>405</v>
      </c>
      <c r="C96" s="34">
        <f t="shared" si="35"/>
        <v>33580020245.9207</v>
      </c>
      <c r="P96" s="21"/>
      <c r="AC96" s="21"/>
      <c r="AH96" s="21"/>
      <c r="AO96" s="21"/>
      <c r="AV96" s="21"/>
      <c r="BC96" s="21"/>
      <c r="BJ96" s="21"/>
      <c r="BQ96" s="21"/>
      <c r="BX96" s="21"/>
      <c r="CE96" s="21"/>
      <c r="CL96" s="21"/>
      <c r="CS96" s="21"/>
      <c r="CZ96" s="21"/>
      <c r="DG96" s="21"/>
      <c r="DN96" s="21"/>
      <c r="DU96" s="21"/>
      <c r="EB96" s="21"/>
    </row>
    <row r="97" spans="1:132" s="18" customFormat="1" ht="12" x14ac:dyDescent="0.25">
      <c r="A97" s="72">
        <v>6</v>
      </c>
      <c r="B97" s="69" t="s">
        <v>406</v>
      </c>
      <c r="C97" s="34">
        <f t="shared" si="35"/>
        <v>15927453731.110037</v>
      </c>
      <c r="P97" s="21"/>
      <c r="AC97" s="21"/>
      <c r="AH97" s="21"/>
      <c r="AO97" s="21"/>
      <c r="AV97" s="21"/>
      <c r="BC97" s="21"/>
      <c r="BJ97" s="21"/>
      <c r="BQ97" s="21"/>
      <c r="BX97" s="21"/>
      <c r="CE97" s="21"/>
      <c r="CL97" s="21"/>
      <c r="CS97" s="21"/>
      <c r="CZ97" s="21"/>
      <c r="DG97" s="21"/>
      <c r="DN97" s="21"/>
      <c r="DU97" s="21"/>
      <c r="EB97" s="21"/>
    </row>
    <row r="98" spans="1:132" s="18" customFormat="1" ht="12" x14ac:dyDescent="0.25">
      <c r="A98" s="72">
        <v>7</v>
      </c>
      <c r="B98" s="69" t="s">
        <v>407</v>
      </c>
      <c r="C98" s="34">
        <f t="shared" si="35"/>
        <v>335181841551.60651</v>
      </c>
      <c r="P98" s="21"/>
      <c r="AC98" s="21"/>
      <c r="AH98" s="21"/>
      <c r="AO98" s="21"/>
      <c r="AV98" s="21"/>
      <c r="BC98" s="21"/>
      <c r="BJ98" s="21"/>
      <c r="BQ98" s="21"/>
      <c r="BX98" s="21"/>
      <c r="CE98" s="21"/>
      <c r="CL98" s="21"/>
      <c r="CS98" s="21"/>
      <c r="CZ98" s="21"/>
      <c r="DG98" s="21"/>
      <c r="DN98" s="21"/>
      <c r="DU98" s="21"/>
      <c r="EB98" s="21"/>
    </row>
    <row r="99" spans="1:132" s="18" customFormat="1" ht="12" x14ac:dyDescent="0.25">
      <c r="A99" s="72">
        <v>8</v>
      </c>
      <c r="B99" s="69" t="s">
        <v>408</v>
      </c>
      <c r="C99" s="34">
        <f t="shared" si="35"/>
        <v>112762237979.68242</v>
      </c>
      <c r="P99" s="21"/>
      <c r="AC99" s="21"/>
      <c r="AH99" s="21"/>
      <c r="AO99" s="21"/>
      <c r="AV99" s="21"/>
      <c r="BC99" s="21"/>
      <c r="BJ99" s="21"/>
      <c r="BQ99" s="21"/>
      <c r="BX99" s="21"/>
      <c r="CE99" s="21"/>
      <c r="CL99" s="21"/>
      <c r="CS99" s="21"/>
      <c r="CZ99" s="21"/>
      <c r="DG99" s="21"/>
      <c r="DN99" s="21"/>
      <c r="DU99" s="21"/>
      <c r="EB99" s="21"/>
    </row>
    <row r="100" spans="1:132" s="18" customFormat="1" ht="12" x14ac:dyDescent="0.25">
      <c r="A100" s="72">
        <v>9</v>
      </c>
      <c r="B100" s="69" t="s">
        <v>409</v>
      </c>
      <c r="C100" s="34">
        <f t="shared" si="35"/>
        <v>123788555672.29135</v>
      </c>
      <c r="P100" s="21"/>
      <c r="AC100" s="21"/>
      <c r="AH100" s="21"/>
      <c r="AO100" s="21"/>
      <c r="AV100" s="21"/>
      <c r="BC100" s="21"/>
      <c r="BJ100" s="21"/>
      <c r="BQ100" s="21"/>
      <c r="BX100" s="21"/>
      <c r="CE100" s="21"/>
      <c r="CL100" s="21"/>
      <c r="CS100" s="21"/>
      <c r="CZ100" s="21"/>
      <c r="DG100" s="21"/>
      <c r="DN100" s="21"/>
      <c r="DU100" s="21"/>
      <c r="EB100" s="21"/>
    </row>
    <row r="101" spans="1:132" s="18" customFormat="1" ht="12" x14ac:dyDescent="0.25">
      <c r="A101" s="72">
        <v>10</v>
      </c>
      <c r="B101" s="69" t="s">
        <v>410</v>
      </c>
      <c r="C101" s="34">
        <f t="shared" si="35"/>
        <v>1289066815380.741</v>
      </c>
      <c r="P101" s="21"/>
      <c r="AC101" s="21"/>
      <c r="AH101" s="21"/>
      <c r="AO101" s="21"/>
      <c r="AV101" s="21"/>
      <c r="BC101" s="21"/>
      <c r="BJ101" s="21"/>
      <c r="BQ101" s="21"/>
      <c r="BX101" s="21"/>
      <c r="CE101" s="21"/>
      <c r="CL101" s="21"/>
      <c r="CS101" s="21"/>
      <c r="CZ101" s="21"/>
      <c r="DG101" s="21"/>
      <c r="DN101" s="21"/>
      <c r="DU101" s="21"/>
      <c r="EB101" s="21"/>
    </row>
    <row r="102" spans="1:132" s="18" customFormat="1" ht="12" x14ac:dyDescent="0.25">
      <c r="A102" s="72">
        <v>11</v>
      </c>
      <c r="B102" s="69" t="s">
        <v>411</v>
      </c>
      <c r="C102" s="34">
        <f t="shared" si="35"/>
        <v>1663107988.5035746</v>
      </c>
      <c r="P102" s="21"/>
      <c r="AC102" s="21"/>
      <c r="AH102" s="21"/>
      <c r="AO102" s="21"/>
      <c r="AV102" s="21"/>
      <c r="BC102" s="21"/>
      <c r="BJ102" s="21"/>
      <c r="BQ102" s="21"/>
      <c r="BX102" s="21"/>
      <c r="CE102" s="21"/>
      <c r="CL102" s="21"/>
      <c r="CS102" s="21"/>
      <c r="CZ102" s="21"/>
      <c r="DG102" s="21"/>
      <c r="DN102" s="21"/>
      <c r="DU102" s="21"/>
      <c r="EB102" s="21"/>
    </row>
    <row r="103" spans="1:132" s="18" customFormat="1" ht="12" x14ac:dyDescent="0.25">
      <c r="A103" s="72">
        <v>12</v>
      </c>
      <c r="B103" s="69" t="s">
        <v>412</v>
      </c>
      <c r="C103" s="34">
        <f t="shared" si="35"/>
        <v>2171499514359.4902</v>
      </c>
      <c r="P103" s="21"/>
      <c r="AC103" s="21"/>
      <c r="AH103" s="21"/>
      <c r="AO103" s="21"/>
      <c r="AV103" s="21"/>
      <c r="BC103" s="21"/>
      <c r="BJ103" s="21"/>
      <c r="BQ103" s="21"/>
      <c r="BX103" s="21"/>
      <c r="CE103" s="21"/>
      <c r="CL103" s="21"/>
      <c r="CS103" s="21"/>
      <c r="CZ103" s="21"/>
      <c r="DG103" s="21"/>
      <c r="DN103" s="21"/>
      <c r="DU103" s="21"/>
      <c r="EB103" s="21"/>
    </row>
    <row r="104" spans="1:132" s="18" customFormat="1" ht="12" x14ac:dyDescent="0.25">
      <c r="A104" s="72">
        <v>13</v>
      </c>
      <c r="B104" s="69" t="s">
        <v>413</v>
      </c>
      <c r="C104" s="34">
        <v>128517128014.30701</v>
      </c>
      <c r="D104" s="18">
        <v>-128517128014.30678</v>
      </c>
      <c r="P104" s="21"/>
      <c r="AC104" s="21"/>
      <c r="AH104" s="21"/>
      <c r="AO104" s="21"/>
      <c r="AV104" s="21"/>
      <c r="BC104" s="21"/>
      <c r="BJ104" s="21"/>
      <c r="BQ104" s="21"/>
      <c r="BX104" s="21"/>
      <c r="CE104" s="21"/>
      <c r="CL104" s="21"/>
      <c r="CS104" s="21"/>
      <c r="CZ104" s="21"/>
      <c r="DG104" s="21"/>
      <c r="DN104" s="21"/>
      <c r="DU104" s="21"/>
      <c r="EB104" s="21"/>
    </row>
    <row r="105" spans="1:132" s="18" customFormat="1" ht="12" x14ac:dyDescent="0.25">
      <c r="A105" s="72">
        <v>14</v>
      </c>
      <c r="B105" s="69" t="s">
        <v>414</v>
      </c>
      <c r="C105" s="34">
        <f t="shared" si="35"/>
        <v>1000166405828.8448</v>
      </c>
      <c r="P105" s="21"/>
      <c r="AC105" s="21"/>
      <c r="AH105" s="21"/>
      <c r="AO105" s="21"/>
      <c r="AV105" s="21"/>
      <c r="BC105" s="21"/>
      <c r="BJ105" s="21"/>
      <c r="BQ105" s="21"/>
      <c r="BX105" s="21"/>
      <c r="CE105" s="21"/>
      <c r="CL105" s="21"/>
      <c r="CS105" s="21"/>
      <c r="CZ105" s="21"/>
      <c r="DG105" s="21"/>
      <c r="DN105" s="21"/>
      <c r="DU105" s="21"/>
      <c r="EB105" s="21"/>
    </row>
    <row r="106" spans="1:132" s="18" customFormat="1" ht="12" x14ac:dyDescent="0.25">
      <c r="A106" s="72">
        <v>15</v>
      </c>
      <c r="B106" s="69" t="s">
        <v>415</v>
      </c>
      <c r="C106" s="34">
        <f t="shared" si="35"/>
        <v>1302556620728.0679</v>
      </c>
      <c r="P106" s="21"/>
      <c r="AC106" s="21"/>
      <c r="AH106" s="21"/>
      <c r="AO106" s="21"/>
      <c r="AV106" s="21"/>
      <c r="BC106" s="21"/>
      <c r="BJ106" s="21"/>
      <c r="BQ106" s="21"/>
      <c r="BX106" s="21"/>
      <c r="CE106" s="21"/>
      <c r="CL106" s="21"/>
      <c r="CS106" s="21"/>
      <c r="CZ106" s="21"/>
      <c r="DG106" s="21"/>
      <c r="DN106" s="21"/>
      <c r="DU106" s="21"/>
      <c r="EB106" s="21"/>
    </row>
    <row r="107" spans="1:132" s="18" customFormat="1" ht="12" x14ac:dyDescent="0.25">
      <c r="A107" s="72">
        <v>16</v>
      </c>
      <c r="B107" s="69" t="s">
        <v>416</v>
      </c>
      <c r="C107" s="34">
        <f t="shared" si="35"/>
        <v>86150998802.675446</v>
      </c>
      <c r="P107" s="21"/>
      <c r="AC107" s="21"/>
      <c r="AH107" s="21"/>
      <c r="AO107" s="21"/>
      <c r="AV107" s="21"/>
      <c r="BC107" s="21"/>
      <c r="BJ107" s="21"/>
      <c r="BQ107" s="21"/>
      <c r="BX107" s="21"/>
      <c r="CE107" s="21"/>
      <c r="CL107" s="21"/>
      <c r="CS107" s="21"/>
      <c r="CZ107" s="21"/>
      <c r="DG107" s="21"/>
      <c r="DN107" s="21"/>
      <c r="DU107" s="21"/>
      <c r="EB107" s="21"/>
    </row>
    <row r="108" spans="1:132" s="18" customFormat="1" ht="12" x14ac:dyDescent="0.25">
      <c r="A108" s="72">
        <v>17</v>
      </c>
      <c r="B108" s="69" t="s">
        <v>417</v>
      </c>
      <c r="C108" s="34">
        <f t="shared" si="35"/>
        <v>3712401289.5037961</v>
      </c>
      <c r="P108" s="21"/>
      <c r="AC108" s="21"/>
      <c r="AH108" s="21"/>
      <c r="AO108" s="21"/>
      <c r="AV108" s="21"/>
      <c r="BC108" s="21"/>
      <c r="BJ108" s="21"/>
      <c r="BQ108" s="21"/>
      <c r="BX108" s="21"/>
      <c r="CE108" s="21"/>
      <c r="CL108" s="21"/>
      <c r="CS108" s="21"/>
      <c r="CZ108" s="21"/>
      <c r="DG108" s="21"/>
      <c r="DN108" s="21"/>
      <c r="DU108" s="21"/>
      <c r="EB108" s="21"/>
    </row>
    <row r="109" spans="1:132" s="18" customFormat="1" ht="12" x14ac:dyDescent="0.25">
      <c r="A109" s="72">
        <v>18</v>
      </c>
      <c r="B109" s="69" t="s">
        <v>418</v>
      </c>
      <c r="C109" s="34">
        <f t="shared" si="35"/>
        <v>4936680893.084549</v>
      </c>
      <c r="P109" s="21"/>
      <c r="AC109" s="21"/>
      <c r="AH109" s="21"/>
      <c r="AO109" s="21"/>
      <c r="AV109" s="21"/>
      <c r="BC109" s="21"/>
      <c r="BJ109" s="21"/>
      <c r="BQ109" s="21"/>
      <c r="BX109" s="21"/>
      <c r="CE109" s="21"/>
      <c r="CL109" s="21"/>
      <c r="CS109" s="21"/>
      <c r="CZ109" s="21"/>
      <c r="DG109" s="21"/>
      <c r="DN109" s="21"/>
      <c r="DU109" s="21"/>
      <c r="EB109" s="21"/>
    </row>
    <row r="110" spans="1:132" s="18" customFormat="1" ht="12" x14ac:dyDescent="0.25">
      <c r="A110" s="72">
        <v>19</v>
      </c>
      <c r="B110" s="69" t="s">
        <v>419</v>
      </c>
      <c r="C110" s="34">
        <f t="shared" si="35"/>
        <v>20324700780.641651</v>
      </c>
      <c r="P110" s="21"/>
      <c r="AC110" s="21"/>
      <c r="AH110" s="21"/>
      <c r="AO110" s="21"/>
      <c r="AV110" s="21"/>
      <c r="BC110" s="21"/>
      <c r="BJ110" s="21"/>
      <c r="BQ110" s="21"/>
      <c r="BX110" s="21"/>
      <c r="CE110" s="21"/>
      <c r="CL110" s="21"/>
      <c r="CS110" s="21"/>
      <c r="CZ110" s="21"/>
      <c r="DG110" s="21"/>
      <c r="DN110" s="21"/>
      <c r="DU110" s="21"/>
      <c r="EB110" s="21"/>
    </row>
    <row r="111" spans="1:132" s="18" customFormat="1" ht="12" x14ac:dyDescent="0.25">
      <c r="A111" s="72">
        <v>20</v>
      </c>
      <c r="B111" s="69" t="s">
        <v>420</v>
      </c>
      <c r="C111" s="34">
        <f t="shared" si="35"/>
        <v>11749223886.188931</v>
      </c>
      <c r="P111" s="21"/>
      <c r="AC111" s="21"/>
      <c r="AH111" s="21"/>
      <c r="AO111" s="21"/>
      <c r="AV111" s="21"/>
      <c r="BC111" s="21"/>
      <c r="BJ111" s="21"/>
      <c r="BQ111" s="21"/>
      <c r="BX111" s="21"/>
      <c r="CE111" s="21"/>
      <c r="CL111" s="21"/>
      <c r="CS111" s="21"/>
      <c r="CZ111" s="21"/>
      <c r="DG111" s="21"/>
      <c r="DN111" s="21"/>
      <c r="DU111" s="21"/>
      <c r="EB111" s="21"/>
    </row>
    <row r="112" spans="1:132" s="18" customFormat="1" ht="12" x14ac:dyDescent="0.25">
      <c r="A112" s="72">
        <v>21</v>
      </c>
      <c r="B112" s="69" t="s">
        <v>421</v>
      </c>
      <c r="C112" s="34">
        <f t="shared" si="35"/>
        <v>1103852302112.8542</v>
      </c>
      <c r="P112" s="21"/>
      <c r="AC112" s="21"/>
      <c r="AH112" s="21"/>
      <c r="AO112" s="21"/>
      <c r="AV112" s="21"/>
      <c r="BC112" s="21"/>
      <c r="BJ112" s="21"/>
      <c r="BQ112" s="21"/>
      <c r="BX112" s="21"/>
      <c r="CE112" s="21"/>
      <c r="CL112" s="21"/>
      <c r="CS112" s="21"/>
      <c r="CZ112" s="21"/>
      <c r="DG112" s="21"/>
      <c r="DN112" s="21"/>
      <c r="DU112" s="21"/>
      <c r="EB112" s="21"/>
    </row>
    <row r="113" spans="1:132" s="18" customFormat="1" ht="12" x14ac:dyDescent="0.25">
      <c r="A113" s="72">
        <v>22</v>
      </c>
      <c r="B113" s="69" t="s">
        <v>422</v>
      </c>
      <c r="C113" s="34">
        <f t="shared" si="35"/>
        <v>13179842782.588078</v>
      </c>
      <c r="P113" s="21"/>
      <c r="AC113" s="21"/>
      <c r="AH113" s="21"/>
      <c r="AO113" s="21"/>
      <c r="AV113" s="21"/>
      <c r="BC113" s="21"/>
      <c r="BJ113" s="21"/>
      <c r="BQ113" s="21"/>
      <c r="BX113" s="21"/>
      <c r="CE113" s="21"/>
      <c r="CL113" s="21"/>
      <c r="CS113" s="21"/>
      <c r="CZ113" s="21"/>
      <c r="DG113" s="21"/>
      <c r="DN113" s="21"/>
      <c r="DU113" s="21"/>
      <c r="EB113" s="21"/>
    </row>
    <row r="114" spans="1:132" s="18" customFormat="1" ht="12" x14ac:dyDescent="0.25">
      <c r="A114" s="72">
        <v>23</v>
      </c>
      <c r="B114" s="69" t="s">
        <v>423</v>
      </c>
      <c r="C114" s="34">
        <f t="shared" si="35"/>
        <v>212941823009.21317</v>
      </c>
      <c r="P114" s="21"/>
      <c r="AC114" s="21"/>
      <c r="AH114" s="21"/>
      <c r="AO114" s="21"/>
      <c r="AV114" s="21"/>
      <c r="BC114" s="21"/>
      <c r="BJ114" s="21"/>
      <c r="BQ114" s="21"/>
      <c r="BX114" s="21"/>
      <c r="CE114" s="21"/>
      <c r="CL114" s="21"/>
      <c r="CS114" s="21"/>
      <c r="CZ114" s="21"/>
      <c r="DG114" s="21"/>
      <c r="DN114" s="21"/>
      <c r="DU114" s="21"/>
      <c r="EB114" s="21"/>
    </row>
    <row r="115" spans="1:132" s="18" customFormat="1" ht="12" x14ac:dyDescent="0.25">
      <c r="A115" s="72">
        <v>24</v>
      </c>
      <c r="B115" s="69" t="s">
        <v>424</v>
      </c>
      <c r="C115" s="34">
        <f t="shared" si="35"/>
        <v>414446323713.25964</v>
      </c>
      <c r="P115" s="21"/>
      <c r="AC115" s="21"/>
      <c r="AH115" s="21"/>
      <c r="AO115" s="21"/>
      <c r="AV115" s="21"/>
      <c r="BC115" s="21"/>
      <c r="BJ115" s="21"/>
      <c r="BQ115" s="21"/>
      <c r="BX115" s="21"/>
      <c r="CE115" s="21"/>
      <c r="CL115" s="21"/>
      <c r="CS115" s="21"/>
      <c r="CZ115" s="21"/>
      <c r="DG115" s="21"/>
      <c r="DN115" s="21"/>
      <c r="DU115" s="21"/>
      <c r="EB115" s="21"/>
    </row>
    <row r="116" spans="1:132" s="18" customFormat="1" ht="12" x14ac:dyDescent="0.25">
      <c r="A116" s="72">
        <v>25</v>
      </c>
      <c r="B116" s="69" t="s">
        <v>425</v>
      </c>
      <c r="C116" s="34">
        <f t="shared" si="35"/>
        <v>171540510972.28387</v>
      </c>
      <c r="P116" s="21"/>
      <c r="AC116" s="21"/>
      <c r="AH116" s="21"/>
      <c r="AO116" s="21"/>
      <c r="AV116" s="21"/>
      <c r="BC116" s="21"/>
      <c r="BJ116" s="21"/>
      <c r="BQ116" s="21"/>
      <c r="BX116" s="21"/>
      <c r="CE116" s="21"/>
      <c r="CL116" s="21"/>
      <c r="CS116" s="21"/>
      <c r="CZ116" s="21"/>
      <c r="DG116" s="21"/>
      <c r="DN116" s="21"/>
      <c r="DU116" s="21"/>
      <c r="EB116" s="21"/>
    </row>
    <row r="117" spans="1:132" s="18" customFormat="1" ht="12" x14ac:dyDescent="0.25">
      <c r="A117" s="72">
        <v>26</v>
      </c>
      <c r="B117" s="69" t="s">
        <v>426</v>
      </c>
      <c r="C117" s="34">
        <f t="shared" si="35"/>
        <v>15514826597.337414</v>
      </c>
      <c r="P117" s="21"/>
      <c r="AC117" s="21"/>
      <c r="AH117" s="21"/>
      <c r="AO117" s="21"/>
      <c r="AV117" s="21"/>
      <c r="BC117" s="21"/>
      <c r="BJ117" s="21"/>
      <c r="BQ117" s="21"/>
      <c r="BX117" s="21"/>
      <c r="CE117" s="21"/>
      <c r="CL117" s="21"/>
      <c r="CS117" s="21"/>
      <c r="CZ117" s="21"/>
      <c r="DG117" s="21"/>
      <c r="DN117" s="21"/>
      <c r="DU117" s="21"/>
      <c r="EB117" s="21"/>
    </row>
    <row r="118" spans="1:132" s="18" customFormat="1" ht="12" x14ac:dyDescent="0.25">
      <c r="A118" s="72">
        <v>27</v>
      </c>
      <c r="B118" s="69" t="s">
        <v>427</v>
      </c>
      <c r="C118" s="34">
        <f t="shared" si="35"/>
        <v>80381982487.649109</v>
      </c>
      <c r="P118" s="21"/>
      <c r="AC118" s="21"/>
      <c r="AH118" s="21"/>
      <c r="AO118" s="21"/>
      <c r="AV118" s="21"/>
      <c r="BC118" s="21"/>
      <c r="BJ118" s="21"/>
      <c r="BQ118" s="21"/>
      <c r="BX118" s="21"/>
      <c r="CE118" s="21"/>
      <c r="CL118" s="21"/>
      <c r="CS118" s="21"/>
      <c r="CZ118" s="21"/>
      <c r="DG118" s="21"/>
      <c r="DN118" s="21"/>
      <c r="DU118" s="21"/>
      <c r="EB118" s="21"/>
    </row>
    <row r="119" spans="1:132" s="18" customFormat="1" ht="12" x14ac:dyDescent="0.25">
      <c r="A119" s="72">
        <v>28</v>
      </c>
      <c r="B119" s="69" t="s">
        <v>428</v>
      </c>
      <c r="C119" s="34">
        <f t="shared" si="35"/>
        <v>54897855170.305672</v>
      </c>
      <c r="P119" s="21"/>
      <c r="AC119" s="21"/>
      <c r="AH119" s="21"/>
      <c r="AO119" s="21"/>
      <c r="AV119" s="21"/>
      <c r="BC119" s="21"/>
      <c r="BJ119" s="21"/>
      <c r="BQ119" s="21"/>
      <c r="BX119" s="21"/>
      <c r="CE119" s="21"/>
      <c r="CL119" s="21"/>
      <c r="CS119" s="21"/>
      <c r="CZ119" s="21"/>
      <c r="DG119" s="21"/>
      <c r="DN119" s="21"/>
      <c r="DU119" s="21"/>
      <c r="EB119" s="21"/>
    </row>
    <row r="120" spans="1:132" s="18" customFormat="1" ht="12" x14ac:dyDescent="0.25">
      <c r="A120" s="72">
        <v>29</v>
      </c>
      <c r="B120" s="69" t="s">
        <v>429</v>
      </c>
      <c r="C120" s="34">
        <f t="shared" si="35"/>
        <v>225743002295.60159</v>
      </c>
      <c r="P120" s="21"/>
      <c r="AC120" s="21"/>
      <c r="AH120" s="21"/>
      <c r="AO120" s="21"/>
      <c r="AV120" s="21"/>
      <c r="BC120" s="21"/>
      <c r="BJ120" s="21"/>
      <c r="BQ120" s="21"/>
      <c r="BX120" s="21"/>
      <c r="CE120" s="21"/>
      <c r="CL120" s="21"/>
      <c r="CS120" s="21"/>
      <c r="CZ120" s="21"/>
      <c r="DG120" s="21"/>
      <c r="DN120" s="21"/>
      <c r="DU120" s="21"/>
      <c r="EB120" s="21"/>
    </row>
    <row r="121" spans="1:132" s="18" customFormat="1" ht="12" x14ac:dyDescent="0.25">
      <c r="A121" s="72">
        <v>30</v>
      </c>
      <c r="B121" s="69" t="s">
        <v>430</v>
      </c>
      <c r="C121" s="34">
        <f>O33</f>
        <v>58367608592.119698</v>
      </c>
      <c r="P121" s="21"/>
      <c r="AC121" s="21"/>
      <c r="AH121" s="21"/>
      <c r="AO121" s="21"/>
      <c r="AV121" s="21"/>
      <c r="BC121" s="21"/>
      <c r="BJ121" s="21"/>
      <c r="BQ121" s="21"/>
      <c r="BX121" s="21"/>
      <c r="CE121" s="21"/>
      <c r="CL121" s="21"/>
      <c r="CS121" s="21"/>
      <c r="CZ121" s="21"/>
      <c r="DG121" s="21"/>
      <c r="DN121" s="21"/>
      <c r="DU121" s="21"/>
      <c r="EB121" s="21"/>
    </row>
    <row r="122" spans="1:132" s="18" customFormat="1" ht="12" x14ac:dyDescent="0.25">
      <c r="A122" s="72">
        <v>31</v>
      </c>
      <c r="B122" s="69" t="s">
        <v>431</v>
      </c>
      <c r="C122" s="34">
        <f t="shared" ref="C122:C129" si="36">O34</f>
        <v>2779594921.8714838</v>
      </c>
      <c r="P122" s="21"/>
      <c r="AC122" s="21"/>
      <c r="AH122" s="21"/>
      <c r="AO122" s="21"/>
      <c r="AV122" s="21"/>
      <c r="BC122" s="21"/>
      <c r="BJ122" s="21"/>
      <c r="BQ122" s="21"/>
      <c r="BX122" s="21"/>
      <c r="CE122" s="21"/>
      <c r="CL122" s="21"/>
      <c r="CS122" s="21"/>
      <c r="CZ122" s="21"/>
      <c r="DG122" s="21"/>
      <c r="DN122" s="21"/>
      <c r="DU122" s="21"/>
      <c r="EB122" s="21"/>
    </row>
    <row r="123" spans="1:132" s="18" customFormat="1" ht="12" x14ac:dyDescent="0.25">
      <c r="A123" s="72">
        <v>32</v>
      </c>
      <c r="B123" s="69" t="s">
        <v>432</v>
      </c>
      <c r="C123" s="34">
        <f t="shared" si="36"/>
        <v>128541383.53655642</v>
      </c>
      <c r="P123" s="21"/>
      <c r="AC123" s="21"/>
      <c r="AH123" s="21"/>
      <c r="AO123" s="21"/>
      <c r="AV123" s="21"/>
      <c r="BC123" s="21"/>
      <c r="BJ123" s="21"/>
      <c r="BQ123" s="21"/>
      <c r="BX123" s="21"/>
      <c r="CE123" s="21"/>
      <c r="CL123" s="21"/>
      <c r="CS123" s="21"/>
      <c r="CZ123" s="21"/>
      <c r="DG123" s="21"/>
      <c r="DN123" s="21"/>
      <c r="DU123" s="21"/>
      <c r="EB123" s="21"/>
    </row>
    <row r="124" spans="1:132" s="18" customFormat="1" ht="12" x14ac:dyDescent="0.25">
      <c r="A124" s="72">
        <v>33</v>
      </c>
      <c r="B124" s="69" t="s">
        <v>433</v>
      </c>
      <c r="C124" s="34">
        <f t="shared" si="36"/>
        <v>1144927176858.4272</v>
      </c>
      <c r="P124" s="21"/>
      <c r="AC124" s="21"/>
      <c r="AH124" s="21"/>
      <c r="AO124" s="21"/>
      <c r="AV124" s="21"/>
      <c r="BC124" s="21"/>
      <c r="BJ124" s="21"/>
      <c r="BQ124" s="21"/>
      <c r="BX124" s="21"/>
      <c r="CE124" s="21"/>
      <c r="CL124" s="21"/>
      <c r="CS124" s="21"/>
      <c r="CZ124" s="21"/>
      <c r="DG124" s="21"/>
      <c r="DN124" s="21"/>
      <c r="DU124" s="21"/>
      <c r="EB124" s="21"/>
    </row>
    <row r="125" spans="1:132" s="18" customFormat="1" ht="12" x14ac:dyDescent="0.25">
      <c r="A125" s="72">
        <v>34</v>
      </c>
      <c r="B125" s="69" t="s">
        <v>434</v>
      </c>
      <c r="C125" s="34">
        <f t="shared" si="36"/>
        <v>382065559364.48627</v>
      </c>
      <c r="P125" s="21"/>
      <c r="AC125" s="21"/>
      <c r="AH125" s="21"/>
      <c r="AO125" s="21"/>
      <c r="AV125" s="21"/>
      <c r="BC125" s="21"/>
      <c r="BJ125" s="21"/>
      <c r="BQ125" s="21"/>
      <c r="BX125" s="21"/>
      <c r="CE125" s="21"/>
      <c r="CL125" s="21"/>
      <c r="CS125" s="21"/>
      <c r="CZ125" s="21"/>
      <c r="DG125" s="21"/>
      <c r="DN125" s="21"/>
      <c r="DU125" s="21"/>
      <c r="EB125" s="21"/>
    </row>
    <row r="126" spans="1:132" s="18" customFormat="1" ht="12" x14ac:dyDescent="0.25">
      <c r="A126" s="72">
        <v>35</v>
      </c>
      <c r="B126" s="69" t="s">
        <v>435</v>
      </c>
      <c r="C126" s="34">
        <f t="shared" si="36"/>
        <v>6477651267.8111124</v>
      </c>
      <c r="P126" s="21"/>
      <c r="AC126" s="21"/>
      <c r="AH126" s="21"/>
      <c r="AO126" s="21"/>
      <c r="AV126" s="21"/>
      <c r="BC126" s="21"/>
      <c r="BJ126" s="21"/>
      <c r="BQ126" s="21"/>
      <c r="BX126" s="21"/>
      <c r="CE126" s="21"/>
      <c r="CL126" s="21"/>
      <c r="CS126" s="21"/>
      <c r="CZ126" s="21"/>
      <c r="DG126" s="21"/>
      <c r="DN126" s="21"/>
      <c r="DU126" s="21"/>
      <c r="EB126" s="21"/>
    </row>
    <row r="127" spans="1:132" s="18" customFormat="1" ht="12" x14ac:dyDescent="0.25">
      <c r="A127" s="72">
        <v>36</v>
      </c>
      <c r="B127" s="69" t="s">
        <v>436</v>
      </c>
      <c r="C127" s="34">
        <f t="shared" si="36"/>
        <v>10919050678.515543</v>
      </c>
      <c r="P127" s="21"/>
      <c r="AC127" s="21"/>
      <c r="AH127" s="21"/>
      <c r="AO127" s="21"/>
      <c r="AV127" s="21"/>
      <c r="BC127" s="21"/>
      <c r="BJ127" s="21"/>
      <c r="BQ127" s="21"/>
      <c r="BX127" s="21"/>
      <c r="CE127" s="21"/>
      <c r="CL127" s="21"/>
      <c r="CS127" s="21"/>
      <c r="CZ127" s="21"/>
      <c r="DG127" s="21"/>
      <c r="DN127" s="21"/>
      <c r="DU127" s="21"/>
      <c r="EB127" s="21"/>
    </row>
    <row r="128" spans="1:132" s="18" customFormat="1" ht="12" x14ac:dyDescent="0.25">
      <c r="A128" s="72">
        <v>37</v>
      </c>
      <c r="B128" s="69" t="s">
        <v>437</v>
      </c>
      <c r="C128" s="34">
        <f t="shared" si="36"/>
        <v>325150668930.91125</v>
      </c>
      <c r="P128" s="21"/>
      <c r="AC128" s="21"/>
      <c r="AH128" s="21"/>
      <c r="AO128" s="21"/>
      <c r="AV128" s="21"/>
      <c r="BC128" s="21"/>
      <c r="BJ128" s="21"/>
      <c r="BQ128" s="21"/>
      <c r="BX128" s="21"/>
      <c r="CE128" s="21"/>
      <c r="CL128" s="21"/>
      <c r="CS128" s="21"/>
      <c r="CZ128" s="21"/>
      <c r="DG128" s="21"/>
      <c r="DN128" s="21"/>
      <c r="DU128" s="21"/>
      <c r="EB128" s="21"/>
    </row>
    <row r="129" spans="1:132" s="18" customFormat="1" ht="12" x14ac:dyDescent="0.25">
      <c r="A129" s="72">
        <v>38</v>
      </c>
      <c r="B129" s="69" t="s">
        <v>438</v>
      </c>
      <c r="C129" s="34">
        <f t="shared" si="36"/>
        <v>5378868422.0304823</v>
      </c>
      <c r="P129" s="21"/>
      <c r="AC129" s="21"/>
      <c r="AH129" s="21"/>
      <c r="AO129" s="21"/>
      <c r="AV129" s="21"/>
      <c r="BC129" s="21"/>
      <c r="BJ129" s="21"/>
      <c r="BQ129" s="21"/>
      <c r="BX129" s="21"/>
      <c r="CE129" s="21"/>
      <c r="CL129" s="21"/>
      <c r="CS129" s="21"/>
      <c r="CZ129" s="21"/>
      <c r="DG129" s="21"/>
      <c r="DN129" s="21"/>
      <c r="DU129" s="21"/>
      <c r="EB129" s="21"/>
    </row>
    <row r="130" spans="1:132" s="18" customFormat="1" ht="12" x14ac:dyDescent="0.25">
      <c r="A130" s="72"/>
      <c r="B130" s="69" t="s">
        <v>400</v>
      </c>
      <c r="C130" s="34">
        <f>SUM(C92:C129)</f>
        <v>11470795782350.799</v>
      </c>
      <c r="P130" s="21"/>
      <c r="AC130" s="21"/>
      <c r="AH130" s="21"/>
      <c r="AO130" s="21"/>
      <c r="AV130" s="21"/>
      <c r="BC130" s="21"/>
      <c r="BJ130" s="21"/>
      <c r="BQ130" s="21"/>
      <c r="BX130" s="21"/>
      <c r="CE130" s="21"/>
      <c r="CL130" s="21"/>
      <c r="CS130" s="21"/>
      <c r="CZ130" s="21"/>
      <c r="DG130" s="21"/>
      <c r="DN130" s="21"/>
      <c r="DU130" s="21"/>
      <c r="EB130" s="21"/>
    </row>
  </sheetData>
  <mergeCells count="90">
    <mergeCell ref="AG2:AG3"/>
    <mergeCell ref="A2:A3"/>
    <mergeCell ref="B2:B3"/>
    <mergeCell ref="C2:N2"/>
    <mergeCell ref="O2:O3"/>
    <mergeCell ref="P2:P3"/>
    <mergeCell ref="Q2:Q3"/>
    <mergeCell ref="R2:AA2"/>
    <mergeCell ref="AB2:AB3"/>
    <mergeCell ref="AC2:AC3"/>
    <mergeCell ref="AD2:AD3"/>
    <mergeCell ref="AE2:AF2"/>
    <mergeCell ref="DG2:DG3"/>
    <mergeCell ref="DH2:DH3"/>
    <mergeCell ref="DI2:DL2"/>
    <mergeCell ref="BB2:BB3"/>
    <mergeCell ref="AH2:AH3"/>
    <mergeCell ref="AI2:AI3"/>
    <mergeCell ref="AJ2:AM2"/>
    <mergeCell ref="AN2:AN3"/>
    <mergeCell ref="AO2:AO3"/>
    <mergeCell ref="AP2:AP3"/>
    <mergeCell ref="AQ2:AT2"/>
    <mergeCell ref="AU2:AU3"/>
    <mergeCell ref="AV2:AV3"/>
    <mergeCell ref="AW2:AW3"/>
    <mergeCell ref="AX2:BA2"/>
    <mergeCell ref="DF2:DF3"/>
    <mergeCell ref="EB2:EB3"/>
    <mergeCell ref="EC2:EC3"/>
    <mergeCell ref="ED2:EG2"/>
    <mergeCell ref="EH2:EH3"/>
    <mergeCell ref="CZ2:CZ3"/>
    <mergeCell ref="DA2:DA3"/>
    <mergeCell ref="DB2:DE2"/>
    <mergeCell ref="DM2:DM3"/>
    <mergeCell ref="DN2:DN3"/>
    <mergeCell ref="DO2:DO3"/>
    <mergeCell ref="DP2:DS2"/>
    <mergeCell ref="DT2:DT3"/>
    <mergeCell ref="DU2:DU3"/>
    <mergeCell ref="DV2:DV3"/>
    <mergeCell ref="DW2:DZ2"/>
    <mergeCell ref="EA2:EA3"/>
    <mergeCell ref="CS2:CS3"/>
    <mergeCell ref="CT2:CT3"/>
    <mergeCell ref="CU2:CX2"/>
    <mergeCell ref="CY2:CY3"/>
    <mergeCell ref="CR2:CR3"/>
    <mergeCell ref="CL2:CL3"/>
    <mergeCell ref="CM2:CM3"/>
    <mergeCell ref="BX2:BX3"/>
    <mergeCell ref="BY2:BY3"/>
    <mergeCell ref="BZ2:CC2"/>
    <mergeCell ref="CD2:CD3"/>
    <mergeCell ref="CE2:CE3"/>
    <mergeCell ref="CN2:CQ2"/>
    <mergeCell ref="BW2:BW3"/>
    <mergeCell ref="BC2:BC3"/>
    <mergeCell ref="BD2:BD3"/>
    <mergeCell ref="BE2:BH2"/>
    <mergeCell ref="BI2:BI3"/>
    <mergeCell ref="BJ2:BJ3"/>
    <mergeCell ref="BK2:BK3"/>
    <mergeCell ref="BL2:BO2"/>
    <mergeCell ref="BP2:BP3"/>
    <mergeCell ref="BQ2:BQ3"/>
    <mergeCell ref="BR2:BR3"/>
    <mergeCell ref="BS2:BV2"/>
    <mergeCell ref="CF2:CF3"/>
    <mergeCell ref="CG2:CJ2"/>
    <mergeCell ref="CK2:CK3"/>
    <mergeCell ref="CS1:CY1"/>
    <mergeCell ref="EB1:EH1"/>
    <mergeCell ref="CZ1:DF1"/>
    <mergeCell ref="DN1:DT1"/>
    <mergeCell ref="DU1:EA1"/>
    <mergeCell ref="DG1:DM1"/>
    <mergeCell ref="CL1:CR1"/>
    <mergeCell ref="AH1:AN1"/>
    <mergeCell ref="AO1:AU1"/>
    <mergeCell ref="AV1:BB1"/>
    <mergeCell ref="A1:O1"/>
    <mergeCell ref="P1:AB1"/>
    <mergeCell ref="AC1:AG1"/>
    <mergeCell ref="BC1:BI1"/>
    <mergeCell ref="BJ1:BP1"/>
    <mergeCell ref="BQ1:BW1"/>
    <mergeCell ref="BX1:CD1"/>
    <mergeCell ref="CE1:CK1"/>
  </mergeCells>
  <pageMargins left="0.31496062992125984" right="0" top="0.59055118110236227" bottom="0.35433070866141736" header="0.31496062992125984" footer="0.31496062992125984"/>
  <pageSetup paperSize="9" scale="75" firstPageNumber="91" orientation="landscape" useFirstPageNumber="1" r:id="rId1"/>
  <headerFooter>
    <oddFooter>&amp;C&amp;P</oddFooter>
  </headerFooter>
  <rowBreaks count="1" manualBreakCount="1">
    <brk id="42" max="16383" man="1"/>
  </rowBreaks>
  <colBreaks count="16" manualBreakCount="16">
    <brk id="28" max="1048575" man="1"/>
    <brk id="33" max="1048575" man="1"/>
    <brk id="40" max="1048575" man="1"/>
    <brk id="47" max="1048575" man="1"/>
    <brk id="54" max="1048575" man="1"/>
    <brk id="61" max="1048575" man="1"/>
    <brk id="68" max="1048575" man="1"/>
    <brk id="75" max="1048575" man="1"/>
    <brk id="82" max="1048575" man="1"/>
    <brk id="89" max="1048575" man="1"/>
    <brk id="96" max="1048575" man="1"/>
    <brk id="103" max="1048575" man="1"/>
    <brk id="110" max="1048575" man="1"/>
    <brk id="117" max="1048575" man="1"/>
    <brk id="124" max="1048575" man="1"/>
    <brk id="13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03E7-EDEE-4EC1-A1D4-912498BB3B8E}">
  <dimension ref="A1:EH130"/>
  <sheetViews>
    <sheetView view="pageBreakPreview" topLeftCell="DP1" zoomScale="70" zoomScaleNormal="25" zoomScaleSheetLayoutView="70" workbookViewId="0">
      <selection activeCell="C95" sqref="C95"/>
    </sheetView>
  </sheetViews>
  <sheetFormatPr defaultColWidth="7.77734375" defaultRowHeight="10.199999999999999" customHeight="1" x14ac:dyDescent="0.2"/>
  <cols>
    <col min="1" max="1" width="4.6640625" style="9" customWidth="1"/>
    <col min="2" max="2" width="17" style="1" customWidth="1"/>
    <col min="3" max="3" width="10" style="1" customWidth="1"/>
    <col min="4" max="4" width="10.77734375" style="1" customWidth="1"/>
    <col min="5" max="5" width="9.6640625" style="1" customWidth="1"/>
    <col min="6" max="8" width="10.77734375" style="1" customWidth="1"/>
    <col min="9" max="9" width="11.77734375" style="1" customWidth="1"/>
    <col min="10" max="12" width="10.77734375" style="1" customWidth="1"/>
    <col min="13" max="13" width="9" style="1" bestFit="1" customWidth="1"/>
    <col min="14" max="14" width="11" style="1" customWidth="1"/>
    <col min="15" max="15" width="10.77734375" style="1" customWidth="1"/>
    <col min="16" max="16" width="4.5546875" style="9" customWidth="1"/>
    <col min="17" max="17" width="16.109375" style="1" customWidth="1"/>
    <col min="18" max="28" width="11.88671875" style="1" customWidth="1"/>
    <col min="29" max="29" width="7.77734375" style="9"/>
    <col min="30" max="30" width="44.21875" style="1" customWidth="1"/>
    <col min="31" max="33" width="14.33203125" style="1" customWidth="1"/>
    <col min="34" max="34" width="7.77734375" style="9"/>
    <col min="35" max="35" width="44.21875" style="1" customWidth="1"/>
    <col min="36" max="38" width="10.109375" style="1" customWidth="1"/>
    <col min="39" max="40" width="10.88671875" style="1" customWidth="1"/>
    <col min="41" max="41" width="7.77734375" style="9"/>
    <col min="42" max="42" width="44.21875" style="1" customWidth="1"/>
    <col min="43" max="45" width="10.109375" style="1" customWidth="1"/>
    <col min="46" max="47" width="10.77734375" style="1" customWidth="1"/>
    <col min="48" max="48" width="7.77734375" style="9"/>
    <col min="49" max="49" width="44.21875" style="1" customWidth="1"/>
    <col min="50" max="52" width="10.109375" style="1" customWidth="1"/>
    <col min="53" max="54" width="10.88671875" style="1" customWidth="1"/>
    <col min="55" max="55" width="7.77734375" style="9"/>
    <col min="56" max="56" width="44.21875" style="1" customWidth="1"/>
    <col min="57" max="61" width="10.109375" style="1" customWidth="1"/>
    <col min="62" max="62" width="7.77734375" style="9"/>
    <col min="63" max="63" width="44.21875" style="1" customWidth="1"/>
    <col min="64" max="68" width="10.109375" style="1" customWidth="1"/>
    <col min="69" max="69" width="7.77734375" style="9"/>
    <col min="70" max="70" width="44.21875" style="1" customWidth="1"/>
    <col min="71" max="74" width="10.109375" style="1" customWidth="1"/>
    <col min="75" max="75" width="13.109375" style="1" customWidth="1"/>
    <col min="76" max="76" width="7.77734375" style="9"/>
    <col min="77" max="77" width="44.21875" style="1" customWidth="1"/>
    <col min="78" max="82" width="10.109375" style="1" customWidth="1"/>
    <col min="83" max="83" width="7.77734375" style="9"/>
    <col min="84" max="84" width="44.21875" style="1" customWidth="1"/>
    <col min="85" max="89" width="10.109375" style="1" customWidth="1"/>
    <col min="90" max="90" width="7.77734375" style="9"/>
    <col min="91" max="91" width="44.21875" style="1" customWidth="1"/>
    <col min="92" max="96" width="10.109375" style="1" customWidth="1"/>
    <col min="97" max="97" width="7.77734375" style="9"/>
    <col min="98" max="98" width="44.21875" style="1" customWidth="1"/>
    <col min="99" max="103" width="10.109375" style="1" customWidth="1"/>
    <col min="104" max="104" width="7.77734375" style="9"/>
    <col min="105" max="105" width="44.21875" style="1" customWidth="1"/>
    <col min="106" max="110" width="10.109375" style="1" customWidth="1"/>
    <col min="111" max="111" width="7.77734375" style="9"/>
    <col min="112" max="112" width="44.21875" style="1" customWidth="1"/>
    <col min="113" max="117" width="10.109375" style="1" customWidth="1"/>
    <col min="118" max="118" width="7.77734375" style="9"/>
    <col min="119" max="119" width="44.21875" style="1" customWidth="1"/>
    <col min="120" max="124" width="10.109375" style="1" customWidth="1"/>
    <col min="125" max="125" width="7.77734375" style="9"/>
    <col min="126" max="126" width="44.21875" style="1" customWidth="1"/>
    <col min="127" max="129" width="10.109375" style="1" customWidth="1"/>
    <col min="130" max="131" width="10.77734375" style="1" customWidth="1"/>
    <col min="132" max="132" width="7.77734375" style="9"/>
    <col min="133" max="133" width="44.21875" style="1" customWidth="1"/>
    <col min="134" max="138" width="10.109375" style="1" customWidth="1"/>
    <col min="139" max="16384" width="7.77734375" style="1"/>
  </cols>
  <sheetData>
    <row r="1" spans="1:138" s="38" customFormat="1" ht="21" customHeight="1" x14ac:dyDescent="0.3">
      <c r="A1" s="97" t="s">
        <v>282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 t="s">
        <v>283</v>
      </c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 t="s">
        <v>284</v>
      </c>
      <c r="AD1" s="97"/>
      <c r="AE1" s="97"/>
      <c r="AF1" s="97"/>
      <c r="AG1" s="97"/>
      <c r="AH1" s="97" t="s">
        <v>285</v>
      </c>
      <c r="AI1" s="97"/>
      <c r="AJ1" s="97"/>
      <c r="AK1" s="97"/>
      <c r="AL1" s="97"/>
      <c r="AM1" s="97"/>
      <c r="AN1" s="97"/>
      <c r="AO1" s="97" t="s">
        <v>288</v>
      </c>
      <c r="AP1" s="97"/>
      <c r="AQ1" s="97"/>
      <c r="AR1" s="97"/>
      <c r="AS1" s="97"/>
      <c r="AT1" s="97"/>
      <c r="AU1" s="97"/>
      <c r="AV1" s="97" t="s">
        <v>287</v>
      </c>
      <c r="AW1" s="97"/>
      <c r="AX1" s="97"/>
      <c r="AY1" s="97"/>
      <c r="AZ1" s="97"/>
      <c r="BA1" s="97"/>
      <c r="BB1" s="97"/>
      <c r="BC1" s="97" t="s">
        <v>286</v>
      </c>
      <c r="BD1" s="97"/>
      <c r="BE1" s="97"/>
      <c r="BF1" s="97"/>
      <c r="BG1" s="97"/>
      <c r="BH1" s="97"/>
      <c r="BI1" s="97"/>
      <c r="BJ1" s="97" t="s">
        <v>289</v>
      </c>
      <c r="BK1" s="97"/>
      <c r="BL1" s="97"/>
      <c r="BM1" s="97"/>
      <c r="BN1" s="97"/>
      <c r="BO1" s="97"/>
      <c r="BP1" s="97"/>
      <c r="BQ1" s="97" t="s">
        <v>290</v>
      </c>
      <c r="BR1" s="97"/>
      <c r="BS1" s="97"/>
      <c r="BT1" s="97"/>
      <c r="BU1" s="97"/>
      <c r="BV1" s="97"/>
      <c r="BW1" s="97"/>
      <c r="BX1" s="97" t="s">
        <v>291</v>
      </c>
      <c r="BY1" s="97"/>
      <c r="BZ1" s="97"/>
      <c r="CA1" s="97"/>
      <c r="CB1" s="97"/>
      <c r="CC1" s="97"/>
      <c r="CD1" s="97"/>
      <c r="CE1" s="97" t="s">
        <v>292</v>
      </c>
      <c r="CF1" s="97"/>
      <c r="CG1" s="97"/>
      <c r="CH1" s="97"/>
      <c r="CI1" s="97"/>
      <c r="CJ1" s="97"/>
      <c r="CK1" s="97"/>
      <c r="CL1" s="97" t="s">
        <v>293</v>
      </c>
      <c r="CM1" s="97"/>
      <c r="CN1" s="97"/>
      <c r="CO1" s="97"/>
      <c r="CP1" s="97"/>
      <c r="CQ1" s="97"/>
      <c r="CR1" s="97"/>
      <c r="CS1" s="97" t="s">
        <v>294</v>
      </c>
      <c r="CT1" s="97"/>
      <c r="CU1" s="97"/>
      <c r="CV1" s="97"/>
      <c r="CW1" s="97"/>
      <c r="CX1" s="97"/>
      <c r="CY1" s="97"/>
      <c r="CZ1" s="97" t="s">
        <v>295</v>
      </c>
      <c r="DA1" s="97"/>
      <c r="DB1" s="97"/>
      <c r="DC1" s="97"/>
      <c r="DD1" s="97"/>
      <c r="DE1" s="97"/>
      <c r="DF1" s="97"/>
      <c r="DG1" s="97" t="s">
        <v>296</v>
      </c>
      <c r="DH1" s="97"/>
      <c r="DI1" s="97"/>
      <c r="DJ1" s="97"/>
      <c r="DK1" s="97"/>
      <c r="DL1" s="97"/>
      <c r="DM1" s="97"/>
      <c r="DN1" s="97" t="s">
        <v>297</v>
      </c>
      <c r="DO1" s="97"/>
      <c r="DP1" s="97"/>
      <c r="DQ1" s="97"/>
      <c r="DR1" s="97"/>
      <c r="DS1" s="97"/>
      <c r="DT1" s="97"/>
      <c r="DU1" s="97" t="s">
        <v>298</v>
      </c>
      <c r="DV1" s="97"/>
      <c r="DW1" s="97"/>
      <c r="DX1" s="97"/>
      <c r="DY1" s="97"/>
      <c r="DZ1" s="97"/>
      <c r="EA1" s="97"/>
      <c r="EB1" s="97" t="s">
        <v>299</v>
      </c>
      <c r="EC1" s="97"/>
      <c r="ED1" s="97"/>
      <c r="EE1" s="97"/>
      <c r="EF1" s="97"/>
      <c r="EG1" s="97"/>
      <c r="EH1" s="97"/>
    </row>
    <row r="2" spans="1:138" s="10" customFormat="1" ht="21" customHeight="1" x14ac:dyDescent="0.3">
      <c r="A2" s="98" t="s">
        <v>0</v>
      </c>
      <c r="B2" s="98" t="s">
        <v>1</v>
      </c>
      <c r="C2" s="98" t="s">
        <v>4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 t="s">
        <v>3</v>
      </c>
      <c r="P2" s="98" t="s">
        <v>0</v>
      </c>
      <c r="Q2" s="98" t="s">
        <v>1</v>
      </c>
      <c r="R2" s="98" t="s">
        <v>4</v>
      </c>
      <c r="S2" s="98"/>
      <c r="T2" s="98"/>
      <c r="U2" s="98"/>
      <c r="V2" s="98"/>
      <c r="W2" s="98"/>
      <c r="X2" s="98"/>
      <c r="Y2" s="98"/>
      <c r="Z2" s="98"/>
      <c r="AA2" s="98"/>
      <c r="AB2" s="98" t="s">
        <v>3</v>
      </c>
      <c r="AC2" s="98" t="s">
        <v>0</v>
      </c>
      <c r="AD2" s="98" t="s">
        <v>1</v>
      </c>
      <c r="AE2" s="98" t="s">
        <v>4</v>
      </c>
      <c r="AF2" s="98"/>
      <c r="AG2" s="98" t="s">
        <v>3</v>
      </c>
      <c r="AH2" s="98" t="s">
        <v>0</v>
      </c>
      <c r="AI2" s="98" t="s">
        <v>1</v>
      </c>
      <c r="AJ2" s="98" t="s">
        <v>2</v>
      </c>
      <c r="AK2" s="98"/>
      <c r="AL2" s="98"/>
      <c r="AM2" s="98"/>
      <c r="AN2" s="98" t="s">
        <v>3</v>
      </c>
      <c r="AO2" s="98" t="s">
        <v>0</v>
      </c>
      <c r="AP2" s="98" t="s">
        <v>1</v>
      </c>
      <c r="AQ2" s="98" t="s">
        <v>2</v>
      </c>
      <c r="AR2" s="98"/>
      <c r="AS2" s="98"/>
      <c r="AT2" s="98"/>
      <c r="AU2" s="98" t="s">
        <v>3</v>
      </c>
      <c r="AV2" s="98" t="s">
        <v>0</v>
      </c>
      <c r="AW2" s="98" t="s">
        <v>1</v>
      </c>
      <c r="AX2" s="98" t="s">
        <v>2</v>
      </c>
      <c r="AY2" s="98"/>
      <c r="AZ2" s="98"/>
      <c r="BA2" s="98"/>
      <c r="BB2" s="98" t="s">
        <v>3</v>
      </c>
      <c r="BC2" s="98" t="s">
        <v>0</v>
      </c>
      <c r="BD2" s="98" t="s">
        <v>1</v>
      </c>
      <c r="BE2" s="98" t="s">
        <v>2</v>
      </c>
      <c r="BF2" s="98"/>
      <c r="BG2" s="98"/>
      <c r="BH2" s="98"/>
      <c r="BI2" s="98" t="s">
        <v>3</v>
      </c>
      <c r="BJ2" s="98" t="s">
        <v>0</v>
      </c>
      <c r="BK2" s="98" t="s">
        <v>1</v>
      </c>
      <c r="BL2" s="98" t="s">
        <v>2</v>
      </c>
      <c r="BM2" s="98"/>
      <c r="BN2" s="98"/>
      <c r="BO2" s="98"/>
      <c r="BP2" s="98" t="s">
        <v>3</v>
      </c>
      <c r="BQ2" s="98" t="s">
        <v>0</v>
      </c>
      <c r="BR2" s="98" t="s">
        <v>1</v>
      </c>
      <c r="BS2" s="98" t="s">
        <v>2</v>
      </c>
      <c r="BT2" s="98"/>
      <c r="BU2" s="98"/>
      <c r="BV2" s="98"/>
      <c r="BW2" s="98" t="s">
        <v>3</v>
      </c>
      <c r="BX2" s="98" t="s">
        <v>0</v>
      </c>
      <c r="BY2" s="98" t="s">
        <v>1</v>
      </c>
      <c r="BZ2" s="98" t="s">
        <v>2</v>
      </c>
      <c r="CA2" s="98"/>
      <c r="CB2" s="98"/>
      <c r="CC2" s="98"/>
      <c r="CD2" s="98" t="s">
        <v>3</v>
      </c>
      <c r="CE2" s="98" t="s">
        <v>0</v>
      </c>
      <c r="CF2" s="98" t="s">
        <v>1</v>
      </c>
      <c r="CG2" s="98" t="s">
        <v>2</v>
      </c>
      <c r="CH2" s="98"/>
      <c r="CI2" s="98"/>
      <c r="CJ2" s="98"/>
      <c r="CK2" s="98" t="s">
        <v>3</v>
      </c>
      <c r="CL2" s="98" t="s">
        <v>0</v>
      </c>
      <c r="CM2" s="98" t="s">
        <v>1</v>
      </c>
      <c r="CN2" s="98" t="s">
        <v>2</v>
      </c>
      <c r="CO2" s="98"/>
      <c r="CP2" s="98"/>
      <c r="CQ2" s="98"/>
      <c r="CR2" s="98" t="s">
        <v>3</v>
      </c>
      <c r="CS2" s="98" t="s">
        <v>0</v>
      </c>
      <c r="CT2" s="98" t="s">
        <v>1</v>
      </c>
      <c r="CU2" s="98" t="s">
        <v>2</v>
      </c>
      <c r="CV2" s="98"/>
      <c r="CW2" s="98"/>
      <c r="CX2" s="98"/>
      <c r="CY2" s="98" t="s">
        <v>3</v>
      </c>
      <c r="CZ2" s="98" t="s">
        <v>0</v>
      </c>
      <c r="DA2" s="98" t="s">
        <v>1</v>
      </c>
      <c r="DB2" s="98" t="s">
        <v>2</v>
      </c>
      <c r="DC2" s="98"/>
      <c r="DD2" s="98"/>
      <c r="DE2" s="98"/>
      <c r="DF2" s="98" t="s">
        <v>3</v>
      </c>
      <c r="DG2" s="98" t="s">
        <v>0</v>
      </c>
      <c r="DH2" s="98" t="s">
        <v>1</v>
      </c>
      <c r="DI2" s="98" t="s">
        <v>2</v>
      </c>
      <c r="DJ2" s="98"/>
      <c r="DK2" s="98"/>
      <c r="DL2" s="98"/>
      <c r="DM2" s="98" t="s">
        <v>3</v>
      </c>
      <c r="DN2" s="98" t="s">
        <v>0</v>
      </c>
      <c r="DO2" s="98" t="s">
        <v>1</v>
      </c>
      <c r="DP2" s="98" t="s">
        <v>2</v>
      </c>
      <c r="DQ2" s="98"/>
      <c r="DR2" s="98"/>
      <c r="DS2" s="98"/>
      <c r="DT2" s="98" t="s">
        <v>3</v>
      </c>
      <c r="DU2" s="98" t="s">
        <v>0</v>
      </c>
      <c r="DV2" s="98" t="s">
        <v>1</v>
      </c>
      <c r="DW2" s="98" t="s">
        <v>2</v>
      </c>
      <c r="DX2" s="98"/>
      <c r="DY2" s="98"/>
      <c r="DZ2" s="98"/>
      <c r="EA2" s="98" t="s">
        <v>3</v>
      </c>
      <c r="EB2" s="98" t="s">
        <v>0</v>
      </c>
      <c r="EC2" s="98" t="s">
        <v>1</v>
      </c>
      <c r="ED2" s="98" t="s">
        <v>2</v>
      </c>
      <c r="EE2" s="98"/>
      <c r="EF2" s="98"/>
      <c r="EG2" s="98"/>
      <c r="EH2" s="98" t="s">
        <v>3</v>
      </c>
    </row>
    <row r="3" spans="1:138" s="10" customFormat="1" ht="48.6" customHeight="1" x14ac:dyDescent="0.3">
      <c r="A3" s="98"/>
      <c r="B3" s="98"/>
      <c r="C3" s="11" t="s">
        <v>9</v>
      </c>
      <c r="D3" s="11" t="s">
        <v>10</v>
      </c>
      <c r="E3" s="11" t="s">
        <v>11</v>
      </c>
      <c r="F3" s="11" t="s">
        <v>12</v>
      </c>
      <c r="G3" s="46" t="s">
        <v>13</v>
      </c>
      <c r="H3" s="46" t="s">
        <v>14</v>
      </c>
      <c r="I3" s="46" t="s">
        <v>15</v>
      </c>
      <c r="J3" s="46" t="s">
        <v>16</v>
      </c>
      <c r="K3" s="46" t="s">
        <v>17</v>
      </c>
      <c r="L3" s="46" t="s">
        <v>18</v>
      </c>
      <c r="M3" s="46" t="s">
        <v>19</v>
      </c>
      <c r="N3" s="46" t="s">
        <v>20</v>
      </c>
      <c r="O3" s="98"/>
      <c r="P3" s="98"/>
      <c r="Q3" s="98"/>
      <c r="R3" s="11" t="s">
        <v>9</v>
      </c>
      <c r="S3" s="11" t="s">
        <v>10</v>
      </c>
      <c r="T3" s="11" t="s">
        <v>11</v>
      </c>
      <c r="U3" s="11" t="s">
        <v>12</v>
      </c>
      <c r="V3" s="46" t="s">
        <v>13</v>
      </c>
      <c r="W3" s="46" t="s">
        <v>14</v>
      </c>
      <c r="X3" s="46" t="s">
        <v>15</v>
      </c>
      <c r="Y3" s="46" t="s">
        <v>16</v>
      </c>
      <c r="Z3" s="46" t="s">
        <v>17</v>
      </c>
      <c r="AA3" s="46" t="s">
        <v>18</v>
      </c>
      <c r="AB3" s="98"/>
      <c r="AC3" s="98"/>
      <c r="AD3" s="98"/>
      <c r="AE3" s="46" t="s">
        <v>19</v>
      </c>
      <c r="AF3" s="46" t="s">
        <v>20</v>
      </c>
      <c r="AG3" s="98"/>
      <c r="AH3" s="98"/>
      <c r="AI3" s="98"/>
      <c r="AJ3" s="11" t="s">
        <v>5</v>
      </c>
      <c r="AK3" s="11" t="s">
        <v>6</v>
      </c>
      <c r="AL3" s="11" t="s">
        <v>7</v>
      </c>
      <c r="AM3" s="11" t="s">
        <v>8</v>
      </c>
      <c r="AN3" s="98"/>
      <c r="AO3" s="98"/>
      <c r="AP3" s="98"/>
      <c r="AQ3" s="11" t="s">
        <v>5</v>
      </c>
      <c r="AR3" s="11" t="s">
        <v>6</v>
      </c>
      <c r="AS3" s="11" t="s">
        <v>7</v>
      </c>
      <c r="AT3" s="11" t="s">
        <v>8</v>
      </c>
      <c r="AU3" s="98"/>
      <c r="AV3" s="98"/>
      <c r="AW3" s="98"/>
      <c r="AX3" s="11" t="s">
        <v>5</v>
      </c>
      <c r="AY3" s="11" t="s">
        <v>6</v>
      </c>
      <c r="AZ3" s="11" t="s">
        <v>7</v>
      </c>
      <c r="BA3" s="11" t="s">
        <v>8</v>
      </c>
      <c r="BB3" s="98"/>
      <c r="BC3" s="98"/>
      <c r="BD3" s="98"/>
      <c r="BE3" s="11" t="s">
        <v>5</v>
      </c>
      <c r="BF3" s="11" t="s">
        <v>6</v>
      </c>
      <c r="BG3" s="11" t="s">
        <v>7</v>
      </c>
      <c r="BH3" s="11" t="s">
        <v>8</v>
      </c>
      <c r="BI3" s="98"/>
      <c r="BJ3" s="98"/>
      <c r="BK3" s="98"/>
      <c r="BL3" s="11" t="s">
        <v>5</v>
      </c>
      <c r="BM3" s="11" t="s">
        <v>6</v>
      </c>
      <c r="BN3" s="11" t="s">
        <v>7</v>
      </c>
      <c r="BO3" s="11" t="s">
        <v>8</v>
      </c>
      <c r="BP3" s="98"/>
      <c r="BQ3" s="98"/>
      <c r="BR3" s="98"/>
      <c r="BS3" s="11" t="s">
        <v>5</v>
      </c>
      <c r="BT3" s="11" t="s">
        <v>6</v>
      </c>
      <c r="BU3" s="11" t="s">
        <v>7</v>
      </c>
      <c r="BV3" s="11" t="s">
        <v>8</v>
      </c>
      <c r="BW3" s="98"/>
      <c r="BX3" s="98"/>
      <c r="BY3" s="98"/>
      <c r="BZ3" s="11" t="s">
        <v>5</v>
      </c>
      <c r="CA3" s="11" t="s">
        <v>6</v>
      </c>
      <c r="CB3" s="11" t="s">
        <v>7</v>
      </c>
      <c r="CC3" s="11" t="s">
        <v>8</v>
      </c>
      <c r="CD3" s="98"/>
      <c r="CE3" s="98"/>
      <c r="CF3" s="98"/>
      <c r="CG3" s="11" t="s">
        <v>5</v>
      </c>
      <c r="CH3" s="11" t="s">
        <v>6</v>
      </c>
      <c r="CI3" s="11" t="s">
        <v>7</v>
      </c>
      <c r="CJ3" s="11" t="s">
        <v>8</v>
      </c>
      <c r="CK3" s="98"/>
      <c r="CL3" s="98"/>
      <c r="CM3" s="98"/>
      <c r="CN3" s="11" t="s">
        <v>5</v>
      </c>
      <c r="CO3" s="11" t="s">
        <v>6</v>
      </c>
      <c r="CP3" s="11" t="s">
        <v>7</v>
      </c>
      <c r="CQ3" s="11" t="s">
        <v>8</v>
      </c>
      <c r="CR3" s="98"/>
      <c r="CS3" s="98"/>
      <c r="CT3" s="98"/>
      <c r="CU3" s="11" t="s">
        <v>5</v>
      </c>
      <c r="CV3" s="11" t="s">
        <v>6</v>
      </c>
      <c r="CW3" s="11" t="s">
        <v>7</v>
      </c>
      <c r="CX3" s="11" t="s">
        <v>8</v>
      </c>
      <c r="CY3" s="98"/>
      <c r="CZ3" s="98"/>
      <c r="DA3" s="98"/>
      <c r="DB3" s="11" t="s">
        <v>5</v>
      </c>
      <c r="DC3" s="11" t="s">
        <v>6</v>
      </c>
      <c r="DD3" s="11" t="s">
        <v>7</v>
      </c>
      <c r="DE3" s="11" t="s">
        <v>8</v>
      </c>
      <c r="DF3" s="98"/>
      <c r="DG3" s="98"/>
      <c r="DH3" s="98"/>
      <c r="DI3" s="11" t="s">
        <v>5</v>
      </c>
      <c r="DJ3" s="11" t="s">
        <v>6</v>
      </c>
      <c r="DK3" s="11" t="s">
        <v>7</v>
      </c>
      <c r="DL3" s="11" t="s">
        <v>8</v>
      </c>
      <c r="DM3" s="98"/>
      <c r="DN3" s="98"/>
      <c r="DO3" s="98"/>
      <c r="DP3" s="11" t="s">
        <v>5</v>
      </c>
      <c r="DQ3" s="11" t="s">
        <v>6</v>
      </c>
      <c r="DR3" s="11" t="s">
        <v>7</v>
      </c>
      <c r="DS3" s="11" t="s">
        <v>8</v>
      </c>
      <c r="DT3" s="98"/>
      <c r="DU3" s="98"/>
      <c r="DV3" s="98"/>
      <c r="DW3" s="11" t="s">
        <v>5</v>
      </c>
      <c r="DX3" s="11" t="s">
        <v>6</v>
      </c>
      <c r="DY3" s="11" t="s">
        <v>7</v>
      </c>
      <c r="DZ3" s="11" t="s">
        <v>8</v>
      </c>
      <c r="EA3" s="98"/>
      <c r="EB3" s="98"/>
      <c r="EC3" s="98"/>
      <c r="ED3" s="11" t="s">
        <v>5</v>
      </c>
      <c r="EE3" s="11" t="s">
        <v>6</v>
      </c>
      <c r="EF3" s="11" t="s">
        <v>7</v>
      </c>
      <c r="EG3" s="11" t="s">
        <v>8</v>
      </c>
      <c r="EH3" s="98"/>
    </row>
    <row r="4" spans="1:138" ht="10.199999999999999" customHeight="1" x14ac:dyDescent="0.2">
      <c r="A4" s="7" t="s">
        <v>110</v>
      </c>
      <c r="B4" s="2" t="s">
        <v>38</v>
      </c>
      <c r="C4" s="3">
        <f>BI4</f>
        <v>50467.656131135707</v>
      </c>
      <c r="D4" s="3">
        <f>BP4</f>
        <v>814306.65878384828</v>
      </c>
      <c r="E4" s="3">
        <f>BW4</f>
        <v>2229567.7052201177</v>
      </c>
      <c r="F4" s="3">
        <f>CD4</f>
        <v>7989.0290676243885</v>
      </c>
      <c r="G4" s="3">
        <f>CK4</f>
        <v>84463459.92167744</v>
      </c>
      <c r="H4" s="3">
        <f>CR4</f>
        <v>0</v>
      </c>
      <c r="I4" s="3">
        <f>CY4</f>
        <v>12742.804394522185</v>
      </c>
      <c r="J4" s="3">
        <f>DM4</f>
        <v>8383.6848901821795</v>
      </c>
      <c r="K4" s="3">
        <f>DF4</f>
        <v>62481.243682817447</v>
      </c>
      <c r="L4" s="3">
        <f>DT4</f>
        <v>117526.28074075558</v>
      </c>
      <c r="M4" s="3">
        <f>EH4</f>
        <v>187273.57532857032</v>
      </c>
      <c r="N4" s="3">
        <f>EA4</f>
        <v>3235.7231494355651</v>
      </c>
      <c r="O4" s="3">
        <f>SUM(C4:N4)</f>
        <v>87957434.283066452</v>
      </c>
      <c r="P4" s="7" t="s">
        <v>110</v>
      </c>
      <c r="Q4" s="2" t="s">
        <v>38</v>
      </c>
      <c r="R4" s="3">
        <f t="shared" ref="R4:AA4" si="0">C4</f>
        <v>50467.656131135707</v>
      </c>
      <c r="S4" s="3">
        <f t="shared" si="0"/>
        <v>814306.65878384828</v>
      </c>
      <c r="T4" s="3">
        <f t="shared" si="0"/>
        <v>2229567.7052201177</v>
      </c>
      <c r="U4" s="3">
        <f t="shared" si="0"/>
        <v>7989.0290676243885</v>
      </c>
      <c r="V4" s="3">
        <f t="shared" si="0"/>
        <v>84463459.92167744</v>
      </c>
      <c r="W4" s="3">
        <f t="shared" si="0"/>
        <v>0</v>
      </c>
      <c r="X4" s="3">
        <f t="shared" si="0"/>
        <v>12742.804394522185</v>
      </c>
      <c r="Y4" s="3">
        <f t="shared" si="0"/>
        <v>8383.6848901821795</v>
      </c>
      <c r="Z4" s="3">
        <f t="shared" si="0"/>
        <v>62481.243682817447</v>
      </c>
      <c r="AA4" s="3">
        <f t="shared" si="0"/>
        <v>117526.28074075558</v>
      </c>
      <c r="AB4" s="3">
        <f>SUM(R4:AA4)</f>
        <v>87766924.984588444</v>
      </c>
      <c r="AC4" s="7" t="s">
        <v>110</v>
      </c>
      <c r="AD4" s="2" t="s">
        <v>38</v>
      </c>
      <c r="AE4" s="3">
        <f>M4</f>
        <v>187273.57532857032</v>
      </c>
      <c r="AF4" s="3">
        <f>N4</f>
        <v>3235.7231494355651</v>
      </c>
      <c r="AG4" s="3">
        <f>SUM(AE4:AF4)</f>
        <v>190509.29847800589</v>
      </c>
      <c r="AH4" s="7" t="s">
        <v>110</v>
      </c>
      <c r="AI4" s="2" t="s">
        <v>38</v>
      </c>
      <c r="AJ4" s="3">
        <f>AQ4+AX4</f>
        <v>85564196.396376923</v>
      </c>
      <c r="AK4" s="3">
        <f t="shared" ref="AK4:AM19" si="1">AR4+AY4</f>
        <v>1749033.6832808554</v>
      </c>
      <c r="AL4" s="3">
        <f t="shared" si="1"/>
        <v>644204.20340866852</v>
      </c>
      <c r="AM4" s="3">
        <f t="shared" si="1"/>
        <v>0</v>
      </c>
      <c r="AN4" s="3">
        <f>SUM(AJ4:AM4)</f>
        <v>87957434.283066452</v>
      </c>
      <c r="AO4" s="7" t="s">
        <v>110</v>
      </c>
      <c r="AP4" s="2" t="s">
        <v>38</v>
      </c>
      <c r="AQ4" s="3">
        <f>BE4+BL4+BS4+BZ4+CG4+CN4+CU4+DB4+DI4+DP4</f>
        <v>85376114.267901331</v>
      </c>
      <c r="AR4" s="3">
        <f t="shared" ref="AR4:AT19" si="2">BF4+BM4+BT4+CA4+CH4+CO4+CV4+DC4+DJ4+DQ4</f>
        <v>1746606.5132784373</v>
      </c>
      <c r="AS4" s="3">
        <f t="shared" si="2"/>
        <v>644204.20340866852</v>
      </c>
      <c r="AT4" s="3">
        <f t="shared" si="2"/>
        <v>0</v>
      </c>
      <c r="AU4" s="3">
        <f>SUM(AQ4:AT4)</f>
        <v>87766924.984588444</v>
      </c>
      <c r="AV4" s="7" t="s">
        <v>110</v>
      </c>
      <c r="AW4" s="2" t="s">
        <v>38</v>
      </c>
      <c r="AX4" s="3">
        <f>DW4+ED4</f>
        <v>188082.12847558779</v>
      </c>
      <c r="AY4" s="3">
        <f t="shared" ref="AY4:BA19" si="3">DX4+EE4</f>
        <v>2427.1700024181005</v>
      </c>
      <c r="AZ4" s="3">
        <f t="shared" si="3"/>
        <v>0</v>
      </c>
      <c r="BA4" s="3">
        <f t="shared" si="3"/>
        <v>0</v>
      </c>
      <c r="BB4" s="3">
        <f>SUM(AX4:BA4)</f>
        <v>190509.29847800589</v>
      </c>
      <c r="BC4" s="7" t="s">
        <v>110</v>
      </c>
      <c r="BD4" s="2" t="s">
        <v>38</v>
      </c>
      <c r="BE4" s="3">
        <v>50467.656131135707</v>
      </c>
      <c r="BF4" s="3">
        <v>0</v>
      </c>
      <c r="BG4" s="3">
        <v>0</v>
      </c>
      <c r="BH4" s="3">
        <v>0</v>
      </c>
      <c r="BI4" s="3">
        <v>50467.656131135707</v>
      </c>
      <c r="BJ4" s="7" t="s">
        <v>110</v>
      </c>
      <c r="BK4" s="2" t="s">
        <v>38</v>
      </c>
      <c r="BL4" s="3">
        <v>34006.450618414005</v>
      </c>
      <c r="BM4" s="3">
        <v>136096.00475676579</v>
      </c>
      <c r="BN4" s="3">
        <v>644204.20340866852</v>
      </c>
      <c r="BO4" s="3">
        <v>0</v>
      </c>
      <c r="BP4" s="3">
        <v>814306.65878384828</v>
      </c>
      <c r="BQ4" s="7" t="s">
        <v>110</v>
      </c>
      <c r="BR4" s="2" t="s">
        <v>38</v>
      </c>
      <c r="BS4" s="3">
        <v>2229567.7052201177</v>
      </c>
      <c r="BT4" s="3">
        <v>0</v>
      </c>
      <c r="BU4" s="3">
        <v>0</v>
      </c>
      <c r="BV4" s="3">
        <v>0</v>
      </c>
      <c r="BW4" s="3">
        <v>2229567.7052201177</v>
      </c>
      <c r="BX4" s="7" t="s">
        <v>110</v>
      </c>
      <c r="BY4" s="2" t="s">
        <v>38</v>
      </c>
      <c r="BZ4" s="3">
        <v>7989.0290676243885</v>
      </c>
      <c r="CA4" s="3">
        <v>0</v>
      </c>
      <c r="CB4" s="3">
        <v>0</v>
      </c>
      <c r="CC4" s="3">
        <v>0</v>
      </c>
      <c r="CD4" s="3">
        <v>7989.0290676243885</v>
      </c>
      <c r="CE4" s="7" t="s">
        <v>110</v>
      </c>
      <c r="CF4" s="2" t="s">
        <v>38</v>
      </c>
      <c r="CG4" s="3">
        <v>82852949.413155764</v>
      </c>
      <c r="CH4" s="3">
        <v>1610510.5085216714</v>
      </c>
      <c r="CI4" s="3">
        <v>0</v>
      </c>
      <c r="CJ4" s="3">
        <v>0</v>
      </c>
      <c r="CK4" s="3">
        <v>84463459.92167744</v>
      </c>
      <c r="CL4" s="7" t="s">
        <v>110</v>
      </c>
      <c r="CM4" s="2" t="s">
        <v>38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7" t="s">
        <v>110</v>
      </c>
      <c r="CT4" s="2" t="s">
        <v>38</v>
      </c>
      <c r="CU4" s="3">
        <v>12742.804394522185</v>
      </c>
      <c r="CV4" s="3">
        <v>0</v>
      </c>
      <c r="CW4" s="3">
        <v>0</v>
      </c>
      <c r="CX4" s="3">
        <v>0</v>
      </c>
      <c r="CY4" s="3">
        <v>12742.804394522185</v>
      </c>
      <c r="CZ4" s="7" t="s">
        <v>110</v>
      </c>
      <c r="DA4" s="2" t="s">
        <v>38</v>
      </c>
      <c r="DB4" s="3">
        <v>62481.243682817447</v>
      </c>
      <c r="DC4" s="3">
        <v>0</v>
      </c>
      <c r="DD4" s="3">
        <v>0</v>
      </c>
      <c r="DE4" s="3">
        <v>0</v>
      </c>
      <c r="DF4" s="3">
        <v>62481.243682817447</v>
      </c>
      <c r="DG4" s="7" t="s">
        <v>110</v>
      </c>
      <c r="DH4" s="2" t="s">
        <v>38</v>
      </c>
      <c r="DI4" s="3">
        <v>8383.6848901821795</v>
      </c>
      <c r="DJ4" s="3">
        <v>0</v>
      </c>
      <c r="DK4" s="3">
        <v>0</v>
      </c>
      <c r="DL4" s="3">
        <v>0</v>
      </c>
      <c r="DM4" s="3">
        <v>8383.6848901821795</v>
      </c>
      <c r="DN4" s="7" t="s">
        <v>110</v>
      </c>
      <c r="DO4" s="2" t="s">
        <v>38</v>
      </c>
      <c r="DP4" s="3">
        <v>117526.28074075558</v>
      </c>
      <c r="DQ4" s="3">
        <v>0</v>
      </c>
      <c r="DR4" s="3">
        <v>0</v>
      </c>
      <c r="DS4" s="3">
        <v>0</v>
      </c>
      <c r="DT4" s="3">
        <v>117526.28074075558</v>
      </c>
      <c r="DU4" s="7" t="s">
        <v>110</v>
      </c>
      <c r="DV4" s="2" t="s">
        <v>38</v>
      </c>
      <c r="DW4" s="3">
        <v>808.55314701746454</v>
      </c>
      <c r="DX4" s="3">
        <v>2427.1700024181005</v>
      </c>
      <c r="DY4" s="3">
        <v>0</v>
      </c>
      <c r="DZ4" s="3">
        <v>0</v>
      </c>
      <c r="EA4" s="3">
        <v>3235.7231494355651</v>
      </c>
      <c r="EB4" s="7" t="s">
        <v>110</v>
      </c>
      <c r="EC4" s="2" t="s">
        <v>38</v>
      </c>
      <c r="ED4" s="3">
        <v>187273.57532857032</v>
      </c>
      <c r="EE4" s="3">
        <v>0</v>
      </c>
      <c r="EF4" s="3">
        <v>0</v>
      </c>
      <c r="EG4" s="3">
        <v>0</v>
      </c>
      <c r="EH4" s="3">
        <v>187273.57532857032</v>
      </c>
    </row>
    <row r="5" spans="1:138" ht="10.199999999999999" customHeight="1" x14ac:dyDescent="0.2">
      <c r="A5" s="7" t="s">
        <v>113</v>
      </c>
      <c r="B5" s="2" t="s">
        <v>41</v>
      </c>
      <c r="C5" s="3">
        <f t="shared" ref="C5:C41" si="4">BI5</f>
        <v>0</v>
      </c>
      <c r="D5" s="3">
        <f t="shared" ref="D5:D41" si="5">BP5</f>
        <v>3249.2077433182003</v>
      </c>
      <c r="E5" s="3">
        <f t="shared" ref="E5:E41" si="6">BW5</f>
        <v>0</v>
      </c>
      <c r="F5" s="3">
        <f t="shared" ref="F5:F41" si="7">CD5</f>
        <v>0</v>
      </c>
      <c r="G5" s="3">
        <f t="shared" ref="G5:G41" si="8">CK5</f>
        <v>10568.975212173467</v>
      </c>
      <c r="H5" s="3">
        <f t="shared" ref="H5:H41" si="9">CR5</f>
        <v>0</v>
      </c>
      <c r="I5" s="3">
        <f t="shared" ref="I5:I41" si="10">CY5</f>
        <v>0</v>
      </c>
      <c r="J5" s="3">
        <f t="shared" ref="J5:J41" si="11">DM5</f>
        <v>0</v>
      </c>
      <c r="K5" s="3">
        <f t="shared" ref="K5:K41" si="12">DF5</f>
        <v>0</v>
      </c>
      <c r="L5" s="3">
        <f t="shared" ref="L5:L41" si="13">DT5</f>
        <v>304998.93431679771</v>
      </c>
      <c r="M5" s="3">
        <f t="shared" ref="M5:M41" si="14">EH5</f>
        <v>385642.69524792372</v>
      </c>
      <c r="N5" s="3">
        <f t="shared" ref="N5:N41" si="15">EA5</f>
        <v>1001668.0963983852</v>
      </c>
      <c r="O5" s="3">
        <f t="shared" ref="O5:O41" si="16">SUM(C5:N5)</f>
        <v>1706127.9089185982</v>
      </c>
      <c r="P5" s="7" t="s">
        <v>113</v>
      </c>
      <c r="Q5" s="2" t="s">
        <v>41</v>
      </c>
      <c r="R5" s="3">
        <f t="shared" ref="R5:AA30" si="17">C5</f>
        <v>0</v>
      </c>
      <c r="S5" s="3">
        <f t="shared" si="17"/>
        <v>3249.2077433182003</v>
      </c>
      <c r="T5" s="3">
        <f t="shared" si="17"/>
        <v>0</v>
      </c>
      <c r="U5" s="3">
        <f t="shared" si="17"/>
        <v>0</v>
      </c>
      <c r="V5" s="3">
        <f t="shared" si="17"/>
        <v>10568.975212173467</v>
      </c>
      <c r="W5" s="3">
        <f t="shared" si="17"/>
        <v>0</v>
      </c>
      <c r="X5" s="3">
        <f t="shared" si="17"/>
        <v>0</v>
      </c>
      <c r="Y5" s="3">
        <f t="shared" si="17"/>
        <v>0</v>
      </c>
      <c r="Z5" s="3">
        <f t="shared" si="17"/>
        <v>0</v>
      </c>
      <c r="AA5" s="3">
        <f t="shared" si="17"/>
        <v>304998.93431679771</v>
      </c>
      <c r="AB5" s="3">
        <f t="shared" ref="AB5:AB41" si="18">SUM(R5:AA5)</f>
        <v>318817.11727228935</v>
      </c>
      <c r="AC5" s="7" t="s">
        <v>113</v>
      </c>
      <c r="AD5" s="2" t="s">
        <v>41</v>
      </c>
      <c r="AE5" s="3">
        <f t="shared" ref="AE5:AF41" si="19">M5</f>
        <v>385642.69524792372</v>
      </c>
      <c r="AF5" s="3">
        <f t="shared" si="19"/>
        <v>1001668.0963983852</v>
      </c>
      <c r="AG5" s="3">
        <f t="shared" ref="AG5:AG41" si="20">SUM(AE5:AF5)</f>
        <v>1387310.791646309</v>
      </c>
      <c r="AH5" s="7" t="s">
        <v>113</v>
      </c>
      <c r="AI5" s="2" t="s">
        <v>41</v>
      </c>
      <c r="AJ5" s="3">
        <f t="shared" ref="AJ5:AM41" si="21">AQ5+AX5</f>
        <v>696722.10133710958</v>
      </c>
      <c r="AK5" s="3">
        <f t="shared" si="1"/>
        <v>164548.58729393824</v>
      </c>
      <c r="AL5" s="3">
        <f t="shared" si="1"/>
        <v>844857.22028755047</v>
      </c>
      <c r="AM5" s="3">
        <f t="shared" si="1"/>
        <v>0</v>
      </c>
      <c r="AN5" s="3">
        <f t="shared" ref="AN5:AN41" si="22">SUM(AJ5:AM5)</f>
        <v>1706127.9089185982</v>
      </c>
      <c r="AO5" s="7" t="s">
        <v>113</v>
      </c>
      <c r="AP5" s="2" t="s">
        <v>41</v>
      </c>
      <c r="AQ5" s="3">
        <f t="shared" ref="AQ5:AT41" si="23">BE5+BL5+BS5+BZ5+CG5+CN5+CU5+DB5+DI5+DP5</f>
        <v>317585.92628084682</v>
      </c>
      <c r="AR5" s="3">
        <f t="shared" si="2"/>
        <v>1231.1909914425148</v>
      </c>
      <c r="AS5" s="3">
        <f t="shared" si="2"/>
        <v>0</v>
      </c>
      <c r="AT5" s="3">
        <f t="shared" si="2"/>
        <v>0</v>
      </c>
      <c r="AU5" s="3">
        <f t="shared" ref="AU5:AU41" si="24">SUM(AQ5:AT5)</f>
        <v>318817.11727228935</v>
      </c>
      <c r="AV5" s="7" t="s">
        <v>113</v>
      </c>
      <c r="AW5" s="2" t="s">
        <v>41</v>
      </c>
      <c r="AX5" s="3">
        <f t="shared" ref="AX5:BA41" si="25">DW5+ED5</f>
        <v>379136.17505626276</v>
      </c>
      <c r="AY5" s="3">
        <f t="shared" si="3"/>
        <v>163317.39630249573</v>
      </c>
      <c r="AZ5" s="3">
        <f t="shared" si="3"/>
        <v>844857.22028755047</v>
      </c>
      <c r="BA5" s="3">
        <f t="shared" si="3"/>
        <v>0</v>
      </c>
      <c r="BB5" s="3">
        <f t="shared" ref="BB5:BB41" si="26">SUM(AX5:BA5)</f>
        <v>1387310.791646309</v>
      </c>
      <c r="BC5" s="7" t="s">
        <v>113</v>
      </c>
      <c r="BD5" s="2" t="s">
        <v>41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7" t="s">
        <v>113</v>
      </c>
      <c r="BK5" s="2" t="s">
        <v>41</v>
      </c>
      <c r="BL5" s="3">
        <v>2026.4785456313041</v>
      </c>
      <c r="BM5" s="3">
        <v>1222.7291976868962</v>
      </c>
      <c r="BN5" s="3">
        <v>0</v>
      </c>
      <c r="BO5" s="3">
        <v>0</v>
      </c>
      <c r="BP5" s="3">
        <v>3249.2077433182003</v>
      </c>
      <c r="BQ5" s="7" t="s">
        <v>113</v>
      </c>
      <c r="BR5" s="2" t="s">
        <v>41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7" t="s">
        <v>113</v>
      </c>
      <c r="BY5" s="2" t="s">
        <v>41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7" t="s">
        <v>113</v>
      </c>
      <c r="CF5" s="2" t="s">
        <v>41</v>
      </c>
      <c r="CG5" s="3">
        <v>10568.975212173467</v>
      </c>
      <c r="CH5" s="3">
        <v>0</v>
      </c>
      <c r="CI5" s="3">
        <v>0</v>
      </c>
      <c r="CJ5" s="3">
        <v>0</v>
      </c>
      <c r="CK5" s="3">
        <v>10568.975212173467</v>
      </c>
      <c r="CL5" s="7" t="s">
        <v>113</v>
      </c>
      <c r="CM5" s="2" t="s">
        <v>41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7" t="s">
        <v>113</v>
      </c>
      <c r="CT5" s="2" t="s">
        <v>41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7" t="s">
        <v>113</v>
      </c>
      <c r="DA5" s="2" t="s">
        <v>41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7" t="s">
        <v>113</v>
      </c>
      <c r="DH5" s="2" t="s">
        <v>41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7" t="s">
        <v>113</v>
      </c>
      <c r="DO5" s="2" t="s">
        <v>41</v>
      </c>
      <c r="DP5" s="3">
        <v>304990.47252304206</v>
      </c>
      <c r="DQ5" s="3">
        <v>8.4617937556186593</v>
      </c>
      <c r="DR5" s="3">
        <v>0</v>
      </c>
      <c r="DS5" s="3">
        <v>0</v>
      </c>
      <c r="DT5" s="3">
        <v>304998.93431679771</v>
      </c>
      <c r="DU5" s="7" t="s">
        <v>113</v>
      </c>
      <c r="DV5" s="2" t="s">
        <v>41</v>
      </c>
      <c r="DW5" s="3">
        <v>14499.882806662354</v>
      </c>
      <c r="DX5" s="3">
        <v>142310.99330417241</v>
      </c>
      <c r="DY5" s="3">
        <v>844857.22028755047</v>
      </c>
      <c r="DZ5" s="3">
        <v>0</v>
      </c>
      <c r="EA5" s="3">
        <v>1001668.0963983852</v>
      </c>
      <c r="EB5" s="7" t="s">
        <v>113</v>
      </c>
      <c r="EC5" s="2" t="s">
        <v>41</v>
      </c>
      <c r="ED5" s="3">
        <v>364636.2922496004</v>
      </c>
      <c r="EE5" s="3">
        <v>21006.402998323323</v>
      </c>
      <c r="EF5" s="3">
        <v>0</v>
      </c>
      <c r="EG5" s="3">
        <v>0</v>
      </c>
      <c r="EH5" s="3">
        <v>385642.69524792372</v>
      </c>
    </row>
    <row r="6" spans="1:138" ht="10.199999999999999" customHeight="1" x14ac:dyDescent="0.2">
      <c r="A6" s="7" t="s">
        <v>119</v>
      </c>
      <c r="B6" s="2" t="s">
        <v>47</v>
      </c>
      <c r="C6" s="3">
        <f t="shared" si="4"/>
        <v>0</v>
      </c>
      <c r="D6" s="3">
        <f t="shared" si="5"/>
        <v>6467.0674062820817</v>
      </c>
      <c r="E6" s="3">
        <f t="shared" si="6"/>
        <v>1593995687.335762</v>
      </c>
      <c r="F6" s="3">
        <f t="shared" si="7"/>
        <v>18858755.475431912</v>
      </c>
      <c r="G6" s="3">
        <f t="shared" si="8"/>
        <v>0</v>
      </c>
      <c r="H6" s="3">
        <f t="shared" si="9"/>
        <v>0</v>
      </c>
      <c r="I6" s="3">
        <f t="shared" si="10"/>
        <v>537797.63949945115</v>
      </c>
      <c r="J6" s="3">
        <f t="shared" si="11"/>
        <v>0</v>
      </c>
      <c r="K6" s="3">
        <f t="shared" si="12"/>
        <v>1743117.4968427934</v>
      </c>
      <c r="L6" s="3">
        <f t="shared" si="13"/>
        <v>1684.0020782334075</v>
      </c>
      <c r="M6" s="3">
        <f t="shared" si="14"/>
        <v>3732094.6611137614</v>
      </c>
      <c r="N6" s="3">
        <f t="shared" si="15"/>
        <v>1165959.0729038133</v>
      </c>
      <c r="O6" s="3">
        <f t="shared" si="16"/>
        <v>1620041562.7510383</v>
      </c>
      <c r="P6" s="7" t="s">
        <v>119</v>
      </c>
      <c r="Q6" s="2" t="s">
        <v>47</v>
      </c>
      <c r="R6" s="3">
        <f t="shared" si="17"/>
        <v>0</v>
      </c>
      <c r="S6" s="3">
        <f t="shared" si="17"/>
        <v>6467.0674062820817</v>
      </c>
      <c r="T6" s="3">
        <f t="shared" si="17"/>
        <v>1593995687.335762</v>
      </c>
      <c r="U6" s="3">
        <f t="shared" si="17"/>
        <v>18858755.475431912</v>
      </c>
      <c r="V6" s="3">
        <f t="shared" si="17"/>
        <v>0</v>
      </c>
      <c r="W6" s="3">
        <f t="shared" si="17"/>
        <v>0</v>
      </c>
      <c r="X6" s="3">
        <f t="shared" si="17"/>
        <v>537797.63949945115</v>
      </c>
      <c r="Y6" s="3">
        <f t="shared" si="17"/>
        <v>0</v>
      </c>
      <c r="Z6" s="3">
        <f t="shared" si="17"/>
        <v>1743117.4968427934</v>
      </c>
      <c r="AA6" s="3">
        <f t="shared" si="17"/>
        <v>1684.0020782334075</v>
      </c>
      <c r="AB6" s="3">
        <f t="shared" si="18"/>
        <v>1615143509.0170207</v>
      </c>
      <c r="AC6" s="7" t="s">
        <v>119</v>
      </c>
      <c r="AD6" s="2" t="s">
        <v>47</v>
      </c>
      <c r="AE6" s="3">
        <f t="shared" si="19"/>
        <v>3732094.6611137614</v>
      </c>
      <c r="AF6" s="3">
        <f t="shared" si="19"/>
        <v>1165959.0729038133</v>
      </c>
      <c r="AG6" s="3">
        <f t="shared" si="20"/>
        <v>4898053.7340175752</v>
      </c>
      <c r="AH6" s="7" t="s">
        <v>119</v>
      </c>
      <c r="AI6" s="2" t="s">
        <v>47</v>
      </c>
      <c r="AJ6" s="3">
        <f t="shared" si="21"/>
        <v>2600713.4531373293</v>
      </c>
      <c r="AK6" s="3">
        <f t="shared" si="1"/>
        <v>6271614.0705483388</v>
      </c>
      <c r="AL6" s="3">
        <f t="shared" si="1"/>
        <v>17173547.89159058</v>
      </c>
      <c r="AM6" s="3">
        <f t="shared" si="1"/>
        <v>1593995687.335762</v>
      </c>
      <c r="AN6" s="3">
        <f t="shared" si="22"/>
        <v>1620041562.7510383</v>
      </c>
      <c r="AO6" s="7" t="s">
        <v>119</v>
      </c>
      <c r="AP6" s="2" t="s">
        <v>47</v>
      </c>
      <c r="AQ6" s="3">
        <f t="shared" si="23"/>
        <v>566521.89715731086</v>
      </c>
      <c r="AR6" s="3">
        <f t="shared" si="2"/>
        <v>3735001.4251538464</v>
      </c>
      <c r="AS6" s="3">
        <f t="shared" si="2"/>
        <v>16846298.358947515</v>
      </c>
      <c r="AT6" s="3">
        <f t="shared" si="2"/>
        <v>1593995687.335762</v>
      </c>
      <c r="AU6" s="3">
        <f t="shared" si="24"/>
        <v>1615143509.0170207</v>
      </c>
      <c r="AV6" s="7" t="s">
        <v>119</v>
      </c>
      <c r="AW6" s="2" t="s">
        <v>47</v>
      </c>
      <c r="AX6" s="3">
        <f t="shared" si="25"/>
        <v>2034191.5559800186</v>
      </c>
      <c r="AY6" s="3">
        <f t="shared" si="3"/>
        <v>2536612.6453944929</v>
      </c>
      <c r="AZ6" s="3">
        <f t="shared" si="3"/>
        <v>327249.53264306352</v>
      </c>
      <c r="BA6" s="3">
        <f t="shared" si="3"/>
        <v>0</v>
      </c>
      <c r="BB6" s="3">
        <f t="shared" si="26"/>
        <v>4898053.7340175752</v>
      </c>
      <c r="BC6" s="7" t="s">
        <v>119</v>
      </c>
      <c r="BD6" s="2" t="s">
        <v>47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7" t="s">
        <v>119</v>
      </c>
      <c r="BK6" s="2" t="s">
        <v>47</v>
      </c>
      <c r="BL6" s="3">
        <v>6467.0674062820817</v>
      </c>
      <c r="BM6" s="3">
        <v>0</v>
      </c>
      <c r="BN6" s="3">
        <v>0</v>
      </c>
      <c r="BO6" s="3">
        <v>0</v>
      </c>
      <c r="BP6" s="3">
        <v>6467.0674062820817</v>
      </c>
      <c r="BQ6" s="7" t="s">
        <v>119</v>
      </c>
      <c r="BR6" s="2" t="s">
        <v>47</v>
      </c>
      <c r="BS6" s="3">
        <v>0</v>
      </c>
      <c r="BT6" s="3">
        <v>0</v>
      </c>
      <c r="BU6" s="3">
        <v>0</v>
      </c>
      <c r="BV6" s="3">
        <v>1593995687.335762</v>
      </c>
      <c r="BW6" s="3">
        <v>1593995687.335762</v>
      </c>
      <c r="BX6" s="7" t="s">
        <v>119</v>
      </c>
      <c r="BY6" s="2" t="s">
        <v>47</v>
      </c>
      <c r="BZ6" s="3">
        <v>8000</v>
      </c>
      <c r="CA6" s="3">
        <v>2004457.1164843971</v>
      </c>
      <c r="CB6" s="3">
        <v>16846298.358947515</v>
      </c>
      <c r="CC6" s="3">
        <v>0</v>
      </c>
      <c r="CD6" s="3">
        <v>18858755.475431912</v>
      </c>
      <c r="CE6" s="7" t="s">
        <v>119</v>
      </c>
      <c r="CF6" s="2" t="s">
        <v>47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7" t="s">
        <v>119</v>
      </c>
      <c r="CM6" s="2" t="s">
        <v>47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7" t="s">
        <v>119</v>
      </c>
      <c r="CT6" s="2" t="s">
        <v>47</v>
      </c>
      <c r="CU6" s="3">
        <v>531650.04502762132</v>
      </c>
      <c r="CV6" s="3">
        <v>6147.5944718298751</v>
      </c>
      <c r="CW6" s="3">
        <v>0</v>
      </c>
      <c r="CX6" s="3">
        <v>0</v>
      </c>
      <c r="CY6" s="3">
        <v>537797.63949945115</v>
      </c>
      <c r="CZ6" s="7" t="s">
        <v>119</v>
      </c>
      <c r="DA6" s="2" t="s">
        <v>47</v>
      </c>
      <c r="DB6" s="3">
        <v>18720.782645174026</v>
      </c>
      <c r="DC6" s="3">
        <v>1724396.7141976194</v>
      </c>
      <c r="DD6" s="3">
        <v>0</v>
      </c>
      <c r="DE6" s="3">
        <v>0</v>
      </c>
      <c r="DF6" s="3">
        <v>1743117.4968427934</v>
      </c>
      <c r="DG6" s="7" t="s">
        <v>119</v>
      </c>
      <c r="DH6" s="2" t="s">
        <v>47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7" t="s">
        <v>119</v>
      </c>
      <c r="DO6" s="2" t="s">
        <v>47</v>
      </c>
      <c r="DP6" s="3">
        <v>1684.0020782334075</v>
      </c>
      <c r="DQ6" s="3">
        <v>0</v>
      </c>
      <c r="DR6" s="3">
        <v>0</v>
      </c>
      <c r="DS6" s="3">
        <v>0</v>
      </c>
      <c r="DT6" s="3">
        <v>1684.0020782334075</v>
      </c>
      <c r="DU6" s="7" t="s">
        <v>119</v>
      </c>
      <c r="DV6" s="2" t="s">
        <v>47</v>
      </c>
      <c r="DW6" s="3">
        <v>504717.76056444616</v>
      </c>
      <c r="DX6" s="3">
        <v>338151.9536174534</v>
      </c>
      <c r="DY6" s="3">
        <v>323089.35872191371</v>
      </c>
      <c r="DZ6" s="3">
        <v>0</v>
      </c>
      <c r="EA6" s="3">
        <v>1165959.0729038133</v>
      </c>
      <c r="EB6" s="7" t="s">
        <v>119</v>
      </c>
      <c r="EC6" s="2" t="s">
        <v>47</v>
      </c>
      <c r="ED6" s="3">
        <v>1529473.7954155724</v>
      </c>
      <c r="EE6" s="3">
        <v>2198460.6917770393</v>
      </c>
      <c r="EF6" s="3">
        <v>4160.1739211497834</v>
      </c>
      <c r="EG6" s="3">
        <v>0</v>
      </c>
      <c r="EH6" s="3">
        <v>3732094.6611137614</v>
      </c>
    </row>
    <row r="7" spans="1:138" ht="10.199999999999999" customHeight="1" x14ac:dyDescent="0.2">
      <c r="A7" s="7" t="s">
        <v>121</v>
      </c>
      <c r="B7" s="2" t="s">
        <v>49</v>
      </c>
      <c r="C7" s="3">
        <f t="shared" si="4"/>
        <v>0</v>
      </c>
      <c r="D7" s="3">
        <f t="shared" si="5"/>
        <v>1487.1952186398785</v>
      </c>
      <c r="E7" s="3">
        <f t="shared" si="6"/>
        <v>2978916.9210589617</v>
      </c>
      <c r="F7" s="3">
        <f t="shared" si="7"/>
        <v>152279.99459605664</v>
      </c>
      <c r="G7" s="3">
        <f t="shared" si="8"/>
        <v>8811.875431693672</v>
      </c>
      <c r="H7" s="3">
        <f t="shared" si="9"/>
        <v>0</v>
      </c>
      <c r="I7" s="3">
        <f t="shared" si="10"/>
        <v>1242964.7370646663</v>
      </c>
      <c r="J7" s="3">
        <f t="shared" si="11"/>
        <v>0</v>
      </c>
      <c r="K7" s="3">
        <f t="shared" si="12"/>
        <v>0</v>
      </c>
      <c r="L7" s="3">
        <f t="shared" si="13"/>
        <v>3784.1923972425034</v>
      </c>
      <c r="M7" s="3">
        <f t="shared" si="14"/>
        <v>1309641.0739423186</v>
      </c>
      <c r="N7" s="3">
        <f t="shared" si="15"/>
        <v>129531.04705129466</v>
      </c>
      <c r="O7" s="3">
        <f t="shared" si="16"/>
        <v>5827417.0367608741</v>
      </c>
      <c r="P7" s="7" t="s">
        <v>121</v>
      </c>
      <c r="Q7" s="2" t="s">
        <v>49</v>
      </c>
      <c r="R7" s="3">
        <f t="shared" si="17"/>
        <v>0</v>
      </c>
      <c r="S7" s="3">
        <f t="shared" si="17"/>
        <v>1487.1952186398785</v>
      </c>
      <c r="T7" s="3">
        <f t="shared" si="17"/>
        <v>2978916.9210589617</v>
      </c>
      <c r="U7" s="3">
        <f t="shared" si="17"/>
        <v>152279.99459605664</v>
      </c>
      <c r="V7" s="3">
        <f t="shared" si="17"/>
        <v>8811.875431693672</v>
      </c>
      <c r="W7" s="3">
        <f t="shared" si="17"/>
        <v>0</v>
      </c>
      <c r="X7" s="3">
        <f t="shared" si="17"/>
        <v>1242964.7370646663</v>
      </c>
      <c r="Y7" s="3">
        <f t="shared" si="17"/>
        <v>0</v>
      </c>
      <c r="Z7" s="3">
        <f t="shared" si="17"/>
        <v>0</v>
      </c>
      <c r="AA7" s="3">
        <f t="shared" si="17"/>
        <v>3784.1923972425034</v>
      </c>
      <c r="AB7" s="3">
        <f t="shared" si="18"/>
        <v>4388244.9157672608</v>
      </c>
      <c r="AC7" s="7" t="s">
        <v>121</v>
      </c>
      <c r="AD7" s="2" t="s">
        <v>49</v>
      </c>
      <c r="AE7" s="3">
        <f t="shared" si="19"/>
        <v>1309641.0739423186</v>
      </c>
      <c r="AF7" s="3">
        <f t="shared" si="19"/>
        <v>129531.04705129466</v>
      </c>
      <c r="AG7" s="3">
        <f t="shared" si="20"/>
        <v>1439172.1209936133</v>
      </c>
      <c r="AH7" s="7" t="s">
        <v>121</v>
      </c>
      <c r="AI7" s="2" t="s">
        <v>49</v>
      </c>
      <c r="AJ7" s="3">
        <f t="shared" si="21"/>
        <v>1732202.1626044633</v>
      </c>
      <c r="AK7" s="3">
        <f t="shared" si="1"/>
        <v>3701746.5654538022</v>
      </c>
      <c r="AL7" s="3">
        <f t="shared" si="1"/>
        <v>393468.30870260851</v>
      </c>
      <c r="AM7" s="3">
        <f t="shared" si="1"/>
        <v>0</v>
      </c>
      <c r="AN7" s="3">
        <f t="shared" si="22"/>
        <v>5827417.0367608741</v>
      </c>
      <c r="AO7" s="7" t="s">
        <v>121</v>
      </c>
      <c r="AP7" s="2" t="s">
        <v>49</v>
      </c>
      <c r="AQ7" s="3">
        <f t="shared" si="23"/>
        <v>662329.68652979413</v>
      </c>
      <c r="AR7" s="3">
        <f t="shared" si="2"/>
        <v>3336090.8772410159</v>
      </c>
      <c r="AS7" s="3">
        <f t="shared" si="2"/>
        <v>389824.35199645092</v>
      </c>
      <c r="AT7" s="3">
        <f t="shared" si="2"/>
        <v>0</v>
      </c>
      <c r="AU7" s="3">
        <f t="shared" si="24"/>
        <v>4388244.9157672608</v>
      </c>
      <c r="AV7" s="7" t="s">
        <v>121</v>
      </c>
      <c r="AW7" s="2" t="s">
        <v>49</v>
      </c>
      <c r="AX7" s="3">
        <f t="shared" si="25"/>
        <v>1069872.4760746693</v>
      </c>
      <c r="AY7" s="3">
        <f t="shared" si="3"/>
        <v>365655.68821278616</v>
      </c>
      <c r="AZ7" s="3">
        <f t="shared" si="3"/>
        <v>3643.9567061575767</v>
      </c>
      <c r="BA7" s="3">
        <f t="shared" si="3"/>
        <v>0</v>
      </c>
      <c r="BB7" s="3">
        <f t="shared" si="26"/>
        <v>1439172.120993613</v>
      </c>
      <c r="BC7" s="7" t="s">
        <v>121</v>
      </c>
      <c r="BD7" s="2" t="s">
        <v>49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7" t="s">
        <v>121</v>
      </c>
      <c r="BK7" s="2" t="s">
        <v>49</v>
      </c>
      <c r="BL7" s="3">
        <v>1487.1952186398785</v>
      </c>
      <c r="BM7" s="3">
        <v>0</v>
      </c>
      <c r="BN7" s="3">
        <v>0</v>
      </c>
      <c r="BO7" s="3">
        <v>0</v>
      </c>
      <c r="BP7" s="3">
        <v>1487.1952186398785</v>
      </c>
      <c r="BQ7" s="7" t="s">
        <v>121</v>
      </c>
      <c r="BR7" s="2" t="s">
        <v>49</v>
      </c>
      <c r="BS7" s="3">
        <v>0</v>
      </c>
      <c r="BT7" s="3">
        <v>2602102.6678790683</v>
      </c>
      <c r="BU7" s="3">
        <v>376814.25317989336</v>
      </c>
      <c r="BV7" s="3">
        <v>0</v>
      </c>
      <c r="BW7" s="3">
        <v>2978916.9210589617</v>
      </c>
      <c r="BX7" s="7" t="s">
        <v>121</v>
      </c>
      <c r="BY7" s="2" t="s">
        <v>49</v>
      </c>
      <c r="BZ7" s="3">
        <v>152279.99459605664</v>
      </c>
      <c r="CA7" s="3">
        <v>0</v>
      </c>
      <c r="CB7" s="3">
        <v>0</v>
      </c>
      <c r="CC7" s="3">
        <v>0</v>
      </c>
      <c r="CD7" s="3">
        <v>152279.99459605664</v>
      </c>
      <c r="CE7" s="7" t="s">
        <v>121</v>
      </c>
      <c r="CF7" s="2" t="s">
        <v>49</v>
      </c>
      <c r="CG7" s="3">
        <v>3496.92</v>
      </c>
      <c r="CH7" s="3">
        <v>5305.3449964246847</v>
      </c>
      <c r="CI7" s="3">
        <v>9.6104352689870147</v>
      </c>
      <c r="CJ7" s="3">
        <v>0</v>
      </c>
      <c r="CK7" s="3">
        <v>8811.875431693672</v>
      </c>
      <c r="CL7" s="7" t="s">
        <v>121</v>
      </c>
      <c r="CM7" s="2" t="s">
        <v>49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7" t="s">
        <v>121</v>
      </c>
      <c r="CT7" s="2" t="s">
        <v>49</v>
      </c>
      <c r="CU7" s="3">
        <v>501281.384317855</v>
      </c>
      <c r="CV7" s="3">
        <v>728682.86436552275</v>
      </c>
      <c r="CW7" s="3">
        <v>13000.488381288616</v>
      </c>
      <c r="CX7" s="3">
        <v>0</v>
      </c>
      <c r="CY7" s="3">
        <v>1242964.7370646663</v>
      </c>
      <c r="CZ7" s="7" t="s">
        <v>121</v>
      </c>
      <c r="DA7" s="2" t="s">
        <v>49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7" t="s">
        <v>121</v>
      </c>
      <c r="DH7" s="2" t="s">
        <v>49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7" t="s">
        <v>121</v>
      </c>
      <c r="DO7" s="2" t="s">
        <v>49</v>
      </c>
      <c r="DP7" s="3">
        <v>3784.1923972425034</v>
      </c>
      <c r="DQ7" s="3">
        <v>0</v>
      </c>
      <c r="DR7" s="3">
        <v>0</v>
      </c>
      <c r="DS7" s="3">
        <v>0</v>
      </c>
      <c r="DT7" s="3">
        <v>3784.1923972425034</v>
      </c>
      <c r="DU7" s="7" t="s">
        <v>121</v>
      </c>
      <c r="DV7" s="2" t="s">
        <v>49</v>
      </c>
      <c r="DW7" s="3">
        <v>93360.878116504857</v>
      </c>
      <c r="DX7" s="3">
        <v>32526.212228632234</v>
      </c>
      <c r="DY7" s="3">
        <v>3643.9567061575767</v>
      </c>
      <c r="DZ7" s="3">
        <v>0</v>
      </c>
      <c r="EA7" s="3">
        <v>129531.04705129466</v>
      </c>
      <c r="EB7" s="7" t="s">
        <v>121</v>
      </c>
      <c r="EC7" s="2" t="s">
        <v>49</v>
      </c>
      <c r="ED7" s="3">
        <v>976511.59795816452</v>
      </c>
      <c r="EE7" s="3">
        <v>333129.47598415392</v>
      </c>
      <c r="EF7" s="3">
        <v>0</v>
      </c>
      <c r="EG7" s="3">
        <v>0</v>
      </c>
      <c r="EH7" s="3">
        <v>1309641.0739423186</v>
      </c>
    </row>
    <row r="8" spans="1:138" ht="10.199999999999999" customHeight="1" x14ac:dyDescent="0.2">
      <c r="A8" s="7" t="s">
        <v>95</v>
      </c>
      <c r="B8" s="2" t="s">
        <v>23</v>
      </c>
      <c r="C8" s="3">
        <f t="shared" si="4"/>
        <v>0</v>
      </c>
      <c r="D8" s="3">
        <f t="shared" si="5"/>
        <v>1297.9851011770077</v>
      </c>
      <c r="E8" s="3">
        <f t="shared" si="6"/>
        <v>0</v>
      </c>
      <c r="F8" s="3">
        <f t="shared" si="7"/>
        <v>0</v>
      </c>
      <c r="G8" s="3">
        <f t="shared" si="8"/>
        <v>69890.921875316359</v>
      </c>
      <c r="H8" s="3">
        <f t="shared" si="9"/>
        <v>0</v>
      </c>
      <c r="I8" s="3">
        <f t="shared" si="10"/>
        <v>461249.13843843061</v>
      </c>
      <c r="J8" s="3">
        <f t="shared" si="11"/>
        <v>10963093.486056495</v>
      </c>
      <c r="K8" s="3">
        <f t="shared" si="12"/>
        <v>0</v>
      </c>
      <c r="L8" s="3">
        <f t="shared" si="13"/>
        <v>10708.28710587662</v>
      </c>
      <c r="M8" s="3">
        <f t="shared" si="14"/>
        <v>10619895.380155845</v>
      </c>
      <c r="N8" s="3">
        <f t="shared" si="15"/>
        <v>2845383.5380792674</v>
      </c>
      <c r="O8" s="3">
        <f t="shared" si="16"/>
        <v>24971518.736812413</v>
      </c>
      <c r="P8" s="7" t="s">
        <v>95</v>
      </c>
      <c r="Q8" s="2" t="s">
        <v>23</v>
      </c>
      <c r="R8" s="3">
        <f t="shared" si="17"/>
        <v>0</v>
      </c>
      <c r="S8" s="3">
        <f t="shared" si="17"/>
        <v>1297.9851011770077</v>
      </c>
      <c r="T8" s="3">
        <f t="shared" si="17"/>
        <v>0</v>
      </c>
      <c r="U8" s="3">
        <f t="shared" si="17"/>
        <v>0</v>
      </c>
      <c r="V8" s="3">
        <f t="shared" si="17"/>
        <v>69890.921875316359</v>
      </c>
      <c r="W8" s="3">
        <f t="shared" si="17"/>
        <v>0</v>
      </c>
      <c r="X8" s="3">
        <f t="shared" si="17"/>
        <v>461249.13843843061</v>
      </c>
      <c r="Y8" s="3">
        <f t="shared" si="17"/>
        <v>10963093.486056495</v>
      </c>
      <c r="Z8" s="3">
        <f t="shared" si="17"/>
        <v>0</v>
      </c>
      <c r="AA8" s="3">
        <f t="shared" si="17"/>
        <v>10708.28710587662</v>
      </c>
      <c r="AB8" s="3">
        <f t="shared" si="18"/>
        <v>11506239.818577297</v>
      </c>
      <c r="AC8" s="7" t="s">
        <v>95</v>
      </c>
      <c r="AD8" s="2" t="s">
        <v>23</v>
      </c>
      <c r="AE8" s="3">
        <f t="shared" si="19"/>
        <v>10619895.380155845</v>
      </c>
      <c r="AF8" s="3">
        <f t="shared" si="19"/>
        <v>2845383.5380792674</v>
      </c>
      <c r="AG8" s="3">
        <f t="shared" si="20"/>
        <v>13465278.918235112</v>
      </c>
      <c r="AH8" s="7" t="s">
        <v>95</v>
      </c>
      <c r="AI8" s="2" t="s">
        <v>23</v>
      </c>
      <c r="AJ8" s="3">
        <f t="shared" si="21"/>
        <v>22289621.654584199</v>
      </c>
      <c r="AK8" s="3">
        <f t="shared" si="1"/>
        <v>2469459.8537652874</v>
      </c>
      <c r="AL8" s="3">
        <f t="shared" si="1"/>
        <v>212437.22846292166</v>
      </c>
      <c r="AM8" s="3">
        <f t="shared" si="1"/>
        <v>0</v>
      </c>
      <c r="AN8" s="3">
        <f t="shared" si="22"/>
        <v>24971518.736812409</v>
      </c>
      <c r="AO8" s="7" t="s">
        <v>95</v>
      </c>
      <c r="AP8" s="2" t="s">
        <v>23</v>
      </c>
      <c r="AQ8" s="3">
        <f t="shared" si="23"/>
        <v>11232191.953280158</v>
      </c>
      <c r="AR8" s="3">
        <f t="shared" si="2"/>
        <v>272990.14107768517</v>
      </c>
      <c r="AS8" s="3">
        <f t="shared" si="2"/>
        <v>1057.7242194523324</v>
      </c>
      <c r="AT8" s="3">
        <f t="shared" si="2"/>
        <v>0</v>
      </c>
      <c r="AU8" s="3">
        <f t="shared" si="24"/>
        <v>11506239.818577297</v>
      </c>
      <c r="AV8" s="7" t="s">
        <v>95</v>
      </c>
      <c r="AW8" s="2" t="s">
        <v>23</v>
      </c>
      <c r="AX8" s="3">
        <f t="shared" si="25"/>
        <v>11057429.701304039</v>
      </c>
      <c r="AY8" s="3">
        <f t="shared" si="3"/>
        <v>2196469.7126876023</v>
      </c>
      <c r="AZ8" s="3">
        <f t="shared" si="3"/>
        <v>211379.50424346933</v>
      </c>
      <c r="BA8" s="3">
        <f t="shared" si="3"/>
        <v>0</v>
      </c>
      <c r="BB8" s="3">
        <f t="shared" si="26"/>
        <v>13465278.91823511</v>
      </c>
      <c r="BC8" s="7" t="s">
        <v>95</v>
      </c>
      <c r="BD8" s="2" t="s">
        <v>23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7" t="s">
        <v>95</v>
      </c>
      <c r="BK8" s="2" t="s">
        <v>23</v>
      </c>
      <c r="BL8" s="3">
        <v>0</v>
      </c>
      <c r="BM8" s="3">
        <v>240.26088172467539</v>
      </c>
      <c r="BN8" s="3">
        <v>1057.7242194523324</v>
      </c>
      <c r="BO8" s="3">
        <v>0</v>
      </c>
      <c r="BP8" s="3">
        <v>1297.9851011770077</v>
      </c>
      <c r="BQ8" s="7" t="s">
        <v>95</v>
      </c>
      <c r="BR8" s="2" t="s">
        <v>23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7" t="s">
        <v>95</v>
      </c>
      <c r="BY8" s="2" t="s">
        <v>23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7" t="s">
        <v>95</v>
      </c>
      <c r="CF8" s="2" t="s">
        <v>23</v>
      </c>
      <c r="CG8" s="3">
        <v>19968.834821518962</v>
      </c>
      <c r="CH8" s="3">
        <v>49922.087053797404</v>
      </c>
      <c r="CI8" s="3">
        <v>0</v>
      </c>
      <c r="CJ8" s="3">
        <v>0</v>
      </c>
      <c r="CK8" s="3">
        <v>69890.921875316359</v>
      </c>
      <c r="CL8" s="7" t="s">
        <v>95</v>
      </c>
      <c r="CM8" s="2" t="s">
        <v>23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7" t="s">
        <v>95</v>
      </c>
      <c r="CT8" s="2" t="s">
        <v>23</v>
      </c>
      <c r="CU8" s="3">
        <v>239984.81917652709</v>
      </c>
      <c r="CV8" s="3">
        <v>221264.31926190353</v>
      </c>
      <c r="CW8" s="3">
        <v>0</v>
      </c>
      <c r="CX8" s="3">
        <v>0</v>
      </c>
      <c r="CY8" s="3">
        <v>461249.13843843061</v>
      </c>
      <c r="CZ8" s="7" t="s">
        <v>95</v>
      </c>
      <c r="DA8" s="2" t="s">
        <v>23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7" t="s">
        <v>95</v>
      </c>
      <c r="DH8" s="2" t="s">
        <v>23</v>
      </c>
      <c r="DI8" s="3">
        <v>10963093.486056495</v>
      </c>
      <c r="DJ8" s="3">
        <v>0</v>
      </c>
      <c r="DK8" s="3">
        <v>0</v>
      </c>
      <c r="DL8" s="3">
        <v>0</v>
      </c>
      <c r="DM8" s="3">
        <v>10963093.486056495</v>
      </c>
      <c r="DN8" s="7" t="s">
        <v>95</v>
      </c>
      <c r="DO8" s="2" t="s">
        <v>23</v>
      </c>
      <c r="DP8" s="3">
        <v>9144.8132256170757</v>
      </c>
      <c r="DQ8" s="3">
        <v>1563.4738802595432</v>
      </c>
      <c r="DR8" s="3">
        <v>0</v>
      </c>
      <c r="DS8" s="3">
        <v>0</v>
      </c>
      <c r="DT8" s="3">
        <v>10708.28710587662</v>
      </c>
      <c r="DU8" s="7" t="s">
        <v>95</v>
      </c>
      <c r="DV8" s="2" t="s">
        <v>23</v>
      </c>
      <c r="DW8" s="3">
        <v>1141107.6052958709</v>
      </c>
      <c r="DX8" s="3">
        <v>1535172.3293886208</v>
      </c>
      <c r="DY8" s="3">
        <v>169103.60339477548</v>
      </c>
      <c r="DZ8" s="3">
        <v>0</v>
      </c>
      <c r="EA8" s="3">
        <v>2845383.5380792674</v>
      </c>
      <c r="EB8" s="7" t="s">
        <v>95</v>
      </c>
      <c r="EC8" s="2" t="s">
        <v>23</v>
      </c>
      <c r="ED8" s="3">
        <v>9916322.0960081685</v>
      </c>
      <c r="EE8" s="3">
        <v>661297.38329898159</v>
      </c>
      <c r="EF8" s="3">
        <v>42275.900848693869</v>
      </c>
      <c r="EG8" s="3">
        <v>0</v>
      </c>
      <c r="EH8" s="3">
        <v>10619895.380155845</v>
      </c>
    </row>
    <row r="9" spans="1:138" ht="10.199999999999999" customHeight="1" x14ac:dyDescent="0.2">
      <c r="A9" s="7" t="s">
        <v>101</v>
      </c>
      <c r="B9" s="2" t="s">
        <v>29</v>
      </c>
      <c r="C9" s="3">
        <f t="shared" si="4"/>
        <v>0</v>
      </c>
      <c r="D9" s="3">
        <f t="shared" si="5"/>
        <v>22263.695120249249</v>
      </c>
      <c r="E9" s="3">
        <f t="shared" si="6"/>
        <v>0</v>
      </c>
      <c r="F9" s="3">
        <f t="shared" si="7"/>
        <v>0</v>
      </c>
      <c r="G9" s="3">
        <f t="shared" si="8"/>
        <v>22.424348960969702</v>
      </c>
      <c r="H9" s="3">
        <f t="shared" si="9"/>
        <v>0</v>
      </c>
      <c r="I9" s="3">
        <f t="shared" si="10"/>
        <v>4372.0071675285053</v>
      </c>
      <c r="J9" s="3">
        <f t="shared" si="11"/>
        <v>2322.4623058138368</v>
      </c>
      <c r="K9" s="3">
        <f t="shared" si="12"/>
        <v>0</v>
      </c>
      <c r="L9" s="3">
        <f t="shared" si="13"/>
        <v>118455.11610229842</v>
      </c>
      <c r="M9" s="3">
        <f t="shared" si="14"/>
        <v>2612343.9534125477</v>
      </c>
      <c r="N9" s="3">
        <f t="shared" si="15"/>
        <v>107072.55949907098</v>
      </c>
      <c r="O9" s="3">
        <f t="shared" si="16"/>
        <v>2866852.2179564699</v>
      </c>
      <c r="P9" s="7" t="s">
        <v>101</v>
      </c>
      <c r="Q9" s="2" t="s">
        <v>29</v>
      </c>
      <c r="R9" s="3">
        <f t="shared" si="17"/>
        <v>0</v>
      </c>
      <c r="S9" s="3">
        <f t="shared" si="17"/>
        <v>22263.695120249249</v>
      </c>
      <c r="T9" s="3">
        <f t="shared" si="17"/>
        <v>0</v>
      </c>
      <c r="U9" s="3">
        <f t="shared" si="17"/>
        <v>0</v>
      </c>
      <c r="V9" s="3">
        <f t="shared" si="17"/>
        <v>22.424348960969702</v>
      </c>
      <c r="W9" s="3">
        <f t="shared" si="17"/>
        <v>0</v>
      </c>
      <c r="X9" s="3">
        <f t="shared" si="17"/>
        <v>4372.0071675285053</v>
      </c>
      <c r="Y9" s="3">
        <f t="shared" si="17"/>
        <v>2322.4623058138368</v>
      </c>
      <c r="Z9" s="3">
        <f t="shared" si="17"/>
        <v>0</v>
      </c>
      <c r="AA9" s="3">
        <f t="shared" si="17"/>
        <v>118455.11610229842</v>
      </c>
      <c r="AB9" s="3">
        <f t="shared" si="18"/>
        <v>147435.70504485097</v>
      </c>
      <c r="AC9" s="7" t="s">
        <v>101</v>
      </c>
      <c r="AD9" s="2" t="s">
        <v>29</v>
      </c>
      <c r="AE9" s="3">
        <f t="shared" si="19"/>
        <v>2612343.9534125477</v>
      </c>
      <c r="AF9" s="3">
        <f t="shared" si="19"/>
        <v>107072.55949907098</v>
      </c>
      <c r="AG9" s="3">
        <f t="shared" si="20"/>
        <v>2719416.5129116187</v>
      </c>
      <c r="AH9" s="7" t="s">
        <v>101</v>
      </c>
      <c r="AI9" s="2" t="s">
        <v>29</v>
      </c>
      <c r="AJ9" s="3">
        <f t="shared" si="21"/>
        <v>1116685.5082758737</v>
      </c>
      <c r="AK9" s="3">
        <f t="shared" si="1"/>
        <v>1750166.7096805961</v>
      </c>
      <c r="AL9" s="3">
        <f t="shared" si="1"/>
        <v>0</v>
      </c>
      <c r="AM9" s="3">
        <f t="shared" si="1"/>
        <v>0</v>
      </c>
      <c r="AN9" s="3">
        <f t="shared" si="22"/>
        <v>2866852.2179564699</v>
      </c>
      <c r="AO9" s="7" t="s">
        <v>101</v>
      </c>
      <c r="AP9" s="2" t="s">
        <v>29</v>
      </c>
      <c r="AQ9" s="3">
        <f t="shared" si="23"/>
        <v>6336.3458329765808</v>
      </c>
      <c r="AR9" s="3">
        <f t="shared" si="2"/>
        <v>141099.3592118744</v>
      </c>
      <c r="AS9" s="3">
        <f t="shared" si="2"/>
        <v>0</v>
      </c>
      <c r="AT9" s="3">
        <f t="shared" si="2"/>
        <v>0</v>
      </c>
      <c r="AU9" s="3">
        <f t="shared" si="24"/>
        <v>147435.70504485097</v>
      </c>
      <c r="AV9" s="7" t="s">
        <v>101</v>
      </c>
      <c r="AW9" s="2" t="s">
        <v>29</v>
      </c>
      <c r="AX9" s="3">
        <f t="shared" si="25"/>
        <v>1110349.1624428972</v>
      </c>
      <c r="AY9" s="3">
        <f t="shared" si="3"/>
        <v>1609067.3504687217</v>
      </c>
      <c r="AZ9" s="3">
        <f t="shared" si="3"/>
        <v>0</v>
      </c>
      <c r="BA9" s="3">
        <f t="shared" si="3"/>
        <v>0</v>
      </c>
      <c r="BB9" s="3">
        <f t="shared" si="26"/>
        <v>2719416.5129116187</v>
      </c>
      <c r="BC9" s="7" t="s">
        <v>101</v>
      </c>
      <c r="BD9" s="2" t="s">
        <v>29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7" t="s">
        <v>101</v>
      </c>
      <c r="BK9" s="2" t="s">
        <v>29</v>
      </c>
      <c r="BL9" s="3">
        <v>1520.9711483855335</v>
      </c>
      <c r="BM9" s="3">
        <v>20742.723971863714</v>
      </c>
      <c r="BN9" s="3">
        <v>0</v>
      </c>
      <c r="BO9" s="3">
        <v>0</v>
      </c>
      <c r="BP9" s="3">
        <v>22263.695120249249</v>
      </c>
      <c r="BQ9" s="7" t="s">
        <v>101</v>
      </c>
      <c r="BR9" s="2" t="s">
        <v>29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7" t="s">
        <v>101</v>
      </c>
      <c r="BY9" s="2" t="s">
        <v>29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7" t="s">
        <v>101</v>
      </c>
      <c r="CF9" s="2" t="s">
        <v>29</v>
      </c>
      <c r="CG9" s="3">
        <v>22.424348960969702</v>
      </c>
      <c r="CH9" s="3">
        <v>0</v>
      </c>
      <c r="CI9" s="3">
        <v>0</v>
      </c>
      <c r="CJ9" s="3">
        <v>0</v>
      </c>
      <c r="CK9" s="3">
        <v>22.424348960969702</v>
      </c>
      <c r="CL9" s="7" t="s">
        <v>101</v>
      </c>
      <c r="CM9" s="2" t="s">
        <v>29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7" t="s">
        <v>101</v>
      </c>
      <c r="CT9" s="2" t="s">
        <v>29</v>
      </c>
      <c r="CU9" s="3">
        <v>3091.9202069536136</v>
      </c>
      <c r="CV9" s="3">
        <v>1280.0869605748917</v>
      </c>
      <c r="CW9" s="3">
        <v>0</v>
      </c>
      <c r="CX9" s="3">
        <v>0</v>
      </c>
      <c r="CY9" s="3">
        <v>4372.0071675285053</v>
      </c>
      <c r="CZ9" s="7" t="s">
        <v>101</v>
      </c>
      <c r="DA9" s="2" t="s">
        <v>29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7" t="s">
        <v>101</v>
      </c>
      <c r="DH9" s="2" t="s">
        <v>29</v>
      </c>
      <c r="DI9" s="3">
        <v>0</v>
      </c>
      <c r="DJ9" s="3">
        <v>2322.4623058138368</v>
      </c>
      <c r="DK9" s="3">
        <v>0</v>
      </c>
      <c r="DL9" s="3">
        <v>0</v>
      </c>
      <c r="DM9" s="3">
        <v>2322.4623058138368</v>
      </c>
      <c r="DN9" s="7" t="s">
        <v>101</v>
      </c>
      <c r="DO9" s="2" t="s">
        <v>29</v>
      </c>
      <c r="DP9" s="3">
        <v>1701.0301286764643</v>
      </c>
      <c r="DQ9" s="3">
        <v>116754.08597362196</v>
      </c>
      <c r="DR9" s="3">
        <v>0</v>
      </c>
      <c r="DS9" s="3">
        <v>0</v>
      </c>
      <c r="DT9" s="3">
        <v>118455.11610229842</v>
      </c>
      <c r="DU9" s="7" t="s">
        <v>101</v>
      </c>
      <c r="DV9" s="2" t="s">
        <v>29</v>
      </c>
      <c r="DW9" s="3">
        <v>0</v>
      </c>
      <c r="DX9" s="3">
        <v>107072.55949907098</v>
      </c>
      <c r="DY9" s="3">
        <v>0</v>
      </c>
      <c r="DZ9" s="3">
        <v>0</v>
      </c>
      <c r="EA9" s="3">
        <v>107072.55949907098</v>
      </c>
      <c r="EB9" s="7" t="s">
        <v>101</v>
      </c>
      <c r="EC9" s="2" t="s">
        <v>29</v>
      </c>
      <c r="ED9" s="3">
        <v>1110349.1624428972</v>
      </c>
      <c r="EE9" s="3">
        <v>1501994.7909696507</v>
      </c>
      <c r="EF9" s="3">
        <v>0</v>
      </c>
      <c r="EG9" s="3">
        <v>0</v>
      </c>
      <c r="EH9" s="3">
        <v>2612343.9534125477</v>
      </c>
    </row>
    <row r="10" spans="1:138" ht="10.199999999999999" customHeight="1" x14ac:dyDescent="0.2">
      <c r="A10" s="7" t="s">
        <v>106</v>
      </c>
      <c r="B10" s="2" t="s">
        <v>34</v>
      </c>
      <c r="C10" s="3">
        <f t="shared" si="4"/>
        <v>0</v>
      </c>
      <c r="D10" s="3">
        <f t="shared" si="5"/>
        <v>1908.0995258021082</v>
      </c>
      <c r="E10" s="3">
        <f t="shared" si="6"/>
        <v>42121336.958519787</v>
      </c>
      <c r="F10" s="3">
        <f t="shared" si="7"/>
        <v>5194894.5012683058</v>
      </c>
      <c r="G10" s="3">
        <f t="shared" si="8"/>
        <v>1663.9628675459142</v>
      </c>
      <c r="H10" s="3">
        <f t="shared" si="9"/>
        <v>0</v>
      </c>
      <c r="I10" s="3">
        <f t="shared" si="10"/>
        <v>81205.899628064115</v>
      </c>
      <c r="J10" s="3">
        <f t="shared" si="11"/>
        <v>423574.06650672836</v>
      </c>
      <c r="K10" s="3">
        <f t="shared" si="12"/>
        <v>183674.01769929062</v>
      </c>
      <c r="L10" s="3">
        <f t="shared" si="13"/>
        <v>2923790.2473365255</v>
      </c>
      <c r="M10" s="3">
        <f t="shared" si="14"/>
        <v>1758220.016345707</v>
      </c>
      <c r="N10" s="3">
        <f t="shared" si="15"/>
        <v>3880048.9773927829</v>
      </c>
      <c r="O10" s="3">
        <f t="shared" si="16"/>
        <v>56570316.747090541</v>
      </c>
      <c r="P10" s="7" t="s">
        <v>106</v>
      </c>
      <c r="Q10" s="2" t="s">
        <v>34</v>
      </c>
      <c r="R10" s="3">
        <f t="shared" si="17"/>
        <v>0</v>
      </c>
      <c r="S10" s="3">
        <f t="shared" si="17"/>
        <v>1908.0995258021082</v>
      </c>
      <c r="T10" s="3">
        <f t="shared" si="17"/>
        <v>42121336.958519787</v>
      </c>
      <c r="U10" s="3">
        <f t="shared" si="17"/>
        <v>5194894.5012683058</v>
      </c>
      <c r="V10" s="3">
        <f t="shared" si="17"/>
        <v>1663.9628675459142</v>
      </c>
      <c r="W10" s="3">
        <f t="shared" si="17"/>
        <v>0</v>
      </c>
      <c r="X10" s="3">
        <f t="shared" si="17"/>
        <v>81205.899628064115</v>
      </c>
      <c r="Y10" s="3">
        <f t="shared" si="17"/>
        <v>423574.06650672836</v>
      </c>
      <c r="Z10" s="3">
        <f t="shared" si="17"/>
        <v>183674.01769929062</v>
      </c>
      <c r="AA10" s="3">
        <f t="shared" si="17"/>
        <v>2923790.2473365255</v>
      </c>
      <c r="AB10" s="3">
        <f t="shared" si="18"/>
        <v>50932047.753352046</v>
      </c>
      <c r="AC10" s="7" t="s">
        <v>106</v>
      </c>
      <c r="AD10" s="2" t="s">
        <v>34</v>
      </c>
      <c r="AE10" s="3">
        <f t="shared" si="19"/>
        <v>1758220.016345707</v>
      </c>
      <c r="AF10" s="3">
        <f t="shared" si="19"/>
        <v>3880048.9773927829</v>
      </c>
      <c r="AG10" s="3">
        <f t="shared" si="20"/>
        <v>5638268.9937384902</v>
      </c>
      <c r="AH10" s="7" t="s">
        <v>106</v>
      </c>
      <c r="AI10" s="2" t="s">
        <v>34</v>
      </c>
      <c r="AJ10" s="3">
        <f t="shared" si="21"/>
        <v>12722961.901448846</v>
      </c>
      <c r="AK10" s="3">
        <f t="shared" si="1"/>
        <v>330341.70252655796</v>
      </c>
      <c r="AL10" s="3">
        <f t="shared" si="1"/>
        <v>11206.072732517159</v>
      </c>
      <c r="AM10" s="3">
        <f t="shared" si="1"/>
        <v>43505807.070382617</v>
      </c>
      <c r="AN10" s="3">
        <f t="shared" si="22"/>
        <v>56570316.747090541</v>
      </c>
      <c r="AO10" s="7" t="s">
        <v>106</v>
      </c>
      <c r="AP10" s="2" t="s">
        <v>34</v>
      </c>
      <c r="AQ10" s="3">
        <f t="shared" si="23"/>
        <v>10941157.842180325</v>
      </c>
      <c r="AR10" s="3">
        <f t="shared" si="2"/>
        <v>292084.39288786025</v>
      </c>
      <c r="AS10" s="3">
        <f t="shared" si="2"/>
        <v>805.63792964270067</v>
      </c>
      <c r="AT10" s="3">
        <f t="shared" si="2"/>
        <v>39697999.880354218</v>
      </c>
      <c r="AU10" s="3">
        <f t="shared" si="24"/>
        <v>50932047.753352046</v>
      </c>
      <c r="AV10" s="7" t="s">
        <v>106</v>
      </c>
      <c r="AW10" s="2" t="s">
        <v>34</v>
      </c>
      <c r="AX10" s="3">
        <f t="shared" si="25"/>
        <v>1781804.0592685209</v>
      </c>
      <c r="AY10" s="3">
        <f t="shared" si="3"/>
        <v>38257.309638697741</v>
      </c>
      <c r="AZ10" s="3">
        <f t="shared" si="3"/>
        <v>10400.434802874459</v>
      </c>
      <c r="BA10" s="3">
        <f t="shared" si="3"/>
        <v>3807807.1900283964</v>
      </c>
      <c r="BB10" s="3">
        <f t="shared" si="26"/>
        <v>5638268.9937384892</v>
      </c>
      <c r="BC10" s="7" t="s">
        <v>106</v>
      </c>
      <c r="BD10" s="2" t="s">
        <v>34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7" t="s">
        <v>106</v>
      </c>
      <c r="BK10" s="2" t="s">
        <v>34</v>
      </c>
      <c r="BL10" s="3">
        <v>1908.0995258021082</v>
      </c>
      <c r="BM10" s="3">
        <v>0</v>
      </c>
      <c r="BN10" s="3">
        <v>0</v>
      </c>
      <c r="BO10" s="3">
        <v>0</v>
      </c>
      <c r="BP10" s="3">
        <v>1908.0995258021082</v>
      </c>
      <c r="BQ10" s="7" t="s">
        <v>106</v>
      </c>
      <c r="BR10" s="2" t="s">
        <v>34</v>
      </c>
      <c r="BS10" s="3">
        <v>4954594.9004891496</v>
      </c>
      <c r="BT10" s="3">
        <v>7280.3043620121216</v>
      </c>
      <c r="BU10" s="3">
        <v>0</v>
      </c>
      <c r="BV10" s="3">
        <v>37159461.753668621</v>
      </c>
      <c r="BW10" s="3">
        <v>42121336.958519787</v>
      </c>
      <c r="BX10" s="7" t="s">
        <v>106</v>
      </c>
      <c r="BY10" s="2" t="s">
        <v>34</v>
      </c>
      <c r="BZ10" s="3">
        <v>5193836.7770488532</v>
      </c>
      <c r="CA10" s="3">
        <v>1057.7242194523324</v>
      </c>
      <c r="CB10" s="3">
        <v>0</v>
      </c>
      <c r="CC10" s="3">
        <v>0</v>
      </c>
      <c r="CD10" s="3">
        <v>5194894.5012683058</v>
      </c>
      <c r="CE10" s="7" t="s">
        <v>106</v>
      </c>
      <c r="CF10" s="2" t="s">
        <v>34</v>
      </c>
      <c r="CG10" s="3">
        <v>1663.9628675459142</v>
      </c>
      <c r="CH10" s="3">
        <v>0</v>
      </c>
      <c r="CI10" s="3">
        <v>0</v>
      </c>
      <c r="CJ10" s="3">
        <v>0</v>
      </c>
      <c r="CK10" s="3">
        <v>1663.9628675459142</v>
      </c>
      <c r="CL10" s="7" t="s">
        <v>106</v>
      </c>
      <c r="CM10" s="2" t="s">
        <v>34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7" t="s">
        <v>106</v>
      </c>
      <c r="CT10" s="2" t="s">
        <v>34</v>
      </c>
      <c r="CU10" s="3">
        <v>80400.261698421411</v>
      </c>
      <c r="CV10" s="3">
        <v>0</v>
      </c>
      <c r="CW10" s="3">
        <v>805.63792964270067</v>
      </c>
      <c r="CX10" s="3">
        <v>0</v>
      </c>
      <c r="CY10" s="3">
        <v>81205.899628064115</v>
      </c>
      <c r="CZ10" s="7" t="s">
        <v>106</v>
      </c>
      <c r="DA10" s="2" t="s">
        <v>34</v>
      </c>
      <c r="DB10" s="3">
        <v>183674.01769929062</v>
      </c>
      <c r="DC10" s="3">
        <v>0</v>
      </c>
      <c r="DD10" s="3">
        <v>0</v>
      </c>
      <c r="DE10" s="3">
        <v>0</v>
      </c>
      <c r="DF10" s="3">
        <v>183674.01769929062</v>
      </c>
      <c r="DG10" s="7" t="s">
        <v>106</v>
      </c>
      <c r="DH10" s="2" t="s">
        <v>34</v>
      </c>
      <c r="DI10" s="3">
        <v>423574.06650672836</v>
      </c>
      <c r="DJ10" s="3">
        <v>0</v>
      </c>
      <c r="DK10" s="3">
        <v>0</v>
      </c>
      <c r="DL10" s="3">
        <v>0</v>
      </c>
      <c r="DM10" s="3">
        <v>423574.06650672836</v>
      </c>
      <c r="DN10" s="7" t="s">
        <v>106</v>
      </c>
      <c r="DO10" s="2" t="s">
        <v>34</v>
      </c>
      <c r="DP10" s="3">
        <v>101505.75634453188</v>
      </c>
      <c r="DQ10" s="3">
        <v>283746.36430639582</v>
      </c>
      <c r="DR10" s="3">
        <v>0</v>
      </c>
      <c r="DS10" s="3">
        <v>2538538.1266855979</v>
      </c>
      <c r="DT10" s="3">
        <v>2923790.2473365255</v>
      </c>
      <c r="DU10" s="7" t="s">
        <v>106</v>
      </c>
      <c r="DV10" s="2" t="s">
        <v>34</v>
      </c>
      <c r="DW10" s="3">
        <v>24693.769316280814</v>
      </c>
      <c r="DX10" s="3">
        <v>37147.583245231035</v>
      </c>
      <c r="DY10" s="3">
        <v>10400.434802874459</v>
      </c>
      <c r="DZ10" s="3">
        <v>3807807.1900283964</v>
      </c>
      <c r="EA10" s="3">
        <v>3880048.9773927829</v>
      </c>
      <c r="EB10" s="7" t="s">
        <v>106</v>
      </c>
      <c r="EC10" s="2" t="s">
        <v>34</v>
      </c>
      <c r="ED10" s="3">
        <v>1757110.2899522402</v>
      </c>
      <c r="EE10" s="3">
        <v>1109.7263934667048</v>
      </c>
      <c r="EF10" s="3">
        <v>0</v>
      </c>
      <c r="EG10" s="3">
        <v>0</v>
      </c>
      <c r="EH10" s="3">
        <v>1758220.016345707</v>
      </c>
    </row>
    <row r="11" spans="1:138" ht="10.199999999999999" customHeight="1" x14ac:dyDescent="0.2">
      <c r="A11" s="7" t="s">
        <v>103</v>
      </c>
      <c r="B11" s="2" t="s">
        <v>31</v>
      </c>
      <c r="C11" s="3">
        <f t="shared" si="4"/>
        <v>2557.734707504751</v>
      </c>
      <c r="D11" s="3">
        <f t="shared" si="5"/>
        <v>2927.7985522590325</v>
      </c>
      <c r="E11" s="3">
        <f t="shared" si="6"/>
        <v>0</v>
      </c>
      <c r="F11" s="3">
        <f t="shared" si="7"/>
        <v>2017096.17763313</v>
      </c>
      <c r="G11" s="3">
        <f t="shared" si="8"/>
        <v>0</v>
      </c>
      <c r="H11" s="3">
        <f t="shared" si="9"/>
        <v>0</v>
      </c>
      <c r="I11" s="3">
        <f t="shared" si="10"/>
        <v>149200.30732584346</v>
      </c>
      <c r="J11" s="3">
        <f t="shared" si="11"/>
        <v>3770.3800253400836</v>
      </c>
      <c r="K11" s="3">
        <f t="shared" si="12"/>
        <v>0</v>
      </c>
      <c r="L11" s="3">
        <f t="shared" si="13"/>
        <v>6583.6545346562962</v>
      </c>
      <c r="M11" s="3">
        <f t="shared" si="14"/>
        <v>11171673.731150204</v>
      </c>
      <c r="N11" s="3">
        <f t="shared" si="15"/>
        <v>190716.70820440378</v>
      </c>
      <c r="O11" s="3">
        <f t="shared" si="16"/>
        <v>13544526.492133342</v>
      </c>
      <c r="P11" s="7" t="s">
        <v>103</v>
      </c>
      <c r="Q11" s="2" t="s">
        <v>31</v>
      </c>
      <c r="R11" s="3">
        <f t="shared" si="17"/>
        <v>2557.734707504751</v>
      </c>
      <c r="S11" s="3">
        <f t="shared" si="17"/>
        <v>2927.7985522590325</v>
      </c>
      <c r="T11" s="3">
        <f t="shared" si="17"/>
        <v>0</v>
      </c>
      <c r="U11" s="3">
        <f t="shared" si="17"/>
        <v>2017096.17763313</v>
      </c>
      <c r="V11" s="3">
        <f t="shared" si="17"/>
        <v>0</v>
      </c>
      <c r="W11" s="3">
        <f t="shared" si="17"/>
        <v>0</v>
      </c>
      <c r="X11" s="3">
        <f t="shared" si="17"/>
        <v>149200.30732584346</v>
      </c>
      <c r="Y11" s="3">
        <f t="shared" si="17"/>
        <v>3770.3800253400836</v>
      </c>
      <c r="Z11" s="3">
        <f t="shared" si="17"/>
        <v>0</v>
      </c>
      <c r="AA11" s="3">
        <f t="shared" si="17"/>
        <v>6583.6545346562962</v>
      </c>
      <c r="AB11" s="3">
        <f t="shared" si="18"/>
        <v>2182136.0527787334</v>
      </c>
      <c r="AC11" s="7" t="s">
        <v>103</v>
      </c>
      <c r="AD11" s="2" t="s">
        <v>31</v>
      </c>
      <c r="AE11" s="3">
        <f t="shared" si="19"/>
        <v>11171673.731150204</v>
      </c>
      <c r="AF11" s="3">
        <f t="shared" si="19"/>
        <v>190716.70820440378</v>
      </c>
      <c r="AG11" s="3">
        <f t="shared" si="20"/>
        <v>11362390.439354608</v>
      </c>
      <c r="AH11" s="7" t="s">
        <v>103</v>
      </c>
      <c r="AI11" s="2" t="s">
        <v>31</v>
      </c>
      <c r="AJ11" s="3">
        <f t="shared" si="21"/>
        <v>10010548.833514472</v>
      </c>
      <c r="AK11" s="3">
        <f t="shared" si="1"/>
        <v>3437291.1118840212</v>
      </c>
      <c r="AL11" s="3">
        <f t="shared" si="1"/>
        <v>96686.546734849428</v>
      </c>
      <c r="AM11" s="3">
        <f t="shared" si="1"/>
        <v>0</v>
      </c>
      <c r="AN11" s="3">
        <f t="shared" si="22"/>
        <v>13544526.492133344</v>
      </c>
      <c r="AO11" s="7" t="s">
        <v>103</v>
      </c>
      <c r="AP11" s="2" t="s">
        <v>31</v>
      </c>
      <c r="AQ11" s="3">
        <f t="shared" si="23"/>
        <v>1624606.4792345231</v>
      </c>
      <c r="AR11" s="3">
        <f t="shared" si="2"/>
        <v>557529.57354421052</v>
      </c>
      <c r="AS11" s="3">
        <f t="shared" si="2"/>
        <v>0</v>
      </c>
      <c r="AT11" s="3">
        <f t="shared" si="2"/>
        <v>0</v>
      </c>
      <c r="AU11" s="3">
        <f t="shared" si="24"/>
        <v>2182136.0527787339</v>
      </c>
      <c r="AV11" s="7" t="s">
        <v>103</v>
      </c>
      <c r="AW11" s="2" t="s">
        <v>31</v>
      </c>
      <c r="AX11" s="3">
        <f t="shared" si="25"/>
        <v>8385942.3542799493</v>
      </c>
      <c r="AY11" s="3">
        <f t="shared" si="3"/>
        <v>2879761.5383398104</v>
      </c>
      <c r="AZ11" s="3">
        <f t="shared" si="3"/>
        <v>96686.546734849428</v>
      </c>
      <c r="BA11" s="3">
        <f t="shared" si="3"/>
        <v>0</v>
      </c>
      <c r="BB11" s="3">
        <f t="shared" si="26"/>
        <v>11362390.439354608</v>
      </c>
      <c r="BC11" s="7" t="s">
        <v>103</v>
      </c>
      <c r="BD11" s="2" t="s">
        <v>31</v>
      </c>
      <c r="BE11" s="3">
        <v>2557.734707504751</v>
      </c>
      <c r="BF11" s="3">
        <v>0</v>
      </c>
      <c r="BG11" s="3">
        <v>0</v>
      </c>
      <c r="BH11" s="3">
        <v>0</v>
      </c>
      <c r="BI11" s="3">
        <v>2557.734707504751</v>
      </c>
      <c r="BJ11" s="7" t="s">
        <v>103</v>
      </c>
      <c r="BK11" s="2" t="s">
        <v>31</v>
      </c>
      <c r="BL11" s="3">
        <v>1658.5294889162335</v>
      </c>
      <c r="BM11" s="3">
        <v>1269.2690633427987</v>
      </c>
      <c r="BN11" s="3">
        <v>0</v>
      </c>
      <c r="BO11" s="3">
        <v>0</v>
      </c>
      <c r="BP11" s="3">
        <v>2927.7985522590325</v>
      </c>
      <c r="BQ11" s="7" t="s">
        <v>103</v>
      </c>
      <c r="BR11" s="2" t="s">
        <v>31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7" t="s">
        <v>103</v>
      </c>
      <c r="BY11" s="2" t="s">
        <v>31</v>
      </c>
      <c r="BZ11" s="3">
        <v>1472576.6119881831</v>
      </c>
      <c r="CA11" s="3">
        <v>544519.56564494676</v>
      </c>
      <c r="CB11" s="3">
        <v>0</v>
      </c>
      <c r="CC11" s="3">
        <v>0</v>
      </c>
      <c r="CD11" s="3">
        <v>2017096.17763313</v>
      </c>
      <c r="CE11" s="7" t="s">
        <v>103</v>
      </c>
      <c r="CF11" s="2" t="s">
        <v>31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7" t="s">
        <v>103</v>
      </c>
      <c r="CM11" s="2" t="s">
        <v>31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7" t="s">
        <v>103</v>
      </c>
      <c r="CT11" s="2" t="s">
        <v>31</v>
      </c>
      <c r="CU11" s="3">
        <v>139680.78935077248</v>
      </c>
      <c r="CV11" s="3">
        <v>9519.5179750709922</v>
      </c>
      <c r="CW11" s="3">
        <v>0</v>
      </c>
      <c r="CX11" s="3">
        <v>0</v>
      </c>
      <c r="CY11" s="3">
        <v>149200.30732584346</v>
      </c>
      <c r="CZ11" s="7" t="s">
        <v>103</v>
      </c>
      <c r="DA11" s="2" t="s">
        <v>31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7" t="s">
        <v>103</v>
      </c>
      <c r="DH11" s="2" t="s">
        <v>31</v>
      </c>
      <c r="DI11" s="3">
        <v>2395.3385400520515</v>
      </c>
      <c r="DJ11" s="3">
        <v>1375.0414852880322</v>
      </c>
      <c r="DK11" s="3">
        <v>0</v>
      </c>
      <c r="DL11" s="3">
        <v>0</v>
      </c>
      <c r="DM11" s="3">
        <v>3770.3800253400836</v>
      </c>
      <c r="DN11" s="7" t="s">
        <v>103</v>
      </c>
      <c r="DO11" s="2" t="s">
        <v>31</v>
      </c>
      <c r="DP11" s="3">
        <v>5737.4751590944306</v>
      </c>
      <c r="DQ11" s="3">
        <v>846.17937556186587</v>
      </c>
      <c r="DR11" s="3">
        <v>0</v>
      </c>
      <c r="DS11" s="3">
        <v>0</v>
      </c>
      <c r="DT11" s="3">
        <v>6583.6545346562962</v>
      </c>
      <c r="DU11" s="7" t="s">
        <v>103</v>
      </c>
      <c r="DV11" s="2" t="s">
        <v>31</v>
      </c>
      <c r="DW11" s="3">
        <v>49843.220399891499</v>
      </c>
      <c r="DX11" s="3">
        <v>44186.941069662855</v>
      </c>
      <c r="DY11" s="3">
        <v>96686.546734849428</v>
      </c>
      <c r="DZ11" s="3">
        <v>0</v>
      </c>
      <c r="EA11" s="3">
        <v>190716.70820440378</v>
      </c>
      <c r="EB11" s="7" t="s">
        <v>103</v>
      </c>
      <c r="EC11" s="2" t="s">
        <v>31</v>
      </c>
      <c r="ED11" s="3">
        <v>8336099.1338800574</v>
      </c>
      <c r="EE11" s="3">
        <v>2835574.5972701474</v>
      </c>
      <c r="EF11" s="3">
        <v>0</v>
      </c>
      <c r="EG11" s="3">
        <v>0</v>
      </c>
      <c r="EH11" s="3">
        <v>11171673.731150204</v>
      </c>
    </row>
    <row r="12" spans="1:138" ht="10.199999999999999" customHeight="1" x14ac:dyDescent="0.2">
      <c r="A12" s="7" t="s">
        <v>99</v>
      </c>
      <c r="B12" s="2" t="s">
        <v>27</v>
      </c>
      <c r="C12" s="3">
        <f t="shared" si="4"/>
        <v>82493.63133098025</v>
      </c>
      <c r="D12" s="3">
        <f t="shared" si="5"/>
        <v>14.015218100606063</v>
      </c>
      <c r="E12" s="3">
        <f t="shared" si="6"/>
        <v>0</v>
      </c>
      <c r="F12" s="3">
        <f t="shared" si="7"/>
        <v>18558142.497288238</v>
      </c>
      <c r="G12" s="3">
        <f t="shared" si="8"/>
        <v>167643.39311543753</v>
      </c>
      <c r="H12" s="3">
        <f t="shared" si="9"/>
        <v>0</v>
      </c>
      <c r="I12" s="3">
        <f t="shared" si="10"/>
        <v>2916034.1405435293</v>
      </c>
      <c r="J12" s="3">
        <f t="shared" si="11"/>
        <v>224.24348960969701</v>
      </c>
      <c r="K12" s="3">
        <f t="shared" si="12"/>
        <v>1941871.1709857259</v>
      </c>
      <c r="L12" s="3">
        <f t="shared" si="13"/>
        <v>5482.4514474483531</v>
      </c>
      <c r="M12" s="3">
        <f t="shared" si="14"/>
        <v>12841187.609957865</v>
      </c>
      <c r="N12" s="3">
        <f t="shared" si="15"/>
        <v>7370318.5706069944</v>
      </c>
      <c r="O12" s="3">
        <f t="shared" si="16"/>
        <v>43883411.723983921</v>
      </c>
      <c r="P12" s="7" t="s">
        <v>99</v>
      </c>
      <c r="Q12" s="2" t="s">
        <v>27</v>
      </c>
      <c r="R12" s="3">
        <f t="shared" si="17"/>
        <v>82493.63133098025</v>
      </c>
      <c r="S12" s="3">
        <f t="shared" si="17"/>
        <v>14.015218100606063</v>
      </c>
      <c r="T12" s="3">
        <f t="shared" si="17"/>
        <v>0</v>
      </c>
      <c r="U12" s="3">
        <f t="shared" si="17"/>
        <v>18558142.497288238</v>
      </c>
      <c r="V12" s="3">
        <f t="shared" si="17"/>
        <v>167643.39311543753</v>
      </c>
      <c r="W12" s="3">
        <f t="shared" si="17"/>
        <v>0</v>
      </c>
      <c r="X12" s="3">
        <f t="shared" si="17"/>
        <v>2916034.1405435293</v>
      </c>
      <c r="Y12" s="3">
        <f t="shared" si="17"/>
        <v>224.24348960969701</v>
      </c>
      <c r="Z12" s="3">
        <f t="shared" si="17"/>
        <v>1941871.1709857259</v>
      </c>
      <c r="AA12" s="3">
        <f t="shared" si="17"/>
        <v>5482.4514474483531</v>
      </c>
      <c r="AB12" s="3">
        <f t="shared" si="18"/>
        <v>23671905.543419067</v>
      </c>
      <c r="AC12" s="7" t="s">
        <v>99</v>
      </c>
      <c r="AD12" s="2" t="s">
        <v>27</v>
      </c>
      <c r="AE12" s="3">
        <f t="shared" si="19"/>
        <v>12841187.609957865</v>
      </c>
      <c r="AF12" s="3">
        <f t="shared" si="19"/>
        <v>7370318.5706069944</v>
      </c>
      <c r="AG12" s="3">
        <f t="shared" si="20"/>
        <v>20211506.180564858</v>
      </c>
      <c r="AH12" s="7" t="s">
        <v>99</v>
      </c>
      <c r="AI12" s="2" t="s">
        <v>27</v>
      </c>
      <c r="AJ12" s="3">
        <f t="shared" si="21"/>
        <v>3236929.8291482693</v>
      </c>
      <c r="AK12" s="3">
        <f t="shared" si="1"/>
        <v>18605371.25430835</v>
      </c>
      <c r="AL12" s="3">
        <f t="shared" si="1"/>
        <v>21832884.54303259</v>
      </c>
      <c r="AM12" s="3">
        <f t="shared" si="1"/>
        <v>208226.09749471865</v>
      </c>
      <c r="AN12" s="3">
        <f t="shared" si="22"/>
        <v>43883411.723983929</v>
      </c>
      <c r="AO12" s="7" t="s">
        <v>99</v>
      </c>
      <c r="AP12" s="2" t="s">
        <v>27</v>
      </c>
      <c r="AQ12" s="3">
        <f t="shared" si="23"/>
        <v>2559691.4014397464</v>
      </c>
      <c r="AR12" s="3">
        <f t="shared" si="2"/>
        <v>13460523.612599302</v>
      </c>
      <c r="AS12" s="3">
        <f t="shared" si="2"/>
        <v>7651690.5293800207</v>
      </c>
      <c r="AT12" s="3">
        <f t="shared" si="2"/>
        <v>0</v>
      </c>
      <c r="AU12" s="3">
        <f t="shared" si="24"/>
        <v>23671905.543419071</v>
      </c>
      <c r="AV12" s="7" t="s">
        <v>99</v>
      </c>
      <c r="AW12" s="2" t="s">
        <v>27</v>
      </c>
      <c r="AX12" s="3">
        <f t="shared" si="25"/>
        <v>677238.42770852277</v>
      </c>
      <c r="AY12" s="3">
        <f t="shared" si="3"/>
        <v>5144847.6417090464</v>
      </c>
      <c r="AZ12" s="3">
        <f t="shared" si="3"/>
        <v>14181194.013652571</v>
      </c>
      <c r="BA12" s="3">
        <f t="shared" si="3"/>
        <v>208226.09749471865</v>
      </c>
      <c r="BB12" s="3">
        <f t="shared" si="26"/>
        <v>20211506.180564858</v>
      </c>
      <c r="BC12" s="7" t="s">
        <v>99</v>
      </c>
      <c r="BD12" s="2" t="s">
        <v>27</v>
      </c>
      <c r="BE12" s="3">
        <v>77061.5</v>
      </c>
      <c r="BF12" s="3">
        <v>5432.1313309802554</v>
      </c>
      <c r="BG12" s="3">
        <v>0</v>
      </c>
      <c r="BH12" s="3">
        <v>0</v>
      </c>
      <c r="BI12" s="3">
        <v>82493.63133098025</v>
      </c>
      <c r="BJ12" s="7" t="s">
        <v>99</v>
      </c>
      <c r="BK12" s="2" t="s">
        <v>27</v>
      </c>
      <c r="BL12" s="3">
        <v>0</v>
      </c>
      <c r="BM12" s="3">
        <v>0</v>
      </c>
      <c r="BN12" s="3">
        <v>14.015218100606063</v>
      </c>
      <c r="BO12" s="3">
        <v>0</v>
      </c>
      <c r="BP12" s="3">
        <v>14.015218100606063</v>
      </c>
      <c r="BQ12" s="7" t="s">
        <v>99</v>
      </c>
      <c r="BR12" s="2" t="s">
        <v>27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7" t="s">
        <v>99</v>
      </c>
      <c r="BY12" s="2" t="s">
        <v>27</v>
      </c>
      <c r="BZ12" s="3">
        <v>410194.83102087711</v>
      </c>
      <c r="CA12" s="3">
        <v>10760829.790902004</v>
      </c>
      <c r="CB12" s="3">
        <v>7387117.8753653588</v>
      </c>
      <c r="CC12" s="3">
        <v>0</v>
      </c>
      <c r="CD12" s="3">
        <v>18558142.497288238</v>
      </c>
      <c r="CE12" s="7" t="s">
        <v>99</v>
      </c>
      <c r="CF12" s="2" t="s">
        <v>27</v>
      </c>
      <c r="CG12" s="3">
        <v>152691.25316579096</v>
      </c>
      <c r="CH12" s="3">
        <v>14952.139949646587</v>
      </c>
      <c r="CI12" s="3">
        <v>0</v>
      </c>
      <c r="CJ12" s="3">
        <v>0</v>
      </c>
      <c r="CK12" s="3">
        <v>167643.39311543753</v>
      </c>
      <c r="CL12" s="7" t="s">
        <v>99</v>
      </c>
      <c r="CM12" s="2" t="s">
        <v>27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7" t="s">
        <v>99</v>
      </c>
      <c r="CT12" s="2" t="s">
        <v>27</v>
      </c>
      <c r="CU12" s="3">
        <v>28855.118333994491</v>
      </c>
      <c r="CV12" s="3">
        <v>2623629.4791162168</v>
      </c>
      <c r="CW12" s="3">
        <v>263549.543093318</v>
      </c>
      <c r="CX12" s="3">
        <v>0</v>
      </c>
      <c r="CY12" s="3">
        <v>2916034.1405435293</v>
      </c>
      <c r="CZ12" s="7" t="s">
        <v>99</v>
      </c>
      <c r="DA12" s="2" t="s">
        <v>27</v>
      </c>
      <c r="DB12" s="3">
        <v>1888481.139108886</v>
      </c>
      <c r="DC12" s="3">
        <v>52380.936173596077</v>
      </c>
      <c r="DD12" s="3">
        <v>1009.0957032436365</v>
      </c>
      <c r="DE12" s="3">
        <v>0</v>
      </c>
      <c r="DF12" s="3">
        <v>1941871.1709857259</v>
      </c>
      <c r="DG12" s="7" t="s">
        <v>99</v>
      </c>
      <c r="DH12" s="2" t="s">
        <v>27</v>
      </c>
      <c r="DI12" s="3">
        <v>224.24348960969701</v>
      </c>
      <c r="DJ12" s="3">
        <v>0</v>
      </c>
      <c r="DK12" s="3">
        <v>0</v>
      </c>
      <c r="DL12" s="3">
        <v>0</v>
      </c>
      <c r="DM12" s="3">
        <v>224.24348960969701</v>
      </c>
      <c r="DN12" s="7" t="s">
        <v>99</v>
      </c>
      <c r="DO12" s="2" t="s">
        <v>27</v>
      </c>
      <c r="DP12" s="3">
        <v>2183.3163205882302</v>
      </c>
      <c r="DQ12" s="3">
        <v>3299.1351268601225</v>
      </c>
      <c r="DR12" s="3">
        <v>0</v>
      </c>
      <c r="DS12" s="3">
        <v>0</v>
      </c>
      <c r="DT12" s="3">
        <v>5482.4514474483531</v>
      </c>
      <c r="DU12" s="7" t="s">
        <v>99</v>
      </c>
      <c r="DV12" s="2" t="s">
        <v>27</v>
      </c>
      <c r="DW12" s="3">
        <v>10177.093038614867</v>
      </c>
      <c r="DX12" s="3">
        <v>2113589.5232986198</v>
      </c>
      <c r="DY12" s="3">
        <v>5038325.8567750407</v>
      </c>
      <c r="DZ12" s="3">
        <v>208226.09749471865</v>
      </c>
      <c r="EA12" s="3">
        <v>7370318.5706069944</v>
      </c>
      <c r="EB12" s="7" t="s">
        <v>99</v>
      </c>
      <c r="EC12" s="2" t="s">
        <v>27</v>
      </c>
      <c r="ED12" s="3">
        <v>667061.33466990793</v>
      </c>
      <c r="EE12" s="3">
        <v>3031258.1184104271</v>
      </c>
      <c r="EF12" s="3">
        <v>9142868.1568775289</v>
      </c>
      <c r="EG12" s="3">
        <v>0</v>
      </c>
      <c r="EH12" s="3">
        <v>12841187.609957865</v>
      </c>
    </row>
    <row r="13" spans="1:138" ht="10.199999999999999" customHeight="1" x14ac:dyDescent="0.2">
      <c r="A13" s="7" t="s">
        <v>94</v>
      </c>
      <c r="B13" s="2" t="s">
        <v>22</v>
      </c>
      <c r="C13" s="3">
        <f t="shared" si="4"/>
        <v>0</v>
      </c>
      <c r="D13" s="3">
        <f t="shared" si="5"/>
        <v>2232.4449757075536</v>
      </c>
      <c r="E13" s="3">
        <f t="shared" si="6"/>
        <v>201837835.83570379</v>
      </c>
      <c r="F13" s="3">
        <f t="shared" si="7"/>
        <v>378173945.79853565</v>
      </c>
      <c r="G13" s="3">
        <f t="shared" si="8"/>
        <v>2795.1341873305128</v>
      </c>
      <c r="H13" s="3">
        <f t="shared" si="9"/>
        <v>39481912.540282026</v>
      </c>
      <c r="I13" s="3">
        <f t="shared" si="10"/>
        <v>682444.67617807328</v>
      </c>
      <c r="J13" s="3">
        <f t="shared" si="11"/>
        <v>89930879.900468841</v>
      </c>
      <c r="K13" s="3">
        <f t="shared" si="12"/>
        <v>93793892.300933227</v>
      </c>
      <c r="L13" s="3">
        <f t="shared" si="13"/>
        <v>2608.8111804160271</v>
      </c>
      <c r="M13" s="3">
        <f t="shared" si="14"/>
        <v>11091196.552353015</v>
      </c>
      <c r="N13" s="3">
        <f t="shared" si="15"/>
        <v>25394169.874803234</v>
      </c>
      <c r="O13" s="3">
        <f t="shared" si="16"/>
        <v>840393913.86960137</v>
      </c>
      <c r="P13" s="7" t="s">
        <v>94</v>
      </c>
      <c r="Q13" s="2" t="s">
        <v>22</v>
      </c>
      <c r="R13" s="3">
        <f t="shared" si="17"/>
        <v>0</v>
      </c>
      <c r="S13" s="3">
        <f t="shared" si="17"/>
        <v>2232.4449757075536</v>
      </c>
      <c r="T13" s="3">
        <f t="shared" si="17"/>
        <v>201837835.83570379</v>
      </c>
      <c r="U13" s="3">
        <f t="shared" si="17"/>
        <v>378173945.79853565</v>
      </c>
      <c r="V13" s="3">
        <f t="shared" si="17"/>
        <v>2795.1341873305128</v>
      </c>
      <c r="W13" s="3">
        <f t="shared" si="17"/>
        <v>39481912.540282026</v>
      </c>
      <c r="X13" s="3">
        <f t="shared" si="17"/>
        <v>682444.67617807328</v>
      </c>
      <c r="Y13" s="3">
        <f t="shared" si="17"/>
        <v>89930879.900468841</v>
      </c>
      <c r="Z13" s="3">
        <f t="shared" si="17"/>
        <v>93793892.300933227</v>
      </c>
      <c r="AA13" s="3">
        <f t="shared" si="17"/>
        <v>2608.8111804160271</v>
      </c>
      <c r="AB13" s="3">
        <f t="shared" si="18"/>
        <v>803908547.44244516</v>
      </c>
      <c r="AC13" s="7" t="s">
        <v>94</v>
      </c>
      <c r="AD13" s="2" t="s">
        <v>22</v>
      </c>
      <c r="AE13" s="3">
        <f t="shared" si="19"/>
        <v>11091196.552353015</v>
      </c>
      <c r="AF13" s="3">
        <f t="shared" si="19"/>
        <v>25394169.874803234</v>
      </c>
      <c r="AG13" s="3">
        <f t="shared" si="20"/>
        <v>36485366.427156247</v>
      </c>
      <c r="AH13" s="7" t="s">
        <v>94</v>
      </c>
      <c r="AI13" s="2" t="s">
        <v>22</v>
      </c>
      <c r="AJ13" s="3">
        <f t="shared" si="21"/>
        <v>42268058.183587283</v>
      </c>
      <c r="AK13" s="3">
        <f t="shared" si="1"/>
        <v>412233232.2470423</v>
      </c>
      <c r="AL13" s="3">
        <f t="shared" si="1"/>
        <v>22352809.213205125</v>
      </c>
      <c r="AM13" s="3">
        <f t="shared" si="1"/>
        <v>363539814.22576666</v>
      </c>
      <c r="AN13" s="3">
        <f t="shared" si="22"/>
        <v>840393913.86960137</v>
      </c>
      <c r="AO13" s="7" t="s">
        <v>94</v>
      </c>
      <c r="AP13" s="2" t="s">
        <v>22</v>
      </c>
      <c r="AQ13" s="3">
        <f t="shared" si="23"/>
        <v>33030951.336015448</v>
      </c>
      <c r="AR13" s="3">
        <f t="shared" si="2"/>
        <v>410370353.93431383</v>
      </c>
      <c r="AS13" s="3">
        <f t="shared" si="2"/>
        <v>22352809.213205125</v>
      </c>
      <c r="AT13" s="3">
        <f t="shared" si="2"/>
        <v>338154432.9589107</v>
      </c>
      <c r="AU13" s="3">
        <f t="shared" si="24"/>
        <v>803908547.44244504</v>
      </c>
      <c r="AV13" s="7" t="s">
        <v>94</v>
      </c>
      <c r="AW13" s="2" t="s">
        <v>22</v>
      </c>
      <c r="AX13" s="3">
        <f t="shared" si="25"/>
        <v>9237106.8475718349</v>
      </c>
      <c r="AY13" s="3">
        <f t="shared" si="3"/>
        <v>1862878.312728443</v>
      </c>
      <c r="AZ13" s="3">
        <f t="shared" si="3"/>
        <v>0</v>
      </c>
      <c r="BA13" s="3">
        <f t="shared" si="3"/>
        <v>25385381.266855974</v>
      </c>
      <c r="BB13" s="3">
        <f t="shared" si="26"/>
        <v>36485366.427156255</v>
      </c>
      <c r="BC13" s="7" t="s">
        <v>94</v>
      </c>
      <c r="BD13" s="2" t="s">
        <v>22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7" t="s">
        <v>94</v>
      </c>
      <c r="BK13" s="2" t="s">
        <v>22</v>
      </c>
      <c r="BL13" s="3">
        <v>2232.4449757075536</v>
      </c>
      <c r="BM13" s="3">
        <v>0</v>
      </c>
      <c r="BN13" s="3">
        <v>0</v>
      </c>
      <c r="BO13" s="3">
        <v>0</v>
      </c>
      <c r="BP13" s="3">
        <v>2232.4449757075536</v>
      </c>
      <c r="BQ13" s="7" t="s">
        <v>94</v>
      </c>
      <c r="BR13" s="2" t="s">
        <v>22</v>
      </c>
      <c r="BS13" s="3">
        <v>0</v>
      </c>
      <c r="BT13" s="3">
        <v>15592.970443166283</v>
      </c>
      <c r="BU13" s="3">
        <v>634634.53167139948</v>
      </c>
      <c r="BV13" s="3">
        <v>201187608.33358923</v>
      </c>
      <c r="BW13" s="3">
        <v>201837835.83570379</v>
      </c>
      <c r="BX13" s="7" t="s">
        <v>94</v>
      </c>
      <c r="BY13" s="2" t="s">
        <v>22</v>
      </c>
      <c r="BZ13" s="3">
        <v>32620460.815697651</v>
      </c>
      <c r="CA13" s="3">
        <v>316284140.38215303</v>
      </c>
      <c r="CB13" s="3">
        <v>0</v>
      </c>
      <c r="CC13" s="3">
        <v>29269344.600684941</v>
      </c>
      <c r="CD13" s="3">
        <v>378173945.79853565</v>
      </c>
      <c r="CE13" s="7" t="s">
        <v>94</v>
      </c>
      <c r="CF13" s="2" t="s">
        <v>22</v>
      </c>
      <c r="CG13" s="3">
        <v>1472.9789130150971</v>
      </c>
      <c r="CH13" s="3">
        <v>1322.1552743154155</v>
      </c>
      <c r="CI13" s="3">
        <v>0</v>
      </c>
      <c r="CJ13" s="3">
        <v>0</v>
      </c>
      <c r="CK13" s="3">
        <v>2795.1341873305128</v>
      </c>
      <c r="CL13" s="7" t="s">
        <v>94</v>
      </c>
      <c r="CM13" s="2" t="s">
        <v>22</v>
      </c>
      <c r="CN13" s="3">
        <v>0</v>
      </c>
      <c r="CO13" s="3">
        <v>0</v>
      </c>
      <c r="CP13" s="3">
        <v>13779214.007590353</v>
      </c>
      <c r="CQ13" s="3">
        <v>25702698.532691676</v>
      </c>
      <c r="CR13" s="3">
        <v>39481912.540282026</v>
      </c>
      <c r="CS13" s="7" t="s">
        <v>94</v>
      </c>
      <c r="CT13" s="2" t="s">
        <v>22</v>
      </c>
      <c r="CU13" s="3">
        <v>365938.06624215632</v>
      </c>
      <c r="CV13" s="3">
        <v>316506.6099359169</v>
      </c>
      <c r="CW13" s="3">
        <v>0</v>
      </c>
      <c r="CX13" s="3">
        <v>0</v>
      </c>
      <c r="CY13" s="3">
        <v>682444.67617807328</v>
      </c>
      <c r="CZ13" s="7" t="s">
        <v>94</v>
      </c>
      <c r="DA13" s="2" t="s">
        <v>22</v>
      </c>
      <c r="DB13" s="3">
        <v>36428.484451682074</v>
      </c>
      <c r="DC13" s="3">
        <v>93751434.788430661</v>
      </c>
      <c r="DD13" s="3">
        <v>6029.0280508782944</v>
      </c>
      <c r="DE13" s="3">
        <v>0</v>
      </c>
      <c r="DF13" s="3">
        <v>93793892.300933227</v>
      </c>
      <c r="DG13" s="7" t="s">
        <v>94</v>
      </c>
      <c r="DH13" s="2" t="s">
        <v>22</v>
      </c>
      <c r="DI13" s="3">
        <v>1918.7104551878574</v>
      </c>
      <c r="DJ13" s="3">
        <v>1248.0521763449351</v>
      </c>
      <c r="DK13" s="3">
        <v>7932931.6458924925</v>
      </c>
      <c r="DL13" s="3">
        <v>81994781.49194482</v>
      </c>
      <c r="DM13" s="3">
        <v>89930879.900468841</v>
      </c>
      <c r="DN13" s="7" t="s">
        <v>94</v>
      </c>
      <c r="DO13" s="2" t="s">
        <v>22</v>
      </c>
      <c r="DP13" s="3">
        <v>2499.8352800477983</v>
      </c>
      <c r="DQ13" s="3">
        <v>108.97590036822891</v>
      </c>
      <c r="DR13" s="3">
        <v>0</v>
      </c>
      <c r="DS13" s="3">
        <v>0</v>
      </c>
      <c r="DT13" s="3">
        <v>2608.8111804160271</v>
      </c>
      <c r="DU13" s="7" t="s">
        <v>94</v>
      </c>
      <c r="DV13" s="2" t="s">
        <v>22</v>
      </c>
      <c r="DW13" s="3">
        <v>8788.6079472616348</v>
      </c>
      <c r="DX13" s="3">
        <v>0</v>
      </c>
      <c r="DY13" s="3">
        <v>0</v>
      </c>
      <c r="DZ13" s="3">
        <v>25385381.266855974</v>
      </c>
      <c r="EA13" s="3">
        <v>25394169.874803234</v>
      </c>
      <c r="EB13" s="7" t="s">
        <v>94</v>
      </c>
      <c r="EC13" s="2" t="s">
        <v>22</v>
      </c>
      <c r="ED13" s="3">
        <v>9228318.2396245729</v>
      </c>
      <c r="EE13" s="3">
        <v>1862878.312728443</v>
      </c>
      <c r="EF13" s="3">
        <v>0</v>
      </c>
      <c r="EG13" s="3">
        <v>0</v>
      </c>
      <c r="EH13" s="3">
        <v>11091196.552353015</v>
      </c>
    </row>
    <row r="14" spans="1:138" ht="10.199999999999999" customHeight="1" x14ac:dyDescent="0.2">
      <c r="A14" s="7" t="s">
        <v>97</v>
      </c>
      <c r="B14" s="2" t="s">
        <v>25</v>
      </c>
      <c r="C14" s="3">
        <f t="shared" si="4"/>
        <v>0</v>
      </c>
      <c r="D14" s="3">
        <f t="shared" si="5"/>
        <v>4279.1937894826688</v>
      </c>
      <c r="E14" s="3">
        <f t="shared" si="6"/>
        <v>0</v>
      </c>
      <c r="F14" s="3">
        <f t="shared" si="7"/>
        <v>0</v>
      </c>
      <c r="G14" s="3">
        <f t="shared" si="8"/>
        <v>0</v>
      </c>
      <c r="H14" s="3">
        <f t="shared" si="9"/>
        <v>0</v>
      </c>
      <c r="I14" s="3">
        <f t="shared" si="10"/>
        <v>12.613696290545459</v>
      </c>
      <c r="J14" s="3">
        <f t="shared" si="11"/>
        <v>0</v>
      </c>
      <c r="K14" s="3">
        <f t="shared" si="12"/>
        <v>0</v>
      </c>
      <c r="L14" s="3">
        <f t="shared" si="13"/>
        <v>14364.815451601724</v>
      </c>
      <c r="M14" s="3">
        <f t="shared" si="14"/>
        <v>250610.50918782089</v>
      </c>
      <c r="N14" s="3">
        <f t="shared" si="15"/>
        <v>36722.169944344743</v>
      </c>
      <c r="O14" s="3">
        <f t="shared" si="16"/>
        <v>305989.30206954054</v>
      </c>
      <c r="P14" s="7" t="s">
        <v>97</v>
      </c>
      <c r="Q14" s="2" t="s">
        <v>25</v>
      </c>
      <c r="R14" s="3">
        <f t="shared" si="17"/>
        <v>0</v>
      </c>
      <c r="S14" s="3">
        <f t="shared" si="17"/>
        <v>4279.1937894826688</v>
      </c>
      <c r="T14" s="3">
        <f t="shared" si="17"/>
        <v>0</v>
      </c>
      <c r="U14" s="3">
        <f t="shared" si="17"/>
        <v>0</v>
      </c>
      <c r="V14" s="3">
        <f t="shared" si="17"/>
        <v>0</v>
      </c>
      <c r="W14" s="3">
        <f t="shared" si="17"/>
        <v>0</v>
      </c>
      <c r="X14" s="3">
        <f t="shared" si="17"/>
        <v>12.613696290545459</v>
      </c>
      <c r="Y14" s="3">
        <f t="shared" si="17"/>
        <v>0</v>
      </c>
      <c r="Z14" s="3">
        <f t="shared" si="17"/>
        <v>0</v>
      </c>
      <c r="AA14" s="3">
        <f t="shared" si="17"/>
        <v>14364.815451601724</v>
      </c>
      <c r="AB14" s="3">
        <f t="shared" si="18"/>
        <v>18656.622937374937</v>
      </c>
      <c r="AC14" s="7" t="s">
        <v>97</v>
      </c>
      <c r="AD14" s="2" t="s">
        <v>25</v>
      </c>
      <c r="AE14" s="3">
        <f t="shared" si="19"/>
        <v>250610.50918782089</v>
      </c>
      <c r="AF14" s="3">
        <f t="shared" si="19"/>
        <v>36722.169944344743</v>
      </c>
      <c r="AG14" s="3">
        <f t="shared" si="20"/>
        <v>287332.67913216562</v>
      </c>
      <c r="AH14" s="7" t="s">
        <v>97</v>
      </c>
      <c r="AI14" s="2" t="s">
        <v>25</v>
      </c>
      <c r="AJ14" s="3">
        <f t="shared" si="21"/>
        <v>305989.30206954054</v>
      </c>
      <c r="AK14" s="3">
        <f t="shared" si="1"/>
        <v>0</v>
      </c>
      <c r="AL14" s="3">
        <f t="shared" si="1"/>
        <v>0</v>
      </c>
      <c r="AM14" s="3">
        <f t="shared" si="1"/>
        <v>0</v>
      </c>
      <c r="AN14" s="3">
        <f t="shared" si="22"/>
        <v>305989.30206954054</v>
      </c>
      <c r="AO14" s="7" t="s">
        <v>97</v>
      </c>
      <c r="AP14" s="2" t="s">
        <v>25</v>
      </c>
      <c r="AQ14" s="3">
        <f t="shared" si="23"/>
        <v>18656.622937374937</v>
      </c>
      <c r="AR14" s="3">
        <f t="shared" si="2"/>
        <v>0</v>
      </c>
      <c r="AS14" s="3">
        <f t="shared" si="2"/>
        <v>0</v>
      </c>
      <c r="AT14" s="3">
        <f t="shared" si="2"/>
        <v>0</v>
      </c>
      <c r="AU14" s="3">
        <f t="shared" si="24"/>
        <v>18656.622937374937</v>
      </c>
      <c r="AV14" s="7" t="s">
        <v>97</v>
      </c>
      <c r="AW14" s="2" t="s">
        <v>25</v>
      </c>
      <c r="AX14" s="3">
        <f t="shared" si="25"/>
        <v>287332.67913216562</v>
      </c>
      <c r="AY14" s="3">
        <f t="shared" si="3"/>
        <v>0</v>
      </c>
      <c r="AZ14" s="3">
        <f t="shared" si="3"/>
        <v>0</v>
      </c>
      <c r="BA14" s="3">
        <f t="shared" si="3"/>
        <v>0</v>
      </c>
      <c r="BB14" s="3">
        <f t="shared" si="26"/>
        <v>287332.67913216562</v>
      </c>
      <c r="BC14" s="7" t="s">
        <v>97</v>
      </c>
      <c r="BD14" s="2" t="s">
        <v>25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7" t="s">
        <v>97</v>
      </c>
      <c r="BK14" s="2" t="s">
        <v>25</v>
      </c>
      <c r="BL14" s="3">
        <v>4279.1937894826688</v>
      </c>
      <c r="BM14" s="3">
        <v>0</v>
      </c>
      <c r="BN14" s="3">
        <v>0</v>
      </c>
      <c r="BO14" s="3">
        <v>0</v>
      </c>
      <c r="BP14" s="3">
        <v>4279.1937894826688</v>
      </c>
      <c r="BQ14" s="7" t="s">
        <v>97</v>
      </c>
      <c r="BR14" s="2" t="s">
        <v>25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7" t="s">
        <v>97</v>
      </c>
      <c r="BY14" s="2" t="s">
        <v>25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7" t="s">
        <v>97</v>
      </c>
      <c r="CF14" s="2" t="s">
        <v>25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7" t="s">
        <v>97</v>
      </c>
      <c r="CM14" s="2" t="s">
        <v>25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7" t="s">
        <v>97</v>
      </c>
      <c r="CT14" s="2" t="s">
        <v>25</v>
      </c>
      <c r="CU14" s="3">
        <v>12.613696290545459</v>
      </c>
      <c r="CV14" s="3">
        <v>0</v>
      </c>
      <c r="CW14" s="3">
        <v>0</v>
      </c>
      <c r="CX14" s="3">
        <v>0</v>
      </c>
      <c r="CY14" s="3">
        <v>12.613696290545459</v>
      </c>
      <c r="CZ14" s="7" t="s">
        <v>97</v>
      </c>
      <c r="DA14" s="2" t="s">
        <v>25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7" t="s">
        <v>97</v>
      </c>
      <c r="DH14" s="2" t="s">
        <v>25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7" t="s">
        <v>97</v>
      </c>
      <c r="DO14" s="2" t="s">
        <v>25</v>
      </c>
      <c r="DP14" s="3">
        <v>14364.815451601724</v>
      </c>
      <c r="DQ14" s="3">
        <v>0</v>
      </c>
      <c r="DR14" s="3">
        <v>0</v>
      </c>
      <c r="DS14" s="3">
        <v>0</v>
      </c>
      <c r="DT14" s="3">
        <v>14364.815451601724</v>
      </c>
      <c r="DU14" s="7" t="s">
        <v>97</v>
      </c>
      <c r="DV14" s="2" t="s">
        <v>25</v>
      </c>
      <c r="DW14" s="3">
        <v>36722.169944344743</v>
      </c>
      <c r="DX14" s="3">
        <v>0</v>
      </c>
      <c r="DY14" s="3">
        <v>0</v>
      </c>
      <c r="DZ14" s="3">
        <v>0</v>
      </c>
      <c r="EA14" s="3">
        <v>36722.169944344743</v>
      </c>
      <c r="EB14" s="7" t="s">
        <v>97</v>
      </c>
      <c r="EC14" s="2" t="s">
        <v>25</v>
      </c>
      <c r="ED14" s="3">
        <v>250610.50918782089</v>
      </c>
      <c r="EE14" s="3">
        <v>0</v>
      </c>
      <c r="EF14" s="3">
        <v>0</v>
      </c>
      <c r="EG14" s="3">
        <v>0</v>
      </c>
      <c r="EH14" s="3">
        <v>250610.50918782089</v>
      </c>
    </row>
    <row r="15" spans="1:138" ht="10.199999999999999" customHeight="1" x14ac:dyDescent="0.2">
      <c r="A15" s="7" t="s">
        <v>117</v>
      </c>
      <c r="B15" s="2" t="s">
        <v>45</v>
      </c>
      <c r="C15" s="3">
        <f t="shared" si="4"/>
        <v>0</v>
      </c>
      <c r="D15" s="3">
        <f t="shared" si="5"/>
        <v>0</v>
      </c>
      <c r="E15" s="3">
        <f t="shared" si="6"/>
        <v>0</v>
      </c>
      <c r="F15" s="3">
        <f t="shared" si="7"/>
        <v>636140.04050580587</v>
      </c>
      <c r="G15" s="3">
        <f t="shared" si="8"/>
        <v>7375.3987146966647</v>
      </c>
      <c r="H15" s="3">
        <f t="shared" si="9"/>
        <v>0</v>
      </c>
      <c r="I15" s="3">
        <f t="shared" si="10"/>
        <v>0</v>
      </c>
      <c r="J15" s="3">
        <f t="shared" si="11"/>
        <v>1302.4582908589657</v>
      </c>
      <c r="K15" s="3">
        <f t="shared" si="12"/>
        <v>27095.502224700544</v>
      </c>
      <c r="L15" s="3">
        <f t="shared" si="13"/>
        <v>208844.87253278116</v>
      </c>
      <c r="M15" s="3">
        <f t="shared" si="14"/>
        <v>573170.70700059179</v>
      </c>
      <c r="N15" s="3">
        <f t="shared" si="15"/>
        <v>40435985.288423635</v>
      </c>
      <c r="O15" s="3">
        <f t="shared" si="16"/>
        <v>41889914.267693073</v>
      </c>
      <c r="P15" s="7" t="s">
        <v>117</v>
      </c>
      <c r="Q15" s="2" t="s">
        <v>45</v>
      </c>
      <c r="R15" s="3">
        <f t="shared" si="17"/>
        <v>0</v>
      </c>
      <c r="S15" s="3">
        <f t="shared" si="17"/>
        <v>0</v>
      </c>
      <c r="T15" s="3">
        <f t="shared" si="17"/>
        <v>0</v>
      </c>
      <c r="U15" s="3">
        <f t="shared" si="17"/>
        <v>636140.04050580587</v>
      </c>
      <c r="V15" s="3">
        <f t="shared" si="17"/>
        <v>7375.3987146966647</v>
      </c>
      <c r="W15" s="3">
        <f t="shared" si="17"/>
        <v>0</v>
      </c>
      <c r="X15" s="3">
        <f t="shared" si="17"/>
        <v>0</v>
      </c>
      <c r="Y15" s="3">
        <f t="shared" si="17"/>
        <v>1302.4582908589657</v>
      </c>
      <c r="Z15" s="3">
        <f t="shared" si="17"/>
        <v>27095.502224700544</v>
      </c>
      <c r="AA15" s="3">
        <f t="shared" si="17"/>
        <v>208844.87253278116</v>
      </c>
      <c r="AB15" s="3">
        <f t="shared" si="18"/>
        <v>880758.27226884314</v>
      </c>
      <c r="AC15" s="7" t="s">
        <v>117</v>
      </c>
      <c r="AD15" s="2" t="s">
        <v>45</v>
      </c>
      <c r="AE15" s="3">
        <f t="shared" si="19"/>
        <v>573170.70700059179</v>
      </c>
      <c r="AF15" s="3">
        <f t="shared" si="19"/>
        <v>40435985.288423635</v>
      </c>
      <c r="AG15" s="3">
        <f t="shared" si="20"/>
        <v>41009155.995424226</v>
      </c>
      <c r="AH15" s="7" t="s">
        <v>117</v>
      </c>
      <c r="AI15" s="2" t="s">
        <v>45</v>
      </c>
      <c r="AJ15" s="3">
        <f t="shared" si="21"/>
        <v>865714.17932576686</v>
      </c>
      <c r="AK15" s="3">
        <f t="shared" si="1"/>
        <v>1255932.6432389868</v>
      </c>
      <c r="AL15" s="3">
        <f t="shared" si="1"/>
        <v>24123.356022448948</v>
      </c>
      <c r="AM15" s="3">
        <f t="shared" si="1"/>
        <v>39744144.089105867</v>
      </c>
      <c r="AN15" s="3">
        <f t="shared" si="22"/>
        <v>41889914.267693073</v>
      </c>
      <c r="AO15" s="7" t="s">
        <v>117</v>
      </c>
      <c r="AP15" s="2" t="s">
        <v>45</v>
      </c>
      <c r="AQ15" s="3">
        <f t="shared" si="23"/>
        <v>349434.27055603417</v>
      </c>
      <c r="AR15" s="3">
        <f t="shared" si="2"/>
        <v>531121.64573697129</v>
      </c>
      <c r="AS15" s="3">
        <f t="shared" si="2"/>
        <v>202.35597583769331</v>
      </c>
      <c r="AT15" s="3">
        <f t="shared" si="2"/>
        <v>0</v>
      </c>
      <c r="AU15" s="3">
        <f t="shared" si="24"/>
        <v>880758.27226884314</v>
      </c>
      <c r="AV15" s="7" t="s">
        <v>117</v>
      </c>
      <c r="AW15" s="2" t="s">
        <v>45</v>
      </c>
      <c r="AX15" s="3">
        <f t="shared" si="25"/>
        <v>516279.90876973263</v>
      </c>
      <c r="AY15" s="3">
        <f t="shared" si="3"/>
        <v>724810.99750201567</v>
      </c>
      <c r="AZ15" s="3">
        <f t="shared" si="3"/>
        <v>23921.000046611254</v>
      </c>
      <c r="BA15" s="3">
        <f t="shared" si="3"/>
        <v>39744144.089105867</v>
      </c>
      <c r="BB15" s="3">
        <f t="shared" si="26"/>
        <v>41009155.995424226</v>
      </c>
      <c r="BC15" s="7" t="s">
        <v>117</v>
      </c>
      <c r="BD15" s="2" t="s">
        <v>45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7" t="s">
        <v>117</v>
      </c>
      <c r="BK15" s="2" t="s">
        <v>45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7" t="s">
        <v>117</v>
      </c>
      <c r="BR15" s="2" t="s">
        <v>45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7" t="s">
        <v>117</v>
      </c>
      <c r="BY15" s="2" t="s">
        <v>45</v>
      </c>
      <c r="BZ15" s="3">
        <v>114536.2216535433</v>
      </c>
      <c r="CA15" s="3">
        <v>521602.61754785397</v>
      </c>
      <c r="CB15" s="3">
        <v>1.2013044086233768</v>
      </c>
      <c r="CC15" s="3">
        <v>0</v>
      </c>
      <c r="CD15" s="3">
        <v>636140.04050580587</v>
      </c>
      <c r="CE15" s="7" t="s">
        <v>117</v>
      </c>
      <c r="CF15" s="2" t="s">
        <v>45</v>
      </c>
      <c r="CG15" s="3">
        <v>4983.0563227532102</v>
      </c>
      <c r="CH15" s="3">
        <v>2392.342391943454</v>
      </c>
      <c r="CI15" s="3">
        <v>0</v>
      </c>
      <c r="CJ15" s="3">
        <v>0</v>
      </c>
      <c r="CK15" s="3">
        <v>7375.3987146966647</v>
      </c>
      <c r="CL15" s="7" t="s">
        <v>117</v>
      </c>
      <c r="CM15" s="2" t="s">
        <v>45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7" t="s">
        <v>117</v>
      </c>
      <c r="CT15" s="2" t="s">
        <v>45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7" t="s">
        <v>117</v>
      </c>
      <c r="DA15" s="2" t="s">
        <v>45</v>
      </c>
      <c r="DB15" s="3">
        <v>19767.661756097557</v>
      </c>
      <c r="DC15" s="3">
        <v>7126.6857971739164</v>
      </c>
      <c r="DD15" s="3">
        <v>201.15467142906994</v>
      </c>
      <c r="DE15" s="3">
        <v>0</v>
      </c>
      <c r="DF15" s="3">
        <v>27095.502224700544</v>
      </c>
      <c r="DG15" s="7" t="s">
        <v>117</v>
      </c>
      <c r="DH15" s="2" t="s">
        <v>45</v>
      </c>
      <c r="DI15" s="3">
        <v>1302.4582908589657</v>
      </c>
      <c r="DJ15" s="3">
        <v>0</v>
      </c>
      <c r="DK15" s="3">
        <v>0</v>
      </c>
      <c r="DL15" s="3">
        <v>0</v>
      </c>
      <c r="DM15" s="3">
        <v>1302.4582908589657</v>
      </c>
      <c r="DN15" s="7" t="s">
        <v>117</v>
      </c>
      <c r="DO15" s="2" t="s">
        <v>45</v>
      </c>
      <c r="DP15" s="3">
        <v>208844.87253278116</v>
      </c>
      <c r="DQ15" s="3">
        <v>0</v>
      </c>
      <c r="DR15" s="3">
        <v>0</v>
      </c>
      <c r="DS15" s="3">
        <v>0</v>
      </c>
      <c r="DT15" s="3">
        <v>208844.87253278116</v>
      </c>
      <c r="DU15" s="7" t="s">
        <v>117</v>
      </c>
      <c r="DV15" s="2" t="s">
        <v>45</v>
      </c>
      <c r="DW15" s="3">
        <v>38651.924271844662</v>
      </c>
      <c r="DX15" s="3">
        <v>629268.27499931178</v>
      </c>
      <c r="DY15" s="3">
        <v>23921.000046611254</v>
      </c>
      <c r="DZ15" s="3">
        <v>39744144.089105867</v>
      </c>
      <c r="EA15" s="3">
        <v>40435985.288423635</v>
      </c>
      <c r="EB15" s="7" t="s">
        <v>117</v>
      </c>
      <c r="EC15" s="2" t="s">
        <v>45</v>
      </c>
      <c r="ED15" s="3">
        <v>477627.98449788796</v>
      </c>
      <c r="EE15" s="3">
        <v>95542.722502703866</v>
      </c>
      <c r="EF15" s="3">
        <v>0</v>
      </c>
      <c r="EG15" s="3">
        <v>0</v>
      </c>
      <c r="EH15" s="3">
        <v>573170.70700059179</v>
      </c>
    </row>
    <row r="16" spans="1:138" ht="10.199999999999999" customHeight="1" x14ac:dyDescent="0.2">
      <c r="A16" s="7" t="s">
        <v>114</v>
      </c>
      <c r="B16" s="2" t="s">
        <v>42</v>
      </c>
      <c r="C16" s="3">
        <f t="shared" si="4"/>
        <v>2743.2357142857145</v>
      </c>
      <c r="D16" s="3">
        <f t="shared" si="5"/>
        <v>28024.050654394861</v>
      </c>
      <c r="E16" s="3">
        <f t="shared" si="6"/>
        <v>0</v>
      </c>
      <c r="F16" s="3">
        <f t="shared" si="7"/>
        <v>282269.42286172835</v>
      </c>
      <c r="G16" s="3">
        <f t="shared" si="8"/>
        <v>4005148.8983503385</v>
      </c>
      <c r="H16" s="3">
        <f t="shared" si="9"/>
        <v>0</v>
      </c>
      <c r="I16" s="3">
        <f t="shared" si="10"/>
        <v>57055.616006125667</v>
      </c>
      <c r="J16" s="3">
        <f t="shared" si="11"/>
        <v>2536.7230769230691</v>
      </c>
      <c r="K16" s="3">
        <f t="shared" si="12"/>
        <v>1553559.5872634973</v>
      </c>
      <c r="L16" s="3">
        <f t="shared" si="13"/>
        <v>76517.280372447494</v>
      </c>
      <c r="M16" s="3">
        <f t="shared" si="14"/>
        <v>978188.46892627189</v>
      </c>
      <c r="N16" s="3">
        <f t="shared" si="15"/>
        <v>6102.1445211938344</v>
      </c>
      <c r="O16" s="3">
        <f t="shared" si="16"/>
        <v>6992145.4277472068</v>
      </c>
      <c r="P16" s="7" t="s">
        <v>114</v>
      </c>
      <c r="Q16" s="2" t="s">
        <v>42</v>
      </c>
      <c r="R16" s="3">
        <f t="shared" si="17"/>
        <v>2743.2357142857145</v>
      </c>
      <c r="S16" s="3">
        <f t="shared" si="17"/>
        <v>28024.050654394861</v>
      </c>
      <c r="T16" s="3">
        <f t="shared" si="17"/>
        <v>0</v>
      </c>
      <c r="U16" s="3">
        <f t="shared" si="17"/>
        <v>282269.42286172835</v>
      </c>
      <c r="V16" s="3">
        <f t="shared" si="17"/>
        <v>4005148.8983503385</v>
      </c>
      <c r="W16" s="3">
        <f t="shared" si="17"/>
        <v>0</v>
      </c>
      <c r="X16" s="3">
        <f t="shared" si="17"/>
        <v>57055.616006125667</v>
      </c>
      <c r="Y16" s="3">
        <f t="shared" si="17"/>
        <v>2536.7230769230691</v>
      </c>
      <c r="Z16" s="3">
        <f t="shared" si="17"/>
        <v>1553559.5872634973</v>
      </c>
      <c r="AA16" s="3">
        <f t="shared" si="17"/>
        <v>76517.280372447494</v>
      </c>
      <c r="AB16" s="3">
        <f t="shared" si="18"/>
        <v>6007854.8142997408</v>
      </c>
      <c r="AC16" s="7" t="s">
        <v>114</v>
      </c>
      <c r="AD16" s="2" t="s">
        <v>42</v>
      </c>
      <c r="AE16" s="3">
        <f t="shared" si="19"/>
        <v>978188.46892627189</v>
      </c>
      <c r="AF16" s="3">
        <f t="shared" si="19"/>
        <v>6102.1445211938344</v>
      </c>
      <c r="AG16" s="3">
        <f t="shared" si="20"/>
        <v>984290.6134474657</v>
      </c>
      <c r="AH16" s="7" t="s">
        <v>114</v>
      </c>
      <c r="AI16" s="2" t="s">
        <v>42</v>
      </c>
      <c r="AJ16" s="3">
        <f t="shared" si="21"/>
        <v>6655786.9787575621</v>
      </c>
      <c r="AK16" s="3">
        <f t="shared" si="1"/>
        <v>100619.02161507764</v>
      </c>
      <c r="AL16" s="3">
        <f t="shared" si="1"/>
        <v>17160.717424742856</v>
      </c>
      <c r="AM16" s="3">
        <f t="shared" si="1"/>
        <v>218578.70994982449</v>
      </c>
      <c r="AN16" s="3">
        <f t="shared" si="22"/>
        <v>6992145.4277472068</v>
      </c>
      <c r="AO16" s="7" t="s">
        <v>114</v>
      </c>
      <c r="AP16" s="2" t="s">
        <v>42</v>
      </c>
      <c r="AQ16" s="3">
        <f t="shared" si="23"/>
        <v>5671496.3653100962</v>
      </c>
      <c r="AR16" s="3">
        <f t="shared" si="2"/>
        <v>100619.02161507764</v>
      </c>
      <c r="AS16" s="3">
        <f t="shared" si="2"/>
        <v>17160.717424742856</v>
      </c>
      <c r="AT16" s="3">
        <f t="shared" si="2"/>
        <v>218578.70994982449</v>
      </c>
      <c r="AU16" s="3">
        <f t="shared" si="24"/>
        <v>6007854.8142997418</v>
      </c>
      <c r="AV16" s="7" t="s">
        <v>114</v>
      </c>
      <c r="AW16" s="2" t="s">
        <v>42</v>
      </c>
      <c r="AX16" s="3">
        <f t="shared" si="25"/>
        <v>984290.6134474657</v>
      </c>
      <c r="AY16" s="3">
        <f t="shared" si="3"/>
        <v>0</v>
      </c>
      <c r="AZ16" s="3">
        <f t="shared" si="3"/>
        <v>0</v>
      </c>
      <c r="BA16" s="3">
        <f t="shared" si="3"/>
        <v>0</v>
      </c>
      <c r="BB16" s="3">
        <f t="shared" si="26"/>
        <v>984290.6134474657</v>
      </c>
      <c r="BC16" s="7" t="s">
        <v>114</v>
      </c>
      <c r="BD16" s="2" t="s">
        <v>42</v>
      </c>
      <c r="BE16" s="3">
        <v>2743.2357142857145</v>
      </c>
      <c r="BF16" s="3">
        <v>0</v>
      </c>
      <c r="BG16" s="3">
        <v>0</v>
      </c>
      <c r="BH16" s="3">
        <v>0</v>
      </c>
      <c r="BI16" s="3">
        <v>2743.2357142857145</v>
      </c>
      <c r="BJ16" s="7" t="s">
        <v>114</v>
      </c>
      <c r="BK16" s="2" t="s">
        <v>42</v>
      </c>
      <c r="BL16" s="3">
        <v>0</v>
      </c>
      <c r="BM16" s="3">
        <v>28024.050654394861</v>
      </c>
      <c r="BN16" s="3">
        <v>0</v>
      </c>
      <c r="BO16" s="3">
        <v>0</v>
      </c>
      <c r="BP16" s="3">
        <v>28024.050654394861</v>
      </c>
      <c r="BQ16" s="7" t="s">
        <v>114</v>
      </c>
      <c r="BR16" s="2" t="s">
        <v>42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7" t="s">
        <v>114</v>
      </c>
      <c r="BY16" s="2" t="s">
        <v>42</v>
      </c>
      <c r="BZ16" s="3">
        <v>46529.995487161003</v>
      </c>
      <c r="CA16" s="3">
        <v>0</v>
      </c>
      <c r="CB16" s="3">
        <v>17160.717424742856</v>
      </c>
      <c r="CC16" s="3">
        <v>218578.70994982449</v>
      </c>
      <c r="CD16" s="3">
        <v>282269.42286172835</v>
      </c>
      <c r="CE16" s="7" t="s">
        <v>114</v>
      </c>
      <c r="CF16" s="2" t="s">
        <v>42</v>
      </c>
      <c r="CG16" s="3">
        <v>4005148.8983503385</v>
      </c>
      <c r="CH16" s="3">
        <v>0</v>
      </c>
      <c r="CI16" s="3">
        <v>0</v>
      </c>
      <c r="CJ16" s="3">
        <v>0</v>
      </c>
      <c r="CK16" s="3">
        <v>4005148.8983503385</v>
      </c>
      <c r="CL16" s="7" t="s">
        <v>114</v>
      </c>
      <c r="CM16" s="2" t="s">
        <v>42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7" t="s">
        <v>114</v>
      </c>
      <c r="CT16" s="2" t="s">
        <v>42</v>
      </c>
      <c r="CU16" s="3">
        <v>57055.616006125667</v>
      </c>
      <c r="CV16" s="3">
        <v>0</v>
      </c>
      <c r="CW16" s="3">
        <v>0</v>
      </c>
      <c r="CX16" s="3">
        <v>0</v>
      </c>
      <c r="CY16" s="3">
        <v>57055.616006125667</v>
      </c>
      <c r="CZ16" s="7" t="s">
        <v>114</v>
      </c>
      <c r="DA16" s="2" t="s">
        <v>42</v>
      </c>
      <c r="DB16" s="3">
        <v>1553559.5872634973</v>
      </c>
      <c r="DC16" s="3">
        <v>0</v>
      </c>
      <c r="DD16" s="3">
        <v>0</v>
      </c>
      <c r="DE16" s="3">
        <v>0</v>
      </c>
      <c r="DF16" s="3">
        <v>1553559.5872634973</v>
      </c>
      <c r="DG16" s="7" t="s">
        <v>114</v>
      </c>
      <c r="DH16" s="2" t="s">
        <v>42</v>
      </c>
      <c r="DI16" s="3">
        <v>2536.7230769230691</v>
      </c>
      <c r="DJ16" s="3">
        <v>0</v>
      </c>
      <c r="DK16" s="3">
        <v>0</v>
      </c>
      <c r="DL16" s="3">
        <v>0</v>
      </c>
      <c r="DM16" s="3">
        <v>2536.7230769230691</v>
      </c>
      <c r="DN16" s="7" t="s">
        <v>114</v>
      </c>
      <c r="DO16" s="2" t="s">
        <v>42</v>
      </c>
      <c r="DP16" s="3">
        <v>3922.3094117647061</v>
      </c>
      <c r="DQ16" s="3">
        <v>72594.970960682782</v>
      </c>
      <c r="DR16" s="3">
        <v>0</v>
      </c>
      <c r="DS16" s="3">
        <v>0</v>
      </c>
      <c r="DT16" s="3">
        <v>76517.280372447494</v>
      </c>
      <c r="DU16" s="7" t="s">
        <v>114</v>
      </c>
      <c r="DV16" s="2" t="s">
        <v>42</v>
      </c>
      <c r="DW16" s="3">
        <v>6102.1445211938344</v>
      </c>
      <c r="DX16" s="3">
        <v>0</v>
      </c>
      <c r="DY16" s="3">
        <v>0</v>
      </c>
      <c r="DZ16" s="3">
        <v>0</v>
      </c>
      <c r="EA16" s="3">
        <v>6102.1445211938344</v>
      </c>
      <c r="EB16" s="7" t="s">
        <v>114</v>
      </c>
      <c r="EC16" s="2" t="s">
        <v>42</v>
      </c>
      <c r="ED16" s="3">
        <v>978188.46892627189</v>
      </c>
      <c r="EE16" s="3">
        <v>0</v>
      </c>
      <c r="EF16" s="3">
        <v>0</v>
      </c>
      <c r="EG16" s="3">
        <v>0</v>
      </c>
      <c r="EH16" s="3">
        <v>978188.46892627189</v>
      </c>
    </row>
    <row r="17" spans="1:138" ht="10.199999999999999" customHeight="1" x14ac:dyDescent="0.2">
      <c r="A17" s="7" t="s">
        <v>112</v>
      </c>
      <c r="B17" s="2" t="s">
        <v>40</v>
      </c>
      <c r="C17" s="3">
        <f t="shared" si="4"/>
        <v>0</v>
      </c>
      <c r="D17" s="3">
        <f t="shared" si="5"/>
        <v>0</v>
      </c>
      <c r="E17" s="3">
        <f t="shared" si="6"/>
        <v>68112636.607049674</v>
      </c>
      <c r="F17" s="3">
        <f t="shared" si="7"/>
        <v>360233.45403978351</v>
      </c>
      <c r="G17" s="3">
        <f t="shared" si="8"/>
        <v>37176.706666666658</v>
      </c>
      <c r="H17" s="3">
        <f t="shared" si="9"/>
        <v>5077.076253371195</v>
      </c>
      <c r="I17" s="3">
        <f t="shared" si="10"/>
        <v>200801.04533599329</v>
      </c>
      <c r="J17" s="3">
        <f t="shared" si="11"/>
        <v>461.30089291137671</v>
      </c>
      <c r="K17" s="3">
        <f t="shared" si="12"/>
        <v>6711372.5642559482</v>
      </c>
      <c r="L17" s="3">
        <f t="shared" si="13"/>
        <v>2234343.9912160207</v>
      </c>
      <c r="M17" s="3">
        <f t="shared" si="14"/>
        <v>3908711.0441990444</v>
      </c>
      <c r="N17" s="3">
        <f t="shared" si="15"/>
        <v>3071058.1091756746</v>
      </c>
      <c r="O17" s="3">
        <f t="shared" si="16"/>
        <v>84641871.899085075</v>
      </c>
      <c r="P17" s="7" t="s">
        <v>112</v>
      </c>
      <c r="Q17" s="2" t="s">
        <v>40</v>
      </c>
      <c r="R17" s="3">
        <f t="shared" si="17"/>
        <v>0</v>
      </c>
      <c r="S17" s="3">
        <f t="shared" si="17"/>
        <v>0</v>
      </c>
      <c r="T17" s="3">
        <f t="shared" si="17"/>
        <v>68112636.607049674</v>
      </c>
      <c r="U17" s="3">
        <f t="shared" si="17"/>
        <v>360233.45403978351</v>
      </c>
      <c r="V17" s="3">
        <f t="shared" si="17"/>
        <v>37176.706666666658</v>
      </c>
      <c r="W17" s="3">
        <f t="shared" si="17"/>
        <v>5077.076253371195</v>
      </c>
      <c r="X17" s="3">
        <f t="shared" si="17"/>
        <v>200801.04533599329</v>
      </c>
      <c r="Y17" s="3">
        <f t="shared" si="17"/>
        <v>461.30089291137671</v>
      </c>
      <c r="Z17" s="3">
        <f t="shared" si="17"/>
        <v>6711372.5642559482</v>
      </c>
      <c r="AA17" s="3">
        <f t="shared" si="17"/>
        <v>2234343.9912160207</v>
      </c>
      <c r="AB17" s="3">
        <f t="shared" si="18"/>
        <v>77662102.745710358</v>
      </c>
      <c r="AC17" s="7" t="s">
        <v>112</v>
      </c>
      <c r="AD17" s="2" t="s">
        <v>40</v>
      </c>
      <c r="AE17" s="3">
        <f t="shared" si="19"/>
        <v>3908711.0441990444</v>
      </c>
      <c r="AF17" s="3">
        <f t="shared" si="19"/>
        <v>3071058.1091756746</v>
      </c>
      <c r="AG17" s="3">
        <f t="shared" si="20"/>
        <v>6979769.1533747185</v>
      </c>
      <c r="AH17" s="7" t="s">
        <v>112</v>
      </c>
      <c r="AI17" s="2" t="s">
        <v>40</v>
      </c>
      <c r="AJ17" s="3">
        <f t="shared" si="21"/>
        <v>15316275.334390789</v>
      </c>
      <c r="AK17" s="3">
        <f t="shared" si="1"/>
        <v>1207882.8813912536</v>
      </c>
      <c r="AL17" s="3">
        <f t="shared" si="1"/>
        <v>0</v>
      </c>
      <c r="AM17" s="3">
        <f t="shared" si="1"/>
        <v>68117713.683303043</v>
      </c>
      <c r="AN17" s="3">
        <f t="shared" si="22"/>
        <v>84641871.89908509</v>
      </c>
      <c r="AO17" s="7" t="s">
        <v>112</v>
      </c>
      <c r="AP17" s="2" t="s">
        <v>40</v>
      </c>
      <c r="AQ17" s="3">
        <f t="shared" si="23"/>
        <v>8336506.1810160698</v>
      </c>
      <c r="AR17" s="3">
        <f t="shared" si="2"/>
        <v>1207882.8813912536</v>
      </c>
      <c r="AS17" s="3">
        <f t="shared" si="2"/>
        <v>0</v>
      </c>
      <c r="AT17" s="3">
        <f t="shared" si="2"/>
        <v>68117713.683303043</v>
      </c>
      <c r="AU17" s="3">
        <f t="shared" si="24"/>
        <v>77662102.745710373</v>
      </c>
      <c r="AV17" s="7" t="s">
        <v>112</v>
      </c>
      <c r="AW17" s="2" t="s">
        <v>40</v>
      </c>
      <c r="AX17" s="3">
        <f t="shared" si="25"/>
        <v>6979769.1533747185</v>
      </c>
      <c r="AY17" s="3">
        <f t="shared" si="3"/>
        <v>0</v>
      </c>
      <c r="AZ17" s="3">
        <f t="shared" si="3"/>
        <v>0</v>
      </c>
      <c r="BA17" s="3">
        <f t="shared" si="3"/>
        <v>0</v>
      </c>
      <c r="BB17" s="3">
        <f t="shared" si="26"/>
        <v>6979769.1533747185</v>
      </c>
      <c r="BC17" s="7" t="s">
        <v>112</v>
      </c>
      <c r="BD17" s="2" t="s">
        <v>40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7" t="s">
        <v>112</v>
      </c>
      <c r="BK17" s="2" t="s">
        <v>40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7" t="s">
        <v>112</v>
      </c>
      <c r="BR17" s="2" t="s">
        <v>40</v>
      </c>
      <c r="BS17" s="3">
        <v>0</v>
      </c>
      <c r="BT17" s="3">
        <v>0</v>
      </c>
      <c r="BU17" s="3">
        <v>0</v>
      </c>
      <c r="BV17" s="3">
        <v>68112636.607049674</v>
      </c>
      <c r="BW17" s="3">
        <v>68112636.607049674</v>
      </c>
      <c r="BX17" s="7" t="s">
        <v>112</v>
      </c>
      <c r="BY17" s="2" t="s">
        <v>40</v>
      </c>
      <c r="BZ17" s="3">
        <v>360233.45403978351</v>
      </c>
      <c r="CA17" s="3">
        <v>0</v>
      </c>
      <c r="CB17" s="3">
        <v>0</v>
      </c>
      <c r="CC17" s="3">
        <v>0</v>
      </c>
      <c r="CD17" s="3">
        <v>360233.45403978351</v>
      </c>
      <c r="CE17" s="7" t="s">
        <v>112</v>
      </c>
      <c r="CF17" s="2" t="s">
        <v>40</v>
      </c>
      <c r="CG17" s="3">
        <v>37176.706666666658</v>
      </c>
      <c r="CH17" s="3">
        <v>0</v>
      </c>
      <c r="CI17" s="3">
        <v>0</v>
      </c>
      <c r="CJ17" s="3">
        <v>0</v>
      </c>
      <c r="CK17" s="3">
        <v>37176.706666666658</v>
      </c>
      <c r="CL17" s="7" t="s">
        <v>112</v>
      </c>
      <c r="CM17" s="2" t="s">
        <v>40</v>
      </c>
      <c r="CN17" s="3">
        <v>0</v>
      </c>
      <c r="CO17" s="3">
        <v>0</v>
      </c>
      <c r="CP17" s="3">
        <v>0</v>
      </c>
      <c r="CQ17" s="3">
        <v>5077.076253371195</v>
      </c>
      <c r="CR17" s="3">
        <v>5077.076253371195</v>
      </c>
      <c r="CS17" s="7" t="s">
        <v>112</v>
      </c>
      <c r="CT17" s="2" t="s">
        <v>40</v>
      </c>
      <c r="CU17" s="3">
        <v>200801.04533599329</v>
      </c>
      <c r="CV17" s="3">
        <v>0</v>
      </c>
      <c r="CW17" s="3">
        <v>0</v>
      </c>
      <c r="CX17" s="3">
        <v>0</v>
      </c>
      <c r="CY17" s="3">
        <v>200801.04533599329</v>
      </c>
      <c r="CZ17" s="7" t="s">
        <v>112</v>
      </c>
      <c r="DA17" s="2" t="s">
        <v>40</v>
      </c>
      <c r="DB17" s="3">
        <v>5503489.6828646949</v>
      </c>
      <c r="DC17" s="3">
        <v>1207882.8813912536</v>
      </c>
      <c r="DD17" s="3">
        <v>0</v>
      </c>
      <c r="DE17" s="3">
        <v>0</v>
      </c>
      <c r="DF17" s="3">
        <v>6711372.5642559482</v>
      </c>
      <c r="DG17" s="7" t="s">
        <v>112</v>
      </c>
      <c r="DH17" s="2" t="s">
        <v>40</v>
      </c>
      <c r="DI17" s="3">
        <v>461.30089291137671</v>
      </c>
      <c r="DJ17" s="3">
        <v>0</v>
      </c>
      <c r="DK17" s="3">
        <v>0</v>
      </c>
      <c r="DL17" s="3">
        <v>0</v>
      </c>
      <c r="DM17" s="3">
        <v>461.30089291137671</v>
      </c>
      <c r="DN17" s="7" t="s">
        <v>112</v>
      </c>
      <c r="DO17" s="2" t="s">
        <v>40</v>
      </c>
      <c r="DP17" s="3">
        <v>2234343.9912160207</v>
      </c>
      <c r="DQ17" s="3">
        <v>0</v>
      </c>
      <c r="DR17" s="3">
        <v>0</v>
      </c>
      <c r="DS17" s="3">
        <v>0</v>
      </c>
      <c r="DT17" s="3">
        <v>2234343.9912160207</v>
      </c>
      <c r="DU17" s="7" t="s">
        <v>112</v>
      </c>
      <c r="DV17" s="2" t="s">
        <v>40</v>
      </c>
      <c r="DW17" s="3">
        <v>3071058.1091756746</v>
      </c>
      <c r="DX17" s="3">
        <v>0</v>
      </c>
      <c r="DY17" s="3">
        <v>0</v>
      </c>
      <c r="DZ17" s="3">
        <v>0</v>
      </c>
      <c r="EA17" s="3">
        <v>3071058.1091756746</v>
      </c>
      <c r="EB17" s="7" t="s">
        <v>112</v>
      </c>
      <c r="EC17" s="2" t="s">
        <v>40</v>
      </c>
      <c r="ED17" s="3">
        <v>3908711.0441990444</v>
      </c>
      <c r="EE17" s="3">
        <v>0</v>
      </c>
      <c r="EF17" s="3">
        <v>0</v>
      </c>
      <c r="EG17" s="3">
        <v>0</v>
      </c>
      <c r="EH17" s="3">
        <v>3908711.0441990444</v>
      </c>
    </row>
    <row r="18" spans="1:138" ht="10.199999999999999" customHeight="1" x14ac:dyDescent="0.2">
      <c r="A18" s="7" t="s">
        <v>116</v>
      </c>
      <c r="B18" s="2" t="s">
        <v>44</v>
      </c>
      <c r="C18" s="3">
        <f t="shared" si="4"/>
        <v>106136.48276037026</v>
      </c>
      <c r="D18" s="3">
        <f t="shared" si="5"/>
        <v>85193.117541976215</v>
      </c>
      <c r="E18" s="3">
        <f t="shared" si="6"/>
        <v>14028827.880137451</v>
      </c>
      <c r="F18" s="3">
        <f t="shared" si="7"/>
        <v>22666.468764218262</v>
      </c>
      <c r="G18" s="3">
        <f t="shared" si="8"/>
        <v>736597.60228568257</v>
      </c>
      <c r="H18" s="3">
        <f t="shared" si="9"/>
        <v>47597.589875354955</v>
      </c>
      <c r="I18" s="3">
        <f t="shared" si="10"/>
        <v>42527.912325621503</v>
      </c>
      <c r="J18" s="3">
        <f t="shared" si="11"/>
        <v>10004.986270665779</v>
      </c>
      <c r="K18" s="3">
        <f t="shared" si="12"/>
        <v>40998.217017945608</v>
      </c>
      <c r="L18" s="3">
        <f t="shared" si="13"/>
        <v>470430.26842167304</v>
      </c>
      <c r="M18" s="3">
        <f t="shared" si="14"/>
        <v>741232.55306164513</v>
      </c>
      <c r="N18" s="3">
        <f t="shared" si="15"/>
        <v>62317406.970922716</v>
      </c>
      <c r="O18" s="3">
        <f t="shared" si="16"/>
        <v>78649620.049385324</v>
      </c>
      <c r="P18" s="7" t="s">
        <v>116</v>
      </c>
      <c r="Q18" s="2" t="s">
        <v>44</v>
      </c>
      <c r="R18" s="3">
        <f t="shared" si="17"/>
        <v>106136.48276037026</v>
      </c>
      <c r="S18" s="3">
        <f t="shared" si="17"/>
        <v>85193.117541976215</v>
      </c>
      <c r="T18" s="3">
        <f t="shared" si="17"/>
        <v>14028827.880137451</v>
      </c>
      <c r="U18" s="3">
        <f t="shared" si="17"/>
        <v>22666.468764218262</v>
      </c>
      <c r="V18" s="3">
        <f t="shared" si="17"/>
        <v>736597.60228568257</v>
      </c>
      <c r="W18" s="3">
        <f t="shared" si="17"/>
        <v>47597.589875354955</v>
      </c>
      <c r="X18" s="3">
        <f t="shared" si="17"/>
        <v>42527.912325621503</v>
      </c>
      <c r="Y18" s="3">
        <f t="shared" si="17"/>
        <v>10004.986270665779</v>
      </c>
      <c r="Z18" s="3">
        <f t="shared" si="17"/>
        <v>40998.217017945608</v>
      </c>
      <c r="AA18" s="3">
        <f t="shared" si="17"/>
        <v>470430.26842167304</v>
      </c>
      <c r="AB18" s="3">
        <f t="shared" si="18"/>
        <v>15590980.525400957</v>
      </c>
      <c r="AC18" s="7" t="s">
        <v>116</v>
      </c>
      <c r="AD18" s="2" t="s">
        <v>44</v>
      </c>
      <c r="AE18" s="3">
        <f t="shared" si="19"/>
        <v>741232.55306164513</v>
      </c>
      <c r="AF18" s="3">
        <f t="shared" si="19"/>
        <v>62317406.970922716</v>
      </c>
      <c r="AG18" s="3">
        <f t="shared" si="20"/>
        <v>63058639.523984358</v>
      </c>
      <c r="AH18" s="7" t="s">
        <v>116</v>
      </c>
      <c r="AI18" s="2" t="s">
        <v>44</v>
      </c>
      <c r="AJ18" s="3">
        <f t="shared" si="21"/>
        <v>1069192.7337175333</v>
      </c>
      <c r="AK18" s="3">
        <f t="shared" si="1"/>
        <v>1477344.2016866333</v>
      </c>
      <c r="AL18" s="3">
        <f t="shared" si="1"/>
        <v>25370625.005152442</v>
      </c>
      <c r="AM18" s="3">
        <f t="shared" si="1"/>
        <v>50732458.108828709</v>
      </c>
      <c r="AN18" s="3">
        <f t="shared" si="22"/>
        <v>78649620.049385309</v>
      </c>
      <c r="AO18" s="7" t="s">
        <v>116</v>
      </c>
      <c r="AP18" s="2" t="s">
        <v>44</v>
      </c>
      <c r="AQ18" s="3">
        <f t="shared" si="23"/>
        <v>341540.28284515889</v>
      </c>
      <c r="AR18" s="3">
        <f t="shared" si="2"/>
        <v>748215.66947849048</v>
      </c>
      <c r="AS18" s="3">
        <f t="shared" si="2"/>
        <v>10793492.902348176</v>
      </c>
      <c r="AT18" s="3">
        <f t="shared" si="2"/>
        <v>3707731.6707291338</v>
      </c>
      <c r="AU18" s="3">
        <f t="shared" si="24"/>
        <v>15590980.525400959</v>
      </c>
      <c r="AV18" s="7" t="s">
        <v>116</v>
      </c>
      <c r="AW18" s="2" t="s">
        <v>44</v>
      </c>
      <c r="AX18" s="3">
        <f t="shared" si="25"/>
        <v>727652.45087237435</v>
      </c>
      <c r="AY18" s="3">
        <f t="shared" si="3"/>
        <v>729128.53220814292</v>
      </c>
      <c r="AZ18" s="3">
        <f t="shared" si="3"/>
        <v>14577132.102804264</v>
      </c>
      <c r="BA18" s="3">
        <f t="shared" si="3"/>
        <v>47024726.438099578</v>
      </c>
      <c r="BB18" s="3">
        <f t="shared" si="26"/>
        <v>63058639.523984358</v>
      </c>
      <c r="BC18" s="7" t="s">
        <v>116</v>
      </c>
      <c r="BD18" s="2" t="s">
        <v>44</v>
      </c>
      <c r="BE18" s="3">
        <v>101478.16304107562</v>
      </c>
      <c r="BF18" s="3">
        <v>4658.3197192946336</v>
      </c>
      <c r="BG18" s="3">
        <v>0</v>
      </c>
      <c r="BH18" s="3">
        <v>0</v>
      </c>
      <c r="BI18" s="3">
        <v>106136.48276037026</v>
      </c>
      <c r="BJ18" s="7" t="s">
        <v>116</v>
      </c>
      <c r="BK18" s="2" t="s">
        <v>44</v>
      </c>
      <c r="BL18" s="3">
        <v>35229.798714138618</v>
      </c>
      <c r="BM18" s="3">
        <v>49963.318827837604</v>
      </c>
      <c r="BN18" s="3">
        <v>0</v>
      </c>
      <c r="BO18" s="3">
        <v>0</v>
      </c>
      <c r="BP18" s="3">
        <v>85193.117541976215</v>
      </c>
      <c r="BQ18" s="7" t="s">
        <v>116</v>
      </c>
      <c r="BR18" s="2" t="s">
        <v>44</v>
      </c>
      <c r="BS18" s="3">
        <v>0</v>
      </c>
      <c r="BT18" s="3">
        <v>43582.242189464836</v>
      </c>
      <c r="BU18" s="3">
        <v>10657501.393057102</v>
      </c>
      <c r="BV18" s="3">
        <v>3327744.2448908836</v>
      </c>
      <c r="BW18" s="3">
        <v>14028827.880137451</v>
      </c>
      <c r="BX18" s="7" t="s">
        <v>116</v>
      </c>
      <c r="BY18" s="2" t="s">
        <v>44</v>
      </c>
      <c r="BZ18" s="3">
        <v>14670.568109333328</v>
      </c>
      <c r="CA18" s="3">
        <v>6123.8223903675298</v>
      </c>
      <c r="CB18" s="3">
        <v>1872.0782645174027</v>
      </c>
      <c r="CC18" s="3">
        <v>0</v>
      </c>
      <c r="CD18" s="3">
        <v>22666.468764218262</v>
      </c>
      <c r="CE18" s="7" t="s">
        <v>116</v>
      </c>
      <c r="CF18" s="2" t="s">
        <v>44</v>
      </c>
      <c r="CG18" s="3">
        <v>119199.02696793048</v>
      </c>
      <c r="CH18" s="3">
        <v>617398.57531775208</v>
      </c>
      <c r="CI18" s="3">
        <v>0</v>
      </c>
      <c r="CJ18" s="3">
        <v>0</v>
      </c>
      <c r="CK18" s="3">
        <v>736597.60228568257</v>
      </c>
      <c r="CL18" s="7" t="s">
        <v>116</v>
      </c>
      <c r="CM18" s="2" t="s">
        <v>44</v>
      </c>
      <c r="CN18" s="3">
        <v>0</v>
      </c>
      <c r="CO18" s="3">
        <v>0</v>
      </c>
      <c r="CP18" s="3">
        <v>47597.589875354955</v>
      </c>
      <c r="CQ18" s="3">
        <v>0</v>
      </c>
      <c r="CR18" s="3">
        <v>47597.589875354955</v>
      </c>
      <c r="CS18" s="7" t="s">
        <v>116</v>
      </c>
      <c r="CT18" s="2" t="s">
        <v>44</v>
      </c>
      <c r="CU18" s="3">
        <v>33935.096654073517</v>
      </c>
      <c r="CV18" s="3">
        <v>8592.8156715479836</v>
      </c>
      <c r="CW18" s="3">
        <v>0</v>
      </c>
      <c r="CX18" s="3">
        <v>0</v>
      </c>
      <c r="CY18" s="3">
        <v>42527.912325621503</v>
      </c>
      <c r="CZ18" s="7" t="s">
        <v>116</v>
      </c>
      <c r="DA18" s="2" t="s">
        <v>44</v>
      </c>
      <c r="DB18" s="3">
        <v>27317.016878048777</v>
      </c>
      <c r="DC18" s="3">
        <v>11777.296544882633</v>
      </c>
      <c r="DD18" s="3">
        <v>1903.9035950141983</v>
      </c>
      <c r="DE18" s="3">
        <v>0</v>
      </c>
      <c r="DF18" s="3">
        <v>40998.217017945608</v>
      </c>
      <c r="DG18" s="7" t="s">
        <v>116</v>
      </c>
      <c r="DH18" s="2" t="s">
        <v>44</v>
      </c>
      <c r="DI18" s="3">
        <v>7360.6757220349473</v>
      </c>
      <c r="DJ18" s="3">
        <v>2644.3105486308309</v>
      </c>
      <c r="DK18" s="3">
        <v>0</v>
      </c>
      <c r="DL18" s="3">
        <v>0</v>
      </c>
      <c r="DM18" s="3">
        <v>10004.986270665779</v>
      </c>
      <c r="DN18" s="7" t="s">
        <v>116</v>
      </c>
      <c r="DO18" s="2" t="s">
        <v>44</v>
      </c>
      <c r="DP18" s="3">
        <v>2349.936758523655</v>
      </c>
      <c r="DQ18" s="3">
        <v>3474.9682687124155</v>
      </c>
      <c r="DR18" s="3">
        <v>84617.937556186589</v>
      </c>
      <c r="DS18" s="3">
        <v>379987.42583825038</v>
      </c>
      <c r="DT18" s="3">
        <v>470430.26842167304</v>
      </c>
      <c r="DU18" s="7" t="s">
        <v>116</v>
      </c>
      <c r="DV18" s="2" t="s">
        <v>44</v>
      </c>
      <c r="DW18" s="3">
        <v>10548.906553398057</v>
      </c>
      <c r="DX18" s="3">
        <v>704999.52346547414</v>
      </c>
      <c r="DY18" s="3">
        <v>14577132.102804264</v>
      </c>
      <c r="DZ18" s="3">
        <v>47024726.438099578</v>
      </c>
      <c r="EA18" s="3">
        <v>62317406.970922716</v>
      </c>
      <c r="EB18" s="7" t="s">
        <v>116</v>
      </c>
      <c r="EC18" s="2" t="s">
        <v>44</v>
      </c>
      <c r="ED18" s="3">
        <v>717103.54431897635</v>
      </c>
      <c r="EE18" s="3">
        <v>24129.008742668746</v>
      </c>
      <c r="EF18" s="3">
        <v>0</v>
      </c>
      <c r="EG18" s="3">
        <v>0</v>
      </c>
      <c r="EH18" s="3">
        <v>741232.55306164513</v>
      </c>
    </row>
    <row r="19" spans="1:138" ht="10.199999999999999" customHeight="1" x14ac:dyDescent="0.2">
      <c r="A19" s="7" t="s">
        <v>107</v>
      </c>
      <c r="B19" s="2" t="s">
        <v>35</v>
      </c>
      <c r="C19" s="3">
        <f t="shared" si="4"/>
        <v>0</v>
      </c>
      <c r="D19" s="3">
        <f t="shared" si="5"/>
        <v>2254.8932054228749</v>
      </c>
      <c r="E19" s="3">
        <f t="shared" si="6"/>
        <v>0</v>
      </c>
      <c r="F19" s="3">
        <f t="shared" si="7"/>
        <v>0</v>
      </c>
      <c r="G19" s="3">
        <f t="shared" si="8"/>
        <v>0</v>
      </c>
      <c r="H19" s="3">
        <f t="shared" si="9"/>
        <v>0</v>
      </c>
      <c r="I19" s="3">
        <f t="shared" si="10"/>
        <v>22952.389088343993</v>
      </c>
      <c r="J19" s="3">
        <f t="shared" si="11"/>
        <v>0</v>
      </c>
      <c r="K19" s="3">
        <f t="shared" si="12"/>
        <v>173.78870444751519</v>
      </c>
      <c r="L19" s="3">
        <f t="shared" si="13"/>
        <v>7423004.566457185</v>
      </c>
      <c r="M19" s="3">
        <f t="shared" si="14"/>
        <v>3598058.7806576388</v>
      </c>
      <c r="N19" s="3">
        <f t="shared" si="15"/>
        <v>2270507.3748410959</v>
      </c>
      <c r="O19" s="3">
        <f t="shared" si="16"/>
        <v>13316951.792954134</v>
      </c>
      <c r="P19" s="7" t="s">
        <v>107</v>
      </c>
      <c r="Q19" s="2" t="s">
        <v>35</v>
      </c>
      <c r="R19" s="3">
        <f t="shared" si="17"/>
        <v>0</v>
      </c>
      <c r="S19" s="3">
        <f t="shared" si="17"/>
        <v>2254.8932054228749</v>
      </c>
      <c r="T19" s="3">
        <f t="shared" si="17"/>
        <v>0</v>
      </c>
      <c r="U19" s="3">
        <f t="shared" si="17"/>
        <v>0</v>
      </c>
      <c r="V19" s="3">
        <f t="shared" si="17"/>
        <v>0</v>
      </c>
      <c r="W19" s="3">
        <f t="shared" si="17"/>
        <v>0</v>
      </c>
      <c r="X19" s="3">
        <f t="shared" si="17"/>
        <v>22952.389088343993</v>
      </c>
      <c r="Y19" s="3">
        <f t="shared" si="17"/>
        <v>0</v>
      </c>
      <c r="Z19" s="3">
        <f t="shared" si="17"/>
        <v>173.78870444751519</v>
      </c>
      <c r="AA19" s="3">
        <f t="shared" si="17"/>
        <v>7423004.566457185</v>
      </c>
      <c r="AB19" s="3">
        <f t="shared" si="18"/>
        <v>7448385.6374553991</v>
      </c>
      <c r="AC19" s="7" t="s">
        <v>107</v>
      </c>
      <c r="AD19" s="2" t="s">
        <v>35</v>
      </c>
      <c r="AE19" s="3">
        <f t="shared" si="19"/>
        <v>3598058.7806576388</v>
      </c>
      <c r="AF19" s="3">
        <f t="shared" si="19"/>
        <v>2270507.3748410959</v>
      </c>
      <c r="AG19" s="3">
        <f t="shared" si="20"/>
        <v>5868566.1554987347</v>
      </c>
      <c r="AH19" s="7" t="s">
        <v>107</v>
      </c>
      <c r="AI19" s="2" t="s">
        <v>35</v>
      </c>
      <c r="AJ19" s="3">
        <f t="shared" si="21"/>
        <v>12955266.160454674</v>
      </c>
      <c r="AK19" s="3">
        <f t="shared" si="1"/>
        <v>291821.37296554347</v>
      </c>
      <c r="AL19" s="3">
        <f t="shared" si="1"/>
        <v>2402.6088172467535</v>
      </c>
      <c r="AM19" s="3">
        <f t="shared" si="1"/>
        <v>67461.650716669756</v>
      </c>
      <c r="AN19" s="3">
        <f t="shared" si="22"/>
        <v>13316951.792954134</v>
      </c>
      <c r="AO19" s="7" t="s">
        <v>107</v>
      </c>
      <c r="AP19" s="2" t="s">
        <v>35</v>
      </c>
      <c r="AQ19" s="3">
        <f t="shared" si="23"/>
        <v>7342933.6971182665</v>
      </c>
      <c r="AR19" s="3">
        <f t="shared" si="2"/>
        <v>35587.680803215946</v>
      </c>
      <c r="AS19" s="3">
        <f t="shared" si="2"/>
        <v>2402.6088172467535</v>
      </c>
      <c r="AT19" s="3">
        <f t="shared" si="2"/>
        <v>67461.650716669756</v>
      </c>
      <c r="AU19" s="3">
        <f t="shared" si="24"/>
        <v>7448385.6374553991</v>
      </c>
      <c r="AV19" s="7" t="s">
        <v>107</v>
      </c>
      <c r="AW19" s="2" t="s">
        <v>35</v>
      </c>
      <c r="AX19" s="3">
        <f t="shared" si="25"/>
        <v>5612332.4633364072</v>
      </c>
      <c r="AY19" s="3">
        <f t="shared" si="3"/>
        <v>256233.69216232753</v>
      </c>
      <c r="AZ19" s="3">
        <f t="shared" si="3"/>
        <v>0</v>
      </c>
      <c r="BA19" s="3">
        <f t="shared" si="3"/>
        <v>0</v>
      </c>
      <c r="BB19" s="3">
        <f t="shared" si="26"/>
        <v>5868566.1554987347</v>
      </c>
      <c r="BC19" s="7" t="s">
        <v>107</v>
      </c>
      <c r="BD19" s="2" t="s">
        <v>35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7" t="s">
        <v>107</v>
      </c>
      <c r="BK19" s="2" t="s">
        <v>35</v>
      </c>
      <c r="BL19" s="3">
        <v>2254.8932054228749</v>
      </c>
      <c r="BM19" s="3">
        <v>0</v>
      </c>
      <c r="BN19" s="3">
        <v>0</v>
      </c>
      <c r="BO19" s="3">
        <v>0</v>
      </c>
      <c r="BP19" s="3">
        <v>2254.8932054228749</v>
      </c>
      <c r="BQ19" s="7" t="s">
        <v>107</v>
      </c>
      <c r="BR19" s="2" t="s">
        <v>35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7" t="s">
        <v>107</v>
      </c>
      <c r="BY19" s="2" t="s">
        <v>35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7" t="s">
        <v>107</v>
      </c>
      <c r="CF19" s="2" t="s">
        <v>35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7" t="s">
        <v>107</v>
      </c>
      <c r="CM19" s="2" t="s">
        <v>35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7" t="s">
        <v>107</v>
      </c>
      <c r="CT19" s="2" t="s">
        <v>35</v>
      </c>
      <c r="CU19" s="3">
        <v>21611.012943490605</v>
      </c>
      <c r="CV19" s="3">
        <v>1341.3761448533894</v>
      </c>
      <c r="CW19" s="3">
        <v>0</v>
      </c>
      <c r="CX19" s="3">
        <v>0</v>
      </c>
      <c r="CY19" s="3">
        <v>22952.389088343993</v>
      </c>
      <c r="CZ19" s="7" t="s">
        <v>107</v>
      </c>
      <c r="DA19" s="2" t="s">
        <v>35</v>
      </c>
      <c r="DB19" s="3">
        <v>173.78870444751519</v>
      </c>
      <c r="DC19" s="3">
        <v>0</v>
      </c>
      <c r="DD19" s="3">
        <v>0</v>
      </c>
      <c r="DE19" s="3">
        <v>0</v>
      </c>
      <c r="DF19" s="3">
        <v>173.78870444751519</v>
      </c>
      <c r="DG19" s="7" t="s">
        <v>107</v>
      </c>
      <c r="DH19" s="2" t="s">
        <v>35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7" t="s">
        <v>107</v>
      </c>
      <c r="DO19" s="2" t="s">
        <v>35</v>
      </c>
      <c r="DP19" s="3">
        <v>7318894.0022649057</v>
      </c>
      <c r="DQ19" s="3">
        <v>34246.304658362555</v>
      </c>
      <c r="DR19" s="3">
        <v>2402.6088172467535</v>
      </c>
      <c r="DS19" s="3">
        <v>67461.650716669756</v>
      </c>
      <c r="DT19" s="3">
        <v>7423004.566457185</v>
      </c>
      <c r="DU19" s="7" t="s">
        <v>107</v>
      </c>
      <c r="DV19" s="2" t="s">
        <v>35</v>
      </c>
      <c r="DW19" s="3">
        <v>2149926.81382353</v>
      </c>
      <c r="DX19" s="3">
        <v>120580.56101756589</v>
      </c>
      <c r="DY19" s="3">
        <v>0</v>
      </c>
      <c r="DZ19" s="3">
        <v>0</v>
      </c>
      <c r="EA19" s="3">
        <v>2270507.3748410959</v>
      </c>
      <c r="EB19" s="7" t="s">
        <v>107</v>
      </c>
      <c r="EC19" s="2" t="s">
        <v>35</v>
      </c>
      <c r="ED19" s="3">
        <v>3462405.6495128772</v>
      </c>
      <c r="EE19" s="3">
        <v>135653.13114476163</v>
      </c>
      <c r="EF19" s="3">
        <v>0</v>
      </c>
      <c r="EG19" s="3">
        <v>0</v>
      </c>
      <c r="EH19" s="3">
        <v>3598058.7806576388</v>
      </c>
    </row>
    <row r="20" spans="1:138" ht="10.199999999999999" customHeight="1" x14ac:dyDescent="0.2">
      <c r="A20" s="7" t="s">
        <v>100</v>
      </c>
      <c r="B20" s="2" t="s">
        <v>28</v>
      </c>
      <c r="C20" s="3">
        <f t="shared" si="4"/>
        <v>0</v>
      </c>
      <c r="D20" s="3">
        <f t="shared" si="5"/>
        <v>15878.055988232511</v>
      </c>
      <c r="E20" s="3">
        <f t="shared" si="6"/>
        <v>0</v>
      </c>
      <c r="F20" s="3">
        <f t="shared" si="7"/>
        <v>0</v>
      </c>
      <c r="G20" s="3">
        <f t="shared" si="8"/>
        <v>95716.859782402753</v>
      </c>
      <c r="H20" s="3">
        <f t="shared" si="9"/>
        <v>0</v>
      </c>
      <c r="I20" s="3">
        <f t="shared" si="10"/>
        <v>10003.776918385303</v>
      </c>
      <c r="J20" s="3">
        <f t="shared" si="11"/>
        <v>0</v>
      </c>
      <c r="K20" s="3">
        <f t="shared" si="12"/>
        <v>502.88667857267478</v>
      </c>
      <c r="L20" s="3">
        <f t="shared" si="13"/>
        <v>2058.5616726496969</v>
      </c>
      <c r="M20" s="3">
        <f t="shared" si="14"/>
        <v>897495.33869779145</v>
      </c>
      <c r="N20" s="3">
        <f t="shared" si="15"/>
        <v>112810.11826013279</v>
      </c>
      <c r="O20" s="3">
        <f t="shared" si="16"/>
        <v>1134465.5979981672</v>
      </c>
      <c r="P20" s="7" t="s">
        <v>100</v>
      </c>
      <c r="Q20" s="2" t="s">
        <v>28</v>
      </c>
      <c r="R20" s="3">
        <f t="shared" si="17"/>
        <v>0</v>
      </c>
      <c r="S20" s="3">
        <f t="shared" si="17"/>
        <v>15878.055988232511</v>
      </c>
      <c r="T20" s="3">
        <f t="shared" si="17"/>
        <v>0</v>
      </c>
      <c r="U20" s="3">
        <f t="shared" si="17"/>
        <v>0</v>
      </c>
      <c r="V20" s="3">
        <f t="shared" si="17"/>
        <v>95716.859782402753</v>
      </c>
      <c r="W20" s="3">
        <f t="shared" si="17"/>
        <v>0</v>
      </c>
      <c r="X20" s="3">
        <f t="shared" si="17"/>
        <v>10003.776918385303</v>
      </c>
      <c r="Y20" s="3">
        <f t="shared" si="17"/>
        <v>0</v>
      </c>
      <c r="Z20" s="3">
        <f t="shared" si="17"/>
        <v>502.88667857267478</v>
      </c>
      <c r="AA20" s="3">
        <f t="shared" si="17"/>
        <v>2058.5616726496969</v>
      </c>
      <c r="AB20" s="3">
        <f t="shared" si="18"/>
        <v>124160.14104024295</v>
      </c>
      <c r="AC20" s="7" t="s">
        <v>100</v>
      </c>
      <c r="AD20" s="2" t="s">
        <v>28</v>
      </c>
      <c r="AE20" s="3">
        <f t="shared" si="19"/>
        <v>897495.33869779145</v>
      </c>
      <c r="AF20" s="3">
        <f t="shared" si="19"/>
        <v>112810.11826013279</v>
      </c>
      <c r="AG20" s="3">
        <f t="shared" si="20"/>
        <v>1010305.4569579242</v>
      </c>
      <c r="AH20" s="7" t="s">
        <v>100</v>
      </c>
      <c r="AI20" s="2" t="s">
        <v>28</v>
      </c>
      <c r="AJ20" s="3">
        <f t="shared" si="21"/>
        <v>912970.79755175393</v>
      </c>
      <c r="AK20" s="3">
        <f t="shared" si="21"/>
        <v>147601.61785449844</v>
      </c>
      <c r="AL20" s="3">
        <f t="shared" si="21"/>
        <v>73893.182591914869</v>
      </c>
      <c r="AM20" s="3">
        <f t="shared" si="21"/>
        <v>0</v>
      </c>
      <c r="AN20" s="3">
        <f t="shared" si="22"/>
        <v>1134465.5979981672</v>
      </c>
      <c r="AO20" s="7" t="s">
        <v>100</v>
      </c>
      <c r="AP20" s="2" t="s">
        <v>28</v>
      </c>
      <c r="AQ20" s="3">
        <f t="shared" si="23"/>
        <v>29758.254454122285</v>
      </c>
      <c r="AR20" s="3">
        <f t="shared" si="23"/>
        <v>94401.886586120658</v>
      </c>
      <c r="AS20" s="3">
        <f t="shared" si="23"/>
        <v>0</v>
      </c>
      <c r="AT20" s="3">
        <f t="shared" si="23"/>
        <v>0</v>
      </c>
      <c r="AU20" s="3">
        <f t="shared" si="24"/>
        <v>124160.14104024295</v>
      </c>
      <c r="AV20" s="7" t="s">
        <v>100</v>
      </c>
      <c r="AW20" s="2" t="s">
        <v>28</v>
      </c>
      <c r="AX20" s="3">
        <f t="shared" si="25"/>
        <v>883212.54309763166</v>
      </c>
      <c r="AY20" s="3">
        <f t="shared" si="25"/>
        <v>53199.731268377771</v>
      </c>
      <c r="AZ20" s="3">
        <f t="shared" si="25"/>
        <v>73893.182591914869</v>
      </c>
      <c r="BA20" s="3">
        <f t="shared" si="25"/>
        <v>0</v>
      </c>
      <c r="BB20" s="3">
        <f t="shared" si="26"/>
        <v>1010305.4569579243</v>
      </c>
      <c r="BC20" s="7" t="s">
        <v>100</v>
      </c>
      <c r="BD20" s="2" t="s">
        <v>28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7" t="s">
        <v>100</v>
      </c>
      <c r="BK20" s="2" t="s">
        <v>28</v>
      </c>
      <c r="BL20" s="3">
        <v>15878.055988232511</v>
      </c>
      <c r="BM20" s="3">
        <v>0</v>
      </c>
      <c r="BN20" s="3">
        <v>0</v>
      </c>
      <c r="BO20" s="3">
        <v>0</v>
      </c>
      <c r="BP20" s="3">
        <v>15878.055988232511</v>
      </c>
      <c r="BQ20" s="7" t="s">
        <v>100</v>
      </c>
      <c r="BR20" s="2" t="s">
        <v>28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7" t="s">
        <v>100</v>
      </c>
      <c r="BY20" s="2" t="s">
        <v>28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7" t="s">
        <v>100</v>
      </c>
      <c r="CF20" s="2" t="s">
        <v>28</v>
      </c>
      <c r="CG20" s="3">
        <v>1314.9731962820972</v>
      </c>
      <c r="CH20" s="3">
        <v>94401.886586120658</v>
      </c>
      <c r="CI20" s="3">
        <v>0</v>
      </c>
      <c r="CJ20" s="3">
        <v>0</v>
      </c>
      <c r="CK20" s="3">
        <v>95716.859782402753</v>
      </c>
      <c r="CL20" s="7" t="s">
        <v>100</v>
      </c>
      <c r="CM20" s="2" t="s">
        <v>28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7" t="s">
        <v>100</v>
      </c>
      <c r="CT20" s="2" t="s">
        <v>28</v>
      </c>
      <c r="CU20" s="3">
        <v>10003.776918385303</v>
      </c>
      <c r="CV20" s="3">
        <v>0</v>
      </c>
      <c r="CW20" s="3">
        <v>0</v>
      </c>
      <c r="CX20" s="3">
        <v>0</v>
      </c>
      <c r="CY20" s="3">
        <v>10003.776918385303</v>
      </c>
      <c r="CZ20" s="7" t="s">
        <v>100</v>
      </c>
      <c r="DA20" s="2" t="s">
        <v>28</v>
      </c>
      <c r="DB20" s="3">
        <v>502.88667857267478</v>
      </c>
      <c r="DC20" s="3">
        <v>0</v>
      </c>
      <c r="DD20" s="3">
        <v>0</v>
      </c>
      <c r="DE20" s="3">
        <v>0</v>
      </c>
      <c r="DF20" s="3">
        <v>502.88667857267478</v>
      </c>
      <c r="DG20" s="7" t="s">
        <v>100</v>
      </c>
      <c r="DH20" s="2" t="s">
        <v>28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7" t="s">
        <v>100</v>
      </c>
      <c r="DO20" s="2" t="s">
        <v>28</v>
      </c>
      <c r="DP20" s="3">
        <v>2058.5616726496969</v>
      </c>
      <c r="DQ20" s="3">
        <v>0</v>
      </c>
      <c r="DR20" s="3">
        <v>0</v>
      </c>
      <c r="DS20" s="3">
        <v>0</v>
      </c>
      <c r="DT20" s="3">
        <v>2058.5616726496969</v>
      </c>
      <c r="DU20" s="7" t="s">
        <v>100</v>
      </c>
      <c r="DV20" s="2" t="s">
        <v>28</v>
      </c>
      <c r="DW20" s="3">
        <v>1063.8857197598218</v>
      </c>
      <c r="DX20" s="3">
        <v>41697.224056052903</v>
      </c>
      <c r="DY20" s="3">
        <v>70049.00848432006</v>
      </c>
      <c r="DZ20" s="3">
        <v>0</v>
      </c>
      <c r="EA20" s="3">
        <v>112810.11826013279</v>
      </c>
      <c r="EB20" s="7" t="s">
        <v>100</v>
      </c>
      <c r="EC20" s="2" t="s">
        <v>28</v>
      </c>
      <c r="ED20" s="3">
        <v>882148.6573778718</v>
      </c>
      <c r="EE20" s="3">
        <v>11502.507212324866</v>
      </c>
      <c r="EF20" s="3">
        <v>3844.1741075948062</v>
      </c>
      <c r="EG20" s="3">
        <v>0</v>
      </c>
      <c r="EH20" s="3">
        <v>897495.33869779145</v>
      </c>
    </row>
    <row r="21" spans="1:138" ht="10.199999999999999" customHeight="1" x14ac:dyDescent="0.2">
      <c r="A21" s="7" t="s">
        <v>108</v>
      </c>
      <c r="B21" s="2" t="s">
        <v>36</v>
      </c>
      <c r="C21" s="3">
        <f t="shared" si="4"/>
        <v>0</v>
      </c>
      <c r="D21" s="3">
        <f t="shared" si="5"/>
        <v>0</v>
      </c>
      <c r="E21" s="3">
        <f t="shared" si="6"/>
        <v>0</v>
      </c>
      <c r="F21" s="3">
        <f t="shared" si="7"/>
        <v>0</v>
      </c>
      <c r="G21" s="3">
        <f t="shared" si="8"/>
        <v>0</v>
      </c>
      <c r="H21" s="3">
        <f t="shared" si="9"/>
        <v>0</v>
      </c>
      <c r="I21" s="3">
        <f t="shared" si="10"/>
        <v>0</v>
      </c>
      <c r="J21" s="3">
        <f t="shared" si="11"/>
        <v>0</v>
      </c>
      <c r="K21" s="3">
        <f t="shared" si="12"/>
        <v>0</v>
      </c>
      <c r="L21" s="3">
        <f t="shared" si="13"/>
        <v>3219.4962221729456</v>
      </c>
      <c r="M21" s="3">
        <f t="shared" si="14"/>
        <v>374183.72105631517</v>
      </c>
      <c r="N21" s="3">
        <f t="shared" si="15"/>
        <v>12573.517670111049</v>
      </c>
      <c r="O21" s="3">
        <f t="shared" si="16"/>
        <v>389976.73494859913</v>
      </c>
      <c r="P21" s="7" t="s">
        <v>108</v>
      </c>
      <c r="Q21" s="2" t="s">
        <v>36</v>
      </c>
      <c r="R21" s="3">
        <f t="shared" si="17"/>
        <v>0</v>
      </c>
      <c r="S21" s="3">
        <f t="shared" si="17"/>
        <v>0</v>
      </c>
      <c r="T21" s="3">
        <f t="shared" si="17"/>
        <v>0</v>
      </c>
      <c r="U21" s="3">
        <f t="shared" si="17"/>
        <v>0</v>
      </c>
      <c r="V21" s="3">
        <f t="shared" si="17"/>
        <v>0</v>
      </c>
      <c r="W21" s="3">
        <f t="shared" si="17"/>
        <v>0</v>
      </c>
      <c r="X21" s="3">
        <f t="shared" si="17"/>
        <v>0</v>
      </c>
      <c r="Y21" s="3">
        <f t="shared" si="17"/>
        <v>0</v>
      </c>
      <c r="Z21" s="3">
        <f t="shared" si="17"/>
        <v>0</v>
      </c>
      <c r="AA21" s="3">
        <f t="shared" si="17"/>
        <v>3219.4962221729456</v>
      </c>
      <c r="AB21" s="3">
        <f t="shared" si="18"/>
        <v>3219.4962221729456</v>
      </c>
      <c r="AC21" s="7" t="s">
        <v>108</v>
      </c>
      <c r="AD21" s="2" t="s">
        <v>36</v>
      </c>
      <c r="AE21" s="3">
        <f t="shared" si="19"/>
        <v>374183.72105631517</v>
      </c>
      <c r="AF21" s="3">
        <f t="shared" si="19"/>
        <v>12573.517670111049</v>
      </c>
      <c r="AG21" s="3">
        <f t="shared" si="20"/>
        <v>386757.23872642621</v>
      </c>
      <c r="AH21" s="7" t="s">
        <v>108</v>
      </c>
      <c r="AI21" s="2" t="s">
        <v>36</v>
      </c>
      <c r="AJ21" s="3">
        <f t="shared" si="21"/>
        <v>389430.71212144825</v>
      </c>
      <c r="AK21" s="3">
        <f t="shared" si="21"/>
        <v>546.02282715090905</v>
      </c>
      <c r="AL21" s="3">
        <f t="shared" si="21"/>
        <v>0</v>
      </c>
      <c r="AM21" s="3">
        <f t="shared" si="21"/>
        <v>0</v>
      </c>
      <c r="AN21" s="3">
        <f t="shared" si="22"/>
        <v>389976.73494859913</v>
      </c>
      <c r="AO21" s="7" t="s">
        <v>108</v>
      </c>
      <c r="AP21" s="2" t="s">
        <v>36</v>
      </c>
      <c r="AQ21" s="3">
        <f t="shared" si="23"/>
        <v>3219.4962221729456</v>
      </c>
      <c r="AR21" s="3">
        <f t="shared" si="23"/>
        <v>0</v>
      </c>
      <c r="AS21" s="3">
        <f t="shared" si="23"/>
        <v>0</v>
      </c>
      <c r="AT21" s="3">
        <f t="shared" si="23"/>
        <v>0</v>
      </c>
      <c r="AU21" s="3">
        <f t="shared" si="24"/>
        <v>3219.4962221729456</v>
      </c>
      <c r="AV21" s="7" t="s">
        <v>108</v>
      </c>
      <c r="AW21" s="2" t="s">
        <v>36</v>
      </c>
      <c r="AX21" s="3">
        <f t="shared" si="25"/>
        <v>386211.21589927532</v>
      </c>
      <c r="AY21" s="3">
        <f t="shared" si="25"/>
        <v>546.02282715090905</v>
      </c>
      <c r="AZ21" s="3">
        <f t="shared" si="25"/>
        <v>0</v>
      </c>
      <c r="BA21" s="3">
        <f t="shared" si="25"/>
        <v>0</v>
      </c>
      <c r="BB21" s="3">
        <f t="shared" si="26"/>
        <v>386757.23872642621</v>
      </c>
      <c r="BC21" s="7" t="s">
        <v>108</v>
      </c>
      <c r="BD21" s="2" t="s">
        <v>36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7" t="s">
        <v>108</v>
      </c>
      <c r="BK21" s="2" t="s">
        <v>36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7" t="s">
        <v>108</v>
      </c>
      <c r="BR21" s="2" t="s">
        <v>36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7" t="s">
        <v>108</v>
      </c>
      <c r="BY21" s="2" t="s">
        <v>36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7" t="s">
        <v>108</v>
      </c>
      <c r="CF21" s="2" t="s">
        <v>36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7" t="s">
        <v>108</v>
      </c>
      <c r="CM21" s="2" t="s">
        <v>36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7" t="s">
        <v>108</v>
      </c>
      <c r="CT21" s="2" t="s">
        <v>36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7" t="s">
        <v>108</v>
      </c>
      <c r="DA21" s="2" t="s">
        <v>36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7" t="s">
        <v>108</v>
      </c>
      <c r="DH21" s="2" t="s">
        <v>36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7" t="s">
        <v>108</v>
      </c>
      <c r="DO21" s="2" t="s">
        <v>36</v>
      </c>
      <c r="DP21" s="3">
        <v>3219.4962221729456</v>
      </c>
      <c r="DQ21" s="3">
        <v>0</v>
      </c>
      <c r="DR21" s="3">
        <v>0</v>
      </c>
      <c r="DS21" s="3">
        <v>0</v>
      </c>
      <c r="DT21" s="3">
        <v>3219.4962221729456</v>
      </c>
      <c r="DU21" s="7" t="s">
        <v>108</v>
      </c>
      <c r="DV21" s="2" t="s">
        <v>36</v>
      </c>
      <c r="DW21" s="3">
        <v>12027.494842960139</v>
      </c>
      <c r="DX21" s="3">
        <v>546.02282715090905</v>
      </c>
      <c r="DY21" s="3">
        <v>0</v>
      </c>
      <c r="DZ21" s="3">
        <v>0</v>
      </c>
      <c r="EA21" s="3">
        <v>12573.517670111049</v>
      </c>
      <c r="EB21" s="7" t="s">
        <v>108</v>
      </c>
      <c r="EC21" s="2" t="s">
        <v>36</v>
      </c>
      <c r="ED21" s="3">
        <v>374183.72105631517</v>
      </c>
      <c r="EE21" s="3">
        <v>0</v>
      </c>
      <c r="EF21" s="3">
        <v>0</v>
      </c>
      <c r="EG21" s="3">
        <v>0</v>
      </c>
      <c r="EH21" s="3">
        <v>374183.72105631517</v>
      </c>
    </row>
    <row r="22" spans="1:138" ht="10.199999999999999" customHeight="1" x14ac:dyDescent="0.2">
      <c r="A22" s="7" t="s">
        <v>104</v>
      </c>
      <c r="B22" s="2" t="s">
        <v>32</v>
      </c>
      <c r="C22" s="3">
        <f t="shared" si="4"/>
        <v>0</v>
      </c>
      <c r="D22" s="3">
        <f t="shared" si="5"/>
        <v>0</v>
      </c>
      <c r="E22" s="3">
        <f t="shared" si="6"/>
        <v>0</v>
      </c>
      <c r="F22" s="3">
        <f t="shared" si="7"/>
        <v>0</v>
      </c>
      <c r="G22" s="3">
        <f t="shared" si="8"/>
        <v>0</v>
      </c>
      <c r="H22" s="3">
        <f t="shared" si="9"/>
        <v>0</v>
      </c>
      <c r="I22" s="3">
        <f t="shared" si="10"/>
        <v>0</v>
      </c>
      <c r="J22" s="3">
        <f t="shared" si="11"/>
        <v>1774.8033951913212</v>
      </c>
      <c r="K22" s="3">
        <f t="shared" si="12"/>
        <v>11.61260928335931</v>
      </c>
      <c r="L22" s="3">
        <f t="shared" si="13"/>
        <v>1403494.7659818744</v>
      </c>
      <c r="M22" s="3">
        <f t="shared" si="14"/>
        <v>650819.4791596639</v>
      </c>
      <c r="N22" s="3">
        <f t="shared" si="15"/>
        <v>1135881.1295288329</v>
      </c>
      <c r="O22" s="3">
        <f t="shared" si="16"/>
        <v>3191981.7906748457</v>
      </c>
      <c r="P22" s="7" t="s">
        <v>104</v>
      </c>
      <c r="Q22" s="2" t="s">
        <v>32</v>
      </c>
      <c r="R22" s="3">
        <f t="shared" si="17"/>
        <v>0</v>
      </c>
      <c r="S22" s="3">
        <f t="shared" si="17"/>
        <v>0</v>
      </c>
      <c r="T22" s="3">
        <f t="shared" si="17"/>
        <v>0</v>
      </c>
      <c r="U22" s="3">
        <f t="shared" si="17"/>
        <v>0</v>
      </c>
      <c r="V22" s="3">
        <f t="shared" si="17"/>
        <v>0</v>
      </c>
      <c r="W22" s="3">
        <f t="shared" si="17"/>
        <v>0</v>
      </c>
      <c r="X22" s="3">
        <f t="shared" si="17"/>
        <v>0</v>
      </c>
      <c r="Y22" s="3">
        <f t="shared" si="17"/>
        <v>1774.8033951913212</v>
      </c>
      <c r="Z22" s="3">
        <f t="shared" si="17"/>
        <v>11.61260928335931</v>
      </c>
      <c r="AA22" s="3">
        <f t="shared" si="17"/>
        <v>1403494.7659818744</v>
      </c>
      <c r="AB22" s="3">
        <f t="shared" si="18"/>
        <v>1405281.1819863492</v>
      </c>
      <c r="AC22" s="7" t="s">
        <v>104</v>
      </c>
      <c r="AD22" s="2" t="s">
        <v>32</v>
      </c>
      <c r="AE22" s="3">
        <f t="shared" si="19"/>
        <v>650819.4791596639</v>
      </c>
      <c r="AF22" s="3">
        <f t="shared" si="19"/>
        <v>1135881.1295288329</v>
      </c>
      <c r="AG22" s="3">
        <f t="shared" si="20"/>
        <v>1786700.6086884968</v>
      </c>
      <c r="AH22" s="7" t="s">
        <v>104</v>
      </c>
      <c r="AI22" s="2" t="s">
        <v>32</v>
      </c>
      <c r="AJ22" s="3">
        <f t="shared" si="21"/>
        <v>669058.45427655289</v>
      </c>
      <c r="AK22" s="3">
        <f t="shared" si="21"/>
        <v>865459.49806153774</v>
      </c>
      <c r="AL22" s="3">
        <f t="shared" si="21"/>
        <v>261267.86865967672</v>
      </c>
      <c r="AM22" s="3">
        <f t="shared" si="21"/>
        <v>1396195.9696770785</v>
      </c>
      <c r="AN22" s="3">
        <f t="shared" si="22"/>
        <v>3191981.7906748457</v>
      </c>
      <c r="AO22" s="7" t="s">
        <v>104</v>
      </c>
      <c r="AP22" s="2" t="s">
        <v>32</v>
      </c>
      <c r="AQ22" s="3">
        <f t="shared" si="23"/>
        <v>493.66170039233594</v>
      </c>
      <c r="AR22" s="3">
        <f t="shared" si="23"/>
        <v>8591.550608878304</v>
      </c>
      <c r="AS22" s="3">
        <f t="shared" si="23"/>
        <v>0</v>
      </c>
      <c r="AT22" s="3">
        <f t="shared" si="23"/>
        <v>1396195.9696770785</v>
      </c>
      <c r="AU22" s="3">
        <f t="shared" si="24"/>
        <v>1405281.1819863492</v>
      </c>
      <c r="AV22" s="7" t="s">
        <v>104</v>
      </c>
      <c r="AW22" s="2" t="s">
        <v>32</v>
      </c>
      <c r="AX22" s="3">
        <f t="shared" si="25"/>
        <v>668564.79257616051</v>
      </c>
      <c r="AY22" s="3">
        <f t="shared" si="25"/>
        <v>856867.94745265949</v>
      </c>
      <c r="AZ22" s="3">
        <f t="shared" si="25"/>
        <v>261267.86865967672</v>
      </c>
      <c r="BA22" s="3">
        <f t="shared" si="25"/>
        <v>0</v>
      </c>
      <c r="BB22" s="3">
        <f t="shared" si="26"/>
        <v>1786700.6086884968</v>
      </c>
      <c r="BC22" s="7" t="s">
        <v>104</v>
      </c>
      <c r="BD22" s="2" t="s">
        <v>32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7" t="s">
        <v>104</v>
      </c>
      <c r="BK22" s="2" t="s">
        <v>32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7" t="s">
        <v>104</v>
      </c>
      <c r="BR22" s="2" t="s">
        <v>32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7" t="s">
        <v>104</v>
      </c>
      <c r="BY22" s="2" t="s">
        <v>32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7" t="s">
        <v>104</v>
      </c>
      <c r="CF22" s="2" t="s">
        <v>32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7" t="s">
        <v>104</v>
      </c>
      <c r="CM22" s="2" t="s">
        <v>32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7" t="s">
        <v>104</v>
      </c>
      <c r="CT22" s="2" t="s">
        <v>32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7" t="s">
        <v>104</v>
      </c>
      <c r="DA22" s="2" t="s">
        <v>32</v>
      </c>
      <c r="DB22" s="3">
        <v>11.61260928335931</v>
      </c>
      <c r="DC22" s="3">
        <v>0</v>
      </c>
      <c r="DD22" s="3">
        <v>0</v>
      </c>
      <c r="DE22" s="3">
        <v>0</v>
      </c>
      <c r="DF22" s="3">
        <v>11.61260928335931</v>
      </c>
      <c r="DG22" s="7" t="s">
        <v>104</v>
      </c>
      <c r="DH22" s="2" t="s">
        <v>32</v>
      </c>
      <c r="DI22" s="3">
        <v>8.8095656632380983</v>
      </c>
      <c r="DJ22" s="3">
        <v>1765.9938295280831</v>
      </c>
      <c r="DK22" s="3">
        <v>0</v>
      </c>
      <c r="DL22" s="3">
        <v>0</v>
      </c>
      <c r="DM22" s="3">
        <v>1774.8033951913212</v>
      </c>
      <c r="DN22" s="7" t="s">
        <v>104</v>
      </c>
      <c r="DO22" s="2" t="s">
        <v>32</v>
      </c>
      <c r="DP22" s="3">
        <v>473.23952544573854</v>
      </c>
      <c r="DQ22" s="3">
        <v>6825.5567793502205</v>
      </c>
      <c r="DR22" s="3">
        <v>0</v>
      </c>
      <c r="DS22" s="3">
        <v>1396195.9696770785</v>
      </c>
      <c r="DT22" s="3">
        <v>1403494.7659818744</v>
      </c>
      <c r="DU22" s="7" t="s">
        <v>104</v>
      </c>
      <c r="DV22" s="2" t="s">
        <v>32</v>
      </c>
      <c r="DW22" s="3">
        <v>56434.482194009543</v>
      </c>
      <c r="DX22" s="3">
        <v>818178.77867514652</v>
      </c>
      <c r="DY22" s="3">
        <v>261267.86865967672</v>
      </c>
      <c r="DZ22" s="3">
        <v>0</v>
      </c>
      <c r="EA22" s="3">
        <v>1135881.1295288329</v>
      </c>
      <c r="EB22" s="7" t="s">
        <v>104</v>
      </c>
      <c r="EC22" s="2" t="s">
        <v>32</v>
      </c>
      <c r="ED22" s="3">
        <v>612130.31038215093</v>
      </c>
      <c r="EE22" s="3">
        <v>38689.168777513027</v>
      </c>
      <c r="EF22" s="3">
        <v>0</v>
      </c>
      <c r="EG22" s="3">
        <v>0</v>
      </c>
      <c r="EH22" s="3">
        <v>650819.4791596639</v>
      </c>
    </row>
    <row r="23" spans="1:138" ht="10.199999999999999" customHeight="1" x14ac:dyDescent="0.2">
      <c r="A23" s="7" t="s">
        <v>105</v>
      </c>
      <c r="B23" s="2" t="s">
        <v>33</v>
      </c>
      <c r="C23" s="3">
        <f t="shared" si="4"/>
        <v>0</v>
      </c>
      <c r="D23" s="3">
        <f t="shared" si="5"/>
        <v>14453.184798843364</v>
      </c>
      <c r="E23" s="3">
        <f t="shared" si="6"/>
        <v>89.697395843878809</v>
      </c>
      <c r="F23" s="3">
        <f t="shared" si="7"/>
        <v>168.18261720727278</v>
      </c>
      <c r="G23" s="3">
        <f t="shared" si="8"/>
        <v>1539228.379550569</v>
      </c>
      <c r="H23" s="3">
        <f t="shared" si="9"/>
        <v>0</v>
      </c>
      <c r="I23" s="3">
        <f t="shared" si="10"/>
        <v>219.43827197520352</v>
      </c>
      <c r="J23" s="3">
        <f t="shared" si="11"/>
        <v>0</v>
      </c>
      <c r="K23" s="3">
        <f t="shared" si="12"/>
        <v>0</v>
      </c>
      <c r="L23" s="3">
        <f t="shared" si="13"/>
        <v>11805.609075083419</v>
      </c>
      <c r="M23" s="3">
        <f t="shared" si="14"/>
        <v>1868415.2399786138</v>
      </c>
      <c r="N23" s="3">
        <f t="shared" si="15"/>
        <v>246428.99808963772</v>
      </c>
      <c r="O23" s="3">
        <f t="shared" si="16"/>
        <v>3680808.7297777734</v>
      </c>
      <c r="P23" s="7" t="s">
        <v>105</v>
      </c>
      <c r="Q23" s="2" t="s">
        <v>33</v>
      </c>
      <c r="R23" s="3">
        <f t="shared" si="17"/>
        <v>0</v>
      </c>
      <c r="S23" s="3">
        <f t="shared" si="17"/>
        <v>14453.184798843364</v>
      </c>
      <c r="T23" s="3">
        <f t="shared" si="17"/>
        <v>89.697395843878809</v>
      </c>
      <c r="U23" s="3">
        <f t="shared" si="17"/>
        <v>168.18261720727278</v>
      </c>
      <c r="V23" s="3">
        <f t="shared" si="17"/>
        <v>1539228.379550569</v>
      </c>
      <c r="W23" s="3">
        <f t="shared" si="17"/>
        <v>0</v>
      </c>
      <c r="X23" s="3">
        <f t="shared" si="17"/>
        <v>219.43827197520352</v>
      </c>
      <c r="Y23" s="3">
        <f t="shared" si="17"/>
        <v>0</v>
      </c>
      <c r="Z23" s="3">
        <f t="shared" si="17"/>
        <v>0</v>
      </c>
      <c r="AA23" s="3">
        <f t="shared" si="17"/>
        <v>11805.609075083419</v>
      </c>
      <c r="AB23" s="3">
        <f t="shared" si="18"/>
        <v>1565964.491709522</v>
      </c>
      <c r="AC23" s="7" t="s">
        <v>105</v>
      </c>
      <c r="AD23" s="2" t="s">
        <v>33</v>
      </c>
      <c r="AE23" s="3">
        <f t="shared" si="19"/>
        <v>1868415.2399786138</v>
      </c>
      <c r="AF23" s="3">
        <f t="shared" si="19"/>
        <v>246428.99808963772</v>
      </c>
      <c r="AG23" s="3">
        <f t="shared" si="20"/>
        <v>2114844.2380682514</v>
      </c>
      <c r="AH23" s="7" t="s">
        <v>105</v>
      </c>
      <c r="AI23" s="2" t="s">
        <v>33</v>
      </c>
      <c r="AJ23" s="3">
        <f t="shared" si="21"/>
        <v>1907041.0218394876</v>
      </c>
      <c r="AK23" s="3">
        <f t="shared" si="21"/>
        <v>1773767.707938286</v>
      </c>
      <c r="AL23" s="3">
        <f t="shared" si="21"/>
        <v>0</v>
      </c>
      <c r="AM23" s="3">
        <f t="shared" si="21"/>
        <v>0</v>
      </c>
      <c r="AN23" s="3">
        <f t="shared" si="22"/>
        <v>3680808.7297777738</v>
      </c>
      <c r="AO23" s="7" t="s">
        <v>105</v>
      </c>
      <c r="AP23" s="2" t="s">
        <v>33</v>
      </c>
      <c r="AQ23" s="3">
        <f t="shared" si="23"/>
        <v>61608.403107524638</v>
      </c>
      <c r="AR23" s="3">
        <f t="shared" si="23"/>
        <v>1504356.0886019976</v>
      </c>
      <c r="AS23" s="3">
        <f t="shared" si="23"/>
        <v>0</v>
      </c>
      <c r="AT23" s="3">
        <f t="shared" si="23"/>
        <v>0</v>
      </c>
      <c r="AU23" s="3">
        <f t="shared" si="24"/>
        <v>1565964.4917095222</v>
      </c>
      <c r="AV23" s="7" t="s">
        <v>105</v>
      </c>
      <c r="AW23" s="2" t="s">
        <v>33</v>
      </c>
      <c r="AX23" s="3">
        <f t="shared" si="25"/>
        <v>1845432.618731963</v>
      </c>
      <c r="AY23" s="3">
        <f t="shared" si="25"/>
        <v>269411.61933628854</v>
      </c>
      <c r="AZ23" s="3">
        <f t="shared" si="25"/>
        <v>0</v>
      </c>
      <c r="BA23" s="3">
        <f t="shared" si="25"/>
        <v>0</v>
      </c>
      <c r="BB23" s="3">
        <f t="shared" si="26"/>
        <v>2114844.2380682514</v>
      </c>
      <c r="BC23" s="7" t="s">
        <v>105</v>
      </c>
      <c r="BD23" s="2" t="s">
        <v>33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7" t="s">
        <v>105</v>
      </c>
      <c r="BK23" s="2" t="s">
        <v>33</v>
      </c>
      <c r="BL23" s="3">
        <v>13787.556971459398</v>
      </c>
      <c r="BM23" s="3">
        <v>665.62782738396538</v>
      </c>
      <c r="BN23" s="3">
        <v>0</v>
      </c>
      <c r="BO23" s="3">
        <v>0</v>
      </c>
      <c r="BP23" s="3">
        <v>14453.184798843364</v>
      </c>
      <c r="BQ23" s="7" t="s">
        <v>105</v>
      </c>
      <c r="BR23" s="2" t="s">
        <v>33</v>
      </c>
      <c r="BS23" s="3">
        <v>89.697395843878809</v>
      </c>
      <c r="BT23" s="3">
        <v>0</v>
      </c>
      <c r="BU23" s="3">
        <v>0</v>
      </c>
      <c r="BV23" s="3">
        <v>0</v>
      </c>
      <c r="BW23" s="3">
        <v>89.697395843878809</v>
      </c>
      <c r="BX23" s="7" t="s">
        <v>105</v>
      </c>
      <c r="BY23" s="2" t="s">
        <v>33</v>
      </c>
      <c r="BZ23" s="3">
        <v>168.18261720727278</v>
      </c>
      <c r="CA23" s="3">
        <v>0</v>
      </c>
      <c r="CB23" s="3">
        <v>0</v>
      </c>
      <c r="CC23" s="3">
        <v>0</v>
      </c>
      <c r="CD23" s="3">
        <v>168.18261720727278</v>
      </c>
      <c r="CE23" s="7" t="s">
        <v>105</v>
      </c>
      <c r="CF23" s="2" t="s">
        <v>33</v>
      </c>
      <c r="CG23" s="3">
        <v>36037.139646493437</v>
      </c>
      <c r="CH23" s="3">
        <v>1503191.2399040756</v>
      </c>
      <c r="CI23" s="3">
        <v>0</v>
      </c>
      <c r="CJ23" s="3">
        <v>0</v>
      </c>
      <c r="CK23" s="3">
        <v>1539228.379550569</v>
      </c>
      <c r="CL23" s="7" t="s">
        <v>105</v>
      </c>
      <c r="CM23" s="2" t="s">
        <v>33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7" t="s">
        <v>105</v>
      </c>
      <c r="CT23" s="2" t="s">
        <v>33</v>
      </c>
      <c r="CU23" s="3">
        <v>219.43827197520352</v>
      </c>
      <c r="CV23" s="3">
        <v>0</v>
      </c>
      <c r="CW23" s="3">
        <v>0</v>
      </c>
      <c r="CX23" s="3">
        <v>0</v>
      </c>
      <c r="CY23" s="3">
        <v>219.43827197520352</v>
      </c>
      <c r="CZ23" s="7" t="s">
        <v>105</v>
      </c>
      <c r="DA23" s="2" t="s">
        <v>33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7" t="s">
        <v>105</v>
      </c>
      <c r="DH23" s="2" t="s">
        <v>33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7" t="s">
        <v>105</v>
      </c>
      <c r="DO23" s="2" t="s">
        <v>33</v>
      </c>
      <c r="DP23" s="3">
        <v>11306.388204545445</v>
      </c>
      <c r="DQ23" s="3">
        <v>499.22087053797401</v>
      </c>
      <c r="DR23" s="3">
        <v>0</v>
      </c>
      <c r="DS23" s="3">
        <v>0</v>
      </c>
      <c r="DT23" s="3">
        <v>11805.609075083419</v>
      </c>
      <c r="DU23" s="7" t="s">
        <v>105</v>
      </c>
      <c r="DV23" s="2" t="s">
        <v>33</v>
      </c>
      <c r="DW23" s="3">
        <v>6574.8137481156982</v>
      </c>
      <c r="DX23" s="3">
        <v>239854.18434152202</v>
      </c>
      <c r="DY23" s="3">
        <v>0</v>
      </c>
      <c r="DZ23" s="3">
        <v>0</v>
      </c>
      <c r="EA23" s="3">
        <v>246428.99808963772</v>
      </c>
      <c r="EB23" s="7" t="s">
        <v>105</v>
      </c>
      <c r="EC23" s="2" t="s">
        <v>33</v>
      </c>
      <c r="ED23" s="3">
        <v>1838857.8049838473</v>
      </c>
      <c r="EE23" s="3">
        <v>29557.434994766503</v>
      </c>
      <c r="EF23" s="3">
        <v>0</v>
      </c>
      <c r="EG23" s="3">
        <v>0</v>
      </c>
      <c r="EH23" s="3">
        <v>1868415.2399786138</v>
      </c>
    </row>
    <row r="24" spans="1:138" ht="10.199999999999999" customHeight="1" x14ac:dyDescent="0.2">
      <c r="A24" s="7" t="s">
        <v>109</v>
      </c>
      <c r="B24" s="2" t="s">
        <v>37</v>
      </c>
      <c r="C24" s="3">
        <f t="shared" si="4"/>
        <v>0</v>
      </c>
      <c r="D24" s="3">
        <f t="shared" si="5"/>
        <v>0</v>
      </c>
      <c r="E24" s="3">
        <f t="shared" si="6"/>
        <v>0</v>
      </c>
      <c r="F24" s="3">
        <f t="shared" si="7"/>
        <v>154956.85912591987</v>
      </c>
      <c r="G24" s="3">
        <f t="shared" si="8"/>
        <v>119968.84756605192</v>
      </c>
      <c r="H24" s="3">
        <f t="shared" si="9"/>
        <v>0</v>
      </c>
      <c r="I24" s="3">
        <f t="shared" si="10"/>
        <v>16674.246648147211</v>
      </c>
      <c r="J24" s="3">
        <f t="shared" si="11"/>
        <v>0</v>
      </c>
      <c r="K24" s="3">
        <f t="shared" si="12"/>
        <v>15600.652204311689</v>
      </c>
      <c r="L24" s="3">
        <f t="shared" si="13"/>
        <v>4301.8336169357162</v>
      </c>
      <c r="M24" s="3">
        <f t="shared" si="14"/>
        <v>1740827.0843897103</v>
      </c>
      <c r="N24" s="3">
        <f t="shared" si="15"/>
        <v>60704.61431936091</v>
      </c>
      <c r="O24" s="3">
        <f t="shared" si="16"/>
        <v>2113034.1378704375</v>
      </c>
      <c r="P24" s="7" t="s">
        <v>109</v>
      </c>
      <c r="Q24" s="2" t="s">
        <v>37</v>
      </c>
      <c r="R24" s="3">
        <f t="shared" si="17"/>
        <v>0</v>
      </c>
      <c r="S24" s="3">
        <f t="shared" si="17"/>
        <v>0</v>
      </c>
      <c r="T24" s="3">
        <f t="shared" si="17"/>
        <v>0</v>
      </c>
      <c r="U24" s="3">
        <f t="shared" si="17"/>
        <v>154956.85912591987</v>
      </c>
      <c r="V24" s="3">
        <f t="shared" si="17"/>
        <v>119968.84756605192</v>
      </c>
      <c r="W24" s="3">
        <f t="shared" si="17"/>
        <v>0</v>
      </c>
      <c r="X24" s="3">
        <f t="shared" si="17"/>
        <v>16674.246648147211</v>
      </c>
      <c r="Y24" s="3">
        <f t="shared" si="17"/>
        <v>0</v>
      </c>
      <c r="Z24" s="3">
        <f t="shared" si="17"/>
        <v>15600.652204311689</v>
      </c>
      <c r="AA24" s="3">
        <f t="shared" si="17"/>
        <v>4301.8336169357162</v>
      </c>
      <c r="AB24" s="3">
        <f t="shared" si="18"/>
        <v>311502.43916136643</v>
      </c>
      <c r="AC24" s="7" t="s">
        <v>109</v>
      </c>
      <c r="AD24" s="2" t="s">
        <v>37</v>
      </c>
      <c r="AE24" s="3">
        <f t="shared" si="19"/>
        <v>1740827.0843897103</v>
      </c>
      <c r="AF24" s="3">
        <f t="shared" si="19"/>
        <v>60704.61431936091</v>
      </c>
      <c r="AG24" s="3">
        <f t="shared" si="20"/>
        <v>1801531.6987090711</v>
      </c>
      <c r="AH24" s="7" t="s">
        <v>109</v>
      </c>
      <c r="AI24" s="2" t="s">
        <v>37</v>
      </c>
      <c r="AJ24" s="3">
        <f t="shared" si="21"/>
        <v>634176.30071503739</v>
      </c>
      <c r="AK24" s="3">
        <f t="shared" si="21"/>
        <v>1453896.7936285017</v>
      </c>
      <c r="AL24" s="3">
        <f t="shared" si="21"/>
        <v>24961.043526898702</v>
      </c>
      <c r="AM24" s="3">
        <f t="shared" si="21"/>
        <v>0</v>
      </c>
      <c r="AN24" s="3">
        <f t="shared" si="22"/>
        <v>2113034.1378704379</v>
      </c>
      <c r="AO24" s="7" t="s">
        <v>109</v>
      </c>
      <c r="AP24" s="2" t="s">
        <v>37</v>
      </c>
      <c r="AQ24" s="3">
        <f t="shared" si="23"/>
        <v>29874.126880232492</v>
      </c>
      <c r="AR24" s="3">
        <f t="shared" si="23"/>
        <v>256667.26875423524</v>
      </c>
      <c r="AS24" s="3">
        <f t="shared" si="23"/>
        <v>24961.043526898702</v>
      </c>
      <c r="AT24" s="3">
        <f t="shared" si="23"/>
        <v>0</v>
      </c>
      <c r="AU24" s="3">
        <f t="shared" si="24"/>
        <v>311502.43916136643</v>
      </c>
      <c r="AV24" s="7" t="s">
        <v>109</v>
      </c>
      <c r="AW24" s="2" t="s">
        <v>37</v>
      </c>
      <c r="AX24" s="3">
        <f t="shared" si="25"/>
        <v>604302.17383480491</v>
      </c>
      <c r="AY24" s="3">
        <f t="shared" si="25"/>
        <v>1197229.5248742665</v>
      </c>
      <c r="AZ24" s="3">
        <f t="shared" si="25"/>
        <v>0</v>
      </c>
      <c r="BA24" s="3">
        <f t="shared" si="25"/>
        <v>0</v>
      </c>
      <c r="BB24" s="3">
        <f t="shared" si="26"/>
        <v>1801531.6987090714</v>
      </c>
      <c r="BC24" s="7" t="s">
        <v>109</v>
      </c>
      <c r="BD24" s="2" t="s">
        <v>37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7" t="s">
        <v>109</v>
      </c>
      <c r="BK24" s="2" t="s">
        <v>37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7" t="s">
        <v>109</v>
      </c>
      <c r="BR24" s="2" t="s">
        <v>37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7" t="s">
        <v>109</v>
      </c>
      <c r="BY24" s="2" t="s">
        <v>37</v>
      </c>
      <c r="BZ24" s="3">
        <v>640.69568459913432</v>
      </c>
      <c r="CA24" s="3">
        <v>154316.16344132074</v>
      </c>
      <c r="CB24" s="3">
        <v>0</v>
      </c>
      <c r="CC24" s="3">
        <v>0</v>
      </c>
      <c r="CD24" s="3">
        <v>154956.85912591987</v>
      </c>
      <c r="CE24" s="7" t="s">
        <v>109</v>
      </c>
      <c r="CF24" s="2" t="s">
        <v>37</v>
      </c>
      <c r="CG24" s="3">
        <v>21658.217570140947</v>
      </c>
      <c r="CH24" s="3">
        <v>73349.586469012269</v>
      </c>
      <c r="CI24" s="3">
        <v>24961.043526898702</v>
      </c>
      <c r="CJ24" s="3">
        <v>0</v>
      </c>
      <c r="CK24" s="3">
        <v>119968.84756605192</v>
      </c>
      <c r="CL24" s="7" t="s">
        <v>109</v>
      </c>
      <c r="CM24" s="2" t="s">
        <v>37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7" t="s">
        <v>109</v>
      </c>
      <c r="CT24" s="2" t="s">
        <v>37</v>
      </c>
      <c r="CU24" s="3">
        <v>3347.4207039183598</v>
      </c>
      <c r="CV24" s="3">
        <v>13326.825944228851</v>
      </c>
      <c r="CW24" s="3">
        <v>0</v>
      </c>
      <c r="CX24" s="3">
        <v>0</v>
      </c>
      <c r="CY24" s="3">
        <v>16674.246648147211</v>
      </c>
      <c r="CZ24" s="7" t="s">
        <v>109</v>
      </c>
      <c r="DA24" s="2" t="s">
        <v>37</v>
      </c>
      <c r="DB24" s="3">
        <v>0</v>
      </c>
      <c r="DC24" s="3">
        <v>15600.652204311689</v>
      </c>
      <c r="DD24" s="3">
        <v>0</v>
      </c>
      <c r="DE24" s="3">
        <v>0</v>
      </c>
      <c r="DF24" s="3">
        <v>15600.652204311689</v>
      </c>
      <c r="DG24" s="7" t="s">
        <v>109</v>
      </c>
      <c r="DH24" s="2" t="s">
        <v>37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7" t="s">
        <v>109</v>
      </c>
      <c r="DO24" s="2" t="s">
        <v>37</v>
      </c>
      <c r="DP24" s="3">
        <v>4227.7929215740533</v>
      </c>
      <c r="DQ24" s="3">
        <v>74.040695361663268</v>
      </c>
      <c r="DR24" s="3">
        <v>0</v>
      </c>
      <c r="DS24" s="3">
        <v>0</v>
      </c>
      <c r="DT24" s="3">
        <v>4301.8336169357162</v>
      </c>
      <c r="DU24" s="7" t="s">
        <v>109</v>
      </c>
      <c r="DV24" s="2" t="s">
        <v>37</v>
      </c>
      <c r="DW24" s="3">
        <v>942.29878035869933</v>
      </c>
      <c r="DX24" s="3">
        <v>59762.315539002208</v>
      </c>
      <c r="DY24" s="3">
        <v>0</v>
      </c>
      <c r="DZ24" s="3">
        <v>0</v>
      </c>
      <c r="EA24" s="3">
        <v>60704.61431936091</v>
      </c>
      <c r="EB24" s="7" t="s">
        <v>109</v>
      </c>
      <c r="EC24" s="2" t="s">
        <v>37</v>
      </c>
      <c r="ED24" s="3">
        <v>603359.87505444617</v>
      </c>
      <c r="EE24" s="3">
        <v>1137467.2093352643</v>
      </c>
      <c r="EF24" s="3">
        <v>0</v>
      </c>
      <c r="EG24" s="3">
        <v>0</v>
      </c>
      <c r="EH24" s="3">
        <v>1740827.0843897103</v>
      </c>
    </row>
    <row r="25" spans="1:138" ht="10.199999999999999" customHeight="1" x14ac:dyDescent="0.2">
      <c r="A25" s="7" t="s">
        <v>96</v>
      </c>
      <c r="B25" s="2" t="s">
        <v>24</v>
      </c>
      <c r="C25" s="3">
        <f t="shared" si="4"/>
        <v>0</v>
      </c>
      <c r="D25" s="3">
        <f t="shared" si="5"/>
        <v>4256.4005975687678</v>
      </c>
      <c r="E25" s="3">
        <f t="shared" si="6"/>
        <v>0</v>
      </c>
      <c r="F25" s="3">
        <f t="shared" si="7"/>
        <v>30496.657560518968</v>
      </c>
      <c r="G25" s="3">
        <f t="shared" si="8"/>
        <v>33799.922518212712</v>
      </c>
      <c r="H25" s="3">
        <f t="shared" si="9"/>
        <v>0</v>
      </c>
      <c r="I25" s="3">
        <f t="shared" si="10"/>
        <v>3036989.7549031568</v>
      </c>
      <c r="J25" s="3">
        <f t="shared" si="11"/>
        <v>0</v>
      </c>
      <c r="K25" s="3">
        <f t="shared" si="12"/>
        <v>3220.9689640829101</v>
      </c>
      <c r="L25" s="3">
        <f t="shared" si="13"/>
        <v>2599.8765728179583</v>
      </c>
      <c r="M25" s="3">
        <f t="shared" si="14"/>
        <v>2333482.1892714323</v>
      </c>
      <c r="N25" s="3">
        <f t="shared" si="15"/>
        <v>1130068.0857235936</v>
      </c>
      <c r="O25" s="3">
        <f t="shared" si="16"/>
        <v>6574913.8561113849</v>
      </c>
      <c r="P25" s="7" t="s">
        <v>96</v>
      </c>
      <c r="Q25" s="2" t="s">
        <v>24</v>
      </c>
      <c r="R25" s="3">
        <f t="shared" si="17"/>
        <v>0</v>
      </c>
      <c r="S25" s="3">
        <f t="shared" si="17"/>
        <v>4256.4005975687678</v>
      </c>
      <c r="T25" s="3">
        <f t="shared" si="17"/>
        <v>0</v>
      </c>
      <c r="U25" s="3">
        <f t="shared" si="17"/>
        <v>30496.657560518968</v>
      </c>
      <c r="V25" s="3">
        <f t="shared" si="17"/>
        <v>33799.922518212712</v>
      </c>
      <c r="W25" s="3">
        <f t="shared" si="17"/>
        <v>0</v>
      </c>
      <c r="X25" s="3">
        <f t="shared" si="17"/>
        <v>3036989.7549031568</v>
      </c>
      <c r="Y25" s="3">
        <f t="shared" si="17"/>
        <v>0</v>
      </c>
      <c r="Z25" s="3">
        <f t="shared" si="17"/>
        <v>3220.9689640829101</v>
      </c>
      <c r="AA25" s="3">
        <f t="shared" si="17"/>
        <v>2599.8765728179583</v>
      </c>
      <c r="AB25" s="3">
        <f t="shared" si="18"/>
        <v>3111363.5811163583</v>
      </c>
      <c r="AC25" s="7" t="s">
        <v>96</v>
      </c>
      <c r="AD25" s="2" t="s">
        <v>24</v>
      </c>
      <c r="AE25" s="3">
        <f t="shared" si="19"/>
        <v>2333482.1892714323</v>
      </c>
      <c r="AF25" s="3">
        <f t="shared" si="19"/>
        <v>1130068.0857235936</v>
      </c>
      <c r="AG25" s="3">
        <f t="shared" si="20"/>
        <v>3463550.2749950262</v>
      </c>
      <c r="AH25" s="7" t="s">
        <v>96</v>
      </c>
      <c r="AI25" s="2" t="s">
        <v>24</v>
      </c>
      <c r="AJ25" s="3">
        <f t="shared" si="21"/>
        <v>4452470.0710835457</v>
      </c>
      <c r="AK25" s="3">
        <f t="shared" si="21"/>
        <v>2122443.7850278383</v>
      </c>
      <c r="AL25" s="3">
        <f t="shared" si="21"/>
        <v>0</v>
      </c>
      <c r="AM25" s="3">
        <f t="shared" si="21"/>
        <v>0</v>
      </c>
      <c r="AN25" s="3">
        <f t="shared" si="22"/>
        <v>6574913.856111384</v>
      </c>
      <c r="AO25" s="7" t="s">
        <v>96</v>
      </c>
      <c r="AP25" s="2" t="s">
        <v>24</v>
      </c>
      <c r="AQ25" s="3">
        <f t="shared" si="23"/>
        <v>1018864.6130044153</v>
      </c>
      <c r="AR25" s="3">
        <f t="shared" si="23"/>
        <v>2092498.9681119428</v>
      </c>
      <c r="AS25" s="3">
        <f t="shared" si="23"/>
        <v>0</v>
      </c>
      <c r="AT25" s="3">
        <f t="shared" si="23"/>
        <v>0</v>
      </c>
      <c r="AU25" s="3">
        <f t="shared" si="24"/>
        <v>3111363.5811163578</v>
      </c>
      <c r="AV25" s="7" t="s">
        <v>96</v>
      </c>
      <c r="AW25" s="2" t="s">
        <v>24</v>
      </c>
      <c r="AX25" s="3">
        <f t="shared" si="25"/>
        <v>3433605.4580791304</v>
      </c>
      <c r="AY25" s="3">
        <f t="shared" si="25"/>
        <v>29944.816915895357</v>
      </c>
      <c r="AZ25" s="3">
        <f t="shared" si="25"/>
        <v>0</v>
      </c>
      <c r="BA25" s="3">
        <f t="shared" si="25"/>
        <v>0</v>
      </c>
      <c r="BB25" s="3">
        <f t="shared" si="26"/>
        <v>3463550.2749950257</v>
      </c>
      <c r="BC25" s="7" t="s">
        <v>96</v>
      </c>
      <c r="BD25" s="2" t="s">
        <v>24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7" t="s">
        <v>96</v>
      </c>
      <c r="BK25" s="2" t="s">
        <v>24</v>
      </c>
      <c r="BL25" s="3">
        <v>4256.4005975687678</v>
      </c>
      <c r="BM25" s="3">
        <v>0</v>
      </c>
      <c r="BN25" s="3">
        <v>0</v>
      </c>
      <c r="BO25" s="3">
        <v>0</v>
      </c>
      <c r="BP25" s="3">
        <v>4256.4005975687678</v>
      </c>
      <c r="BQ25" s="7" t="s">
        <v>96</v>
      </c>
      <c r="BR25" s="2" t="s">
        <v>24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7" t="s">
        <v>96</v>
      </c>
      <c r="BY25" s="2" t="s">
        <v>24</v>
      </c>
      <c r="BZ25" s="3">
        <v>25586.954173238308</v>
      </c>
      <c r="CA25" s="3">
        <v>4909.7033872806614</v>
      </c>
      <c r="CB25" s="3">
        <v>0</v>
      </c>
      <c r="CC25" s="3">
        <v>0</v>
      </c>
      <c r="CD25" s="3">
        <v>30496.657560518968</v>
      </c>
      <c r="CE25" s="7" t="s">
        <v>96</v>
      </c>
      <c r="CF25" s="2" t="s">
        <v>24</v>
      </c>
      <c r="CG25" s="3">
        <v>10833.435555555554</v>
      </c>
      <c r="CH25" s="3">
        <v>22966.486962657156</v>
      </c>
      <c r="CI25" s="3">
        <v>0</v>
      </c>
      <c r="CJ25" s="3">
        <v>0</v>
      </c>
      <c r="CK25" s="3">
        <v>33799.922518212712</v>
      </c>
      <c r="CL25" s="7" t="s">
        <v>96</v>
      </c>
      <c r="CM25" s="2" t="s">
        <v>24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7" t="s">
        <v>96</v>
      </c>
      <c r="CT25" s="2" t="s">
        <v>24</v>
      </c>
      <c r="CU25" s="3">
        <v>975217.54391257593</v>
      </c>
      <c r="CV25" s="3">
        <v>2061772.2109905807</v>
      </c>
      <c r="CW25" s="3">
        <v>0</v>
      </c>
      <c r="CX25" s="3">
        <v>0</v>
      </c>
      <c r="CY25" s="3">
        <v>3036989.7549031568</v>
      </c>
      <c r="CZ25" s="7" t="s">
        <v>96</v>
      </c>
      <c r="DA25" s="2" t="s">
        <v>24</v>
      </c>
      <c r="DB25" s="3">
        <v>370.40219265887453</v>
      </c>
      <c r="DC25" s="3">
        <v>2850.5667714240358</v>
      </c>
      <c r="DD25" s="3">
        <v>0</v>
      </c>
      <c r="DE25" s="3">
        <v>0</v>
      </c>
      <c r="DF25" s="3">
        <v>3220.9689640829101</v>
      </c>
      <c r="DG25" s="7" t="s">
        <v>96</v>
      </c>
      <c r="DH25" s="2" t="s">
        <v>24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7" t="s">
        <v>96</v>
      </c>
      <c r="DO25" s="2" t="s">
        <v>24</v>
      </c>
      <c r="DP25" s="3">
        <v>2599.8765728179583</v>
      </c>
      <c r="DQ25" s="3">
        <v>0</v>
      </c>
      <c r="DR25" s="3">
        <v>0</v>
      </c>
      <c r="DS25" s="3">
        <v>0</v>
      </c>
      <c r="DT25" s="3">
        <v>2599.8765728179583</v>
      </c>
      <c r="DU25" s="7" t="s">
        <v>96</v>
      </c>
      <c r="DV25" s="2" t="s">
        <v>24</v>
      </c>
      <c r="DW25" s="3">
        <v>1127703.1508494427</v>
      </c>
      <c r="DX25" s="3">
        <v>2364.9348741509698</v>
      </c>
      <c r="DY25" s="3">
        <v>0</v>
      </c>
      <c r="DZ25" s="3">
        <v>0</v>
      </c>
      <c r="EA25" s="3">
        <v>1130068.0857235936</v>
      </c>
      <c r="EB25" s="7" t="s">
        <v>96</v>
      </c>
      <c r="EC25" s="2" t="s">
        <v>24</v>
      </c>
      <c r="ED25" s="3">
        <v>2305902.3072296879</v>
      </c>
      <c r="EE25" s="3">
        <v>27579.882041744386</v>
      </c>
      <c r="EF25" s="3">
        <v>0</v>
      </c>
      <c r="EG25" s="3">
        <v>0</v>
      </c>
      <c r="EH25" s="3">
        <v>2333482.1892714323</v>
      </c>
    </row>
    <row r="26" spans="1:138" ht="10.199999999999999" customHeight="1" x14ac:dyDescent="0.2">
      <c r="A26" s="7" t="s">
        <v>120</v>
      </c>
      <c r="B26" s="2" t="s">
        <v>48</v>
      </c>
      <c r="C26" s="3">
        <f t="shared" si="4"/>
        <v>2684.8799999999997</v>
      </c>
      <c r="D26" s="3">
        <f t="shared" si="5"/>
        <v>318.48522136339398</v>
      </c>
      <c r="E26" s="3">
        <f t="shared" si="6"/>
        <v>18160664.680758692</v>
      </c>
      <c r="F26" s="3">
        <f t="shared" si="7"/>
        <v>863441.05104225548</v>
      </c>
      <c r="G26" s="3">
        <f t="shared" si="8"/>
        <v>34794.550351206839</v>
      </c>
      <c r="H26" s="3">
        <f t="shared" si="9"/>
        <v>0</v>
      </c>
      <c r="I26" s="3">
        <f t="shared" si="10"/>
        <v>1747464.067071103</v>
      </c>
      <c r="J26" s="3">
        <f t="shared" si="11"/>
        <v>89289.506006154086</v>
      </c>
      <c r="K26" s="3">
        <f t="shared" si="12"/>
        <v>1756290.0202676463</v>
      </c>
      <c r="L26" s="3">
        <f t="shared" si="13"/>
        <v>276296.85634679161</v>
      </c>
      <c r="M26" s="3">
        <f t="shared" si="14"/>
        <v>8179571.5045840042</v>
      </c>
      <c r="N26" s="3">
        <f t="shared" si="15"/>
        <v>2637013.960324198</v>
      </c>
      <c r="O26" s="3">
        <f t="shared" si="16"/>
        <v>33747829.561973408</v>
      </c>
      <c r="P26" s="7" t="s">
        <v>120</v>
      </c>
      <c r="Q26" s="2" t="s">
        <v>48</v>
      </c>
      <c r="R26" s="3">
        <f t="shared" si="17"/>
        <v>2684.8799999999997</v>
      </c>
      <c r="S26" s="3">
        <f t="shared" si="17"/>
        <v>318.48522136339398</v>
      </c>
      <c r="T26" s="3">
        <f t="shared" si="17"/>
        <v>18160664.680758692</v>
      </c>
      <c r="U26" s="3">
        <f t="shared" si="17"/>
        <v>863441.05104225548</v>
      </c>
      <c r="V26" s="3">
        <f t="shared" si="17"/>
        <v>34794.550351206839</v>
      </c>
      <c r="W26" s="3">
        <f t="shared" si="17"/>
        <v>0</v>
      </c>
      <c r="X26" s="3">
        <f t="shared" si="17"/>
        <v>1747464.067071103</v>
      </c>
      <c r="Y26" s="3">
        <f t="shared" si="17"/>
        <v>89289.506006154086</v>
      </c>
      <c r="Z26" s="3">
        <f t="shared" si="17"/>
        <v>1756290.0202676463</v>
      </c>
      <c r="AA26" s="3">
        <f t="shared" si="17"/>
        <v>276296.85634679161</v>
      </c>
      <c r="AB26" s="3">
        <f t="shared" si="18"/>
        <v>22931244.09706521</v>
      </c>
      <c r="AC26" s="7" t="s">
        <v>120</v>
      </c>
      <c r="AD26" s="2" t="s">
        <v>48</v>
      </c>
      <c r="AE26" s="3">
        <f t="shared" si="19"/>
        <v>8179571.5045840042</v>
      </c>
      <c r="AF26" s="3">
        <f t="shared" si="19"/>
        <v>2637013.960324198</v>
      </c>
      <c r="AG26" s="3">
        <f t="shared" si="20"/>
        <v>10816585.464908201</v>
      </c>
      <c r="AH26" s="7" t="s">
        <v>120</v>
      </c>
      <c r="AI26" s="2" t="s">
        <v>48</v>
      </c>
      <c r="AJ26" s="3">
        <f t="shared" si="21"/>
        <v>9909451.3081183229</v>
      </c>
      <c r="AK26" s="3">
        <f t="shared" si="21"/>
        <v>3139112.5843425049</v>
      </c>
      <c r="AL26" s="3">
        <f t="shared" si="21"/>
        <v>3623630.3017289988</v>
      </c>
      <c r="AM26" s="3">
        <f t="shared" si="21"/>
        <v>17075635.367783591</v>
      </c>
      <c r="AN26" s="3">
        <f t="shared" si="22"/>
        <v>33747829.561973415</v>
      </c>
      <c r="AO26" s="7" t="s">
        <v>120</v>
      </c>
      <c r="AP26" s="2" t="s">
        <v>48</v>
      </c>
      <c r="AQ26" s="3">
        <f t="shared" si="23"/>
        <v>2564742.9510958488</v>
      </c>
      <c r="AR26" s="3">
        <f t="shared" si="23"/>
        <v>1052519.5802112678</v>
      </c>
      <c r="AS26" s="3">
        <f t="shared" si="23"/>
        <v>2238346.1979745068</v>
      </c>
      <c r="AT26" s="3">
        <f t="shared" si="23"/>
        <v>17075635.367783591</v>
      </c>
      <c r="AU26" s="3">
        <f t="shared" si="24"/>
        <v>22931244.097065214</v>
      </c>
      <c r="AV26" s="7" t="s">
        <v>120</v>
      </c>
      <c r="AW26" s="2" t="s">
        <v>48</v>
      </c>
      <c r="AX26" s="3">
        <f t="shared" si="25"/>
        <v>7344708.3570224736</v>
      </c>
      <c r="AY26" s="3">
        <f t="shared" si="25"/>
        <v>2086593.0041312373</v>
      </c>
      <c r="AZ26" s="3">
        <f t="shared" si="25"/>
        <v>1385284.103754492</v>
      </c>
      <c r="BA26" s="3">
        <f t="shared" si="25"/>
        <v>0</v>
      </c>
      <c r="BB26" s="3">
        <f t="shared" si="26"/>
        <v>10816585.464908203</v>
      </c>
      <c r="BC26" s="7" t="s">
        <v>120</v>
      </c>
      <c r="BD26" s="2" t="s">
        <v>48</v>
      </c>
      <c r="BE26" s="3">
        <v>2684.8799999999997</v>
      </c>
      <c r="BF26" s="3">
        <v>0</v>
      </c>
      <c r="BG26" s="3">
        <v>0</v>
      </c>
      <c r="BH26" s="3">
        <v>0</v>
      </c>
      <c r="BI26" s="3">
        <v>2684.8799999999997</v>
      </c>
      <c r="BJ26" s="7" t="s">
        <v>120</v>
      </c>
      <c r="BK26" s="2" t="s">
        <v>48</v>
      </c>
      <c r="BL26" s="3">
        <v>318.48522136339398</v>
      </c>
      <c r="BM26" s="3">
        <v>0</v>
      </c>
      <c r="BN26" s="3">
        <v>0</v>
      </c>
      <c r="BO26" s="3">
        <v>0</v>
      </c>
      <c r="BP26" s="3">
        <v>318.48522136339398</v>
      </c>
      <c r="BQ26" s="7" t="s">
        <v>120</v>
      </c>
      <c r="BR26" s="2" t="s">
        <v>48</v>
      </c>
      <c r="BS26" s="3">
        <v>0</v>
      </c>
      <c r="BT26" s="3">
        <v>1480.8139072332654</v>
      </c>
      <c r="BU26" s="3">
        <v>1083548.4990678697</v>
      </c>
      <c r="BV26" s="3">
        <v>17075635.367783591</v>
      </c>
      <c r="BW26" s="3">
        <v>18160664.680758692</v>
      </c>
      <c r="BX26" s="7" t="s">
        <v>120</v>
      </c>
      <c r="BY26" s="2" t="s">
        <v>48</v>
      </c>
      <c r="BZ26" s="3">
        <v>708645.78571009799</v>
      </c>
      <c r="CA26" s="3">
        <v>126506.08266833892</v>
      </c>
      <c r="CB26" s="3">
        <v>28289.18266381853</v>
      </c>
      <c r="CC26" s="3">
        <v>0</v>
      </c>
      <c r="CD26" s="3">
        <v>863441.05104225548</v>
      </c>
      <c r="CE26" s="7" t="s">
        <v>120</v>
      </c>
      <c r="CF26" s="2" t="s">
        <v>48</v>
      </c>
      <c r="CG26" s="3">
        <v>2069.0622222222182</v>
      </c>
      <c r="CH26" s="3">
        <v>32725.488128984623</v>
      </c>
      <c r="CI26" s="3">
        <v>0</v>
      </c>
      <c r="CJ26" s="3">
        <v>0</v>
      </c>
      <c r="CK26" s="3">
        <v>34794.550351206839</v>
      </c>
      <c r="CL26" s="7" t="s">
        <v>120</v>
      </c>
      <c r="CM26" s="2" t="s">
        <v>48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7" t="s">
        <v>120</v>
      </c>
      <c r="CT26" s="2" t="s">
        <v>48</v>
      </c>
      <c r="CU26" s="3">
        <v>1237331.2933895504</v>
      </c>
      <c r="CV26" s="3">
        <v>280758.9753987767</v>
      </c>
      <c r="CW26" s="3">
        <v>229373.79828277594</v>
      </c>
      <c r="CX26" s="3">
        <v>0</v>
      </c>
      <c r="CY26" s="3">
        <v>1747464.067071103</v>
      </c>
      <c r="CZ26" s="7" t="s">
        <v>120</v>
      </c>
      <c r="DA26" s="2" t="s">
        <v>48</v>
      </c>
      <c r="DB26" s="3">
        <v>573164.13684815355</v>
      </c>
      <c r="DC26" s="3">
        <v>347849.79166881193</v>
      </c>
      <c r="DD26" s="3">
        <v>835276.09175068093</v>
      </c>
      <c r="DE26" s="3">
        <v>0</v>
      </c>
      <c r="DF26" s="3">
        <v>1756290.0202676463</v>
      </c>
      <c r="DG26" s="7" t="s">
        <v>120</v>
      </c>
      <c r="DH26" s="2" t="s">
        <v>48</v>
      </c>
      <c r="DI26" s="3">
        <v>29969.195904461398</v>
      </c>
      <c r="DJ26" s="3">
        <v>9398.2230478952752</v>
      </c>
      <c r="DK26" s="3">
        <v>49922.087053797404</v>
      </c>
      <c r="DL26" s="3">
        <v>0</v>
      </c>
      <c r="DM26" s="3">
        <v>89289.506006154086</v>
      </c>
      <c r="DN26" s="7" t="s">
        <v>120</v>
      </c>
      <c r="DO26" s="2" t="s">
        <v>48</v>
      </c>
      <c r="DP26" s="3">
        <v>10560.111799999993</v>
      </c>
      <c r="DQ26" s="3">
        <v>253800.20539122727</v>
      </c>
      <c r="DR26" s="3">
        <v>11936.539155564329</v>
      </c>
      <c r="DS26" s="3">
        <v>0</v>
      </c>
      <c r="DT26" s="3">
        <v>276296.85634679161</v>
      </c>
      <c r="DU26" s="7" t="s">
        <v>120</v>
      </c>
      <c r="DV26" s="2" t="s">
        <v>48</v>
      </c>
      <c r="DW26" s="3">
        <v>32292.918480076391</v>
      </c>
      <c r="DX26" s="3">
        <v>1516657.1644235237</v>
      </c>
      <c r="DY26" s="3">
        <v>1088063.8774205979</v>
      </c>
      <c r="DZ26" s="3">
        <v>0</v>
      </c>
      <c r="EA26" s="3">
        <v>2637013.960324198</v>
      </c>
      <c r="EB26" s="7" t="s">
        <v>120</v>
      </c>
      <c r="EC26" s="2" t="s">
        <v>48</v>
      </c>
      <c r="ED26" s="3">
        <v>7312415.4385423968</v>
      </c>
      <c r="EE26" s="3">
        <v>569935.83970771357</v>
      </c>
      <c r="EF26" s="3">
        <v>297220.22633389395</v>
      </c>
      <c r="EG26" s="3">
        <v>0</v>
      </c>
      <c r="EH26" s="3">
        <v>8179571.5045840042</v>
      </c>
    </row>
    <row r="27" spans="1:138" ht="10.199999999999999" customHeight="1" x14ac:dyDescent="0.2">
      <c r="A27" s="7" t="s">
        <v>102</v>
      </c>
      <c r="B27" s="2" t="s">
        <v>30</v>
      </c>
      <c r="C27" s="3">
        <f t="shared" si="4"/>
        <v>1473.2587342371742</v>
      </c>
      <c r="D27" s="3">
        <f t="shared" si="5"/>
        <v>37581.718291072772</v>
      </c>
      <c r="E27" s="3">
        <f t="shared" si="6"/>
        <v>1994086.0954838644</v>
      </c>
      <c r="F27" s="3">
        <f t="shared" si="7"/>
        <v>14169652.593638305</v>
      </c>
      <c r="G27" s="3">
        <f t="shared" si="8"/>
        <v>196022.77818928976</v>
      </c>
      <c r="H27" s="3">
        <f t="shared" si="9"/>
        <v>80332.259801336477</v>
      </c>
      <c r="I27" s="3">
        <f t="shared" si="10"/>
        <v>597766.00304281968</v>
      </c>
      <c r="J27" s="3">
        <f t="shared" si="11"/>
        <v>2295.0988294085646</v>
      </c>
      <c r="K27" s="3">
        <f t="shared" si="12"/>
        <v>3868761.5656784838</v>
      </c>
      <c r="L27" s="3">
        <f t="shared" si="13"/>
        <v>28521.002341272084</v>
      </c>
      <c r="M27" s="3">
        <f t="shared" si="14"/>
        <v>11376660.96807467</v>
      </c>
      <c r="N27" s="3">
        <f t="shared" si="15"/>
        <v>22930128.316809915</v>
      </c>
      <c r="O27" s="3">
        <f t="shared" si="16"/>
        <v>55283281.65891467</v>
      </c>
      <c r="P27" s="7" t="s">
        <v>102</v>
      </c>
      <c r="Q27" s="2" t="s">
        <v>30</v>
      </c>
      <c r="R27" s="3">
        <f t="shared" si="17"/>
        <v>1473.2587342371742</v>
      </c>
      <c r="S27" s="3">
        <f t="shared" si="17"/>
        <v>37581.718291072772</v>
      </c>
      <c r="T27" s="3">
        <f t="shared" si="17"/>
        <v>1994086.0954838644</v>
      </c>
      <c r="U27" s="3">
        <f t="shared" si="17"/>
        <v>14169652.593638305</v>
      </c>
      <c r="V27" s="3">
        <f t="shared" si="17"/>
        <v>196022.77818928976</v>
      </c>
      <c r="W27" s="3">
        <f t="shared" si="17"/>
        <v>80332.259801336477</v>
      </c>
      <c r="X27" s="3">
        <f t="shared" si="17"/>
        <v>597766.00304281968</v>
      </c>
      <c r="Y27" s="3">
        <f t="shared" si="17"/>
        <v>2295.0988294085646</v>
      </c>
      <c r="Z27" s="3">
        <f t="shared" si="17"/>
        <v>3868761.5656784838</v>
      </c>
      <c r="AA27" s="3">
        <f t="shared" si="17"/>
        <v>28521.002341272084</v>
      </c>
      <c r="AB27" s="3">
        <f t="shared" si="18"/>
        <v>20976492.374030087</v>
      </c>
      <c r="AC27" s="7" t="s">
        <v>102</v>
      </c>
      <c r="AD27" s="2" t="s">
        <v>30</v>
      </c>
      <c r="AE27" s="3">
        <f t="shared" si="19"/>
        <v>11376660.96807467</v>
      </c>
      <c r="AF27" s="3">
        <f t="shared" si="19"/>
        <v>22930128.316809915</v>
      </c>
      <c r="AG27" s="3">
        <f t="shared" si="20"/>
        <v>34306789.284884587</v>
      </c>
      <c r="AH27" s="7" t="s">
        <v>102</v>
      </c>
      <c r="AI27" s="2" t="s">
        <v>30</v>
      </c>
      <c r="AJ27" s="3">
        <f t="shared" si="21"/>
        <v>9834958.3109301068</v>
      </c>
      <c r="AK27" s="3">
        <f t="shared" si="21"/>
        <v>40169319.301220089</v>
      </c>
      <c r="AL27" s="3">
        <f t="shared" si="21"/>
        <v>5279004.0467644744</v>
      </c>
      <c r="AM27" s="3">
        <f t="shared" si="21"/>
        <v>0</v>
      </c>
      <c r="AN27" s="3">
        <f t="shared" si="22"/>
        <v>55283281.65891467</v>
      </c>
      <c r="AO27" s="7" t="s">
        <v>102</v>
      </c>
      <c r="AP27" s="2" t="s">
        <v>30</v>
      </c>
      <c r="AQ27" s="3">
        <f t="shared" si="23"/>
        <v>4087145.8918458894</v>
      </c>
      <c r="AR27" s="3">
        <f t="shared" si="23"/>
        <v>12826682.536144834</v>
      </c>
      <c r="AS27" s="3">
        <f t="shared" si="23"/>
        <v>4062663.9460393679</v>
      </c>
      <c r="AT27" s="3">
        <f t="shared" si="23"/>
        <v>0</v>
      </c>
      <c r="AU27" s="3">
        <f t="shared" si="24"/>
        <v>20976492.374030091</v>
      </c>
      <c r="AV27" s="7" t="s">
        <v>102</v>
      </c>
      <c r="AW27" s="2" t="s">
        <v>30</v>
      </c>
      <c r="AX27" s="3">
        <f t="shared" si="25"/>
        <v>5747812.4190842174</v>
      </c>
      <c r="AY27" s="3">
        <f t="shared" si="25"/>
        <v>27342636.765075259</v>
      </c>
      <c r="AZ27" s="3">
        <f t="shared" si="25"/>
        <v>1216340.1007251062</v>
      </c>
      <c r="BA27" s="3">
        <f t="shared" si="25"/>
        <v>0</v>
      </c>
      <c r="BB27" s="3">
        <f t="shared" si="26"/>
        <v>34306789.284884579</v>
      </c>
      <c r="BC27" s="7" t="s">
        <v>102</v>
      </c>
      <c r="BD27" s="2" t="s">
        <v>30</v>
      </c>
      <c r="BE27" s="3">
        <v>1473.2587342371742</v>
      </c>
      <c r="BF27" s="3">
        <v>0</v>
      </c>
      <c r="BG27" s="3">
        <v>0</v>
      </c>
      <c r="BH27" s="3">
        <v>0</v>
      </c>
      <c r="BI27" s="3">
        <v>1473.2587342371742</v>
      </c>
      <c r="BJ27" s="7" t="s">
        <v>102</v>
      </c>
      <c r="BK27" s="2" t="s">
        <v>30</v>
      </c>
      <c r="BL27" s="3">
        <v>33350.821413263446</v>
      </c>
      <c r="BM27" s="3">
        <v>4230.8968778093295</v>
      </c>
      <c r="BN27" s="3">
        <v>0</v>
      </c>
      <c r="BO27" s="3">
        <v>0</v>
      </c>
      <c r="BP27" s="3">
        <v>37581.718291072772</v>
      </c>
      <c r="BQ27" s="7" t="s">
        <v>102</v>
      </c>
      <c r="BR27" s="2" t="s">
        <v>30</v>
      </c>
      <c r="BS27" s="3">
        <v>495459.49004891497</v>
      </c>
      <c r="BT27" s="3">
        <v>990918.98009782995</v>
      </c>
      <c r="BU27" s="3">
        <v>507707.62533711951</v>
      </c>
      <c r="BV27" s="3">
        <v>0</v>
      </c>
      <c r="BW27" s="3">
        <v>1994086.0954838644</v>
      </c>
      <c r="BX27" s="7" t="s">
        <v>102</v>
      </c>
      <c r="BY27" s="2" t="s">
        <v>30</v>
      </c>
      <c r="BZ27" s="3">
        <v>1038352.9780403379</v>
      </c>
      <c r="CA27" s="3">
        <v>9656675.5546970554</v>
      </c>
      <c r="CB27" s="3">
        <v>3474624.0609009117</v>
      </c>
      <c r="CC27" s="3">
        <v>0</v>
      </c>
      <c r="CD27" s="3">
        <v>14169652.593638305</v>
      </c>
      <c r="CE27" s="7" t="s">
        <v>102</v>
      </c>
      <c r="CF27" s="2" t="s">
        <v>30</v>
      </c>
      <c r="CG27" s="3">
        <v>200.21740143722948</v>
      </c>
      <c r="CH27" s="3">
        <v>195822.56078785253</v>
      </c>
      <c r="CI27" s="3">
        <v>0</v>
      </c>
      <c r="CJ27" s="3">
        <v>0</v>
      </c>
      <c r="CK27" s="3">
        <v>196022.77818928976</v>
      </c>
      <c r="CL27" s="7" t="s">
        <v>102</v>
      </c>
      <c r="CM27" s="2" t="s">
        <v>30</v>
      </c>
      <c r="CN27" s="3">
        <v>0</v>
      </c>
      <c r="CO27" s="3">
        <v>0</v>
      </c>
      <c r="CP27" s="3">
        <v>80332.259801336477</v>
      </c>
      <c r="CQ27" s="3">
        <v>0</v>
      </c>
      <c r="CR27" s="3">
        <v>80332.259801336477</v>
      </c>
      <c r="CS27" s="7" t="s">
        <v>102</v>
      </c>
      <c r="CT27" s="2" t="s">
        <v>30</v>
      </c>
      <c r="CU27" s="3">
        <v>585747.2352964686</v>
      </c>
      <c r="CV27" s="3">
        <v>12018.767746351034</v>
      </c>
      <c r="CW27" s="3">
        <v>0</v>
      </c>
      <c r="CX27" s="3">
        <v>0</v>
      </c>
      <c r="CY27" s="3">
        <v>597766.00304281968</v>
      </c>
      <c r="CZ27" s="7" t="s">
        <v>102</v>
      </c>
      <c r="DA27" s="2" t="s">
        <v>30</v>
      </c>
      <c r="DB27" s="3">
        <v>1916246.6049959392</v>
      </c>
      <c r="DC27" s="3">
        <v>1952514.9606825444</v>
      </c>
      <c r="DD27" s="3">
        <v>0</v>
      </c>
      <c r="DE27" s="3">
        <v>0</v>
      </c>
      <c r="DF27" s="3">
        <v>3868761.5656784838</v>
      </c>
      <c r="DG27" s="7" t="s">
        <v>102</v>
      </c>
      <c r="DH27" s="2" t="s">
        <v>30</v>
      </c>
      <c r="DI27" s="3">
        <v>2295.0988294085646</v>
      </c>
      <c r="DJ27" s="3">
        <v>0</v>
      </c>
      <c r="DK27" s="3">
        <v>0</v>
      </c>
      <c r="DL27" s="3">
        <v>0</v>
      </c>
      <c r="DM27" s="3">
        <v>2295.0988294085646</v>
      </c>
      <c r="DN27" s="7" t="s">
        <v>102</v>
      </c>
      <c r="DO27" s="2" t="s">
        <v>30</v>
      </c>
      <c r="DP27" s="3">
        <v>14020.187085882473</v>
      </c>
      <c r="DQ27" s="3">
        <v>14500.815255389611</v>
      </c>
      <c r="DR27" s="3">
        <v>0</v>
      </c>
      <c r="DS27" s="3">
        <v>0</v>
      </c>
      <c r="DT27" s="3">
        <v>28521.002341272084</v>
      </c>
      <c r="DU27" s="7" t="s">
        <v>102</v>
      </c>
      <c r="DV27" s="2" t="s">
        <v>30</v>
      </c>
      <c r="DW27" s="3">
        <v>3341655.2490978967</v>
      </c>
      <c r="DX27" s="3">
        <v>18435596.42015405</v>
      </c>
      <c r="DY27" s="3">
        <v>1152876.6475579662</v>
      </c>
      <c r="DZ27" s="3">
        <v>0</v>
      </c>
      <c r="EA27" s="3">
        <v>22930128.316809915</v>
      </c>
      <c r="EB27" s="7" t="s">
        <v>102</v>
      </c>
      <c r="EC27" s="2" t="s">
        <v>30</v>
      </c>
      <c r="ED27" s="3">
        <v>2406157.1699863211</v>
      </c>
      <c r="EE27" s="3">
        <v>8907040.3449212089</v>
      </c>
      <c r="EF27" s="3">
        <v>63463.453167139938</v>
      </c>
      <c r="EG27" s="3">
        <v>0</v>
      </c>
      <c r="EH27" s="3">
        <v>11376660.96807467</v>
      </c>
    </row>
    <row r="28" spans="1:138" ht="10.199999999999999" customHeight="1" x14ac:dyDescent="0.2">
      <c r="A28" s="7" t="s">
        <v>98</v>
      </c>
      <c r="B28" s="2" t="s">
        <v>26</v>
      </c>
      <c r="C28" s="3">
        <f t="shared" si="4"/>
        <v>85266.69192396017</v>
      </c>
      <c r="D28" s="3">
        <f t="shared" si="5"/>
        <v>518690.55815953657</v>
      </c>
      <c r="E28" s="3">
        <f t="shared" si="6"/>
        <v>3174441.9274203395</v>
      </c>
      <c r="F28" s="3">
        <f t="shared" si="7"/>
        <v>15089.549281849504</v>
      </c>
      <c r="G28" s="3">
        <f t="shared" si="8"/>
        <v>84035.033183581152</v>
      </c>
      <c r="H28" s="3">
        <f t="shared" si="9"/>
        <v>0</v>
      </c>
      <c r="I28" s="3">
        <f t="shared" si="10"/>
        <v>91698.355035389919</v>
      </c>
      <c r="J28" s="3">
        <f t="shared" si="11"/>
        <v>1097468.9951531782</v>
      </c>
      <c r="K28" s="3">
        <f t="shared" si="12"/>
        <v>540108.17193395551</v>
      </c>
      <c r="L28" s="3">
        <f t="shared" si="13"/>
        <v>681831.12053851155</v>
      </c>
      <c r="M28" s="3">
        <f t="shared" si="14"/>
        <v>129942951.07928567</v>
      </c>
      <c r="N28" s="3">
        <f t="shared" si="15"/>
        <v>1956608.1394873396</v>
      </c>
      <c r="O28" s="3">
        <f t="shared" si="16"/>
        <v>138188189.62140331</v>
      </c>
      <c r="P28" s="7" t="s">
        <v>98</v>
      </c>
      <c r="Q28" s="2" t="s">
        <v>26</v>
      </c>
      <c r="R28" s="3">
        <f t="shared" si="17"/>
        <v>85266.69192396017</v>
      </c>
      <c r="S28" s="3">
        <f t="shared" si="17"/>
        <v>518690.55815953657</v>
      </c>
      <c r="T28" s="3">
        <f t="shared" si="17"/>
        <v>3174441.9274203395</v>
      </c>
      <c r="U28" s="3">
        <f t="shared" si="17"/>
        <v>15089.549281849504</v>
      </c>
      <c r="V28" s="3">
        <f t="shared" si="17"/>
        <v>84035.033183581152</v>
      </c>
      <c r="W28" s="3">
        <f t="shared" si="17"/>
        <v>0</v>
      </c>
      <c r="X28" s="3">
        <f t="shared" si="17"/>
        <v>91698.355035389919</v>
      </c>
      <c r="Y28" s="3">
        <f t="shared" si="17"/>
        <v>1097468.9951531782</v>
      </c>
      <c r="Z28" s="3">
        <f t="shared" si="17"/>
        <v>540108.17193395551</v>
      </c>
      <c r="AA28" s="3">
        <f t="shared" si="17"/>
        <v>681831.12053851155</v>
      </c>
      <c r="AB28" s="3">
        <f t="shared" si="18"/>
        <v>6288630.4026303021</v>
      </c>
      <c r="AC28" s="7" t="s">
        <v>98</v>
      </c>
      <c r="AD28" s="2" t="s">
        <v>26</v>
      </c>
      <c r="AE28" s="3">
        <f t="shared" si="19"/>
        <v>129942951.07928567</v>
      </c>
      <c r="AF28" s="3">
        <f t="shared" si="19"/>
        <v>1956608.1394873396</v>
      </c>
      <c r="AG28" s="3">
        <f t="shared" si="20"/>
        <v>131899559.21877301</v>
      </c>
      <c r="AH28" s="7" t="s">
        <v>98</v>
      </c>
      <c r="AI28" s="2" t="s">
        <v>26</v>
      </c>
      <c r="AJ28" s="3">
        <f t="shared" si="21"/>
        <v>1107185.105569819</v>
      </c>
      <c r="AK28" s="3">
        <f t="shared" si="21"/>
        <v>131772323.25840864</v>
      </c>
      <c r="AL28" s="3">
        <f t="shared" si="21"/>
        <v>2135508.5990678482</v>
      </c>
      <c r="AM28" s="3">
        <f t="shared" si="21"/>
        <v>3173172.6583569967</v>
      </c>
      <c r="AN28" s="3">
        <f t="shared" si="22"/>
        <v>138188189.62140331</v>
      </c>
      <c r="AO28" s="7" t="s">
        <v>98</v>
      </c>
      <c r="AP28" s="2" t="s">
        <v>26</v>
      </c>
      <c r="AQ28" s="3">
        <f t="shared" si="23"/>
        <v>539219.07271503354</v>
      </c>
      <c r="AR28" s="3">
        <f t="shared" si="23"/>
        <v>1654202.5515826377</v>
      </c>
      <c r="AS28" s="3">
        <f t="shared" si="23"/>
        <v>922036.11997563415</v>
      </c>
      <c r="AT28" s="3">
        <f t="shared" si="23"/>
        <v>3173172.6583569967</v>
      </c>
      <c r="AU28" s="3">
        <f t="shared" si="24"/>
        <v>6288630.4026303012</v>
      </c>
      <c r="AV28" s="7" t="s">
        <v>98</v>
      </c>
      <c r="AW28" s="2" t="s">
        <v>26</v>
      </c>
      <c r="AX28" s="3">
        <f t="shared" si="25"/>
        <v>567966.03285478556</v>
      </c>
      <c r="AY28" s="3">
        <f t="shared" si="25"/>
        <v>130118120.706826</v>
      </c>
      <c r="AZ28" s="3">
        <f t="shared" si="25"/>
        <v>1213472.4790922143</v>
      </c>
      <c r="BA28" s="3">
        <f t="shared" si="25"/>
        <v>0</v>
      </c>
      <c r="BB28" s="3">
        <f t="shared" si="26"/>
        <v>131899559.21877299</v>
      </c>
      <c r="BC28" s="7" t="s">
        <v>98</v>
      </c>
      <c r="BD28" s="2" t="s">
        <v>26</v>
      </c>
      <c r="BE28" s="3">
        <v>6347.7122310023715</v>
      </c>
      <c r="BF28" s="3">
        <v>40138.292064770401</v>
      </c>
      <c r="BG28" s="3">
        <v>38780.687628187392</v>
      </c>
      <c r="BH28" s="3">
        <v>0</v>
      </c>
      <c r="BI28" s="3">
        <v>85266.69192396017</v>
      </c>
      <c r="BJ28" s="7" t="s">
        <v>98</v>
      </c>
      <c r="BK28" s="2" t="s">
        <v>26</v>
      </c>
      <c r="BL28" s="3">
        <v>17147.654462809918</v>
      </c>
      <c r="BM28" s="3">
        <v>164113.4068591673</v>
      </c>
      <c r="BN28" s="3">
        <v>337429.49683755939</v>
      </c>
      <c r="BO28" s="3">
        <v>0</v>
      </c>
      <c r="BP28" s="3">
        <v>518690.55815953657</v>
      </c>
      <c r="BQ28" s="7" t="s">
        <v>98</v>
      </c>
      <c r="BR28" s="2" t="s">
        <v>26</v>
      </c>
      <c r="BS28" s="3">
        <v>0</v>
      </c>
      <c r="BT28" s="3">
        <v>1269.2690633427987</v>
      </c>
      <c r="BU28" s="3">
        <v>0</v>
      </c>
      <c r="BV28" s="3">
        <v>3173172.6583569967</v>
      </c>
      <c r="BW28" s="3">
        <v>3174441.9274203395</v>
      </c>
      <c r="BX28" s="7" t="s">
        <v>98</v>
      </c>
      <c r="BY28" s="2" t="s">
        <v>26</v>
      </c>
      <c r="BZ28" s="3">
        <v>5848.5274184476939</v>
      </c>
      <c r="CA28" s="3">
        <v>9241.0218634018092</v>
      </c>
      <c r="CB28" s="3">
        <v>0</v>
      </c>
      <c r="CC28" s="3">
        <v>0</v>
      </c>
      <c r="CD28" s="3">
        <v>15089.549281849504</v>
      </c>
      <c r="CE28" s="7" t="s">
        <v>98</v>
      </c>
      <c r="CF28" s="2" t="s">
        <v>26</v>
      </c>
      <c r="CG28" s="3">
        <v>1964.4484297309873</v>
      </c>
      <c r="CH28" s="3">
        <v>73797.906181939281</v>
      </c>
      <c r="CI28" s="3">
        <v>8272.6785719108848</v>
      </c>
      <c r="CJ28" s="3">
        <v>0</v>
      </c>
      <c r="CK28" s="3">
        <v>84035.033183581152</v>
      </c>
      <c r="CL28" s="7" t="s">
        <v>98</v>
      </c>
      <c r="CM28" s="2" t="s">
        <v>26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7" t="s">
        <v>98</v>
      </c>
      <c r="CT28" s="2" t="s">
        <v>26</v>
      </c>
      <c r="CU28" s="3">
        <v>21255.19605396621</v>
      </c>
      <c r="CV28" s="3">
        <v>30854.998830429726</v>
      </c>
      <c r="CW28" s="3">
        <v>39588.160150993972</v>
      </c>
      <c r="CX28" s="3">
        <v>0</v>
      </c>
      <c r="CY28" s="3">
        <v>91698.355035389919</v>
      </c>
      <c r="CZ28" s="7" t="s">
        <v>98</v>
      </c>
      <c r="DA28" s="2" t="s">
        <v>26</v>
      </c>
      <c r="DB28" s="3">
        <v>289503.57451860997</v>
      </c>
      <c r="DC28" s="3">
        <v>249405.7155736282</v>
      </c>
      <c r="DD28" s="3">
        <v>1198.881841717257</v>
      </c>
      <c r="DE28" s="3">
        <v>0</v>
      </c>
      <c r="DF28" s="3">
        <v>540108.17193395551</v>
      </c>
      <c r="DG28" s="7" t="s">
        <v>98</v>
      </c>
      <c r="DH28" s="2" t="s">
        <v>26</v>
      </c>
      <c r="DI28" s="3">
        <v>6372.1556923076823</v>
      </c>
      <c r="DJ28" s="3">
        <v>680416.6597878444</v>
      </c>
      <c r="DK28" s="3">
        <v>410680.17967302626</v>
      </c>
      <c r="DL28" s="3">
        <v>0</v>
      </c>
      <c r="DM28" s="3">
        <v>1097468.9951531782</v>
      </c>
      <c r="DN28" s="7" t="s">
        <v>98</v>
      </c>
      <c r="DO28" s="2" t="s">
        <v>26</v>
      </c>
      <c r="DP28" s="3">
        <v>190779.80390815873</v>
      </c>
      <c r="DQ28" s="3">
        <v>404965.28135811375</v>
      </c>
      <c r="DR28" s="3">
        <v>86086.035272239038</v>
      </c>
      <c r="DS28" s="3">
        <v>0</v>
      </c>
      <c r="DT28" s="3">
        <v>681831.12053851155</v>
      </c>
      <c r="DU28" s="7" t="s">
        <v>98</v>
      </c>
      <c r="DV28" s="2" t="s">
        <v>26</v>
      </c>
      <c r="DW28" s="3">
        <v>329970.86373048625</v>
      </c>
      <c r="DX28" s="3">
        <v>658893.50171911868</v>
      </c>
      <c r="DY28" s="3">
        <v>967743.77403773472</v>
      </c>
      <c r="DZ28" s="3">
        <v>0</v>
      </c>
      <c r="EA28" s="3">
        <v>1956608.1394873396</v>
      </c>
      <c r="EB28" s="7" t="s">
        <v>98</v>
      </c>
      <c r="EC28" s="2" t="s">
        <v>26</v>
      </c>
      <c r="ED28" s="3">
        <v>237995.16912429934</v>
      </c>
      <c r="EE28" s="3">
        <v>129459227.20510688</v>
      </c>
      <c r="EF28" s="3">
        <v>245728.70505447956</v>
      </c>
      <c r="EG28" s="3">
        <v>0</v>
      </c>
      <c r="EH28" s="3">
        <v>129942951.07928567</v>
      </c>
    </row>
    <row r="29" spans="1:138" ht="10.199999999999999" customHeight="1" x14ac:dyDescent="0.2">
      <c r="A29" s="7" t="s">
        <v>93</v>
      </c>
      <c r="B29" s="2" t="s">
        <v>21</v>
      </c>
      <c r="C29" s="3">
        <f t="shared" si="4"/>
        <v>144.15652903480523</v>
      </c>
      <c r="D29" s="3">
        <f t="shared" si="5"/>
        <v>25120.179672218121</v>
      </c>
      <c r="E29" s="3">
        <f t="shared" si="6"/>
        <v>0</v>
      </c>
      <c r="F29" s="3">
        <f t="shared" si="7"/>
        <v>190786.56774950723</v>
      </c>
      <c r="G29" s="3">
        <f t="shared" si="8"/>
        <v>0</v>
      </c>
      <c r="H29" s="3">
        <f t="shared" si="9"/>
        <v>0</v>
      </c>
      <c r="I29" s="3">
        <f t="shared" si="10"/>
        <v>4693.0986195148053</v>
      </c>
      <c r="J29" s="3">
        <f t="shared" si="11"/>
        <v>2000.9361106712486</v>
      </c>
      <c r="K29" s="3">
        <f t="shared" si="12"/>
        <v>13680.509284567614</v>
      </c>
      <c r="L29" s="3">
        <f t="shared" si="13"/>
        <v>2009.4053066292395</v>
      </c>
      <c r="M29" s="3">
        <f t="shared" si="14"/>
        <v>4644994.095735277</v>
      </c>
      <c r="N29" s="3">
        <f t="shared" si="15"/>
        <v>7232.1314662091045</v>
      </c>
      <c r="O29" s="3">
        <f t="shared" si="16"/>
        <v>4890661.0804736288</v>
      </c>
      <c r="P29" s="7" t="s">
        <v>93</v>
      </c>
      <c r="Q29" s="2" t="s">
        <v>21</v>
      </c>
      <c r="R29" s="3">
        <f t="shared" si="17"/>
        <v>144.15652903480523</v>
      </c>
      <c r="S29" s="3">
        <f t="shared" si="17"/>
        <v>25120.179672218121</v>
      </c>
      <c r="T29" s="3">
        <f t="shared" si="17"/>
        <v>0</v>
      </c>
      <c r="U29" s="3">
        <f t="shared" si="17"/>
        <v>190786.56774950723</v>
      </c>
      <c r="V29" s="3">
        <f t="shared" si="17"/>
        <v>0</v>
      </c>
      <c r="W29" s="3">
        <f t="shared" si="17"/>
        <v>0</v>
      </c>
      <c r="X29" s="3">
        <f t="shared" si="17"/>
        <v>4693.0986195148053</v>
      </c>
      <c r="Y29" s="3">
        <f t="shared" si="17"/>
        <v>2000.9361106712486</v>
      </c>
      <c r="Z29" s="3">
        <f t="shared" si="17"/>
        <v>13680.509284567614</v>
      </c>
      <c r="AA29" s="3">
        <f t="shared" si="17"/>
        <v>2009.4053066292395</v>
      </c>
      <c r="AB29" s="3">
        <f t="shared" si="18"/>
        <v>238434.85327214305</v>
      </c>
      <c r="AC29" s="7" t="s">
        <v>93</v>
      </c>
      <c r="AD29" s="2" t="s">
        <v>21</v>
      </c>
      <c r="AE29" s="3">
        <f t="shared" si="19"/>
        <v>4644994.095735277</v>
      </c>
      <c r="AF29" s="3">
        <f t="shared" si="19"/>
        <v>7232.1314662091045</v>
      </c>
      <c r="AG29" s="3">
        <f t="shared" si="20"/>
        <v>4652226.227201486</v>
      </c>
      <c r="AH29" s="7" t="s">
        <v>93</v>
      </c>
      <c r="AI29" s="2" t="s">
        <v>21</v>
      </c>
      <c r="AJ29" s="3">
        <f t="shared" si="21"/>
        <v>4887550.4677226832</v>
      </c>
      <c r="AK29" s="3">
        <f t="shared" si="21"/>
        <v>2550.0040269220071</v>
      </c>
      <c r="AL29" s="3">
        <f t="shared" si="21"/>
        <v>560.60872402424252</v>
      </c>
      <c r="AM29" s="3">
        <f t="shared" si="21"/>
        <v>0</v>
      </c>
      <c r="AN29" s="3">
        <f t="shared" si="22"/>
        <v>4890661.0804736298</v>
      </c>
      <c r="AO29" s="7" t="s">
        <v>93</v>
      </c>
      <c r="AP29" s="2" t="s">
        <v>21</v>
      </c>
      <c r="AQ29" s="3">
        <f t="shared" si="23"/>
        <v>236102.80590842559</v>
      </c>
      <c r="AR29" s="3">
        <f t="shared" si="23"/>
        <v>2332.0473637174391</v>
      </c>
      <c r="AS29" s="3">
        <f t="shared" si="23"/>
        <v>0</v>
      </c>
      <c r="AT29" s="3">
        <f t="shared" si="23"/>
        <v>0</v>
      </c>
      <c r="AU29" s="3">
        <f t="shared" si="24"/>
        <v>238434.85327214302</v>
      </c>
      <c r="AV29" s="7" t="s">
        <v>93</v>
      </c>
      <c r="AW29" s="2" t="s">
        <v>21</v>
      </c>
      <c r="AX29" s="3">
        <f t="shared" si="25"/>
        <v>4651447.6618142575</v>
      </c>
      <c r="AY29" s="3">
        <f t="shared" si="25"/>
        <v>217.956663204568</v>
      </c>
      <c r="AZ29" s="3">
        <f t="shared" si="25"/>
        <v>560.60872402424252</v>
      </c>
      <c r="BA29" s="3">
        <f t="shared" si="25"/>
        <v>0</v>
      </c>
      <c r="BB29" s="3">
        <f t="shared" si="26"/>
        <v>4652226.227201486</v>
      </c>
      <c r="BC29" s="7" t="s">
        <v>93</v>
      </c>
      <c r="BD29" s="2" t="s">
        <v>21</v>
      </c>
      <c r="BE29" s="3">
        <v>0</v>
      </c>
      <c r="BF29" s="3">
        <v>144.15652903480523</v>
      </c>
      <c r="BG29" s="3">
        <v>0</v>
      </c>
      <c r="BH29" s="3">
        <v>0</v>
      </c>
      <c r="BI29" s="3">
        <v>144.15652903480523</v>
      </c>
      <c r="BJ29" s="7" t="s">
        <v>93</v>
      </c>
      <c r="BK29" s="2" t="s">
        <v>21</v>
      </c>
      <c r="BL29" s="3">
        <v>23984.919669421444</v>
      </c>
      <c r="BM29" s="3">
        <v>1135.2600027966753</v>
      </c>
      <c r="BN29" s="3">
        <v>0</v>
      </c>
      <c r="BO29" s="3">
        <v>0</v>
      </c>
      <c r="BP29" s="3">
        <v>25120.179672218121</v>
      </c>
      <c r="BQ29" s="7" t="s">
        <v>93</v>
      </c>
      <c r="BR29" s="2" t="s">
        <v>21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7" t="s">
        <v>93</v>
      </c>
      <c r="BY29" s="2" t="s">
        <v>21</v>
      </c>
      <c r="BZ29" s="3">
        <v>190642.41122047242</v>
      </c>
      <c r="CA29" s="3">
        <v>144.15652903480523</v>
      </c>
      <c r="CB29" s="3">
        <v>0</v>
      </c>
      <c r="CC29" s="3">
        <v>0</v>
      </c>
      <c r="CD29" s="3">
        <v>190786.56774950723</v>
      </c>
      <c r="CE29" s="7" t="s">
        <v>93</v>
      </c>
      <c r="CF29" s="2" t="s">
        <v>21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7" t="s">
        <v>93</v>
      </c>
      <c r="CM29" s="2" t="s">
        <v>21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7" t="s">
        <v>93</v>
      </c>
      <c r="CT29" s="2" t="s">
        <v>21</v>
      </c>
      <c r="CU29" s="3">
        <v>4530.9225243506489</v>
      </c>
      <c r="CV29" s="3">
        <v>162.1760951641559</v>
      </c>
      <c r="CW29" s="3">
        <v>0</v>
      </c>
      <c r="CX29" s="3">
        <v>0</v>
      </c>
      <c r="CY29" s="3">
        <v>4693.0986195148053</v>
      </c>
      <c r="CZ29" s="7" t="s">
        <v>93</v>
      </c>
      <c r="DA29" s="2" t="s">
        <v>21</v>
      </c>
      <c r="DB29" s="3">
        <v>13095.586302439024</v>
      </c>
      <c r="DC29" s="3">
        <v>584.92298212859043</v>
      </c>
      <c r="DD29" s="3">
        <v>0</v>
      </c>
      <c r="DE29" s="3">
        <v>0</v>
      </c>
      <c r="DF29" s="3">
        <v>13680.509284567614</v>
      </c>
      <c r="DG29" s="7" t="s">
        <v>93</v>
      </c>
      <c r="DH29" s="2" t="s">
        <v>21</v>
      </c>
      <c r="DI29" s="3">
        <v>1928.8578461538459</v>
      </c>
      <c r="DJ29" s="3">
        <v>72.078264517402616</v>
      </c>
      <c r="DK29" s="3">
        <v>0</v>
      </c>
      <c r="DL29" s="3">
        <v>0</v>
      </c>
      <c r="DM29" s="3">
        <v>2000.9361106712486</v>
      </c>
      <c r="DN29" s="7" t="s">
        <v>93</v>
      </c>
      <c r="DO29" s="2" t="s">
        <v>21</v>
      </c>
      <c r="DP29" s="3">
        <v>1920.1083455882351</v>
      </c>
      <c r="DQ29" s="3">
        <v>89.296961041004352</v>
      </c>
      <c r="DR29" s="3">
        <v>0</v>
      </c>
      <c r="DS29" s="3">
        <v>0</v>
      </c>
      <c r="DT29" s="3">
        <v>2009.4053066292395</v>
      </c>
      <c r="DU29" s="7" t="s">
        <v>93</v>
      </c>
      <c r="DV29" s="2" t="s">
        <v>21</v>
      </c>
      <c r="DW29" s="3">
        <v>6871.7401436220916</v>
      </c>
      <c r="DX29" s="3">
        <v>0</v>
      </c>
      <c r="DY29" s="3">
        <v>360.39132258701306</v>
      </c>
      <c r="DZ29" s="3">
        <v>0</v>
      </c>
      <c r="EA29" s="3">
        <v>7232.1314662091045</v>
      </c>
      <c r="EB29" s="7" t="s">
        <v>93</v>
      </c>
      <c r="EC29" s="2" t="s">
        <v>21</v>
      </c>
      <c r="ED29" s="3">
        <v>4644575.9216706352</v>
      </c>
      <c r="EE29" s="3">
        <v>217.956663204568</v>
      </c>
      <c r="EF29" s="3">
        <v>200.21740143722948</v>
      </c>
      <c r="EG29" s="3">
        <v>0</v>
      </c>
      <c r="EH29" s="3">
        <v>4644994.095735277</v>
      </c>
    </row>
    <row r="30" spans="1:138" ht="10.199999999999999" customHeight="1" x14ac:dyDescent="0.2">
      <c r="A30" s="7" t="s">
        <v>115</v>
      </c>
      <c r="B30" s="2" t="s">
        <v>43</v>
      </c>
      <c r="C30" s="3">
        <f t="shared" si="4"/>
        <v>231066.81654535176</v>
      </c>
      <c r="D30" s="3">
        <f t="shared" si="5"/>
        <v>1407.0878538205613</v>
      </c>
      <c r="E30" s="3">
        <f t="shared" si="6"/>
        <v>687592.39015207079</v>
      </c>
      <c r="F30" s="3">
        <f t="shared" si="7"/>
        <v>1687935.9897427182</v>
      </c>
      <c r="G30" s="3">
        <f t="shared" si="8"/>
        <v>159136.97562559333</v>
      </c>
      <c r="H30" s="3">
        <f t="shared" si="9"/>
        <v>0</v>
      </c>
      <c r="I30" s="3">
        <f t="shared" si="10"/>
        <v>271236.89155617682</v>
      </c>
      <c r="J30" s="3">
        <f t="shared" si="11"/>
        <v>10557.963689998975</v>
      </c>
      <c r="K30" s="3">
        <f t="shared" si="12"/>
        <v>83492.456721753901</v>
      </c>
      <c r="L30" s="3">
        <f t="shared" si="13"/>
        <v>637000.64296125202</v>
      </c>
      <c r="M30" s="3">
        <f t="shared" si="14"/>
        <v>2792804.7811613344</v>
      </c>
      <c r="N30" s="3">
        <f t="shared" si="15"/>
        <v>3387636.2452992611</v>
      </c>
      <c r="O30" s="3">
        <f t="shared" si="16"/>
        <v>9949868.2413093317</v>
      </c>
      <c r="P30" s="7" t="s">
        <v>115</v>
      </c>
      <c r="Q30" s="2" t="s">
        <v>43</v>
      </c>
      <c r="R30" s="3">
        <f t="shared" si="17"/>
        <v>231066.81654535176</v>
      </c>
      <c r="S30" s="3">
        <f t="shared" si="17"/>
        <v>1407.0878538205613</v>
      </c>
      <c r="T30" s="3">
        <f t="shared" si="17"/>
        <v>687592.39015207079</v>
      </c>
      <c r="U30" s="3">
        <f t="shared" si="17"/>
        <v>1687935.9897427182</v>
      </c>
      <c r="V30" s="3">
        <f t="shared" si="17"/>
        <v>159136.97562559333</v>
      </c>
      <c r="W30" s="3">
        <f t="shared" ref="W30:AA41" si="27">H30</f>
        <v>0</v>
      </c>
      <c r="X30" s="3">
        <f t="shared" si="27"/>
        <v>271236.89155617682</v>
      </c>
      <c r="Y30" s="3">
        <f t="shared" si="27"/>
        <v>10557.963689998975</v>
      </c>
      <c r="Z30" s="3">
        <f t="shared" si="27"/>
        <v>83492.456721753901</v>
      </c>
      <c r="AA30" s="3">
        <f t="shared" si="27"/>
        <v>637000.64296125202</v>
      </c>
      <c r="AB30" s="3">
        <f t="shared" si="18"/>
        <v>3769427.2148487363</v>
      </c>
      <c r="AC30" s="7" t="s">
        <v>115</v>
      </c>
      <c r="AD30" s="2" t="s">
        <v>43</v>
      </c>
      <c r="AE30" s="3">
        <f t="shared" si="19"/>
        <v>2792804.7811613344</v>
      </c>
      <c r="AF30" s="3">
        <f t="shared" si="19"/>
        <v>3387636.2452992611</v>
      </c>
      <c r="AG30" s="3">
        <f t="shared" si="20"/>
        <v>6180441.0264605954</v>
      </c>
      <c r="AH30" s="7" t="s">
        <v>115</v>
      </c>
      <c r="AI30" s="2" t="s">
        <v>43</v>
      </c>
      <c r="AJ30" s="3">
        <f t="shared" si="21"/>
        <v>535574.24531098036</v>
      </c>
      <c r="AK30" s="3">
        <f t="shared" si="21"/>
        <v>4448871.0529699009</v>
      </c>
      <c r="AL30" s="3">
        <f t="shared" si="21"/>
        <v>4965422.9430284509</v>
      </c>
      <c r="AM30" s="3">
        <f t="shared" si="21"/>
        <v>0</v>
      </c>
      <c r="AN30" s="3">
        <f t="shared" si="22"/>
        <v>9949868.2413093336</v>
      </c>
      <c r="AO30" s="7" t="s">
        <v>115</v>
      </c>
      <c r="AP30" s="2" t="s">
        <v>43</v>
      </c>
      <c r="AQ30" s="3">
        <f t="shared" si="23"/>
        <v>210895.23420892507</v>
      </c>
      <c r="AR30" s="3">
        <f t="shared" si="23"/>
        <v>2206099.0331002204</v>
      </c>
      <c r="AS30" s="3">
        <f t="shared" si="23"/>
        <v>1352432.947539591</v>
      </c>
      <c r="AT30" s="3">
        <f t="shared" si="23"/>
        <v>0</v>
      </c>
      <c r="AU30" s="3">
        <f t="shared" si="24"/>
        <v>3769427.2148487363</v>
      </c>
      <c r="AV30" s="7" t="s">
        <v>115</v>
      </c>
      <c r="AW30" s="2" t="s">
        <v>43</v>
      </c>
      <c r="AX30" s="3">
        <f t="shared" si="25"/>
        <v>324679.01110205532</v>
      </c>
      <c r="AY30" s="3">
        <f t="shared" si="25"/>
        <v>2242772.0198696805</v>
      </c>
      <c r="AZ30" s="3">
        <f t="shared" si="25"/>
        <v>3612989.9954888597</v>
      </c>
      <c r="BA30" s="3">
        <f t="shared" si="25"/>
        <v>0</v>
      </c>
      <c r="BB30" s="3">
        <f t="shared" si="26"/>
        <v>6180441.0264605954</v>
      </c>
      <c r="BC30" s="7" t="s">
        <v>115</v>
      </c>
      <c r="BD30" s="2" t="s">
        <v>43</v>
      </c>
      <c r="BE30" s="3">
        <v>22558.313932618796</v>
      </c>
      <c r="BF30" s="3">
        <v>0</v>
      </c>
      <c r="BG30" s="3">
        <v>208508.50261273296</v>
      </c>
      <c r="BH30" s="3">
        <v>0</v>
      </c>
      <c r="BI30" s="3">
        <v>231066.81654535176</v>
      </c>
      <c r="BJ30" s="7" t="s">
        <v>115</v>
      </c>
      <c r="BK30" s="2" t="s">
        <v>43</v>
      </c>
      <c r="BL30" s="3">
        <v>1407.0878538205613</v>
      </c>
      <c r="BM30" s="3">
        <v>0</v>
      </c>
      <c r="BN30" s="3">
        <v>0</v>
      </c>
      <c r="BO30" s="3">
        <v>0</v>
      </c>
      <c r="BP30" s="3">
        <v>1407.0878538205613</v>
      </c>
      <c r="BQ30" s="7" t="s">
        <v>115</v>
      </c>
      <c r="BR30" s="2" t="s">
        <v>43</v>
      </c>
      <c r="BS30" s="3">
        <v>0</v>
      </c>
      <c r="BT30" s="3">
        <v>0</v>
      </c>
      <c r="BU30" s="3">
        <v>687592.39015207079</v>
      </c>
      <c r="BV30" s="3">
        <v>0</v>
      </c>
      <c r="BW30" s="3">
        <v>687592.39015207079</v>
      </c>
      <c r="BX30" s="7" t="s">
        <v>115</v>
      </c>
      <c r="BY30" s="2" t="s">
        <v>43</v>
      </c>
      <c r="BZ30" s="3">
        <v>90843.607964846145</v>
      </c>
      <c r="CA30" s="3">
        <v>1557559.9503138745</v>
      </c>
      <c r="CB30" s="3">
        <v>39532.431463997695</v>
      </c>
      <c r="CC30" s="3">
        <v>0</v>
      </c>
      <c r="CD30" s="3">
        <v>1687935.9897427182</v>
      </c>
      <c r="CE30" s="7" t="s">
        <v>115</v>
      </c>
      <c r="CF30" s="2" t="s">
        <v>43</v>
      </c>
      <c r="CG30" s="3">
        <v>13281.688057184376</v>
      </c>
      <c r="CH30" s="3">
        <v>24233.536296090479</v>
      </c>
      <c r="CI30" s="3">
        <v>121621.75127231849</v>
      </c>
      <c r="CJ30" s="3">
        <v>0</v>
      </c>
      <c r="CK30" s="3">
        <v>159136.97562559333</v>
      </c>
      <c r="CL30" s="7" t="s">
        <v>115</v>
      </c>
      <c r="CM30" s="2" t="s">
        <v>43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7" t="s">
        <v>115</v>
      </c>
      <c r="CT30" s="2" t="s">
        <v>43</v>
      </c>
      <c r="CU30" s="3">
        <v>4304.3878090603412</v>
      </c>
      <c r="CV30" s="3">
        <v>266932.50374711648</v>
      </c>
      <c r="CW30" s="3">
        <v>0</v>
      </c>
      <c r="CX30" s="3">
        <v>0</v>
      </c>
      <c r="CY30" s="3">
        <v>271236.89155617682</v>
      </c>
      <c r="CZ30" s="7" t="s">
        <v>115</v>
      </c>
      <c r="DA30" s="2" t="s">
        <v>43</v>
      </c>
      <c r="DB30" s="3">
        <v>52716.696341112649</v>
      </c>
      <c r="DC30" s="3">
        <v>30695.67342006636</v>
      </c>
      <c r="DD30" s="3">
        <v>80.086960574891791</v>
      </c>
      <c r="DE30" s="3">
        <v>0</v>
      </c>
      <c r="DF30" s="3">
        <v>83492.456721753901</v>
      </c>
      <c r="DG30" s="7" t="s">
        <v>115</v>
      </c>
      <c r="DH30" s="2" t="s">
        <v>43</v>
      </c>
      <c r="DI30" s="3">
        <v>1302.8767697910655</v>
      </c>
      <c r="DJ30" s="3">
        <v>0</v>
      </c>
      <c r="DK30" s="3">
        <v>9255.0869202079084</v>
      </c>
      <c r="DL30" s="3">
        <v>0</v>
      </c>
      <c r="DM30" s="3">
        <v>10557.963689998975</v>
      </c>
      <c r="DN30" s="7" t="s">
        <v>115</v>
      </c>
      <c r="DO30" s="2" t="s">
        <v>43</v>
      </c>
      <c r="DP30" s="3">
        <v>24480.575480491123</v>
      </c>
      <c r="DQ30" s="3">
        <v>326677.36932307255</v>
      </c>
      <c r="DR30" s="3">
        <v>285842.69815768843</v>
      </c>
      <c r="DS30" s="3">
        <v>0</v>
      </c>
      <c r="DT30" s="3">
        <v>637000.64296125202</v>
      </c>
      <c r="DU30" s="7" t="s">
        <v>115</v>
      </c>
      <c r="DV30" s="2" t="s">
        <v>43</v>
      </c>
      <c r="DW30" s="3">
        <v>42232.46348260864</v>
      </c>
      <c r="DX30" s="3">
        <v>16462.680103257302</v>
      </c>
      <c r="DY30" s="3">
        <v>3328941.1017133952</v>
      </c>
      <c r="DZ30" s="3">
        <v>0</v>
      </c>
      <c r="EA30" s="3">
        <v>3387636.2452992611</v>
      </c>
      <c r="EB30" s="7" t="s">
        <v>115</v>
      </c>
      <c r="EC30" s="2" t="s">
        <v>43</v>
      </c>
      <c r="ED30" s="3">
        <v>282446.54761944665</v>
      </c>
      <c r="EE30" s="3">
        <v>2226309.3397664232</v>
      </c>
      <c r="EF30" s="3">
        <v>284048.89377546456</v>
      </c>
      <c r="EG30" s="3">
        <v>0</v>
      </c>
      <c r="EH30" s="3">
        <v>2792804.7811613344</v>
      </c>
    </row>
    <row r="31" spans="1:138" ht="10.199999999999999" customHeight="1" x14ac:dyDescent="0.2">
      <c r="A31" s="7" t="s">
        <v>111</v>
      </c>
      <c r="B31" s="2" t="s">
        <v>39</v>
      </c>
      <c r="C31" s="3">
        <f t="shared" si="4"/>
        <v>20637.397891241388</v>
      </c>
      <c r="D31" s="3">
        <f t="shared" si="5"/>
        <v>10987.019325756579</v>
      </c>
      <c r="E31" s="3">
        <f t="shared" si="6"/>
        <v>0</v>
      </c>
      <c r="F31" s="3">
        <f t="shared" si="7"/>
        <v>1300469.7018913578</v>
      </c>
      <c r="G31" s="3">
        <f t="shared" si="8"/>
        <v>873.63652344145453</v>
      </c>
      <c r="H31" s="3">
        <f t="shared" si="9"/>
        <v>0</v>
      </c>
      <c r="I31" s="3">
        <f t="shared" si="10"/>
        <v>13003.039627805507</v>
      </c>
      <c r="J31" s="3">
        <f t="shared" si="11"/>
        <v>1053977.2487639098</v>
      </c>
      <c r="K31" s="3">
        <f t="shared" si="12"/>
        <v>5223595.0316337319</v>
      </c>
      <c r="L31" s="3">
        <f t="shared" si="13"/>
        <v>245075.88963017875</v>
      </c>
      <c r="M31" s="3">
        <f t="shared" si="14"/>
        <v>3322772.1835661614</v>
      </c>
      <c r="N31" s="3">
        <f t="shared" si="15"/>
        <v>915366.20688783564</v>
      </c>
      <c r="O31" s="3">
        <f t="shared" si="16"/>
        <v>12106757.355741421</v>
      </c>
      <c r="P31" s="7" t="s">
        <v>111</v>
      </c>
      <c r="Q31" s="2" t="s">
        <v>39</v>
      </c>
      <c r="R31" s="3">
        <f t="shared" ref="R31:V41" si="28">C31</f>
        <v>20637.397891241388</v>
      </c>
      <c r="S31" s="3">
        <f t="shared" si="28"/>
        <v>10987.019325756579</v>
      </c>
      <c r="T31" s="3">
        <f t="shared" si="28"/>
        <v>0</v>
      </c>
      <c r="U31" s="3">
        <f t="shared" si="28"/>
        <v>1300469.7018913578</v>
      </c>
      <c r="V31" s="3">
        <f t="shared" si="28"/>
        <v>873.63652344145453</v>
      </c>
      <c r="W31" s="3">
        <f t="shared" si="27"/>
        <v>0</v>
      </c>
      <c r="X31" s="3">
        <f t="shared" si="27"/>
        <v>13003.039627805507</v>
      </c>
      <c r="Y31" s="3">
        <f t="shared" si="27"/>
        <v>1053977.2487639098</v>
      </c>
      <c r="Z31" s="3">
        <f t="shared" si="27"/>
        <v>5223595.0316337319</v>
      </c>
      <c r="AA31" s="3">
        <f t="shared" si="27"/>
        <v>245075.88963017875</v>
      </c>
      <c r="AB31" s="3">
        <f t="shared" si="18"/>
        <v>7868618.9652874237</v>
      </c>
      <c r="AC31" s="7" t="s">
        <v>111</v>
      </c>
      <c r="AD31" s="2" t="s">
        <v>39</v>
      </c>
      <c r="AE31" s="3">
        <f t="shared" si="19"/>
        <v>3322772.1835661614</v>
      </c>
      <c r="AF31" s="3">
        <f t="shared" si="19"/>
        <v>915366.20688783564</v>
      </c>
      <c r="AG31" s="3">
        <f t="shared" si="20"/>
        <v>4238138.3904539971</v>
      </c>
      <c r="AH31" s="7" t="s">
        <v>111</v>
      </c>
      <c r="AI31" s="2" t="s">
        <v>39</v>
      </c>
      <c r="AJ31" s="3">
        <f t="shared" si="21"/>
        <v>9157280.822312925</v>
      </c>
      <c r="AK31" s="3">
        <f t="shared" si="21"/>
        <v>2149837.0235225321</v>
      </c>
      <c r="AL31" s="3">
        <f t="shared" si="21"/>
        <v>0</v>
      </c>
      <c r="AM31" s="3">
        <f t="shared" si="21"/>
        <v>799639.5099059632</v>
      </c>
      <c r="AN31" s="3">
        <f t="shared" si="22"/>
        <v>12106757.355741419</v>
      </c>
      <c r="AO31" s="7" t="s">
        <v>111</v>
      </c>
      <c r="AP31" s="2" t="s">
        <v>39</v>
      </c>
      <c r="AQ31" s="3">
        <f t="shared" si="23"/>
        <v>5790891.5753193051</v>
      </c>
      <c r="AR31" s="3">
        <f t="shared" si="23"/>
        <v>2077727.3899681179</v>
      </c>
      <c r="AS31" s="3">
        <f t="shared" si="23"/>
        <v>0</v>
      </c>
      <c r="AT31" s="3">
        <f t="shared" si="23"/>
        <v>0</v>
      </c>
      <c r="AU31" s="3">
        <f t="shared" si="24"/>
        <v>7868618.9652874228</v>
      </c>
      <c r="AV31" s="7" t="s">
        <v>111</v>
      </c>
      <c r="AW31" s="2" t="s">
        <v>39</v>
      </c>
      <c r="AX31" s="3">
        <f t="shared" si="25"/>
        <v>3366389.2469936199</v>
      </c>
      <c r="AY31" s="3">
        <f t="shared" si="25"/>
        <v>72109.633554414017</v>
      </c>
      <c r="AZ31" s="3">
        <f t="shared" si="25"/>
        <v>0</v>
      </c>
      <c r="BA31" s="3">
        <f t="shared" si="25"/>
        <v>799639.5099059632</v>
      </c>
      <c r="BB31" s="3">
        <f t="shared" si="26"/>
        <v>4238138.3904539971</v>
      </c>
      <c r="BC31" s="7" t="s">
        <v>111</v>
      </c>
      <c r="BD31" s="2" t="s">
        <v>39</v>
      </c>
      <c r="BE31" s="3">
        <v>13916.61524606736</v>
      </c>
      <c r="BF31" s="3">
        <v>6720.7826451740257</v>
      </c>
      <c r="BG31" s="3">
        <v>0</v>
      </c>
      <c r="BH31" s="3">
        <v>0</v>
      </c>
      <c r="BI31" s="3">
        <v>20637.397891241388</v>
      </c>
      <c r="BJ31" s="7" t="s">
        <v>111</v>
      </c>
      <c r="BK31" s="2" t="s">
        <v>39</v>
      </c>
      <c r="BL31" s="3">
        <v>10987.019325756579</v>
      </c>
      <c r="BM31" s="3">
        <v>0</v>
      </c>
      <c r="BN31" s="3">
        <v>0</v>
      </c>
      <c r="BO31" s="3">
        <v>0</v>
      </c>
      <c r="BP31" s="3">
        <v>10987.019325756579</v>
      </c>
      <c r="BQ31" s="7" t="s">
        <v>111</v>
      </c>
      <c r="BR31" s="2" t="s">
        <v>39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7" t="s">
        <v>111</v>
      </c>
      <c r="BY31" s="2" t="s">
        <v>39</v>
      </c>
      <c r="BZ31" s="3">
        <v>1281467.5737536841</v>
      </c>
      <c r="CA31" s="3">
        <v>19002.128137673622</v>
      </c>
      <c r="CB31" s="3">
        <v>0</v>
      </c>
      <c r="CC31" s="3">
        <v>0</v>
      </c>
      <c r="CD31" s="3">
        <v>1300469.7018913578</v>
      </c>
      <c r="CE31" s="7" t="s">
        <v>111</v>
      </c>
      <c r="CF31" s="2" t="s">
        <v>39</v>
      </c>
      <c r="CG31" s="3">
        <v>873.63652344145453</v>
      </c>
      <c r="CH31" s="3">
        <v>0</v>
      </c>
      <c r="CI31" s="3">
        <v>0</v>
      </c>
      <c r="CJ31" s="3">
        <v>0</v>
      </c>
      <c r="CK31" s="3">
        <v>873.63652344145453</v>
      </c>
      <c r="CL31" s="7" t="s">
        <v>111</v>
      </c>
      <c r="CM31" s="2" t="s">
        <v>39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7" t="s">
        <v>111</v>
      </c>
      <c r="CT31" s="2" t="s">
        <v>39</v>
      </c>
      <c r="CU31" s="3">
        <v>13003.039627805507</v>
      </c>
      <c r="CV31" s="3">
        <v>0</v>
      </c>
      <c r="CW31" s="3">
        <v>0</v>
      </c>
      <c r="CX31" s="3">
        <v>0</v>
      </c>
      <c r="CY31" s="3">
        <v>13003.039627805507</v>
      </c>
      <c r="CZ31" s="7" t="s">
        <v>111</v>
      </c>
      <c r="DA31" s="2" t="s">
        <v>39</v>
      </c>
      <c r="DB31" s="3">
        <v>3473348.7082751882</v>
      </c>
      <c r="DC31" s="3">
        <v>1750246.3233585439</v>
      </c>
      <c r="DD31" s="3">
        <v>0</v>
      </c>
      <c r="DE31" s="3">
        <v>0</v>
      </c>
      <c r="DF31" s="3">
        <v>5223595.0316337319</v>
      </c>
      <c r="DG31" s="7" t="s">
        <v>111</v>
      </c>
      <c r="DH31" s="2" t="s">
        <v>39</v>
      </c>
      <c r="DI31" s="3">
        <v>760059.08095870481</v>
      </c>
      <c r="DJ31" s="3">
        <v>293918.16780520504</v>
      </c>
      <c r="DK31" s="3">
        <v>0</v>
      </c>
      <c r="DL31" s="3">
        <v>0</v>
      </c>
      <c r="DM31" s="3">
        <v>1053977.2487639098</v>
      </c>
      <c r="DN31" s="7" t="s">
        <v>111</v>
      </c>
      <c r="DO31" s="2" t="s">
        <v>39</v>
      </c>
      <c r="DP31" s="3">
        <v>237235.90160865732</v>
      </c>
      <c r="DQ31" s="3">
        <v>7839.9880215214071</v>
      </c>
      <c r="DR31" s="3">
        <v>0</v>
      </c>
      <c r="DS31" s="3">
        <v>0</v>
      </c>
      <c r="DT31" s="3">
        <v>245075.88963017875</v>
      </c>
      <c r="DU31" s="7" t="s">
        <v>111</v>
      </c>
      <c r="DV31" s="2" t="s">
        <v>39</v>
      </c>
      <c r="DW31" s="3">
        <v>43617.06342745835</v>
      </c>
      <c r="DX31" s="3">
        <v>72109.633554414017</v>
      </c>
      <c r="DY31" s="3">
        <v>0</v>
      </c>
      <c r="DZ31" s="3">
        <v>799639.5099059632</v>
      </c>
      <c r="EA31" s="3">
        <v>915366.20688783564</v>
      </c>
      <c r="EB31" s="7" t="s">
        <v>111</v>
      </c>
      <c r="EC31" s="2" t="s">
        <v>39</v>
      </c>
      <c r="ED31" s="3">
        <v>3322772.1835661614</v>
      </c>
      <c r="EE31" s="3">
        <v>0</v>
      </c>
      <c r="EF31" s="3">
        <v>0</v>
      </c>
      <c r="EG31" s="3">
        <v>0</v>
      </c>
      <c r="EH31" s="3">
        <v>3322772.1835661614</v>
      </c>
    </row>
    <row r="32" spans="1:138" ht="10.199999999999999" customHeight="1" x14ac:dyDescent="0.2">
      <c r="A32" s="7" t="s">
        <v>118</v>
      </c>
      <c r="B32" s="2" t="s">
        <v>46</v>
      </c>
      <c r="C32" s="3">
        <f t="shared" si="4"/>
        <v>5170.5309958213356</v>
      </c>
      <c r="D32" s="3">
        <f t="shared" si="5"/>
        <v>0</v>
      </c>
      <c r="E32" s="3">
        <f t="shared" si="6"/>
        <v>715444.66203755757</v>
      </c>
      <c r="F32" s="3">
        <f t="shared" si="7"/>
        <v>3628.3570134542847</v>
      </c>
      <c r="G32" s="3">
        <f t="shared" si="8"/>
        <v>222.4678292484156</v>
      </c>
      <c r="H32" s="3">
        <f t="shared" si="9"/>
        <v>0</v>
      </c>
      <c r="I32" s="3">
        <f t="shared" si="10"/>
        <v>0</v>
      </c>
      <c r="J32" s="3">
        <f t="shared" si="11"/>
        <v>14091966.949564625</v>
      </c>
      <c r="K32" s="3">
        <f t="shared" si="12"/>
        <v>3610313.1621129923</v>
      </c>
      <c r="L32" s="3">
        <f t="shared" si="13"/>
        <v>215628.19169337803</v>
      </c>
      <c r="M32" s="3">
        <f t="shared" si="14"/>
        <v>0</v>
      </c>
      <c r="N32" s="3">
        <f t="shared" si="15"/>
        <v>3157.0043639948913</v>
      </c>
      <c r="O32" s="3">
        <f t="shared" si="16"/>
        <v>18645531.32561107</v>
      </c>
      <c r="P32" s="7" t="s">
        <v>118</v>
      </c>
      <c r="Q32" s="2" t="s">
        <v>46</v>
      </c>
      <c r="R32" s="3">
        <f t="shared" si="28"/>
        <v>5170.5309958213356</v>
      </c>
      <c r="S32" s="3">
        <f t="shared" si="28"/>
        <v>0</v>
      </c>
      <c r="T32" s="3">
        <f t="shared" si="28"/>
        <v>715444.66203755757</v>
      </c>
      <c r="U32" s="3">
        <f t="shared" si="28"/>
        <v>3628.3570134542847</v>
      </c>
      <c r="V32" s="3">
        <f t="shared" si="28"/>
        <v>222.4678292484156</v>
      </c>
      <c r="W32" s="3">
        <f t="shared" si="27"/>
        <v>0</v>
      </c>
      <c r="X32" s="3">
        <f t="shared" si="27"/>
        <v>0</v>
      </c>
      <c r="Y32" s="3">
        <f t="shared" si="27"/>
        <v>14091966.949564625</v>
      </c>
      <c r="Z32" s="3">
        <f t="shared" si="27"/>
        <v>3610313.1621129923</v>
      </c>
      <c r="AA32" s="3">
        <f t="shared" si="27"/>
        <v>215628.19169337803</v>
      </c>
      <c r="AB32" s="3">
        <f t="shared" si="18"/>
        <v>18642374.321247075</v>
      </c>
      <c r="AC32" s="7" t="s">
        <v>118</v>
      </c>
      <c r="AD32" s="2" t="s">
        <v>46</v>
      </c>
      <c r="AE32" s="3">
        <f t="shared" si="19"/>
        <v>0</v>
      </c>
      <c r="AF32" s="3">
        <f t="shared" si="19"/>
        <v>3157.0043639948913</v>
      </c>
      <c r="AG32" s="3">
        <f t="shared" si="20"/>
        <v>3157.0043639948913</v>
      </c>
      <c r="AH32" s="7" t="s">
        <v>118</v>
      </c>
      <c r="AI32" s="2" t="s">
        <v>46</v>
      </c>
      <c r="AJ32" s="3">
        <f t="shared" si="21"/>
        <v>14177689.281615896</v>
      </c>
      <c r="AK32" s="3">
        <f t="shared" si="21"/>
        <v>142364.52420663793</v>
      </c>
      <c r="AL32" s="3">
        <f t="shared" si="21"/>
        <v>0</v>
      </c>
      <c r="AM32" s="3">
        <f t="shared" si="21"/>
        <v>4325477.5197885381</v>
      </c>
      <c r="AN32" s="3">
        <f t="shared" si="22"/>
        <v>18645531.325611074</v>
      </c>
      <c r="AO32" s="7" t="s">
        <v>118</v>
      </c>
      <c r="AP32" s="2" t="s">
        <v>46</v>
      </c>
      <c r="AQ32" s="3">
        <f t="shared" si="23"/>
        <v>14174534.279425915</v>
      </c>
      <c r="AR32" s="3">
        <f t="shared" si="23"/>
        <v>142362.52203262356</v>
      </c>
      <c r="AS32" s="3">
        <f t="shared" si="23"/>
        <v>0</v>
      </c>
      <c r="AT32" s="3">
        <f t="shared" si="23"/>
        <v>4325477.5197885381</v>
      </c>
      <c r="AU32" s="3">
        <f t="shared" si="24"/>
        <v>18642374.321247078</v>
      </c>
      <c r="AV32" s="7" t="s">
        <v>118</v>
      </c>
      <c r="AW32" s="2" t="s">
        <v>46</v>
      </c>
      <c r="AX32" s="3">
        <f t="shared" si="25"/>
        <v>3155.0021899805188</v>
      </c>
      <c r="AY32" s="3">
        <f t="shared" si="25"/>
        <v>2.002174014372295</v>
      </c>
      <c r="AZ32" s="3">
        <f t="shared" si="25"/>
        <v>0</v>
      </c>
      <c r="BA32" s="3">
        <f t="shared" si="25"/>
        <v>0</v>
      </c>
      <c r="BB32" s="3">
        <f t="shared" si="26"/>
        <v>3157.0043639948913</v>
      </c>
      <c r="BC32" s="7" t="s">
        <v>118</v>
      </c>
      <c r="BD32" s="2" t="s">
        <v>46</v>
      </c>
      <c r="BE32" s="3">
        <v>1327.443895412677</v>
      </c>
      <c r="BF32" s="3">
        <v>3843.0871004086584</v>
      </c>
      <c r="BG32" s="3">
        <v>0</v>
      </c>
      <c r="BH32" s="3">
        <v>0</v>
      </c>
      <c r="BI32" s="3">
        <v>5170.5309958213356</v>
      </c>
      <c r="BJ32" s="7" t="s">
        <v>118</v>
      </c>
      <c r="BK32" s="2" t="s">
        <v>46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7" t="s">
        <v>118</v>
      </c>
      <c r="BR32" s="2" t="s">
        <v>46</v>
      </c>
      <c r="BS32" s="3">
        <v>0</v>
      </c>
      <c r="BT32" s="3">
        <v>0</v>
      </c>
      <c r="BU32" s="3">
        <v>0</v>
      </c>
      <c r="BV32" s="3">
        <v>715444.66203755757</v>
      </c>
      <c r="BW32" s="3">
        <v>715444.66203755757</v>
      </c>
      <c r="BX32" s="7" t="s">
        <v>118</v>
      </c>
      <c r="BY32" s="2" t="s">
        <v>46</v>
      </c>
      <c r="BZ32" s="3">
        <v>3628.3570134542847</v>
      </c>
      <c r="CA32" s="3">
        <v>0</v>
      </c>
      <c r="CB32" s="3">
        <v>0</v>
      </c>
      <c r="CC32" s="3">
        <v>0</v>
      </c>
      <c r="CD32" s="3">
        <v>3628.3570134542847</v>
      </c>
      <c r="CE32" s="7" t="s">
        <v>118</v>
      </c>
      <c r="CF32" s="2" t="s">
        <v>46</v>
      </c>
      <c r="CG32" s="3">
        <v>166.40695684599135</v>
      </c>
      <c r="CH32" s="3">
        <v>56.060872402424252</v>
      </c>
      <c r="CI32" s="3">
        <v>0</v>
      </c>
      <c r="CJ32" s="3">
        <v>0</v>
      </c>
      <c r="CK32" s="3">
        <v>222.4678292484156</v>
      </c>
      <c r="CL32" s="7" t="s">
        <v>118</v>
      </c>
      <c r="CM32" s="2" t="s">
        <v>46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7" t="s">
        <v>118</v>
      </c>
      <c r="CT32" s="2" t="s">
        <v>46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7" t="s">
        <v>118</v>
      </c>
      <c r="DA32" s="2" t="s">
        <v>46</v>
      </c>
      <c r="DB32" s="3">
        <v>0</v>
      </c>
      <c r="DC32" s="3">
        <v>280.30436201212126</v>
      </c>
      <c r="DD32" s="3">
        <v>0</v>
      </c>
      <c r="DE32" s="3">
        <v>3610032.8577509802</v>
      </c>
      <c r="DF32" s="3">
        <v>3610313.1621129923</v>
      </c>
      <c r="DG32" s="7" t="s">
        <v>118</v>
      </c>
      <c r="DH32" s="2" t="s">
        <v>46</v>
      </c>
      <c r="DI32" s="3">
        <v>14091966.949564625</v>
      </c>
      <c r="DJ32" s="3">
        <v>0</v>
      </c>
      <c r="DK32" s="3">
        <v>0</v>
      </c>
      <c r="DL32" s="3">
        <v>0</v>
      </c>
      <c r="DM32" s="3">
        <v>14091966.949564625</v>
      </c>
      <c r="DN32" s="7" t="s">
        <v>118</v>
      </c>
      <c r="DO32" s="2" t="s">
        <v>46</v>
      </c>
      <c r="DP32" s="3">
        <v>77445.121995577676</v>
      </c>
      <c r="DQ32" s="3">
        <v>138183.06969780035</v>
      </c>
      <c r="DR32" s="3">
        <v>0</v>
      </c>
      <c r="DS32" s="3">
        <v>0</v>
      </c>
      <c r="DT32" s="3">
        <v>215628.19169337803</v>
      </c>
      <c r="DU32" s="7" t="s">
        <v>118</v>
      </c>
      <c r="DV32" s="2" t="s">
        <v>46</v>
      </c>
      <c r="DW32" s="3">
        <v>3155.0021899805188</v>
      </c>
      <c r="DX32" s="3">
        <v>2.002174014372295</v>
      </c>
      <c r="DY32" s="3">
        <v>0</v>
      </c>
      <c r="DZ32" s="3">
        <v>0</v>
      </c>
      <c r="EA32" s="3">
        <v>3157.0043639948913</v>
      </c>
      <c r="EB32" s="7" t="s">
        <v>118</v>
      </c>
      <c r="EC32" s="2" t="s">
        <v>46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</row>
    <row r="33" spans="1:138" ht="10.199999999999999" customHeight="1" x14ac:dyDescent="0.2">
      <c r="A33" s="7" t="s">
        <v>124</v>
      </c>
      <c r="B33" s="2" t="s">
        <v>52</v>
      </c>
      <c r="C33" s="3">
        <f t="shared" si="4"/>
        <v>0</v>
      </c>
      <c r="D33" s="3">
        <f t="shared" si="5"/>
        <v>1644.1659282346945</v>
      </c>
      <c r="E33" s="3">
        <f t="shared" si="6"/>
        <v>0</v>
      </c>
      <c r="F33" s="3">
        <f t="shared" si="7"/>
        <v>458705.79134795058</v>
      </c>
      <c r="G33" s="3">
        <f t="shared" si="8"/>
        <v>3403972.8941071052</v>
      </c>
      <c r="H33" s="3">
        <f t="shared" si="9"/>
        <v>15865.863291784985</v>
      </c>
      <c r="I33" s="3">
        <f t="shared" si="10"/>
        <v>15.376696430379225</v>
      </c>
      <c r="J33" s="3">
        <f t="shared" si="11"/>
        <v>80.407308417191373</v>
      </c>
      <c r="K33" s="3">
        <f t="shared" si="12"/>
        <v>0</v>
      </c>
      <c r="L33" s="3">
        <f t="shared" si="13"/>
        <v>2291529.5435722615</v>
      </c>
      <c r="M33" s="3">
        <f t="shared" si="14"/>
        <v>1756969.6307773751</v>
      </c>
      <c r="N33" s="3">
        <f t="shared" si="15"/>
        <v>3709.5444752042317</v>
      </c>
      <c r="O33" s="3">
        <f t="shared" si="16"/>
        <v>7932493.217504764</v>
      </c>
      <c r="P33" s="7" t="s">
        <v>124</v>
      </c>
      <c r="Q33" s="2" t="s">
        <v>52</v>
      </c>
      <c r="R33" s="3">
        <f t="shared" si="28"/>
        <v>0</v>
      </c>
      <c r="S33" s="3">
        <f t="shared" si="28"/>
        <v>1644.1659282346945</v>
      </c>
      <c r="T33" s="3">
        <f t="shared" si="28"/>
        <v>0</v>
      </c>
      <c r="U33" s="3">
        <f t="shared" si="28"/>
        <v>458705.79134795058</v>
      </c>
      <c r="V33" s="3">
        <f t="shared" si="28"/>
        <v>3403972.8941071052</v>
      </c>
      <c r="W33" s="3">
        <f t="shared" si="27"/>
        <v>15865.863291784985</v>
      </c>
      <c r="X33" s="3">
        <f t="shared" si="27"/>
        <v>15.376696430379225</v>
      </c>
      <c r="Y33" s="3">
        <f t="shared" si="27"/>
        <v>80.407308417191373</v>
      </c>
      <c r="Z33" s="3">
        <f t="shared" si="27"/>
        <v>0</v>
      </c>
      <c r="AA33" s="3">
        <f t="shared" si="27"/>
        <v>2291529.5435722615</v>
      </c>
      <c r="AB33" s="3">
        <f t="shared" si="18"/>
        <v>6171814.0422521848</v>
      </c>
      <c r="AC33" s="7" t="s">
        <v>124</v>
      </c>
      <c r="AD33" s="2" t="s">
        <v>52</v>
      </c>
      <c r="AE33" s="3">
        <f t="shared" si="19"/>
        <v>1756969.6307773751</v>
      </c>
      <c r="AF33" s="3">
        <f t="shared" si="19"/>
        <v>3709.5444752042317</v>
      </c>
      <c r="AG33" s="3">
        <f t="shared" si="20"/>
        <v>1760679.1752525794</v>
      </c>
      <c r="AH33" s="7" t="s">
        <v>124</v>
      </c>
      <c r="AI33" s="2" t="s">
        <v>52</v>
      </c>
      <c r="AJ33" s="3">
        <f t="shared" si="21"/>
        <v>5959547.0228426112</v>
      </c>
      <c r="AK33" s="3">
        <f t="shared" si="21"/>
        <v>20468.3410625992</v>
      </c>
      <c r="AL33" s="3">
        <f t="shared" si="21"/>
        <v>68180.558629197287</v>
      </c>
      <c r="AM33" s="3">
        <f t="shared" si="21"/>
        <v>1884297.2949703555</v>
      </c>
      <c r="AN33" s="3">
        <f t="shared" si="22"/>
        <v>7932493.2175047621</v>
      </c>
      <c r="AO33" s="7" t="s">
        <v>124</v>
      </c>
      <c r="AP33" s="2" t="s">
        <v>52</v>
      </c>
      <c r="AQ33" s="3">
        <f t="shared" si="23"/>
        <v>4256934.1323670773</v>
      </c>
      <c r="AR33" s="3">
        <f t="shared" si="23"/>
        <v>290.96507764330744</v>
      </c>
      <c r="AS33" s="3">
        <f t="shared" si="23"/>
        <v>30291.649837107998</v>
      </c>
      <c r="AT33" s="3">
        <f t="shared" si="23"/>
        <v>1884297.2949703555</v>
      </c>
      <c r="AU33" s="3">
        <f t="shared" si="24"/>
        <v>6171814.0422521848</v>
      </c>
      <c r="AV33" s="7" t="s">
        <v>124</v>
      </c>
      <c r="AW33" s="2" t="s">
        <v>52</v>
      </c>
      <c r="AX33" s="3">
        <f t="shared" si="25"/>
        <v>1702612.8904755341</v>
      </c>
      <c r="AY33" s="3">
        <f t="shared" si="25"/>
        <v>20177.375984955892</v>
      </c>
      <c r="AZ33" s="3">
        <f t="shared" si="25"/>
        <v>37888.908792089285</v>
      </c>
      <c r="BA33" s="3">
        <f t="shared" si="25"/>
        <v>0</v>
      </c>
      <c r="BB33" s="3">
        <f t="shared" si="26"/>
        <v>1760679.1752525792</v>
      </c>
      <c r="BC33" s="7" t="s">
        <v>124</v>
      </c>
      <c r="BD33" s="2" t="s">
        <v>52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7" t="s">
        <v>124</v>
      </c>
      <c r="BK33" s="2" t="s">
        <v>52</v>
      </c>
      <c r="BL33" s="3">
        <v>1612.1311440047377</v>
      </c>
      <c r="BM33" s="3">
        <v>0</v>
      </c>
      <c r="BN33" s="3">
        <v>32.03478422995672</v>
      </c>
      <c r="BO33" s="3">
        <v>0</v>
      </c>
      <c r="BP33" s="3">
        <v>1644.1659282346945</v>
      </c>
      <c r="BQ33" s="7" t="s">
        <v>124</v>
      </c>
      <c r="BR33" s="2" t="s">
        <v>52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7" t="s">
        <v>124</v>
      </c>
      <c r="BY33" s="2" t="s">
        <v>52</v>
      </c>
      <c r="BZ33" s="3">
        <v>457016.09395210672</v>
      </c>
      <c r="CA33" s="3">
        <v>0</v>
      </c>
      <c r="CB33" s="3">
        <v>1689.6973958438789</v>
      </c>
      <c r="CC33" s="3">
        <v>0</v>
      </c>
      <c r="CD33" s="3">
        <v>458705.79134795058</v>
      </c>
      <c r="CE33" s="7" t="s">
        <v>124</v>
      </c>
      <c r="CF33" s="2" t="s">
        <v>52</v>
      </c>
      <c r="CG33" s="3">
        <v>1519675.5991367497</v>
      </c>
      <c r="CH33" s="3">
        <v>0</v>
      </c>
      <c r="CI33" s="3">
        <v>0</v>
      </c>
      <c r="CJ33" s="3">
        <v>1884297.2949703555</v>
      </c>
      <c r="CK33" s="3">
        <v>3403972.8941071052</v>
      </c>
      <c r="CL33" s="7" t="s">
        <v>124</v>
      </c>
      <c r="CM33" s="2" t="s">
        <v>52</v>
      </c>
      <c r="CN33" s="3">
        <v>0</v>
      </c>
      <c r="CO33" s="3">
        <v>0</v>
      </c>
      <c r="CP33" s="3">
        <v>15865.863291784985</v>
      </c>
      <c r="CQ33" s="3">
        <v>0</v>
      </c>
      <c r="CR33" s="3">
        <v>15865.863291784985</v>
      </c>
      <c r="CS33" s="7" t="s">
        <v>124</v>
      </c>
      <c r="CT33" s="2" t="s">
        <v>52</v>
      </c>
      <c r="CU33" s="3">
        <v>15.376696430379225</v>
      </c>
      <c r="CV33" s="3">
        <v>0</v>
      </c>
      <c r="CW33" s="3">
        <v>0</v>
      </c>
      <c r="CX33" s="3">
        <v>0</v>
      </c>
      <c r="CY33" s="3">
        <v>15.376696430379225</v>
      </c>
      <c r="CZ33" s="7" t="s">
        <v>124</v>
      </c>
      <c r="DA33" s="2" t="s">
        <v>52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7" t="s">
        <v>124</v>
      </c>
      <c r="DH33" s="2" t="s">
        <v>52</v>
      </c>
      <c r="DI33" s="3">
        <v>70.796873148204355</v>
      </c>
      <c r="DJ33" s="3">
        <v>9.6104352689870147</v>
      </c>
      <c r="DK33" s="3">
        <v>0</v>
      </c>
      <c r="DL33" s="3">
        <v>0</v>
      </c>
      <c r="DM33" s="3">
        <v>80.407308417191373</v>
      </c>
      <c r="DN33" s="7" t="s">
        <v>124</v>
      </c>
      <c r="DO33" s="2" t="s">
        <v>52</v>
      </c>
      <c r="DP33" s="3">
        <v>2278544.1345646377</v>
      </c>
      <c r="DQ33" s="3">
        <v>281.35464237432041</v>
      </c>
      <c r="DR33" s="3">
        <v>12704.054365249176</v>
      </c>
      <c r="DS33" s="3">
        <v>0</v>
      </c>
      <c r="DT33" s="3">
        <v>2291529.5435722615</v>
      </c>
      <c r="DU33" s="7" t="s">
        <v>124</v>
      </c>
      <c r="DV33" s="2" t="s">
        <v>52</v>
      </c>
      <c r="DW33" s="3">
        <v>3698.9672330097083</v>
      </c>
      <c r="DX33" s="3">
        <v>0</v>
      </c>
      <c r="DY33" s="3">
        <v>10.577242194523324</v>
      </c>
      <c r="DZ33" s="3">
        <v>0</v>
      </c>
      <c r="EA33" s="3">
        <v>3709.5444752042317</v>
      </c>
      <c r="EB33" s="7" t="s">
        <v>124</v>
      </c>
      <c r="EC33" s="2" t="s">
        <v>52</v>
      </c>
      <c r="ED33" s="3">
        <v>1698913.9232425245</v>
      </c>
      <c r="EE33" s="3">
        <v>20177.375984955892</v>
      </c>
      <c r="EF33" s="3">
        <v>37878.331549894763</v>
      </c>
      <c r="EG33" s="3">
        <v>0</v>
      </c>
      <c r="EH33" s="3">
        <v>1756969.6307773751</v>
      </c>
    </row>
    <row r="34" spans="1:138" ht="10.199999999999999" customHeight="1" x14ac:dyDescent="0.2">
      <c r="A34" s="7" t="s">
        <v>123</v>
      </c>
      <c r="B34" s="2" t="s">
        <v>51</v>
      </c>
      <c r="C34" s="3">
        <f t="shared" si="4"/>
        <v>0</v>
      </c>
      <c r="D34" s="3">
        <f t="shared" si="5"/>
        <v>5910.3257692718817</v>
      </c>
      <c r="E34" s="3">
        <f t="shared" si="6"/>
        <v>0</v>
      </c>
      <c r="F34" s="3">
        <f t="shared" si="7"/>
        <v>2094.1490957701021</v>
      </c>
      <c r="G34" s="3">
        <f t="shared" si="8"/>
        <v>0</v>
      </c>
      <c r="H34" s="3">
        <f t="shared" si="9"/>
        <v>0</v>
      </c>
      <c r="I34" s="3">
        <f t="shared" si="10"/>
        <v>2115.443199451357</v>
      </c>
      <c r="J34" s="3">
        <f t="shared" si="11"/>
        <v>0</v>
      </c>
      <c r="K34" s="3">
        <f t="shared" si="12"/>
        <v>2212.4981171651998</v>
      </c>
      <c r="L34" s="3">
        <f t="shared" si="13"/>
        <v>40613.458395843205</v>
      </c>
      <c r="M34" s="3">
        <f t="shared" si="14"/>
        <v>655828.88901660696</v>
      </c>
      <c r="N34" s="3">
        <f t="shared" si="15"/>
        <v>10268.796164076579</v>
      </c>
      <c r="O34" s="3">
        <f t="shared" si="16"/>
        <v>719043.55975818529</v>
      </c>
      <c r="P34" s="7" t="s">
        <v>123</v>
      </c>
      <c r="Q34" s="2" t="s">
        <v>51</v>
      </c>
      <c r="R34" s="3">
        <f t="shared" si="28"/>
        <v>0</v>
      </c>
      <c r="S34" s="3">
        <f t="shared" si="28"/>
        <v>5910.3257692718817</v>
      </c>
      <c r="T34" s="3">
        <f t="shared" si="28"/>
        <v>0</v>
      </c>
      <c r="U34" s="3">
        <f t="shared" si="28"/>
        <v>2094.1490957701021</v>
      </c>
      <c r="V34" s="3">
        <f t="shared" si="28"/>
        <v>0</v>
      </c>
      <c r="W34" s="3">
        <f t="shared" si="27"/>
        <v>0</v>
      </c>
      <c r="X34" s="3">
        <f t="shared" si="27"/>
        <v>2115.443199451357</v>
      </c>
      <c r="Y34" s="3">
        <f t="shared" si="27"/>
        <v>0</v>
      </c>
      <c r="Z34" s="3">
        <f t="shared" si="27"/>
        <v>2212.4981171651998</v>
      </c>
      <c r="AA34" s="3">
        <f t="shared" si="27"/>
        <v>40613.458395843205</v>
      </c>
      <c r="AB34" s="3">
        <f t="shared" si="18"/>
        <v>52945.874577501745</v>
      </c>
      <c r="AC34" s="7" t="s">
        <v>123</v>
      </c>
      <c r="AD34" s="2" t="s">
        <v>51</v>
      </c>
      <c r="AE34" s="3">
        <f t="shared" si="19"/>
        <v>655828.88901660696</v>
      </c>
      <c r="AF34" s="3">
        <f t="shared" si="19"/>
        <v>10268.796164076579</v>
      </c>
      <c r="AG34" s="3">
        <f t="shared" si="20"/>
        <v>666097.6851806835</v>
      </c>
      <c r="AH34" s="7" t="s">
        <v>123</v>
      </c>
      <c r="AI34" s="2" t="s">
        <v>51</v>
      </c>
      <c r="AJ34" s="3">
        <f t="shared" si="21"/>
        <v>296375.86411502899</v>
      </c>
      <c r="AK34" s="3">
        <f t="shared" si="21"/>
        <v>422645.27129419532</v>
      </c>
      <c r="AL34" s="3">
        <f t="shared" si="21"/>
        <v>0</v>
      </c>
      <c r="AM34" s="3">
        <f t="shared" si="21"/>
        <v>22.424348960969702</v>
      </c>
      <c r="AN34" s="3">
        <f t="shared" si="22"/>
        <v>719043.55975818529</v>
      </c>
      <c r="AO34" s="7" t="s">
        <v>123</v>
      </c>
      <c r="AP34" s="2" t="s">
        <v>51</v>
      </c>
      <c r="AQ34" s="3">
        <f t="shared" si="23"/>
        <v>11803.775873133245</v>
      </c>
      <c r="AR34" s="3">
        <f t="shared" si="23"/>
        <v>41142.098704368502</v>
      </c>
      <c r="AS34" s="3">
        <f t="shared" si="23"/>
        <v>0</v>
      </c>
      <c r="AT34" s="3">
        <f t="shared" si="23"/>
        <v>0</v>
      </c>
      <c r="AU34" s="3">
        <f t="shared" si="24"/>
        <v>52945.874577501745</v>
      </c>
      <c r="AV34" s="7" t="s">
        <v>123</v>
      </c>
      <c r="AW34" s="2" t="s">
        <v>51</v>
      </c>
      <c r="AX34" s="3">
        <f t="shared" si="25"/>
        <v>284572.08824189572</v>
      </c>
      <c r="AY34" s="3">
        <f t="shared" si="25"/>
        <v>381503.17258982681</v>
      </c>
      <c r="AZ34" s="3">
        <f t="shared" si="25"/>
        <v>0</v>
      </c>
      <c r="BA34" s="3">
        <f t="shared" si="25"/>
        <v>22.424348960969702</v>
      </c>
      <c r="BB34" s="3">
        <f t="shared" si="26"/>
        <v>666097.6851806835</v>
      </c>
      <c r="BC34" s="7" t="s">
        <v>123</v>
      </c>
      <c r="BD34" s="2" t="s">
        <v>51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7" t="s">
        <v>123</v>
      </c>
      <c r="BK34" s="2" t="s">
        <v>51</v>
      </c>
      <c r="BL34" s="3">
        <v>3147.928683889214</v>
      </c>
      <c r="BM34" s="3">
        <v>2762.3970853826677</v>
      </c>
      <c r="BN34" s="3">
        <v>0</v>
      </c>
      <c r="BO34" s="3">
        <v>0</v>
      </c>
      <c r="BP34" s="3">
        <v>5910.3257692718817</v>
      </c>
      <c r="BQ34" s="7" t="s">
        <v>123</v>
      </c>
      <c r="BR34" s="2" t="s">
        <v>51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7" t="s">
        <v>123</v>
      </c>
      <c r="BY34" s="2" t="s">
        <v>51</v>
      </c>
      <c r="BZ34" s="3">
        <v>26.909218753163643</v>
      </c>
      <c r="CA34" s="3">
        <v>2067.2398770169384</v>
      </c>
      <c r="CB34" s="3">
        <v>0</v>
      </c>
      <c r="CC34" s="3">
        <v>0</v>
      </c>
      <c r="CD34" s="3">
        <v>2094.1490957701021</v>
      </c>
      <c r="CE34" s="7" t="s">
        <v>123</v>
      </c>
      <c r="CF34" s="2" t="s">
        <v>51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7" t="s">
        <v>123</v>
      </c>
      <c r="CM34" s="2" t="s">
        <v>51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7" t="s">
        <v>123</v>
      </c>
      <c r="CT34" s="2" t="s">
        <v>51</v>
      </c>
      <c r="CU34" s="3">
        <v>2115.443199451357</v>
      </c>
      <c r="CV34" s="3">
        <v>0</v>
      </c>
      <c r="CW34" s="3">
        <v>0</v>
      </c>
      <c r="CX34" s="3">
        <v>0</v>
      </c>
      <c r="CY34" s="3">
        <v>2115.443199451357</v>
      </c>
      <c r="CZ34" s="7" t="s">
        <v>123</v>
      </c>
      <c r="DA34" s="2" t="s">
        <v>51</v>
      </c>
      <c r="DB34" s="3">
        <v>2212.4981171651998</v>
      </c>
      <c r="DC34" s="3">
        <v>0</v>
      </c>
      <c r="DD34" s="3">
        <v>0</v>
      </c>
      <c r="DE34" s="3">
        <v>0</v>
      </c>
      <c r="DF34" s="3">
        <v>2212.4981171651998</v>
      </c>
      <c r="DG34" s="7" t="s">
        <v>123</v>
      </c>
      <c r="DH34" s="2" t="s">
        <v>51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7" t="s">
        <v>123</v>
      </c>
      <c r="DO34" s="2" t="s">
        <v>51</v>
      </c>
      <c r="DP34" s="3">
        <v>4300.9966538743101</v>
      </c>
      <c r="DQ34" s="3">
        <v>36312.461741968895</v>
      </c>
      <c r="DR34" s="3">
        <v>0</v>
      </c>
      <c r="DS34" s="3">
        <v>0</v>
      </c>
      <c r="DT34" s="3">
        <v>40613.458395843205</v>
      </c>
      <c r="DU34" s="7" t="s">
        <v>123</v>
      </c>
      <c r="DV34" s="2" t="s">
        <v>51</v>
      </c>
      <c r="DW34" s="3">
        <v>0</v>
      </c>
      <c r="DX34" s="3">
        <v>10268.796164076579</v>
      </c>
      <c r="DY34" s="3">
        <v>0</v>
      </c>
      <c r="DZ34" s="3">
        <v>0</v>
      </c>
      <c r="EA34" s="3">
        <v>10268.796164076579</v>
      </c>
      <c r="EB34" s="7" t="s">
        <v>123</v>
      </c>
      <c r="EC34" s="2" t="s">
        <v>51</v>
      </c>
      <c r="ED34" s="3">
        <v>284572.08824189572</v>
      </c>
      <c r="EE34" s="3">
        <v>371234.3764257502</v>
      </c>
      <c r="EF34" s="3">
        <v>0</v>
      </c>
      <c r="EG34" s="3">
        <v>22.424348960969702</v>
      </c>
      <c r="EH34" s="3">
        <v>655828.88901660696</v>
      </c>
    </row>
    <row r="35" spans="1:138" ht="10.199999999999999" customHeight="1" x14ac:dyDescent="0.2">
      <c r="A35" s="7" t="s">
        <v>126</v>
      </c>
      <c r="B35" s="2" t="s">
        <v>54</v>
      </c>
      <c r="C35" s="3">
        <f t="shared" si="4"/>
        <v>0</v>
      </c>
      <c r="D35" s="3">
        <f t="shared" si="5"/>
        <v>0</v>
      </c>
      <c r="E35" s="3">
        <f t="shared" si="6"/>
        <v>0</v>
      </c>
      <c r="F35" s="3">
        <f t="shared" si="7"/>
        <v>21803.563831334137</v>
      </c>
      <c r="G35" s="3">
        <f t="shared" si="8"/>
        <v>0</v>
      </c>
      <c r="H35" s="3">
        <f t="shared" si="9"/>
        <v>0</v>
      </c>
      <c r="I35" s="3">
        <f t="shared" si="10"/>
        <v>99.615870304917749</v>
      </c>
      <c r="J35" s="3">
        <f t="shared" si="11"/>
        <v>0</v>
      </c>
      <c r="K35" s="3">
        <f t="shared" si="12"/>
        <v>0</v>
      </c>
      <c r="L35" s="3">
        <f t="shared" si="13"/>
        <v>197.0639576383827</v>
      </c>
      <c r="M35" s="3">
        <f t="shared" si="14"/>
        <v>0</v>
      </c>
      <c r="N35" s="3">
        <f t="shared" si="15"/>
        <v>0</v>
      </c>
      <c r="O35" s="3">
        <f t="shared" si="16"/>
        <v>22100.243659277439</v>
      </c>
      <c r="P35" s="7" t="s">
        <v>126</v>
      </c>
      <c r="Q35" s="2" t="s">
        <v>54</v>
      </c>
      <c r="R35" s="3">
        <f t="shared" si="28"/>
        <v>0</v>
      </c>
      <c r="S35" s="3">
        <f t="shared" si="28"/>
        <v>0</v>
      </c>
      <c r="T35" s="3">
        <f t="shared" si="28"/>
        <v>0</v>
      </c>
      <c r="U35" s="3">
        <f t="shared" si="28"/>
        <v>21803.563831334137</v>
      </c>
      <c r="V35" s="3">
        <f t="shared" si="28"/>
        <v>0</v>
      </c>
      <c r="W35" s="3">
        <f t="shared" si="27"/>
        <v>0</v>
      </c>
      <c r="X35" s="3">
        <f t="shared" si="27"/>
        <v>99.615870304917749</v>
      </c>
      <c r="Y35" s="3">
        <f t="shared" si="27"/>
        <v>0</v>
      </c>
      <c r="Z35" s="3">
        <f t="shared" si="27"/>
        <v>0</v>
      </c>
      <c r="AA35" s="3">
        <f t="shared" si="27"/>
        <v>197.0639576383827</v>
      </c>
      <c r="AB35" s="3">
        <f t="shared" si="18"/>
        <v>22100.243659277439</v>
      </c>
      <c r="AC35" s="7" t="s">
        <v>126</v>
      </c>
      <c r="AD35" s="2" t="s">
        <v>54</v>
      </c>
      <c r="AE35" s="3">
        <f t="shared" si="19"/>
        <v>0</v>
      </c>
      <c r="AF35" s="3">
        <f t="shared" si="19"/>
        <v>0</v>
      </c>
      <c r="AG35" s="3">
        <f t="shared" si="20"/>
        <v>0</v>
      </c>
      <c r="AH35" s="7" t="s">
        <v>126</v>
      </c>
      <c r="AI35" s="2" t="s">
        <v>54</v>
      </c>
      <c r="AJ35" s="3">
        <f t="shared" si="21"/>
        <v>22011.839963453007</v>
      </c>
      <c r="AK35" s="3">
        <f t="shared" si="21"/>
        <v>88.403695824432901</v>
      </c>
      <c r="AL35" s="3">
        <f t="shared" si="21"/>
        <v>0</v>
      </c>
      <c r="AM35" s="3">
        <f t="shared" si="21"/>
        <v>0</v>
      </c>
      <c r="AN35" s="3">
        <f t="shared" si="22"/>
        <v>22100.243659277439</v>
      </c>
      <c r="AO35" s="7" t="s">
        <v>126</v>
      </c>
      <c r="AP35" s="2" t="s">
        <v>54</v>
      </c>
      <c r="AQ35" s="3">
        <f t="shared" si="23"/>
        <v>22011.839963453007</v>
      </c>
      <c r="AR35" s="3">
        <f t="shared" si="23"/>
        <v>88.403695824432901</v>
      </c>
      <c r="AS35" s="3">
        <f t="shared" si="23"/>
        <v>0</v>
      </c>
      <c r="AT35" s="3">
        <f t="shared" si="23"/>
        <v>0</v>
      </c>
      <c r="AU35" s="3">
        <f t="shared" si="24"/>
        <v>22100.243659277439</v>
      </c>
      <c r="AV35" s="7" t="s">
        <v>126</v>
      </c>
      <c r="AW35" s="2" t="s">
        <v>54</v>
      </c>
      <c r="AX35" s="3">
        <f t="shared" si="25"/>
        <v>0</v>
      </c>
      <c r="AY35" s="3">
        <f t="shared" si="25"/>
        <v>0</v>
      </c>
      <c r="AZ35" s="3">
        <f t="shared" si="25"/>
        <v>0</v>
      </c>
      <c r="BA35" s="3">
        <f t="shared" si="25"/>
        <v>0</v>
      </c>
      <c r="BB35" s="3">
        <f t="shared" si="26"/>
        <v>0</v>
      </c>
      <c r="BC35" s="7" t="s">
        <v>126</v>
      </c>
      <c r="BD35" s="2" t="s">
        <v>54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7" t="s">
        <v>126</v>
      </c>
      <c r="BK35" s="2" t="s">
        <v>54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7" t="s">
        <v>126</v>
      </c>
      <c r="BR35" s="2" t="s">
        <v>54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7" t="s">
        <v>126</v>
      </c>
      <c r="BY35" s="2" t="s">
        <v>54</v>
      </c>
      <c r="BZ35" s="3">
        <v>21803.563831334137</v>
      </c>
      <c r="CA35" s="3">
        <v>0</v>
      </c>
      <c r="CB35" s="3">
        <v>0</v>
      </c>
      <c r="CC35" s="3">
        <v>0</v>
      </c>
      <c r="CD35" s="3">
        <v>21803.563831334137</v>
      </c>
      <c r="CE35" s="7" t="s">
        <v>126</v>
      </c>
      <c r="CF35" s="2" t="s">
        <v>54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7" t="s">
        <v>126</v>
      </c>
      <c r="CM35" s="2" t="s">
        <v>54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7" t="s">
        <v>126</v>
      </c>
      <c r="CT35" s="2" t="s">
        <v>54</v>
      </c>
      <c r="CU35" s="3">
        <v>11.212174480484851</v>
      </c>
      <c r="CV35" s="3">
        <v>88.403695824432901</v>
      </c>
      <c r="CW35" s="3">
        <v>0</v>
      </c>
      <c r="CX35" s="3">
        <v>0</v>
      </c>
      <c r="CY35" s="3">
        <v>99.615870304917749</v>
      </c>
      <c r="CZ35" s="7" t="s">
        <v>126</v>
      </c>
      <c r="DA35" s="2" t="s">
        <v>54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7" t="s">
        <v>126</v>
      </c>
      <c r="DH35" s="2" t="s">
        <v>54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7" t="s">
        <v>126</v>
      </c>
      <c r="DO35" s="2" t="s">
        <v>54</v>
      </c>
      <c r="DP35" s="3">
        <v>197.0639576383827</v>
      </c>
      <c r="DQ35" s="3">
        <v>0</v>
      </c>
      <c r="DR35" s="3">
        <v>0</v>
      </c>
      <c r="DS35" s="3">
        <v>0</v>
      </c>
      <c r="DT35" s="3">
        <v>197.0639576383827</v>
      </c>
      <c r="DU35" s="7" t="s">
        <v>126</v>
      </c>
      <c r="DV35" s="2" t="s">
        <v>54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7" t="s">
        <v>126</v>
      </c>
      <c r="EC35" s="2" t="s">
        <v>54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</row>
    <row r="36" spans="1:138" ht="10.199999999999999" customHeight="1" x14ac:dyDescent="0.2">
      <c r="A36" s="7" t="s">
        <v>129</v>
      </c>
      <c r="B36" s="2" t="s">
        <v>57</v>
      </c>
      <c r="C36" s="3">
        <f t="shared" si="4"/>
        <v>9827.3167274594325</v>
      </c>
      <c r="D36" s="3">
        <f t="shared" si="5"/>
        <v>1400267.7801301302</v>
      </c>
      <c r="E36" s="3">
        <f t="shared" si="6"/>
        <v>12968210.947669316</v>
      </c>
      <c r="F36" s="3">
        <f t="shared" si="7"/>
        <v>93723.918148405064</v>
      </c>
      <c r="G36" s="3">
        <f t="shared" si="8"/>
        <v>287187.76306050166</v>
      </c>
      <c r="H36" s="3">
        <f t="shared" si="9"/>
        <v>0</v>
      </c>
      <c r="I36" s="3">
        <f t="shared" si="10"/>
        <v>17583.932280319961</v>
      </c>
      <c r="J36" s="3">
        <f t="shared" si="11"/>
        <v>18638.289916464779</v>
      </c>
      <c r="K36" s="3">
        <f t="shared" si="12"/>
        <v>3707945.0718112742</v>
      </c>
      <c r="L36" s="3">
        <f t="shared" si="13"/>
        <v>49082.284951511981</v>
      </c>
      <c r="M36" s="3">
        <f t="shared" si="14"/>
        <v>25411274.712963149</v>
      </c>
      <c r="N36" s="3">
        <f t="shared" si="15"/>
        <v>22769493.184059959</v>
      </c>
      <c r="O36" s="3">
        <f t="shared" si="16"/>
        <v>66733235.201718494</v>
      </c>
      <c r="P36" s="7" t="s">
        <v>129</v>
      </c>
      <c r="Q36" s="2" t="s">
        <v>57</v>
      </c>
      <c r="R36" s="3">
        <f t="shared" si="28"/>
        <v>9827.3167274594325</v>
      </c>
      <c r="S36" s="3">
        <f t="shared" si="28"/>
        <v>1400267.7801301302</v>
      </c>
      <c r="T36" s="3">
        <f t="shared" si="28"/>
        <v>12968210.947669316</v>
      </c>
      <c r="U36" s="3">
        <f t="shared" si="28"/>
        <v>93723.918148405064</v>
      </c>
      <c r="V36" s="3">
        <f t="shared" si="28"/>
        <v>287187.76306050166</v>
      </c>
      <c r="W36" s="3">
        <f t="shared" si="27"/>
        <v>0</v>
      </c>
      <c r="X36" s="3">
        <f t="shared" si="27"/>
        <v>17583.932280319961</v>
      </c>
      <c r="Y36" s="3">
        <f t="shared" si="27"/>
        <v>18638.289916464779</v>
      </c>
      <c r="Z36" s="3">
        <f t="shared" si="27"/>
        <v>3707945.0718112742</v>
      </c>
      <c r="AA36" s="3">
        <f t="shared" si="27"/>
        <v>49082.284951511981</v>
      </c>
      <c r="AB36" s="3">
        <f t="shared" si="18"/>
        <v>18552467.304695383</v>
      </c>
      <c r="AC36" s="7" t="s">
        <v>129</v>
      </c>
      <c r="AD36" s="2" t="s">
        <v>57</v>
      </c>
      <c r="AE36" s="3">
        <f t="shared" si="19"/>
        <v>25411274.712963149</v>
      </c>
      <c r="AF36" s="3">
        <f t="shared" si="19"/>
        <v>22769493.184059959</v>
      </c>
      <c r="AG36" s="3">
        <f t="shared" si="20"/>
        <v>48180767.897023112</v>
      </c>
      <c r="AH36" s="7" t="s">
        <v>129</v>
      </c>
      <c r="AI36" s="2" t="s">
        <v>57</v>
      </c>
      <c r="AJ36" s="3">
        <f t="shared" si="21"/>
        <v>41054023.471939906</v>
      </c>
      <c r="AK36" s="3">
        <f t="shared" si="21"/>
        <v>886339.62435891689</v>
      </c>
      <c r="AL36" s="3">
        <f t="shared" si="21"/>
        <v>2968234.8054124117</v>
      </c>
      <c r="AM36" s="3">
        <f t="shared" si="21"/>
        <v>21824637.300007254</v>
      </c>
      <c r="AN36" s="3">
        <f t="shared" si="22"/>
        <v>66733235.201718487</v>
      </c>
      <c r="AO36" s="7" t="s">
        <v>129</v>
      </c>
      <c r="AP36" s="2" t="s">
        <v>57</v>
      </c>
      <c r="AQ36" s="3">
        <f t="shared" si="23"/>
        <v>3686310.3338754345</v>
      </c>
      <c r="AR36" s="3">
        <f t="shared" si="23"/>
        <v>475064.05935299024</v>
      </c>
      <c r="AS36" s="3">
        <f t="shared" si="23"/>
        <v>110758.22464101891</v>
      </c>
      <c r="AT36" s="3">
        <f t="shared" si="23"/>
        <v>14280334.686825939</v>
      </c>
      <c r="AU36" s="3">
        <f t="shared" si="24"/>
        <v>18552467.304695383</v>
      </c>
      <c r="AV36" s="7" t="s">
        <v>129</v>
      </c>
      <c r="AW36" s="2" t="s">
        <v>57</v>
      </c>
      <c r="AX36" s="3">
        <f t="shared" si="25"/>
        <v>37367713.138064474</v>
      </c>
      <c r="AY36" s="3">
        <f t="shared" si="25"/>
        <v>411275.56500592659</v>
      </c>
      <c r="AZ36" s="3">
        <f t="shared" si="25"/>
        <v>2857476.5807713927</v>
      </c>
      <c r="BA36" s="3">
        <f t="shared" si="25"/>
        <v>7544302.6131813172</v>
      </c>
      <c r="BB36" s="3">
        <f t="shared" si="26"/>
        <v>48180767.897023112</v>
      </c>
      <c r="BC36" s="7" t="s">
        <v>129</v>
      </c>
      <c r="BD36" s="2" t="s">
        <v>57</v>
      </c>
      <c r="BE36" s="3">
        <v>8041.8782450238959</v>
      </c>
      <c r="BF36" s="3">
        <v>1785.438482435537</v>
      </c>
      <c r="BG36" s="3">
        <v>0</v>
      </c>
      <c r="BH36" s="3">
        <v>0</v>
      </c>
      <c r="BI36" s="3">
        <v>9827.3167274594325</v>
      </c>
      <c r="BJ36" s="7" t="s">
        <v>129</v>
      </c>
      <c r="BK36" s="2" t="s">
        <v>57</v>
      </c>
      <c r="BL36" s="3">
        <v>2354.0663206611553</v>
      </c>
      <c r="BM36" s="3">
        <v>0</v>
      </c>
      <c r="BN36" s="3">
        <v>22872.228521437235</v>
      </c>
      <c r="BO36" s="3">
        <v>1375041.4852880319</v>
      </c>
      <c r="BP36" s="3">
        <v>1400267.7801301302</v>
      </c>
      <c r="BQ36" s="7" t="s">
        <v>129</v>
      </c>
      <c r="BR36" s="2" t="s">
        <v>57</v>
      </c>
      <c r="BS36" s="3">
        <v>0</v>
      </c>
      <c r="BT36" s="3">
        <v>41601.739211497836</v>
      </c>
      <c r="BU36" s="3">
        <v>21316.006919910251</v>
      </c>
      <c r="BV36" s="3">
        <v>12905293.201537907</v>
      </c>
      <c r="BW36" s="3">
        <v>12968210.947669316</v>
      </c>
      <c r="BX36" s="7" t="s">
        <v>129</v>
      </c>
      <c r="BY36" s="2" t="s">
        <v>57</v>
      </c>
      <c r="BZ36" s="3">
        <v>38595.331830549498</v>
      </c>
      <c r="CA36" s="3">
        <v>2242.3753452389446</v>
      </c>
      <c r="CB36" s="3">
        <v>52886.210972616616</v>
      </c>
      <c r="CC36" s="3">
        <v>0</v>
      </c>
      <c r="CD36" s="3">
        <v>93723.918148405064</v>
      </c>
      <c r="CE36" s="7" t="s">
        <v>129</v>
      </c>
      <c r="CF36" s="2" t="s">
        <v>57</v>
      </c>
      <c r="CG36" s="3">
        <v>135683.39163528787</v>
      </c>
      <c r="CH36" s="3">
        <v>151430.33072985211</v>
      </c>
      <c r="CI36" s="3">
        <v>74.040695361663268</v>
      </c>
      <c r="CJ36" s="3">
        <v>0</v>
      </c>
      <c r="CK36" s="3">
        <v>287187.76306050166</v>
      </c>
      <c r="CL36" s="7" t="s">
        <v>129</v>
      </c>
      <c r="CM36" s="2" t="s">
        <v>57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7" t="s">
        <v>129</v>
      </c>
      <c r="CT36" s="2" t="s">
        <v>57</v>
      </c>
      <c r="CU36" s="3">
        <v>13850.165785653227</v>
      </c>
      <c r="CV36" s="3">
        <v>3733.7664946667333</v>
      </c>
      <c r="CW36" s="3">
        <v>0</v>
      </c>
      <c r="CX36" s="3">
        <v>0</v>
      </c>
      <c r="CY36" s="3">
        <v>17583.932280319961</v>
      </c>
      <c r="CZ36" s="7" t="s">
        <v>129</v>
      </c>
      <c r="DA36" s="2" t="s">
        <v>57</v>
      </c>
      <c r="DB36" s="3">
        <v>3436790.7182724816</v>
      </c>
      <c r="DC36" s="3">
        <v>271154.35353879252</v>
      </c>
      <c r="DD36" s="3">
        <v>0</v>
      </c>
      <c r="DE36" s="3">
        <v>0</v>
      </c>
      <c r="DF36" s="3">
        <v>3707945.0718112742</v>
      </c>
      <c r="DG36" s="7" t="s">
        <v>129</v>
      </c>
      <c r="DH36" s="2" t="s">
        <v>57</v>
      </c>
      <c r="DI36" s="3">
        <v>3512.8335782964259</v>
      </c>
      <c r="DJ36" s="3">
        <v>2242.3753452389446</v>
      </c>
      <c r="DK36" s="3">
        <v>12883.080992929408</v>
      </c>
      <c r="DL36" s="3">
        <v>0</v>
      </c>
      <c r="DM36" s="3">
        <v>18638.289916464779</v>
      </c>
      <c r="DN36" s="7" t="s">
        <v>129</v>
      </c>
      <c r="DO36" s="2" t="s">
        <v>57</v>
      </c>
      <c r="DP36" s="3">
        <v>47481.9482074806</v>
      </c>
      <c r="DQ36" s="3">
        <v>873.68020526762655</v>
      </c>
      <c r="DR36" s="3">
        <v>726.65653876375234</v>
      </c>
      <c r="DS36" s="3">
        <v>0</v>
      </c>
      <c r="DT36" s="3">
        <v>49082.284951511981</v>
      </c>
      <c r="DU36" s="7" t="s">
        <v>129</v>
      </c>
      <c r="DV36" s="2" t="s">
        <v>57</v>
      </c>
      <c r="DW36" s="3">
        <v>11972494.678752609</v>
      </c>
      <c r="DX36" s="3">
        <v>395219.31135464017</v>
      </c>
      <c r="DY36" s="3">
        <v>2857476.5807713927</v>
      </c>
      <c r="DZ36" s="3">
        <v>7544302.6131813172</v>
      </c>
      <c r="EA36" s="3">
        <v>22769493.184059959</v>
      </c>
      <c r="EB36" s="7" t="s">
        <v>129</v>
      </c>
      <c r="EC36" s="2" t="s">
        <v>57</v>
      </c>
      <c r="ED36" s="3">
        <v>25395218.459311862</v>
      </c>
      <c r="EE36" s="3">
        <v>16056.253651286404</v>
      </c>
      <c r="EF36" s="3">
        <v>0</v>
      </c>
      <c r="EG36" s="3">
        <v>0</v>
      </c>
      <c r="EH36" s="3">
        <v>25411274.712963149</v>
      </c>
    </row>
    <row r="37" spans="1:138" ht="10.199999999999999" customHeight="1" x14ac:dyDescent="0.2">
      <c r="A37" s="7" t="s">
        <v>128</v>
      </c>
      <c r="B37" s="2" t="s">
        <v>56</v>
      </c>
      <c r="C37" s="3">
        <f t="shared" si="4"/>
        <v>1297.1298812119517</v>
      </c>
      <c r="D37" s="3">
        <f t="shared" si="5"/>
        <v>3033.1788950029954</v>
      </c>
      <c r="E37" s="3">
        <f t="shared" si="6"/>
        <v>713.68000372890049</v>
      </c>
      <c r="F37" s="3">
        <f t="shared" si="7"/>
        <v>652052.93594033411</v>
      </c>
      <c r="G37" s="3">
        <f t="shared" si="8"/>
        <v>1232.7057569913579</v>
      </c>
      <c r="H37" s="3">
        <f t="shared" si="9"/>
        <v>384588.52619286801</v>
      </c>
      <c r="I37" s="3">
        <f t="shared" si="10"/>
        <v>953374.25836651691</v>
      </c>
      <c r="J37" s="3">
        <f t="shared" si="11"/>
        <v>2644.4814117739643</v>
      </c>
      <c r="K37" s="3">
        <f t="shared" si="12"/>
        <v>19132015.157605916</v>
      </c>
      <c r="L37" s="3">
        <f t="shared" si="13"/>
        <v>3901502.0420814329</v>
      </c>
      <c r="M37" s="3">
        <f t="shared" si="14"/>
        <v>2139700.1813435084</v>
      </c>
      <c r="N37" s="3">
        <f t="shared" si="15"/>
        <v>24404310.817791913</v>
      </c>
      <c r="O37" s="3">
        <f t="shared" si="16"/>
        <v>51576465.0952712</v>
      </c>
      <c r="P37" s="7" t="s">
        <v>128</v>
      </c>
      <c r="Q37" s="2" t="s">
        <v>56</v>
      </c>
      <c r="R37" s="3">
        <f t="shared" si="28"/>
        <v>1297.1298812119517</v>
      </c>
      <c r="S37" s="3">
        <f t="shared" si="28"/>
        <v>3033.1788950029954</v>
      </c>
      <c r="T37" s="3">
        <f t="shared" si="28"/>
        <v>713.68000372890049</v>
      </c>
      <c r="U37" s="3">
        <f t="shared" si="28"/>
        <v>652052.93594033411</v>
      </c>
      <c r="V37" s="3">
        <f t="shared" si="28"/>
        <v>1232.7057569913579</v>
      </c>
      <c r="W37" s="3">
        <f t="shared" si="27"/>
        <v>384588.52619286801</v>
      </c>
      <c r="X37" s="3">
        <f t="shared" si="27"/>
        <v>953374.25836651691</v>
      </c>
      <c r="Y37" s="3">
        <f t="shared" si="27"/>
        <v>2644.4814117739643</v>
      </c>
      <c r="Z37" s="3">
        <f t="shared" si="27"/>
        <v>19132015.157605916</v>
      </c>
      <c r="AA37" s="3">
        <f t="shared" si="27"/>
        <v>3901502.0420814329</v>
      </c>
      <c r="AB37" s="3">
        <f t="shared" si="18"/>
        <v>25032454.09613578</v>
      </c>
      <c r="AC37" s="7" t="s">
        <v>128</v>
      </c>
      <c r="AD37" s="2" t="s">
        <v>56</v>
      </c>
      <c r="AE37" s="3">
        <f t="shared" si="19"/>
        <v>2139700.1813435084</v>
      </c>
      <c r="AF37" s="3">
        <f t="shared" si="19"/>
        <v>24404310.817791913</v>
      </c>
      <c r="AG37" s="3">
        <f t="shared" si="20"/>
        <v>26544010.99913542</v>
      </c>
      <c r="AH37" s="7" t="s">
        <v>128</v>
      </c>
      <c r="AI37" s="2" t="s">
        <v>56</v>
      </c>
      <c r="AJ37" s="3">
        <f t="shared" si="21"/>
        <v>2063844.9869049632</v>
      </c>
      <c r="AK37" s="3">
        <f t="shared" si="21"/>
        <v>18689844.24930805</v>
      </c>
      <c r="AL37" s="3">
        <f t="shared" si="21"/>
        <v>30438187.332865316</v>
      </c>
      <c r="AM37" s="3">
        <f t="shared" si="21"/>
        <v>384588.52619286801</v>
      </c>
      <c r="AN37" s="3">
        <f t="shared" si="22"/>
        <v>51576465.095271192</v>
      </c>
      <c r="AO37" s="7" t="s">
        <v>128</v>
      </c>
      <c r="AP37" s="2" t="s">
        <v>56</v>
      </c>
      <c r="AQ37" s="3">
        <f t="shared" si="23"/>
        <v>1239213.089395033</v>
      </c>
      <c r="AR37" s="3">
        <f t="shared" si="23"/>
        <v>17160588.347738426</v>
      </c>
      <c r="AS37" s="3">
        <f t="shared" si="23"/>
        <v>6248064.1328094527</v>
      </c>
      <c r="AT37" s="3">
        <f t="shared" si="23"/>
        <v>384588.52619286801</v>
      </c>
      <c r="AU37" s="3">
        <f t="shared" si="24"/>
        <v>25032454.096135776</v>
      </c>
      <c r="AV37" s="7" t="s">
        <v>128</v>
      </c>
      <c r="AW37" s="2" t="s">
        <v>56</v>
      </c>
      <c r="AX37" s="3">
        <f t="shared" si="25"/>
        <v>824631.89750993019</v>
      </c>
      <c r="AY37" s="3">
        <f t="shared" si="25"/>
        <v>1529255.9015696254</v>
      </c>
      <c r="AZ37" s="3">
        <f t="shared" si="25"/>
        <v>24190123.200055864</v>
      </c>
      <c r="BA37" s="3">
        <f t="shared" si="25"/>
        <v>0</v>
      </c>
      <c r="BB37" s="3">
        <f t="shared" si="26"/>
        <v>26544010.99913542</v>
      </c>
      <c r="BC37" s="7" t="s">
        <v>128</v>
      </c>
      <c r="BD37" s="2" t="s">
        <v>56</v>
      </c>
      <c r="BE37" s="3">
        <v>1297.1298812119517</v>
      </c>
      <c r="BF37" s="3">
        <v>0</v>
      </c>
      <c r="BG37" s="3">
        <v>0</v>
      </c>
      <c r="BH37" s="3">
        <v>0</v>
      </c>
      <c r="BI37" s="3">
        <v>1297.1298812119517</v>
      </c>
      <c r="BJ37" s="7" t="s">
        <v>128</v>
      </c>
      <c r="BK37" s="2" t="s">
        <v>56</v>
      </c>
      <c r="BL37" s="3">
        <v>3033.1788950029954</v>
      </c>
      <c r="BM37" s="3">
        <v>0</v>
      </c>
      <c r="BN37" s="3">
        <v>0</v>
      </c>
      <c r="BO37" s="3">
        <v>0</v>
      </c>
      <c r="BP37" s="3">
        <v>3033.1788950029954</v>
      </c>
      <c r="BQ37" s="7" t="s">
        <v>128</v>
      </c>
      <c r="BR37" s="2" t="s">
        <v>56</v>
      </c>
      <c r="BS37" s="3">
        <v>713.68000372890049</v>
      </c>
      <c r="BT37" s="3">
        <v>0</v>
      </c>
      <c r="BU37" s="3">
        <v>0</v>
      </c>
      <c r="BV37" s="3">
        <v>0</v>
      </c>
      <c r="BW37" s="3">
        <v>713.68000372890049</v>
      </c>
      <c r="BX37" s="7" t="s">
        <v>128</v>
      </c>
      <c r="BY37" s="2" t="s">
        <v>56</v>
      </c>
      <c r="BZ37" s="3">
        <v>51916.732736065976</v>
      </c>
      <c r="CA37" s="3">
        <v>596091.81169523613</v>
      </c>
      <c r="CB37" s="3">
        <v>4044.3915090320356</v>
      </c>
      <c r="CC37" s="3">
        <v>0</v>
      </c>
      <c r="CD37" s="3">
        <v>652052.93594033411</v>
      </c>
      <c r="CE37" s="7" t="s">
        <v>128</v>
      </c>
      <c r="CF37" s="2" t="s">
        <v>56</v>
      </c>
      <c r="CG37" s="3">
        <v>1232.7057569913579</v>
      </c>
      <c r="CH37" s="3">
        <v>0</v>
      </c>
      <c r="CI37" s="3">
        <v>0</v>
      </c>
      <c r="CJ37" s="3">
        <v>0</v>
      </c>
      <c r="CK37" s="3">
        <v>1232.7057569913579</v>
      </c>
      <c r="CL37" s="7" t="s">
        <v>128</v>
      </c>
      <c r="CM37" s="2" t="s">
        <v>56</v>
      </c>
      <c r="CN37" s="3">
        <v>0</v>
      </c>
      <c r="CO37" s="3">
        <v>0</v>
      </c>
      <c r="CP37" s="3">
        <v>0</v>
      </c>
      <c r="CQ37" s="3">
        <v>384588.52619286801</v>
      </c>
      <c r="CR37" s="3">
        <v>384588.52619286801</v>
      </c>
      <c r="CS37" s="7" t="s">
        <v>128</v>
      </c>
      <c r="CT37" s="2" t="s">
        <v>56</v>
      </c>
      <c r="CU37" s="3">
        <v>342384.60946599732</v>
      </c>
      <c r="CV37" s="3">
        <v>610989.64890051959</v>
      </c>
      <c r="CW37" s="3">
        <v>0</v>
      </c>
      <c r="CX37" s="3">
        <v>0</v>
      </c>
      <c r="CY37" s="3">
        <v>953374.25836651691</v>
      </c>
      <c r="CZ37" s="7" t="s">
        <v>128</v>
      </c>
      <c r="DA37" s="2" t="s">
        <v>56</v>
      </c>
      <c r="DB37" s="3">
        <v>564237.07719696686</v>
      </c>
      <c r="DC37" s="3">
        <v>12323758.33910853</v>
      </c>
      <c r="DD37" s="3">
        <v>6244019.7413004208</v>
      </c>
      <c r="DE37" s="3">
        <v>0</v>
      </c>
      <c r="DF37" s="3">
        <v>19132015.157605916</v>
      </c>
      <c r="DG37" s="7" t="s">
        <v>128</v>
      </c>
      <c r="DH37" s="2" t="s">
        <v>56</v>
      </c>
      <c r="DI37" s="3">
        <v>2644.4814117739643</v>
      </c>
      <c r="DJ37" s="3">
        <v>0</v>
      </c>
      <c r="DK37" s="3">
        <v>0</v>
      </c>
      <c r="DL37" s="3">
        <v>0</v>
      </c>
      <c r="DM37" s="3">
        <v>2644.4814117739643</v>
      </c>
      <c r="DN37" s="7" t="s">
        <v>128</v>
      </c>
      <c r="DO37" s="2" t="s">
        <v>56</v>
      </c>
      <c r="DP37" s="3">
        <v>271753.49404729361</v>
      </c>
      <c r="DQ37" s="3">
        <v>3629748.5480341394</v>
      </c>
      <c r="DR37" s="3">
        <v>0</v>
      </c>
      <c r="DS37" s="3">
        <v>0</v>
      </c>
      <c r="DT37" s="3">
        <v>3901502.0420814329</v>
      </c>
      <c r="DU37" s="7" t="s">
        <v>128</v>
      </c>
      <c r="DV37" s="2" t="s">
        <v>56</v>
      </c>
      <c r="DW37" s="3">
        <v>9866.2735201535852</v>
      </c>
      <c r="DX37" s="3">
        <v>204321.34421589362</v>
      </c>
      <c r="DY37" s="3">
        <v>24190123.200055864</v>
      </c>
      <c r="DZ37" s="3">
        <v>0</v>
      </c>
      <c r="EA37" s="3">
        <v>24404310.817791913</v>
      </c>
      <c r="EB37" s="7" t="s">
        <v>128</v>
      </c>
      <c r="EC37" s="2" t="s">
        <v>56</v>
      </c>
      <c r="ED37" s="3">
        <v>814765.62398977659</v>
      </c>
      <c r="EE37" s="3">
        <v>1324934.5573537317</v>
      </c>
      <c r="EF37" s="3">
        <v>0</v>
      </c>
      <c r="EG37" s="3">
        <v>0</v>
      </c>
      <c r="EH37" s="3">
        <v>2139700.1813435084</v>
      </c>
    </row>
    <row r="38" spans="1:138" ht="10.199999999999999" customHeight="1" x14ac:dyDescent="0.2">
      <c r="A38" s="7" t="s">
        <v>127</v>
      </c>
      <c r="B38" s="2" t="s">
        <v>55</v>
      </c>
      <c r="C38" s="3">
        <f t="shared" si="4"/>
        <v>0</v>
      </c>
      <c r="D38" s="3">
        <f t="shared" si="5"/>
        <v>0</v>
      </c>
      <c r="E38" s="3">
        <f t="shared" si="6"/>
        <v>0</v>
      </c>
      <c r="F38" s="3">
        <f t="shared" si="7"/>
        <v>177923.07690035022</v>
      </c>
      <c r="G38" s="3">
        <f t="shared" si="8"/>
        <v>0</v>
      </c>
      <c r="H38" s="3">
        <f t="shared" si="9"/>
        <v>0</v>
      </c>
      <c r="I38" s="3">
        <f t="shared" si="10"/>
        <v>61083.573673372193</v>
      </c>
      <c r="J38" s="3">
        <f t="shared" si="11"/>
        <v>0</v>
      </c>
      <c r="K38" s="3">
        <f t="shared" si="12"/>
        <v>0</v>
      </c>
      <c r="L38" s="3">
        <f t="shared" si="13"/>
        <v>487339.07067921793</v>
      </c>
      <c r="M38" s="3">
        <f t="shared" si="14"/>
        <v>740857.33823579398</v>
      </c>
      <c r="N38" s="3">
        <f t="shared" si="15"/>
        <v>0</v>
      </c>
      <c r="O38" s="3">
        <f t="shared" si="16"/>
        <v>1467203.0594887342</v>
      </c>
      <c r="P38" s="7" t="s">
        <v>127</v>
      </c>
      <c r="Q38" s="2" t="s">
        <v>55</v>
      </c>
      <c r="R38" s="3">
        <f t="shared" si="28"/>
        <v>0</v>
      </c>
      <c r="S38" s="3">
        <f t="shared" si="28"/>
        <v>0</v>
      </c>
      <c r="T38" s="3">
        <f t="shared" si="28"/>
        <v>0</v>
      </c>
      <c r="U38" s="3">
        <f t="shared" si="28"/>
        <v>177923.07690035022</v>
      </c>
      <c r="V38" s="3">
        <f t="shared" si="28"/>
        <v>0</v>
      </c>
      <c r="W38" s="3">
        <f t="shared" si="27"/>
        <v>0</v>
      </c>
      <c r="X38" s="3">
        <f t="shared" si="27"/>
        <v>61083.573673372193</v>
      </c>
      <c r="Y38" s="3">
        <f t="shared" si="27"/>
        <v>0</v>
      </c>
      <c r="Z38" s="3">
        <f t="shared" si="27"/>
        <v>0</v>
      </c>
      <c r="AA38" s="3">
        <f t="shared" si="27"/>
        <v>487339.07067921793</v>
      </c>
      <c r="AB38" s="3">
        <f t="shared" si="18"/>
        <v>726345.72125294036</v>
      </c>
      <c r="AC38" s="7" t="s">
        <v>127</v>
      </c>
      <c r="AD38" s="2" t="s">
        <v>55</v>
      </c>
      <c r="AE38" s="3">
        <f t="shared" si="19"/>
        <v>740857.33823579398</v>
      </c>
      <c r="AF38" s="3">
        <f t="shared" si="19"/>
        <v>0</v>
      </c>
      <c r="AG38" s="3">
        <f t="shared" si="20"/>
        <v>740857.33823579398</v>
      </c>
      <c r="AH38" s="7" t="s">
        <v>127</v>
      </c>
      <c r="AI38" s="2" t="s">
        <v>55</v>
      </c>
      <c r="AJ38" s="3">
        <f t="shared" si="21"/>
        <v>1404579.1313171936</v>
      </c>
      <c r="AK38" s="3">
        <f t="shared" si="21"/>
        <v>62623.928171540741</v>
      </c>
      <c r="AL38" s="3">
        <f t="shared" si="21"/>
        <v>0</v>
      </c>
      <c r="AM38" s="3">
        <f t="shared" si="21"/>
        <v>0</v>
      </c>
      <c r="AN38" s="3">
        <f t="shared" si="22"/>
        <v>1467203.0594887345</v>
      </c>
      <c r="AO38" s="7" t="s">
        <v>127</v>
      </c>
      <c r="AP38" s="2" t="s">
        <v>55</v>
      </c>
      <c r="AQ38" s="3">
        <f t="shared" si="23"/>
        <v>663721.79308139952</v>
      </c>
      <c r="AR38" s="3">
        <f t="shared" si="23"/>
        <v>62623.928171540741</v>
      </c>
      <c r="AS38" s="3">
        <f t="shared" si="23"/>
        <v>0</v>
      </c>
      <c r="AT38" s="3">
        <f t="shared" si="23"/>
        <v>0</v>
      </c>
      <c r="AU38" s="3">
        <f t="shared" si="24"/>
        <v>726345.72125294025</v>
      </c>
      <c r="AV38" s="7" t="s">
        <v>127</v>
      </c>
      <c r="AW38" s="2" t="s">
        <v>55</v>
      </c>
      <c r="AX38" s="3">
        <f t="shared" si="25"/>
        <v>740857.33823579398</v>
      </c>
      <c r="AY38" s="3">
        <f t="shared" si="25"/>
        <v>0</v>
      </c>
      <c r="AZ38" s="3">
        <f t="shared" si="25"/>
        <v>0</v>
      </c>
      <c r="BA38" s="3">
        <f t="shared" si="25"/>
        <v>0</v>
      </c>
      <c r="BB38" s="3">
        <f t="shared" si="26"/>
        <v>740857.33823579398</v>
      </c>
      <c r="BC38" s="7" t="s">
        <v>127</v>
      </c>
      <c r="BD38" s="2" t="s">
        <v>55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7" t="s">
        <v>127</v>
      </c>
      <c r="BK38" s="2" t="s">
        <v>55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7" t="s">
        <v>127</v>
      </c>
      <c r="BR38" s="2" t="s">
        <v>55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7" t="s">
        <v>127</v>
      </c>
      <c r="BY38" s="2" t="s">
        <v>55</v>
      </c>
      <c r="BZ38" s="3">
        <v>177923.07690035022</v>
      </c>
      <c r="CA38" s="3">
        <v>0</v>
      </c>
      <c r="CB38" s="3">
        <v>0</v>
      </c>
      <c r="CC38" s="3">
        <v>0</v>
      </c>
      <c r="CD38" s="3">
        <v>177923.07690035022</v>
      </c>
      <c r="CE38" s="7" t="s">
        <v>127</v>
      </c>
      <c r="CF38" s="2" t="s">
        <v>55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7" t="s">
        <v>127</v>
      </c>
      <c r="CM38" s="2" t="s">
        <v>55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7" t="s">
        <v>127</v>
      </c>
      <c r="CT38" s="2" t="s">
        <v>55</v>
      </c>
      <c r="CU38" s="3">
        <v>0</v>
      </c>
      <c r="CV38" s="3">
        <v>61083.573673372193</v>
      </c>
      <c r="CW38" s="3">
        <v>0</v>
      </c>
      <c r="CX38" s="3">
        <v>0</v>
      </c>
      <c r="CY38" s="3">
        <v>61083.573673372193</v>
      </c>
      <c r="CZ38" s="7" t="s">
        <v>127</v>
      </c>
      <c r="DA38" s="2" t="s">
        <v>55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7" t="s">
        <v>127</v>
      </c>
      <c r="DH38" s="2" t="s">
        <v>55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7" t="s">
        <v>127</v>
      </c>
      <c r="DO38" s="2" t="s">
        <v>55</v>
      </c>
      <c r="DP38" s="3">
        <v>485798.71618104936</v>
      </c>
      <c r="DQ38" s="3">
        <v>1540.3544981685516</v>
      </c>
      <c r="DR38" s="3">
        <v>0</v>
      </c>
      <c r="DS38" s="3">
        <v>0</v>
      </c>
      <c r="DT38" s="3">
        <v>487339.07067921793</v>
      </c>
      <c r="DU38" s="7" t="s">
        <v>127</v>
      </c>
      <c r="DV38" s="2" t="s">
        <v>55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7" t="s">
        <v>127</v>
      </c>
      <c r="EC38" s="2" t="s">
        <v>55</v>
      </c>
      <c r="ED38" s="3">
        <v>740857.33823579398</v>
      </c>
      <c r="EE38" s="3">
        <v>0</v>
      </c>
      <c r="EF38" s="3">
        <v>0</v>
      </c>
      <c r="EG38" s="3">
        <v>0</v>
      </c>
      <c r="EH38" s="3">
        <v>740857.33823579398</v>
      </c>
    </row>
    <row r="39" spans="1:138" ht="10.199999999999999" customHeight="1" x14ac:dyDescent="0.2">
      <c r="A39" s="7" t="s">
        <v>125</v>
      </c>
      <c r="B39" s="2" t="s">
        <v>53</v>
      </c>
      <c r="C39" s="3">
        <f t="shared" si="4"/>
        <v>0</v>
      </c>
      <c r="D39" s="3">
        <f t="shared" si="5"/>
        <v>11255.448311202425</v>
      </c>
      <c r="E39" s="3">
        <f t="shared" si="6"/>
        <v>0</v>
      </c>
      <c r="F39" s="3">
        <f t="shared" si="7"/>
        <v>171178.34577431058</v>
      </c>
      <c r="G39" s="3">
        <f t="shared" si="8"/>
        <v>114626.10898038615</v>
      </c>
      <c r="H39" s="3">
        <f t="shared" si="9"/>
        <v>0</v>
      </c>
      <c r="I39" s="3">
        <f t="shared" si="10"/>
        <v>0</v>
      </c>
      <c r="J39" s="3">
        <f t="shared" si="11"/>
        <v>0</v>
      </c>
      <c r="K39" s="3">
        <f t="shared" si="12"/>
        <v>51.212174480484848</v>
      </c>
      <c r="L39" s="3">
        <f t="shared" si="13"/>
        <v>5220.9302750945071</v>
      </c>
      <c r="M39" s="3">
        <f t="shared" si="14"/>
        <v>3408983.1364946663</v>
      </c>
      <c r="N39" s="3">
        <f t="shared" si="15"/>
        <v>18089.046523289959</v>
      </c>
      <c r="O39" s="3">
        <f t="shared" si="16"/>
        <v>3729404.22853343</v>
      </c>
      <c r="P39" s="7" t="s">
        <v>125</v>
      </c>
      <c r="Q39" s="2" t="s">
        <v>53</v>
      </c>
      <c r="R39" s="3">
        <f t="shared" si="28"/>
        <v>0</v>
      </c>
      <c r="S39" s="3">
        <f t="shared" si="28"/>
        <v>11255.448311202425</v>
      </c>
      <c r="T39" s="3">
        <f t="shared" si="28"/>
        <v>0</v>
      </c>
      <c r="U39" s="3">
        <f t="shared" si="28"/>
        <v>171178.34577431058</v>
      </c>
      <c r="V39" s="3">
        <f t="shared" si="28"/>
        <v>114626.10898038615</v>
      </c>
      <c r="W39" s="3">
        <f t="shared" si="27"/>
        <v>0</v>
      </c>
      <c r="X39" s="3">
        <f t="shared" si="27"/>
        <v>0</v>
      </c>
      <c r="Y39" s="3">
        <f t="shared" si="27"/>
        <v>0</v>
      </c>
      <c r="Z39" s="3">
        <f t="shared" si="27"/>
        <v>51.212174480484848</v>
      </c>
      <c r="AA39" s="3">
        <f t="shared" si="27"/>
        <v>5220.9302750945071</v>
      </c>
      <c r="AB39" s="3">
        <f t="shared" si="18"/>
        <v>302332.04551547416</v>
      </c>
      <c r="AC39" s="7" t="s">
        <v>125</v>
      </c>
      <c r="AD39" s="2" t="s">
        <v>53</v>
      </c>
      <c r="AE39" s="3">
        <f t="shared" si="19"/>
        <v>3408983.1364946663</v>
      </c>
      <c r="AF39" s="3">
        <f t="shared" si="19"/>
        <v>18089.046523289959</v>
      </c>
      <c r="AG39" s="3">
        <f t="shared" si="20"/>
        <v>3427072.1830179561</v>
      </c>
      <c r="AH39" s="7" t="s">
        <v>125</v>
      </c>
      <c r="AI39" s="2" t="s">
        <v>53</v>
      </c>
      <c r="AJ39" s="3">
        <f t="shared" si="21"/>
        <v>3052119.9354788917</v>
      </c>
      <c r="AK39" s="3">
        <f t="shared" si="21"/>
        <v>677284.29305453866</v>
      </c>
      <c r="AL39" s="3">
        <f t="shared" si="21"/>
        <v>0</v>
      </c>
      <c r="AM39" s="3">
        <f t="shared" si="21"/>
        <v>0</v>
      </c>
      <c r="AN39" s="3">
        <f t="shared" si="22"/>
        <v>3729404.2285334305</v>
      </c>
      <c r="AO39" s="7" t="s">
        <v>125</v>
      </c>
      <c r="AP39" s="2" t="s">
        <v>53</v>
      </c>
      <c r="AQ39" s="3">
        <f t="shared" si="23"/>
        <v>226853.12965282003</v>
      </c>
      <c r="AR39" s="3">
        <f t="shared" si="23"/>
        <v>75478.915862654132</v>
      </c>
      <c r="AS39" s="3">
        <f t="shared" si="23"/>
        <v>0</v>
      </c>
      <c r="AT39" s="3">
        <f t="shared" si="23"/>
        <v>0</v>
      </c>
      <c r="AU39" s="3">
        <f t="shared" si="24"/>
        <v>302332.04551547416</v>
      </c>
      <c r="AV39" s="7" t="s">
        <v>125</v>
      </c>
      <c r="AW39" s="2" t="s">
        <v>53</v>
      </c>
      <c r="AX39" s="3">
        <f t="shared" si="25"/>
        <v>2825266.8058260716</v>
      </c>
      <c r="AY39" s="3">
        <f t="shared" si="25"/>
        <v>601805.37719188456</v>
      </c>
      <c r="AZ39" s="3">
        <f t="shared" si="25"/>
        <v>0</v>
      </c>
      <c r="BA39" s="3">
        <f t="shared" si="25"/>
        <v>0</v>
      </c>
      <c r="BB39" s="3">
        <f t="shared" si="26"/>
        <v>3427072.1830179561</v>
      </c>
      <c r="BC39" s="7" t="s">
        <v>125</v>
      </c>
      <c r="BD39" s="2" t="s">
        <v>53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7" t="s">
        <v>125</v>
      </c>
      <c r="BK39" s="2" t="s">
        <v>53</v>
      </c>
      <c r="BL39" s="3">
        <v>11213.803091703481</v>
      </c>
      <c r="BM39" s="3">
        <v>41.645219498943732</v>
      </c>
      <c r="BN39" s="3">
        <v>0</v>
      </c>
      <c r="BO39" s="3">
        <v>0</v>
      </c>
      <c r="BP39" s="3">
        <v>11255.448311202425</v>
      </c>
      <c r="BQ39" s="7" t="s">
        <v>125</v>
      </c>
      <c r="BR39" s="2" t="s">
        <v>53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7" t="s">
        <v>125</v>
      </c>
      <c r="BY39" s="2" t="s">
        <v>53</v>
      </c>
      <c r="BZ39" s="3">
        <v>171178.34577431058</v>
      </c>
      <c r="CA39" s="3">
        <v>0</v>
      </c>
      <c r="CB39" s="3">
        <v>0</v>
      </c>
      <c r="CC39" s="3">
        <v>0</v>
      </c>
      <c r="CD39" s="3">
        <v>171178.34577431058</v>
      </c>
      <c r="CE39" s="7" t="s">
        <v>125</v>
      </c>
      <c r="CF39" s="2" t="s">
        <v>53</v>
      </c>
      <c r="CG39" s="3">
        <v>39188.838337230962</v>
      </c>
      <c r="CH39" s="3">
        <v>75437.270643155192</v>
      </c>
      <c r="CI39" s="3">
        <v>0</v>
      </c>
      <c r="CJ39" s="3">
        <v>0</v>
      </c>
      <c r="CK39" s="3">
        <v>114626.10898038615</v>
      </c>
      <c r="CL39" s="7" t="s">
        <v>125</v>
      </c>
      <c r="CM39" s="2" t="s">
        <v>53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7" t="s">
        <v>125</v>
      </c>
      <c r="CT39" s="2" t="s">
        <v>53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7" t="s">
        <v>125</v>
      </c>
      <c r="DA39" s="2" t="s">
        <v>53</v>
      </c>
      <c r="DB39" s="3">
        <v>51.212174480484848</v>
      </c>
      <c r="DC39" s="3">
        <v>0</v>
      </c>
      <c r="DD39" s="3">
        <v>0</v>
      </c>
      <c r="DE39" s="3">
        <v>0</v>
      </c>
      <c r="DF39" s="3">
        <v>51.212174480484848</v>
      </c>
      <c r="DG39" s="7" t="s">
        <v>125</v>
      </c>
      <c r="DH39" s="2" t="s">
        <v>53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7" t="s">
        <v>125</v>
      </c>
      <c r="DO39" s="2" t="s">
        <v>53</v>
      </c>
      <c r="DP39" s="3">
        <v>5220.9302750945071</v>
      </c>
      <c r="DQ39" s="3">
        <v>0</v>
      </c>
      <c r="DR39" s="3">
        <v>0</v>
      </c>
      <c r="DS39" s="3">
        <v>0</v>
      </c>
      <c r="DT39" s="3">
        <v>5220.9302750945071</v>
      </c>
      <c r="DU39" s="7" t="s">
        <v>125</v>
      </c>
      <c r="DV39" s="2" t="s">
        <v>53</v>
      </c>
      <c r="DW39" s="3">
        <v>2960.1742367691504</v>
      </c>
      <c r="DX39" s="3">
        <v>15128.872286520809</v>
      </c>
      <c r="DY39" s="3">
        <v>0</v>
      </c>
      <c r="DZ39" s="3">
        <v>0</v>
      </c>
      <c r="EA39" s="3">
        <v>18089.046523289959</v>
      </c>
      <c r="EB39" s="7" t="s">
        <v>125</v>
      </c>
      <c r="EC39" s="2" t="s">
        <v>53</v>
      </c>
      <c r="ED39" s="3">
        <v>2822306.6315893023</v>
      </c>
      <c r="EE39" s="3">
        <v>586676.50490536378</v>
      </c>
      <c r="EF39" s="3">
        <v>0</v>
      </c>
      <c r="EG39" s="3">
        <v>0</v>
      </c>
      <c r="EH39" s="3">
        <v>3408983.1364946663</v>
      </c>
    </row>
    <row r="40" spans="1:138" ht="10.199999999999999" customHeight="1" x14ac:dyDescent="0.2">
      <c r="A40" s="7" t="s">
        <v>130</v>
      </c>
      <c r="B40" s="2" t="s">
        <v>58</v>
      </c>
      <c r="C40" s="3">
        <f t="shared" si="4"/>
        <v>0</v>
      </c>
      <c r="D40" s="3">
        <f t="shared" si="5"/>
        <v>86765.425622327486</v>
      </c>
      <c r="E40" s="3">
        <f t="shared" si="6"/>
        <v>0</v>
      </c>
      <c r="F40" s="3">
        <f t="shared" si="7"/>
        <v>8.0086960574891801</v>
      </c>
      <c r="G40" s="3">
        <f t="shared" si="8"/>
        <v>499.22087053797401</v>
      </c>
      <c r="H40" s="3">
        <f t="shared" si="9"/>
        <v>0</v>
      </c>
      <c r="I40" s="3">
        <f t="shared" si="10"/>
        <v>38512.24188092196</v>
      </c>
      <c r="J40" s="3">
        <f t="shared" si="11"/>
        <v>0</v>
      </c>
      <c r="K40" s="3">
        <f t="shared" si="12"/>
        <v>677.3919369396765</v>
      </c>
      <c r="L40" s="3">
        <f t="shared" si="13"/>
        <v>85605769.408553421</v>
      </c>
      <c r="M40" s="3">
        <f t="shared" si="14"/>
        <v>3646942.684402267</v>
      </c>
      <c r="N40" s="3">
        <f t="shared" si="15"/>
        <v>52279924.655543767</v>
      </c>
      <c r="O40" s="3">
        <f t="shared" si="16"/>
        <v>141659099.03750625</v>
      </c>
      <c r="P40" s="7" t="s">
        <v>130</v>
      </c>
      <c r="Q40" s="2" t="s">
        <v>58</v>
      </c>
      <c r="R40" s="3">
        <f t="shared" si="28"/>
        <v>0</v>
      </c>
      <c r="S40" s="3">
        <f t="shared" si="28"/>
        <v>86765.425622327486</v>
      </c>
      <c r="T40" s="3">
        <f t="shared" si="28"/>
        <v>0</v>
      </c>
      <c r="U40" s="3">
        <f t="shared" si="28"/>
        <v>8.0086960574891801</v>
      </c>
      <c r="V40" s="3">
        <f t="shared" si="28"/>
        <v>499.22087053797401</v>
      </c>
      <c r="W40" s="3">
        <f t="shared" si="27"/>
        <v>0</v>
      </c>
      <c r="X40" s="3">
        <f t="shared" si="27"/>
        <v>38512.24188092196</v>
      </c>
      <c r="Y40" s="3">
        <f t="shared" si="27"/>
        <v>0</v>
      </c>
      <c r="Z40" s="3">
        <f t="shared" si="27"/>
        <v>677.3919369396765</v>
      </c>
      <c r="AA40" s="3">
        <f t="shared" si="27"/>
        <v>85605769.408553421</v>
      </c>
      <c r="AB40" s="3">
        <f t="shared" si="18"/>
        <v>85732231.697560206</v>
      </c>
      <c r="AC40" s="7" t="s">
        <v>130</v>
      </c>
      <c r="AD40" s="2" t="s">
        <v>58</v>
      </c>
      <c r="AE40" s="3">
        <f t="shared" si="19"/>
        <v>3646942.684402267</v>
      </c>
      <c r="AF40" s="3">
        <f t="shared" si="19"/>
        <v>52279924.655543767</v>
      </c>
      <c r="AG40" s="3">
        <f t="shared" si="20"/>
        <v>55926867.339946032</v>
      </c>
      <c r="AH40" s="7" t="s">
        <v>130</v>
      </c>
      <c r="AI40" s="2" t="s">
        <v>58</v>
      </c>
      <c r="AJ40" s="3">
        <f t="shared" si="21"/>
        <v>3734056.470453443</v>
      </c>
      <c r="AK40" s="3">
        <f t="shared" si="21"/>
        <v>451094.07082467212</v>
      </c>
      <c r="AL40" s="3">
        <f t="shared" si="21"/>
        <v>290078.86107508629</v>
      </c>
      <c r="AM40" s="3">
        <f t="shared" si="21"/>
        <v>137183869.63515306</v>
      </c>
      <c r="AN40" s="3">
        <f t="shared" si="22"/>
        <v>141659099.03750625</v>
      </c>
      <c r="AO40" s="7" t="s">
        <v>130</v>
      </c>
      <c r="AP40" s="2" t="s">
        <v>58</v>
      </c>
      <c r="AQ40" s="3">
        <f t="shared" si="23"/>
        <v>32897.411078819634</v>
      </c>
      <c r="AR40" s="3">
        <f t="shared" si="23"/>
        <v>99828.65464303983</v>
      </c>
      <c r="AS40" s="3">
        <f t="shared" si="23"/>
        <v>0</v>
      </c>
      <c r="AT40" s="3">
        <f t="shared" si="23"/>
        <v>85599505.631838351</v>
      </c>
      <c r="AU40" s="3">
        <f t="shared" si="24"/>
        <v>85732231.697560206</v>
      </c>
      <c r="AV40" s="7" t="s">
        <v>130</v>
      </c>
      <c r="AW40" s="2" t="s">
        <v>58</v>
      </c>
      <c r="AX40" s="3">
        <f t="shared" si="25"/>
        <v>3701159.0593746235</v>
      </c>
      <c r="AY40" s="3">
        <f t="shared" si="25"/>
        <v>351265.41618163232</v>
      </c>
      <c r="AZ40" s="3">
        <f t="shared" si="25"/>
        <v>290078.86107508629</v>
      </c>
      <c r="BA40" s="3">
        <f t="shared" si="25"/>
        <v>51584364.003314689</v>
      </c>
      <c r="BB40" s="3">
        <f t="shared" si="26"/>
        <v>55926867.339946032</v>
      </c>
      <c r="BC40" s="7" t="s">
        <v>130</v>
      </c>
      <c r="BD40" s="2" t="s">
        <v>58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7" t="s">
        <v>130</v>
      </c>
      <c r="BK40" s="2" t="s">
        <v>58</v>
      </c>
      <c r="BL40" s="3">
        <v>291.21217448048486</v>
      </c>
      <c r="BM40" s="3">
        <v>86474.213447846996</v>
      </c>
      <c r="BN40" s="3">
        <v>0</v>
      </c>
      <c r="BO40" s="3">
        <v>0</v>
      </c>
      <c r="BP40" s="3">
        <v>86765.425622327486</v>
      </c>
      <c r="BQ40" s="7" t="s">
        <v>130</v>
      </c>
      <c r="BR40" s="2" t="s">
        <v>58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7" t="s">
        <v>130</v>
      </c>
      <c r="BY40" s="2" t="s">
        <v>58</v>
      </c>
      <c r="BZ40" s="3">
        <v>8.0086960574891801</v>
      </c>
      <c r="CA40" s="3">
        <v>0</v>
      </c>
      <c r="CB40" s="3">
        <v>0</v>
      </c>
      <c r="CC40" s="3">
        <v>0</v>
      </c>
      <c r="CD40" s="3">
        <v>8.0086960574891801</v>
      </c>
      <c r="CE40" s="7" t="s">
        <v>130</v>
      </c>
      <c r="CF40" s="2" t="s">
        <v>58</v>
      </c>
      <c r="CG40" s="3">
        <v>499.22087053797401</v>
      </c>
      <c r="CH40" s="3">
        <v>0</v>
      </c>
      <c r="CI40" s="3">
        <v>0</v>
      </c>
      <c r="CJ40" s="3">
        <v>0</v>
      </c>
      <c r="CK40" s="3">
        <v>499.22087053797401</v>
      </c>
      <c r="CL40" s="7" t="s">
        <v>130</v>
      </c>
      <c r="CM40" s="2" t="s">
        <v>58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7" t="s">
        <v>130</v>
      </c>
      <c r="CT40" s="2" t="s">
        <v>58</v>
      </c>
      <c r="CU40" s="3">
        <v>25737.126139444848</v>
      </c>
      <c r="CV40" s="3">
        <v>12775.11574147711</v>
      </c>
      <c r="CW40" s="3">
        <v>0</v>
      </c>
      <c r="CX40" s="3">
        <v>0</v>
      </c>
      <c r="CY40" s="3">
        <v>38512.24188092196</v>
      </c>
      <c r="CZ40" s="7" t="s">
        <v>130</v>
      </c>
      <c r="DA40" s="2" t="s">
        <v>58</v>
      </c>
      <c r="DB40" s="3">
        <v>98.066483223955004</v>
      </c>
      <c r="DC40" s="3">
        <v>579.32545371572144</v>
      </c>
      <c r="DD40" s="3">
        <v>0</v>
      </c>
      <c r="DE40" s="3">
        <v>0</v>
      </c>
      <c r="DF40" s="3">
        <v>677.3919369396765</v>
      </c>
      <c r="DG40" s="7" t="s">
        <v>130</v>
      </c>
      <c r="DH40" s="2" t="s">
        <v>58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7" t="s">
        <v>130</v>
      </c>
      <c r="DO40" s="2" t="s">
        <v>58</v>
      </c>
      <c r="DP40" s="3">
        <v>6263.7767150748814</v>
      </c>
      <c r="DQ40" s="3">
        <v>0</v>
      </c>
      <c r="DR40" s="3">
        <v>0</v>
      </c>
      <c r="DS40" s="3">
        <v>85599505.631838351</v>
      </c>
      <c r="DT40" s="3">
        <v>85605769.408553421</v>
      </c>
      <c r="DU40" s="7" t="s">
        <v>130</v>
      </c>
      <c r="DV40" s="2" t="s">
        <v>58</v>
      </c>
      <c r="DW40" s="3">
        <v>405501.01202452683</v>
      </c>
      <c r="DX40" s="3">
        <v>0</v>
      </c>
      <c r="DY40" s="3">
        <v>290059.64020454831</v>
      </c>
      <c r="DZ40" s="3">
        <v>51584364.003314689</v>
      </c>
      <c r="EA40" s="3">
        <v>52279924.655543767</v>
      </c>
      <c r="EB40" s="7" t="s">
        <v>130</v>
      </c>
      <c r="EC40" s="2" t="s">
        <v>58</v>
      </c>
      <c r="ED40" s="3">
        <v>3295658.0473500965</v>
      </c>
      <c r="EE40" s="3">
        <v>351265.41618163232</v>
      </c>
      <c r="EF40" s="3">
        <v>19.220870537974029</v>
      </c>
      <c r="EG40" s="3">
        <v>0</v>
      </c>
      <c r="EH40" s="3">
        <v>3646942.684402267</v>
      </c>
    </row>
    <row r="41" spans="1:138" ht="10.199999999999999" customHeight="1" x14ac:dyDescent="0.2">
      <c r="A41" s="7" t="s">
        <v>122</v>
      </c>
      <c r="B41" s="2" t="s">
        <v>50</v>
      </c>
      <c r="C41" s="3">
        <f t="shared" si="4"/>
        <v>0</v>
      </c>
      <c r="D41" s="3">
        <f t="shared" si="5"/>
        <v>1733.2299181666633</v>
      </c>
      <c r="E41" s="3">
        <f t="shared" si="6"/>
        <v>0</v>
      </c>
      <c r="F41" s="3">
        <f t="shared" si="7"/>
        <v>1302.1667851289103</v>
      </c>
      <c r="G41" s="3">
        <f t="shared" si="8"/>
        <v>1268.5465595347896</v>
      </c>
      <c r="H41" s="3">
        <f t="shared" si="9"/>
        <v>0</v>
      </c>
      <c r="I41" s="3">
        <f t="shared" si="10"/>
        <v>0</v>
      </c>
      <c r="J41" s="3">
        <f t="shared" si="11"/>
        <v>0</v>
      </c>
      <c r="K41" s="3">
        <f t="shared" si="12"/>
        <v>104.48251436053528</v>
      </c>
      <c r="L41" s="3">
        <f t="shared" si="13"/>
        <v>6405.5643455112004</v>
      </c>
      <c r="M41" s="3">
        <f t="shared" si="14"/>
        <v>609446.76743036869</v>
      </c>
      <c r="N41" s="3">
        <f t="shared" si="15"/>
        <v>0</v>
      </c>
      <c r="O41" s="3">
        <f t="shared" si="16"/>
        <v>620260.75755307078</v>
      </c>
      <c r="P41" s="7" t="s">
        <v>122</v>
      </c>
      <c r="Q41" s="2" t="s">
        <v>50</v>
      </c>
      <c r="R41" s="3">
        <f t="shared" si="28"/>
        <v>0</v>
      </c>
      <c r="S41" s="3">
        <f t="shared" si="28"/>
        <v>1733.2299181666633</v>
      </c>
      <c r="T41" s="3">
        <f t="shared" si="28"/>
        <v>0</v>
      </c>
      <c r="U41" s="3">
        <f t="shared" si="28"/>
        <v>1302.1667851289103</v>
      </c>
      <c r="V41" s="3">
        <f t="shared" si="28"/>
        <v>1268.5465595347896</v>
      </c>
      <c r="W41" s="3">
        <f t="shared" si="27"/>
        <v>0</v>
      </c>
      <c r="X41" s="3">
        <f t="shared" si="27"/>
        <v>0</v>
      </c>
      <c r="Y41" s="3">
        <f t="shared" si="27"/>
        <v>0</v>
      </c>
      <c r="Z41" s="3">
        <f t="shared" si="27"/>
        <v>104.48251436053528</v>
      </c>
      <c r="AA41" s="3">
        <f t="shared" si="27"/>
        <v>6405.5643455112004</v>
      </c>
      <c r="AB41" s="3">
        <f t="shared" si="18"/>
        <v>10813.990122702098</v>
      </c>
      <c r="AC41" s="7" t="s">
        <v>122</v>
      </c>
      <c r="AD41" s="2" t="s">
        <v>50</v>
      </c>
      <c r="AE41" s="3">
        <f t="shared" si="19"/>
        <v>609446.76743036869</v>
      </c>
      <c r="AF41" s="3">
        <f t="shared" si="19"/>
        <v>0</v>
      </c>
      <c r="AG41" s="3">
        <f t="shared" si="20"/>
        <v>609446.76743036869</v>
      </c>
      <c r="AH41" s="7" t="s">
        <v>122</v>
      </c>
      <c r="AI41" s="2" t="s">
        <v>50</v>
      </c>
      <c r="AJ41" s="3">
        <f t="shared" si="21"/>
        <v>58739.035136084101</v>
      </c>
      <c r="AK41" s="3">
        <f t="shared" si="21"/>
        <v>561521.72241698671</v>
      </c>
      <c r="AL41" s="3">
        <f t="shared" si="21"/>
        <v>0</v>
      </c>
      <c r="AM41" s="3">
        <f t="shared" si="21"/>
        <v>0</v>
      </c>
      <c r="AN41" s="3">
        <f t="shared" si="22"/>
        <v>620260.75755307078</v>
      </c>
      <c r="AO41" s="7" t="s">
        <v>122</v>
      </c>
      <c r="AP41" s="2" t="s">
        <v>50</v>
      </c>
      <c r="AQ41" s="3">
        <f t="shared" si="23"/>
        <v>10624.12639215323</v>
      </c>
      <c r="AR41" s="3">
        <f t="shared" si="23"/>
        <v>189.86373054886963</v>
      </c>
      <c r="AS41" s="3">
        <f t="shared" si="23"/>
        <v>0</v>
      </c>
      <c r="AT41" s="3">
        <f t="shared" si="23"/>
        <v>0</v>
      </c>
      <c r="AU41" s="3">
        <f t="shared" si="24"/>
        <v>10813.9901227021</v>
      </c>
      <c r="AV41" s="7" t="s">
        <v>122</v>
      </c>
      <c r="AW41" s="2" t="s">
        <v>50</v>
      </c>
      <c r="AX41" s="3">
        <f t="shared" si="25"/>
        <v>48114.908743930871</v>
      </c>
      <c r="AY41" s="3">
        <f t="shared" si="25"/>
        <v>561331.85868643783</v>
      </c>
      <c r="AZ41" s="3">
        <f t="shared" si="25"/>
        <v>0</v>
      </c>
      <c r="BA41" s="3">
        <f t="shared" si="25"/>
        <v>0</v>
      </c>
      <c r="BB41" s="3">
        <f t="shared" si="26"/>
        <v>609446.76743036869</v>
      </c>
      <c r="BC41" s="7" t="s">
        <v>122</v>
      </c>
      <c r="BD41" s="2" t="s">
        <v>50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7" t="s">
        <v>122</v>
      </c>
      <c r="BK41" s="2" t="s">
        <v>50</v>
      </c>
      <c r="BL41" s="3">
        <v>1733.2299181666633</v>
      </c>
      <c r="BM41" s="3">
        <v>0</v>
      </c>
      <c r="BN41" s="3">
        <v>0</v>
      </c>
      <c r="BO41" s="3">
        <v>0</v>
      </c>
      <c r="BP41" s="3">
        <v>1733.2299181666633</v>
      </c>
      <c r="BQ41" s="7" t="s">
        <v>122</v>
      </c>
      <c r="BR41" s="2" t="s">
        <v>50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7" t="s">
        <v>122</v>
      </c>
      <c r="BY41" s="2" t="s">
        <v>50</v>
      </c>
      <c r="BZ41" s="3">
        <v>1302.1667851289103</v>
      </c>
      <c r="CA41" s="3">
        <v>0</v>
      </c>
      <c r="CB41" s="3">
        <v>0</v>
      </c>
      <c r="CC41" s="3">
        <v>0</v>
      </c>
      <c r="CD41" s="3">
        <v>1302.1667851289103</v>
      </c>
      <c r="CE41" s="7" t="s">
        <v>122</v>
      </c>
      <c r="CF41" s="2" t="s">
        <v>50</v>
      </c>
      <c r="CG41" s="3">
        <v>1184.4552509311532</v>
      </c>
      <c r="CH41" s="3">
        <v>84.091308603636392</v>
      </c>
      <c r="CI41" s="3">
        <v>0</v>
      </c>
      <c r="CJ41" s="3">
        <v>0</v>
      </c>
      <c r="CK41" s="3">
        <v>1268.5465595347896</v>
      </c>
      <c r="CL41" s="7" t="s">
        <v>122</v>
      </c>
      <c r="CM41" s="2" t="s">
        <v>50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7" t="s">
        <v>122</v>
      </c>
      <c r="CT41" s="2" t="s">
        <v>50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7" t="s">
        <v>122</v>
      </c>
      <c r="DA41" s="2" t="s">
        <v>50</v>
      </c>
      <c r="DB41" s="3">
        <v>104.48251436053528</v>
      </c>
      <c r="DC41" s="3">
        <v>0</v>
      </c>
      <c r="DD41" s="3">
        <v>0</v>
      </c>
      <c r="DE41" s="3">
        <v>0</v>
      </c>
      <c r="DF41" s="3">
        <v>104.48251436053528</v>
      </c>
      <c r="DG41" s="7" t="s">
        <v>122</v>
      </c>
      <c r="DH41" s="2" t="s">
        <v>50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7" t="s">
        <v>122</v>
      </c>
      <c r="DO41" s="2" t="s">
        <v>50</v>
      </c>
      <c r="DP41" s="3">
        <v>6299.7919235659674</v>
      </c>
      <c r="DQ41" s="3">
        <v>105.77242194523323</v>
      </c>
      <c r="DR41" s="3">
        <v>0</v>
      </c>
      <c r="DS41" s="3">
        <v>0</v>
      </c>
      <c r="DT41" s="3">
        <v>6405.5643455112004</v>
      </c>
      <c r="DU41" s="7" t="s">
        <v>122</v>
      </c>
      <c r="DV41" s="2" t="s">
        <v>50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7" t="s">
        <v>122</v>
      </c>
      <c r="EC41" s="2" t="s">
        <v>50</v>
      </c>
      <c r="ED41" s="3">
        <v>48114.908743930871</v>
      </c>
      <c r="EE41" s="3">
        <v>561331.85868643783</v>
      </c>
      <c r="EF41" s="3">
        <v>0</v>
      </c>
      <c r="EG41" s="3">
        <v>0</v>
      </c>
      <c r="EH41" s="3">
        <v>609446.76743036869</v>
      </c>
    </row>
    <row r="42" spans="1:138" ht="10.199999999999999" customHeight="1" x14ac:dyDescent="0.2">
      <c r="A42" s="8"/>
      <c r="B42" s="4" t="s">
        <v>59</v>
      </c>
      <c r="C42" s="3">
        <f>SUM(C4:C41)</f>
        <v>601966.91987259465</v>
      </c>
      <c r="D42" s="3">
        <f t="shared" ref="D42:O42" si="29">SUM(D4:D41)</f>
        <v>3115207.6673194091</v>
      </c>
      <c r="E42" s="3">
        <f t="shared" si="29"/>
        <v>1963006053.324373</v>
      </c>
      <c r="F42" s="3">
        <f t="shared" si="29"/>
        <v>444259830.32617521</v>
      </c>
      <c r="G42" s="3">
        <f t="shared" si="29"/>
        <v>95583741.905187875</v>
      </c>
      <c r="H42" s="3">
        <f t="shared" si="29"/>
        <v>40015373.855696738</v>
      </c>
      <c r="I42" s="3">
        <f t="shared" si="29"/>
        <v>13273894.040354278</v>
      </c>
      <c r="J42" s="3">
        <f t="shared" si="29"/>
        <v>117717248.37242414</v>
      </c>
      <c r="K42" s="3">
        <f t="shared" si="29"/>
        <v>144016818.74185991</v>
      </c>
      <c r="L42" s="3">
        <f t="shared" si="29"/>
        <v>109824630.39046344</v>
      </c>
      <c r="M42" s="3">
        <f t="shared" si="29"/>
        <v>272254122.3176651</v>
      </c>
      <c r="N42" s="3">
        <f t="shared" si="29"/>
        <v>284247290.73870593</v>
      </c>
      <c r="O42" s="3">
        <f t="shared" si="29"/>
        <v>3487916178.6000981</v>
      </c>
      <c r="P42" s="8"/>
      <c r="Q42" s="4" t="s">
        <v>59</v>
      </c>
      <c r="R42" s="3">
        <f>SUM(R4:R41)</f>
        <v>601966.91987259465</v>
      </c>
      <c r="S42" s="3">
        <f t="shared" ref="S42:AB42" si="30">SUM(S4:S41)</f>
        <v>3115207.6673194091</v>
      </c>
      <c r="T42" s="3">
        <f t="shared" si="30"/>
        <v>1963006053.324373</v>
      </c>
      <c r="U42" s="3">
        <f t="shared" si="30"/>
        <v>444259830.32617521</v>
      </c>
      <c r="V42" s="3">
        <f t="shared" si="30"/>
        <v>95583741.905187875</v>
      </c>
      <c r="W42" s="3">
        <f t="shared" si="30"/>
        <v>40015373.855696738</v>
      </c>
      <c r="X42" s="3">
        <f t="shared" si="30"/>
        <v>13273894.040354278</v>
      </c>
      <c r="Y42" s="3">
        <f t="shared" si="30"/>
        <v>117717248.37242414</v>
      </c>
      <c r="Z42" s="3">
        <f t="shared" si="30"/>
        <v>144016818.74185991</v>
      </c>
      <c r="AA42" s="3">
        <f t="shared" si="30"/>
        <v>109824630.39046344</v>
      </c>
      <c r="AB42" s="3">
        <f t="shared" si="30"/>
        <v>2931414765.543726</v>
      </c>
      <c r="AC42" s="8"/>
      <c r="AD42" s="4" t="s">
        <v>59</v>
      </c>
      <c r="AE42" s="3">
        <f>SUM(AE4:AE41)</f>
        <v>272254122.3176651</v>
      </c>
      <c r="AF42" s="3">
        <f t="shared" ref="AF42:AG42" si="31">SUM(AF4:AF41)</f>
        <v>284247290.73870593</v>
      </c>
      <c r="AG42" s="3">
        <f t="shared" si="31"/>
        <v>556501413.05637121</v>
      </c>
      <c r="AH42" s="8"/>
      <c r="AI42" s="4" t="s">
        <v>59</v>
      </c>
      <c r="AJ42" s="3">
        <f>SUM(AJ4:AJ41)</f>
        <v>335626999.37005067</v>
      </c>
      <c r="AK42" s="3">
        <f t="shared" ref="AK42:AN42" si="32">SUM(AK4:AK41)</f>
        <v>665006408.98490381</v>
      </c>
      <c r="AL42" s="3">
        <f t="shared" si="32"/>
        <v>139105343.06764859</v>
      </c>
      <c r="AM42" s="3">
        <f t="shared" si="32"/>
        <v>2348177427.177495</v>
      </c>
      <c r="AN42" s="3">
        <f t="shared" si="32"/>
        <v>3487916178.6000977</v>
      </c>
      <c r="AO42" s="8"/>
      <c r="AP42" s="4" t="s">
        <v>59</v>
      </c>
      <c r="AQ42" s="3">
        <f>SUM(AQ4:AQ41)</f>
        <v>207275774.55320299</v>
      </c>
      <c r="AR42" s="3">
        <f t="shared" ref="AR42:AU42" si="33">SUM(AR4:AR41)</f>
        <v>478370674.57936823</v>
      </c>
      <c r="AS42" s="3">
        <f t="shared" si="33"/>
        <v>73689502.86599648</v>
      </c>
      <c r="AT42" s="3">
        <f t="shared" si="33"/>
        <v>2172078813.5451593</v>
      </c>
      <c r="AU42" s="3">
        <f t="shared" si="33"/>
        <v>2931414765.5437264</v>
      </c>
      <c r="AV42" s="8"/>
      <c r="AW42" s="4" t="s">
        <v>59</v>
      </c>
      <c r="AX42" s="3">
        <f>SUM(AX4:AX41)</f>
        <v>128351224.81684777</v>
      </c>
      <c r="AY42" s="3">
        <f t="shared" ref="AY42:BB42" si="34">SUM(AY4:AY41)</f>
        <v>186635734.40553576</v>
      </c>
      <c r="AZ42" s="3">
        <f t="shared" si="34"/>
        <v>65415840.201652125</v>
      </c>
      <c r="BA42" s="3">
        <f t="shared" si="34"/>
        <v>176098613.63233548</v>
      </c>
      <c r="BB42" s="3">
        <f t="shared" si="34"/>
        <v>556501413.05637121</v>
      </c>
      <c r="BC42" s="8"/>
      <c r="BD42" s="4" t="s">
        <v>59</v>
      </c>
      <c r="BE42" s="3">
        <v>291955.52175957599</v>
      </c>
      <c r="BF42" s="3">
        <v>62722.207872098319</v>
      </c>
      <c r="BG42" s="3">
        <v>247289.19024092035</v>
      </c>
      <c r="BH42" s="3">
        <v>0</v>
      </c>
      <c r="BI42" s="3">
        <v>601966.91987259465</v>
      </c>
      <c r="BJ42" s="8"/>
      <c r="BK42" s="4" t="s">
        <v>59</v>
      </c>
      <c r="BL42" s="3">
        <v>237574.67436842763</v>
      </c>
      <c r="BM42" s="3">
        <v>496981.80467350216</v>
      </c>
      <c r="BN42" s="3">
        <v>1005609.7029894481</v>
      </c>
      <c r="BO42" s="3">
        <v>1375041.4852880319</v>
      </c>
      <c r="BP42" s="3">
        <v>3115207.6673194091</v>
      </c>
      <c r="BQ42" s="8"/>
      <c r="BR42" s="4" t="s">
        <v>59</v>
      </c>
      <c r="BS42" s="3">
        <v>7680425.4731577551</v>
      </c>
      <c r="BT42" s="3">
        <v>3703828.9871536149</v>
      </c>
      <c r="BU42" s="3">
        <v>13969114.699385365</v>
      </c>
      <c r="BV42" s="3">
        <v>1937652684.1646764</v>
      </c>
      <c r="BW42" s="3">
        <v>1963006053.324373</v>
      </c>
      <c r="BX42" s="8"/>
      <c r="BY42" s="4" t="s">
        <v>59</v>
      </c>
      <c r="BZ42" s="3">
        <v>44666903.602030098</v>
      </c>
      <c r="CA42" s="3">
        <v>342251487.20729744</v>
      </c>
      <c r="CB42" s="3">
        <v>27853516.206212763</v>
      </c>
      <c r="CC42" s="3">
        <v>29487923.310634766</v>
      </c>
      <c r="CD42" s="3">
        <v>444259830.32617521</v>
      </c>
      <c r="CE42" s="8"/>
      <c r="CF42" s="4" t="s">
        <v>59</v>
      </c>
      <c r="CG42" s="3">
        <v>88995205.887339547</v>
      </c>
      <c r="CH42" s="3">
        <v>4549299.5983762974</v>
      </c>
      <c r="CI42" s="3">
        <v>154939.12450175875</v>
      </c>
      <c r="CJ42" s="3">
        <v>1884297.2949703555</v>
      </c>
      <c r="CK42" s="3">
        <v>95583741.905187875</v>
      </c>
      <c r="CL42" s="8"/>
      <c r="CM42" s="4" t="s">
        <v>59</v>
      </c>
      <c r="CN42" s="3">
        <v>0</v>
      </c>
      <c r="CO42" s="3">
        <v>0</v>
      </c>
      <c r="CP42" s="3">
        <v>13923009.72055883</v>
      </c>
      <c r="CQ42" s="3">
        <v>26092364.135137912</v>
      </c>
      <c r="CR42" s="3">
        <v>40015373.855696738</v>
      </c>
      <c r="CS42" s="8"/>
      <c r="CT42" s="4" t="s">
        <v>59</v>
      </c>
      <c r="CU42" s="3">
        <v>5456114.7813543119</v>
      </c>
      <c r="CV42" s="3">
        <v>7271461.6311619468</v>
      </c>
      <c r="CW42" s="3">
        <v>546317.62783801928</v>
      </c>
      <c r="CX42" s="3">
        <v>0</v>
      </c>
      <c r="CY42" s="3">
        <v>13273894.040354278</v>
      </c>
      <c r="CZ42" s="8"/>
      <c r="DA42" s="4" t="s">
        <v>59</v>
      </c>
      <c r="DB42" s="3">
        <v>19616547.668575272</v>
      </c>
      <c r="DC42" s="3">
        <v>113700520.23165968</v>
      </c>
      <c r="DD42" s="3">
        <v>7089717.9838739587</v>
      </c>
      <c r="DE42" s="3">
        <v>3610032.8577509802</v>
      </c>
      <c r="DF42" s="3">
        <v>144016818.74185991</v>
      </c>
      <c r="DG42" s="8"/>
      <c r="DH42" s="4" t="s">
        <v>59</v>
      </c>
      <c r="DI42" s="3">
        <v>26311381.82491532</v>
      </c>
      <c r="DJ42" s="3">
        <v>995412.97503157577</v>
      </c>
      <c r="DK42" s="3">
        <v>8415672.0805324521</v>
      </c>
      <c r="DL42" s="3">
        <v>81994781.49194482</v>
      </c>
      <c r="DM42" s="3">
        <v>117717248.37242414</v>
      </c>
      <c r="DN42" s="8"/>
      <c r="DO42" s="4" t="s">
        <v>59</v>
      </c>
      <c r="DP42" s="3">
        <v>14019665.119702699</v>
      </c>
      <c r="DQ42" s="3">
        <v>5338959.9361418597</v>
      </c>
      <c r="DR42" s="3">
        <v>484316.52986293804</v>
      </c>
      <c r="DS42" s="3">
        <v>89981688.804755956</v>
      </c>
      <c r="DT42" s="3">
        <v>109824630.39046344</v>
      </c>
      <c r="DU42" s="8"/>
      <c r="DV42" s="4" t="s">
        <v>59</v>
      </c>
      <c r="DW42" s="3">
        <v>24560069.971376378</v>
      </c>
      <c r="DX42" s="3">
        <v>28294496.811598767</v>
      </c>
      <c r="DY42" s="3">
        <v>55294132.747744314</v>
      </c>
      <c r="DZ42" s="3">
        <v>176098591.2079865</v>
      </c>
      <c r="EA42" s="3">
        <v>284247290.73870593</v>
      </c>
      <c r="EB42" s="8"/>
      <c r="EC42" s="4" t="s">
        <v>59</v>
      </c>
      <c r="ED42" s="3">
        <v>103791154.84547138</v>
      </c>
      <c r="EE42" s="3">
        <v>158341237.59393698</v>
      </c>
      <c r="EF42" s="3">
        <v>10121707.453907814</v>
      </c>
      <c r="EG42" s="3">
        <v>22.424348960969702</v>
      </c>
      <c r="EH42" s="3">
        <v>272254122.3176651</v>
      </c>
    </row>
    <row r="43" spans="1:138" ht="10.199999999999999" customHeight="1" x14ac:dyDescent="0.2">
      <c r="O43" s="1">
        <f>AB42+AG42</f>
        <v>3487916178.6000972</v>
      </c>
      <c r="AJ43" s="5"/>
      <c r="AK43" s="5"/>
      <c r="AN43" s="1">
        <f>O42</f>
        <v>3487916178.6000981</v>
      </c>
      <c r="AQ43" s="5"/>
      <c r="AR43" s="5"/>
      <c r="AU43" s="1">
        <f>AB42</f>
        <v>2931414765.543726</v>
      </c>
      <c r="AX43" s="5"/>
      <c r="AY43" s="5"/>
      <c r="BB43" s="1">
        <f>AG42</f>
        <v>556501413.05637121</v>
      </c>
      <c r="BE43" s="5"/>
      <c r="BF43" s="5"/>
      <c r="BL43" s="5"/>
      <c r="BM43" s="5"/>
      <c r="BS43" s="5"/>
      <c r="BT43" s="5"/>
      <c r="BZ43" s="5"/>
      <c r="CA43" s="5"/>
      <c r="CG43" s="5"/>
      <c r="CH43" s="5"/>
      <c r="CN43" s="5"/>
      <c r="CO43" s="5"/>
      <c r="CU43" s="5"/>
      <c r="CV43" s="5"/>
      <c r="DB43" s="5"/>
      <c r="DC43" s="5"/>
      <c r="DI43" s="5"/>
      <c r="DJ43" s="5"/>
      <c r="DP43" s="5"/>
      <c r="DQ43" s="5"/>
      <c r="DW43" s="5"/>
      <c r="DX43" s="5"/>
      <c r="ED43" s="5"/>
      <c r="EE43" s="5"/>
    </row>
    <row r="44" spans="1:138" ht="10.199999999999999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E44" s="6"/>
      <c r="AF44" s="6"/>
      <c r="AG44" s="6"/>
    </row>
    <row r="46" spans="1:138" ht="10.199999999999999" customHeight="1" x14ac:dyDescent="0.2">
      <c r="AN46" s="5"/>
      <c r="AU46" s="5"/>
      <c r="BB46" s="5"/>
      <c r="BC46" s="1"/>
      <c r="BJ46" s="1"/>
      <c r="BQ46" s="1"/>
      <c r="BX46" s="1"/>
      <c r="CE46" s="1"/>
      <c r="CL46" s="1"/>
      <c r="CS46" s="1"/>
      <c r="CZ46" s="1"/>
      <c r="DG46" s="1"/>
      <c r="DN46" s="1"/>
      <c r="DU46" s="1"/>
      <c r="EB46" s="1"/>
    </row>
    <row r="47" spans="1:138" ht="10.199999999999999" customHeight="1" x14ac:dyDescent="0.2">
      <c r="B47" s="1" t="str">
        <f>A1</f>
        <v>Tabel 109 Jumlah Kuantitas Bahan Baku (Kg) berdasarkan Jenis Kegiatan</v>
      </c>
      <c r="AN47" s="5"/>
      <c r="AU47" s="5"/>
      <c r="BB47" s="5"/>
      <c r="BC47" s="1"/>
      <c r="BJ47" s="1"/>
      <c r="BQ47" s="1"/>
      <c r="BX47" s="1"/>
      <c r="CE47" s="1"/>
      <c r="CL47" s="1"/>
      <c r="CS47" s="1"/>
      <c r="CZ47" s="1"/>
      <c r="DG47" s="1"/>
      <c r="DN47" s="1"/>
      <c r="DU47" s="1"/>
      <c r="EB47" s="1"/>
    </row>
    <row r="48" spans="1:138" ht="10.199999999999999" customHeight="1" x14ac:dyDescent="0.2">
      <c r="B48" s="1" t="str">
        <f>P1</f>
        <v>Tabel 110 Jumlah Kuantitas Bahan Baku (Kg) pada Kegiatan Pengolahan</v>
      </c>
      <c r="BC48" s="1"/>
      <c r="BJ48" s="1"/>
      <c r="BQ48" s="1"/>
      <c r="BX48" s="1"/>
      <c r="CE48" s="1"/>
      <c r="CL48" s="1"/>
      <c r="CS48" s="1"/>
      <c r="CZ48" s="1"/>
      <c r="DG48" s="1"/>
      <c r="DN48" s="1"/>
      <c r="DU48" s="1"/>
      <c r="EB48" s="1"/>
    </row>
    <row r="49" spans="2:132" ht="10.199999999999999" customHeight="1" x14ac:dyDescent="0.2">
      <c r="B49" s="1" t="str">
        <f>AC1</f>
        <v>Tabel 111 Jumlah Kuantitas Bahan Baku (Kg) pada Kegiatan Pemasaran</v>
      </c>
      <c r="BC49" s="1"/>
      <c r="BJ49" s="1"/>
      <c r="BQ49" s="1"/>
      <c r="BX49" s="1"/>
      <c r="CE49" s="1"/>
      <c r="CL49" s="1"/>
      <c r="CS49" s="1"/>
      <c r="CZ49" s="1"/>
      <c r="DG49" s="1"/>
      <c r="DN49" s="1"/>
      <c r="DU49" s="1"/>
      <c r="EB49" s="1"/>
    </row>
    <row r="50" spans="2:132" ht="10.199999999999999" customHeight="1" x14ac:dyDescent="0.2">
      <c r="B50" s="1" t="str">
        <f>AH1</f>
        <v xml:space="preserve">Tabel 112 Jumlah Kuantitas Bahan Baku (Kg) berdasarkan Skala Usaha </v>
      </c>
      <c r="BC50" s="1"/>
      <c r="BJ50" s="1"/>
      <c r="BQ50" s="1"/>
      <c r="BX50" s="1"/>
      <c r="CE50" s="1"/>
      <c r="CL50" s="1"/>
      <c r="CS50" s="1"/>
      <c r="CZ50" s="1"/>
      <c r="DG50" s="1"/>
      <c r="DN50" s="1"/>
      <c r="DU50" s="1"/>
      <c r="EB50" s="1"/>
    </row>
    <row r="51" spans="2:132" ht="10.199999999999999" customHeight="1" x14ac:dyDescent="0.2">
      <c r="B51" s="1" t="str">
        <f>AO1</f>
        <v>Tabel 113 Jumlah Kuantitas Bahan Baku (Kg) berdasarkan Skala Usaha pada Kegiatan Pengolahan</v>
      </c>
      <c r="BC51" s="1"/>
      <c r="BJ51" s="1"/>
      <c r="BQ51" s="1"/>
      <c r="BX51" s="1"/>
      <c r="CE51" s="1"/>
      <c r="CL51" s="1"/>
      <c r="CS51" s="1"/>
      <c r="CZ51" s="1"/>
      <c r="DG51" s="1"/>
      <c r="DN51" s="1"/>
      <c r="DU51" s="1"/>
      <c r="EB51" s="1"/>
    </row>
    <row r="52" spans="2:132" ht="10.199999999999999" customHeight="1" x14ac:dyDescent="0.2">
      <c r="B52" s="1" t="str">
        <f>AV1</f>
        <v>Tabel 114 Jumlah Kuantitas Bahan Baku (Kg) berdasarkan Skala Usaha pada Kegiatan Pemasaran</v>
      </c>
      <c r="BC52" s="1"/>
      <c r="BJ52" s="1"/>
      <c r="BQ52" s="1"/>
      <c r="BX52" s="1"/>
      <c r="CE52" s="1"/>
      <c r="CL52" s="1"/>
      <c r="CS52" s="1"/>
      <c r="CZ52" s="1"/>
      <c r="DG52" s="1"/>
      <c r="DN52" s="1"/>
      <c r="DU52" s="1"/>
      <c r="EB52" s="1"/>
    </row>
    <row r="53" spans="2:132" ht="10.199999999999999" customHeight="1" x14ac:dyDescent="0.2">
      <c r="B53" s="1" t="str">
        <f>BC1</f>
        <v xml:space="preserve">Tabel 115 Jumlah Kuantitas Bahan Baku (Kg) berdasarkan Skala Usaha pada Jenis Kegiatan Fermentasi </v>
      </c>
      <c r="BC53" s="1"/>
      <c r="BJ53" s="1"/>
      <c r="BQ53" s="1"/>
      <c r="BX53" s="1"/>
      <c r="CE53" s="1"/>
      <c r="CL53" s="1"/>
      <c r="CS53" s="1"/>
      <c r="CZ53" s="1"/>
      <c r="DG53" s="1"/>
      <c r="DN53" s="1"/>
      <c r="DU53" s="1"/>
      <c r="EB53" s="1"/>
    </row>
    <row r="54" spans="2:132" ht="10.199999999999999" customHeight="1" x14ac:dyDescent="0.2">
      <c r="B54" s="1" t="str">
        <f>BJ1</f>
        <v xml:space="preserve">Tabel 116 Jumlah Kuantitas Bahan Baku (Kg) berdasarkan Skala Usaha pada Jenis Kegiatan Pelumatan Daging Ikan </v>
      </c>
      <c r="BC54" s="1"/>
      <c r="BJ54" s="1"/>
      <c r="BQ54" s="1"/>
      <c r="BX54" s="1"/>
      <c r="CE54" s="1"/>
      <c r="CL54" s="1"/>
      <c r="CS54" s="1"/>
      <c r="CZ54" s="1"/>
      <c r="DG54" s="1"/>
      <c r="DN54" s="1"/>
      <c r="DU54" s="1"/>
      <c r="EB54" s="1"/>
    </row>
    <row r="55" spans="2:132" ht="10.199999999999999" customHeight="1" x14ac:dyDescent="0.2">
      <c r="B55" s="1" t="str">
        <f>BQ1</f>
        <v xml:space="preserve">Tabel 117 Jumlah Kuantitas Bahan Baku (Kg)  berdasarkan Skala Usaha pada Jenis Kegiatan Pembekuan </v>
      </c>
      <c r="BC55" s="1"/>
      <c r="BJ55" s="1"/>
      <c r="BQ55" s="1"/>
      <c r="BX55" s="1"/>
      <c r="CE55" s="1"/>
      <c r="CL55" s="1"/>
      <c r="CS55" s="1"/>
      <c r="CZ55" s="1"/>
      <c r="DG55" s="1"/>
      <c r="DN55" s="1"/>
      <c r="DU55" s="1"/>
      <c r="EB55" s="1"/>
    </row>
    <row r="56" spans="2:132" ht="10.199999999999999" customHeight="1" x14ac:dyDescent="0.2">
      <c r="B56" s="1" t="str">
        <f>BX1</f>
        <v xml:space="preserve">Tabel 118 Jumlah Kuantitas Bahan Baku (Kg) berdasarkan Skala Usaha pada Jenis Kegiatan Pemindangan </v>
      </c>
      <c r="BC56" s="1"/>
      <c r="BJ56" s="1"/>
      <c r="BQ56" s="1"/>
      <c r="BX56" s="1"/>
      <c r="CE56" s="1"/>
      <c r="CL56" s="1"/>
      <c r="CS56" s="1"/>
      <c r="CZ56" s="1"/>
      <c r="DG56" s="1"/>
      <c r="DN56" s="1"/>
      <c r="DU56" s="1"/>
      <c r="EB56" s="1"/>
    </row>
    <row r="57" spans="2:132" ht="10.199999999999999" customHeight="1" x14ac:dyDescent="0.2">
      <c r="B57" s="1" t="str">
        <f>CE1</f>
        <v xml:space="preserve">Tabel 119 Jumlah Kuantitas Bahan Baku (Kg) berdasarkan Skala Usaha pada Jenis Kegiatan Penanganan Produk Segar  </v>
      </c>
      <c r="BC57" s="1"/>
      <c r="BJ57" s="1"/>
      <c r="BQ57" s="1"/>
      <c r="BX57" s="1"/>
      <c r="CE57" s="1"/>
      <c r="CL57" s="1"/>
      <c r="CS57" s="1"/>
      <c r="CZ57" s="1"/>
      <c r="DG57" s="1"/>
      <c r="DN57" s="1"/>
      <c r="DU57" s="1"/>
      <c r="EB57" s="1"/>
    </row>
    <row r="58" spans="2:132" ht="10.199999999999999" customHeight="1" x14ac:dyDescent="0.2">
      <c r="B58" s="1" t="str">
        <f>CL1</f>
        <v xml:space="preserve">Tabel 120 Jumlah Kuantitas Bahan Baku (Kg) berdasarkan Skala Usaha pada Jenis Kegiatan Pengalengan </v>
      </c>
      <c r="BC58" s="1"/>
      <c r="BJ58" s="1"/>
      <c r="BQ58" s="1"/>
      <c r="BX58" s="1"/>
      <c r="CE58" s="1"/>
      <c r="CL58" s="1"/>
      <c r="CS58" s="1"/>
      <c r="CZ58" s="1"/>
      <c r="DG58" s="1"/>
      <c r="DN58" s="1"/>
      <c r="DU58" s="1"/>
      <c r="EB58" s="1"/>
    </row>
    <row r="59" spans="2:132" ht="10.199999999999999" customHeight="1" x14ac:dyDescent="0.2">
      <c r="B59" s="1" t="str">
        <f>CS1</f>
        <v xml:space="preserve">Tabel 121 Jumlah Kuantitas Bahan Baku (Kg) berdasarkan Skala Usaha pada Jenis Kegiatan Pengasapan / Pemanggangan </v>
      </c>
      <c r="BC59" s="1"/>
      <c r="BJ59" s="1"/>
      <c r="BQ59" s="1"/>
      <c r="BX59" s="1"/>
      <c r="CE59" s="1"/>
      <c r="CL59" s="1"/>
      <c r="CS59" s="1"/>
      <c r="CZ59" s="1"/>
      <c r="DG59" s="1"/>
      <c r="DN59" s="1"/>
      <c r="DU59" s="1"/>
      <c r="EB59" s="1"/>
    </row>
    <row r="60" spans="2:132" ht="10.199999999999999" customHeight="1" x14ac:dyDescent="0.2">
      <c r="B60" s="1" t="str">
        <f>CZ1</f>
        <v xml:space="preserve">Tabel 122 Jumlah Kuantitas Bahan Baku (Kg) berdasarkan Skala Usaha pada Jenis Kegiatan Penggaraman / Pengeringan </v>
      </c>
      <c r="BC60" s="1"/>
      <c r="BJ60" s="1"/>
      <c r="BQ60" s="1"/>
      <c r="BX60" s="1"/>
      <c r="CE60" s="1"/>
      <c r="CL60" s="1"/>
      <c r="CS60" s="1"/>
      <c r="CZ60" s="1"/>
      <c r="DG60" s="1"/>
      <c r="DN60" s="1"/>
      <c r="DU60" s="1"/>
      <c r="EB60" s="1"/>
    </row>
    <row r="61" spans="2:132" ht="10.199999999999999" customHeight="1" x14ac:dyDescent="0.2">
      <c r="B61" s="1" t="str">
        <f>DG1</f>
        <v xml:space="preserve">Tabel 123 Jumlah Kuantitas Bahan Baku (Kg) berdasarkan Skala Usaha pada Jenis Kegiatan Pereduksian/Ekstraksi </v>
      </c>
      <c r="BC61" s="1"/>
      <c r="BJ61" s="1"/>
      <c r="BQ61" s="1"/>
      <c r="BX61" s="1"/>
      <c r="CE61" s="1"/>
      <c r="CL61" s="1"/>
      <c r="CS61" s="1"/>
      <c r="CZ61" s="1"/>
      <c r="DG61" s="1"/>
      <c r="DN61" s="1"/>
      <c r="DU61" s="1"/>
      <c r="EB61" s="1"/>
    </row>
    <row r="62" spans="2:132" ht="10.199999999999999" customHeight="1" x14ac:dyDescent="0.2">
      <c r="B62" s="1" t="str">
        <f>DN1</f>
        <v xml:space="preserve">Tabel 124 Jumlah Kuantitas Bahan Baku (Kg) berdasarkan Skala Usaha pada Jenis Kegiatan Pengolahan Lainnya </v>
      </c>
      <c r="BC62" s="1"/>
      <c r="BJ62" s="1"/>
      <c r="BQ62" s="1"/>
      <c r="BX62" s="1"/>
      <c r="CE62" s="1"/>
      <c r="CL62" s="1"/>
      <c r="CS62" s="1"/>
      <c r="CZ62" s="1"/>
      <c r="DG62" s="1"/>
      <c r="DN62" s="1"/>
      <c r="DU62" s="1"/>
      <c r="EB62" s="1"/>
    </row>
    <row r="63" spans="2:132" ht="10.199999999999999" customHeight="1" x14ac:dyDescent="0.2">
      <c r="B63" s="1" t="str">
        <f>DU1</f>
        <v xml:space="preserve">Tabel 125 Jumlah Kuantitas Bahan Baku (Kg) berdasarkan Skala Usaha pada Jenis Kegiatan Pengumpul/Pedagang Besar/Distributor </v>
      </c>
      <c r="BC63" s="1"/>
      <c r="BJ63" s="1"/>
      <c r="BQ63" s="1"/>
      <c r="BX63" s="1"/>
      <c r="CE63" s="1"/>
      <c r="CL63" s="1"/>
      <c r="CS63" s="1"/>
      <c r="CZ63" s="1"/>
      <c r="DG63" s="1"/>
      <c r="DN63" s="1"/>
      <c r="DU63" s="1"/>
      <c r="EB63" s="1"/>
    </row>
    <row r="64" spans="2:132" ht="10.199999999999999" customHeight="1" x14ac:dyDescent="0.2">
      <c r="B64" s="1" t="str">
        <f>EB1</f>
        <v xml:space="preserve">Tabel 126 Jumlah Kuantitas Bahan Baku (Kg) berdasarkan Skala Usaha pada Jenis Kegiatan Pengecer </v>
      </c>
      <c r="BC64" s="1"/>
      <c r="BJ64" s="1"/>
      <c r="BQ64" s="1"/>
      <c r="BX64" s="1"/>
      <c r="CE64" s="1"/>
      <c r="CL64" s="1"/>
      <c r="CS64" s="1"/>
      <c r="CZ64" s="1"/>
      <c r="DG64" s="1"/>
      <c r="DN64" s="1"/>
      <c r="DU64" s="1"/>
      <c r="EB64" s="1"/>
    </row>
    <row r="65" spans="1:132" ht="10.199999999999999" customHeight="1" x14ac:dyDescent="0.2">
      <c r="BC65" s="1"/>
      <c r="BJ65" s="1"/>
      <c r="BQ65" s="1"/>
      <c r="BX65" s="1"/>
      <c r="CE65" s="1"/>
      <c r="CL65" s="1"/>
      <c r="CS65" s="1"/>
      <c r="CZ65" s="1"/>
      <c r="DG65" s="1"/>
      <c r="DN65" s="1"/>
      <c r="DU65" s="1"/>
      <c r="EB65" s="1"/>
    </row>
    <row r="66" spans="1:132" ht="10.199999999999999" customHeight="1" x14ac:dyDescent="0.2">
      <c r="BC66" s="1"/>
      <c r="BJ66" s="1"/>
      <c r="BQ66" s="1"/>
      <c r="BX66" s="1"/>
      <c r="CE66" s="1"/>
      <c r="CL66" s="1"/>
      <c r="CS66" s="1"/>
      <c r="CZ66" s="1"/>
      <c r="DG66" s="1"/>
      <c r="DN66" s="1"/>
      <c r="DU66" s="1"/>
      <c r="EB66" s="1"/>
    </row>
    <row r="67" spans="1:132" s="21" customFormat="1" ht="12" x14ac:dyDescent="0.25">
      <c r="A67" s="67" t="s">
        <v>0</v>
      </c>
      <c r="B67" s="67" t="s">
        <v>4</v>
      </c>
      <c r="C67" s="33" t="s">
        <v>444</v>
      </c>
    </row>
    <row r="68" spans="1:132" s="18" customFormat="1" ht="12" x14ac:dyDescent="0.25">
      <c r="A68" s="72">
        <v>1</v>
      </c>
      <c r="B68" s="69" t="s">
        <v>9</v>
      </c>
      <c r="C68" s="34">
        <f>C42</f>
        <v>601966.91987259465</v>
      </c>
      <c r="P68" s="21"/>
      <c r="AC68" s="21"/>
      <c r="AH68" s="21"/>
      <c r="AO68" s="21"/>
      <c r="AV68" s="21"/>
      <c r="BC68" s="21"/>
      <c r="BJ68" s="21"/>
      <c r="BQ68" s="21"/>
      <c r="BX68" s="21"/>
      <c r="CE68" s="21"/>
      <c r="CL68" s="21"/>
      <c r="CS68" s="21"/>
      <c r="CZ68" s="21"/>
      <c r="DG68" s="21"/>
      <c r="DN68" s="21"/>
      <c r="DU68" s="21"/>
      <c r="EB68" s="21"/>
    </row>
    <row r="69" spans="1:132" s="18" customFormat="1" ht="12" x14ac:dyDescent="0.25">
      <c r="A69" s="72">
        <v>2</v>
      </c>
      <c r="B69" s="69" t="s">
        <v>10</v>
      </c>
      <c r="C69" s="34">
        <f>D42</f>
        <v>3115207.6673194091</v>
      </c>
      <c r="P69" s="21"/>
      <c r="AC69" s="21"/>
      <c r="AH69" s="21"/>
      <c r="AO69" s="21"/>
      <c r="AV69" s="21"/>
      <c r="BC69" s="21"/>
      <c r="BJ69" s="21"/>
      <c r="BQ69" s="21"/>
      <c r="BX69" s="21"/>
      <c r="CE69" s="21"/>
      <c r="CL69" s="21"/>
      <c r="CS69" s="21"/>
      <c r="CZ69" s="21"/>
      <c r="DG69" s="21"/>
      <c r="DN69" s="21"/>
      <c r="DU69" s="21"/>
      <c r="EB69" s="21"/>
    </row>
    <row r="70" spans="1:132" s="18" customFormat="1" ht="12" x14ac:dyDescent="0.25">
      <c r="A70" s="72">
        <v>3</v>
      </c>
      <c r="B70" s="69" t="s">
        <v>11</v>
      </c>
      <c r="C70" s="34">
        <f>E42</f>
        <v>1963006053.324373</v>
      </c>
      <c r="P70" s="21"/>
      <c r="AC70" s="21"/>
      <c r="AH70" s="21"/>
      <c r="AO70" s="21"/>
      <c r="AV70" s="21"/>
      <c r="BC70" s="21"/>
      <c r="BJ70" s="21"/>
      <c r="BQ70" s="21"/>
      <c r="BX70" s="21"/>
      <c r="CE70" s="21"/>
      <c r="CL70" s="21"/>
      <c r="CS70" s="21"/>
      <c r="CZ70" s="21"/>
      <c r="DG70" s="21"/>
      <c r="DN70" s="21"/>
      <c r="DU70" s="21"/>
      <c r="EB70" s="21"/>
    </row>
    <row r="71" spans="1:132" s="18" customFormat="1" ht="12" x14ac:dyDescent="0.25">
      <c r="A71" s="72">
        <v>4</v>
      </c>
      <c r="B71" s="69" t="s">
        <v>12</v>
      </c>
      <c r="C71" s="34">
        <f>F42</f>
        <v>444259830.32617521</v>
      </c>
      <c r="P71" s="21"/>
      <c r="AC71" s="21"/>
      <c r="AH71" s="21"/>
      <c r="AO71" s="21"/>
      <c r="AV71" s="21"/>
      <c r="BC71" s="21"/>
      <c r="BJ71" s="21"/>
      <c r="BQ71" s="21"/>
      <c r="BX71" s="21"/>
      <c r="CE71" s="21"/>
      <c r="CL71" s="21"/>
      <c r="CS71" s="21"/>
      <c r="CZ71" s="21"/>
      <c r="DG71" s="21"/>
      <c r="DN71" s="21"/>
      <c r="DU71" s="21"/>
      <c r="EB71" s="21"/>
    </row>
    <row r="72" spans="1:132" s="18" customFormat="1" ht="12" x14ac:dyDescent="0.25">
      <c r="A72" s="72">
        <v>5</v>
      </c>
      <c r="B72" s="69" t="s">
        <v>13</v>
      </c>
      <c r="C72" s="34">
        <f>G42</f>
        <v>95583741.905187875</v>
      </c>
      <c r="P72" s="21"/>
      <c r="AC72" s="21"/>
      <c r="AH72" s="21"/>
      <c r="AO72" s="21"/>
      <c r="AV72" s="21"/>
      <c r="BC72" s="21"/>
      <c r="BJ72" s="21"/>
      <c r="BQ72" s="21"/>
      <c r="BX72" s="21"/>
      <c r="CE72" s="21"/>
      <c r="CL72" s="21"/>
      <c r="CS72" s="21"/>
      <c r="CZ72" s="21"/>
      <c r="DG72" s="21"/>
      <c r="DN72" s="21"/>
      <c r="DU72" s="21"/>
      <c r="EB72" s="21"/>
    </row>
    <row r="73" spans="1:132" s="18" customFormat="1" ht="12" x14ac:dyDescent="0.25">
      <c r="A73" s="72">
        <v>6</v>
      </c>
      <c r="B73" s="69" t="s">
        <v>14</v>
      </c>
      <c r="C73" s="34">
        <f>H42</f>
        <v>40015373.855696738</v>
      </c>
      <c r="P73" s="21"/>
      <c r="AC73" s="21"/>
      <c r="AH73" s="21"/>
      <c r="AO73" s="21"/>
      <c r="AV73" s="21"/>
      <c r="BC73" s="21"/>
      <c r="BJ73" s="21"/>
      <c r="BQ73" s="21"/>
      <c r="BX73" s="21"/>
      <c r="CE73" s="21"/>
      <c r="CL73" s="21"/>
      <c r="CS73" s="21"/>
      <c r="CZ73" s="21"/>
      <c r="DG73" s="21"/>
      <c r="DN73" s="21"/>
      <c r="DU73" s="21"/>
      <c r="EB73" s="21"/>
    </row>
    <row r="74" spans="1:132" s="18" customFormat="1" ht="12" x14ac:dyDescent="0.25">
      <c r="A74" s="72">
        <v>7</v>
      </c>
      <c r="B74" s="69" t="s">
        <v>15</v>
      </c>
      <c r="C74" s="34">
        <f>I42</f>
        <v>13273894.040354278</v>
      </c>
      <c r="P74" s="21"/>
      <c r="AC74" s="21"/>
      <c r="AH74" s="21"/>
      <c r="AO74" s="21"/>
      <c r="AV74" s="21"/>
      <c r="BC74" s="21"/>
      <c r="BJ74" s="21"/>
      <c r="BQ74" s="21"/>
      <c r="BX74" s="21"/>
      <c r="CE74" s="21"/>
      <c r="CL74" s="21"/>
      <c r="CS74" s="21"/>
      <c r="CZ74" s="21"/>
      <c r="DG74" s="21"/>
      <c r="DN74" s="21"/>
      <c r="DU74" s="21"/>
      <c r="EB74" s="21"/>
    </row>
    <row r="75" spans="1:132" s="18" customFormat="1" ht="12" x14ac:dyDescent="0.25">
      <c r="A75" s="72">
        <v>8</v>
      </c>
      <c r="B75" s="69" t="s">
        <v>19</v>
      </c>
      <c r="C75" s="34">
        <f>J42</f>
        <v>117717248.37242414</v>
      </c>
      <c r="P75" s="21"/>
      <c r="AC75" s="21"/>
      <c r="AH75" s="21"/>
      <c r="AO75" s="21"/>
      <c r="AV75" s="21"/>
      <c r="BC75" s="21"/>
      <c r="BJ75" s="21"/>
      <c r="BQ75" s="21"/>
      <c r="BX75" s="21"/>
      <c r="CE75" s="21"/>
      <c r="CL75" s="21"/>
      <c r="CS75" s="21"/>
      <c r="CZ75" s="21"/>
      <c r="DG75" s="21"/>
      <c r="DN75" s="21"/>
      <c r="DU75" s="21"/>
      <c r="EB75" s="21"/>
    </row>
    <row r="76" spans="1:132" s="18" customFormat="1" ht="12" x14ac:dyDescent="0.25">
      <c r="A76" s="72">
        <v>9</v>
      </c>
      <c r="B76" s="69" t="s">
        <v>17</v>
      </c>
      <c r="C76" s="34">
        <f>K42</f>
        <v>144016818.74185991</v>
      </c>
      <c r="P76" s="21"/>
      <c r="AC76" s="21"/>
      <c r="AH76" s="21"/>
      <c r="AO76" s="21"/>
      <c r="AV76" s="21"/>
      <c r="BC76" s="21"/>
      <c r="BJ76" s="21"/>
      <c r="BQ76" s="21"/>
      <c r="BX76" s="21"/>
      <c r="CE76" s="21"/>
      <c r="CL76" s="21"/>
      <c r="CS76" s="21"/>
      <c r="CZ76" s="21"/>
      <c r="DG76" s="21"/>
      <c r="DN76" s="21"/>
      <c r="DU76" s="21"/>
      <c r="EB76" s="21"/>
    </row>
    <row r="77" spans="1:132" s="18" customFormat="1" ht="12" x14ac:dyDescent="0.25">
      <c r="A77" s="72">
        <v>10</v>
      </c>
      <c r="B77" s="69" t="s">
        <v>18</v>
      </c>
      <c r="C77" s="34">
        <f>L42</f>
        <v>109824630.39046344</v>
      </c>
      <c r="P77" s="21"/>
      <c r="AC77" s="21"/>
      <c r="AH77" s="21"/>
      <c r="AO77" s="21"/>
      <c r="AV77" s="21"/>
      <c r="BC77" s="21"/>
      <c r="BJ77" s="21"/>
      <c r="BQ77" s="21"/>
      <c r="BX77" s="21"/>
      <c r="CE77" s="21"/>
      <c r="CL77" s="21"/>
      <c r="CS77" s="21"/>
      <c r="CZ77" s="21"/>
      <c r="DG77" s="21"/>
      <c r="DN77" s="21"/>
      <c r="DU77" s="21"/>
      <c r="EB77" s="21"/>
    </row>
    <row r="78" spans="1:132" s="18" customFormat="1" ht="12" x14ac:dyDescent="0.25">
      <c r="A78" s="72">
        <v>11</v>
      </c>
      <c r="B78" s="69" t="s">
        <v>20</v>
      </c>
      <c r="C78" s="34">
        <f>M42</f>
        <v>272254122.3176651</v>
      </c>
      <c r="P78" s="21"/>
      <c r="AC78" s="21"/>
      <c r="AH78" s="21"/>
      <c r="AO78" s="21"/>
      <c r="AV78" s="21"/>
      <c r="BC78" s="21"/>
      <c r="BJ78" s="21"/>
      <c r="BQ78" s="21"/>
      <c r="BX78" s="21"/>
      <c r="CE78" s="21"/>
      <c r="CL78" s="21"/>
      <c r="CS78" s="21"/>
      <c r="CZ78" s="21"/>
      <c r="DG78" s="21"/>
      <c r="DN78" s="21"/>
      <c r="DU78" s="21"/>
      <c r="EB78" s="21"/>
    </row>
    <row r="79" spans="1:132" s="18" customFormat="1" ht="12" x14ac:dyDescent="0.25">
      <c r="A79" s="72">
        <v>12</v>
      </c>
      <c r="B79" s="69" t="s">
        <v>16</v>
      </c>
      <c r="C79" s="34">
        <f>N42</f>
        <v>284247290.73870593</v>
      </c>
      <c r="P79" s="21"/>
      <c r="AC79" s="21"/>
      <c r="AH79" s="21"/>
      <c r="AO79" s="21"/>
      <c r="AV79" s="21"/>
      <c r="BC79" s="21"/>
      <c r="BJ79" s="21"/>
      <c r="BQ79" s="21"/>
      <c r="BX79" s="21"/>
      <c r="CE79" s="21"/>
      <c r="CL79" s="21"/>
      <c r="CS79" s="21"/>
      <c r="CZ79" s="21"/>
      <c r="DG79" s="21"/>
      <c r="DN79" s="21"/>
      <c r="DU79" s="21"/>
      <c r="EB79" s="21"/>
    </row>
    <row r="80" spans="1:132" s="18" customFormat="1" ht="12" x14ac:dyDescent="0.25">
      <c r="A80" s="72"/>
      <c r="B80" s="69" t="s">
        <v>400</v>
      </c>
      <c r="C80" s="34">
        <f>O42</f>
        <v>3487916178.6000981</v>
      </c>
      <c r="D80" s="51">
        <f>SUM(C68:C79)</f>
        <v>3487916178.6000981</v>
      </c>
      <c r="P80" s="21"/>
      <c r="AC80" s="21"/>
      <c r="AH80" s="21"/>
      <c r="AO80" s="21"/>
      <c r="AV80" s="21"/>
      <c r="BC80" s="21"/>
      <c r="BJ80" s="21"/>
      <c r="BQ80" s="21"/>
      <c r="BX80" s="21"/>
      <c r="CE80" s="21"/>
      <c r="CL80" s="21"/>
      <c r="CS80" s="21"/>
      <c r="CZ80" s="21"/>
      <c r="DG80" s="21"/>
      <c r="DN80" s="21"/>
      <c r="DU80" s="21"/>
      <c r="EB80" s="21"/>
    </row>
    <row r="81" spans="1:132" s="18" customFormat="1" ht="12" x14ac:dyDescent="0.25">
      <c r="A81" s="71"/>
      <c r="B81" s="66"/>
      <c r="C81" s="36"/>
      <c r="P81" s="21"/>
      <c r="AC81" s="21"/>
      <c r="AH81" s="21"/>
      <c r="AO81" s="21"/>
      <c r="AV81" s="21"/>
      <c r="BC81" s="21"/>
      <c r="BJ81" s="21"/>
      <c r="BQ81" s="21"/>
      <c r="BX81" s="21"/>
      <c r="CE81" s="21"/>
      <c r="CL81" s="21"/>
      <c r="CS81" s="21"/>
      <c r="CZ81" s="21"/>
      <c r="DG81" s="21"/>
      <c r="DN81" s="21"/>
      <c r="DU81" s="21"/>
      <c r="EB81" s="21"/>
    </row>
    <row r="82" spans="1:132" s="18" customFormat="1" ht="12" x14ac:dyDescent="0.25">
      <c r="A82" s="75"/>
      <c r="B82" s="75"/>
      <c r="C82" s="75"/>
      <c r="P82" s="21"/>
      <c r="AC82" s="21"/>
      <c r="AH82" s="21"/>
      <c r="AO82" s="21"/>
      <c r="AV82" s="21"/>
      <c r="BC82" s="21"/>
      <c r="BJ82" s="21"/>
      <c r="BQ82" s="21"/>
      <c r="BX82" s="21"/>
      <c r="CE82" s="21"/>
      <c r="CL82" s="21"/>
      <c r="CS82" s="21"/>
      <c r="CZ82" s="21"/>
      <c r="DG82" s="21"/>
      <c r="DN82" s="21"/>
      <c r="DU82" s="21"/>
      <c r="EB82" s="21"/>
    </row>
    <row r="83" spans="1:132" s="21" customFormat="1" ht="12" x14ac:dyDescent="0.25">
      <c r="A83" s="67" t="s">
        <v>0</v>
      </c>
      <c r="B83" s="67" t="s">
        <v>2</v>
      </c>
      <c r="C83" s="33" t="s">
        <v>444</v>
      </c>
    </row>
    <row r="84" spans="1:132" s="18" customFormat="1" ht="12" x14ac:dyDescent="0.25">
      <c r="A84" s="72">
        <v>1</v>
      </c>
      <c r="B84" s="69" t="s">
        <v>5</v>
      </c>
      <c r="C84" s="34">
        <f>AJ42</f>
        <v>335626999.37005067</v>
      </c>
      <c r="P84" s="21"/>
      <c r="AC84" s="21"/>
      <c r="AH84" s="21"/>
      <c r="AO84" s="21"/>
      <c r="AV84" s="21"/>
      <c r="BC84" s="21"/>
      <c r="BJ84" s="21"/>
      <c r="BQ84" s="21"/>
      <c r="BX84" s="21"/>
      <c r="CE84" s="21"/>
      <c r="CL84" s="21"/>
      <c r="CS84" s="21"/>
      <c r="CZ84" s="21"/>
      <c r="DG84" s="21"/>
      <c r="DN84" s="21"/>
      <c r="DU84" s="21"/>
      <c r="EB84" s="21"/>
    </row>
    <row r="85" spans="1:132" s="18" customFormat="1" ht="12" x14ac:dyDescent="0.25">
      <c r="A85" s="72">
        <v>2</v>
      </c>
      <c r="B85" s="69" t="s">
        <v>6</v>
      </c>
      <c r="C85" s="34">
        <f>AK42</f>
        <v>665006408.98490381</v>
      </c>
      <c r="P85" s="21"/>
      <c r="AC85" s="21"/>
      <c r="AH85" s="21"/>
      <c r="AO85" s="21"/>
      <c r="AV85" s="21"/>
      <c r="BC85" s="21"/>
      <c r="BJ85" s="21"/>
      <c r="BQ85" s="21"/>
      <c r="BX85" s="21"/>
      <c r="CE85" s="21"/>
      <c r="CL85" s="21"/>
      <c r="CS85" s="21"/>
      <c r="CZ85" s="21"/>
      <c r="DG85" s="21"/>
      <c r="DN85" s="21"/>
      <c r="DU85" s="21"/>
      <c r="EB85" s="21"/>
    </row>
    <row r="86" spans="1:132" s="18" customFormat="1" ht="12" x14ac:dyDescent="0.25">
      <c r="A86" s="72">
        <v>3</v>
      </c>
      <c r="B86" s="69" t="s">
        <v>7</v>
      </c>
      <c r="C86" s="34">
        <f>AL42</f>
        <v>139105343.06764859</v>
      </c>
      <c r="P86" s="21"/>
      <c r="AC86" s="21"/>
      <c r="AH86" s="21"/>
      <c r="AO86" s="21"/>
      <c r="AV86" s="21"/>
      <c r="BC86" s="21"/>
      <c r="BJ86" s="21"/>
      <c r="BQ86" s="21"/>
      <c r="BX86" s="21"/>
      <c r="CE86" s="21"/>
      <c r="CL86" s="21"/>
      <c r="CS86" s="21"/>
      <c r="CZ86" s="21"/>
      <c r="DG86" s="21"/>
      <c r="DN86" s="21"/>
      <c r="DU86" s="21"/>
      <c r="EB86" s="21"/>
    </row>
    <row r="87" spans="1:132" s="18" customFormat="1" ht="12" x14ac:dyDescent="0.25">
      <c r="A87" s="72">
        <v>4</v>
      </c>
      <c r="B87" s="69" t="s">
        <v>8</v>
      </c>
      <c r="C87" s="34">
        <f>AM42</f>
        <v>2348177427.177495</v>
      </c>
      <c r="P87" s="21"/>
      <c r="AC87" s="21"/>
      <c r="AH87" s="21"/>
      <c r="AO87" s="21"/>
      <c r="AV87" s="21"/>
      <c r="BC87" s="21"/>
      <c r="BJ87" s="21"/>
      <c r="BQ87" s="21"/>
      <c r="BX87" s="21"/>
      <c r="CE87" s="21"/>
      <c r="CL87" s="21"/>
      <c r="CS87" s="21"/>
      <c r="CZ87" s="21"/>
      <c r="DG87" s="21"/>
      <c r="DN87" s="21"/>
      <c r="DU87" s="21"/>
      <c r="EB87" s="21"/>
    </row>
    <row r="88" spans="1:132" s="18" customFormat="1" ht="12" x14ac:dyDescent="0.25">
      <c r="A88" s="72"/>
      <c r="B88" s="69" t="s">
        <v>400</v>
      </c>
      <c r="C88" s="34">
        <f>AN42</f>
        <v>3487916178.6000977</v>
      </c>
      <c r="D88" s="51">
        <f>SUM(C84:C87)</f>
        <v>3487916178.6000981</v>
      </c>
      <c r="P88" s="21"/>
      <c r="AC88" s="21"/>
      <c r="AH88" s="21"/>
      <c r="AO88" s="21"/>
      <c r="AV88" s="21"/>
      <c r="BC88" s="21"/>
      <c r="BJ88" s="21"/>
      <c r="BQ88" s="21"/>
      <c r="BX88" s="21"/>
      <c r="CE88" s="21"/>
      <c r="CL88" s="21"/>
      <c r="CS88" s="21"/>
      <c r="CZ88" s="21"/>
      <c r="DG88" s="21"/>
      <c r="DN88" s="21"/>
      <c r="DU88" s="21"/>
      <c r="EB88" s="21"/>
    </row>
    <row r="89" spans="1:132" s="18" customFormat="1" ht="12" x14ac:dyDescent="0.25">
      <c r="A89" s="71"/>
      <c r="B89" s="66"/>
      <c r="C89" s="66"/>
      <c r="D89" s="66"/>
      <c r="P89" s="21"/>
      <c r="AC89" s="21"/>
      <c r="AH89" s="21"/>
      <c r="AO89" s="21"/>
      <c r="AV89" s="21"/>
      <c r="BC89" s="21"/>
      <c r="BJ89" s="21"/>
      <c r="BQ89" s="21"/>
      <c r="BX89" s="21"/>
      <c r="CE89" s="21"/>
      <c r="CL89" s="21"/>
      <c r="CS89" s="21"/>
      <c r="CZ89" s="21"/>
      <c r="DG89" s="21"/>
      <c r="DN89" s="21"/>
      <c r="DU89" s="21"/>
      <c r="EB89" s="21"/>
    </row>
    <row r="90" spans="1:132" s="18" customFormat="1" ht="12" x14ac:dyDescent="0.25">
      <c r="A90" s="21"/>
      <c r="P90" s="21"/>
      <c r="AC90" s="21"/>
      <c r="AH90" s="21"/>
      <c r="AO90" s="21"/>
      <c r="AV90" s="21"/>
      <c r="BC90" s="21"/>
      <c r="BJ90" s="21"/>
      <c r="BQ90" s="21"/>
      <c r="BX90" s="21"/>
      <c r="CE90" s="21"/>
      <c r="CL90" s="21"/>
      <c r="CS90" s="21"/>
      <c r="CZ90" s="21"/>
      <c r="DG90" s="21"/>
      <c r="DN90" s="21"/>
      <c r="DU90" s="21"/>
      <c r="EB90" s="21"/>
    </row>
    <row r="91" spans="1:132" s="79" customFormat="1" ht="12" x14ac:dyDescent="0.3">
      <c r="A91" s="84" t="s">
        <v>0</v>
      </c>
      <c r="B91" s="84" t="s">
        <v>60</v>
      </c>
      <c r="C91" s="33" t="s">
        <v>444</v>
      </c>
    </row>
    <row r="92" spans="1:132" s="18" customFormat="1" ht="12" x14ac:dyDescent="0.25">
      <c r="A92" s="72">
        <v>1</v>
      </c>
      <c r="B92" s="69" t="s">
        <v>401</v>
      </c>
      <c r="C92" s="34">
        <f>O4</f>
        <v>87957434.283066452</v>
      </c>
      <c r="P92" s="21"/>
      <c r="AC92" s="21"/>
      <c r="AH92" s="21"/>
      <c r="AO92" s="21"/>
      <c r="AV92" s="21"/>
      <c r="BC92" s="21"/>
      <c r="BJ92" s="21"/>
      <c r="BQ92" s="21"/>
      <c r="BX92" s="21"/>
      <c r="CE92" s="21"/>
      <c r="CL92" s="21"/>
      <c r="CS92" s="21"/>
      <c r="CZ92" s="21"/>
      <c r="DG92" s="21"/>
      <c r="DN92" s="21"/>
      <c r="DU92" s="21"/>
      <c r="EB92" s="21"/>
    </row>
    <row r="93" spans="1:132" s="18" customFormat="1" ht="12" x14ac:dyDescent="0.25">
      <c r="A93" s="72">
        <v>2</v>
      </c>
      <c r="B93" s="69" t="s">
        <v>402</v>
      </c>
      <c r="C93" s="34">
        <f t="shared" ref="C93:C120" si="35">O5</f>
        <v>1706127.9089185982</v>
      </c>
      <c r="P93" s="21"/>
      <c r="AC93" s="21"/>
      <c r="AH93" s="21"/>
      <c r="AO93" s="21"/>
      <c r="AV93" s="21"/>
      <c r="BC93" s="21"/>
      <c r="BJ93" s="21"/>
      <c r="BQ93" s="21"/>
      <c r="BX93" s="21"/>
      <c r="CE93" s="21"/>
      <c r="CL93" s="21"/>
      <c r="CS93" s="21"/>
      <c r="CZ93" s="21"/>
      <c r="DG93" s="21"/>
      <c r="DN93" s="21"/>
      <c r="DU93" s="21"/>
      <c r="EB93" s="21"/>
    </row>
    <row r="94" spans="1:132" s="18" customFormat="1" ht="12" x14ac:dyDescent="0.25">
      <c r="A94" s="72">
        <v>3</v>
      </c>
      <c r="B94" s="69" t="s">
        <v>403</v>
      </c>
      <c r="C94" s="34">
        <f t="shared" si="35"/>
        <v>1620041562.7510383</v>
      </c>
      <c r="P94" s="21"/>
      <c r="AC94" s="21"/>
      <c r="AH94" s="21"/>
      <c r="AO94" s="21"/>
      <c r="AV94" s="21"/>
      <c r="BC94" s="21"/>
      <c r="BJ94" s="21"/>
      <c r="BQ94" s="21"/>
      <c r="BX94" s="21"/>
      <c r="CE94" s="21"/>
      <c r="CL94" s="21"/>
      <c r="CS94" s="21"/>
      <c r="CZ94" s="21"/>
      <c r="DG94" s="21"/>
      <c r="DN94" s="21"/>
      <c r="DU94" s="21"/>
      <c r="EB94" s="21"/>
    </row>
    <row r="95" spans="1:132" s="18" customFormat="1" ht="12" x14ac:dyDescent="0.25">
      <c r="A95" s="72">
        <v>4</v>
      </c>
      <c r="B95" s="69" t="s">
        <v>404</v>
      </c>
      <c r="C95" s="34">
        <f t="shared" si="35"/>
        <v>5827417.0367608741</v>
      </c>
      <c r="P95" s="21"/>
      <c r="AC95" s="21"/>
      <c r="AH95" s="21"/>
      <c r="AO95" s="21"/>
      <c r="AV95" s="21"/>
      <c r="BC95" s="21"/>
      <c r="BJ95" s="21"/>
      <c r="BQ95" s="21"/>
      <c r="BX95" s="21"/>
      <c r="CE95" s="21"/>
      <c r="CL95" s="21"/>
      <c r="CS95" s="21"/>
      <c r="CZ95" s="21"/>
      <c r="DG95" s="21"/>
      <c r="DN95" s="21"/>
      <c r="DU95" s="21"/>
      <c r="EB95" s="21"/>
    </row>
    <row r="96" spans="1:132" s="18" customFormat="1" ht="12" x14ac:dyDescent="0.25">
      <c r="A96" s="72">
        <v>5</v>
      </c>
      <c r="B96" s="69" t="s">
        <v>405</v>
      </c>
      <c r="C96" s="34">
        <f t="shared" si="35"/>
        <v>24971518.736812413</v>
      </c>
      <c r="P96" s="21"/>
      <c r="AC96" s="21"/>
      <c r="AH96" s="21"/>
      <c r="AO96" s="21"/>
      <c r="AV96" s="21"/>
      <c r="BC96" s="21"/>
      <c r="BJ96" s="21"/>
      <c r="BQ96" s="21"/>
      <c r="BX96" s="21"/>
      <c r="CE96" s="21"/>
      <c r="CL96" s="21"/>
      <c r="CS96" s="21"/>
      <c r="CZ96" s="21"/>
      <c r="DG96" s="21"/>
      <c r="DN96" s="21"/>
      <c r="DU96" s="21"/>
      <c r="EB96" s="21"/>
    </row>
    <row r="97" spans="1:132" s="18" customFormat="1" ht="12" x14ac:dyDescent="0.25">
      <c r="A97" s="72">
        <v>6</v>
      </c>
      <c r="B97" s="69" t="s">
        <v>406</v>
      </c>
      <c r="C97" s="34">
        <f t="shared" si="35"/>
        <v>2866852.2179564699</v>
      </c>
      <c r="P97" s="21"/>
      <c r="AC97" s="21"/>
      <c r="AH97" s="21"/>
      <c r="AO97" s="21"/>
      <c r="AV97" s="21"/>
      <c r="BC97" s="21"/>
      <c r="BJ97" s="21"/>
      <c r="BQ97" s="21"/>
      <c r="BX97" s="21"/>
      <c r="CE97" s="21"/>
      <c r="CL97" s="21"/>
      <c r="CS97" s="21"/>
      <c r="CZ97" s="21"/>
      <c r="DG97" s="21"/>
      <c r="DN97" s="21"/>
      <c r="DU97" s="21"/>
      <c r="EB97" s="21"/>
    </row>
    <row r="98" spans="1:132" s="18" customFormat="1" ht="12" x14ac:dyDescent="0.25">
      <c r="A98" s="72">
        <v>7</v>
      </c>
      <c r="B98" s="69" t="s">
        <v>407</v>
      </c>
      <c r="C98" s="34">
        <f t="shared" si="35"/>
        <v>56570316.747090541</v>
      </c>
      <c r="P98" s="21"/>
      <c r="AC98" s="21"/>
      <c r="AH98" s="21"/>
      <c r="AO98" s="21"/>
      <c r="AV98" s="21"/>
      <c r="BC98" s="21"/>
      <c r="BJ98" s="21"/>
      <c r="BQ98" s="21"/>
      <c r="BX98" s="21"/>
      <c r="CE98" s="21"/>
      <c r="CL98" s="21"/>
      <c r="CS98" s="21"/>
      <c r="CZ98" s="21"/>
      <c r="DG98" s="21"/>
      <c r="DN98" s="21"/>
      <c r="DU98" s="21"/>
      <c r="EB98" s="21"/>
    </row>
    <row r="99" spans="1:132" s="18" customFormat="1" ht="12" x14ac:dyDescent="0.25">
      <c r="A99" s="72">
        <v>8</v>
      </c>
      <c r="B99" s="69" t="s">
        <v>408</v>
      </c>
      <c r="C99" s="34">
        <f t="shared" si="35"/>
        <v>13544526.492133342</v>
      </c>
      <c r="P99" s="21"/>
      <c r="AC99" s="21"/>
      <c r="AH99" s="21"/>
      <c r="AO99" s="21"/>
      <c r="AV99" s="21"/>
      <c r="BC99" s="21"/>
      <c r="BJ99" s="21"/>
      <c r="BQ99" s="21"/>
      <c r="BX99" s="21"/>
      <c r="CE99" s="21"/>
      <c r="CL99" s="21"/>
      <c r="CS99" s="21"/>
      <c r="CZ99" s="21"/>
      <c r="DG99" s="21"/>
      <c r="DN99" s="21"/>
      <c r="DU99" s="21"/>
      <c r="EB99" s="21"/>
    </row>
    <row r="100" spans="1:132" s="18" customFormat="1" ht="12" x14ac:dyDescent="0.25">
      <c r="A100" s="72">
        <v>9</v>
      </c>
      <c r="B100" s="69" t="s">
        <v>409</v>
      </c>
      <c r="C100" s="34">
        <f t="shared" si="35"/>
        <v>43883411.723983921</v>
      </c>
      <c r="P100" s="21"/>
      <c r="AC100" s="21"/>
      <c r="AH100" s="21"/>
      <c r="AO100" s="21"/>
      <c r="AV100" s="21"/>
      <c r="BC100" s="21"/>
      <c r="BJ100" s="21"/>
      <c r="BQ100" s="21"/>
      <c r="BX100" s="21"/>
      <c r="CE100" s="21"/>
      <c r="CL100" s="21"/>
      <c r="CS100" s="21"/>
      <c r="CZ100" s="21"/>
      <c r="DG100" s="21"/>
      <c r="DN100" s="21"/>
      <c r="DU100" s="21"/>
      <c r="EB100" s="21"/>
    </row>
    <row r="101" spans="1:132" s="18" customFormat="1" ht="12" x14ac:dyDescent="0.25">
      <c r="A101" s="72">
        <v>10</v>
      </c>
      <c r="B101" s="69" t="s">
        <v>410</v>
      </c>
      <c r="C101" s="34">
        <f t="shared" si="35"/>
        <v>840393913.86960137</v>
      </c>
      <c r="P101" s="21"/>
      <c r="AC101" s="21"/>
      <c r="AH101" s="21"/>
      <c r="AO101" s="21"/>
      <c r="AV101" s="21"/>
      <c r="BC101" s="21"/>
      <c r="BJ101" s="21"/>
      <c r="BQ101" s="21"/>
      <c r="BX101" s="21"/>
      <c r="CE101" s="21"/>
      <c r="CL101" s="21"/>
      <c r="CS101" s="21"/>
      <c r="CZ101" s="21"/>
      <c r="DG101" s="21"/>
      <c r="DN101" s="21"/>
      <c r="DU101" s="21"/>
      <c r="EB101" s="21"/>
    </row>
    <row r="102" spans="1:132" s="18" customFormat="1" ht="12" x14ac:dyDescent="0.25">
      <c r="A102" s="72">
        <v>11</v>
      </c>
      <c r="B102" s="69" t="s">
        <v>411</v>
      </c>
      <c r="C102" s="34">
        <f t="shared" si="35"/>
        <v>305989.30206954054</v>
      </c>
      <c r="P102" s="21"/>
      <c r="AC102" s="21"/>
      <c r="AH102" s="21"/>
      <c r="AO102" s="21"/>
      <c r="AV102" s="21"/>
      <c r="BC102" s="21"/>
      <c r="BJ102" s="21"/>
      <c r="BQ102" s="21"/>
      <c r="BX102" s="21"/>
      <c r="CE102" s="21"/>
      <c r="CL102" s="21"/>
      <c r="CS102" s="21"/>
      <c r="CZ102" s="21"/>
      <c r="DG102" s="21"/>
      <c r="DN102" s="21"/>
      <c r="DU102" s="21"/>
      <c r="EB102" s="21"/>
    </row>
    <row r="103" spans="1:132" s="18" customFormat="1" ht="12" x14ac:dyDescent="0.25">
      <c r="A103" s="72">
        <v>12</v>
      </c>
      <c r="B103" s="69" t="s">
        <v>412</v>
      </c>
      <c r="C103" s="34">
        <f t="shared" si="35"/>
        <v>41889914.267693073</v>
      </c>
      <c r="P103" s="21"/>
      <c r="AC103" s="21"/>
      <c r="AH103" s="21"/>
      <c r="AO103" s="21"/>
      <c r="AV103" s="21"/>
      <c r="BC103" s="21"/>
      <c r="BJ103" s="21"/>
      <c r="BQ103" s="21"/>
      <c r="BX103" s="21"/>
      <c r="CE103" s="21"/>
      <c r="CL103" s="21"/>
      <c r="CS103" s="21"/>
      <c r="CZ103" s="21"/>
      <c r="DG103" s="21"/>
      <c r="DN103" s="21"/>
      <c r="DU103" s="21"/>
      <c r="EB103" s="21"/>
    </row>
    <row r="104" spans="1:132" s="18" customFormat="1" ht="12" x14ac:dyDescent="0.25">
      <c r="A104" s="72">
        <v>13</v>
      </c>
      <c r="B104" s="69" t="s">
        <v>413</v>
      </c>
      <c r="C104" s="34">
        <f t="shared" si="35"/>
        <v>6992145.4277472068</v>
      </c>
      <c r="P104" s="21"/>
      <c r="AC104" s="21"/>
      <c r="AH104" s="21"/>
      <c r="AO104" s="21"/>
      <c r="AV104" s="21"/>
      <c r="BC104" s="21"/>
      <c r="BJ104" s="21"/>
      <c r="BQ104" s="21"/>
      <c r="BX104" s="21"/>
      <c r="CE104" s="21"/>
      <c r="CL104" s="21"/>
      <c r="CS104" s="21"/>
      <c r="CZ104" s="21"/>
      <c r="DG104" s="21"/>
      <c r="DN104" s="21"/>
      <c r="DU104" s="21"/>
      <c r="EB104" s="21"/>
    </row>
    <row r="105" spans="1:132" s="18" customFormat="1" ht="12" x14ac:dyDescent="0.25">
      <c r="A105" s="72">
        <v>14</v>
      </c>
      <c r="B105" s="69" t="s">
        <v>414</v>
      </c>
      <c r="C105" s="34">
        <f t="shared" si="35"/>
        <v>84641871.899085075</v>
      </c>
      <c r="P105" s="21"/>
      <c r="AC105" s="21"/>
      <c r="AH105" s="21"/>
      <c r="AO105" s="21"/>
      <c r="AV105" s="21"/>
      <c r="BC105" s="21"/>
      <c r="BJ105" s="21"/>
      <c r="BQ105" s="21"/>
      <c r="BX105" s="21"/>
      <c r="CE105" s="21"/>
      <c r="CL105" s="21"/>
      <c r="CS105" s="21"/>
      <c r="CZ105" s="21"/>
      <c r="DG105" s="21"/>
      <c r="DN105" s="21"/>
      <c r="DU105" s="21"/>
      <c r="EB105" s="21"/>
    </row>
    <row r="106" spans="1:132" s="18" customFormat="1" ht="12" x14ac:dyDescent="0.25">
      <c r="A106" s="72">
        <v>15</v>
      </c>
      <c r="B106" s="69" t="s">
        <v>415</v>
      </c>
      <c r="C106" s="34">
        <f t="shared" si="35"/>
        <v>78649620.049385324</v>
      </c>
      <c r="P106" s="21"/>
      <c r="AC106" s="21"/>
      <c r="AH106" s="21"/>
      <c r="AO106" s="21"/>
      <c r="AV106" s="21"/>
      <c r="BC106" s="21"/>
      <c r="BJ106" s="21"/>
      <c r="BQ106" s="21"/>
      <c r="BX106" s="21"/>
      <c r="CE106" s="21"/>
      <c r="CL106" s="21"/>
      <c r="CS106" s="21"/>
      <c r="CZ106" s="21"/>
      <c r="DG106" s="21"/>
      <c r="DN106" s="21"/>
      <c r="DU106" s="21"/>
      <c r="EB106" s="21"/>
    </row>
    <row r="107" spans="1:132" s="18" customFormat="1" ht="12" x14ac:dyDescent="0.25">
      <c r="A107" s="72">
        <v>16</v>
      </c>
      <c r="B107" s="69" t="s">
        <v>416</v>
      </c>
      <c r="C107" s="34">
        <f t="shared" si="35"/>
        <v>13316951.792954134</v>
      </c>
      <c r="P107" s="21"/>
      <c r="AC107" s="21"/>
      <c r="AH107" s="21"/>
      <c r="AO107" s="21"/>
      <c r="AV107" s="21"/>
      <c r="BC107" s="21"/>
      <c r="BJ107" s="21"/>
      <c r="BQ107" s="21"/>
      <c r="BX107" s="21"/>
      <c r="CE107" s="21"/>
      <c r="CL107" s="21"/>
      <c r="CS107" s="21"/>
      <c r="CZ107" s="21"/>
      <c r="DG107" s="21"/>
      <c r="DN107" s="21"/>
      <c r="DU107" s="21"/>
      <c r="EB107" s="21"/>
    </row>
    <row r="108" spans="1:132" s="18" customFormat="1" ht="12" x14ac:dyDescent="0.25">
      <c r="A108" s="72">
        <v>17</v>
      </c>
      <c r="B108" s="69" t="s">
        <v>417</v>
      </c>
      <c r="C108" s="34">
        <f t="shared" si="35"/>
        <v>1134465.5979981672</v>
      </c>
      <c r="P108" s="21"/>
      <c r="AC108" s="21"/>
      <c r="AH108" s="21"/>
      <c r="AO108" s="21"/>
      <c r="AV108" s="21"/>
      <c r="BC108" s="21"/>
      <c r="BJ108" s="21"/>
      <c r="BQ108" s="21"/>
      <c r="BX108" s="21"/>
      <c r="CE108" s="21"/>
      <c r="CL108" s="21"/>
      <c r="CS108" s="21"/>
      <c r="CZ108" s="21"/>
      <c r="DG108" s="21"/>
      <c r="DN108" s="21"/>
      <c r="DU108" s="21"/>
      <c r="EB108" s="21"/>
    </row>
    <row r="109" spans="1:132" s="18" customFormat="1" ht="12" x14ac:dyDescent="0.25">
      <c r="A109" s="72">
        <v>18</v>
      </c>
      <c r="B109" s="69" t="s">
        <v>418</v>
      </c>
      <c r="C109" s="34">
        <f t="shared" si="35"/>
        <v>389976.73494859913</v>
      </c>
      <c r="P109" s="21"/>
      <c r="AC109" s="21"/>
      <c r="AH109" s="21"/>
      <c r="AO109" s="21"/>
      <c r="AV109" s="21"/>
      <c r="BC109" s="21"/>
      <c r="BJ109" s="21"/>
      <c r="BQ109" s="21"/>
      <c r="BX109" s="21"/>
      <c r="CE109" s="21"/>
      <c r="CL109" s="21"/>
      <c r="CS109" s="21"/>
      <c r="CZ109" s="21"/>
      <c r="DG109" s="21"/>
      <c r="DN109" s="21"/>
      <c r="DU109" s="21"/>
      <c r="EB109" s="21"/>
    </row>
    <row r="110" spans="1:132" s="18" customFormat="1" ht="12" x14ac:dyDescent="0.25">
      <c r="A110" s="72">
        <v>19</v>
      </c>
      <c r="B110" s="69" t="s">
        <v>419</v>
      </c>
      <c r="C110" s="34">
        <f t="shared" si="35"/>
        <v>3191981.7906748457</v>
      </c>
      <c r="P110" s="21"/>
      <c r="AC110" s="21"/>
      <c r="AH110" s="21"/>
      <c r="AO110" s="21"/>
      <c r="AV110" s="21"/>
      <c r="BC110" s="21"/>
      <c r="BJ110" s="21"/>
      <c r="BQ110" s="21"/>
      <c r="BX110" s="21"/>
      <c r="CE110" s="21"/>
      <c r="CL110" s="21"/>
      <c r="CS110" s="21"/>
      <c r="CZ110" s="21"/>
      <c r="DG110" s="21"/>
      <c r="DN110" s="21"/>
      <c r="DU110" s="21"/>
      <c r="EB110" s="21"/>
    </row>
    <row r="111" spans="1:132" s="18" customFormat="1" ht="12" x14ac:dyDescent="0.25">
      <c r="A111" s="72">
        <v>20</v>
      </c>
      <c r="B111" s="69" t="s">
        <v>420</v>
      </c>
      <c r="C111" s="34">
        <f t="shared" si="35"/>
        <v>3680808.7297777734</v>
      </c>
      <c r="P111" s="21"/>
      <c r="AC111" s="21"/>
      <c r="AH111" s="21"/>
      <c r="AO111" s="21"/>
      <c r="AV111" s="21"/>
      <c r="BC111" s="21"/>
      <c r="BJ111" s="21"/>
      <c r="BQ111" s="21"/>
      <c r="BX111" s="21"/>
      <c r="CE111" s="21"/>
      <c r="CL111" s="21"/>
      <c r="CS111" s="21"/>
      <c r="CZ111" s="21"/>
      <c r="DG111" s="21"/>
      <c r="DN111" s="21"/>
      <c r="DU111" s="21"/>
      <c r="EB111" s="21"/>
    </row>
    <row r="112" spans="1:132" s="18" customFormat="1" ht="12" x14ac:dyDescent="0.25">
      <c r="A112" s="72">
        <v>21</v>
      </c>
      <c r="B112" s="69" t="s">
        <v>421</v>
      </c>
      <c r="C112" s="34">
        <f t="shared" si="35"/>
        <v>2113034.1378704375</v>
      </c>
      <c r="P112" s="21"/>
      <c r="AC112" s="21"/>
      <c r="AH112" s="21"/>
      <c r="AO112" s="21"/>
      <c r="AV112" s="21"/>
      <c r="BC112" s="21"/>
      <c r="BJ112" s="21"/>
      <c r="BQ112" s="21"/>
      <c r="BX112" s="21"/>
      <c r="CE112" s="21"/>
      <c r="CL112" s="21"/>
      <c r="CS112" s="21"/>
      <c r="CZ112" s="21"/>
      <c r="DG112" s="21"/>
      <c r="DN112" s="21"/>
      <c r="DU112" s="21"/>
      <c r="EB112" s="21"/>
    </row>
    <row r="113" spans="1:132" s="18" customFormat="1" ht="12" x14ac:dyDescent="0.25">
      <c r="A113" s="72">
        <v>22</v>
      </c>
      <c r="B113" s="69" t="s">
        <v>422</v>
      </c>
      <c r="C113" s="34">
        <f t="shared" si="35"/>
        <v>6574913.8561113849</v>
      </c>
      <c r="P113" s="21"/>
      <c r="AC113" s="21"/>
      <c r="AH113" s="21"/>
      <c r="AO113" s="21"/>
      <c r="AV113" s="21"/>
      <c r="BC113" s="21"/>
      <c r="BJ113" s="21"/>
      <c r="BQ113" s="21"/>
      <c r="BX113" s="21"/>
      <c r="CE113" s="21"/>
      <c r="CL113" s="21"/>
      <c r="CS113" s="21"/>
      <c r="CZ113" s="21"/>
      <c r="DG113" s="21"/>
      <c r="DN113" s="21"/>
      <c r="DU113" s="21"/>
      <c r="EB113" s="21"/>
    </row>
    <row r="114" spans="1:132" s="18" customFormat="1" ht="12" x14ac:dyDescent="0.25">
      <c r="A114" s="72">
        <v>23</v>
      </c>
      <c r="B114" s="69" t="s">
        <v>423</v>
      </c>
      <c r="C114" s="34">
        <f t="shared" si="35"/>
        <v>33747829.561973408</v>
      </c>
      <c r="P114" s="21"/>
      <c r="AC114" s="21"/>
      <c r="AH114" s="21"/>
      <c r="AO114" s="21"/>
      <c r="AV114" s="21"/>
      <c r="BC114" s="21"/>
      <c r="BJ114" s="21"/>
      <c r="BQ114" s="21"/>
      <c r="BX114" s="21"/>
      <c r="CE114" s="21"/>
      <c r="CL114" s="21"/>
      <c r="CS114" s="21"/>
      <c r="CZ114" s="21"/>
      <c r="DG114" s="21"/>
      <c r="DN114" s="21"/>
      <c r="DU114" s="21"/>
      <c r="EB114" s="21"/>
    </row>
    <row r="115" spans="1:132" s="18" customFormat="1" ht="12" x14ac:dyDescent="0.25">
      <c r="A115" s="72">
        <v>24</v>
      </c>
      <c r="B115" s="69" t="s">
        <v>424</v>
      </c>
      <c r="C115" s="34">
        <f t="shared" si="35"/>
        <v>55283281.65891467</v>
      </c>
      <c r="P115" s="21"/>
      <c r="AC115" s="21"/>
      <c r="AH115" s="21"/>
      <c r="AO115" s="21"/>
      <c r="AV115" s="21"/>
      <c r="BC115" s="21"/>
      <c r="BJ115" s="21"/>
      <c r="BQ115" s="21"/>
      <c r="BX115" s="21"/>
      <c r="CE115" s="21"/>
      <c r="CL115" s="21"/>
      <c r="CS115" s="21"/>
      <c r="CZ115" s="21"/>
      <c r="DG115" s="21"/>
      <c r="DN115" s="21"/>
      <c r="DU115" s="21"/>
      <c r="EB115" s="21"/>
    </row>
    <row r="116" spans="1:132" s="18" customFormat="1" ht="12" x14ac:dyDescent="0.25">
      <c r="A116" s="72">
        <v>25</v>
      </c>
      <c r="B116" s="69" t="s">
        <v>425</v>
      </c>
      <c r="C116" s="34">
        <f t="shared" si="35"/>
        <v>138188189.62140331</v>
      </c>
      <c r="P116" s="21"/>
      <c r="AC116" s="21"/>
      <c r="AH116" s="21"/>
      <c r="AO116" s="21"/>
      <c r="AV116" s="21"/>
      <c r="BC116" s="21"/>
      <c r="BJ116" s="21"/>
      <c r="BQ116" s="21"/>
      <c r="BX116" s="21"/>
      <c r="CE116" s="21"/>
      <c r="CL116" s="21"/>
      <c r="CS116" s="21"/>
      <c r="CZ116" s="21"/>
      <c r="DG116" s="21"/>
      <c r="DN116" s="21"/>
      <c r="DU116" s="21"/>
      <c r="EB116" s="21"/>
    </row>
    <row r="117" spans="1:132" s="18" customFormat="1" ht="12" x14ac:dyDescent="0.25">
      <c r="A117" s="72">
        <v>26</v>
      </c>
      <c r="B117" s="69" t="s">
        <v>426</v>
      </c>
      <c r="C117" s="34">
        <f t="shared" si="35"/>
        <v>4890661.0804736288</v>
      </c>
      <c r="P117" s="21"/>
      <c r="AC117" s="21"/>
      <c r="AH117" s="21"/>
      <c r="AO117" s="21"/>
      <c r="AV117" s="21"/>
      <c r="BC117" s="21"/>
      <c r="BJ117" s="21"/>
      <c r="BQ117" s="21"/>
      <c r="BX117" s="21"/>
      <c r="CE117" s="21"/>
      <c r="CL117" s="21"/>
      <c r="CS117" s="21"/>
      <c r="CZ117" s="21"/>
      <c r="DG117" s="21"/>
      <c r="DN117" s="21"/>
      <c r="DU117" s="21"/>
      <c r="EB117" s="21"/>
    </row>
    <row r="118" spans="1:132" s="18" customFormat="1" ht="12" x14ac:dyDescent="0.25">
      <c r="A118" s="72">
        <v>27</v>
      </c>
      <c r="B118" s="69" t="s">
        <v>427</v>
      </c>
      <c r="C118" s="34">
        <f t="shared" si="35"/>
        <v>9949868.2413093317</v>
      </c>
      <c r="P118" s="21"/>
      <c r="AC118" s="21"/>
      <c r="AH118" s="21"/>
      <c r="AO118" s="21"/>
      <c r="AV118" s="21"/>
      <c r="BC118" s="21"/>
      <c r="BJ118" s="21"/>
      <c r="BQ118" s="21"/>
      <c r="BX118" s="21"/>
      <c r="CE118" s="21"/>
      <c r="CL118" s="21"/>
      <c r="CS118" s="21"/>
      <c r="CZ118" s="21"/>
      <c r="DG118" s="21"/>
      <c r="DN118" s="21"/>
      <c r="DU118" s="21"/>
      <c r="EB118" s="21"/>
    </row>
    <row r="119" spans="1:132" s="18" customFormat="1" ht="12" x14ac:dyDescent="0.25">
      <c r="A119" s="72">
        <v>28</v>
      </c>
      <c r="B119" s="69" t="s">
        <v>428</v>
      </c>
      <c r="C119" s="34">
        <f t="shared" si="35"/>
        <v>12106757.355741421</v>
      </c>
      <c r="P119" s="21"/>
      <c r="AC119" s="21"/>
      <c r="AH119" s="21"/>
      <c r="AO119" s="21"/>
      <c r="AV119" s="21"/>
      <c r="BC119" s="21"/>
      <c r="BJ119" s="21"/>
      <c r="BQ119" s="21"/>
      <c r="BX119" s="21"/>
      <c r="CE119" s="21"/>
      <c r="CL119" s="21"/>
      <c r="CS119" s="21"/>
      <c r="CZ119" s="21"/>
      <c r="DG119" s="21"/>
      <c r="DN119" s="21"/>
      <c r="DU119" s="21"/>
      <c r="EB119" s="21"/>
    </row>
    <row r="120" spans="1:132" s="18" customFormat="1" ht="12" x14ac:dyDescent="0.25">
      <c r="A120" s="72">
        <v>29</v>
      </c>
      <c r="B120" s="69" t="s">
        <v>429</v>
      </c>
      <c r="C120" s="34">
        <f t="shared" si="35"/>
        <v>18645531.32561107</v>
      </c>
      <c r="P120" s="21"/>
      <c r="AC120" s="21"/>
      <c r="AH120" s="21"/>
      <c r="AO120" s="21"/>
      <c r="AV120" s="21"/>
      <c r="BC120" s="21"/>
      <c r="BJ120" s="21"/>
      <c r="BQ120" s="21"/>
      <c r="BX120" s="21"/>
      <c r="CE120" s="21"/>
      <c r="CL120" s="21"/>
      <c r="CS120" s="21"/>
      <c r="CZ120" s="21"/>
      <c r="DG120" s="21"/>
      <c r="DN120" s="21"/>
      <c r="DU120" s="21"/>
      <c r="EB120" s="21"/>
    </row>
    <row r="121" spans="1:132" s="18" customFormat="1" ht="12" x14ac:dyDescent="0.25">
      <c r="A121" s="72">
        <v>30</v>
      </c>
      <c r="B121" s="69" t="s">
        <v>430</v>
      </c>
      <c r="C121" s="34">
        <f>O33</f>
        <v>7932493.217504764</v>
      </c>
      <c r="P121" s="21"/>
      <c r="AC121" s="21"/>
      <c r="AH121" s="21"/>
      <c r="AO121" s="21"/>
      <c r="AV121" s="21"/>
      <c r="BC121" s="21"/>
      <c r="BJ121" s="21"/>
      <c r="BQ121" s="21"/>
      <c r="BX121" s="21"/>
      <c r="CE121" s="21"/>
      <c r="CL121" s="21"/>
      <c r="CS121" s="21"/>
      <c r="CZ121" s="21"/>
      <c r="DG121" s="21"/>
      <c r="DN121" s="21"/>
      <c r="DU121" s="21"/>
      <c r="EB121" s="21"/>
    </row>
    <row r="122" spans="1:132" s="18" customFormat="1" ht="12" x14ac:dyDescent="0.25">
      <c r="A122" s="72">
        <v>31</v>
      </c>
      <c r="B122" s="69" t="s">
        <v>431</v>
      </c>
      <c r="C122" s="34">
        <f t="shared" ref="C122:C129" si="36">O34</f>
        <v>719043.55975818529</v>
      </c>
      <c r="P122" s="21"/>
      <c r="AC122" s="21"/>
      <c r="AH122" s="21"/>
      <c r="AO122" s="21"/>
      <c r="AV122" s="21"/>
      <c r="BC122" s="21"/>
      <c r="BJ122" s="21"/>
      <c r="BQ122" s="21"/>
      <c r="BX122" s="21"/>
      <c r="CE122" s="21"/>
      <c r="CL122" s="21"/>
      <c r="CS122" s="21"/>
      <c r="CZ122" s="21"/>
      <c r="DG122" s="21"/>
      <c r="DN122" s="21"/>
      <c r="DU122" s="21"/>
      <c r="EB122" s="21"/>
    </row>
    <row r="123" spans="1:132" s="18" customFormat="1" ht="12" x14ac:dyDescent="0.25">
      <c r="A123" s="72">
        <v>32</v>
      </c>
      <c r="B123" s="69" t="s">
        <v>432</v>
      </c>
      <c r="C123" s="34">
        <f t="shared" si="36"/>
        <v>22100.243659277439</v>
      </c>
      <c r="P123" s="21"/>
      <c r="AC123" s="21"/>
      <c r="AH123" s="21"/>
      <c r="AO123" s="21"/>
      <c r="AV123" s="21"/>
      <c r="BC123" s="21"/>
      <c r="BJ123" s="21"/>
      <c r="BQ123" s="21"/>
      <c r="BX123" s="21"/>
      <c r="CE123" s="21"/>
      <c r="CL123" s="21"/>
      <c r="CS123" s="21"/>
      <c r="CZ123" s="21"/>
      <c r="DG123" s="21"/>
      <c r="DN123" s="21"/>
      <c r="DU123" s="21"/>
      <c r="EB123" s="21"/>
    </row>
    <row r="124" spans="1:132" s="18" customFormat="1" ht="12" x14ac:dyDescent="0.25">
      <c r="A124" s="72">
        <v>33</v>
      </c>
      <c r="B124" s="69" t="s">
        <v>433</v>
      </c>
      <c r="C124" s="34">
        <f t="shared" si="36"/>
        <v>66733235.201718494</v>
      </c>
      <c r="P124" s="21"/>
      <c r="AC124" s="21"/>
      <c r="AH124" s="21"/>
      <c r="AO124" s="21"/>
      <c r="AV124" s="21"/>
      <c r="BC124" s="21"/>
      <c r="BJ124" s="21"/>
      <c r="BQ124" s="21"/>
      <c r="BX124" s="21"/>
      <c r="CE124" s="21"/>
      <c r="CL124" s="21"/>
      <c r="CS124" s="21"/>
      <c r="CZ124" s="21"/>
      <c r="DG124" s="21"/>
      <c r="DN124" s="21"/>
      <c r="DU124" s="21"/>
      <c r="EB124" s="21"/>
    </row>
    <row r="125" spans="1:132" s="18" customFormat="1" ht="12" x14ac:dyDescent="0.25">
      <c r="A125" s="72">
        <v>34</v>
      </c>
      <c r="B125" s="69" t="s">
        <v>434</v>
      </c>
      <c r="C125" s="34">
        <f t="shared" si="36"/>
        <v>51576465.0952712</v>
      </c>
      <c r="P125" s="21"/>
      <c r="AC125" s="21"/>
      <c r="AH125" s="21"/>
      <c r="AO125" s="21"/>
      <c r="AV125" s="21"/>
      <c r="BC125" s="21"/>
      <c r="BJ125" s="21"/>
      <c r="BQ125" s="21"/>
      <c r="BX125" s="21"/>
      <c r="CE125" s="21"/>
      <c r="CL125" s="21"/>
      <c r="CS125" s="21"/>
      <c r="CZ125" s="21"/>
      <c r="DG125" s="21"/>
      <c r="DN125" s="21"/>
      <c r="DU125" s="21"/>
      <c r="EB125" s="21"/>
    </row>
    <row r="126" spans="1:132" s="18" customFormat="1" ht="12" x14ac:dyDescent="0.25">
      <c r="A126" s="72">
        <v>35</v>
      </c>
      <c r="B126" s="69" t="s">
        <v>435</v>
      </c>
      <c r="C126" s="34">
        <f t="shared" si="36"/>
        <v>1467203.0594887342</v>
      </c>
      <c r="P126" s="21"/>
      <c r="AC126" s="21"/>
      <c r="AH126" s="21"/>
      <c r="AO126" s="21"/>
      <c r="AV126" s="21"/>
      <c r="BC126" s="21"/>
      <c r="BJ126" s="21"/>
      <c r="BQ126" s="21"/>
      <c r="BX126" s="21"/>
      <c r="CE126" s="21"/>
      <c r="CL126" s="21"/>
      <c r="CS126" s="21"/>
      <c r="CZ126" s="21"/>
      <c r="DG126" s="21"/>
      <c r="DN126" s="21"/>
      <c r="DU126" s="21"/>
      <c r="EB126" s="21"/>
    </row>
    <row r="127" spans="1:132" s="18" customFormat="1" ht="12" x14ac:dyDescent="0.25">
      <c r="A127" s="72">
        <v>36</v>
      </c>
      <c r="B127" s="69" t="s">
        <v>436</v>
      </c>
      <c r="C127" s="34">
        <f t="shared" si="36"/>
        <v>3729404.22853343</v>
      </c>
      <c r="P127" s="21"/>
      <c r="AC127" s="21"/>
      <c r="AH127" s="21"/>
      <c r="AO127" s="21"/>
      <c r="AV127" s="21"/>
      <c r="BC127" s="21"/>
      <c r="BJ127" s="21"/>
      <c r="BQ127" s="21"/>
      <c r="BX127" s="21"/>
      <c r="CE127" s="21"/>
      <c r="CL127" s="21"/>
      <c r="CS127" s="21"/>
      <c r="CZ127" s="21"/>
      <c r="DG127" s="21"/>
      <c r="DN127" s="21"/>
      <c r="DU127" s="21"/>
      <c r="EB127" s="21"/>
    </row>
    <row r="128" spans="1:132" s="18" customFormat="1" ht="12" x14ac:dyDescent="0.25">
      <c r="A128" s="72">
        <v>37</v>
      </c>
      <c r="B128" s="69" t="s">
        <v>437</v>
      </c>
      <c r="C128" s="34">
        <f t="shared" si="36"/>
        <v>141659099.03750625</v>
      </c>
      <c r="P128" s="21"/>
      <c r="AC128" s="21"/>
      <c r="AH128" s="21"/>
      <c r="AO128" s="21"/>
      <c r="AV128" s="21"/>
      <c r="BC128" s="21"/>
      <c r="BJ128" s="21"/>
      <c r="BQ128" s="21"/>
      <c r="BX128" s="21"/>
      <c r="CE128" s="21"/>
      <c r="CL128" s="21"/>
      <c r="CS128" s="21"/>
      <c r="CZ128" s="21"/>
      <c r="DG128" s="21"/>
      <c r="DN128" s="21"/>
      <c r="DU128" s="21"/>
      <c r="EB128" s="21"/>
    </row>
    <row r="129" spans="1:132" s="18" customFormat="1" ht="12" x14ac:dyDescent="0.25">
      <c r="A129" s="72">
        <v>38</v>
      </c>
      <c r="B129" s="69" t="s">
        <v>438</v>
      </c>
      <c r="C129" s="34">
        <f t="shared" si="36"/>
        <v>620260.75755307078</v>
      </c>
      <c r="P129" s="21"/>
      <c r="AC129" s="21"/>
      <c r="AH129" s="21"/>
      <c r="AO129" s="21"/>
      <c r="AV129" s="21"/>
      <c r="BC129" s="21"/>
      <c r="BJ129" s="21"/>
      <c r="BQ129" s="21"/>
      <c r="BX129" s="21"/>
      <c r="CE129" s="21"/>
      <c r="CL129" s="21"/>
      <c r="CS129" s="21"/>
      <c r="CZ129" s="21"/>
      <c r="DG129" s="21"/>
      <c r="DN129" s="21"/>
      <c r="DU129" s="21"/>
      <c r="EB129" s="21"/>
    </row>
    <row r="130" spans="1:132" s="18" customFormat="1" ht="12" x14ac:dyDescent="0.25">
      <c r="A130" s="72"/>
      <c r="B130" s="69" t="s">
        <v>400</v>
      </c>
      <c r="C130" s="34">
        <f>SUM(C92:C129)</f>
        <v>3487916178.6000981</v>
      </c>
      <c r="P130" s="21"/>
      <c r="AC130" s="21"/>
      <c r="AH130" s="21"/>
      <c r="AO130" s="21"/>
      <c r="AV130" s="21"/>
      <c r="BC130" s="21"/>
      <c r="BJ130" s="21"/>
      <c r="BQ130" s="21"/>
      <c r="BX130" s="21"/>
      <c r="CE130" s="21"/>
      <c r="CL130" s="21"/>
      <c r="CS130" s="21"/>
      <c r="CZ130" s="21"/>
      <c r="DG130" s="21"/>
      <c r="DN130" s="21"/>
      <c r="DU130" s="21"/>
      <c r="EB130" s="21"/>
    </row>
  </sheetData>
  <mergeCells count="90">
    <mergeCell ref="AG2:AG3"/>
    <mergeCell ref="A2:A3"/>
    <mergeCell ref="B2:B3"/>
    <mergeCell ref="C2:N2"/>
    <mergeCell ref="O2:O3"/>
    <mergeCell ref="P2:P3"/>
    <mergeCell ref="Q2:Q3"/>
    <mergeCell ref="R2:AA2"/>
    <mergeCell ref="AB2:AB3"/>
    <mergeCell ref="AC2:AC3"/>
    <mergeCell ref="AD2:AD3"/>
    <mergeCell ref="AE2:AF2"/>
    <mergeCell ref="DG2:DG3"/>
    <mergeCell ref="DH2:DH3"/>
    <mergeCell ref="DI2:DL2"/>
    <mergeCell ref="BB2:BB3"/>
    <mergeCell ref="AH2:AH3"/>
    <mergeCell ref="AI2:AI3"/>
    <mergeCell ref="AJ2:AM2"/>
    <mergeCell ref="AN2:AN3"/>
    <mergeCell ref="AO2:AO3"/>
    <mergeCell ref="AP2:AP3"/>
    <mergeCell ref="AQ2:AT2"/>
    <mergeCell ref="AU2:AU3"/>
    <mergeCell ref="AV2:AV3"/>
    <mergeCell ref="AW2:AW3"/>
    <mergeCell ref="AX2:BA2"/>
    <mergeCell ref="DF2:DF3"/>
    <mergeCell ref="EB2:EB3"/>
    <mergeCell ref="EC2:EC3"/>
    <mergeCell ref="ED2:EG2"/>
    <mergeCell ref="EH2:EH3"/>
    <mergeCell ref="CZ2:CZ3"/>
    <mergeCell ref="DA2:DA3"/>
    <mergeCell ref="DB2:DE2"/>
    <mergeCell ref="DM2:DM3"/>
    <mergeCell ref="DN2:DN3"/>
    <mergeCell ref="DO2:DO3"/>
    <mergeCell ref="DP2:DS2"/>
    <mergeCell ref="DT2:DT3"/>
    <mergeCell ref="DU2:DU3"/>
    <mergeCell ref="DV2:DV3"/>
    <mergeCell ref="DW2:DZ2"/>
    <mergeCell ref="EA2:EA3"/>
    <mergeCell ref="CS2:CS3"/>
    <mergeCell ref="CT2:CT3"/>
    <mergeCell ref="CU2:CX2"/>
    <mergeCell ref="CY2:CY3"/>
    <mergeCell ref="CR2:CR3"/>
    <mergeCell ref="CL2:CL3"/>
    <mergeCell ref="CM2:CM3"/>
    <mergeCell ref="BX2:BX3"/>
    <mergeCell ref="BY2:BY3"/>
    <mergeCell ref="BZ2:CC2"/>
    <mergeCell ref="CD2:CD3"/>
    <mergeCell ref="CE2:CE3"/>
    <mergeCell ref="CN2:CQ2"/>
    <mergeCell ref="BW2:BW3"/>
    <mergeCell ref="BC2:BC3"/>
    <mergeCell ref="BD2:BD3"/>
    <mergeCell ref="BE2:BH2"/>
    <mergeCell ref="BI2:BI3"/>
    <mergeCell ref="BJ2:BJ3"/>
    <mergeCell ref="BK2:BK3"/>
    <mergeCell ref="BL2:BO2"/>
    <mergeCell ref="BP2:BP3"/>
    <mergeCell ref="BQ2:BQ3"/>
    <mergeCell ref="BR2:BR3"/>
    <mergeCell ref="BS2:BV2"/>
    <mergeCell ref="CF2:CF3"/>
    <mergeCell ref="CG2:CJ2"/>
    <mergeCell ref="CK2:CK3"/>
    <mergeCell ref="CS1:CY1"/>
    <mergeCell ref="EB1:EH1"/>
    <mergeCell ref="CZ1:DF1"/>
    <mergeCell ref="DN1:DT1"/>
    <mergeCell ref="DU1:EA1"/>
    <mergeCell ref="DG1:DM1"/>
    <mergeCell ref="CL1:CR1"/>
    <mergeCell ref="AH1:AN1"/>
    <mergeCell ref="AO1:AU1"/>
    <mergeCell ref="AV1:BB1"/>
    <mergeCell ref="A1:O1"/>
    <mergeCell ref="P1:AB1"/>
    <mergeCell ref="AC1:AG1"/>
    <mergeCell ref="BC1:BI1"/>
    <mergeCell ref="BJ1:BP1"/>
    <mergeCell ref="BQ1:BW1"/>
    <mergeCell ref="BX1:CD1"/>
    <mergeCell ref="CE1:CK1"/>
  </mergeCells>
  <pageMargins left="0.31496062992125984" right="0" top="0.59055118110236227" bottom="0.35433070866141736" header="0.31496062992125984" footer="0.31496062992125984"/>
  <pageSetup paperSize="9" scale="90" firstPageNumber="109" orientation="landscape" useFirstPageNumber="1" r:id="rId1"/>
  <headerFooter>
    <oddFooter>&amp;C&amp;P</oddFooter>
  </headerFooter>
  <colBreaks count="16" manualBreakCount="16">
    <brk id="28" max="1048575" man="1"/>
    <brk id="33" max="1048575" man="1"/>
    <brk id="40" max="1048575" man="1"/>
    <brk id="47" max="1048575" man="1"/>
    <brk id="54" max="1048575" man="1"/>
    <brk id="61" max="1048575" man="1"/>
    <brk id="68" max="1048575" man="1"/>
    <brk id="75" max="1048575" man="1"/>
    <brk id="82" max="1048575" man="1"/>
    <brk id="89" max="1048575" man="1"/>
    <brk id="96" max="1048575" man="1"/>
    <brk id="103" max="1048575" man="1"/>
    <brk id="110" max="1048575" man="1"/>
    <brk id="117" max="1048575" man="1"/>
    <brk id="124" max="1048575" man="1"/>
    <brk id="131" max="41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9C2D-2920-46C2-8CD9-5A04E7732215}">
  <dimension ref="A1:EH64"/>
  <sheetViews>
    <sheetView view="pageBreakPreview" topLeftCell="AG1" zoomScale="85" zoomScaleNormal="40" zoomScaleSheetLayoutView="85" workbookViewId="0">
      <selection activeCell="AH46" sqref="AH46:AJ51"/>
    </sheetView>
  </sheetViews>
  <sheetFormatPr defaultColWidth="7.77734375" defaultRowHeight="10.199999999999999" customHeight="1" x14ac:dyDescent="0.2"/>
  <cols>
    <col min="1" max="1" width="4.6640625" style="9" customWidth="1"/>
    <col min="2" max="2" width="16.77734375" style="1" customWidth="1"/>
    <col min="3" max="3" width="9.6640625" style="1" customWidth="1"/>
    <col min="4" max="4" width="10.77734375" style="1" customWidth="1"/>
    <col min="5" max="5" width="10.5546875" style="1" bestFit="1" customWidth="1"/>
    <col min="6" max="7" width="10.77734375" style="1" customWidth="1"/>
    <col min="8" max="8" width="10.88671875" style="1" customWidth="1"/>
    <col min="9" max="9" width="11.77734375" style="1" customWidth="1"/>
    <col min="10" max="12" width="10.77734375" style="1" customWidth="1"/>
    <col min="13" max="13" width="9" style="1" bestFit="1" customWidth="1"/>
    <col min="14" max="14" width="11" style="1" customWidth="1"/>
    <col min="15" max="15" width="10.77734375" style="1" customWidth="1"/>
    <col min="16" max="16" width="4.5546875" style="9" customWidth="1"/>
    <col min="17" max="17" width="16.109375" style="1" customWidth="1"/>
    <col min="18" max="28" width="11.88671875" style="1" customWidth="1"/>
    <col min="29" max="29" width="7.77734375" style="9"/>
    <col min="30" max="30" width="44.21875" style="1" customWidth="1"/>
    <col min="31" max="33" width="14.33203125" style="1" customWidth="1"/>
    <col min="34" max="34" width="4.5546875" style="9" customWidth="1"/>
    <col min="35" max="35" width="39.88671875" style="1" customWidth="1"/>
    <col min="36" max="36" width="22.21875" style="1" customWidth="1"/>
    <col min="37" max="37" width="12.88671875" style="1" customWidth="1"/>
    <col min="38" max="38" width="10.109375" style="1" customWidth="1"/>
    <col min="39" max="40" width="10.88671875" style="1" customWidth="1"/>
    <col min="41" max="41" width="7.77734375" style="9"/>
    <col min="42" max="42" width="44.21875" style="1" customWidth="1"/>
    <col min="43" max="45" width="10.109375" style="1" customWidth="1"/>
    <col min="46" max="47" width="10.77734375" style="1" customWidth="1"/>
    <col min="48" max="48" width="7.77734375" style="9"/>
    <col min="49" max="49" width="44.21875" style="1" customWidth="1"/>
    <col min="50" max="52" width="10.109375" style="1" customWidth="1"/>
    <col min="53" max="54" width="10.88671875" style="1" customWidth="1"/>
    <col min="55" max="55" width="7.77734375" style="9"/>
    <col min="56" max="56" width="44.21875" style="1" customWidth="1"/>
    <col min="57" max="61" width="10.109375" style="1" customWidth="1"/>
    <col min="62" max="62" width="7.77734375" style="9"/>
    <col min="63" max="63" width="44.21875" style="1" customWidth="1"/>
    <col min="64" max="68" width="10.109375" style="1" customWidth="1"/>
    <col min="69" max="69" width="7.77734375" style="9"/>
    <col min="70" max="70" width="44.21875" style="1" customWidth="1"/>
    <col min="71" max="75" width="10.109375" style="1" customWidth="1"/>
    <col min="76" max="76" width="7.77734375" style="9"/>
    <col min="77" max="77" width="44.21875" style="1" customWidth="1"/>
    <col min="78" max="82" width="10.109375" style="1" customWidth="1"/>
    <col min="83" max="83" width="7.77734375" style="9"/>
    <col min="84" max="84" width="44.21875" style="1" customWidth="1"/>
    <col min="85" max="89" width="10.109375" style="1" customWidth="1"/>
    <col min="90" max="90" width="7.77734375" style="9"/>
    <col min="91" max="91" width="44.21875" style="1" customWidth="1"/>
    <col min="92" max="96" width="10.109375" style="1" customWidth="1"/>
    <col min="97" max="97" width="7.77734375" style="9"/>
    <col min="98" max="98" width="44.21875" style="1" customWidth="1"/>
    <col min="99" max="103" width="10.109375" style="1" customWidth="1"/>
    <col min="104" max="104" width="7.77734375" style="9"/>
    <col min="105" max="105" width="44.21875" style="1" customWidth="1"/>
    <col min="106" max="110" width="10.109375" style="1" customWidth="1"/>
    <col min="111" max="111" width="7.77734375" style="9"/>
    <col min="112" max="112" width="44.21875" style="1" customWidth="1"/>
    <col min="113" max="117" width="10.109375" style="1" customWidth="1"/>
    <col min="118" max="118" width="7.77734375" style="9"/>
    <col min="119" max="119" width="44.21875" style="1" customWidth="1"/>
    <col min="120" max="124" width="10.109375" style="1" customWidth="1"/>
    <col min="125" max="125" width="7.77734375" style="9"/>
    <col min="126" max="126" width="44.21875" style="1" customWidth="1"/>
    <col min="127" max="129" width="10.109375" style="1" customWidth="1"/>
    <col min="130" max="131" width="10.77734375" style="1" customWidth="1"/>
    <col min="132" max="132" width="7.77734375" style="9"/>
    <col min="133" max="133" width="44.21875" style="1" customWidth="1"/>
    <col min="134" max="138" width="10.109375" style="1" customWidth="1"/>
    <col min="139" max="16384" width="7.77734375" style="1"/>
  </cols>
  <sheetData>
    <row r="1" spans="1:138" s="38" customFormat="1" ht="21" customHeight="1" x14ac:dyDescent="0.3">
      <c r="A1" s="97" t="s">
        <v>300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 t="s">
        <v>301</v>
      </c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 t="s">
        <v>302</v>
      </c>
      <c r="AD1" s="97"/>
      <c r="AE1" s="97"/>
      <c r="AF1" s="97"/>
      <c r="AG1" s="97"/>
      <c r="AH1" s="97" t="s">
        <v>303</v>
      </c>
      <c r="AI1" s="97"/>
      <c r="AJ1" s="97"/>
      <c r="AK1" s="97"/>
      <c r="AL1" s="97"/>
      <c r="AM1" s="97"/>
      <c r="AN1" s="97"/>
      <c r="AO1" s="97" t="s">
        <v>304</v>
      </c>
      <c r="AP1" s="97"/>
      <c r="AQ1" s="97"/>
      <c r="AR1" s="97"/>
      <c r="AS1" s="97"/>
      <c r="AT1" s="97"/>
      <c r="AU1" s="97"/>
      <c r="AV1" s="97" t="s">
        <v>305</v>
      </c>
      <c r="AW1" s="97"/>
      <c r="AX1" s="97"/>
      <c r="AY1" s="97"/>
      <c r="AZ1" s="97"/>
      <c r="BA1" s="97"/>
      <c r="BB1" s="97"/>
      <c r="BC1" s="97" t="s">
        <v>306</v>
      </c>
      <c r="BD1" s="97"/>
      <c r="BE1" s="97"/>
      <c r="BF1" s="97"/>
      <c r="BG1" s="97"/>
      <c r="BH1" s="97"/>
      <c r="BI1" s="97"/>
      <c r="BJ1" s="97" t="s">
        <v>307</v>
      </c>
      <c r="BK1" s="97"/>
      <c r="BL1" s="97"/>
      <c r="BM1" s="97"/>
      <c r="BN1" s="97"/>
      <c r="BO1" s="97"/>
      <c r="BP1" s="97"/>
      <c r="BQ1" s="97" t="s">
        <v>308</v>
      </c>
      <c r="BR1" s="97"/>
      <c r="BS1" s="97"/>
      <c r="BT1" s="97"/>
      <c r="BU1" s="97"/>
      <c r="BV1" s="97"/>
      <c r="BW1" s="97"/>
      <c r="BX1" s="97" t="s">
        <v>309</v>
      </c>
      <c r="BY1" s="97"/>
      <c r="BZ1" s="97"/>
      <c r="CA1" s="97"/>
      <c r="CB1" s="97"/>
      <c r="CC1" s="97"/>
      <c r="CD1" s="97"/>
      <c r="CE1" s="97" t="s">
        <v>310</v>
      </c>
      <c r="CF1" s="97"/>
      <c r="CG1" s="97"/>
      <c r="CH1" s="97"/>
      <c r="CI1" s="97"/>
      <c r="CJ1" s="97"/>
      <c r="CK1" s="97"/>
      <c r="CL1" s="97" t="s">
        <v>311</v>
      </c>
      <c r="CM1" s="97"/>
      <c r="CN1" s="97"/>
      <c r="CO1" s="97"/>
      <c r="CP1" s="97"/>
      <c r="CQ1" s="97"/>
      <c r="CR1" s="97"/>
      <c r="CS1" s="97" t="s">
        <v>312</v>
      </c>
      <c r="CT1" s="97"/>
      <c r="CU1" s="97"/>
      <c r="CV1" s="97"/>
      <c r="CW1" s="97"/>
      <c r="CX1" s="97"/>
      <c r="CY1" s="97"/>
      <c r="CZ1" s="97" t="s">
        <v>313</v>
      </c>
      <c r="DA1" s="97"/>
      <c r="DB1" s="97"/>
      <c r="DC1" s="97"/>
      <c r="DD1" s="97"/>
      <c r="DE1" s="97"/>
      <c r="DF1" s="97"/>
      <c r="DG1" s="97" t="s">
        <v>314</v>
      </c>
      <c r="DH1" s="97"/>
      <c r="DI1" s="97"/>
      <c r="DJ1" s="97"/>
      <c r="DK1" s="97"/>
      <c r="DL1" s="97"/>
      <c r="DM1" s="97"/>
      <c r="DN1" s="97" t="s">
        <v>315</v>
      </c>
      <c r="DO1" s="97"/>
      <c r="DP1" s="97"/>
      <c r="DQ1" s="97"/>
      <c r="DR1" s="97"/>
      <c r="DS1" s="97"/>
      <c r="DT1" s="97"/>
      <c r="DU1" s="97" t="s">
        <v>316</v>
      </c>
      <c r="DV1" s="97"/>
      <c r="DW1" s="97"/>
      <c r="DX1" s="97"/>
      <c r="DY1" s="97"/>
      <c r="DZ1" s="97"/>
      <c r="EA1" s="97"/>
      <c r="EB1" s="97" t="s">
        <v>317</v>
      </c>
      <c r="EC1" s="97"/>
      <c r="ED1" s="97"/>
      <c r="EE1" s="97"/>
      <c r="EF1" s="97"/>
      <c r="EG1" s="97"/>
      <c r="EH1" s="97"/>
    </row>
    <row r="2" spans="1:138" s="10" customFormat="1" ht="21" customHeight="1" x14ac:dyDescent="0.3">
      <c r="A2" s="98" t="s">
        <v>0</v>
      </c>
      <c r="B2" s="98" t="s">
        <v>1</v>
      </c>
      <c r="C2" s="98" t="s">
        <v>4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 t="s">
        <v>3</v>
      </c>
      <c r="P2" s="98" t="s">
        <v>0</v>
      </c>
      <c r="Q2" s="98" t="s">
        <v>1</v>
      </c>
      <c r="R2" s="98" t="s">
        <v>4</v>
      </c>
      <c r="S2" s="98"/>
      <c r="T2" s="98"/>
      <c r="U2" s="98"/>
      <c r="V2" s="98"/>
      <c r="W2" s="98"/>
      <c r="X2" s="98"/>
      <c r="Y2" s="98"/>
      <c r="Z2" s="98"/>
      <c r="AA2" s="98"/>
      <c r="AB2" s="98" t="s">
        <v>3</v>
      </c>
      <c r="AC2" s="98" t="s">
        <v>0</v>
      </c>
      <c r="AD2" s="98" t="s">
        <v>1</v>
      </c>
      <c r="AE2" s="98" t="s">
        <v>4</v>
      </c>
      <c r="AF2" s="98"/>
      <c r="AG2" s="98" t="s">
        <v>3</v>
      </c>
      <c r="AH2" s="98" t="s">
        <v>0</v>
      </c>
      <c r="AI2" s="98" t="s">
        <v>1</v>
      </c>
      <c r="AJ2" s="98" t="s">
        <v>65</v>
      </c>
      <c r="AK2" s="98"/>
      <c r="AL2" s="98"/>
      <c r="AM2" s="98"/>
      <c r="AN2" s="98" t="s">
        <v>66</v>
      </c>
      <c r="AO2" s="98" t="s">
        <v>0</v>
      </c>
      <c r="AP2" s="98" t="s">
        <v>1</v>
      </c>
      <c r="AQ2" s="98" t="s">
        <v>65</v>
      </c>
      <c r="AR2" s="98"/>
      <c r="AS2" s="98"/>
      <c r="AT2" s="98"/>
      <c r="AU2" s="98" t="s">
        <v>66</v>
      </c>
      <c r="AV2" s="98" t="s">
        <v>0</v>
      </c>
      <c r="AW2" s="98" t="s">
        <v>1</v>
      </c>
      <c r="AX2" s="98" t="s">
        <v>65</v>
      </c>
      <c r="AY2" s="98"/>
      <c r="AZ2" s="98"/>
      <c r="BA2" s="98"/>
      <c r="BB2" s="98" t="s">
        <v>66</v>
      </c>
      <c r="BC2" s="98" t="s">
        <v>0</v>
      </c>
      <c r="BD2" s="98" t="s">
        <v>1</v>
      </c>
      <c r="BE2" s="98" t="s">
        <v>65</v>
      </c>
      <c r="BF2" s="98"/>
      <c r="BG2" s="98"/>
      <c r="BH2" s="98"/>
      <c r="BI2" s="98" t="s">
        <v>66</v>
      </c>
      <c r="BJ2" s="98" t="s">
        <v>0</v>
      </c>
      <c r="BK2" s="98" t="s">
        <v>1</v>
      </c>
      <c r="BL2" s="98" t="s">
        <v>65</v>
      </c>
      <c r="BM2" s="98"/>
      <c r="BN2" s="98"/>
      <c r="BO2" s="98"/>
      <c r="BP2" s="98" t="s">
        <v>66</v>
      </c>
      <c r="BQ2" s="98" t="s">
        <v>0</v>
      </c>
      <c r="BR2" s="98" t="s">
        <v>1</v>
      </c>
      <c r="BS2" s="98" t="s">
        <v>65</v>
      </c>
      <c r="BT2" s="98"/>
      <c r="BU2" s="98"/>
      <c r="BV2" s="98"/>
      <c r="BW2" s="98" t="s">
        <v>66</v>
      </c>
      <c r="BX2" s="98" t="s">
        <v>0</v>
      </c>
      <c r="BY2" s="98" t="s">
        <v>1</v>
      </c>
      <c r="BZ2" s="98" t="s">
        <v>65</v>
      </c>
      <c r="CA2" s="98"/>
      <c r="CB2" s="98"/>
      <c r="CC2" s="98"/>
      <c r="CD2" s="98" t="s">
        <v>66</v>
      </c>
      <c r="CE2" s="98" t="s">
        <v>0</v>
      </c>
      <c r="CF2" s="98" t="s">
        <v>1</v>
      </c>
      <c r="CG2" s="98" t="s">
        <v>65</v>
      </c>
      <c r="CH2" s="98"/>
      <c r="CI2" s="98"/>
      <c r="CJ2" s="98"/>
      <c r="CK2" s="98" t="s">
        <v>66</v>
      </c>
      <c r="CL2" s="98" t="s">
        <v>0</v>
      </c>
      <c r="CM2" s="98" t="s">
        <v>1</v>
      </c>
      <c r="CN2" s="98" t="s">
        <v>65</v>
      </c>
      <c r="CO2" s="98"/>
      <c r="CP2" s="98"/>
      <c r="CQ2" s="98"/>
      <c r="CR2" s="98" t="s">
        <v>66</v>
      </c>
      <c r="CS2" s="98" t="s">
        <v>0</v>
      </c>
      <c r="CT2" s="98" t="s">
        <v>1</v>
      </c>
      <c r="CU2" s="98" t="s">
        <v>65</v>
      </c>
      <c r="CV2" s="98"/>
      <c r="CW2" s="98"/>
      <c r="CX2" s="98"/>
      <c r="CY2" s="98" t="s">
        <v>66</v>
      </c>
      <c r="CZ2" s="98" t="s">
        <v>0</v>
      </c>
      <c r="DA2" s="98" t="s">
        <v>1</v>
      </c>
      <c r="DB2" s="98" t="s">
        <v>65</v>
      </c>
      <c r="DC2" s="98"/>
      <c r="DD2" s="98"/>
      <c r="DE2" s="98"/>
      <c r="DF2" s="98" t="s">
        <v>66</v>
      </c>
      <c r="DG2" s="98" t="s">
        <v>0</v>
      </c>
      <c r="DH2" s="98" t="s">
        <v>1</v>
      </c>
      <c r="DI2" s="98" t="s">
        <v>65</v>
      </c>
      <c r="DJ2" s="98"/>
      <c r="DK2" s="98"/>
      <c r="DL2" s="98"/>
      <c r="DM2" s="98" t="s">
        <v>66</v>
      </c>
      <c r="DN2" s="98" t="s">
        <v>0</v>
      </c>
      <c r="DO2" s="98" t="s">
        <v>1</v>
      </c>
      <c r="DP2" s="98" t="s">
        <v>65</v>
      </c>
      <c r="DQ2" s="98"/>
      <c r="DR2" s="98"/>
      <c r="DS2" s="98"/>
      <c r="DT2" s="98" t="s">
        <v>66</v>
      </c>
      <c r="DU2" s="98" t="s">
        <v>0</v>
      </c>
      <c r="DV2" s="98" t="s">
        <v>1</v>
      </c>
      <c r="DW2" s="98" t="s">
        <v>65</v>
      </c>
      <c r="DX2" s="98"/>
      <c r="DY2" s="98"/>
      <c r="DZ2" s="98"/>
      <c r="EA2" s="98" t="s">
        <v>66</v>
      </c>
      <c r="EB2" s="98" t="s">
        <v>0</v>
      </c>
      <c r="EC2" s="98" t="s">
        <v>1</v>
      </c>
      <c r="ED2" s="98" t="s">
        <v>65</v>
      </c>
      <c r="EE2" s="98"/>
      <c r="EF2" s="98"/>
      <c r="EG2" s="98"/>
      <c r="EH2" s="98" t="s">
        <v>66</v>
      </c>
    </row>
    <row r="3" spans="1:138" s="10" customFormat="1" ht="48.6" customHeight="1" x14ac:dyDescent="0.3">
      <c r="A3" s="98"/>
      <c r="B3" s="98"/>
      <c r="C3" s="11" t="s">
        <v>9</v>
      </c>
      <c r="D3" s="11" t="s">
        <v>10</v>
      </c>
      <c r="E3" s="11" t="s">
        <v>11</v>
      </c>
      <c r="F3" s="11" t="s">
        <v>12</v>
      </c>
      <c r="G3" s="24" t="s">
        <v>13</v>
      </c>
      <c r="H3" s="24" t="s">
        <v>14</v>
      </c>
      <c r="I3" s="24" t="s">
        <v>138</v>
      </c>
      <c r="J3" s="24" t="s">
        <v>132</v>
      </c>
      <c r="K3" s="24" t="s">
        <v>134</v>
      </c>
      <c r="L3" s="24" t="s">
        <v>18</v>
      </c>
      <c r="M3" s="24" t="s">
        <v>19</v>
      </c>
      <c r="N3" s="24" t="s">
        <v>133</v>
      </c>
      <c r="O3" s="98"/>
      <c r="P3" s="98"/>
      <c r="Q3" s="98"/>
      <c r="R3" s="11" t="s">
        <v>9</v>
      </c>
      <c r="S3" s="11" t="s">
        <v>10</v>
      </c>
      <c r="T3" s="11" t="s">
        <v>11</v>
      </c>
      <c r="U3" s="11" t="s">
        <v>12</v>
      </c>
      <c r="V3" s="24" t="s">
        <v>13</v>
      </c>
      <c r="W3" s="24" t="s">
        <v>14</v>
      </c>
      <c r="X3" s="24" t="s">
        <v>131</v>
      </c>
      <c r="Y3" s="24" t="s">
        <v>132</v>
      </c>
      <c r="Z3" s="24" t="s">
        <v>134</v>
      </c>
      <c r="AA3" s="24" t="s">
        <v>18</v>
      </c>
      <c r="AB3" s="98"/>
      <c r="AC3" s="98"/>
      <c r="AD3" s="98"/>
      <c r="AE3" s="24" t="s">
        <v>19</v>
      </c>
      <c r="AF3" s="24" t="s">
        <v>133</v>
      </c>
      <c r="AG3" s="98"/>
      <c r="AH3" s="98"/>
      <c r="AI3" s="98"/>
      <c r="AJ3" s="11" t="s">
        <v>67</v>
      </c>
      <c r="AK3" s="11" t="s">
        <v>68</v>
      </c>
      <c r="AL3" s="11" t="s">
        <v>69</v>
      </c>
      <c r="AM3" s="11" t="s">
        <v>70</v>
      </c>
      <c r="AN3" s="98"/>
      <c r="AO3" s="98"/>
      <c r="AP3" s="98"/>
      <c r="AQ3" s="11" t="s">
        <v>67</v>
      </c>
      <c r="AR3" s="11" t="s">
        <v>68</v>
      </c>
      <c r="AS3" s="11" t="s">
        <v>69</v>
      </c>
      <c r="AT3" s="11" t="s">
        <v>70</v>
      </c>
      <c r="AU3" s="98"/>
      <c r="AV3" s="98"/>
      <c r="AW3" s="98"/>
      <c r="AX3" s="11" t="s">
        <v>67</v>
      </c>
      <c r="AY3" s="11" t="s">
        <v>68</v>
      </c>
      <c r="AZ3" s="11" t="s">
        <v>69</v>
      </c>
      <c r="BA3" s="11" t="s">
        <v>70</v>
      </c>
      <c r="BB3" s="98"/>
      <c r="BC3" s="98"/>
      <c r="BD3" s="98"/>
      <c r="BE3" s="11" t="s">
        <v>67</v>
      </c>
      <c r="BF3" s="11" t="s">
        <v>68</v>
      </c>
      <c r="BG3" s="11" t="s">
        <v>69</v>
      </c>
      <c r="BH3" s="11" t="s">
        <v>70</v>
      </c>
      <c r="BI3" s="98"/>
      <c r="BJ3" s="98"/>
      <c r="BK3" s="98"/>
      <c r="BL3" s="11" t="s">
        <v>67</v>
      </c>
      <c r="BM3" s="11" t="s">
        <v>68</v>
      </c>
      <c r="BN3" s="11" t="s">
        <v>69</v>
      </c>
      <c r="BO3" s="11" t="s">
        <v>70</v>
      </c>
      <c r="BP3" s="98"/>
      <c r="BQ3" s="98"/>
      <c r="BR3" s="98"/>
      <c r="BS3" s="11" t="s">
        <v>67</v>
      </c>
      <c r="BT3" s="11" t="s">
        <v>68</v>
      </c>
      <c r="BU3" s="11" t="s">
        <v>69</v>
      </c>
      <c r="BV3" s="11" t="s">
        <v>70</v>
      </c>
      <c r="BW3" s="98"/>
      <c r="BX3" s="98"/>
      <c r="BY3" s="98"/>
      <c r="BZ3" s="11" t="s">
        <v>67</v>
      </c>
      <c r="CA3" s="11" t="s">
        <v>68</v>
      </c>
      <c r="CB3" s="11" t="s">
        <v>69</v>
      </c>
      <c r="CC3" s="11" t="s">
        <v>70</v>
      </c>
      <c r="CD3" s="98"/>
      <c r="CE3" s="98"/>
      <c r="CF3" s="98"/>
      <c r="CG3" s="11" t="s">
        <v>67</v>
      </c>
      <c r="CH3" s="11" t="s">
        <v>68</v>
      </c>
      <c r="CI3" s="11" t="s">
        <v>69</v>
      </c>
      <c r="CJ3" s="11" t="s">
        <v>70</v>
      </c>
      <c r="CK3" s="98"/>
      <c r="CL3" s="98"/>
      <c r="CM3" s="98"/>
      <c r="CN3" s="11" t="s">
        <v>67</v>
      </c>
      <c r="CO3" s="11" t="s">
        <v>68</v>
      </c>
      <c r="CP3" s="11" t="s">
        <v>69</v>
      </c>
      <c r="CQ3" s="11" t="s">
        <v>70</v>
      </c>
      <c r="CR3" s="98"/>
      <c r="CS3" s="98"/>
      <c r="CT3" s="98"/>
      <c r="CU3" s="11" t="s">
        <v>67</v>
      </c>
      <c r="CV3" s="11" t="s">
        <v>68</v>
      </c>
      <c r="CW3" s="11" t="s">
        <v>69</v>
      </c>
      <c r="CX3" s="11" t="s">
        <v>70</v>
      </c>
      <c r="CY3" s="98"/>
      <c r="CZ3" s="98"/>
      <c r="DA3" s="98"/>
      <c r="DB3" s="11" t="s">
        <v>67</v>
      </c>
      <c r="DC3" s="11" t="s">
        <v>68</v>
      </c>
      <c r="DD3" s="11" t="s">
        <v>69</v>
      </c>
      <c r="DE3" s="11" t="s">
        <v>70</v>
      </c>
      <c r="DF3" s="98"/>
      <c r="DG3" s="98"/>
      <c r="DH3" s="98"/>
      <c r="DI3" s="11" t="s">
        <v>67</v>
      </c>
      <c r="DJ3" s="11" t="s">
        <v>68</v>
      </c>
      <c r="DK3" s="11" t="s">
        <v>69</v>
      </c>
      <c r="DL3" s="11" t="s">
        <v>70</v>
      </c>
      <c r="DM3" s="98"/>
      <c r="DN3" s="98"/>
      <c r="DO3" s="98"/>
      <c r="DP3" s="11" t="s">
        <v>67</v>
      </c>
      <c r="DQ3" s="11" t="s">
        <v>68</v>
      </c>
      <c r="DR3" s="11" t="s">
        <v>69</v>
      </c>
      <c r="DS3" s="11" t="s">
        <v>70</v>
      </c>
      <c r="DT3" s="98"/>
      <c r="DU3" s="98"/>
      <c r="DV3" s="98"/>
      <c r="DW3" s="11" t="s">
        <v>67</v>
      </c>
      <c r="DX3" s="11" t="s">
        <v>68</v>
      </c>
      <c r="DY3" s="11" t="s">
        <v>69</v>
      </c>
      <c r="DZ3" s="11" t="s">
        <v>70</v>
      </c>
      <c r="EA3" s="98"/>
      <c r="EB3" s="98"/>
      <c r="EC3" s="98"/>
      <c r="ED3" s="11" t="s">
        <v>67</v>
      </c>
      <c r="EE3" s="11" t="s">
        <v>68</v>
      </c>
      <c r="EF3" s="11" t="s">
        <v>69</v>
      </c>
      <c r="EG3" s="11" t="s">
        <v>70</v>
      </c>
      <c r="EH3" s="98"/>
    </row>
    <row r="4" spans="1:138" ht="10.199999999999999" customHeight="1" x14ac:dyDescent="0.2">
      <c r="A4" s="7" t="s">
        <v>110</v>
      </c>
      <c r="B4" s="2" t="s">
        <v>38</v>
      </c>
      <c r="C4" s="3">
        <f>BI4</f>
        <v>50467.656131135707</v>
      </c>
      <c r="D4" s="3">
        <f>BP4</f>
        <v>814306.65878384828</v>
      </c>
      <c r="E4" s="3">
        <f>BW4</f>
        <v>2229567.7052201177</v>
      </c>
      <c r="F4" s="3">
        <f>CD4</f>
        <v>7989.0290676243885</v>
      </c>
      <c r="G4" s="3">
        <f>CK4</f>
        <v>84463459.921677426</v>
      </c>
      <c r="H4" s="3">
        <f>CR4</f>
        <v>0</v>
      </c>
      <c r="I4" s="3">
        <f>CY4</f>
        <v>12742.804394522185</v>
      </c>
      <c r="J4" s="3">
        <f>DM4</f>
        <v>8383.6848901821795</v>
      </c>
      <c r="K4" s="3">
        <f>DF4</f>
        <v>62481.243682817447</v>
      </c>
      <c r="L4" s="3">
        <f>DT4</f>
        <v>117526.28074075558</v>
      </c>
      <c r="M4" s="3">
        <f>EH4</f>
        <v>187273.57532857032</v>
      </c>
      <c r="N4" s="3">
        <f>EA4</f>
        <v>3235.7231494355647</v>
      </c>
      <c r="O4" s="3">
        <f>SUM(C4:N4)</f>
        <v>87957434.283066437</v>
      </c>
      <c r="P4" s="7" t="s">
        <v>110</v>
      </c>
      <c r="Q4" s="2" t="s">
        <v>38</v>
      </c>
      <c r="R4" s="3">
        <f t="shared" ref="R4:AA4" si="0">C4</f>
        <v>50467.656131135707</v>
      </c>
      <c r="S4" s="3">
        <f t="shared" si="0"/>
        <v>814306.65878384828</v>
      </c>
      <c r="T4" s="3">
        <f t="shared" si="0"/>
        <v>2229567.7052201177</v>
      </c>
      <c r="U4" s="3">
        <f t="shared" si="0"/>
        <v>7989.0290676243885</v>
      </c>
      <c r="V4" s="3">
        <f t="shared" si="0"/>
        <v>84463459.921677426</v>
      </c>
      <c r="W4" s="3">
        <f t="shared" si="0"/>
        <v>0</v>
      </c>
      <c r="X4" s="3">
        <f t="shared" si="0"/>
        <v>12742.804394522185</v>
      </c>
      <c r="Y4" s="3">
        <f t="shared" si="0"/>
        <v>8383.6848901821795</v>
      </c>
      <c r="Z4" s="3">
        <f t="shared" si="0"/>
        <v>62481.243682817447</v>
      </c>
      <c r="AA4" s="3">
        <f t="shared" si="0"/>
        <v>117526.28074075558</v>
      </c>
      <c r="AB4" s="3">
        <f>SUM(R4:AA4)</f>
        <v>87766924.984588429</v>
      </c>
      <c r="AC4" s="7" t="s">
        <v>110</v>
      </c>
      <c r="AD4" s="2" t="s">
        <v>38</v>
      </c>
      <c r="AE4" s="3">
        <f>M4</f>
        <v>187273.57532857032</v>
      </c>
      <c r="AF4" s="3">
        <f>N4</f>
        <v>3235.7231494355647</v>
      </c>
      <c r="AG4" s="3">
        <f>SUM(AE4:AF4)</f>
        <v>190509.29847800589</v>
      </c>
      <c r="AH4" s="7" t="s">
        <v>110</v>
      </c>
      <c r="AI4" s="2" t="s">
        <v>38</v>
      </c>
      <c r="AJ4" s="3">
        <f>AQ4+AX4</f>
        <v>85952993.294792876</v>
      </c>
      <c r="AK4" s="3">
        <f t="shared" ref="AK4:AM19" si="1">AR4+AY4</f>
        <v>2004440.9882735664</v>
      </c>
      <c r="AL4" s="3">
        <f t="shared" si="1"/>
        <v>0</v>
      </c>
      <c r="AM4" s="3">
        <f t="shared" si="1"/>
        <v>0</v>
      </c>
      <c r="AN4" s="3">
        <f>SUM(AJ4:AM4)</f>
        <v>87957434.283066437</v>
      </c>
      <c r="AO4" s="7" t="s">
        <v>110</v>
      </c>
      <c r="AP4" s="2" t="s">
        <v>38</v>
      </c>
      <c r="AQ4" s="3">
        <f>BE4+BL4+BS4+BZ4+CG4+CN4+CU4+DB4+DI4+DP4</f>
        <v>85762483.996314868</v>
      </c>
      <c r="AR4" s="3">
        <f t="shared" ref="AR4:AT19" si="2">BF4+BM4+BT4+CA4+CH4+CO4+CV4+DC4+DJ4+DQ4</f>
        <v>2004440.9882735664</v>
      </c>
      <c r="AS4" s="3">
        <f t="shared" si="2"/>
        <v>0</v>
      </c>
      <c r="AT4" s="3">
        <f t="shared" si="2"/>
        <v>0</v>
      </c>
      <c r="AU4" s="3">
        <f>SUM(AQ4:AT4)</f>
        <v>87766924.984588429</v>
      </c>
      <c r="AV4" s="7" t="s">
        <v>110</v>
      </c>
      <c r="AW4" s="2" t="s">
        <v>38</v>
      </c>
      <c r="AX4" s="3">
        <f>DW4+ED4</f>
        <v>190509.29847800589</v>
      </c>
      <c r="AY4" s="3">
        <f t="shared" ref="AY4:BA19" si="3">DX4+EE4</f>
        <v>0</v>
      </c>
      <c r="AZ4" s="3">
        <f t="shared" si="3"/>
        <v>0</v>
      </c>
      <c r="BA4" s="3">
        <f t="shared" si="3"/>
        <v>0</v>
      </c>
      <c r="BB4" s="3">
        <f>SUM(AX4:BA4)</f>
        <v>190509.29847800589</v>
      </c>
      <c r="BC4" s="7" t="s">
        <v>110</v>
      </c>
      <c r="BD4" s="2" t="s">
        <v>38</v>
      </c>
      <c r="BE4" s="3">
        <v>50467.656131135707</v>
      </c>
      <c r="BF4" s="3">
        <v>0</v>
      </c>
      <c r="BG4" s="3">
        <v>0</v>
      </c>
      <c r="BH4" s="3">
        <v>0</v>
      </c>
      <c r="BI4" s="3">
        <v>50467.656131135707</v>
      </c>
      <c r="BJ4" s="7" t="s">
        <v>110</v>
      </c>
      <c r="BK4" s="2" t="s">
        <v>38</v>
      </c>
      <c r="BL4" s="3">
        <v>814306.65878384828</v>
      </c>
      <c r="BM4" s="3">
        <v>0</v>
      </c>
      <c r="BN4" s="3">
        <v>0</v>
      </c>
      <c r="BO4" s="3">
        <v>0</v>
      </c>
      <c r="BP4" s="3">
        <v>814306.65878384828</v>
      </c>
      <c r="BQ4" s="7" t="s">
        <v>110</v>
      </c>
      <c r="BR4" s="2" t="s">
        <v>38</v>
      </c>
      <c r="BS4" s="3">
        <v>2229567.7052201177</v>
      </c>
      <c r="BT4" s="3">
        <v>0</v>
      </c>
      <c r="BU4" s="3">
        <v>0</v>
      </c>
      <c r="BV4" s="3">
        <v>0</v>
      </c>
      <c r="BW4" s="3">
        <v>2229567.7052201177</v>
      </c>
      <c r="BX4" s="7" t="s">
        <v>110</v>
      </c>
      <c r="BY4" s="2" t="s">
        <v>38</v>
      </c>
      <c r="BZ4" s="3">
        <v>7989.0290676243885</v>
      </c>
      <c r="CA4" s="3">
        <v>0</v>
      </c>
      <c r="CB4" s="3">
        <v>0</v>
      </c>
      <c r="CC4" s="3">
        <v>0</v>
      </c>
      <c r="CD4" s="3">
        <v>7989.0290676243885</v>
      </c>
      <c r="CE4" s="7" t="s">
        <v>110</v>
      </c>
      <c r="CF4" s="2" t="s">
        <v>38</v>
      </c>
      <c r="CG4" s="3">
        <v>82459018.933403865</v>
      </c>
      <c r="CH4" s="3">
        <v>2004440.9882735664</v>
      </c>
      <c r="CI4" s="3">
        <v>0</v>
      </c>
      <c r="CJ4" s="3">
        <v>0</v>
      </c>
      <c r="CK4" s="3">
        <v>84463459.921677426</v>
      </c>
      <c r="CL4" s="7" t="s">
        <v>110</v>
      </c>
      <c r="CM4" s="2" t="s">
        <v>38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7" t="s">
        <v>110</v>
      </c>
      <c r="CT4" s="2" t="s">
        <v>38</v>
      </c>
      <c r="CU4" s="3">
        <v>12742.804394522185</v>
      </c>
      <c r="CV4" s="3">
        <v>0</v>
      </c>
      <c r="CW4" s="3">
        <v>0</v>
      </c>
      <c r="CX4" s="3">
        <v>0</v>
      </c>
      <c r="CY4" s="3">
        <v>12742.804394522185</v>
      </c>
      <c r="CZ4" s="7" t="s">
        <v>110</v>
      </c>
      <c r="DA4" s="2" t="s">
        <v>38</v>
      </c>
      <c r="DB4" s="3">
        <v>62481.243682817447</v>
      </c>
      <c r="DC4" s="3">
        <v>0</v>
      </c>
      <c r="DD4" s="3">
        <v>0</v>
      </c>
      <c r="DE4" s="3">
        <v>0</v>
      </c>
      <c r="DF4" s="3">
        <v>62481.243682817447</v>
      </c>
      <c r="DG4" s="7" t="s">
        <v>110</v>
      </c>
      <c r="DH4" s="2" t="s">
        <v>38</v>
      </c>
      <c r="DI4" s="3">
        <v>8383.6848901821795</v>
      </c>
      <c r="DJ4" s="3">
        <v>0</v>
      </c>
      <c r="DK4" s="3">
        <v>0</v>
      </c>
      <c r="DL4" s="3">
        <v>0</v>
      </c>
      <c r="DM4" s="3">
        <v>8383.6848901821795</v>
      </c>
      <c r="DN4" s="7" t="s">
        <v>110</v>
      </c>
      <c r="DO4" s="2" t="s">
        <v>38</v>
      </c>
      <c r="DP4" s="3">
        <v>117526.28074075558</v>
      </c>
      <c r="DQ4" s="3">
        <v>0</v>
      </c>
      <c r="DR4" s="3">
        <v>0</v>
      </c>
      <c r="DS4" s="3">
        <v>0</v>
      </c>
      <c r="DT4" s="3">
        <v>117526.28074075558</v>
      </c>
      <c r="DU4" s="7" t="s">
        <v>110</v>
      </c>
      <c r="DV4" s="2" t="s">
        <v>38</v>
      </c>
      <c r="DW4" s="3">
        <v>3235.7231494355647</v>
      </c>
      <c r="DX4" s="3">
        <v>0</v>
      </c>
      <c r="DY4" s="3">
        <v>0</v>
      </c>
      <c r="DZ4" s="3">
        <v>0</v>
      </c>
      <c r="EA4" s="3">
        <v>3235.7231494355647</v>
      </c>
      <c r="EB4" s="7" t="s">
        <v>110</v>
      </c>
      <c r="EC4" s="2" t="s">
        <v>38</v>
      </c>
      <c r="ED4" s="3">
        <v>187273.57532857032</v>
      </c>
      <c r="EE4" s="3">
        <v>0</v>
      </c>
      <c r="EF4" s="3">
        <v>0</v>
      </c>
      <c r="EG4" s="3">
        <v>0</v>
      </c>
      <c r="EH4" s="3">
        <v>187273.57532857032</v>
      </c>
    </row>
    <row r="5" spans="1:138" ht="10.199999999999999" customHeight="1" x14ac:dyDescent="0.2">
      <c r="A5" s="7" t="s">
        <v>113</v>
      </c>
      <c r="B5" s="2" t="s">
        <v>41</v>
      </c>
      <c r="C5" s="3">
        <f t="shared" ref="C5:C41" si="4">BI5</f>
        <v>0</v>
      </c>
      <c r="D5" s="3">
        <f t="shared" ref="D5:D41" si="5">BP5</f>
        <v>3249.2077433182008</v>
      </c>
      <c r="E5" s="3">
        <f t="shared" ref="E5:E41" si="6">BW5</f>
        <v>0</v>
      </c>
      <c r="F5" s="3">
        <f t="shared" ref="F5:F41" si="7">CD5</f>
        <v>0</v>
      </c>
      <c r="G5" s="3">
        <f t="shared" ref="G5:G41" si="8">CK5</f>
        <v>10568.975212173467</v>
      </c>
      <c r="H5" s="3">
        <f t="shared" ref="H5:H41" si="9">CR5</f>
        <v>0</v>
      </c>
      <c r="I5" s="3">
        <f t="shared" ref="I5:I41" si="10">CY5</f>
        <v>0</v>
      </c>
      <c r="J5" s="3">
        <f t="shared" ref="J5:J41" si="11">DM5</f>
        <v>0</v>
      </c>
      <c r="K5" s="3">
        <f t="shared" ref="K5:K41" si="12">DF5</f>
        <v>0</v>
      </c>
      <c r="L5" s="3">
        <f t="shared" ref="L5:L41" si="13">DT5</f>
        <v>304998.93431679765</v>
      </c>
      <c r="M5" s="3">
        <f t="shared" ref="M5:M41" si="14">EH5</f>
        <v>385642.69524792372</v>
      </c>
      <c r="N5" s="3">
        <f t="shared" ref="N5:N41" si="15">EA5</f>
        <v>1001668.096398385</v>
      </c>
      <c r="O5" s="3">
        <f t="shared" ref="O5:O41" si="16">SUM(C5:N5)</f>
        <v>1706127.908918598</v>
      </c>
      <c r="P5" s="7" t="s">
        <v>113</v>
      </c>
      <c r="Q5" s="2" t="s">
        <v>41</v>
      </c>
      <c r="R5" s="3">
        <f t="shared" ref="R5:AA30" si="17">C5</f>
        <v>0</v>
      </c>
      <c r="S5" s="3">
        <f t="shared" si="17"/>
        <v>3249.2077433182008</v>
      </c>
      <c r="T5" s="3">
        <f t="shared" si="17"/>
        <v>0</v>
      </c>
      <c r="U5" s="3">
        <f t="shared" si="17"/>
        <v>0</v>
      </c>
      <c r="V5" s="3">
        <f t="shared" si="17"/>
        <v>10568.975212173467</v>
      </c>
      <c r="W5" s="3">
        <f t="shared" si="17"/>
        <v>0</v>
      </c>
      <c r="X5" s="3">
        <f t="shared" si="17"/>
        <v>0</v>
      </c>
      <c r="Y5" s="3">
        <f t="shared" si="17"/>
        <v>0</v>
      </c>
      <c r="Z5" s="3">
        <f t="shared" si="17"/>
        <v>0</v>
      </c>
      <c r="AA5" s="3">
        <f t="shared" si="17"/>
        <v>304998.93431679765</v>
      </c>
      <c r="AB5" s="3">
        <f t="shared" ref="AB5:AB41" si="18">SUM(R5:AA5)</f>
        <v>318817.1172722893</v>
      </c>
      <c r="AC5" s="7" t="s">
        <v>113</v>
      </c>
      <c r="AD5" s="2" t="s">
        <v>41</v>
      </c>
      <c r="AE5" s="3">
        <f t="shared" ref="AE5:AF41" si="19">M5</f>
        <v>385642.69524792372</v>
      </c>
      <c r="AF5" s="3">
        <f t="shared" si="19"/>
        <v>1001668.096398385</v>
      </c>
      <c r="AG5" s="3">
        <f t="shared" ref="AG5:AG41" si="20">SUM(AE5:AF5)</f>
        <v>1387310.7916463087</v>
      </c>
      <c r="AH5" s="7" t="s">
        <v>113</v>
      </c>
      <c r="AI5" s="2" t="s">
        <v>41</v>
      </c>
      <c r="AJ5" s="3">
        <f t="shared" ref="AJ5:AM41" si="21">AQ5+AX5</f>
        <v>442128.22781099047</v>
      </c>
      <c r="AK5" s="3">
        <f t="shared" si="1"/>
        <v>1201409.4147192556</v>
      </c>
      <c r="AL5" s="3">
        <f t="shared" si="1"/>
        <v>62590.26638835208</v>
      </c>
      <c r="AM5" s="3">
        <f t="shared" si="1"/>
        <v>0</v>
      </c>
      <c r="AN5" s="3">
        <f t="shared" ref="AN5:AN41" si="22">SUM(AJ5:AM5)</f>
        <v>1706127.9089185982</v>
      </c>
      <c r="AO5" s="7" t="s">
        <v>113</v>
      </c>
      <c r="AP5" s="2" t="s">
        <v>41</v>
      </c>
      <c r="AQ5" s="3">
        <f t="shared" ref="AQ5:AT41" si="23">BE5+BL5+BS5+BZ5+CG5+CN5+CU5+DB5+DI5+DP5</f>
        <v>7361.6897366241246</v>
      </c>
      <c r="AR5" s="3">
        <f t="shared" si="2"/>
        <v>311455.42753566522</v>
      </c>
      <c r="AS5" s="3">
        <f t="shared" si="2"/>
        <v>0</v>
      </c>
      <c r="AT5" s="3">
        <f t="shared" si="2"/>
        <v>0</v>
      </c>
      <c r="AU5" s="3">
        <f t="shared" ref="AU5:AU41" si="24">SUM(AQ5:AT5)</f>
        <v>318817.11727228935</v>
      </c>
      <c r="AV5" s="7" t="s">
        <v>113</v>
      </c>
      <c r="AW5" s="2" t="s">
        <v>41</v>
      </c>
      <c r="AX5" s="3">
        <f t="shared" ref="AX5:BA41" si="25">DW5+ED5</f>
        <v>434766.53807436634</v>
      </c>
      <c r="AY5" s="3">
        <f t="shared" si="3"/>
        <v>889953.9871835903</v>
      </c>
      <c r="AZ5" s="3">
        <f t="shared" si="3"/>
        <v>62590.26638835208</v>
      </c>
      <c r="BA5" s="3">
        <f t="shared" si="3"/>
        <v>0</v>
      </c>
      <c r="BB5" s="3">
        <f t="shared" ref="BB5:BB41" si="26">SUM(AX5:BA5)</f>
        <v>1387310.7916463087</v>
      </c>
      <c r="BC5" s="7" t="s">
        <v>113</v>
      </c>
      <c r="BD5" s="2" t="s">
        <v>41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7" t="s">
        <v>113</v>
      </c>
      <c r="BK5" s="2" t="s">
        <v>41</v>
      </c>
      <c r="BL5" s="3">
        <v>85.155157891078971</v>
      </c>
      <c r="BM5" s="3">
        <v>3164.0525854271218</v>
      </c>
      <c r="BN5" s="3">
        <v>0</v>
      </c>
      <c r="BO5" s="3">
        <v>0</v>
      </c>
      <c r="BP5" s="3">
        <v>3249.2077433182008</v>
      </c>
      <c r="BQ5" s="7" t="s">
        <v>113</v>
      </c>
      <c r="BR5" s="2" t="s">
        <v>41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7" t="s">
        <v>113</v>
      </c>
      <c r="BY5" s="2" t="s">
        <v>41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7" t="s">
        <v>113</v>
      </c>
      <c r="CF5" s="2" t="s">
        <v>41</v>
      </c>
      <c r="CG5" s="3">
        <v>0</v>
      </c>
      <c r="CH5" s="3">
        <v>10568.975212173467</v>
      </c>
      <c r="CI5" s="3">
        <v>0</v>
      </c>
      <c r="CJ5" s="3">
        <v>0</v>
      </c>
      <c r="CK5" s="3">
        <v>10568.975212173467</v>
      </c>
      <c r="CL5" s="7" t="s">
        <v>113</v>
      </c>
      <c r="CM5" s="2" t="s">
        <v>41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7" t="s">
        <v>113</v>
      </c>
      <c r="CT5" s="2" t="s">
        <v>41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7" t="s">
        <v>113</v>
      </c>
      <c r="DA5" s="2" t="s">
        <v>41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7" t="s">
        <v>113</v>
      </c>
      <c r="DH5" s="2" t="s">
        <v>41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7" t="s">
        <v>113</v>
      </c>
      <c r="DO5" s="2" t="s">
        <v>41</v>
      </c>
      <c r="DP5" s="3">
        <v>7276.5345787330452</v>
      </c>
      <c r="DQ5" s="3">
        <v>297722.39973806462</v>
      </c>
      <c r="DR5" s="3">
        <v>0</v>
      </c>
      <c r="DS5" s="3">
        <v>0</v>
      </c>
      <c r="DT5" s="3">
        <v>304998.93431679765</v>
      </c>
      <c r="DU5" s="7" t="s">
        <v>113</v>
      </c>
      <c r="DV5" s="2" t="s">
        <v>41</v>
      </c>
      <c r="DW5" s="3">
        <v>306392.74903710035</v>
      </c>
      <c r="DX5" s="3">
        <v>632807.02467001963</v>
      </c>
      <c r="DY5" s="3">
        <v>62468.322691265006</v>
      </c>
      <c r="DZ5" s="3">
        <v>0</v>
      </c>
      <c r="EA5" s="3">
        <v>1001668.096398385</v>
      </c>
      <c r="EB5" s="7" t="s">
        <v>113</v>
      </c>
      <c r="EC5" s="2" t="s">
        <v>41</v>
      </c>
      <c r="ED5" s="3">
        <v>128373.789037266</v>
      </c>
      <c r="EE5" s="3">
        <v>257146.96251357067</v>
      </c>
      <c r="EF5" s="3">
        <v>121.94369708707589</v>
      </c>
      <c r="EG5" s="3">
        <v>0</v>
      </c>
      <c r="EH5" s="3">
        <v>385642.69524792372</v>
      </c>
    </row>
    <row r="6" spans="1:138" ht="10.199999999999999" customHeight="1" x14ac:dyDescent="0.2">
      <c r="A6" s="7" t="s">
        <v>119</v>
      </c>
      <c r="B6" s="2" t="s">
        <v>47</v>
      </c>
      <c r="C6" s="3">
        <f t="shared" si="4"/>
        <v>0</v>
      </c>
      <c r="D6" s="3">
        <f t="shared" si="5"/>
        <v>6467.0674062820817</v>
      </c>
      <c r="E6" s="3">
        <f t="shared" si="6"/>
        <v>1593995687.335762</v>
      </c>
      <c r="F6" s="3">
        <f t="shared" si="7"/>
        <v>18858755.475431915</v>
      </c>
      <c r="G6" s="3">
        <f t="shared" si="8"/>
        <v>0</v>
      </c>
      <c r="H6" s="3">
        <f t="shared" si="9"/>
        <v>0</v>
      </c>
      <c r="I6" s="3">
        <f t="shared" si="10"/>
        <v>537797.63949945127</v>
      </c>
      <c r="J6" s="3">
        <f t="shared" si="11"/>
        <v>0</v>
      </c>
      <c r="K6" s="3">
        <f t="shared" si="12"/>
        <v>1743117.4968427934</v>
      </c>
      <c r="L6" s="3">
        <f t="shared" si="13"/>
        <v>1684.0020782334075</v>
      </c>
      <c r="M6" s="3">
        <f t="shared" si="14"/>
        <v>3732094.6611137614</v>
      </c>
      <c r="N6" s="3">
        <f t="shared" si="15"/>
        <v>1165959.0729038133</v>
      </c>
      <c r="O6" s="3">
        <f t="shared" si="16"/>
        <v>1620041562.7510383</v>
      </c>
      <c r="P6" s="7" t="s">
        <v>119</v>
      </c>
      <c r="Q6" s="2" t="s">
        <v>47</v>
      </c>
      <c r="R6" s="3">
        <f t="shared" si="17"/>
        <v>0</v>
      </c>
      <c r="S6" s="3">
        <f t="shared" si="17"/>
        <v>6467.0674062820817</v>
      </c>
      <c r="T6" s="3">
        <f t="shared" si="17"/>
        <v>1593995687.335762</v>
      </c>
      <c r="U6" s="3">
        <f t="shared" si="17"/>
        <v>18858755.475431915</v>
      </c>
      <c r="V6" s="3">
        <f t="shared" si="17"/>
        <v>0</v>
      </c>
      <c r="W6" s="3">
        <f t="shared" si="17"/>
        <v>0</v>
      </c>
      <c r="X6" s="3">
        <f t="shared" si="17"/>
        <v>537797.63949945127</v>
      </c>
      <c r="Y6" s="3">
        <f t="shared" si="17"/>
        <v>0</v>
      </c>
      <c r="Z6" s="3">
        <f t="shared" si="17"/>
        <v>1743117.4968427934</v>
      </c>
      <c r="AA6" s="3">
        <f t="shared" si="17"/>
        <v>1684.0020782334075</v>
      </c>
      <c r="AB6" s="3">
        <f t="shared" si="18"/>
        <v>1615143509.0170207</v>
      </c>
      <c r="AC6" s="7" t="s">
        <v>119</v>
      </c>
      <c r="AD6" s="2" t="s">
        <v>47</v>
      </c>
      <c r="AE6" s="3">
        <f t="shared" si="19"/>
        <v>3732094.6611137614</v>
      </c>
      <c r="AF6" s="3">
        <f t="shared" si="19"/>
        <v>1165959.0729038133</v>
      </c>
      <c r="AG6" s="3">
        <f t="shared" si="20"/>
        <v>4898053.7340175752</v>
      </c>
      <c r="AH6" s="7" t="s">
        <v>119</v>
      </c>
      <c r="AI6" s="2" t="s">
        <v>47</v>
      </c>
      <c r="AJ6" s="3">
        <f t="shared" si="21"/>
        <v>1616369258.8496914</v>
      </c>
      <c r="AK6" s="3">
        <f t="shared" si="1"/>
        <v>3672303.9013467627</v>
      </c>
      <c r="AL6" s="3">
        <f t="shared" si="1"/>
        <v>0</v>
      </c>
      <c r="AM6" s="3">
        <f t="shared" si="1"/>
        <v>0</v>
      </c>
      <c r="AN6" s="3">
        <f t="shared" si="22"/>
        <v>1620041562.7510381</v>
      </c>
      <c r="AO6" s="7" t="s">
        <v>119</v>
      </c>
      <c r="AP6" s="2" t="s">
        <v>47</v>
      </c>
      <c r="AQ6" s="3">
        <f t="shared" si="23"/>
        <v>1611826778.8989542</v>
      </c>
      <c r="AR6" s="3">
        <f t="shared" si="2"/>
        <v>3316730.1180664492</v>
      </c>
      <c r="AS6" s="3">
        <f t="shared" si="2"/>
        <v>0</v>
      </c>
      <c r="AT6" s="3">
        <f t="shared" si="2"/>
        <v>0</v>
      </c>
      <c r="AU6" s="3">
        <f t="shared" si="24"/>
        <v>1615143509.0170207</v>
      </c>
      <c r="AV6" s="7" t="s">
        <v>119</v>
      </c>
      <c r="AW6" s="2" t="s">
        <v>47</v>
      </c>
      <c r="AX6" s="3">
        <f t="shared" si="25"/>
        <v>4542479.9507372612</v>
      </c>
      <c r="AY6" s="3">
        <f t="shared" si="3"/>
        <v>355573.78328031371</v>
      </c>
      <c r="AZ6" s="3">
        <f t="shared" si="3"/>
        <v>0</v>
      </c>
      <c r="BA6" s="3">
        <f t="shared" si="3"/>
        <v>0</v>
      </c>
      <c r="BB6" s="3">
        <f t="shared" si="26"/>
        <v>4898053.7340175752</v>
      </c>
      <c r="BC6" s="7" t="s">
        <v>119</v>
      </c>
      <c r="BD6" s="2" t="s">
        <v>47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7" t="s">
        <v>119</v>
      </c>
      <c r="BK6" s="2" t="s">
        <v>47</v>
      </c>
      <c r="BL6" s="3">
        <v>6467.0674062820817</v>
      </c>
      <c r="BM6" s="3">
        <v>0</v>
      </c>
      <c r="BN6" s="3">
        <v>0</v>
      </c>
      <c r="BO6" s="3">
        <v>0</v>
      </c>
      <c r="BP6" s="3">
        <v>6467.0674062820817</v>
      </c>
      <c r="BQ6" s="7" t="s">
        <v>119</v>
      </c>
      <c r="BR6" s="2" t="s">
        <v>47</v>
      </c>
      <c r="BS6" s="3">
        <v>1590711453.6343625</v>
      </c>
      <c r="BT6" s="3">
        <v>3284233.7013994921</v>
      </c>
      <c r="BU6" s="3">
        <v>0</v>
      </c>
      <c r="BV6" s="3">
        <v>0</v>
      </c>
      <c r="BW6" s="3">
        <v>1593995687.335762</v>
      </c>
      <c r="BX6" s="7" t="s">
        <v>119</v>
      </c>
      <c r="BY6" s="2" t="s">
        <v>47</v>
      </c>
      <c r="BZ6" s="3">
        <v>18850435.264705468</v>
      </c>
      <c r="CA6" s="3">
        <v>8320.2107264457736</v>
      </c>
      <c r="CB6" s="3">
        <v>0</v>
      </c>
      <c r="CC6" s="3">
        <v>0</v>
      </c>
      <c r="CD6" s="3">
        <v>18858755.475431915</v>
      </c>
      <c r="CE6" s="7" t="s">
        <v>119</v>
      </c>
      <c r="CF6" s="2" t="s">
        <v>47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7" t="s">
        <v>119</v>
      </c>
      <c r="CM6" s="2" t="s">
        <v>47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7" t="s">
        <v>119</v>
      </c>
      <c r="CT6" s="2" t="s">
        <v>47</v>
      </c>
      <c r="CU6" s="3">
        <v>513621.43355893967</v>
      </c>
      <c r="CV6" s="3">
        <v>24176.205940511572</v>
      </c>
      <c r="CW6" s="3">
        <v>0</v>
      </c>
      <c r="CX6" s="3">
        <v>0</v>
      </c>
      <c r="CY6" s="3">
        <v>537797.63949945127</v>
      </c>
      <c r="CZ6" s="7" t="s">
        <v>119</v>
      </c>
      <c r="DA6" s="2" t="s">
        <v>47</v>
      </c>
      <c r="DB6" s="3">
        <v>1743117.4968427934</v>
      </c>
      <c r="DC6" s="3">
        <v>0</v>
      </c>
      <c r="DD6" s="3">
        <v>0</v>
      </c>
      <c r="DE6" s="3">
        <v>0</v>
      </c>
      <c r="DF6" s="3">
        <v>1743117.4968427934</v>
      </c>
      <c r="DG6" s="7" t="s">
        <v>119</v>
      </c>
      <c r="DH6" s="2" t="s">
        <v>47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7" t="s">
        <v>119</v>
      </c>
      <c r="DO6" s="2" t="s">
        <v>47</v>
      </c>
      <c r="DP6" s="3">
        <v>1684.0020782334075</v>
      </c>
      <c r="DQ6" s="3">
        <v>0</v>
      </c>
      <c r="DR6" s="3">
        <v>0</v>
      </c>
      <c r="DS6" s="3">
        <v>0</v>
      </c>
      <c r="DT6" s="3">
        <v>1684.0020782334075</v>
      </c>
      <c r="DU6" s="7" t="s">
        <v>119</v>
      </c>
      <c r="DV6" s="2" t="s">
        <v>47</v>
      </c>
      <c r="DW6" s="3">
        <v>1165382.7499407742</v>
      </c>
      <c r="DX6" s="3">
        <v>576.32296303920896</v>
      </c>
      <c r="DY6" s="3">
        <v>0</v>
      </c>
      <c r="DZ6" s="3">
        <v>0</v>
      </c>
      <c r="EA6" s="3">
        <v>1165959.0729038133</v>
      </c>
      <c r="EB6" s="7" t="s">
        <v>119</v>
      </c>
      <c r="EC6" s="2" t="s">
        <v>47</v>
      </c>
      <c r="ED6" s="3">
        <v>3377097.2007964868</v>
      </c>
      <c r="EE6" s="3">
        <v>354997.4603172745</v>
      </c>
      <c r="EF6" s="3">
        <v>0</v>
      </c>
      <c r="EG6" s="3">
        <v>0</v>
      </c>
      <c r="EH6" s="3">
        <v>3732094.6611137614</v>
      </c>
    </row>
    <row r="7" spans="1:138" ht="10.199999999999999" customHeight="1" x14ac:dyDescent="0.2">
      <c r="A7" s="7" t="s">
        <v>121</v>
      </c>
      <c r="B7" s="2" t="s">
        <v>49</v>
      </c>
      <c r="C7" s="3">
        <f t="shared" si="4"/>
        <v>0</v>
      </c>
      <c r="D7" s="3">
        <f t="shared" si="5"/>
        <v>1487.1952186398785</v>
      </c>
      <c r="E7" s="3">
        <f t="shared" si="6"/>
        <v>2978916.9210589617</v>
      </c>
      <c r="F7" s="3">
        <f t="shared" si="7"/>
        <v>152279.99459605664</v>
      </c>
      <c r="G7" s="3">
        <f t="shared" si="8"/>
        <v>8811.875431693672</v>
      </c>
      <c r="H7" s="3">
        <f t="shared" si="9"/>
        <v>0</v>
      </c>
      <c r="I7" s="3">
        <f t="shared" si="10"/>
        <v>1242964.7370646663</v>
      </c>
      <c r="J7" s="3">
        <f t="shared" si="11"/>
        <v>0</v>
      </c>
      <c r="K7" s="3">
        <f t="shared" si="12"/>
        <v>0</v>
      </c>
      <c r="L7" s="3">
        <f t="shared" si="13"/>
        <v>3784.1923972425034</v>
      </c>
      <c r="M7" s="3">
        <f t="shared" si="14"/>
        <v>1309641.0739423186</v>
      </c>
      <c r="N7" s="3">
        <f t="shared" si="15"/>
        <v>129531.04705129466</v>
      </c>
      <c r="O7" s="3">
        <f t="shared" si="16"/>
        <v>5827417.0367608741</v>
      </c>
      <c r="P7" s="7" t="s">
        <v>121</v>
      </c>
      <c r="Q7" s="2" t="s">
        <v>49</v>
      </c>
      <c r="R7" s="3">
        <f t="shared" si="17"/>
        <v>0</v>
      </c>
      <c r="S7" s="3">
        <f t="shared" si="17"/>
        <v>1487.1952186398785</v>
      </c>
      <c r="T7" s="3">
        <f t="shared" si="17"/>
        <v>2978916.9210589617</v>
      </c>
      <c r="U7" s="3">
        <f t="shared" si="17"/>
        <v>152279.99459605664</v>
      </c>
      <c r="V7" s="3">
        <f t="shared" si="17"/>
        <v>8811.875431693672</v>
      </c>
      <c r="W7" s="3">
        <f t="shared" si="17"/>
        <v>0</v>
      </c>
      <c r="X7" s="3">
        <f t="shared" si="17"/>
        <v>1242964.7370646663</v>
      </c>
      <c r="Y7" s="3">
        <f t="shared" si="17"/>
        <v>0</v>
      </c>
      <c r="Z7" s="3">
        <f t="shared" si="17"/>
        <v>0</v>
      </c>
      <c r="AA7" s="3">
        <f t="shared" si="17"/>
        <v>3784.1923972425034</v>
      </c>
      <c r="AB7" s="3">
        <f t="shared" si="18"/>
        <v>4388244.9157672608</v>
      </c>
      <c r="AC7" s="7" t="s">
        <v>121</v>
      </c>
      <c r="AD7" s="2" t="s">
        <v>49</v>
      </c>
      <c r="AE7" s="3">
        <f t="shared" si="19"/>
        <v>1309641.0739423186</v>
      </c>
      <c r="AF7" s="3">
        <f t="shared" si="19"/>
        <v>129531.04705129466</v>
      </c>
      <c r="AG7" s="3">
        <f t="shared" si="20"/>
        <v>1439172.1209936133</v>
      </c>
      <c r="AH7" s="7" t="s">
        <v>121</v>
      </c>
      <c r="AI7" s="2" t="s">
        <v>49</v>
      </c>
      <c r="AJ7" s="3">
        <f t="shared" si="21"/>
        <v>5734192.3724794295</v>
      </c>
      <c r="AK7" s="3">
        <f t="shared" si="1"/>
        <v>93224.664281444653</v>
      </c>
      <c r="AL7" s="3">
        <f t="shared" si="1"/>
        <v>0</v>
      </c>
      <c r="AM7" s="3">
        <f t="shared" si="1"/>
        <v>0</v>
      </c>
      <c r="AN7" s="3">
        <f t="shared" si="22"/>
        <v>5827417.0367608741</v>
      </c>
      <c r="AO7" s="7" t="s">
        <v>121</v>
      </c>
      <c r="AP7" s="2" t="s">
        <v>49</v>
      </c>
      <c r="AQ7" s="3">
        <f t="shared" si="23"/>
        <v>4383003.2066667713</v>
      </c>
      <c r="AR7" s="3">
        <f t="shared" si="2"/>
        <v>5241.7091004898466</v>
      </c>
      <c r="AS7" s="3">
        <f t="shared" si="2"/>
        <v>0</v>
      </c>
      <c r="AT7" s="3">
        <f t="shared" si="2"/>
        <v>0</v>
      </c>
      <c r="AU7" s="3">
        <f t="shared" si="24"/>
        <v>4388244.9157672608</v>
      </c>
      <c r="AV7" s="7" t="s">
        <v>121</v>
      </c>
      <c r="AW7" s="2" t="s">
        <v>49</v>
      </c>
      <c r="AX7" s="3">
        <f t="shared" si="25"/>
        <v>1351189.1658126584</v>
      </c>
      <c r="AY7" s="3">
        <f t="shared" si="3"/>
        <v>87982.955180954814</v>
      </c>
      <c r="AZ7" s="3">
        <f t="shared" si="3"/>
        <v>0</v>
      </c>
      <c r="BA7" s="3">
        <f t="shared" si="3"/>
        <v>0</v>
      </c>
      <c r="BB7" s="3">
        <f t="shared" si="26"/>
        <v>1439172.1209936133</v>
      </c>
      <c r="BC7" s="7" t="s">
        <v>121</v>
      </c>
      <c r="BD7" s="2" t="s">
        <v>49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7" t="s">
        <v>121</v>
      </c>
      <c r="BK7" s="2" t="s">
        <v>49</v>
      </c>
      <c r="BL7" s="3">
        <v>1487.1952186398785</v>
      </c>
      <c r="BM7" s="3">
        <v>0</v>
      </c>
      <c r="BN7" s="3">
        <v>0</v>
      </c>
      <c r="BO7" s="3">
        <v>0</v>
      </c>
      <c r="BP7" s="3">
        <v>1487.1952186398785</v>
      </c>
      <c r="BQ7" s="7" t="s">
        <v>121</v>
      </c>
      <c r="BR7" s="2" t="s">
        <v>49</v>
      </c>
      <c r="BS7" s="3">
        <v>2978115.7668965971</v>
      </c>
      <c r="BT7" s="3">
        <v>801.15416236476301</v>
      </c>
      <c r="BU7" s="3">
        <v>0</v>
      </c>
      <c r="BV7" s="3">
        <v>0</v>
      </c>
      <c r="BW7" s="3">
        <v>2978916.9210589617</v>
      </c>
      <c r="BX7" s="7" t="s">
        <v>121</v>
      </c>
      <c r="BY7" s="2" t="s">
        <v>49</v>
      </c>
      <c r="BZ7" s="3">
        <v>149828.63046887048</v>
      </c>
      <c r="CA7" s="3">
        <v>2451.3641271861584</v>
      </c>
      <c r="CB7" s="3">
        <v>0</v>
      </c>
      <c r="CC7" s="3">
        <v>0</v>
      </c>
      <c r="CD7" s="3">
        <v>152279.99459605664</v>
      </c>
      <c r="CE7" s="7" t="s">
        <v>121</v>
      </c>
      <c r="CF7" s="2" t="s">
        <v>49</v>
      </c>
      <c r="CG7" s="3">
        <v>8811.875431693672</v>
      </c>
      <c r="CH7" s="3">
        <v>0</v>
      </c>
      <c r="CI7" s="3">
        <v>0</v>
      </c>
      <c r="CJ7" s="3">
        <v>0</v>
      </c>
      <c r="CK7" s="3">
        <v>8811.875431693672</v>
      </c>
      <c r="CL7" s="7" t="s">
        <v>121</v>
      </c>
      <c r="CM7" s="2" t="s">
        <v>49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7" t="s">
        <v>121</v>
      </c>
      <c r="CT7" s="2" t="s">
        <v>49</v>
      </c>
      <c r="CU7" s="3">
        <v>1240975.5462537275</v>
      </c>
      <c r="CV7" s="3">
        <v>1989.1908109389256</v>
      </c>
      <c r="CW7" s="3">
        <v>0</v>
      </c>
      <c r="CX7" s="3">
        <v>0</v>
      </c>
      <c r="CY7" s="3">
        <v>1242964.7370646663</v>
      </c>
      <c r="CZ7" s="7" t="s">
        <v>121</v>
      </c>
      <c r="DA7" s="2" t="s">
        <v>49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7" t="s">
        <v>121</v>
      </c>
      <c r="DH7" s="2" t="s">
        <v>49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7" t="s">
        <v>121</v>
      </c>
      <c r="DO7" s="2" t="s">
        <v>49</v>
      </c>
      <c r="DP7" s="3">
        <v>3784.1923972425034</v>
      </c>
      <c r="DQ7" s="3">
        <v>0</v>
      </c>
      <c r="DR7" s="3">
        <v>0</v>
      </c>
      <c r="DS7" s="3">
        <v>0</v>
      </c>
      <c r="DT7" s="3">
        <v>3784.1923972425034</v>
      </c>
      <c r="DU7" s="7" t="s">
        <v>121</v>
      </c>
      <c r="DV7" s="2" t="s">
        <v>49</v>
      </c>
      <c r="DW7" s="3">
        <v>107034.87570495166</v>
      </c>
      <c r="DX7" s="3">
        <v>22496.17134634301</v>
      </c>
      <c r="DY7" s="3">
        <v>0</v>
      </c>
      <c r="DZ7" s="3">
        <v>0</v>
      </c>
      <c r="EA7" s="3">
        <v>129531.04705129466</v>
      </c>
      <c r="EB7" s="7" t="s">
        <v>121</v>
      </c>
      <c r="EC7" s="2" t="s">
        <v>49</v>
      </c>
      <c r="ED7" s="3">
        <v>1244154.2901077068</v>
      </c>
      <c r="EE7" s="3">
        <v>65486.783834611801</v>
      </c>
      <c r="EF7" s="3">
        <v>0</v>
      </c>
      <c r="EG7" s="3">
        <v>0</v>
      </c>
      <c r="EH7" s="3">
        <v>1309641.0739423186</v>
      </c>
    </row>
    <row r="8" spans="1:138" ht="10.199999999999999" customHeight="1" x14ac:dyDescent="0.2">
      <c r="A8" s="7" t="s">
        <v>95</v>
      </c>
      <c r="B8" s="2" t="s">
        <v>23</v>
      </c>
      <c r="C8" s="3">
        <f t="shared" si="4"/>
        <v>0</v>
      </c>
      <c r="D8" s="3">
        <f t="shared" si="5"/>
        <v>1297.9851011770077</v>
      </c>
      <c r="E8" s="3">
        <f t="shared" si="6"/>
        <v>0</v>
      </c>
      <c r="F8" s="3">
        <f t="shared" si="7"/>
        <v>0</v>
      </c>
      <c r="G8" s="3">
        <f t="shared" si="8"/>
        <v>69890.921875316359</v>
      </c>
      <c r="H8" s="3">
        <f t="shared" si="9"/>
        <v>0</v>
      </c>
      <c r="I8" s="3">
        <f t="shared" si="10"/>
        <v>461249.13843843067</v>
      </c>
      <c r="J8" s="3">
        <f t="shared" si="11"/>
        <v>10963093.486056495</v>
      </c>
      <c r="K8" s="3">
        <f t="shared" si="12"/>
        <v>0</v>
      </c>
      <c r="L8" s="3">
        <f t="shared" si="13"/>
        <v>10708.28710587662</v>
      </c>
      <c r="M8" s="3">
        <f t="shared" si="14"/>
        <v>10619895.380155845</v>
      </c>
      <c r="N8" s="3">
        <f t="shared" si="15"/>
        <v>2845383.5380792669</v>
      </c>
      <c r="O8" s="3">
        <f t="shared" si="16"/>
        <v>24971518.736812409</v>
      </c>
      <c r="P8" s="7" t="s">
        <v>95</v>
      </c>
      <c r="Q8" s="2" t="s">
        <v>23</v>
      </c>
      <c r="R8" s="3">
        <f t="shared" si="17"/>
        <v>0</v>
      </c>
      <c r="S8" s="3">
        <f t="shared" si="17"/>
        <v>1297.9851011770077</v>
      </c>
      <c r="T8" s="3">
        <f t="shared" si="17"/>
        <v>0</v>
      </c>
      <c r="U8" s="3">
        <f t="shared" si="17"/>
        <v>0</v>
      </c>
      <c r="V8" s="3">
        <f t="shared" si="17"/>
        <v>69890.921875316359</v>
      </c>
      <c r="W8" s="3">
        <f t="shared" si="17"/>
        <v>0</v>
      </c>
      <c r="X8" s="3">
        <f t="shared" si="17"/>
        <v>461249.13843843067</v>
      </c>
      <c r="Y8" s="3">
        <f t="shared" si="17"/>
        <v>10963093.486056495</v>
      </c>
      <c r="Z8" s="3">
        <f t="shared" si="17"/>
        <v>0</v>
      </c>
      <c r="AA8" s="3">
        <f t="shared" si="17"/>
        <v>10708.28710587662</v>
      </c>
      <c r="AB8" s="3">
        <f t="shared" si="18"/>
        <v>11506239.818577297</v>
      </c>
      <c r="AC8" s="7" t="s">
        <v>95</v>
      </c>
      <c r="AD8" s="2" t="s">
        <v>23</v>
      </c>
      <c r="AE8" s="3">
        <f t="shared" si="19"/>
        <v>10619895.380155845</v>
      </c>
      <c r="AF8" s="3">
        <f t="shared" si="19"/>
        <v>2845383.5380792669</v>
      </c>
      <c r="AG8" s="3">
        <f t="shared" si="20"/>
        <v>13465278.918235112</v>
      </c>
      <c r="AH8" s="7" t="s">
        <v>95</v>
      </c>
      <c r="AI8" s="2" t="s">
        <v>23</v>
      </c>
      <c r="AJ8" s="3">
        <f t="shared" si="21"/>
        <v>22766099.671750143</v>
      </c>
      <c r="AK8" s="3">
        <f t="shared" si="1"/>
        <v>2205419.0650622668</v>
      </c>
      <c r="AL8" s="3">
        <f t="shared" si="1"/>
        <v>0</v>
      </c>
      <c r="AM8" s="3">
        <f t="shared" si="1"/>
        <v>0</v>
      </c>
      <c r="AN8" s="3">
        <f t="shared" si="22"/>
        <v>24971518.736812409</v>
      </c>
      <c r="AO8" s="7" t="s">
        <v>95</v>
      </c>
      <c r="AP8" s="2" t="s">
        <v>23</v>
      </c>
      <c r="AQ8" s="3">
        <f t="shared" si="23"/>
        <v>11456317.731523499</v>
      </c>
      <c r="AR8" s="3">
        <f t="shared" si="2"/>
        <v>49922.087053797404</v>
      </c>
      <c r="AS8" s="3">
        <f t="shared" si="2"/>
        <v>0</v>
      </c>
      <c r="AT8" s="3">
        <f t="shared" si="2"/>
        <v>0</v>
      </c>
      <c r="AU8" s="3">
        <f t="shared" si="24"/>
        <v>11506239.818577297</v>
      </c>
      <c r="AV8" s="7" t="s">
        <v>95</v>
      </c>
      <c r="AW8" s="2" t="s">
        <v>23</v>
      </c>
      <c r="AX8" s="3">
        <f t="shared" si="25"/>
        <v>11309781.940226642</v>
      </c>
      <c r="AY8" s="3">
        <f t="shared" si="3"/>
        <v>2155496.9780084696</v>
      </c>
      <c r="AZ8" s="3">
        <f t="shared" si="3"/>
        <v>0</v>
      </c>
      <c r="BA8" s="3">
        <f t="shared" si="3"/>
        <v>0</v>
      </c>
      <c r="BB8" s="3">
        <f t="shared" si="26"/>
        <v>13465278.918235112</v>
      </c>
      <c r="BC8" s="7" t="s">
        <v>95</v>
      </c>
      <c r="BD8" s="2" t="s">
        <v>23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7" t="s">
        <v>95</v>
      </c>
      <c r="BK8" s="2" t="s">
        <v>23</v>
      </c>
      <c r="BL8" s="3">
        <v>1297.9851011770077</v>
      </c>
      <c r="BM8" s="3">
        <v>0</v>
      </c>
      <c r="BN8" s="3">
        <v>0</v>
      </c>
      <c r="BO8" s="3">
        <v>0</v>
      </c>
      <c r="BP8" s="3">
        <v>1297.9851011770077</v>
      </c>
      <c r="BQ8" s="7" t="s">
        <v>95</v>
      </c>
      <c r="BR8" s="2" t="s">
        <v>23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7" t="s">
        <v>95</v>
      </c>
      <c r="BY8" s="2" t="s">
        <v>23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7" t="s">
        <v>95</v>
      </c>
      <c r="CF8" s="2" t="s">
        <v>23</v>
      </c>
      <c r="CG8" s="3">
        <v>19968.834821518962</v>
      </c>
      <c r="CH8" s="3">
        <v>49922.087053797404</v>
      </c>
      <c r="CI8" s="3">
        <v>0</v>
      </c>
      <c r="CJ8" s="3">
        <v>0</v>
      </c>
      <c r="CK8" s="3">
        <v>69890.921875316359</v>
      </c>
      <c r="CL8" s="7" t="s">
        <v>95</v>
      </c>
      <c r="CM8" s="2" t="s">
        <v>23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7" t="s">
        <v>95</v>
      </c>
      <c r="CT8" s="2" t="s">
        <v>23</v>
      </c>
      <c r="CU8" s="3">
        <v>461249.13843843067</v>
      </c>
      <c r="CV8" s="3">
        <v>0</v>
      </c>
      <c r="CW8" s="3">
        <v>0</v>
      </c>
      <c r="CX8" s="3">
        <v>0</v>
      </c>
      <c r="CY8" s="3">
        <v>461249.13843843067</v>
      </c>
      <c r="CZ8" s="7" t="s">
        <v>95</v>
      </c>
      <c r="DA8" s="2" t="s">
        <v>23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7" t="s">
        <v>95</v>
      </c>
      <c r="DH8" s="2" t="s">
        <v>23</v>
      </c>
      <c r="DI8" s="3">
        <v>10963093.486056495</v>
      </c>
      <c r="DJ8" s="3">
        <v>0</v>
      </c>
      <c r="DK8" s="3">
        <v>0</v>
      </c>
      <c r="DL8" s="3">
        <v>0</v>
      </c>
      <c r="DM8" s="3">
        <v>10963093.486056495</v>
      </c>
      <c r="DN8" s="7" t="s">
        <v>95</v>
      </c>
      <c r="DO8" s="2" t="s">
        <v>23</v>
      </c>
      <c r="DP8" s="3">
        <v>10708.28710587662</v>
      </c>
      <c r="DQ8" s="3">
        <v>0</v>
      </c>
      <c r="DR8" s="3">
        <v>0</v>
      </c>
      <c r="DS8" s="3">
        <v>0</v>
      </c>
      <c r="DT8" s="3">
        <v>10708.28710587662</v>
      </c>
      <c r="DU8" s="7" t="s">
        <v>95</v>
      </c>
      <c r="DV8" s="2" t="s">
        <v>23</v>
      </c>
      <c r="DW8" s="3">
        <v>2799735.3820316307</v>
      </c>
      <c r="DX8" s="3">
        <v>45648.156047636068</v>
      </c>
      <c r="DY8" s="3">
        <v>0</v>
      </c>
      <c r="DZ8" s="3">
        <v>0</v>
      </c>
      <c r="EA8" s="3">
        <v>2845383.5380792669</v>
      </c>
      <c r="EB8" s="7" t="s">
        <v>95</v>
      </c>
      <c r="EC8" s="2" t="s">
        <v>23</v>
      </c>
      <c r="ED8" s="3">
        <v>8510046.5581950117</v>
      </c>
      <c r="EE8" s="3">
        <v>2109848.8219608334</v>
      </c>
      <c r="EF8" s="3">
        <v>0</v>
      </c>
      <c r="EG8" s="3">
        <v>0</v>
      </c>
      <c r="EH8" s="3">
        <v>10619895.380155845</v>
      </c>
    </row>
    <row r="9" spans="1:138" ht="10.199999999999999" customHeight="1" x14ac:dyDescent="0.2">
      <c r="A9" s="7" t="s">
        <v>101</v>
      </c>
      <c r="B9" s="2" t="s">
        <v>29</v>
      </c>
      <c r="C9" s="3">
        <f t="shared" si="4"/>
        <v>0</v>
      </c>
      <c r="D9" s="3">
        <f t="shared" si="5"/>
        <v>22263.695120249249</v>
      </c>
      <c r="E9" s="3">
        <f t="shared" si="6"/>
        <v>0</v>
      </c>
      <c r="F9" s="3">
        <f t="shared" si="7"/>
        <v>0</v>
      </c>
      <c r="G9" s="3">
        <f t="shared" si="8"/>
        <v>22.424348960969702</v>
      </c>
      <c r="H9" s="3">
        <f t="shared" si="9"/>
        <v>0</v>
      </c>
      <c r="I9" s="3">
        <f t="shared" si="10"/>
        <v>4372.0071675285053</v>
      </c>
      <c r="J9" s="3">
        <f t="shared" si="11"/>
        <v>2322.4623058138368</v>
      </c>
      <c r="K9" s="3">
        <f t="shared" si="12"/>
        <v>0</v>
      </c>
      <c r="L9" s="3">
        <f t="shared" si="13"/>
        <v>118455.1161022984</v>
      </c>
      <c r="M9" s="3">
        <f t="shared" si="14"/>
        <v>2612343.9534125486</v>
      </c>
      <c r="N9" s="3">
        <f t="shared" si="15"/>
        <v>107072.55949907098</v>
      </c>
      <c r="O9" s="3">
        <f t="shared" si="16"/>
        <v>2866852.2179564708</v>
      </c>
      <c r="P9" s="7" t="s">
        <v>101</v>
      </c>
      <c r="Q9" s="2" t="s">
        <v>29</v>
      </c>
      <c r="R9" s="3">
        <f t="shared" si="17"/>
        <v>0</v>
      </c>
      <c r="S9" s="3">
        <f t="shared" si="17"/>
        <v>22263.695120249249</v>
      </c>
      <c r="T9" s="3">
        <f t="shared" si="17"/>
        <v>0</v>
      </c>
      <c r="U9" s="3">
        <f t="shared" si="17"/>
        <v>0</v>
      </c>
      <c r="V9" s="3">
        <f t="shared" si="17"/>
        <v>22.424348960969702</v>
      </c>
      <c r="W9" s="3">
        <f t="shared" si="17"/>
        <v>0</v>
      </c>
      <c r="X9" s="3">
        <f t="shared" si="17"/>
        <v>4372.0071675285053</v>
      </c>
      <c r="Y9" s="3">
        <f t="shared" si="17"/>
        <v>2322.4623058138368</v>
      </c>
      <c r="Z9" s="3">
        <f t="shared" si="17"/>
        <v>0</v>
      </c>
      <c r="AA9" s="3">
        <f t="shared" si="17"/>
        <v>118455.1161022984</v>
      </c>
      <c r="AB9" s="3">
        <f t="shared" si="18"/>
        <v>147435.70504485097</v>
      </c>
      <c r="AC9" s="7" t="s">
        <v>101</v>
      </c>
      <c r="AD9" s="2" t="s">
        <v>29</v>
      </c>
      <c r="AE9" s="3">
        <f t="shared" si="19"/>
        <v>2612343.9534125486</v>
      </c>
      <c r="AF9" s="3">
        <f t="shared" si="19"/>
        <v>107072.55949907098</v>
      </c>
      <c r="AG9" s="3">
        <f t="shared" si="20"/>
        <v>2719416.5129116196</v>
      </c>
      <c r="AH9" s="7" t="s">
        <v>101</v>
      </c>
      <c r="AI9" s="2" t="s">
        <v>29</v>
      </c>
      <c r="AJ9" s="3">
        <f t="shared" si="21"/>
        <v>2240467.6063797604</v>
      </c>
      <c r="AK9" s="3">
        <f t="shared" si="1"/>
        <v>626384.61157671036</v>
      </c>
      <c r="AL9" s="3">
        <f t="shared" si="1"/>
        <v>0</v>
      </c>
      <c r="AM9" s="3">
        <f t="shared" si="1"/>
        <v>0</v>
      </c>
      <c r="AN9" s="3">
        <f t="shared" si="22"/>
        <v>2866852.2179564708</v>
      </c>
      <c r="AO9" s="7" t="s">
        <v>101</v>
      </c>
      <c r="AP9" s="2" t="s">
        <v>29</v>
      </c>
      <c r="AQ9" s="3">
        <f t="shared" si="23"/>
        <v>140710.06917337538</v>
      </c>
      <c r="AR9" s="3">
        <f t="shared" si="2"/>
        <v>6725.6358714755834</v>
      </c>
      <c r="AS9" s="3">
        <f t="shared" si="2"/>
        <v>0</v>
      </c>
      <c r="AT9" s="3">
        <f t="shared" si="2"/>
        <v>0</v>
      </c>
      <c r="AU9" s="3">
        <f t="shared" si="24"/>
        <v>147435.70504485097</v>
      </c>
      <c r="AV9" s="7" t="s">
        <v>101</v>
      </c>
      <c r="AW9" s="2" t="s">
        <v>29</v>
      </c>
      <c r="AX9" s="3">
        <f t="shared" si="25"/>
        <v>2099757.5372063848</v>
      </c>
      <c r="AY9" s="3">
        <f t="shared" si="3"/>
        <v>619658.9757052348</v>
      </c>
      <c r="AZ9" s="3">
        <f t="shared" si="3"/>
        <v>0</v>
      </c>
      <c r="BA9" s="3">
        <f t="shared" si="3"/>
        <v>0</v>
      </c>
      <c r="BB9" s="3">
        <f t="shared" si="26"/>
        <v>2719416.5129116196</v>
      </c>
      <c r="BC9" s="7" t="s">
        <v>101</v>
      </c>
      <c r="BD9" s="2" t="s">
        <v>29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7" t="s">
        <v>101</v>
      </c>
      <c r="BK9" s="2" t="s">
        <v>29</v>
      </c>
      <c r="BL9" s="3">
        <v>21753.262075230788</v>
      </c>
      <c r="BM9" s="3">
        <v>510.43304501845887</v>
      </c>
      <c r="BN9" s="3">
        <v>0</v>
      </c>
      <c r="BO9" s="3">
        <v>0</v>
      </c>
      <c r="BP9" s="3">
        <v>22263.695120249249</v>
      </c>
      <c r="BQ9" s="7" t="s">
        <v>101</v>
      </c>
      <c r="BR9" s="2" t="s">
        <v>29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7" t="s">
        <v>101</v>
      </c>
      <c r="BY9" s="2" t="s">
        <v>29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7" t="s">
        <v>101</v>
      </c>
      <c r="CF9" s="2" t="s">
        <v>29</v>
      </c>
      <c r="CG9" s="3">
        <v>22.424348960969702</v>
      </c>
      <c r="CH9" s="3">
        <v>0</v>
      </c>
      <c r="CI9" s="3">
        <v>0</v>
      </c>
      <c r="CJ9" s="3">
        <v>0</v>
      </c>
      <c r="CK9" s="3">
        <v>22.424348960969702</v>
      </c>
      <c r="CL9" s="7" t="s">
        <v>101</v>
      </c>
      <c r="CM9" s="2" t="s">
        <v>29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7" t="s">
        <v>101</v>
      </c>
      <c r="CT9" s="2" t="s">
        <v>29</v>
      </c>
      <c r="CU9" s="3">
        <v>4372.0071675285053</v>
      </c>
      <c r="CV9" s="3">
        <v>0</v>
      </c>
      <c r="CW9" s="3">
        <v>0</v>
      </c>
      <c r="CX9" s="3">
        <v>0</v>
      </c>
      <c r="CY9" s="3">
        <v>4372.0071675285053</v>
      </c>
      <c r="CZ9" s="7" t="s">
        <v>101</v>
      </c>
      <c r="DA9" s="2" t="s">
        <v>29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7" t="s">
        <v>101</v>
      </c>
      <c r="DH9" s="2" t="s">
        <v>29</v>
      </c>
      <c r="DI9" s="3">
        <v>2322.4623058138368</v>
      </c>
      <c r="DJ9" s="3">
        <v>0</v>
      </c>
      <c r="DK9" s="3">
        <v>0</v>
      </c>
      <c r="DL9" s="3">
        <v>0</v>
      </c>
      <c r="DM9" s="3">
        <v>2322.4623058138368</v>
      </c>
      <c r="DN9" s="7" t="s">
        <v>101</v>
      </c>
      <c r="DO9" s="2" t="s">
        <v>29</v>
      </c>
      <c r="DP9" s="3">
        <v>112239.91327584127</v>
      </c>
      <c r="DQ9" s="3">
        <v>6215.2028264571245</v>
      </c>
      <c r="DR9" s="3">
        <v>0</v>
      </c>
      <c r="DS9" s="3">
        <v>0</v>
      </c>
      <c r="DT9" s="3">
        <v>118455.1161022984</v>
      </c>
      <c r="DU9" s="7" t="s">
        <v>101</v>
      </c>
      <c r="DV9" s="2" t="s">
        <v>29</v>
      </c>
      <c r="DW9" s="3">
        <v>81695.498580057305</v>
      </c>
      <c r="DX9" s="3">
        <v>25377.060919013678</v>
      </c>
      <c r="DY9" s="3">
        <v>0</v>
      </c>
      <c r="DZ9" s="3">
        <v>0</v>
      </c>
      <c r="EA9" s="3">
        <v>107072.55949907098</v>
      </c>
      <c r="EB9" s="7" t="s">
        <v>101</v>
      </c>
      <c r="EC9" s="2" t="s">
        <v>29</v>
      </c>
      <c r="ED9" s="3">
        <v>2018062.0386263274</v>
      </c>
      <c r="EE9" s="3">
        <v>594281.91478622111</v>
      </c>
      <c r="EF9" s="3">
        <v>0</v>
      </c>
      <c r="EG9" s="3">
        <v>0</v>
      </c>
      <c r="EH9" s="3">
        <v>2612343.9534125486</v>
      </c>
    </row>
    <row r="10" spans="1:138" ht="10.199999999999999" customHeight="1" x14ac:dyDescent="0.2">
      <c r="A10" s="7" t="s">
        <v>106</v>
      </c>
      <c r="B10" s="2" t="s">
        <v>34</v>
      </c>
      <c r="C10" s="3">
        <f t="shared" si="4"/>
        <v>0</v>
      </c>
      <c r="D10" s="3">
        <f t="shared" si="5"/>
        <v>1908.0995258021082</v>
      </c>
      <c r="E10" s="3">
        <f t="shared" si="6"/>
        <v>42121336.958519779</v>
      </c>
      <c r="F10" s="3">
        <f t="shared" si="7"/>
        <v>5194894.5012683049</v>
      </c>
      <c r="G10" s="3">
        <f t="shared" si="8"/>
        <v>1663.9628675459142</v>
      </c>
      <c r="H10" s="3">
        <f t="shared" si="9"/>
        <v>0</v>
      </c>
      <c r="I10" s="3">
        <f t="shared" si="10"/>
        <v>81205.899628064115</v>
      </c>
      <c r="J10" s="3">
        <f t="shared" si="11"/>
        <v>423574.06650672836</v>
      </c>
      <c r="K10" s="3">
        <f t="shared" si="12"/>
        <v>183674.01769929062</v>
      </c>
      <c r="L10" s="3">
        <f t="shared" si="13"/>
        <v>2923790.2473365259</v>
      </c>
      <c r="M10" s="3">
        <f t="shared" si="14"/>
        <v>1758220.016345707</v>
      </c>
      <c r="N10" s="3">
        <f t="shared" si="15"/>
        <v>3880048.977392782</v>
      </c>
      <c r="O10" s="3">
        <f t="shared" si="16"/>
        <v>56570316.747090541</v>
      </c>
      <c r="P10" s="7" t="s">
        <v>106</v>
      </c>
      <c r="Q10" s="2" t="s">
        <v>34</v>
      </c>
      <c r="R10" s="3">
        <f t="shared" si="17"/>
        <v>0</v>
      </c>
      <c r="S10" s="3">
        <f t="shared" si="17"/>
        <v>1908.0995258021082</v>
      </c>
      <c r="T10" s="3">
        <f t="shared" si="17"/>
        <v>42121336.958519779</v>
      </c>
      <c r="U10" s="3">
        <f t="shared" si="17"/>
        <v>5194894.5012683049</v>
      </c>
      <c r="V10" s="3">
        <f t="shared" si="17"/>
        <v>1663.9628675459142</v>
      </c>
      <c r="W10" s="3">
        <f t="shared" si="17"/>
        <v>0</v>
      </c>
      <c r="X10" s="3">
        <f t="shared" si="17"/>
        <v>81205.899628064115</v>
      </c>
      <c r="Y10" s="3">
        <f t="shared" si="17"/>
        <v>423574.06650672836</v>
      </c>
      <c r="Z10" s="3">
        <f t="shared" si="17"/>
        <v>183674.01769929062</v>
      </c>
      <c r="AA10" s="3">
        <f t="shared" si="17"/>
        <v>2923790.2473365259</v>
      </c>
      <c r="AB10" s="3">
        <f t="shared" si="18"/>
        <v>50932047.753352046</v>
      </c>
      <c r="AC10" s="7" t="s">
        <v>106</v>
      </c>
      <c r="AD10" s="2" t="s">
        <v>34</v>
      </c>
      <c r="AE10" s="3">
        <f t="shared" si="19"/>
        <v>1758220.016345707</v>
      </c>
      <c r="AF10" s="3">
        <f t="shared" si="19"/>
        <v>3880048.977392782</v>
      </c>
      <c r="AG10" s="3">
        <f t="shared" si="20"/>
        <v>5638268.9937384892</v>
      </c>
      <c r="AH10" s="7" t="s">
        <v>106</v>
      </c>
      <c r="AI10" s="2" t="s">
        <v>34</v>
      </c>
      <c r="AJ10" s="3">
        <f t="shared" si="21"/>
        <v>44617857.939556934</v>
      </c>
      <c r="AK10" s="3">
        <f t="shared" si="1"/>
        <v>5829756.3059055079</v>
      </c>
      <c r="AL10" s="3">
        <f t="shared" si="1"/>
        <v>6122702.5016280953</v>
      </c>
      <c r="AM10" s="3">
        <f t="shared" si="1"/>
        <v>0</v>
      </c>
      <c r="AN10" s="3">
        <f t="shared" si="22"/>
        <v>56570316.747090533</v>
      </c>
      <c r="AO10" s="7" t="s">
        <v>106</v>
      </c>
      <c r="AP10" s="2" t="s">
        <v>34</v>
      </c>
      <c r="AQ10" s="3">
        <f t="shared" si="23"/>
        <v>43274979.311671674</v>
      </c>
      <c r="AR10" s="3">
        <f t="shared" si="2"/>
        <v>5002474.7935728393</v>
      </c>
      <c r="AS10" s="3">
        <f t="shared" si="2"/>
        <v>2654593.6481075315</v>
      </c>
      <c r="AT10" s="3">
        <f t="shared" si="2"/>
        <v>0</v>
      </c>
      <c r="AU10" s="3">
        <f t="shared" si="24"/>
        <v>50932047.753352046</v>
      </c>
      <c r="AV10" s="7" t="s">
        <v>106</v>
      </c>
      <c r="AW10" s="2" t="s">
        <v>34</v>
      </c>
      <c r="AX10" s="3">
        <f t="shared" si="25"/>
        <v>1342878.6278852571</v>
      </c>
      <c r="AY10" s="3">
        <f t="shared" si="3"/>
        <v>827281.51233266806</v>
      </c>
      <c r="AZ10" s="3">
        <f t="shared" si="3"/>
        <v>3468108.8535205638</v>
      </c>
      <c r="BA10" s="3">
        <f t="shared" si="3"/>
        <v>0</v>
      </c>
      <c r="BB10" s="3">
        <f t="shared" si="26"/>
        <v>5638268.9937384892</v>
      </c>
      <c r="BC10" s="7" t="s">
        <v>106</v>
      </c>
      <c r="BD10" s="2" t="s">
        <v>34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7" t="s">
        <v>106</v>
      </c>
      <c r="BK10" s="2" t="s">
        <v>34</v>
      </c>
      <c r="BL10" s="3">
        <v>1908.0995258021082</v>
      </c>
      <c r="BM10" s="3">
        <v>0</v>
      </c>
      <c r="BN10" s="3">
        <v>0</v>
      </c>
      <c r="BO10" s="3">
        <v>0</v>
      </c>
      <c r="BP10" s="3">
        <v>1908.0995258021082</v>
      </c>
      <c r="BQ10" s="7" t="s">
        <v>106</v>
      </c>
      <c r="BR10" s="2" t="s">
        <v>34</v>
      </c>
      <c r="BS10" s="3">
        <v>37609116.602717161</v>
      </c>
      <c r="BT10" s="3">
        <v>4512220.355802618</v>
      </c>
      <c r="BU10" s="3">
        <v>0</v>
      </c>
      <c r="BV10" s="3">
        <v>0</v>
      </c>
      <c r="BW10" s="3">
        <v>42121336.958519779</v>
      </c>
      <c r="BX10" s="7" t="s">
        <v>106</v>
      </c>
      <c r="BY10" s="2" t="s">
        <v>34</v>
      </c>
      <c r="BZ10" s="3">
        <v>4932965.6407391652</v>
      </c>
      <c r="CA10" s="3">
        <v>261928.86052914005</v>
      </c>
      <c r="CB10" s="3">
        <v>0</v>
      </c>
      <c r="CC10" s="3">
        <v>0</v>
      </c>
      <c r="CD10" s="3">
        <v>5194894.5012683049</v>
      </c>
      <c r="CE10" s="7" t="s">
        <v>106</v>
      </c>
      <c r="CF10" s="2" t="s">
        <v>34</v>
      </c>
      <c r="CG10" s="3">
        <v>1663.9628675459142</v>
      </c>
      <c r="CH10" s="3">
        <v>0</v>
      </c>
      <c r="CI10" s="3">
        <v>0</v>
      </c>
      <c r="CJ10" s="3">
        <v>0</v>
      </c>
      <c r="CK10" s="3">
        <v>1663.9628675459142</v>
      </c>
      <c r="CL10" s="7" t="s">
        <v>106</v>
      </c>
      <c r="CM10" s="2" t="s">
        <v>34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7" t="s">
        <v>106</v>
      </c>
      <c r="CT10" s="2" t="s">
        <v>34</v>
      </c>
      <c r="CU10" s="3">
        <v>80672.924369223954</v>
      </c>
      <c r="CV10" s="3">
        <v>532.97525884015545</v>
      </c>
      <c r="CW10" s="3">
        <v>0</v>
      </c>
      <c r="CX10" s="3">
        <v>0</v>
      </c>
      <c r="CY10" s="3">
        <v>81205.899628064115</v>
      </c>
      <c r="CZ10" s="7" t="s">
        <v>106</v>
      </c>
      <c r="DA10" s="2" t="s">
        <v>34</v>
      </c>
      <c r="DB10" s="3">
        <v>700.52406262234786</v>
      </c>
      <c r="DC10" s="3">
        <v>182973.49363666828</v>
      </c>
      <c r="DD10" s="3">
        <v>0</v>
      </c>
      <c r="DE10" s="3">
        <v>0</v>
      </c>
      <c r="DF10" s="3">
        <v>183674.01769929062</v>
      </c>
      <c r="DG10" s="7" t="s">
        <v>106</v>
      </c>
      <c r="DH10" s="2" t="s">
        <v>34</v>
      </c>
      <c r="DI10" s="3">
        <v>423574.06650672836</v>
      </c>
      <c r="DJ10" s="3">
        <v>0</v>
      </c>
      <c r="DK10" s="3">
        <v>0</v>
      </c>
      <c r="DL10" s="3">
        <v>0</v>
      </c>
      <c r="DM10" s="3">
        <v>423574.06650672836</v>
      </c>
      <c r="DN10" s="7" t="s">
        <v>106</v>
      </c>
      <c r="DO10" s="2" t="s">
        <v>34</v>
      </c>
      <c r="DP10" s="3">
        <v>224377.49088342173</v>
      </c>
      <c r="DQ10" s="3">
        <v>44819.108345572698</v>
      </c>
      <c r="DR10" s="3">
        <v>2654593.6481075315</v>
      </c>
      <c r="DS10" s="3">
        <v>0</v>
      </c>
      <c r="DT10" s="3">
        <v>2923790.2473365259</v>
      </c>
      <c r="DU10" s="7" t="s">
        <v>106</v>
      </c>
      <c r="DV10" s="2" t="s">
        <v>34</v>
      </c>
      <c r="DW10" s="3">
        <v>26606.127055887046</v>
      </c>
      <c r="DX10" s="3">
        <v>385344.28503368958</v>
      </c>
      <c r="DY10" s="3">
        <v>3468098.5653032055</v>
      </c>
      <c r="DZ10" s="3">
        <v>0</v>
      </c>
      <c r="EA10" s="3">
        <v>3880048.977392782</v>
      </c>
      <c r="EB10" s="7" t="s">
        <v>106</v>
      </c>
      <c r="EC10" s="2" t="s">
        <v>34</v>
      </c>
      <c r="ED10" s="3">
        <v>1316272.50082937</v>
      </c>
      <c r="EE10" s="3">
        <v>441937.22729897848</v>
      </c>
      <c r="EF10" s="3">
        <v>10.288217358478395</v>
      </c>
      <c r="EG10" s="3">
        <v>0</v>
      </c>
      <c r="EH10" s="3">
        <v>1758220.016345707</v>
      </c>
    </row>
    <row r="11" spans="1:138" ht="10.199999999999999" customHeight="1" x14ac:dyDescent="0.2">
      <c r="A11" s="7" t="s">
        <v>103</v>
      </c>
      <c r="B11" s="2" t="s">
        <v>31</v>
      </c>
      <c r="C11" s="3">
        <f t="shared" si="4"/>
        <v>2557.734707504751</v>
      </c>
      <c r="D11" s="3">
        <f t="shared" si="5"/>
        <v>2927.798552259032</v>
      </c>
      <c r="E11" s="3">
        <f t="shared" si="6"/>
        <v>0</v>
      </c>
      <c r="F11" s="3">
        <f t="shared" si="7"/>
        <v>2017096.1776331298</v>
      </c>
      <c r="G11" s="3">
        <f t="shared" si="8"/>
        <v>0</v>
      </c>
      <c r="H11" s="3">
        <f t="shared" si="9"/>
        <v>0</v>
      </c>
      <c r="I11" s="3">
        <f t="shared" si="10"/>
        <v>149200.30732584349</v>
      </c>
      <c r="J11" s="3">
        <f t="shared" si="11"/>
        <v>3770.3800253400832</v>
      </c>
      <c r="K11" s="3">
        <f t="shared" si="12"/>
        <v>0</v>
      </c>
      <c r="L11" s="3">
        <f t="shared" si="13"/>
        <v>6583.6545346562962</v>
      </c>
      <c r="M11" s="3">
        <f t="shared" si="14"/>
        <v>11171673.731150204</v>
      </c>
      <c r="N11" s="3">
        <f t="shared" si="15"/>
        <v>190716.70820440378</v>
      </c>
      <c r="O11" s="3">
        <f t="shared" si="16"/>
        <v>13544526.492133342</v>
      </c>
      <c r="P11" s="7" t="s">
        <v>103</v>
      </c>
      <c r="Q11" s="2" t="s">
        <v>31</v>
      </c>
      <c r="R11" s="3">
        <f t="shared" si="17"/>
        <v>2557.734707504751</v>
      </c>
      <c r="S11" s="3">
        <f t="shared" si="17"/>
        <v>2927.798552259032</v>
      </c>
      <c r="T11" s="3">
        <f t="shared" si="17"/>
        <v>0</v>
      </c>
      <c r="U11" s="3">
        <f t="shared" si="17"/>
        <v>2017096.1776331298</v>
      </c>
      <c r="V11" s="3">
        <f t="shared" si="17"/>
        <v>0</v>
      </c>
      <c r="W11" s="3">
        <f t="shared" si="17"/>
        <v>0</v>
      </c>
      <c r="X11" s="3">
        <f t="shared" si="17"/>
        <v>149200.30732584349</v>
      </c>
      <c r="Y11" s="3">
        <f t="shared" si="17"/>
        <v>3770.3800253400832</v>
      </c>
      <c r="Z11" s="3">
        <f t="shared" si="17"/>
        <v>0</v>
      </c>
      <c r="AA11" s="3">
        <f t="shared" si="17"/>
        <v>6583.6545346562962</v>
      </c>
      <c r="AB11" s="3">
        <f t="shared" si="18"/>
        <v>2182136.0527787334</v>
      </c>
      <c r="AC11" s="7" t="s">
        <v>103</v>
      </c>
      <c r="AD11" s="2" t="s">
        <v>31</v>
      </c>
      <c r="AE11" s="3">
        <f t="shared" si="19"/>
        <v>11171673.731150204</v>
      </c>
      <c r="AF11" s="3">
        <f t="shared" si="19"/>
        <v>190716.70820440378</v>
      </c>
      <c r="AG11" s="3">
        <f t="shared" si="20"/>
        <v>11362390.439354608</v>
      </c>
      <c r="AH11" s="7" t="s">
        <v>103</v>
      </c>
      <c r="AI11" s="2" t="s">
        <v>31</v>
      </c>
      <c r="AJ11" s="3">
        <f t="shared" si="21"/>
        <v>2594449.2247026595</v>
      </c>
      <c r="AK11" s="3">
        <f t="shared" si="1"/>
        <v>10950077.267430682</v>
      </c>
      <c r="AL11" s="3">
        <f t="shared" si="1"/>
        <v>0</v>
      </c>
      <c r="AM11" s="3">
        <f t="shared" si="1"/>
        <v>0</v>
      </c>
      <c r="AN11" s="3">
        <f t="shared" si="22"/>
        <v>13544526.492133342</v>
      </c>
      <c r="AO11" s="7" t="s">
        <v>103</v>
      </c>
      <c r="AP11" s="2" t="s">
        <v>31</v>
      </c>
      <c r="AQ11" s="3">
        <f t="shared" si="23"/>
        <v>462694.10936939821</v>
      </c>
      <c r="AR11" s="3">
        <f t="shared" si="2"/>
        <v>1719441.9434093353</v>
      </c>
      <c r="AS11" s="3">
        <f t="shared" si="2"/>
        <v>0</v>
      </c>
      <c r="AT11" s="3">
        <f t="shared" si="2"/>
        <v>0</v>
      </c>
      <c r="AU11" s="3">
        <f t="shared" si="24"/>
        <v>2182136.0527787334</v>
      </c>
      <c r="AV11" s="7" t="s">
        <v>103</v>
      </c>
      <c r="AW11" s="2" t="s">
        <v>31</v>
      </c>
      <c r="AX11" s="3">
        <f t="shared" si="25"/>
        <v>2131755.1153332614</v>
      </c>
      <c r="AY11" s="3">
        <f t="shared" si="3"/>
        <v>9230635.3240213469</v>
      </c>
      <c r="AZ11" s="3">
        <f t="shared" si="3"/>
        <v>0</v>
      </c>
      <c r="BA11" s="3">
        <f t="shared" si="3"/>
        <v>0</v>
      </c>
      <c r="BB11" s="3">
        <f t="shared" si="26"/>
        <v>11362390.439354608</v>
      </c>
      <c r="BC11" s="7" t="s">
        <v>103</v>
      </c>
      <c r="BD11" s="2" t="s">
        <v>31</v>
      </c>
      <c r="BE11" s="3">
        <v>2557.734707504751</v>
      </c>
      <c r="BF11" s="3">
        <v>0</v>
      </c>
      <c r="BG11" s="3">
        <v>0</v>
      </c>
      <c r="BH11" s="3">
        <v>0</v>
      </c>
      <c r="BI11" s="3">
        <v>2557.734707504751</v>
      </c>
      <c r="BJ11" s="7" t="s">
        <v>103</v>
      </c>
      <c r="BK11" s="2" t="s">
        <v>31</v>
      </c>
      <c r="BL11" s="3">
        <v>411.69657015542595</v>
      </c>
      <c r="BM11" s="3">
        <v>2516.1019821036061</v>
      </c>
      <c r="BN11" s="3">
        <v>0</v>
      </c>
      <c r="BO11" s="3">
        <v>0</v>
      </c>
      <c r="BP11" s="3">
        <v>2927.798552259032</v>
      </c>
      <c r="BQ11" s="7" t="s">
        <v>103</v>
      </c>
      <c r="BR11" s="2" t="s">
        <v>31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7" t="s">
        <v>103</v>
      </c>
      <c r="BY11" s="2" t="s">
        <v>31</v>
      </c>
      <c r="BZ11" s="3">
        <v>453123.63896792853</v>
      </c>
      <c r="CA11" s="3">
        <v>1563972.5386652013</v>
      </c>
      <c r="CB11" s="3">
        <v>0</v>
      </c>
      <c r="CC11" s="3">
        <v>0</v>
      </c>
      <c r="CD11" s="3">
        <v>2017096.1776331298</v>
      </c>
      <c r="CE11" s="7" t="s">
        <v>103</v>
      </c>
      <c r="CF11" s="2" t="s">
        <v>31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7" t="s">
        <v>103</v>
      </c>
      <c r="CM11" s="2" t="s">
        <v>31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7" t="s">
        <v>103</v>
      </c>
      <c r="CT11" s="2" t="s">
        <v>31</v>
      </c>
      <c r="CU11" s="3">
        <v>0</v>
      </c>
      <c r="CV11" s="3">
        <v>149200.30732584349</v>
      </c>
      <c r="CW11" s="3">
        <v>0</v>
      </c>
      <c r="CX11" s="3">
        <v>0</v>
      </c>
      <c r="CY11" s="3">
        <v>149200.30732584349</v>
      </c>
      <c r="CZ11" s="7" t="s">
        <v>103</v>
      </c>
      <c r="DA11" s="2" t="s">
        <v>31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7" t="s">
        <v>103</v>
      </c>
      <c r="DH11" s="2" t="s">
        <v>31</v>
      </c>
      <c r="DI11" s="3">
        <v>2080.2096691531497</v>
      </c>
      <c r="DJ11" s="3">
        <v>1690.1703561869338</v>
      </c>
      <c r="DK11" s="3">
        <v>0</v>
      </c>
      <c r="DL11" s="3">
        <v>0</v>
      </c>
      <c r="DM11" s="3">
        <v>3770.3800253400832</v>
      </c>
      <c r="DN11" s="7" t="s">
        <v>103</v>
      </c>
      <c r="DO11" s="2" t="s">
        <v>31</v>
      </c>
      <c r="DP11" s="3">
        <v>4520.8294546563702</v>
      </c>
      <c r="DQ11" s="3">
        <v>2062.8250799999255</v>
      </c>
      <c r="DR11" s="3">
        <v>0</v>
      </c>
      <c r="DS11" s="3">
        <v>0</v>
      </c>
      <c r="DT11" s="3">
        <v>6583.6545346562962</v>
      </c>
      <c r="DU11" s="7" t="s">
        <v>103</v>
      </c>
      <c r="DV11" s="2" t="s">
        <v>31</v>
      </c>
      <c r="DW11" s="3">
        <v>112810.7831344739</v>
      </c>
      <c r="DX11" s="3">
        <v>77905.925069929886</v>
      </c>
      <c r="DY11" s="3">
        <v>0</v>
      </c>
      <c r="DZ11" s="3">
        <v>0</v>
      </c>
      <c r="EA11" s="3">
        <v>190716.70820440378</v>
      </c>
      <c r="EB11" s="7" t="s">
        <v>103</v>
      </c>
      <c r="EC11" s="2" t="s">
        <v>31</v>
      </c>
      <c r="ED11" s="3">
        <v>2018944.3321987877</v>
      </c>
      <c r="EE11" s="3">
        <v>9152729.3989514168</v>
      </c>
      <c r="EF11" s="3">
        <v>0</v>
      </c>
      <c r="EG11" s="3">
        <v>0</v>
      </c>
      <c r="EH11" s="3">
        <v>11171673.731150204</v>
      </c>
    </row>
    <row r="12" spans="1:138" ht="10.199999999999999" customHeight="1" x14ac:dyDescent="0.2">
      <c r="A12" s="7" t="s">
        <v>99</v>
      </c>
      <c r="B12" s="2" t="s">
        <v>27</v>
      </c>
      <c r="C12" s="3">
        <f t="shared" si="4"/>
        <v>82493.63133098025</v>
      </c>
      <c r="D12" s="3">
        <f t="shared" si="5"/>
        <v>14.015218100606063</v>
      </c>
      <c r="E12" s="3">
        <f t="shared" si="6"/>
        <v>0</v>
      </c>
      <c r="F12" s="3">
        <f t="shared" si="7"/>
        <v>18558142.497288235</v>
      </c>
      <c r="G12" s="3">
        <f t="shared" si="8"/>
        <v>167643.39311543753</v>
      </c>
      <c r="H12" s="3">
        <f t="shared" si="9"/>
        <v>0</v>
      </c>
      <c r="I12" s="3">
        <f t="shared" si="10"/>
        <v>2916034.1405435293</v>
      </c>
      <c r="J12" s="3">
        <f t="shared" si="11"/>
        <v>224.24348960969701</v>
      </c>
      <c r="K12" s="3">
        <f t="shared" si="12"/>
        <v>1941871.1709857257</v>
      </c>
      <c r="L12" s="3">
        <f t="shared" si="13"/>
        <v>5482.4514474483522</v>
      </c>
      <c r="M12" s="3">
        <f t="shared" si="14"/>
        <v>12841187.609957861</v>
      </c>
      <c r="N12" s="3">
        <f t="shared" si="15"/>
        <v>7370318.5706069935</v>
      </c>
      <c r="O12" s="3">
        <f t="shared" si="16"/>
        <v>43883411.723983914</v>
      </c>
      <c r="P12" s="7" t="s">
        <v>99</v>
      </c>
      <c r="Q12" s="2" t="s">
        <v>27</v>
      </c>
      <c r="R12" s="3">
        <f t="shared" si="17"/>
        <v>82493.63133098025</v>
      </c>
      <c r="S12" s="3">
        <f t="shared" si="17"/>
        <v>14.015218100606063</v>
      </c>
      <c r="T12" s="3">
        <f t="shared" si="17"/>
        <v>0</v>
      </c>
      <c r="U12" s="3">
        <f t="shared" si="17"/>
        <v>18558142.497288235</v>
      </c>
      <c r="V12" s="3">
        <f t="shared" si="17"/>
        <v>167643.39311543753</v>
      </c>
      <c r="W12" s="3">
        <f t="shared" si="17"/>
        <v>0</v>
      </c>
      <c r="X12" s="3">
        <f t="shared" si="17"/>
        <v>2916034.1405435293</v>
      </c>
      <c r="Y12" s="3">
        <f t="shared" si="17"/>
        <v>224.24348960969701</v>
      </c>
      <c r="Z12" s="3">
        <f t="shared" si="17"/>
        <v>1941871.1709857257</v>
      </c>
      <c r="AA12" s="3">
        <f t="shared" si="17"/>
        <v>5482.4514474483522</v>
      </c>
      <c r="AB12" s="3">
        <f t="shared" si="18"/>
        <v>23671905.543419063</v>
      </c>
      <c r="AC12" s="7" t="s">
        <v>99</v>
      </c>
      <c r="AD12" s="2" t="s">
        <v>27</v>
      </c>
      <c r="AE12" s="3">
        <f t="shared" si="19"/>
        <v>12841187.609957861</v>
      </c>
      <c r="AF12" s="3">
        <f t="shared" si="19"/>
        <v>7370318.5706069935</v>
      </c>
      <c r="AG12" s="3">
        <f t="shared" si="20"/>
        <v>20211506.180564854</v>
      </c>
      <c r="AH12" s="7" t="s">
        <v>99</v>
      </c>
      <c r="AI12" s="2" t="s">
        <v>27</v>
      </c>
      <c r="AJ12" s="3">
        <f t="shared" si="21"/>
        <v>37123687.471082032</v>
      </c>
      <c r="AK12" s="3">
        <f t="shared" si="1"/>
        <v>5776980.3643432865</v>
      </c>
      <c r="AL12" s="3">
        <f t="shared" si="1"/>
        <v>982743.88855860068</v>
      </c>
      <c r="AM12" s="3">
        <f t="shared" si="1"/>
        <v>0</v>
      </c>
      <c r="AN12" s="3">
        <f t="shared" si="22"/>
        <v>43883411.723983921</v>
      </c>
      <c r="AO12" s="7" t="s">
        <v>99</v>
      </c>
      <c r="AP12" s="2" t="s">
        <v>27</v>
      </c>
      <c r="AQ12" s="3">
        <f t="shared" si="23"/>
        <v>22530731.640333686</v>
      </c>
      <c r="AR12" s="3">
        <f t="shared" si="2"/>
        <v>158476.67493049122</v>
      </c>
      <c r="AS12" s="3">
        <f t="shared" si="2"/>
        <v>982697.22815488873</v>
      </c>
      <c r="AT12" s="3">
        <f t="shared" si="2"/>
        <v>0</v>
      </c>
      <c r="AU12" s="3">
        <f t="shared" si="24"/>
        <v>23671905.543419067</v>
      </c>
      <c r="AV12" s="7" t="s">
        <v>99</v>
      </c>
      <c r="AW12" s="2" t="s">
        <v>27</v>
      </c>
      <c r="AX12" s="3">
        <f t="shared" si="25"/>
        <v>14592955.830748349</v>
      </c>
      <c r="AY12" s="3">
        <f t="shared" si="3"/>
        <v>5618503.689412795</v>
      </c>
      <c r="AZ12" s="3">
        <f t="shared" si="3"/>
        <v>46.660403711948838</v>
      </c>
      <c r="BA12" s="3">
        <f t="shared" si="3"/>
        <v>0</v>
      </c>
      <c r="BB12" s="3">
        <f t="shared" si="26"/>
        <v>20211506.180564858</v>
      </c>
      <c r="BC12" s="7" t="s">
        <v>99</v>
      </c>
      <c r="BD12" s="2" t="s">
        <v>27</v>
      </c>
      <c r="BE12" s="3">
        <v>47259.160610680461</v>
      </c>
      <c r="BF12" s="3">
        <v>35234.470720299789</v>
      </c>
      <c r="BG12" s="3">
        <v>0</v>
      </c>
      <c r="BH12" s="3">
        <v>0</v>
      </c>
      <c r="BI12" s="3">
        <v>82493.63133098025</v>
      </c>
      <c r="BJ12" s="7" t="s">
        <v>99</v>
      </c>
      <c r="BK12" s="2" t="s">
        <v>27</v>
      </c>
      <c r="BL12" s="3">
        <v>14.015218100606063</v>
      </c>
      <c r="BM12" s="3">
        <v>0</v>
      </c>
      <c r="BN12" s="3">
        <v>0</v>
      </c>
      <c r="BO12" s="3">
        <v>0</v>
      </c>
      <c r="BP12" s="3">
        <v>14.015218100606063</v>
      </c>
      <c r="BQ12" s="7" t="s">
        <v>99</v>
      </c>
      <c r="BR12" s="2" t="s">
        <v>27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7" t="s">
        <v>99</v>
      </c>
      <c r="BY12" s="2" t="s">
        <v>27</v>
      </c>
      <c r="BZ12" s="3">
        <v>18538261.696210142</v>
      </c>
      <c r="CA12" s="3">
        <v>19880.801078093846</v>
      </c>
      <c r="CB12" s="3">
        <v>0</v>
      </c>
      <c r="CC12" s="3">
        <v>0</v>
      </c>
      <c r="CD12" s="3">
        <v>18558142.497288235</v>
      </c>
      <c r="CE12" s="7" t="s">
        <v>99</v>
      </c>
      <c r="CF12" s="2" t="s">
        <v>27</v>
      </c>
      <c r="CG12" s="3">
        <v>125428.10768201016</v>
      </c>
      <c r="CH12" s="3">
        <v>42215.285433427358</v>
      </c>
      <c r="CI12" s="3">
        <v>0</v>
      </c>
      <c r="CJ12" s="3">
        <v>0</v>
      </c>
      <c r="CK12" s="3">
        <v>167643.39311543753</v>
      </c>
      <c r="CL12" s="7" t="s">
        <v>99</v>
      </c>
      <c r="CM12" s="2" t="s">
        <v>27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7" t="s">
        <v>99</v>
      </c>
      <c r="CT12" s="2" t="s">
        <v>27</v>
      </c>
      <c r="CU12" s="3">
        <v>1872248.0276539042</v>
      </c>
      <c r="CV12" s="3">
        <v>61088.884734736392</v>
      </c>
      <c r="CW12" s="3">
        <v>982697.22815488873</v>
      </c>
      <c r="CX12" s="3">
        <v>0</v>
      </c>
      <c r="CY12" s="3">
        <v>2916034.1405435293</v>
      </c>
      <c r="CZ12" s="7" t="s">
        <v>99</v>
      </c>
      <c r="DA12" s="2" t="s">
        <v>27</v>
      </c>
      <c r="DB12" s="3">
        <v>1941871.1709857257</v>
      </c>
      <c r="DC12" s="3">
        <v>0</v>
      </c>
      <c r="DD12" s="3">
        <v>0</v>
      </c>
      <c r="DE12" s="3">
        <v>0</v>
      </c>
      <c r="DF12" s="3">
        <v>1941871.1709857257</v>
      </c>
      <c r="DG12" s="7" t="s">
        <v>99</v>
      </c>
      <c r="DH12" s="2" t="s">
        <v>27</v>
      </c>
      <c r="DI12" s="3">
        <v>224.24348960969701</v>
      </c>
      <c r="DJ12" s="3">
        <v>0</v>
      </c>
      <c r="DK12" s="3">
        <v>0</v>
      </c>
      <c r="DL12" s="3">
        <v>0</v>
      </c>
      <c r="DM12" s="3">
        <v>224.24348960969701</v>
      </c>
      <c r="DN12" s="7" t="s">
        <v>99</v>
      </c>
      <c r="DO12" s="2" t="s">
        <v>27</v>
      </c>
      <c r="DP12" s="3">
        <v>5425.2184835145008</v>
      </c>
      <c r="DQ12" s="3">
        <v>57.232963933850947</v>
      </c>
      <c r="DR12" s="3">
        <v>0</v>
      </c>
      <c r="DS12" s="3">
        <v>0</v>
      </c>
      <c r="DT12" s="3">
        <v>5482.4514474483522</v>
      </c>
      <c r="DU12" s="7" t="s">
        <v>99</v>
      </c>
      <c r="DV12" s="2" t="s">
        <v>27</v>
      </c>
      <c r="DW12" s="3">
        <v>7370318.5706069935</v>
      </c>
      <c r="DX12" s="3">
        <v>0</v>
      </c>
      <c r="DY12" s="3">
        <v>0</v>
      </c>
      <c r="DZ12" s="3">
        <v>0</v>
      </c>
      <c r="EA12" s="3">
        <v>7370318.5706069935</v>
      </c>
      <c r="EB12" s="7" t="s">
        <v>99</v>
      </c>
      <c r="EC12" s="2" t="s">
        <v>27</v>
      </c>
      <c r="ED12" s="3">
        <v>7222637.260141355</v>
      </c>
      <c r="EE12" s="3">
        <v>5618503.689412795</v>
      </c>
      <c r="EF12" s="3">
        <v>46.660403711948838</v>
      </c>
      <c r="EG12" s="3">
        <v>0</v>
      </c>
      <c r="EH12" s="3">
        <v>12841187.609957861</v>
      </c>
    </row>
    <row r="13" spans="1:138" ht="10.199999999999999" customHeight="1" x14ac:dyDescent="0.2">
      <c r="A13" s="7" t="s">
        <v>94</v>
      </c>
      <c r="B13" s="2" t="s">
        <v>22</v>
      </c>
      <c r="C13" s="3">
        <f t="shared" si="4"/>
        <v>0</v>
      </c>
      <c r="D13" s="3">
        <f t="shared" si="5"/>
        <v>2232.4449757075536</v>
      </c>
      <c r="E13" s="3">
        <f t="shared" si="6"/>
        <v>201837835.83570373</v>
      </c>
      <c r="F13" s="3">
        <f t="shared" si="7"/>
        <v>378173945.79853565</v>
      </c>
      <c r="G13" s="3">
        <f t="shared" si="8"/>
        <v>2795.1341873305128</v>
      </c>
      <c r="H13" s="3">
        <f t="shared" si="9"/>
        <v>39481912.540282026</v>
      </c>
      <c r="I13" s="3">
        <f t="shared" si="10"/>
        <v>682444.67617807316</v>
      </c>
      <c r="J13" s="3">
        <f t="shared" si="11"/>
        <v>89930879.900468826</v>
      </c>
      <c r="K13" s="3">
        <f t="shared" si="12"/>
        <v>93793892.300933227</v>
      </c>
      <c r="L13" s="3">
        <f t="shared" si="13"/>
        <v>2608.8111804160267</v>
      </c>
      <c r="M13" s="3">
        <f t="shared" si="14"/>
        <v>11091196.552353015</v>
      </c>
      <c r="N13" s="3">
        <f t="shared" si="15"/>
        <v>25394169.874803241</v>
      </c>
      <c r="O13" s="3">
        <f t="shared" si="16"/>
        <v>840393913.86960125</v>
      </c>
      <c r="P13" s="7" t="s">
        <v>94</v>
      </c>
      <c r="Q13" s="2" t="s">
        <v>22</v>
      </c>
      <c r="R13" s="3">
        <f t="shared" si="17"/>
        <v>0</v>
      </c>
      <c r="S13" s="3">
        <f t="shared" si="17"/>
        <v>2232.4449757075536</v>
      </c>
      <c r="T13" s="3">
        <f t="shared" si="17"/>
        <v>201837835.83570373</v>
      </c>
      <c r="U13" s="3">
        <f t="shared" si="17"/>
        <v>378173945.79853565</v>
      </c>
      <c r="V13" s="3">
        <f t="shared" si="17"/>
        <v>2795.1341873305128</v>
      </c>
      <c r="W13" s="3">
        <f t="shared" si="17"/>
        <v>39481912.540282026</v>
      </c>
      <c r="X13" s="3">
        <f t="shared" si="17"/>
        <v>682444.67617807316</v>
      </c>
      <c r="Y13" s="3">
        <f t="shared" si="17"/>
        <v>89930879.900468826</v>
      </c>
      <c r="Z13" s="3">
        <f t="shared" si="17"/>
        <v>93793892.300933227</v>
      </c>
      <c r="AA13" s="3">
        <f t="shared" si="17"/>
        <v>2608.8111804160267</v>
      </c>
      <c r="AB13" s="3">
        <f t="shared" si="18"/>
        <v>803908547.44244504</v>
      </c>
      <c r="AC13" s="7" t="s">
        <v>94</v>
      </c>
      <c r="AD13" s="2" t="s">
        <v>22</v>
      </c>
      <c r="AE13" s="3">
        <f t="shared" si="19"/>
        <v>11091196.552353015</v>
      </c>
      <c r="AF13" s="3">
        <f t="shared" si="19"/>
        <v>25394169.874803241</v>
      </c>
      <c r="AG13" s="3">
        <f t="shared" si="20"/>
        <v>36485366.427156255</v>
      </c>
      <c r="AH13" s="7" t="s">
        <v>94</v>
      </c>
      <c r="AI13" s="2" t="s">
        <v>22</v>
      </c>
      <c r="AJ13" s="3">
        <f t="shared" si="21"/>
        <v>710249292.74860907</v>
      </c>
      <c r="AK13" s="3">
        <f t="shared" si="1"/>
        <v>67681017.061358273</v>
      </c>
      <c r="AL13" s="3">
        <f t="shared" si="1"/>
        <v>41584951.975907646</v>
      </c>
      <c r="AM13" s="3">
        <f t="shared" si="1"/>
        <v>20878652.083726332</v>
      </c>
      <c r="AN13" s="3">
        <f t="shared" si="22"/>
        <v>840393913.86960125</v>
      </c>
      <c r="AO13" s="7" t="s">
        <v>94</v>
      </c>
      <c r="AP13" s="2" t="s">
        <v>22</v>
      </c>
      <c r="AQ13" s="3">
        <f t="shared" si="23"/>
        <v>699173274.78205073</v>
      </c>
      <c r="AR13" s="3">
        <f t="shared" si="2"/>
        <v>67659510.555956289</v>
      </c>
      <c r="AS13" s="3">
        <f t="shared" si="2"/>
        <v>26352246.802790102</v>
      </c>
      <c r="AT13" s="3">
        <f t="shared" si="2"/>
        <v>10723515.301647969</v>
      </c>
      <c r="AU13" s="3">
        <f t="shared" si="24"/>
        <v>803908547.44244504</v>
      </c>
      <c r="AV13" s="7" t="s">
        <v>94</v>
      </c>
      <c r="AW13" s="2" t="s">
        <v>22</v>
      </c>
      <c r="AX13" s="3">
        <f t="shared" si="25"/>
        <v>11076017.966558371</v>
      </c>
      <c r="AY13" s="3">
        <f t="shared" si="3"/>
        <v>21506.505401976763</v>
      </c>
      <c r="AZ13" s="3">
        <f t="shared" si="3"/>
        <v>15232705.173117545</v>
      </c>
      <c r="BA13" s="3">
        <f t="shared" si="3"/>
        <v>10155136.782078365</v>
      </c>
      <c r="BB13" s="3">
        <f t="shared" si="26"/>
        <v>36485366.427156255</v>
      </c>
      <c r="BC13" s="7" t="s">
        <v>94</v>
      </c>
      <c r="BD13" s="2" t="s">
        <v>22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7" t="s">
        <v>94</v>
      </c>
      <c r="BK13" s="2" t="s">
        <v>22</v>
      </c>
      <c r="BL13" s="3">
        <v>2232.4449757075536</v>
      </c>
      <c r="BM13" s="3">
        <v>0</v>
      </c>
      <c r="BN13" s="3">
        <v>0</v>
      </c>
      <c r="BO13" s="3">
        <v>0</v>
      </c>
      <c r="BP13" s="3">
        <v>2232.4449757075536</v>
      </c>
      <c r="BQ13" s="7" t="s">
        <v>94</v>
      </c>
      <c r="BR13" s="2" t="s">
        <v>22</v>
      </c>
      <c r="BS13" s="3">
        <v>142706022.41928956</v>
      </c>
      <c r="BT13" s="3">
        <v>56650758.308033168</v>
      </c>
      <c r="BU13" s="3">
        <v>2481055.1083810148</v>
      </c>
      <c r="BV13" s="3">
        <v>0</v>
      </c>
      <c r="BW13" s="3">
        <v>201837835.83570373</v>
      </c>
      <c r="BX13" s="7" t="s">
        <v>94</v>
      </c>
      <c r="BY13" s="2" t="s">
        <v>22</v>
      </c>
      <c r="BZ13" s="3">
        <v>377215046.09616363</v>
      </c>
      <c r="CA13" s="3">
        <v>4805.2176344935078</v>
      </c>
      <c r="CB13" s="3">
        <v>954094.48473750008</v>
      </c>
      <c r="CC13" s="3">
        <v>0</v>
      </c>
      <c r="CD13" s="3">
        <v>378173945.79853565</v>
      </c>
      <c r="CE13" s="7" t="s">
        <v>94</v>
      </c>
      <c r="CF13" s="2" t="s">
        <v>22</v>
      </c>
      <c r="CG13" s="3">
        <v>2795.1341873305128</v>
      </c>
      <c r="CH13" s="3">
        <v>0</v>
      </c>
      <c r="CI13" s="3">
        <v>0</v>
      </c>
      <c r="CJ13" s="3">
        <v>0</v>
      </c>
      <c r="CK13" s="3">
        <v>2795.1341873305128</v>
      </c>
      <c r="CL13" s="7" t="s">
        <v>94</v>
      </c>
      <c r="CM13" s="2" t="s">
        <v>22</v>
      </c>
      <c r="CN13" s="3">
        <v>38182096.489573151</v>
      </c>
      <c r="CO13" s="3">
        <v>649908.02535443672</v>
      </c>
      <c r="CP13" s="3">
        <v>649908.02535443672</v>
      </c>
      <c r="CQ13" s="3">
        <v>0</v>
      </c>
      <c r="CR13" s="3">
        <v>39481912.540282026</v>
      </c>
      <c r="CS13" s="7" t="s">
        <v>94</v>
      </c>
      <c r="CT13" s="2" t="s">
        <v>22</v>
      </c>
      <c r="CU13" s="3">
        <v>682444.67617807316</v>
      </c>
      <c r="CV13" s="3">
        <v>0</v>
      </c>
      <c r="CW13" s="3">
        <v>0</v>
      </c>
      <c r="CX13" s="3">
        <v>0</v>
      </c>
      <c r="CY13" s="3">
        <v>682444.67617807316</v>
      </c>
      <c r="CZ13" s="7" t="s">
        <v>94</v>
      </c>
      <c r="DA13" s="2" t="s">
        <v>22</v>
      </c>
      <c r="DB13" s="3">
        <v>93756237.514680907</v>
      </c>
      <c r="DC13" s="3">
        <v>37654.786252314989</v>
      </c>
      <c r="DD13" s="3">
        <v>0</v>
      </c>
      <c r="DE13" s="3">
        <v>0</v>
      </c>
      <c r="DF13" s="3">
        <v>93793892.300933227</v>
      </c>
      <c r="DG13" s="7" t="s">
        <v>94</v>
      </c>
      <c r="DH13" s="2" t="s">
        <v>22</v>
      </c>
      <c r="DI13" s="3">
        <v>46623791.195821851</v>
      </c>
      <c r="DJ13" s="3">
        <v>10316384.218681876</v>
      </c>
      <c r="DK13" s="3">
        <v>22267189.184317149</v>
      </c>
      <c r="DL13" s="3">
        <v>10723515.301647969</v>
      </c>
      <c r="DM13" s="3">
        <v>89930879.900468826</v>
      </c>
      <c r="DN13" s="7" t="s">
        <v>94</v>
      </c>
      <c r="DO13" s="2" t="s">
        <v>22</v>
      </c>
      <c r="DP13" s="3">
        <v>2608.8111804160267</v>
      </c>
      <c r="DQ13" s="3">
        <v>0</v>
      </c>
      <c r="DR13" s="3">
        <v>0</v>
      </c>
      <c r="DS13" s="3">
        <v>0</v>
      </c>
      <c r="DT13" s="3">
        <v>2608.8111804160267</v>
      </c>
      <c r="DU13" s="7" t="s">
        <v>94</v>
      </c>
      <c r="DV13" s="2" t="s">
        <v>22</v>
      </c>
      <c r="DW13" s="3">
        <v>6251.7560814669914</v>
      </c>
      <c r="DX13" s="3">
        <v>76.163525865587729</v>
      </c>
      <c r="DY13" s="3">
        <v>15232705.173117545</v>
      </c>
      <c r="DZ13" s="3">
        <v>10155136.782078365</v>
      </c>
      <c r="EA13" s="3">
        <v>25394169.874803241</v>
      </c>
      <c r="EB13" s="7" t="s">
        <v>94</v>
      </c>
      <c r="EC13" s="2" t="s">
        <v>22</v>
      </c>
      <c r="ED13" s="3">
        <v>11069766.210476903</v>
      </c>
      <c r="EE13" s="3">
        <v>21430.341876111175</v>
      </c>
      <c r="EF13" s="3">
        <v>0</v>
      </c>
      <c r="EG13" s="3">
        <v>0</v>
      </c>
      <c r="EH13" s="3">
        <v>11091196.552353015</v>
      </c>
    </row>
    <row r="14" spans="1:138" ht="10.199999999999999" customHeight="1" x14ac:dyDescent="0.2">
      <c r="A14" s="7" t="s">
        <v>97</v>
      </c>
      <c r="B14" s="2" t="s">
        <v>25</v>
      </c>
      <c r="C14" s="3">
        <f t="shared" si="4"/>
        <v>0</v>
      </c>
      <c r="D14" s="3">
        <f t="shared" si="5"/>
        <v>4279.1937894826688</v>
      </c>
      <c r="E14" s="3">
        <f t="shared" si="6"/>
        <v>0</v>
      </c>
      <c r="F14" s="3">
        <f t="shared" si="7"/>
        <v>0</v>
      </c>
      <c r="G14" s="3">
        <f t="shared" si="8"/>
        <v>0</v>
      </c>
      <c r="H14" s="3">
        <f t="shared" si="9"/>
        <v>0</v>
      </c>
      <c r="I14" s="3">
        <f t="shared" si="10"/>
        <v>12.613696290545459</v>
      </c>
      <c r="J14" s="3">
        <f t="shared" si="11"/>
        <v>0</v>
      </c>
      <c r="K14" s="3">
        <f t="shared" si="12"/>
        <v>0</v>
      </c>
      <c r="L14" s="3">
        <f t="shared" si="13"/>
        <v>14364.815451601726</v>
      </c>
      <c r="M14" s="3">
        <f t="shared" si="14"/>
        <v>250610.50918782089</v>
      </c>
      <c r="N14" s="3">
        <f t="shared" si="15"/>
        <v>36722.169944344743</v>
      </c>
      <c r="O14" s="3">
        <f t="shared" si="16"/>
        <v>305989.30206954054</v>
      </c>
      <c r="P14" s="7" t="s">
        <v>97</v>
      </c>
      <c r="Q14" s="2" t="s">
        <v>25</v>
      </c>
      <c r="R14" s="3">
        <f t="shared" si="17"/>
        <v>0</v>
      </c>
      <c r="S14" s="3">
        <f t="shared" si="17"/>
        <v>4279.1937894826688</v>
      </c>
      <c r="T14" s="3">
        <f t="shared" si="17"/>
        <v>0</v>
      </c>
      <c r="U14" s="3">
        <f t="shared" si="17"/>
        <v>0</v>
      </c>
      <c r="V14" s="3">
        <f t="shared" si="17"/>
        <v>0</v>
      </c>
      <c r="W14" s="3">
        <f t="shared" si="17"/>
        <v>0</v>
      </c>
      <c r="X14" s="3">
        <f t="shared" si="17"/>
        <v>12.613696290545459</v>
      </c>
      <c r="Y14" s="3">
        <f t="shared" si="17"/>
        <v>0</v>
      </c>
      <c r="Z14" s="3">
        <f t="shared" si="17"/>
        <v>0</v>
      </c>
      <c r="AA14" s="3">
        <f t="shared" si="17"/>
        <v>14364.815451601726</v>
      </c>
      <c r="AB14" s="3">
        <f t="shared" si="18"/>
        <v>18656.622937374941</v>
      </c>
      <c r="AC14" s="7" t="s">
        <v>97</v>
      </c>
      <c r="AD14" s="2" t="s">
        <v>25</v>
      </c>
      <c r="AE14" s="3">
        <f t="shared" si="19"/>
        <v>250610.50918782089</v>
      </c>
      <c r="AF14" s="3">
        <f t="shared" si="19"/>
        <v>36722.169944344743</v>
      </c>
      <c r="AG14" s="3">
        <f t="shared" si="20"/>
        <v>287332.67913216562</v>
      </c>
      <c r="AH14" s="7" t="s">
        <v>97</v>
      </c>
      <c r="AI14" s="2" t="s">
        <v>25</v>
      </c>
      <c r="AJ14" s="3">
        <f t="shared" si="21"/>
        <v>46241.812923631034</v>
      </c>
      <c r="AK14" s="3">
        <f t="shared" si="1"/>
        <v>259747.48914590952</v>
      </c>
      <c r="AL14" s="3">
        <f t="shared" si="1"/>
        <v>0</v>
      </c>
      <c r="AM14" s="3">
        <f t="shared" si="1"/>
        <v>0</v>
      </c>
      <c r="AN14" s="3">
        <f t="shared" si="22"/>
        <v>305989.30206954054</v>
      </c>
      <c r="AO14" s="7" t="s">
        <v>97</v>
      </c>
      <c r="AP14" s="2" t="s">
        <v>25</v>
      </c>
      <c r="AQ14" s="3">
        <f t="shared" si="23"/>
        <v>15825.911550178982</v>
      </c>
      <c r="AR14" s="3">
        <f t="shared" si="2"/>
        <v>2830.7113871959568</v>
      </c>
      <c r="AS14" s="3">
        <f t="shared" si="2"/>
        <v>0</v>
      </c>
      <c r="AT14" s="3">
        <f t="shared" si="2"/>
        <v>0</v>
      </c>
      <c r="AU14" s="3">
        <f t="shared" si="24"/>
        <v>18656.622937374937</v>
      </c>
      <c r="AV14" s="7" t="s">
        <v>97</v>
      </c>
      <c r="AW14" s="2" t="s">
        <v>25</v>
      </c>
      <c r="AX14" s="3">
        <f t="shared" si="25"/>
        <v>30415.901373452052</v>
      </c>
      <c r="AY14" s="3">
        <f t="shared" si="3"/>
        <v>256916.77775871358</v>
      </c>
      <c r="AZ14" s="3">
        <f t="shared" si="3"/>
        <v>0</v>
      </c>
      <c r="BA14" s="3">
        <f t="shared" si="3"/>
        <v>0</v>
      </c>
      <c r="BB14" s="3">
        <f t="shared" si="26"/>
        <v>287332.67913216562</v>
      </c>
      <c r="BC14" s="7" t="s">
        <v>97</v>
      </c>
      <c r="BD14" s="2" t="s">
        <v>25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7" t="s">
        <v>97</v>
      </c>
      <c r="BK14" s="2" t="s">
        <v>25</v>
      </c>
      <c r="BL14" s="3">
        <v>4279.1937894826688</v>
      </c>
      <c r="BM14" s="3">
        <v>0</v>
      </c>
      <c r="BN14" s="3">
        <v>0</v>
      </c>
      <c r="BO14" s="3">
        <v>0</v>
      </c>
      <c r="BP14" s="3">
        <v>4279.1937894826688</v>
      </c>
      <c r="BQ14" s="7" t="s">
        <v>97</v>
      </c>
      <c r="BR14" s="2" t="s">
        <v>25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7" t="s">
        <v>97</v>
      </c>
      <c r="BY14" s="2" t="s">
        <v>25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7" t="s">
        <v>97</v>
      </c>
      <c r="CF14" s="2" t="s">
        <v>25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7" t="s">
        <v>97</v>
      </c>
      <c r="CM14" s="2" t="s">
        <v>25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7" t="s">
        <v>97</v>
      </c>
      <c r="CT14" s="2" t="s">
        <v>25</v>
      </c>
      <c r="CU14" s="3">
        <v>12.613696290545459</v>
      </c>
      <c r="CV14" s="3">
        <v>0</v>
      </c>
      <c r="CW14" s="3">
        <v>0</v>
      </c>
      <c r="CX14" s="3">
        <v>0</v>
      </c>
      <c r="CY14" s="3">
        <v>12.613696290545459</v>
      </c>
      <c r="CZ14" s="7" t="s">
        <v>97</v>
      </c>
      <c r="DA14" s="2" t="s">
        <v>25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7" t="s">
        <v>97</v>
      </c>
      <c r="DH14" s="2" t="s">
        <v>25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7" t="s">
        <v>97</v>
      </c>
      <c r="DO14" s="2" t="s">
        <v>25</v>
      </c>
      <c r="DP14" s="3">
        <v>11534.104064405768</v>
      </c>
      <c r="DQ14" s="3">
        <v>2830.7113871959568</v>
      </c>
      <c r="DR14" s="3">
        <v>0</v>
      </c>
      <c r="DS14" s="3">
        <v>0</v>
      </c>
      <c r="DT14" s="3">
        <v>14364.815451601726</v>
      </c>
      <c r="DU14" s="7" t="s">
        <v>97</v>
      </c>
      <c r="DV14" s="2" t="s">
        <v>25</v>
      </c>
      <c r="DW14" s="3">
        <v>7009.7746382765845</v>
      </c>
      <c r="DX14" s="3">
        <v>29712.395306068156</v>
      </c>
      <c r="DY14" s="3">
        <v>0</v>
      </c>
      <c r="DZ14" s="3">
        <v>0</v>
      </c>
      <c r="EA14" s="3">
        <v>36722.169944344743</v>
      </c>
      <c r="EB14" s="7" t="s">
        <v>97</v>
      </c>
      <c r="EC14" s="2" t="s">
        <v>25</v>
      </c>
      <c r="ED14" s="3">
        <v>23406.126735175469</v>
      </c>
      <c r="EE14" s="3">
        <v>227204.38245264543</v>
      </c>
      <c r="EF14" s="3">
        <v>0</v>
      </c>
      <c r="EG14" s="3">
        <v>0</v>
      </c>
      <c r="EH14" s="3">
        <v>250610.50918782089</v>
      </c>
    </row>
    <row r="15" spans="1:138" ht="10.199999999999999" customHeight="1" x14ac:dyDescent="0.2">
      <c r="A15" s="7" t="s">
        <v>117</v>
      </c>
      <c r="B15" s="2" t="s">
        <v>45</v>
      </c>
      <c r="C15" s="3">
        <f t="shared" si="4"/>
        <v>0</v>
      </c>
      <c r="D15" s="3">
        <f t="shared" si="5"/>
        <v>0</v>
      </c>
      <c r="E15" s="3">
        <f t="shared" si="6"/>
        <v>0</v>
      </c>
      <c r="F15" s="3">
        <f t="shared" si="7"/>
        <v>636140.04050580598</v>
      </c>
      <c r="G15" s="3">
        <f t="shared" si="8"/>
        <v>7375.3987146966647</v>
      </c>
      <c r="H15" s="3">
        <f t="shared" si="9"/>
        <v>0</v>
      </c>
      <c r="I15" s="3">
        <f t="shared" si="10"/>
        <v>0</v>
      </c>
      <c r="J15" s="3">
        <f t="shared" si="11"/>
        <v>1302.4582908589657</v>
      </c>
      <c r="K15" s="3">
        <f t="shared" si="12"/>
        <v>27095.502224700544</v>
      </c>
      <c r="L15" s="3">
        <f t="shared" si="13"/>
        <v>208844.87253278116</v>
      </c>
      <c r="M15" s="3">
        <f t="shared" si="14"/>
        <v>573170.70700059191</v>
      </c>
      <c r="N15" s="3">
        <f t="shared" si="15"/>
        <v>40435985.288423635</v>
      </c>
      <c r="O15" s="3">
        <f t="shared" si="16"/>
        <v>41889914.267693073</v>
      </c>
      <c r="P15" s="7" t="s">
        <v>117</v>
      </c>
      <c r="Q15" s="2" t="s">
        <v>45</v>
      </c>
      <c r="R15" s="3">
        <f t="shared" si="17"/>
        <v>0</v>
      </c>
      <c r="S15" s="3">
        <f t="shared" si="17"/>
        <v>0</v>
      </c>
      <c r="T15" s="3">
        <f t="shared" si="17"/>
        <v>0</v>
      </c>
      <c r="U15" s="3">
        <f t="shared" si="17"/>
        <v>636140.04050580598</v>
      </c>
      <c r="V15" s="3">
        <f t="shared" si="17"/>
        <v>7375.3987146966647</v>
      </c>
      <c r="W15" s="3">
        <f t="shared" si="17"/>
        <v>0</v>
      </c>
      <c r="X15" s="3">
        <f t="shared" si="17"/>
        <v>0</v>
      </c>
      <c r="Y15" s="3">
        <f t="shared" si="17"/>
        <v>1302.4582908589657</v>
      </c>
      <c r="Z15" s="3">
        <f t="shared" si="17"/>
        <v>27095.502224700544</v>
      </c>
      <c r="AA15" s="3">
        <f t="shared" si="17"/>
        <v>208844.87253278116</v>
      </c>
      <c r="AB15" s="3">
        <f t="shared" si="18"/>
        <v>880758.27226884337</v>
      </c>
      <c r="AC15" s="7" t="s">
        <v>117</v>
      </c>
      <c r="AD15" s="2" t="s">
        <v>45</v>
      </c>
      <c r="AE15" s="3">
        <f t="shared" si="19"/>
        <v>573170.70700059191</v>
      </c>
      <c r="AF15" s="3">
        <f t="shared" si="19"/>
        <v>40435985.288423635</v>
      </c>
      <c r="AG15" s="3">
        <f t="shared" si="20"/>
        <v>41009155.995424226</v>
      </c>
      <c r="AH15" s="7" t="s">
        <v>117</v>
      </c>
      <c r="AI15" s="2" t="s">
        <v>45</v>
      </c>
      <c r="AJ15" s="3">
        <f t="shared" si="21"/>
        <v>3851135.9236257561</v>
      </c>
      <c r="AK15" s="3">
        <f t="shared" si="1"/>
        <v>37452436.816614754</v>
      </c>
      <c r="AL15" s="3">
        <f t="shared" si="1"/>
        <v>586341.52745255362</v>
      </c>
      <c r="AM15" s="3">
        <f t="shared" si="1"/>
        <v>0</v>
      </c>
      <c r="AN15" s="3">
        <f t="shared" si="22"/>
        <v>41889914.267693065</v>
      </c>
      <c r="AO15" s="7" t="s">
        <v>117</v>
      </c>
      <c r="AP15" s="2" t="s">
        <v>45</v>
      </c>
      <c r="AQ15" s="3">
        <f t="shared" si="23"/>
        <v>850892.74163588206</v>
      </c>
      <c r="AR15" s="3">
        <f t="shared" si="2"/>
        <v>29865.530632961254</v>
      </c>
      <c r="AS15" s="3">
        <f t="shared" si="2"/>
        <v>0</v>
      </c>
      <c r="AT15" s="3">
        <f t="shared" si="2"/>
        <v>0</v>
      </c>
      <c r="AU15" s="3">
        <f t="shared" si="24"/>
        <v>880758.27226884337</v>
      </c>
      <c r="AV15" s="7" t="s">
        <v>117</v>
      </c>
      <c r="AW15" s="2" t="s">
        <v>45</v>
      </c>
      <c r="AX15" s="3">
        <f t="shared" si="25"/>
        <v>3000243.1819898742</v>
      </c>
      <c r="AY15" s="3">
        <f t="shared" si="3"/>
        <v>37422571.285981797</v>
      </c>
      <c r="AZ15" s="3">
        <f t="shared" si="3"/>
        <v>586341.52745255362</v>
      </c>
      <c r="BA15" s="3">
        <f t="shared" si="3"/>
        <v>0</v>
      </c>
      <c r="BB15" s="3">
        <f t="shared" si="26"/>
        <v>41009155.995424218</v>
      </c>
      <c r="BC15" s="7" t="s">
        <v>117</v>
      </c>
      <c r="BD15" s="2" t="s">
        <v>45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7" t="s">
        <v>117</v>
      </c>
      <c r="BK15" s="2" t="s">
        <v>45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7" t="s">
        <v>117</v>
      </c>
      <c r="BR15" s="2" t="s">
        <v>45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7" t="s">
        <v>117</v>
      </c>
      <c r="BY15" s="2" t="s">
        <v>45</v>
      </c>
      <c r="BZ15" s="3">
        <v>606274.50987284468</v>
      </c>
      <c r="CA15" s="3">
        <v>29865.530632961254</v>
      </c>
      <c r="CB15" s="3">
        <v>0</v>
      </c>
      <c r="CC15" s="3">
        <v>0</v>
      </c>
      <c r="CD15" s="3">
        <v>636140.04050580598</v>
      </c>
      <c r="CE15" s="7" t="s">
        <v>117</v>
      </c>
      <c r="CF15" s="2" t="s">
        <v>45</v>
      </c>
      <c r="CG15" s="3">
        <v>7375.3987146966647</v>
      </c>
      <c r="CH15" s="3">
        <v>0</v>
      </c>
      <c r="CI15" s="3">
        <v>0</v>
      </c>
      <c r="CJ15" s="3">
        <v>0</v>
      </c>
      <c r="CK15" s="3">
        <v>7375.3987146966647</v>
      </c>
      <c r="CL15" s="7" t="s">
        <v>117</v>
      </c>
      <c r="CM15" s="2" t="s">
        <v>45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7" t="s">
        <v>117</v>
      </c>
      <c r="CT15" s="2" t="s">
        <v>45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7" t="s">
        <v>117</v>
      </c>
      <c r="DA15" s="2" t="s">
        <v>45</v>
      </c>
      <c r="DB15" s="3">
        <v>27095.502224700544</v>
      </c>
      <c r="DC15" s="3">
        <v>0</v>
      </c>
      <c r="DD15" s="3">
        <v>0</v>
      </c>
      <c r="DE15" s="3">
        <v>0</v>
      </c>
      <c r="DF15" s="3">
        <v>27095.502224700544</v>
      </c>
      <c r="DG15" s="7" t="s">
        <v>117</v>
      </c>
      <c r="DH15" s="2" t="s">
        <v>45</v>
      </c>
      <c r="DI15" s="3">
        <v>1302.4582908589657</v>
      </c>
      <c r="DJ15" s="3">
        <v>0</v>
      </c>
      <c r="DK15" s="3">
        <v>0</v>
      </c>
      <c r="DL15" s="3">
        <v>0</v>
      </c>
      <c r="DM15" s="3">
        <v>1302.4582908589657</v>
      </c>
      <c r="DN15" s="7" t="s">
        <v>117</v>
      </c>
      <c r="DO15" s="2" t="s">
        <v>45</v>
      </c>
      <c r="DP15" s="3">
        <v>208844.87253278116</v>
      </c>
      <c r="DQ15" s="3">
        <v>0</v>
      </c>
      <c r="DR15" s="3">
        <v>0</v>
      </c>
      <c r="DS15" s="3">
        <v>0</v>
      </c>
      <c r="DT15" s="3">
        <v>208844.87253278116</v>
      </c>
      <c r="DU15" s="7" t="s">
        <v>117</v>
      </c>
      <c r="DV15" s="2" t="s">
        <v>45</v>
      </c>
      <c r="DW15" s="3">
        <v>2452122.58276542</v>
      </c>
      <c r="DX15" s="3">
        <v>37397521.178205661</v>
      </c>
      <c r="DY15" s="3">
        <v>586341.52745255362</v>
      </c>
      <c r="DZ15" s="3">
        <v>0</v>
      </c>
      <c r="EA15" s="3">
        <v>40435985.288423635</v>
      </c>
      <c r="EB15" s="7" t="s">
        <v>117</v>
      </c>
      <c r="EC15" s="2" t="s">
        <v>45</v>
      </c>
      <c r="ED15" s="3">
        <v>548120.59922445426</v>
      </c>
      <c r="EE15" s="3">
        <v>25050.107776137611</v>
      </c>
      <c r="EF15" s="3">
        <v>0</v>
      </c>
      <c r="EG15" s="3">
        <v>0</v>
      </c>
      <c r="EH15" s="3">
        <v>573170.70700059191</v>
      </c>
    </row>
    <row r="16" spans="1:138" ht="10.199999999999999" customHeight="1" x14ac:dyDescent="0.2">
      <c r="A16" s="7" t="s">
        <v>114</v>
      </c>
      <c r="B16" s="2" t="s">
        <v>42</v>
      </c>
      <c r="C16" s="3">
        <f t="shared" si="4"/>
        <v>2743.2357142857145</v>
      </c>
      <c r="D16" s="3">
        <f t="shared" si="5"/>
        <v>28024.050654394861</v>
      </c>
      <c r="E16" s="3">
        <f t="shared" si="6"/>
        <v>0</v>
      </c>
      <c r="F16" s="3">
        <f t="shared" si="7"/>
        <v>282269.42286172835</v>
      </c>
      <c r="G16" s="3">
        <f t="shared" si="8"/>
        <v>4005148.8983503385</v>
      </c>
      <c r="H16" s="3">
        <f t="shared" si="9"/>
        <v>0</v>
      </c>
      <c r="I16" s="3">
        <f t="shared" si="10"/>
        <v>57055.616006125674</v>
      </c>
      <c r="J16" s="3">
        <f t="shared" si="11"/>
        <v>2536.7230769230691</v>
      </c>
      <c r="K16" s="3">
        <f t="shared" si="12"/>
        <v>1553559.5872634973</v>
      </c>
      <c r="L16" s="3">
        <f t="shared" si="13"/>
        <v>76517.280372447494</v>
      </c>
      <c r="M16" s="3">
        <f t="shared" si="14"/>
        <v>978188.46892627177</v>
      </c>
      <c r="N16" s="3">
        <f t="shared" si="15"/>
        <v>6102.1445211938344</v>
      </c>
      <c r="O16" s="3">
        <f t="shared" si="16"/>
        <v>6992145.4277472058</v>
      </c>
      <c r="P16" s="7" t="s">
        <v>114</v>
      </c>
      <c r="Q16" s="2" t="s">
        <v>42</v>
      </c>
      <c r="R16" s="3">
        <f t="shared" si="17"/>
        <v>2743.2357142857145</v>
      </c>
      <c r="S16" s="3">
        <f t="shared" si="17"/>
        <v>28024.050654394861</v>
      </c>
      <c r="T16" s="3">
        <f t="shared" si="17"/>
        <v>0</v>
      </c>
      <c r="U16" s="3">
        <f t="shared" si="17"/>
        <v>282269.42286172835</v>
      </c>
      <c r="V16" s="3">
        <f t="shared" si="17"/>
        <v>4005148.8983503385</v>
      </c>
      <c r="W16" s="3">
        <f t="shared" si="17"/>
        <v>0</v>
      </c>
      <c r="X16" s="3">
        <f t="shared" si="17"/>
        <v>57055.616006125674</v>
      </c>
      <c r="Y16" s="3">
        <f t="shared" si="17"/>
        <v>2536.7230769230691</v>
      </c>
      <c r="Z16" s="3">
        <f t="shared" si="17"/>
        <v>1553559.5872634973</v>
      </c>
      <c r="AA16" s="3">
        <f t="shared" si="17"/>
        <v>76517.280372447494</v>
      </c>
      <c r="AB16" s="3">
        <f t="shared" si="18"/>
        <v>6007854.8142997408</v>
      </c>
      <c r="AC16" s="7" t="s">
        <v>114</v>
      </c>
      <c r="AD16" s="2" t="s">
        <v>42</v>
      </c>
      <c r="AE16" s="3">
        <f t="shared" si="19"/>
        <v>978188.46892627177</v>
      </c>
      <c r="AF16" s="3">
        <f t="shared" si="19"/>
        <v>6102.1445211938344</v>
      </c>
      <c r="AG16" s="3">
        <f t="shared" si="20"/>
        <v>984290.61344746558</v>
      </c>
      <c r="AH16" s="7" t="s">
        <v>114</v>
      </c>
      <c r="AI16" s="2" t="s">
        <v>42</v>
      </c>
      <c r="AJ16" s="3">
        <f t="shared" si="21"/>
        <v>2312615.3906534067</v>
      </c>
      <c r="AK16" s="3">
        <f t="shared" si="1"/>
        <v>675182.00834921014</v>
      </c>
      <c r="AL16" s="3">
        <f t="shared" si="1"/>
        <v>4004348.0287445895</v>
      </c>
      <c r="AM16" s="3">
        <f t="shared" si="1"/>
        <v>0</v>
      </c>
      <c r="AN16" s="3">
        <f t="shared" si="22"/>
        <v>6992145.4277472068</v>
      </c>
      <c r="AO16" s="7" t="s">
        <v>114</v>
      </c>
      <c r="AP16" s="2" t="s">
        <v>42</v>
      </c>
      <c r="AQ16" s="3">
        <f t="shared" si="23"/>
        <v>1856375.390965089</v>
      </c>
      <c r="AR16" s="3">
        <f t="shared" si="2"/>
        <v>147131.39459006244</v>
      </c>
      <c r="AS16" s="3">
        <f t="shared" si="2"/>
        <v>4004348.0287445895</v>
      </c>
      <c r="AT16" s="3">
        <f t="shared" si="2"/>
        <v>0</v>
      </c>
      <c r="AU16" s="3">
        <f t="shared" si="24"/>
        <v>6007854.8142997408</v>
      </c>
      <c r="AV16" s="7" t="s">
        <v>114</v>
      </c>
      <c r="AW16" s="2" t="s">
        <v>42</v>
      </c>
      <c r="AX16" s="3">
        <f t="shared" si="25"/>
        <v>456239.99968831788</v>
      </c>
      <c r="AY16" s="3">
        <f t="shared" si="3"/>
        <v>528050.6137591477</v>
      </c>
      <c r="AZ16" s="3">
        <f t="shared" si="3"/>
        <v>0</v>
      </c>
      <c r="BA16" s="3">
        <f t="shared" si="3"/>
        <v>0</v>
      </c>
      <c r="BB16" s="3">
        <f t="shared" si="26"/>
        <v>984290.61344746558</v>
      </c>
      <c r="BC16" s="7" t="s">
        <v>114</v>
      </c>
      <c r="BD16" s="2" t="s">
        <v>42</v>
      </c>
      <c r="BE16" s="3">
        <v>2743.2357142857145</v>
      </c>
      <c r="BF16" s="3">
        <v>0</v>
      </c>
      <c r="BG16" s="3">
        <v>0</v>
      </c>
      <c r="BH16" s="3">
        <v>0</v>
      </c>
      <c r="BI16" s="3">
        <v>2743.2357142857145</v>
      </c>
      <c r="BJ16" s="7" t="s">
        <v>114</v>
      </c>
      <c r="BK16" s="2" t="s">
        <v>42</v>
      </c>
      <c r="BL16" s="3">
        <v>28024.050654394861</v>
      </c>
      <c r="BM16" s="3">
        <v>0</v>
      </c>
      <c r="BN16" s="3">
        <v>0</v>
      </c>
      <c r="BO16" s="3">
        <v>0</v>
      </c>
      <c r="BP16" s="3">
        <v>28024.050654394861</v>
      </c>
      <c r="BQ16" s="7" t="s">
        <v>114</v>
      </c>
      <c r="BR16" s="2" t="s">
        <v>42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7" t="s">
        <v>114</v>
      </c>
      <c r="BY16" s="2" t="s">
        <v>42</v>
      </c>
      <c r="BZ16" s="3">
        <v>137041.10018905177</v>
      </c>
      <c r="CA16" s="3">
        <v>145228.32267267659</v>
      </c>
      <c r="CB16" s="3">
        <v>0</v>
      </c>
      <c r="CC16" s="3">
        <v>0</v>
      </c>
      <c r="CD16" s="3">
        <v>282269.42286172835</v>
      </c>
      <c r="CE16" s="7" t="s">
        <v>114</v>
      </c>
      <c r="CF16" s="2" t="s">
        <v>42</v>
      </c>
      <c r="CG16" s="3">
        <v>800.86960574891782</v>
      </c>
      <c r="CH16" s="3">
        <v>0</v>
      </c>
      <c r="CI16" s="3">
        <v>4004348.0287445895</v>
      </c>
      <c r="CJ16" s="3">
        <v>0</v>
      </c>
      <c r="CK16" s="3">
        <v>4005148.8983503385</v>
      </c>
      <c r="CL16" s="7" t="s">
        <v>114</v>
      </c>
      <c r="CM16" s="2" t="s">
        <v>42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7" t="s">
        <v>114</v>
      </c>
      <c r="CT16" s="2" t="s">
        <v>42</v>
      </c>
      <c r="CU16" s="3">
        <v>56754.283300237657</v>
      </c>
      <c r="CV16" s="3">
        <v>301.33270588801332</v>
      </c>
      <c r="CW16" s="3">
        <v>0</v>
      </c>
      <c r="CX16" s="3">
        <v>0</v>
      </c>
      <c r="CY16" s="3">
        <v>57055.616006125674</v>
      </c>
      <c r="CZ16" s="7" t="s">
        <v>114</v>
      </c>
      <c r="DA16" s="2" t="s">
        <v>42</v>
      </c>
      <c r="DB16" s="3">
        <v>1551957.8480519995</v>
      </c>
      <c r="DC16" s="3">
        <v>1601.7392114978359</v>
      </c>
      <c r="DD16" s="3">
        <v>0</v>
      </c>
      <c r="DE16" s="3">
        <v>0</v>
      </c>
      <c r="DF16" s="3">
        <v>1553559.5872634973</v>
      </c>
      <c r="DG16" s="7" t="s">
        <v>114</v>
      </c>
      <c r="DH16" s="2" t="s">
        <v>42</v>
      </c>
      <c r="DI16" s="3">
        <v>2536.7230769230691</v>
      </c>
      <c r="DJ16" s="3">
        <v>0</v>
      </c>
      <c r="DK16" s="3">
        <v>0</v>
      </c>
      <c r="DL16" s="3">
        <v>0</v>
      </c>
      <c r="DM16" s="3">
        <v>2536.7230769230691</v>
      </c>
      <c r="DN16" s="7" t="s">
        <v>114</v>
      </c>
      <c r="DO16" s="2" t="s">
        <v>42</v>
      </c>
      <c r="DP16" s="3">
        <v>76517.280372447494</v>
      </c>
      <c r="DQ16" s="3">
        <v>0</v>
      </c>
      <c r="DR16" s="3">
        <v>0</v>
      </c>
      <c r="DS16" s="3">
        <v>0</v>
      </c>
      <c r="DT16" s="3">
        <v>76517.280372447494</v>
      </c>
      <c r="DU16" s="7" t="s">
        <v>114</v>
      </c>
      <c r="DV16" s="2" t="s">
        <v>42</v>
      </c>
      <c r="DW16" s="3">
        <v>6102.1445211938344</v>
      </c>
      <c r="DX16" s="3">
        <v>0</v>
      </c>
      <c r="DY16" s="3">
        <v>0</v>
      </c>
      <c r="DZ16" s="3">
        <v>0</v>
      </c>
      <c r="EA16" s="3">
        <v>6102.1445211938344</v>
      </c>
      <c r="EB16" s="7" t="s">
        <v>114</v>
      </c>
      <c r="EC16" s="2" t="s">
        <v>42</v>
      </c>
      <c r="ED16" s="3">
        <v>450137.85516712407</v>
      </c>
      <c r="EE16" s="3">
        <v>528050.6137591477</v>
      </c>
      <c r="EF16" s="3">
        <v>0</v>
      </c>
      <c r="EG16" s="3">
        <v>0</v>
      </c>
      <c r="EH16" s="3">
        <v>978188.46892627177</v>
      </c>
    </row>
    <row r="17" spans="1:138" ht="10.199999999999999" customHeight="1" x14ac:dyDescent="0.2">
      <c r="A17" s="7" t="s">
        <v>112</v>
      </c>
      <c r="B17" s="2" t="s">
        <v>40</v>
      </c>
      <c r="C17" s="3">
        <f t="shared" si="4"/>
        <v>0</v>
      </c>
      <c r="D17" s="3">
        <f t="shared" si="5"/>
        <v>0</v>
      </c>
      <c r="E17" s="3">
        <f t="shared" si="6"/>
        <v>68112636.607049674</v>
      </c>
      <c r="F17" s="3">
        <f t="shared" si="7"/>
        <v>360233.45403978345</v>
      </c>
      <c r="G17" s="3">
        <f t="shared" si="8"/>
        <v>37176.706666666658</v>
      </c>
      <c r="H17" s="3">
        <f t="shared" si="9"/>
        <v>5077.076253371195</v>
      </c>
      <c r="I17" s="3">
        <f t="shared" si="10"/>
        <v>200801.04533599329</v>
      </c>
      <c r="J17" s="3">
        <f t="shared" si="11"/>
        <v>461.4</v>
      </c>
      <c r="K17" s="3">
        <f t="shared" si="12"/>
        <v>6711372.5642559482</v>
      </c>
      <c r="L17" s="3">
        <f t="shared" si="13"/>
        <v>2234343.9912160202</v>
      </c>
      <c r="M17" s="3">
        <f t="shared" si="14"/>
        <v>3908711.0441990439</v>
      </c>
      <c r="N17" s="3">
        <f t="shared" si="15"/>
        <v>3071058.1091756746</v>
      </c>
      <c r="O17" s="3">
        <f t="shared" si="16"/>
        <v>84641871.998192191</v>
      </c>
      <c r="P17" s="7" t="s">
        <v>112</v>
      </c>
      <c r="Q17" s="2" t="s">
        <v>40</v>
      </c>
      <c r="R17" s="3">
        <f t="shared" si="17"/>
        <v>0</v>
      </c>
      <c r="S17" s="3">
        <f t="shared" si="17"/>
        <v>0</v>
      </c>
      <c r="T17" s="3">
        <f t="shared" si="17"/>
        <v>68112636.607049674</v>
      </c>
      <c r="U17" s="3">
        <f t="shared" si="17"/>
        <v>360233.45403978345</v>
      </c>
      <c r="V17" s="3">
        <f t="shared" si="17"/>
        <v>37176.706666666658</v>
      </c>
      <c r="W17" s="3">
        <f t="shared" si="17"/>
        <v>5077.076253371195</v>
      </c>
      <c r="X17" s="3">
        <f t="shared" si="17"/>
        <v>200801.04533599329</v>
      </c>
      <c r="Y17" s="3">
        <f t="shared" si="17"/>
        <v>461.4</v>
      </c>
      <c r="Z17" s="3">
        <f t="shared" si="17"/>
        <v>6711372.5642559482</v>
      </c>
      <c r="AA17" s="3">
        <f t="shared" si="17"/>
        <v>2234343.9912160202</v>
      </c>
      <c r="AB17" s="3">
        <f t="shared" si="18"/>
        <v>77662102.84481746</v>
      </c>
      <c r="AC17" s="7" t="s">
        <v>112</v>
      </c>
      <c r="AD17" s="2" t="s">
        <v>40</v>
      </c>
      <c r="AE17" s="3">
        <f t="shared" si="19"/>
        <v>3908711.0441990439</v>
      </c>
      <c r="AF17" s="3">
        <f t="shared" si="19"/>
        <v>3071058.1091756746</v>
      </c>
      <c r="AG17" s="3">
        <f t="shared" si="20"/>
        <v>6979769.1533747185</v>
      </c>
      <c r="AH17" s="7" t="s">
        <v>112</v>
      </c>
      <c r="AI17" s="2" t="s">
        <v>40</v>
      </c>
      <c r="AJ17" s="3">
        <f t="shared" si="21"/>
        <v>16318013.483066309</v>
      </c>
      <c r="AK17" s="3">
        <f t="shared" si="1"/>
        <v>66530198.523705833</v>
      </c>
      <c r="AL17" s="3">
        <f t="shared" si="1"/>
        <v>1793659.9914200318</v>
      </c>
      <c r="AM17" s="3">
        <f t="shared" si="1"/>
        <v>0</v>
      </c>
      <c r="AN17" s="3">
        <f t="shared" si="22"/>
        <v>84641871.998192176</v>
      </c>
      <c r="AO17" s="7" t="s">
        <v>112</v>
      </c>
      <c r="AP17" s="2" t="s">
        <v>40</v>
      </c>
      <c r="AQ17" s="3">
        <f t="shared" si="23"/>
        <v>9347206.7573868725</v>
      </c>
      <c r="AR17" s="3">
        <f t="shared" si="2"/>
        <v>66521236.096010551</v>
      </c>
      <c r="AS17" s="3">
        <f t="shared" si="2"/>
        <v>1793659.9914200318</v>
      </c>
      <c r="AT17" s="3">
        <f t="shared" si="2"/>
        <v>0</v>
      </c>
      <c r="AU17" s="3">
        <f t="shared" si="24"/>
        <v>77662102.84481746</v>
      </c>
      <c r="AV17" s="7" t="s">
        <v>112</v>
      </c>
      <c r="AW17" s="2" t="s">
        <v>40</v>
      </c>
      <c r="AX17" s="3">
        <f t="shared" si="25"/>
        <v>6970806.7256794367</v>
      </c>
      <c r="AY17" s="3">
        <f t="shared" si="3"/>
        <v>8962.4276952824694</v>
      </c>
      <c r="AZ17" s="3">
        <f t="shared" si="3"/>
        <v>0</v>
      </c>
      <c r="BA17" s="3">
        <f t="shared" si="3"/>
        <v>0</v>
      </c>
      <c r="BB17" s="3">
        <f t="shared" si="26"/>
        <v>6979769.1533747194</v>
      </c>
      <c r="BC17" s="7" t="s">
        <v>112</v>
      </c>
      <c r="BD17" s="2" t="s">
        <v>40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7" t="s">
        <v>112</v>
      </c>
      <c r="BK17" s="2" t="s">
        <v>40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7" t="s">
        <v>112</v>
      </c>
      <c r="BR17" s="2" t="s">
        <v>40</v>
      </c>
      <c r="BS17" s="3">
        <v>0</v>
      </c>
      <c r="BT17" s="3">
        <v>66318976.615629643</v>
      </c>
      <c r="BU17" s="3">
        <v>1793659.9914200318</v>
      </c>
      <c r="BV17" s="3">
        <v>0</v>
      </c>
      <c r="BW17" s="3">
        <v>68112636.607049674</v>
      </c>
      <c r="BX17" s="7" t="s">
        <v>112</v>
      </c>
      <c r="BY17" s="2" t="s">
        <v>40</v>
      </c>
      <c r="BZ17" s="3">
        <v>358719.81048491801</v>
      </c>
      <c r="CA17" s="3">
        <v>1513.6435548654549</v>
      </c>
      <c r="CB17" s="3">
        <v>0</v>
      </c>
      <c r="CC17" s="3">
        <v>0</v>
      </c>
      <c r="CD17" s="3">
        <v>360233.45403978345</v>
      </c>
      <c r="CE17" s="7" t="s">
        <v>112</v>
      </c>
      <c r="CF17" s="2" t="s">
        <v>40</v>
      </c>
      <c r="CG17" s="3">
        <v>37176.706666666658</v>
      </c>
      <c r="CH17" s="3">
        <v>0</v>
      </c>
      <c r="CI17" s="3">
        <v>0</v>
      </c>
      <c r="CJ17" s="3">
        <v>0</v>
      </c>
      <c r="CK17" s="3">
        <v>37176.706666666658</v>
      </c>
      <c r="CL17" s="7" t="s">
        <v>112</v>
      </c>
      <c r="CM17" s="2" t="s">
        <v>40</v>
      </c>
      <c r="CN17" s="3">
        <v>1692.3587511237317</v>
      </c>
      <c r="CO17" s="3">
        <v>3384.7175022474635</v>
      </c>
      <c r="CP17" s="3">
        <v>0</v>
      </c>
      <c r="CQ17" s="3">
        <v>0</v>
      </c>
      <c r="CR17" s="3">
        <v>5077.076253371195</v>
      </c>
      <c r="CS17" s="7" t="s">
        <v>112</v>
      </c>
      <c r="CT17" s="2" t="s">
        <v>40</v>
      </c>
      <c r="CU17" s="3">
        <v>52320.199168328611</v>
      </c>
      <c r="CV17" s="3">
        <v>148480.84616766468</v>
      </c>
      <c r="CW17" s="3">
        <v>0</v>
      </c>
      <c r="CX17" s="3">
        <v>0</v>
      </c>
      <c r="CY17" s="3">
        <v>200801.04533599329</v>
      </c>
      <c r="CZ17" s="7" t="s">
        <v>112</v>
      </c>
      <c r="DA17" s="2" t="s">
        <v>40</v>
      </c>
      <c r="DB17" s="3">
        <v>6711372.5642559482</v>
      </c>
      <c r="DC17" s="3">
        <v>0</v>
      </c>
      <c r="DD17" s="3">
        <v>0</v>
      </c>
      <c r="DE17" s="3">
        <v>0</v>
      </c>
      <c r="DF17" s="3">
        <v>6711372.5642559482</v>
      </c>
      <c r="DG17" s="7" t="s">
        <v>112</v>
      </c>
      <c r="DH17" s="2" t="s">
        <v>40</v>
      </c>
      <c r="DI17" s="3">
        <v>461.4</v>
      </c>
      <c r="DJ17" s="3">
        <v>0</v>
      </c>
      <c r="DK17" s="3">
        <v>0</v>
      </c>
      <c r="DL17" s="3">
        <v>0</v>
      </c>
      <c r="DM17" s="3">
        <v>461.4</v>
      </c>
      <c r="DN17" s="7" t="s">
        <v>112</v>
      </c>
      <c r="DO17" s="2" t="s">
        <v>40</v>
      </c>
      <c r="DP17" s="3">
        <v>2185463.7180598867</v>
      </c>
      <c r="DQ17" s="3">
        <v>48880.273156133655</v>
      </c>
      <c r="DR17" s="3">
        <v>0</v>
      </c>
      <c r="DS17" s="3">
        <v>0</v>
      </c>
      <c r="DT17" s="3">
        <v>2234343.9912160202</v>
      </c>
      <c r="DU17" s="7" t="s">
        <v>112</v>
      </c>
      <c r="DV17" s="2" t="s">
        <v>40</v>
      </c>
      <c r="DW17" s="3">
        <v>3071058.1091756746</v>
      </c>
      <c r="DX17" s="3">
        <v>0</v>
      </c>
      <c r="DY17" s="3">
        <v>0</v>
      </c>
      <c r="DZ17" s="3">
        <v>0</v>
      </c>
      <c r="EA17" s="3">
        <v>3071058.1091756746</v>
      </c>
      <c r="EB17" s="7" t="s">
        <v>112</v>
      </c>
      <c r="EC17" s="2" t="s">
        <v>40</v>
      </c>
      <c r="ED17" s="3">
        <v>3899748.6165037616</v>
      </c>
      <c r="EE17" s="3">
        <v>8962.4276952824694</v>
      </c>
      <c r="EF17" s="3">
        <v>0</v>
      </c>
      <c r="EG17" s="3">
        <v>0</v>
      </c>
      <c r="EH17" s="3">
        <v>3908711.0441990439</v>
      </c>
    </row>
    <row r="18" spans="1:138" ht="10.199999999999999" customHeight="1" x14ac:dyDescent="0.2">
      <c r="A18" s="7" t="s">
        <v>116</v>
      </c>
      <c r="B18" s="2" t="s">
        <v>44</v>
      </c>
      <c r="C18" s="3">
        <f t="shared" si="4"/>
        <v>106136.48276037024</v>
      </c>
      <c r="D18" s="3">
        <f t="shared" si="5"/>
        <v>85193.117541976215</v>
      </c>
      <c r="E18" s="3">
        <f t="shared" si="6"/>
        <v>14028827.880137455</v>
      </c>
      <c r="F18" s="3">
        <f t="shared" si="7"/>
        <v>22666.468764218258</v>
      </c>
      <c r="G18" s="3">
        <f t="shared" si="8"/>
        <v>736597.60228568257</v>
      </c>
      <c r="H18" s="3">
        <f t="shared" si="9"/>
        <v>47597.589875354955</v>
      </c>
      <c r="I18" s="3">
        <f t="shared" si="10"/>
        <v>42527.912325621503</v>
      </c>
      <c r="J18" s="3">
        <f t="shared" si="11"/>
        <v>10004.986270665779</v>
      </c>
      <c r="K18" s="3">
        <f t="shared" si="12"/>
        <v>40998.217017945608</v>
      </c>
      <c r="L18" s="3">
        <f t="shared" si="13"/>
        <v>470430.26842167298</v>
      </c>
      <c r="M18" s="3">
        <f t="shared" si="14"/>
        <v>741232.55306164513</v>
      </c>
      <c r="N18" s="3">
        <f t="shared" si="15"/>
        <v>62317406.970922716</v>
      </c>
      <c r="O18" s="3">
        <f t="shared" si="16"/>
        <v>78649620.049385324</v>
      </c>
      <c r="P18" s="7" t="s">
        <v>116</v>
      </c>
      <c r="Q18" s="2" t="s">
        <v>44</v>
      </c>
      <c r="R18" s="3">
        <f t="shared" si="17"/>
        <v>106136.48276037024</v>
      </c>
      <c r="S18" s="3">
        <f t="shared" si="17"/>
        <v>85193.117541976215</v>
      </c>
      <c r="T18" s="3">
        <f t="shared" si="17"/>
        <v>14028827.880137455</v>
      </c>
      <c r="U18" s="3">
        <f t="shared" si="17"/>
        <v>22666.468764218258</v>
      </c>
      <c r="V18" s="3">
        <f t="shared" si="17"/>
        <v>736597.60228568257</v>
      </c>
      <c r="W18" s="3">
        <f t="shared" si="17"/>
        <v>47597.589875354955</v>
      </c>
      <c r="X18" s="3">
        <f t="shared" si="17"/>
        <v>42527.912325621503</v>
      </c>
      <c r="Y18" s="3">
        <f t="shared" si="17"/>
        <v>10004.986270665779</v>
      </c>
      <c r="Z18" s="3">
        <f t="shared" si="17"/>
        <v>40998.217017945608</v>
      </c>
      <c r="AA18" s="3">
        <f t="shared" si="17"/>
        <v>470430.26842167298</v>
      </c>
      <c r="AB18" s="3">
        <f t="shared" si="18"/>
        <v>15590980.525400961</v>
      </c>
      <c r="AC18" s="7" t="s">
        <v>116</v>
      </c>
      <c r="AD18" s="2" t="s">
        <v>44</v>
      </c>
      <c r="AE18" s="3">
        <f t="shared" si="19"/>
        <v>741232.55306164513</v>
      </c>
      <c r="AF18" s="3">
        <f t="shared" si="19"/>
        <v>62317406.970922716</v>
      </c>
      <c r="AG18" s="3">
        <f t="shared" si="20"/>
        <v>63058639.523984358</v>
      </c>
      <c r="AH18" s="7" t="s">
        <v>116</v>
      </c>
      <c r="AI18" s="2" t="s">
        <v>44</v>
      </c>
      <c r="AJ18" s="3">
        <f t="shared" si="21"/>
        <v>5743830.880285345</v>
      </c>
      <c r="AK18" s="3">
        <f t="shared" si="1"/>
        <v>17311589.289853413</v>
      </c>
      <c r="AL18" s="3">
        <f t="shared" si="1"/>
        <v>55594199.879246563</v>
      </c>
      <c r="AM18" s="3">
        <f t="shared" si="1"/>
        <v>0</v>
      </c>
      <c r="AN18" s="3">
        <f t="shared" si="22"/>
        <v>78649620.049385324</v>
      </c>
      <c r="AO18" s="7" t="s">
        <v>116</v>
      </c>
      <c r="AP18" s="2" t="s">
        <v>44</v>
      </c>
      <c r="AQ18" s="3">
        <f t="shared" si="23"/>
        <v>3990958.738169333</v>
      </c>
      <c r="AR18" s="3">
        <f t="shared" si="2"/>
        <v>7733280.1374875577</v>
      </c>
      <c r="AS18" s="3">
        <f t="shared" si="2"/>
        <v>3866741.6497440715</v>
      </c>
      <c r="AT18" s="3">
        <f t="shared" si="2"/>
        <v>0</v>
      </c>
      <c r="AU18" s="3">
        <f t="shared" si="24"/>
        <v>15590980.525400963</v>
      </c>
      <c r="AV18" s="7" t="s">
        <v>116</v>
      </c>
      <c r="AW18" s="2" t="s">
        <v>44</v>
      </c>
      <c r="AX18" s="3">
        <f t="shared" si="25"/>
        <v>1752872.1421160123</v>
      </c>
      <c r="AY18" s="3">
        <f t="shared" si="3"/>
        <v>9578309.152365854</v>
      </c>
      <c r="AZ18" s="3">
        <f t="shared" si="3"/>
        <v>51727458.229502492</v>
      </c>
      <c r="BA18" s="3">
        <f t="shared" si="3"/>
        <v>0</v>
      </c>
      <c r="BB18" s="3">
        <f t="shared" si="26"/>
        <v>63058639.523984358</v>
      </c>
      <c r="BC18" s="7" t="s">
        <v>116</v>
      </c>
      <c r="BD18" s="2" t="s">
        <v>44</v>
      </c>
      <c r="BE18" s="3">
        <v>106136.48276037024</v>
      </c>
      <c r="BF18" s="3">
        <v>0</v>
      </c>
      <c r="BG18" s="3">
        <v>0</v>
      </c>
      <c r="BH18" s="3">
        <v>0</v>
      </c>
      <c r="BI18" s="3">
        <v>106136.48276037024</v>
      </c>
      <c r="BJ18" s="7" t="s">
        <v>116</v>
      </c>
      <c r="BK18" s="2" t="s">
        <v>44</v>
      </c>
      <c r="BL18" s="3">
        <v>78531.408994133089</v>
      </c>
      <c r="BM18" s="3">
        <v>919.13979074943791</v>
      </c>
      <c r="BN18" s="3">
        <v>5742.5687570936916</v>
      </c>
      <c r="BO18" s="3">
        <v>0</v>
      </c>
      <c r="BP18" s="3">
        <v>85193.117541976215</v>
      </c>
      <c r="BQ18" s="7" t="s">
        <v>116</v>
      </c>
      <c r="BR18" s="2" t="s">
        <v>44</v>
      </c>
      <c r="BS18" s="3">
        <v>2941626.6775748339</v>
      </c>
      <c r="BT18" s="3">
        <v>7254122.8105300982</v>
      </c>
      <c r="BU18" s="3">
        <v>3833078.3920325222</v>
      </c>
      <c r="BV18" s="3">
        <v>0</v>
      </c>
      <c r="BW18" s="3">
        <v>14028827.880137455</v>
      </c>
      <c r="BX18" s="7" t="s">
        <v>116</v>
      </c>
      <c r="BY18" s="2" t="s">
        <v>44</v>
      </c>
      <c r="BZ18" s="3">
        <v>22666.468764218258</v>
      </c>
      <c r="CA18" s="3">
        <v>0</v>
      </c>
      <c r="CB18" s="3">
        <v>0</v>
      </c>
      <c r="CC18" s="3">
        <v>0</v>
      </c>
      <c r="CD18" s="3">
        <v>22666.468764218258</v>
      </c>
      <c r="CE18" s="7" t="s">
        <v>116</v>
      </c>
      <c r="CF18" s="2" t="s">
        <v>44</v>
      </c>
      <c r="CG18" s="3">
        <v>736597.60228568257</v>
      </c>
      <c r="CH18" s="3">
        <v>0</v>
      </c>
      <c r="CI18" s="3">
        <v>0</v>
      </c>
      <c r="CJ18" s="3">
        <v>0</v>
      </c>
      <c r="CK18" s="3">
        <v>736597.60228568257</v>
      </c>
      <c r="CL18" s="7" t="s">
        <v>116</v>
      </c>
      <c r="CM18" s="2" t="s">
        <v>44</v>
      </c>
      <c r="CN18" s="3">
        <v>0</v>
      </c>
      <c r="CO18" s="3">
        <v>47597.589875354955</v>
      </c>
      <c r="CP18" s="3">
        <v>0</v>
      </c>
      <c r="CQ18" s="3">
        <v>0</v>
      </c>
      <c r="CR18" s="3">
        <v>47597.589875354955</v>
      </c>
      <c r="CS18" s="7" t="s">
        <v>116</v>
      </c>
      <c r="CT18" s="2" t="s">
        <v>44</v>
      </c>
      <c r="CU18" s="3">
        <v>42527.912325621503</v>
      </c>
      <c r="CV18" s="3">
        <v>0</v>
      </c>
      <c r="CW18" s="3">
        <v>0</v>
      </c>
      <c r="CX18" s="3">
        <v>0</v>
      </c>
      <c r="CY18" s="3">
        <v>42527.912325621503</v>
      </c>
      <c r="CZ18" s="7" t="s">
        <v>116</v>
      </c>
      <c r="DA18" s="2" t="s">
        <v>44</v>
      </c>
      <c r="DB18" s="3">
        <v>38557.947650136099</v>
      </c>
      <c r="DC18" s="3">
        <v>2440.2693678095088</v>
      </c>
      <c r="DD18" s="3">
        <v>0</v>
      </c>
      <c r="DE18" s="3">
        <v>0</v>
      </c>
      <c r="DF18" s="3">
        <v>40998.217017945608</v>
      </c>
      <c r="DG18" s="7" t="s">
        <v>116</v>
      </c>
      <c r="DH18" s="2" t="s">
        <v>44</v>
      </c>
      <c r="DI18" s="3">
        <v>10004.986270665779</v>
      </c>
      <c r="DJ18" s="3">
        <v>0</v>
      </c>
      <c r="DK18" s="3">
        <v>0</v>
      </c>
      <c r="DL18" s="3">
        <v>0</v>
      </c>
      <c r="DM18" s="3">
        <v>10004.986270665779</v>
      </c>
      <c r="DN18" s="7" t="s">
        <v>116</v>
      </c>
      <c r="DO18" s="2" t="s">
        <v>44</v>
      </c>
      <c r="DP18" s="3">
        <v>14309.251543671866</v>
      </c>
      <c r="DQ18" s="3">
        <v>428200.32792354521</v>
      </c>
      <c r="DR18" s="3">
        <v>27920.688954455891</v>
      </c>
      <c r="DS18" s="3">
        <v>0</v>
      </c>
      <c r="DT18" s="3">
        <v>470430.26842167298</v>
      </c>
      <c r="DU18" s="7" t="s">
        <v>116</v>
      </c>
      <c r="DV18" s="2" t="s">
        <v>44</v>
      </c>
      <c r="DW18" s="3">
        <v>1028841.0775055544</v>
      </c>
      <c r="DX18" s="3">
        <v>9561107.6639146674</v>
      </c>
      <c r="DY18" s="3">
        <v>51727458.229502492</v>
      </c>
      <c r="DZ18" s="3">
        <v>0</v>
      </c>
      <c r="EA18" s="3">
        <v>62317406.970922716</v>
      </c>
      <c r="EB18" s="7" t="s">
        <v>116</v>
      </c>
      <c r="EC18" s="2" t="s">
        <v>44</v>
      </c>
      <c r="ED18" s="3">
        <v>724031.06461045786</v>
      </c>
      <c r="EE18" s="3">
        <v>17201.488451187244</v>
      </c>
      <c r="EF18" s="3">
        <v>0</v>
      </c>
      <c r="EG18" s="3">
        <v>0</v>
      </c>
      <c r="EH18" s="3">
        <v>741232.55306164513</v>
      </c>
    </row>
    <row r="19" spans="1:138" ht="10.199999999999999" customHeight="1" x14ac:dyDescent="0.2">
      <c r="A19" s="7" t="s">
        <v>107</v>
      </c>
      <c r="B19" s="2" t="s">
        <v>35</v>
      </c>
      <c r="C19" s="3">
        <f t="shared" si="4"/>
        <v>0</v>
      </c>
      <c r="D19" s="3">
        <f t="shared" si="5"/>
        <v>2254.8932054228749</v>
      </c>
      <c r="E19" s="3">
        <f t="shared" si="6"/>
        <v>0</v>
      </c>
      <c r="F19" s="3">
        <f t="shared" si="7"/>
        <v>0</v>
      </c>
      <c r="G19" s="3">
        <f t="shared" si="8"/>
        <v>0</v>
      </c>
      <c r="H19" s="3">
        <f t="shared" si="9"/>
        <v>0</v>
      </c>
      <c r="I19" s="3">
        <f t="shared" si="10"/>
        <v>22952.389088343996</v>
      </c>
      <c r="J19" s="3">
        <f t="shared" si="11"/>
        <v>0</v>
      </c>
      <c r="K19" s="3">
        <f t="shared" si="12"/>
        <v>173.78870444751519</v>
      </c>
      <c r="L19" s="3">
        <f t="shared" si="13"/>
        <v>7423004.5664571831</v>
      </c>
      <c r="M19" s="3">
        <f t="shared" si="14"/>
        <v>3598058.7806576388</v>
      </c>
      <c r="N19" s="3">
        <f t="shared" si="15"/>
        <v>2270507.3748410963</v>
      </c>
      <c r="O19" s="3">
        <f t="shared" si="16"/>
        <v>13316951.792954132</v>
      </c>
      <c r="P19" s="7" t="s">
        <v>107</v>
      </c>
      <c r="Q19" s="2" t="s">
        <v>35</v>
      </c>
      <c r="R19" s="3">
        <f t="shared" si="17"/>
        <v>0</v>
      </c>
      <c r="S19" s="3">
        <f t="shared" si="17"/>
        <v>2254.8932054228749</v>
      </c>
      <c r="T19" s="3">
        <f t="shared" si="17"/>
        <v>0</v>
      </c>
      <c r="U19" s="3">
        <f t="shared" si="17"/>
        <v>0</v>
      </c>
      <c r="V19" s="3">
        <f t="shared" si="17"/>
        <v>0</v>
      </c>
      <c r="W19" s="3">
        <f t="shared" si="17"/>
        <v>0</v>
      </c>
      <c r="X19" s="3">
        <f t="shared" si="17"/>
        <v>22952.389088343996</v>
      </c>
      <c r="Y19" s="3">
        <f t="shared" si="17"/>
        <v>0</v>
      </c>
      <c r="Z19" s="3">
        <f t="shared" si="17"/>
        <v>173.78870444751519</v>
      </c>
      <c r="AA19" s="3">
        <f t="shared" si="17"/>
        <v>7423004.5664571831</v>
      </c>
      <c r="AB19" s="3">
        <f t="shared" si="18"/>
        <v>7448385.6374553973</v>
      </c>
      <c r="AC19" s="7" t="s">
        <v>107</v>
      </c>
      <c r="AD19" s="2" t="s">
        <v>35</v>
      </c>
      <c r="AE19" s="3">
        <f t="shared" si="19"/>
        <v>3598058.7806576388</v>
      </c>
      <c r="AF19" s="3">
        <f t="shared" si="19"/>
        <v>2270507.3748410963</v>
      </c>
      <c r="AG19" s="3">
        <f t="shared" si="20"/>
        <v>5868566.1554987356</v>
      </c>
      <c r="AH19" s="7" t="s">
        <v>107</v>
      </c>
      <c r="AI19" s="2" t="s">
        <v>35</v>
      </c>
      <c r="AJ19" s="3">
        <f t="shared" si="21"/>
        <v>9186643.3122518063</v>
      </c>
      <c r="AK19" s="3">
        <f t="shared" si="1"/>
        <v>3590686.338463</v>
      </c>
      <c r="AL19" s="3">
        <f t="shared" si="1"/>
        <v>539622.14223932545</v>
      </c>
      <c r="AM19" s="3">
        <f t="shared" si="1"/>
        <v>0</v>
      </c>
      <c r="AN19" s="3">
        <f t="shared" si="22"/>
        <v>13316951.792954132</v>
      </c>
      <c r="AO19" s="7" t="s">
        <v>107</v>
      </c>
      <c r="AP19" s="2" t="s">
        <v>35</v>
      </c>
      <c r="AQ19" s="3">
        <f t="shared" si="23"/>
        <v>5937920.4708548971</v>
      </c>
      <c r="AR19" s="3">
        <f t="shared" si="2"/>
        <v>970843.02436117502</v>
      </c>
      <c r="AS19" s="3">
        <f t="shared" si="2"/>
        <v>539622.14223932545</v>
      </c>
      <c r="AT19" s="3">
        <f t="shared" si="2"/>
        <v>0</v>
      </c>
      <c r="AU19" s="3">
        <f t="shared" si="24"/>
        <v>7448385.6374553973</v>
      </c>
      <c r="AV19" s="7" t="s">
        <v>107</v>
      </c>
      <c r="AW19" s="2" t="s">
        <v>35</v>
      </c>
      <c r="AX19" s="3">
        <f t="shared" si="25"/>
        <v>3248722.8413969101</v>
      </c>
      <c r="AY19" s="3">
        <f t="shared" si="3"/>
        <v>2619843.314101825</v>
      </c>
      <c r="AZ19" s="3">
        <f t="shared" si="3"/>
        <v>0</v>
      </c>
      <c r="BA19" s="3">
        <f t="shared" si="3"/>
        <v>0</v>
      </c>
      <c r="BB19" s="3">
        <f t="shared" si="26"/>
        <v>5868566.1554987356</v>
      </c>
      <c r="BC19" s="7" t="s">
        <v>107</v>
      </c>
      <c r="BD19" s="2" t="s">
        <v>35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7" t="s">
        <v>107</v>
      </c>
      <c r="BK19" s="2" t="s">
        <v>35</v>
      </c>
      <c r="BL19" s="3">
        <v>2254.8932054228749</v>
      </c>
      <c r="BM19" s="3">
        <v>0</v>
      </c>
      <c r="BN19" s="3">
        <v>0</v>
      </c>
      <c r="BO19" s="3">
        <v>0</v>
      </c>
      <c r="BP19" s="3">
        <v>2254.8932054228749</v>
      </c>
      <c r="BQ19" s="7" t="s">
        <v>107</v>
      </c>
      <c r="BR19" s="2" t="s">
        <v>35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7" t="s">
        <v>107</v>
      </c>
      <c r="BY19" s="2" t="s">
        <v>35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7" t="s">
        <v>107</v>
      </c>
      <c r="CF19" s="2" t="s">
        <v>35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7" t="s">
        <v>107</v>
      </c>
      <c r="CM19" s="2" t="s">
        <v>35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7" t="s">
        <v>107</v>
      </c>
      <c r="CT19" s="2" t="s">
        <v>35</v>
      </c>
      <c r="CU19" s="3">
        <v>4304.814210764378</v>
      </c>
      <c r="CV19" s="3">
        <v>18647.574877579616</v>
      </c>
      <c r="CW19" s="3">
        <v>0</v>
      </c>
      <c r="CX19" s="3">
        <v>0</v>
      </c>
      <c r="CY19" s="3">
        <v>22952.389088343996</v>
      </c>
      <c r="CZ19" s="7" t="s">
        <v>107</v>
      </c>
      <c r="DA19" s="2" t="s">
        <v>35</v>
      </c>
      <c r="DB19" s="3">
        <v>0</v>
      </c>
      <c r="DC19" s="3">
        <v>173.78870444751519</v>
      </c>
      <c r="DD19" s="3">
        <v>0</v>
      </c>
      <c r="DE19" s="3">
        <v>0</v>
      </c>
      <c r="DF19" s="3">
        <v>173.78870444751519</v>
      </c>
      <c r="DG19" s="7" t="s">
        <v>107</v>
      </c>
      <c r="DH19" s="2" t="s">
        <v>35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7" t="s">
        <v>107</v>
      </c>
      <c r="DO19" s="2" t="s">
        <v>35</v>
      </c>
      <c r="DP19" s="3">
        <v>5931360.76343871</v>
      </c>
      <c r="DQ19" s="3">
        <v>952021.66077914787</v>
      </c>
      <c r="DR19" s="3">
        <v>539622.14223932545</v>
      </c>
      <c r="DS19" s="3">
        <v>0</v>
      </c>
      <c r="DT19" s="3">
        <v>7423004.5664571831</v>
      </c>
      <c r="DU19" s="7" t="s">
        <v>107</v>
      </c>
      <c r="DV19" s="2" t="s">
        <v>35</v>
      </c>
      <c r="DW19" s="3">
        <v>1526299.4299405259</v>
      </c>
      <c r="DX19" s="3">
        <v>744207.94490057032</v>
      </c>
      <c r="DY19" s="3">
        <v>0</v>
      </c>
      <c r="DZ19" s="3">
        <v>0</v>
      </c>
      <c r="EA19" s="3">
        <v>2270507.3748410963</v>
      </c>
      <c r="EB19" s="7" t="s">
        <v>107</v>
      </c>
      <c r="EC19" s="2" t="s">
        <v>35</v>
      </c>
      <c r="ED19" s="3">
        <v>1722423.4114563842</v>
      </c>
      <c r="EE19" s="3">
        <v>1875635.3692012548</v>
      </c>
      <c r="EF19" s="3">
        <v>0</v>
      </c>
      <c r="EG19" s="3">
        <v>0</v>
      </c>
      <c r="EH19" s="3">
        <v>3598058.7806576388</v>
      </c>
    </row>
    <row r="20" spans="1:138" ht="10.199999999999999" customHeight="1" x14ac:dyDescent="0.2">
      <c r="A20" s="7" t="s">
        <v>100</v>
      </c>
      <c r="B20" s="2" t="s">
        <v>28</v>
      </c>
      <c r="C20" s="3">
        <f t="shared" si="4"/>
        <v>0</v>
      </c>
      <c r="D20" s="3">
        <f t="shared" si="5"/>
        <v>15878.055988232511</v>
      </c>
      <c r="E20" s="3">
        <f t="shared" si="6"/>
        <v>0</v>
      </c>
      <c r="F20" s="3">
        <f t="shared" si="7"/>
        <v>0</v>
      </c>
      <c r="G20" s="3">
        <f t="shared" si="8"/>
        <v>95716.859782402753</v>
      </c>
      <c r="H20" s="3">
        <f t="shared" si="9"/>
        <v>0</v>
      </c>
      <c r="I20" s="3">
        <f t="shared" si="10"/>
        <v>10003.776918385305</v>
      </c>
      <c r="J20" s="3">
        <f t="shared" si="11"/>
        <v>0</v>
      </c>
      <c r="K20" s="3">
        <f t="shared" si="12"/>
        <v>502.88667857267478</v>
      </c>
      <c r="L20" s="3">
        <f t="shared" si="13"/>
        <v>2058.5616726496969</v>
      </c>
      <c r="M20" s="3">
        <f t="shared" si="14"/>
        <v>897495.33869779145</v>
      </c>
      <c r="N20" s="3">
        <f t="shared" si="15"/>
        <v>112810.11826013276</v>
      </c>
      <c r="O20" s="3">
        <f t="shared" si="16"/>
        <v>1134465.5979981672</v>
      </c>
      <c r="P20" s="7" t="s">
        <v>100</v>
      </c>
      <c r="Q20" s="2" t="s">
        <v>28</v>
      </c>
      <c r="R20" s="3">
        <f t="shared" si="17"/>
        <v>0</v>
      </c>
      <c r="S20" s="3">
        <f t="shared" si="17"/>
        <v>15878.055988232511</v>
      </c>
      <c r="T20" s="3">
        <f t="shared" si="17"/>
        <v>0</v>
      </c>
      <c r="U20" s="3">
        <f t="shared" si="17"/>
        <v>0</v>
      </c>
      <c r="V20" s="3">
        <f t="shared" si="17"/>
        <v>95716.859782402753</v>
      </c>
      <c r="W20" s="3">
        <f t="shared" si="17"/>
        <v>0</v>
      </c>
      <c r="X20" s="3">
        <f t="shared" si="17"/>
        <v>10003.776918385305</v>
      </c>
      <c r="Y20" s="3">
        <f t="shared" si="17"/>
        <v>0</v>
      </c>
      <c r="Z20" s="3">
        <f t="shared" si="17"/>
        <v>502.88667857267478</v>
      </c>
      <c r="AA20" s="3">
        <f t="shared" si="17"/>
        <v>2058.5616726496969</v>
      </c>
      <c r="AB20" s="3">
        <f t="shared" si="18"/>
        <v>124160.14104024295</v>
      </c>
      <c r="AC20" s="7" t="s">
        <v>100</v>
      </c>
      <c r="AD20" s="2" t="s">
        <v>28</v>
      </c>
      <c r="AE20" s="3">
        <f t="shared" si="19"/>
        <v>897495.33869779145</v>
      </c>
      <c r="AF20" s="3">
        <f t="shared" si="19"/>
        <v>112810.11826013276</v>
      </c>
      <c r="AG20" s="3">
        <f t="shared" si="20"/>
        <v>1010305.4569579242</v>
      </c>
      <c r="AH20" s="7" t="s">
        <v>100</v>
      </c>
      <c r="AI20" s="2" t="s">
        <v>28</v>
      </c>
      <c r="AJ20" s="3">
        <f t="shared" si="21"/>
        <v>631749.19040744647</v>
      </c>
      <c r="AK20" s="3">
        <f t="shared" si="21"/>
        <v>502637.68010065111</v>
      </c>
      <c r="AL20" s="3">
        <f t="shared" si="21"/>
        <v>78.727490069733719</v>
      </c>
      <c r="AM20" s="3">
        <f t="shared" si="21"/>
        <v>0</v>
      </c>
      <c r="AN20" s="3">
        <f t="shared" si="22"/>
        <v>1134465.5979981674</v>
      </c>
      <c r="AO20" s="7" t="s">
        <v>100</v>
      </c>
      <c r="AP20" s="2" t="s">
        <v>28</v>
      </c>
      <c r="AQ20" s="3">
        <f t="shared" si="23"/>
        <v>100742.1094358909</v>
      </c>
      <c r="AR20" s="3">
        <f t="shared" si="23"/>
        <v>23418.031604352032</v>
      </c>
      <c r="AS20" s="3">
        <f t="shared" si="23"/>
        <v>0</v>
      </c>
      <c r="AT20" s="3">
        <f t="shared" si="23"/>
        <v>0</v>
      </c>
      <c r="AU20" s="3">
        <f t="shared" si="24"/>
        <v>124160.14104024293</v>
      </c>
      <c r="AV20" s="7" t="s">
        <v>100</v>
      </c>
      <c r="AW20" s="2" t="s">
        <v>28</v>
      </c>
      <c r="AX20" s="3">
        <f t="shared" si="25"/>
        <v>531007.08097155555</v>
      </c>
      <c r="AY20" s="3">
        <f t="shared" si="25"/>
        <v>479219.64849629905</v>
      </c>
      <c r="AZ20" s="3">
        <f t="shared" si="25"/>
        <v>78.727490069733719</v>
      </c>
      <c r="BA20" s="3">
        <f t="shared" si="25"/>
        <v>0</v>
      </c>
      <c r="BB20" s="3">
        <f t="shared" si="26"/>
        <v>1010305.4569579243</v>
      </c>
      <c r="BC20" s="7" t="s">
        <v>100</v>
      </c>
      <c r="BD20" s="2" t="s">
        <v>28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7" t="s">
        <v>100</v>
      </c>
      <c r="BK20" s="2" t="s">
        <v>28</v>
      </c>
      <c r="BL20" s="3">
        <v>15811.445377177924</v>
      </c>
      <c r="BM20" s="3">
        <v>66.610611054587025</v>
      </c>
      <c r="BN20" s="3">
        <v>0</v>
      </c>
      <c r="BO20" s="3">
        <v>0</v>
      </c>
      <c r="BP20" s="3">
        <v>15878.055988232511</v>
      </c>
      <c r="BQ20" s="7" t="s">
        <v>100</v>
      </c>
      <c r="BR20" s="2" t="s">
        <v>28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7" t="s">
        <v>100</v>
      </c>
      <c r="BY20" s="2" t="s">
        <v>28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7" t="s">
        <v>100</v>
      </c>
      <c r="CF20" s="2" t="s">
        <v>28</v>
      </c>
      <c r="CG20" s="3">
        <v>83619.942274358167</v>
      </c>
      <c r="CH20" s="3">
        <v>12096.917508044582</v>
      </c>
      <c r="CI20" s="3">
        <v>0</v>
      </c>
      <c r="CJ20" s="3">
        <v>0</v>
      </c>
      <c r="CK20" s="3">
        <v>95716.859782402753</v>
      </c>
      <c r="CL20" s="7" t="s">
        <v>100</v>
      </c>
      <c r="CM20" s="2" t="s">
        <v>28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7" t="s">
        <v>100</v>
      </c>
      <c r="CT20" s="2" t="s">
        <v>28</v>
      </c>
      <c r="CU20" s="3">
        <v>274.02322864987133</v>
      </c>
      <c r="CV20" s="3">
        <v>9729.753689735433</v>
      </c>
      <c r="CW20" s="3">
        <v>0</v>
      </c>
      <c r="CX20" s="3">
        <v>0</v>
      </c>
      <c r="CY20" s="3">
        <v>10003.776918385305</v>
      </c>
      <c r="CZ20" s="7" t="s">
        <v>100</v>
      </c>
      <c r="DA20" s="2" t="s">
        <v>28</v>
      </c>
      <c r="DB20" s="3">
        <v>0</v>
      </c>
      <c r="DC20" s="3">
        <v>502.88667857267478</v>
      </c>
      <c r="DD20" s="3">
        <v>0</v>
      </c>
      <c r="DE20" s="3">
        <v>0</v>
      </c>
      <c r="DF20" s="3">
        <v>502.88667857267478</v>
      </c>
      <c r="DG20" s="7" t="s">
        <v>100</v>
      </c>
      <c r="DH20" s="2" t="s">
        <v>28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7" t="s">
        <v>100</v>
      </c>
      <c r="DO20" s="2" t="s">
        <v>28</v>
      </c>
      <c r="DP20" s="3">
        <v>1036.6985557049441</v>
      </c>
      <c r="DQ20" s="3">
        <v>1021.8631169447528</v>
      </c>
      <c r="DR20" s="3">
        <v>0</v>
      </c>
      <c r="DS20" s="3">
        <v>0</v>
      </c>
      <c r="DT20" s="3">
        <v>2058.5616726496969</v>
      </c>
      <c r="DU20" s="7" t="s">
        <v>100</v>
      </c>
      <c r="DV20" s="2" t="s">
        <v>28</v>
      </c>
      <c r="DW20" s="3">
        <v>88554.198763306078</v>
      </c>
      <c r="DX20" s="3">
        <v>24255.919496826686</v>
      </c>
      <c r="DY20" s="3">
        <v>0</v>
      </c>
      <c r="DZ20" s="3">
        <v>0</v>
      </c>
      <c r="EA20" s="3">
        <v>112810.11826013276</v>
      </c>
      <c r="EB20" s="7" t="s">
        <v>100</v>
      </c>
      <c r="EC20" s="2" t="s">
        <v>28</v>
      </c>
      <c r="ED20" s="3">
        <v>442452.88220824942</v>
      </c>
      <c r="EE20" s="3">
        <v>454963.72899947234</v>
      </c>
      <c r="EF20" s="3">
        <v>78.727490069733719</v>
      </c>
      <c r="EG20" s="3">
        <v>0</v>
      </c>
      <c r="EH20" s="3">
        <v>897495.33869779145</v>
      </c>
    </row>
    <row r="21" spans="1:138" ht="10.199999999999999" customHeight="1" x14ac:dyDescent="0.2">
      <c r="A21" s="7" t="s">
        <v>108</v>
      </c>
      <c r="B21" s="2" t="s">
        <v>36</v>
      </c>
      <c r="C21" s="3">
        <f t="shared" si="4"/>
        <v>0</v>
      </c>
      <c r="D21" s="3">
        <f t="shared" si="5"/>
        <v>0</v>
      </c>
      <c r="E21" s="3">
        <f t="shared" si="6"/>
        <v>0</v>
      </c>
      <c r="F21" s="3">
        <f t="shared" si="7"/>
        <v>0</v>
      </c>
      <c r="G21" s="3">
        <f t="shared" si="8"/>
        <v>0</v>
      </c>
      <c r="H21" s="3">
        <f t="shared" si="9"/>
        <v>0</v>
      </c>
      <c r="I21" s="3">
        <f t="shared" si="10"/>
        <v>0</v>
      </c>
      <c r="J21" s="3">
        <f t="shared" si="11"/>
        <v>0</v>
      </c>
      <c r="K21" s="3">
        <f t="shared" si="12"/>
        <v>0</v>
      </c>
      <c r="L21" s="3">
        <f t="shared" si="13"/>
        <v>3219.4962221729456</v>
      </c>
      <c r="M21" s="3">
        <f t="shared" si="14"/>
        <v>374183.72105631523</v>
      </c>
      <c r="N21" s="3">
        <f t="shared" si="15"/>
        <v>12573.517670111049</v>
      </c>
      <c r="O21" s="3">
        <f t="shared" si="16"/>
        <v>389976.73494859919</v>
      </c>
      <c r="P21" s="7" t="s">
        <v>108</v>
      </c>
      <c r="Q21" s="2" t="s">
        <v>36</v>
      </c>
      <c r="R21" s="3">
        <f t="shared" si="17"/>
        <v>0</v>
      </c>
      <c r="S21" s="3">
        <f t="shared" si="17"/>
        <v>0</v>
      </c>
      <c r="T21" s="3">
        <f t="shared" si="17"/>
        <v>0</v>
      </c>
      <c r="U21" s="3">
        <f t="shared" si="17"/>
        <v>0</v>
      </c>
      <c r="V21" s="3">
        <f t="shared" si="17"/>
        <v>0</v>
      </c>
      <c r="W21" s="3">
        <f t="shared" si="17"/>
        <v>0</v>
      </c>
      <c r="X21" s="3">
        <f t="shared" si="17"/>
        <v>0</v>
      </c>
      <c r="Y21" s="3">
        <f t="shared" si="17"/>
        <v>0</v>
      </c>
      <c r="Z21" s="3">
        <f t="shared" si="17"/>
        <v>0</v>
      </c>
      <c r="AA21" s="3">
        <f t="shared" si="17"/>
        <v>3219.4962221729456</v>
      </c>
      <c r="AB21" s="3">
        <f t="shared" si="18"/>
        <v>3219.4962221729456</v>
      </c>
      <c r="AC21" s="7" t="s">
        <v>108</v>
      </c>
      <c r="AD21" s="2" t="s">
        <v>36</v>
      </c>
      <c r="AE21" s="3">
        <f t="shared" si="19"/>
        <v>374183.72105631523</v>
      </c>
      <c r="AF21" s="3">
        <f t="shared" si="19"/>
        <v>12573.517670111049</v>
      </c>
      <c r="AG21" s="3">
        <f t="shared" si="20"/>
        <v>386757.23872642627</v>
      </c>
      <c r="AH21" s="7" t="s">
        <v>108</v>
      </c>
      <c r="AI21" s="2" t="s">
        <v>36</v>
      </c>
      <c r="AJ21" s="3">
        <f t="shared" si="21"/>
        <v>317194.34648036287</v>
      </c>
      <c r="AK21" s="3">
        <f t="shared" si="21"/>
        <v>72782.388468236299</v>
      </c>
      <c r="AL21" s="3">
        <f t="shared" si="21"/>
        <v>0</v>
      </c>
      <c r="AM21" s="3">
        <f t="shared" si="21"/>
        <v>0</v>
      </c>
      <c r="AN21" s="3">
        <f t="shared" si="22"/>
        <v>389976.73494859919</v>
      </c>
      <c r="AO21" s="7" t="s">
        <v>108</v>
      </c>
      <c r="AP21" s="2" t="s">
        <v>36</v>
      </c>
      <c r="AQ21" s="3">
        <f t="shared" si="23"/>
        <v>3219.4962221729456</v>
      </c>
      <c r="AR21" s="3">
        <f t="shared" si="23"/>
        <v>0</v>
      </c>
      <c r="AS21" s="3">
        <f t="shared" si="23"/>
        <v>0</v>
      </c>
      <c r="AT21" s="3">
        <f t="shared" si="23"/>
        <v>0</v>
      </c>
      <c r="AU21" s="3">
        <f t="shared" si="24"/>
        <v>3219.4962221729456</v>
      </c>
      <c r="AV21" s="7" t="s">
        <v>108</v>
      </c>
      <c r="AW21" s="2" t="s">
        <v>36</v>
      </c>
      <c r="AX21" s="3">
        <f t="shared" si="25"/>
        <v>313974.85025818995</v>
      </c>
      <c r="AY21" s="3">
        <f t="shared" si="25"/>
        <v>72782.388468236299</v>
      </c>
      <c r="AZ21" s="3">
        <f t="shared" si="25"/>
        <v>0</v>
      </c>
      <c r="BA21" s="3">
        <f t="shared" si="25"/>
        <v>0</v>
      </c>
      <c r="BB21" s="3">
        <f t="shared" si="26"/>
        <v>386757.23872642627</v>
      </c>
      <c r="BC21" s="7" t="s">
        <v>108</v>
      </c>
      <c r="BD21" s="2" t="s">
        <v>36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7" t="s">
        <v>108</v>
      </c>
      <c r="BK21" s="2" t="s">
        <v>36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7" t="s">
        <v>108</v>
      </c>
      <c r="BR21" s="2" t="s">
        <v>36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7" t="s">
        <v>108</v>
      </c>
      <c r="BY21" s="2" t="s">
        <v>36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7" t="s">
        <v>108</v>
      </c>
      <c r="CF21" s="2" t="s">
        <v>36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7" t="s">
        <v>108</v>
      </c>
      <c r="CM21" s="2" t="s">
        <v>36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7" t="s">
        <v>108</v>
      </c>
      <c r="CT21" s="2" t="s">
        <v>36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7" t="s">
        <v>108</v>
      </c>
      <c r="DA21" s="2" t="s">
        <v>36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7" t="s">
        <v>108</v>
      </c>
      <c r="DH21" s="2" t="s">
        <v>36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7" t="s">
        <v>108</v>
      </c>
      <c r="DO21" s="2" t="s">
        <v>36</v>
      </c>
      <c r="DP21" s="3">
        <v>3219.4962221729456</v>
      </c>
      <c r="DQ21" s="3">
        <v>0</v>
      </c>
      <c r="DR21" s="3">
        <v>0</v>
      </c>
      <c r="DS21" s="3">
        <v>0</v>
      </c>
      <c r="DT21" s="3">
        <v>3219.4962221729456</v>
      </c>
      <c r="DU21" s="7" t="s">
        <v>108</v>
      </c>
      <c r="DV21" s="2" t="s">
        <v>36</v>
      </c>
      <c r="DW21" s="3">
        <v>12573.517670111049</v>
      </c>
      <c r="DX21" s="3">
        <v>0</v>
      </c>
      <c r="DY21" s="3">
        <v>0</v>
      </c>
      <c r="DZ21" s="3">
        <v>0</v>
      </c>
      <c r="EA21" s="3">
        <v>12573.517670111049</v>
      </c>
      <c r="EB21" s="7" t="s">
        <v>108</v>
      </c>
      <c r="EC21" s="2" t="s">
        <v>36</v>
      </c>
      <c r="ED21" s="3">
        <v>301401.33258807892</v>
      </c>
      <c r="EE21" s="3">
        <v>72782.388468236299</v>
      </c>
      <c r="EF21" s="3">
        <v>0</v>
      </c>
      <c r="EG21" s="3">
        <v>0</v>
      </c>
      <c r="EH21" s="3">
        <v>374183.72105631523</v>
      </c>
    </row>
    <row r="22" spans="1:138" ht="10.199999999999999" customHeight="1" x14ac:dyDescent="0.2">
      <c r="A22" s="7" t="s">
        <v>104</v>
      </c>
      <c r="B22" s="2" t="s">
        <v>32</v>
      </c>
      <c r="C22" s="3">
        <f t="shared" si="4"/>
        <v>0</v>
      </c>
      <c r="D22" s="3">
        <f t="shared" si="5"/>
        <v>0</v>
      </c>
      <c r="E22" s="3">
        <f t="shared" si="6"/>
        <v>0</v>
      </c>
      <c r="F22" s="3">
        <f t="shared" si="7"/>
        <v>0</v>
      </c>
      <c r="G22" s="3">
        <f t="shared" si="8"/>
        <v>0</v>
      </c>
      <c r="H22" s="3">
        <f t="shared" si="9"/>
        <v>0</v>
      </c>
      <c r="I22" s="3">
        <f t="shared" si="10"/>
        <v>0</v>
      </c>
      <c r="J22" s="3">
        <f t="shared" si="11"/>
        <v>1774.8033951913212</v>
      </c>
      <c r="K22" s="3">
        <f t="shared" si="12"/>
        <v>11.61260928335931</v>
      </c>
      <c r="L22" s="3">
        <f t="shared" si="13"/>
        <v>1403494.7659818747</v>
      </c>
      <c r="M22" s="3">
        <f t="shared" si="14"/>
        <v>650819.4791596639</v>
      </c>
      <c r="N22" s="3">
        <f t="shared" si="15"/>
        <v>1135881.1295288326</v>
      </c>
      <c r="O22" s="3">
        <f t="shared" si="16"/>
        <v>3191981.7906748457</v>
      </c>
      <c r="P22" s="7" t="s">
        <v>104</v>
      </c>
      <c r="Q22" s="2" t="s">
        <v>32</v>
      </c>
      <c r="R22" s="3">
        <f t="shared" si="17"/>
        <v>0</v>
      </c>
      <c r="S22" s="3">
        <f t="shared" si="17"/>
        <v>0</v>
      </c>
      <c r="T22" s="3">
        <f t="shared" si="17"/>
        <v>0</v>
      </c>
      <c r="U22" s="3">
        <f t="shared" si="17"/>
        <v>0</v>
      </c>
      <c r="V22" s="3">
        <f t="shared" si="17"/>
        <v>0</v>
      </c>
      <c r="W22" s="3">
        <f t="shared" si="17"/>
        <v>0</v>
      </c>
      <c r="X22" s="3">
        <f t="shared" si="17"/>
        <v>0</v>
      </c>
      <c r="Y22" s="3">
        <f t="shared" si="17"/>
        <v>1774.8033951913212</v>
      </c>
      <c r="Z22" s="3">
        <f t="shared" si="17"/>
        <v>11.61260928335931</v>
      </c>
      <c r="AA22" s="3">
        <f t="shared" si="17"/>
        <v>1403494.7659818747</v>
      </c>
      <c r="AB22" s="3">
        <f t="shared" si="18"/>
        <v>1405281.1819863494</v>
      </c>
      <c r="AC22" s="7" t="s">
        <v>104</v>
      </c>
      <c r="AD22" s="2" t="s">
        <v>32</v>
      </c>
      <c r="AE22" s="3">
        <f t="shared" si="19"/>
        <v>650819.4791596639</v>
      </c>
      <c r="AF22" s="3">
        <f t="shared" si="19"/>
        <v>1135881.1295288326</v>
      </c>
      <c r="AG22" s="3">
        <f t="shared" si="20"/>
        <v>1786700.6086884965</v>
      </c>
      <c r="AH22" s="7" t="s">
        <v>104</v>
      </c>
      <c r="AI22" s="2" t="s">
        <v>32</v>
      </c>
      <c r="AJ22" s="3">
        <f t="shared" si="21"/>
        <v>1425158.0634222899</v>
      </c>
      <c r="AK22" s="3">
        <f t="shared" si="21"/>
        <v>339728.56344238948</v>
      </c>
      <c r="AL22" s="3">
        <f t="shared" si="21"/>
        <v>27723.291327835512</v>
      </c>
      <c r="AM22" s="3">
        <f t="shared" si="21"/>
        <v>1399371.872482331</v>
      </c>
      <c r="AN22" s="3">
        <f t="shared" si="22"/>
        <v>3191981.7906748457</v>
      </c>
      <c r="AO22" s="7" t="s">
        <v>104</v>
      </c>
      <c r="AP22" s="2" t="s">
        <v>32</v>
      </c>
      <c r="AQ22" s="3">
        <f t="shared" si="23"/>
        <v>5794.7923539206313</v>
      </c>
      <c r="AR22" s="3">
        <f t="shared" si="23"/>
        <v>114.51715009772617</v>
      </c>
      <c r="AS22" s="3">
        <f t="shared" si="23"/>
        <v>0</v>
      </c>
      <c r="AT22" s="3">
        <f t="shared" si="23"/>
        <v>1399371.872482331</v>
      </c>
      <c r="AU22" s="3">
        <f t="shared" si="24"/>
        <v>1405281.1819863494</v>
      </c>
      <c r="AV22" s="7" t="s">
        <v>104</v>
      </c>
      <c r="AW22" s="2" t="s">
        <v>32</v>
      </c>
      <c r="AX22" s="3">
        <f t="shared" si="25"/>
        <v>1419363.2710683693</v>
      </c>
      <c r="AY22" s="3">
        <f t="shared" si="25"/>
        <v>339614.04629229178</v>
      </c>
      <c r="AZ22" s="3">
        <f t="shared" si="25"/>
        <v>27723.291327835512</v>
      </c>
      <c r="BA22" s="3">
        <f t="shared" si="25"/>
        <v>0</v>
      </c>
      <c r="BB22" s="3">
        <f t="shared" si="26"/>
        <v>1786700.6086884965</v>
      </c>
      <c r="BC22" s="7" t="s">
        <v>104</v>
      </c>
      <c r="BD22" s="2" t="s">
        <v>32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7" t="s">
        <v>104</v>
      </c>
      <c r="BK22" s="2" t="s">
        <v>32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7" t="s">
        <v>104</v>
      </c>
      <c r="BR22" s="2" t="s">
        <v>32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7" t="s">
        <v>104</v>
      </c>
      <c r="BY22" s="2" t="s">
        <v>32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7" t="s">
        <v>104</v>
      </c>
      <c r="CF22" s="2" t="s">
        <v>32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7" t="s">
        <v>104</v>
      </c>
      <c r="CM22" s="2" t="s">
        <v>32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7" t="s">
        <v>104</v>
      </c>
      <c r="CT22" s="2" t="s">
        <v>32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7" t="s">
        <v>104</v>
      </c>
      <c r="DA22" s="2" t="s">
        <v>32</v>
      </c>
      <c r="DB22" s="3">
        <v>11.61260928335931</v>
      </c>
      <c r="DC22" s="3">
        <v>0</v>
      </c>
      <c r="DD22" s="3">
        <v>0</v>
      </c>
      <c r="DE22" s="3">
        <v>0</v>
      </c>
      <c r="DF22" s="3">
        <v>11.61260928335931</v>
      </c>
      <c r="DG22" s="7" t="s">
        <v>104</v>
      </c>
      <c r="DH22" s="2" t="s">
        <v>32</v>
      </c>
      <c r="DI22" s="3">
        <v>1774.8033951913212</v>
      </c>
      <c r="DJ22" s="3">
        <v>0</v>
      </c>
      <c r="DK22" s="3">
        <v>0</v>
      </c>
      <c r="DL22" s="3">
        <v>0</v>
      </c>
      <c r="DM22" s="3">
        <v>1774.8033951913212</v>
      </c>
      <c r="DN22" s="7" t="s">
        <v>104</v>
      </c>
      <c r="DO22" s="2" t="s">
        <v>32</v>
      </c>
      <c r="DP22" s="3">
        <v>4008.3763494459513</v>
      </c>
      <c r="DQ22" s="3">
        <v>114.51715009772617</v>
      </c>
      <c r="DR22" s="3">
        <v>0</v>
      </c>
      <c r="DS22" s="3">
        <v>1399371.872482331</v>
      </c>
      <c r="DT22" s="3">
        <v>1403494.7659818747</v>
      </c>
      <c r="DU22" s="7" t="s">
        <v>104</v>
      </c>
      <c r="DV22" s="2" t="s">
        <v>32</v>
      </c>
      <c r="DW22" s="3">
        <v>886200.44504793128</v>
      </c>
      <c r="DX22" s="3">
        <v>221957.39315306593</v>
      </c>
      <c r="DY22" s="3">
        <v>27723.291327835512</v>
      </c>
      <c r="DZ22" s="3">
        <v>0</v>
      </c>
      <c r="EA22" s="3">
        <v>1135881.1295288326</v>
      </c>
      <c r="EB22" s="7" t="s">
        <v>104</v>
      </c>
      <c r="EC22" s="2" t="s">
        <v>32</v>
      </c>
      <c r="ED22" s="3">
        <v>533162.82602043799</v>
      </c>
      <c r="EE22" s="3">
        <v>117656.65313922585</v>
      </c>
      <c r="EF22" s="3">
        <v>0</v>
      </c>
      <c r="EG22" s="3">
        <v>0</v>
      </c>
      <c r="EH22" s="3">
        <v>650819.4791596639</v>
      </c>
    </row>
    <row r="23" spans="1:138" ht="10.199999999999999" customHeight="1" x14ac:dyDescent="0.2">
      <c r="A23" s="7" t="s">
        <v>105</v>
      </c>
      <c r="B23" s="2" t="s">
        <v>33</v>
      </c>
      <c r="C23" s="3">
        <f t="shared" si="4"/>
        <v>0</v>
      </c>
      <c r="D23" s="3">
        <f t="shared" si="5"/>
        <v>14453.184798843364</v>
      </c>
      <c r="E23" s="3">
        <f t="shared" si="6"/>
        <v>89.697395843878809</v>
      </c>
      <c r="F23" s="3">
        <f t="shared" si="7"/>
        <v>168.18261720727278</v>
      </c>
      <c r="G23" s="3">
        <f t="shared" si="8"/>
        <v>1539228.3795505692</v>
      </c>
      <c r="H23" s="3">
        <f t="shared" si="9"/>
        <v>0</v>
      </c>
      <c r="I23" s="3">
        <f t="shared" si="10"/>
        <v>219.43827197520352</v>
      </c>
      <c r="J23" s="3">
        <f t="shared" si="11"/>
        <v>0</v>
      </c>
      <c r="K23" s="3">
        <f t="shared" si="12"/>
        <v>0</v>
      </c>
      <c r="L23" s="3">
        <f t="shared" si="13"/>
        <v>11805.609075083419</v>
      </c>
      <c r="M23" s="3">
        <f t="shared" si="14"/>
        <v>1868415.239978614</v>
      </c>
      <c r="N23" s="3">
        <f t="shared" si="15"/>
        <v>246428.99808963769</v>
      </c>
      <c r="O23" s="3">
        <f t="shared" si="16"/>
        <v>3680808.7297777738</v>
      </c>
      <c r="P23" s="7" t="s">
        <v>105</v>
      </c>
      <c r="Q23" s="2" t="s">
        <v>33</v>
      </c>
      <c r="R23" s="3">
        <f t="shared" si="17"/>
        <v>0</v>
      </c>
      <c r="S23" s="3">
        <f t="shared" si="17"/>
        <v>14453.184798843364</v>
      </c>
      <c r="T23" s="3">
        <f t="shared" si="17"/>
        <v>89.697395843878809</v>
      </c>
      <c r="U23" s="3">
        <f t="shared" si="17"/>
        <v>168.18261720727278</v>
      </c>
      <c r="V23" s="3">
        <f t="shared" si="17"/>
        <v>1539228.3795505692</v>
      </c>
      <c r="W23" s="3">
        <f t="shared" si="17"/>
        <v>0</v>
      </c>
      <c r="X23" s="3">
        <f t="shared" si="17"/>
        <v>219.43827197520352</v>
      </c>
      <c r="Y23" s="3">
        <f t="shared" si="17"/>
        <v>0</v>
      </c>
      <c r="Z23" s="3">
        <f t="shared" si="17"/>
        <v>0</v>
      </c>
      <c r="AA23" s="3">
        <f t="shared" si="17"/>
        <v>11805.609075083419</v>
      </c>
      <c r="AB23" s="3">
        <f t="shared" si="18"/>
        <v>1565964.4917095222</v>
      </c>
      <c r="AC23" s="7" t="s">
        <v>105</v>
      </c>
      <c r="AD23" s="2" t="s">
        <v>33</v>
      </c>
      <c r="AE23" s="3">
        <f t="shared" si="19"/>
        <v>1868415.239978614</v>
      </c>
      <c r="AF23" s="3">
        <f t="shared" si="19"/>
        <v>246428.99808963769</v>
      </c>
      <c r="AG23" s="3">
        <f t="shared" si="20"/>
        <v>2114844.2380682519</v>
      </c>
      <c r="AH23" s="7" t="s">
        <v>105</v>
      </c>
      <c r="AI23" s="2" t="s">
        <v>33</v>
      </c>
      <c r="AJ23" s="3">
        <f t="shared" si="21"/>
        <v>3644091.8359858226</v>
      </c>
      <c r="AK23" s="3">
        <f t="shared" si="21"/>
        <v>36716.893791951152</v>
      </c>
      <c r="AL23" s="3">
        <f t="shared" si="21"/>
        <v>0</v>
      </c>
      <c r="AM23" s="3">
        <f t="shared" si="21"/>
        <v>0</v>
      </c>
      <c r="AN23" s="3">
        <f t="shared" si="22"/>
        <v>3680808.7297777738</v>
      </c>
      <c r="AO23" s="7" t="s">
        <v>105</v>
      </c>
      <c r="AP23" s="2" t="s">
        <v>33</v>
      </c>
      <c r="AQ23" s="3">
        <f t="shared" si="23"/>
        <v>1558476.1786514525</v>
      </c>
      <c r="AR23" s="3">
        <f t="shared" si="23"/>
        <v>7488.3130580696106</v>
      </c>
      <c r="AS23" s="3">
        <f t="shared" si="23"/>
        <v>0</v>
      </c>
      <c r="AT23" s="3">
        <f t="shared" si="23"/>
        <v>0</v>
      </c>
      <c r="AU23" s="3">
        <f t="shared" si="24"/>
        <v>1565964.4917095222</v>
      </c>
      <c r="AV23" s="7" t="s">
        <v>105</v>
      </c>
      <c r="AW23" s="2" t="s">
        <v>33</v>
      </c>
      <c r="AX23" s="3">
        <f t="shared" si="25"/>
        <v>2085615.6573343701</v>
      </c>
      <c r="AY23" s="3">
        <f t="shared" si="25"/>
        <v>29228.580733881543</v>
      </c>
      <c r="AZ23" s="3">
        <f t="shared" si="25"/>
        <v>0</v>
      </c>
      <c r="BA23" s="3">
        <f t="shared" si="25"/>
        <v>0</v>
      </c>
      <c r="BB23" s="3">
        <f t="shared" si="26"/>
        <v>2114844.2380682514</v>
      </c>
      <c r="BC23" s="7" t="s">
        <v>105</v>
      </c>
      <c r="BD23" s="2" t="s">
        <v>33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7" t="s">
        <v>105</v>
      </c>
      <c r="BK23" s="2" t="s">
        <v>33</v>
      </c>
      <c r="BL23" s="3">
        <v>14453.184798843364</v>
      </c>
      <c r="BM23" s="3">
        <v>0</v>
      </c>
      <c r="BN23" s="3">
        <v>0</v>
      </c>
      <c r="BO23" s="3">
        <v>0</v>
      </c>
      <c r="BP23" s="3">
        <v>14453.184798843364</v>
      </c>
      <c r="BQ23" s="7" t="s">
        <v>105</v>
      </c>
      <c r="BR23" s="2" t="s">
        <v>33</v>
      </c>
      <c r="BS23" s="3">
        <v>89.697395843878809</v>
      </c>
      <c r="BT23" s="3">
        <v>0</v>
      </c>
      <c r="BU23" s="3">
        <v>0</v>
      </c>
      <c r="BV23" s="3">
        <v>0</v>
      </c>
      <c r="BW23" s="3">
        <v>89.697395843878809</v>
      </c>
      <c r="BX23" s="7" t="s">
        <v>105</v>
      </c>
      <c r="BY23" s="2" t="s">
        <v>33</v>
      </c>
      <c r="BZ23" s="3">
        <v>168.18261720727278</v>
      </c>
      <c r="CA23" s="3">
        <v>0</v>
      </c>
      <c r="CB23" s="3">
        <v>0</v>
      </c>
      <c r="CC23" s="3">
        <v>0</v>
      </c>
      <c r="CD23" s="3">
        <v>168.18261720727278</v>
      </c>
      <c r="CE23" s="7" t="s">
        <v>105</v>
      </c>
      <c r="CF23" s="2" t="s">
        <v>33</v>
      </c>
      <c r="CG23" s="3">
        <v>1531740.0664924996</v>
      </c>
      <c r="CH23" s="3">
        <v>7488.3130580696106</v>
      </c>
      <c r="CI23" s="3">
        <v>0</v>
      </c>
      <c r="CJ23" s="3">
        <v>0</v>
      </c>
      <c r="CK23" s="3">
        <v>1539228.3795505692</v>
      </c>
      <c r="CL23" s="7" t="s">
        <v>105</v>
      </c>
      <c r="CM23" s="2" t="s">
        <v>33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7" t="s">
        <v>105</v>
      </c>
      <c r="CT23" s="2" t="s">
        <v>33</v>
      </c>
      <c r="CU23" s="3">
        <v>219.43827197520352</v>
      </c>
      <c r="CV23" s="3">
        <v>0</v>
      </c>
      <c r="CW23" s="3">
        <v>0</v>
      </c>
      <c r="CX23" s="3">
        <v>0</v>
      </c>
      <c r="CY23" s="3">
        <v>219.43827197520352</v>
      </c>
      <c r="CZ23" s="7" t="s">
        <v>105</v>
      </c>
      <c r="DA23" s="2" t="s">
        <v>33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7" t="s">
        <v>105</v>
      </c>
      <c r="DH23" s="2" t="s">
        <v>33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7" t="s">
        <v>105</v>
      </c>
      <c r="DO23" s="2" t="s">
        <v>33</v>
      </c>
      <c r="DP23" s="3">
        <v>11805.609075083419</v>
      </c>
      <c r="DQ23" s="3">
        <v>0</v>
      </c>
      <c r="DR23" s="3">
        <v>0</v>
      </c>
      <c r="DS23" s="3">
        <v>0</v>
      </c>
      <c r="DT23" s="3">
        <v>11805.609075083419</v>
      </c>
      <c r="DU23" s="7" t="s">
        <v>105</v>
      </c>
      <c r="DV23" s="2" t="s">
        <v>33</v>
      </c>
      <c r="DW23" s="3">
        <v>242760.66842227316</v>
      </c>
      <c r="DX23" s="3">
        <v>3668.3296673645473</v>
      </c>
      <c r="DY23" s="3">
        <v>0</v>
      </c>
      <c r="DZ23" s="3">
        <v>0</v>
      </c>
      <c r="EA23" s="3">
        <v>246428.99808963769</v>
      </c>
      <c r="EB23" s="7" t="s">
        <v>105</v>
      </c>
      <c r="EC23" s="2" t="s">
        <v>33</v>
      </c>
      <c r="ED23" s="3">
        <v>1842854.9889120969</v>
      </c>
      <c r="EE23" s="3">
        <v>25560.251066516994</v>
      </c>
      <c r="EF23" s="3">
        <v>0</v>
      </c>
      <c r="EG23" s="3">
        <v>0</v>
      </c>
      <c r="EH23" s="3">
        <v>1868415.239978614</v>
      </c>
    </row>
    <row r="24" spans="1:138" ht="10.199999999999999" customHeight="1" x14ac:dyDescent="0.2">
      <c r="A24" s="7" t="s">
        <v>109</v>
      </c>
      <c r="B24" s="2" t="s">
        <v>37</v>
      </c>
      <c r="C24" s="3">
        <f t="shared" si="4"/>
        <v>0</v>
      </c>
      <c r="D24" s="3">
        <f t="shared" si="5"/>
        <v>0</v>
      </c>
      <c r="E24" s="3">
        <f t="shared" si="6"/>
        <v>0</v>
      </c>
      <c r="F24" s="3">
        <f t="shared" si="7"/>
        <v>154956.85912591987</v>
      </c>
      <c r="G24" s="3">
        <f t="shared" si="8"/>
        <v>119968.84756605192</v>
      </c>
      <c r="H24" s="3">
        <f t="shared" si="9"/>
        <v>0</v>
      </c>
      <c r="I24" s="3">
        <f t="shared" si="10"/>
        <v>16674.246648147211</v>
      </c>
      <c r="J24" s="3">
        <f t="shared" si="11"/>
        <v>0</v>
      </c>
      <c r="K24" s="3">
        <f t="shared" si="12"/>
        <v>15600.652204311689</v>
      </c>
      <c r="L24" s="3">
        <f t="shared" si="13"/>
        <v>4301.8336169357162</v>
      </c>
      <c r="M24" s="3">
        <f t="shared" si="14"/>
        <v>1740827.0843897106</v>
      </c>
      <c r="N24" s="3">
        <f t="shared" si="15"/>
        <v>60704.61431936091</v>
      </c>
      <c r="O24" s="3">
        <f t="shared" si="16"/>
        <v>2113034.1378704379</v>
      </c>
      <c r="P24" s="7" t="s">
        <v>109</v>
      </c>
      <c r="Q24" s="2" t="s">
        <v>37</v>
      </c>
      <c r="R24" s="3">
        <f t="shared" si="17"/>
        <v>0</v>
      </c>
      <c r="S24" s="3">
        <f t="shared" si="17"/>
        <v>0</v>
      </c>
      <c r="T24" s="3">
        <f t="shared" si="17"/>
        <v>0</v>
      </c>
      <c r="U24" s="3">
        <f t="shared" si="17"/>
        <v>154956.85912591987</v>
      </c>
      <c r="V24" s="3">
        <f t="shared" si="17"/>
        <v>119968.84756605192</v>
      </c>
      <c r="W24" s="3">
        <f t="shared" si="17"/>
        <v>0</v>
      </c>
      <c r="X24" s="3">
        <f t="shared" si="17"/>
        <v>16674.246648147211</v>
      </c>
      <c r="Y24" s="3">
        <f t="shared" si="17"/>
        <v>0</v>
      </c>
      <c r="Z24" s="3">
        <f t="shared" si="17"/>
        <v>15600.652204311689</v>
      </c>
      <c r="AA24" s="3">
        <f t="shared" si="17"/>
        <v>4301.8336169357162</v>
      </c>
      <c r="AB24" s="3">
        <f t="shared" si="18"/>
        <v>311502.43916136643</v>
      </c>
      <c r="AC24" s="7" t="s">
        <v>109</v>
      </c>
      <c r="AD24" s="2" t="s">
        <v>37</v>
      </c>
      <c r="AE24" s="3">
        <f t="shared" si="19"/>
        <v>1740827.0843897106</v>
      </c>
      <c r="AF24" s="3">
        <f t="shared" si="19"/>
        <v>60704.61431936091</v>
      </c>
      <c r="AG24" s="3">
        <f t="shared" si="20"/>
        <v>1801531.6987090714</v>
      </c>
      <c r="AH24" s="7" t="s">
        <v>109</v>
      </c>
      <c r="AI24" s="2" t="s">
        <v>37</v>
      </c>
      <c r="AJ24" s="3">
        <f t="shared" si="21"/>
        <v>1194048.8444419377</v>
      </c>
      <c r="AK24" s="3">
        <f t="shared" si="21"/>
        <v>914663.99355743965</v>
      </c>
      <c r="AL24" s="3">
        <f t="shared" si="21"/>
        <v>4321.2998710603433</v>
      </c>
      <c r="AM24" s="3">
        <f t="shared" si="21"/>
        <v>0</v>
      </c>
      <c r="AN24" s="3">
        <f t="shared" si="22"/>
        <v>2113034.1378704379</v>
      </c>
      <c r="AO24" s="7" t="s">
        <v>109</v>
      </c>
      <c r="AP24" s="2" t="s">
        <v>37</v>
      </c>
      <c r="AQ24" s="3">
        <f t="shared" si="23"/>
        <v>147338.18588118596</v>
      </c>
      <c r="AR24" s="3">
        <f t="shared" si="23"/>
        <v>164164.25328018045</v>
      </c>
      <c r="AS24" s="3">
        <f t="shared" si="23"/>
        <v>0</v>
      </c>
      <c r="AT24" s="3">
        <f t="shared" si="23"/>
        <v>0</v>
      </c>
      <c r="AU24" s="3">
        <f t="shared" si="24"/>
        <v>311502.43916136643</v>
      </c>
      <c r="AV24" s="7" t="s">
        <v>109</v>
      </c>
      <c r="AW24" s="2" t="s">
        <v>37</v>
      </c>
      <c r="AX24" s="3">
        <f t="shared" si="25"/>
        <v>1046710.6585607518</v>
      </c>
      <c r="AY24" s="3">
        <f t="shared" si="25"/>
        <v>750499.74027725926</v>
      </c>
      <c r="AZ24" s="3">
        <f t="shared" si="25"/>
        <v>4321.2998710603433</v>
      </c>
      <c r="BA24" s="3">
        <f t="shared" si="25"/>
        <v>0</v>
      </c>
      <c r="BB24" s="3">
        <f t="shared" si="26"/>
        <v>1801531.6987090714</v>
      </c>
      <c r="BC24" s="7" t="s">
        <v>109</v>
      </c>
      <c r="BD24" s="2" t="s">
        <v>37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7" t="s">
        <v>109</v>
      </c>
      <c r="BK24" s="2" t="s">
        <v>37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7" t="s">
        <v>109</v>
      </c>
      <c r="BR24" s="2" t="s">
        <v>37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7" t="s">
        <v>109</v>
      </c>
      <c r="BY24" s="2" t="s">
        <v>37</v>
      </c>
      <c r="BZ24" s="3">
        <v>0</v>
      </c>
      <c r="CA24" s="3">
        <v>154956.85912591987</v>
      </c>
      <c r="CB24" s="3">
        <v>0</v>
      </c>
      <c r="CC24" s="3">
        <v>0</v>
      </c>
      <c r="CD24" s="3">
        <v>154956.85912591987</v>
      </c>
      <c r="CE24" s="7" t="s">
        <v>109</v>
      </c>
      <c r="CF24" s="2" t="s">
        <v>37</v>
      </c>
      <c r="CG24" s="3">
        <v>110761.45341179134</v>
      </c>
      <c r="CH24" s="3">
        <v>9207.3941542605789</v>
      </c>
      <c r="CI24" s="3">
        <v>0</v>
      </c>
      <c r="CJ24" s="3">
        <v>0</v>
      </c>
      <c r="CK24" s="3">
        <v>119968.84756605192</v>
      </c>
      <c r="CL24" s="7" t="s">
        <v>109</v>
      </c>
      <c r="CM24" s="2" t="s">
        <v>37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7" t="s">
        <v>109</v>
      </c>
      <c r="CT24" s="2" t="s">
        <v>37</v>
      </c>
      <c r="CU24" s="3">
        <v>16674.246648147211</v>
      </c>
      <c r="CV24" s="3">
        <v>0</v>
      </c>
      <c r="CW24" s="3">
        <v>0</v>
      </c>
      <c r="CX24" s="3">
        <v>0</v>
      </c>
      <c r="CY24" s="3">
        <v>16674.246648147211</v>
      </c>
      <c r="CZ24" s="7" t="s">
        <v>109</v>
      </c>
      <c r="DA24" s="2" t="s">
        <v>37</v>
      </c>
      <c r="DB24" s="3">
        <v>15600.652204311689</v>
      </c>
      <c r="DC24" s="3">
        <v>0</v>
      </c>
      <c r="DD24" s="3">
        <v>0</v>
      </c>
      <c r="DE24" s="3">
        <v>0</v>
      </c>
      <c r="DF24" s="3">
        <v>15600.652204311689</v>
      </c>
      <c r="DG24" s="7" t="s">
        <v>109</v>
      </c>
      <c r="DH24" s="2" t="s">
        <v>37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7" t="s">
        <v>109</v>
      </c>
      <c r="DO24" s="2" t="s">
        <v>37</v>
      </c>
      <c r="DP24" s="3">
        <v>4301.8336169357162</v>
      </c>
      <c r="DQ24" s="3">
        <v>0</v>
      </c>
      <c r="DR24" s="3">
        <v>0</v>
      </c>
      <c r="DS24" s="3">
        <v>0</v>
      </c>
      <c r="DT24" s="3">
        <v>4301.8336169357162</v>
      </c>
      <c r="DU24" s="7" t="s">
        <v>109</v>
      </c>
      <c r="DV24" s="2" t="s">
        <v>37</v>
      </c>
      <c r="DW24" s="3">
        <v>60147.55934121403</v>
      </c>
      <c r="DX24" s="3">
        <v>557.05497814687669</v>
      </c>
      <c r="DY24" s="3">
        <v>0</v>
      </c>
      <c r="DZ24" s="3">
        <v>0</v>
      </c>
      <c r="EA24" s="3">
        <v>60704.61431936091</v>
      </c>
      <c r="EB24" s="7" t="s">
        <v>109</v>
      </c>
      <c r="EC24" s="2" t="s">
        <v>37</v>
      </c>
      <c r="ED24" s="3">
        <v>986563.09921953781</v>
      </c>
      <c r="EE24" s="3">
        <v>749942.68529911235</v>
      </c>
      <c r="EF24" s="3">
        <v>4321.2998710603433</v>
      </c>
      <c r="EG24" s="3">
        <v>0</v>
      </c>
      <c r="EH24" s="3">
        <v>1740827.0843897106</v>
      </c>
    </row>
    <row r="25" spans="1:138" ht="10.199999999999999" customHeight="1" x14ac:dyDescent="0.2">
      <c r="A25" s="7" t="s">
        <v>96</v>
      </c>
      <c r="B25" s="2" t="s">
        <v>24</v>
      </c>
      <c r="C25" s="3">
        <f t="shared" si="4"/>
        <v>0</v>
      </c>
      <c r="D25" s="3">
        <f t="shared" si="5"/>
        <v>4256.4005975687678</v>
      </c>
      <c r="E25" s="3">
        <f t="shared" si="6"/>
        <v>0</v>
      </c>
      <c r="F25" s="3">
        <f t="shared" si="7"/>
        <v>30496.657560518972</v>
      </c>
      <c r="G25" s="3">
        <f t="shared" si="8"/>
        <v>33799.922518212712</v>
      </c>
      <c r="H25" s="3">
        <f t="shared" si="9"/>
        <v>0</v>
      </c>
      <c r="I25" s="3">
        <f t="shared" si="10"/>
        <v>3036989.7549031563</v>
      </c>
      <c r="J25" s="3">
        <f t="shared" si="11"/>
        <v>0</v>
      </c>
      <c r="K25" s="3">
        <f t="shared" si="12"/>
        <v>3220.9689640829101</v>
      </c>
      <c r="L25" s="3">
        <f t="shared" si="13"/>
        <v>2599.8765728179587</v>
      </c>
      <c r="M25" s="3">
        <f t="shared" si="14"/>
        <v>2333482.1892714323</v>
      </c>
      <c r="N25" s="3">
        <f t="shared" si="15"/>
        <v>1130068.0857235936</v>
      </c>
      <c r="O25" s="3">
        <f t="shared" si="16"/>
        <v>6574913.856111384</v>
      </c>
      <c r="P25" s="7" t="s">
        <v>96</v>
      </c>
      <c r="Q25" s="2" t="s">
        <v>24</v>
      </c>
      <c r="R25" s="3">
        <f t="shared" si="17"/>
        <v>0</v>
      </c>
      <c r="S25" s="3">
        <f t="shared" si="17"/>
        <v>4256.4005975687678</v>
      </c>
      <c r="T25" s="3">
        <f t="shared" si="17"/>
        <v>0</v>
      </c>
      <c r="U25" s="3">
        <f t="shared" si="17"/>
        <v>30496.657560518972</v>
      </c>
      <c r="V25" s="3">
        <f t="shared" si="17"/>
        <v>33799.922518212712</v>
      </c>
      <c r="W25" s="3">
        <f t="shared" si="17"/>
        <v>0</v>
      </c>
      <c r="X25" s="3">
        <f t="shared" si="17"/>
        <v>3036989.7549031563</v>
      </c>
      <c r="Y25" s="3">
        <f t="shared" si="17"/>
        <v>0</v>
      </c>
      <c r="Z25" s="3">
        <f t="shared" si="17"/>
        <v>3220.9689640829101</v>
      </c>
      <c r="AA25" s="3">
        <f t="shared" si="17"/>
        <v>2599.8765728179587</v>
      </c>
      <c r="AB25" s="3">
        <f t="shared" si="18"/>
        <v>3111363.5811163578</v>
      </c>
      <c r="AC25" s="7" t="s">
        <v>96</v>
      </c>
      <c r="AD25" s="2" t="s">
        <v>24</v>
      </c>
      <c r="AE25" s="3">
        <f t="shared" si="19"/>
        <v>2333482.1892714323</v>
      </c>
      <c r="AF25" s="3">
        <f t="shared" si="19"/>
        <v>1130068.0857235936</v>
      </c>
      <c r="AG25" s="3">
        <f t="shared" si="20"/>
        <v>3463550.2749950262</v>
      </c>
      <c r="AH25" s="7" t="s">
        <v>96</v>
      </c>
      <c r="AI25" s="2" t="s">
        <v>24</v>
      </c>
      <c r="AJ25" s="3">
        <f t="shared" si="21"/>
        <v>6174808.0990346763</v>
      </c>
      <c r="AK25" s="3">
        <f t="shared" si="21"/>
        <v>399713.60679277789</v>
      </c>
      <c r="AL25" s="3">
        <f t="shared" si="21"/>
        <v>392.15028392903247</v>
      </c>
      <c r="AM25" s="3">
        <f t="shared" si="21"/>
        <v>0</v>
      </c>
      <c r="AN25" s="3">
        <f t="shared" si="22"/>
        <v>6574913.8561113831</v>
      </c>
      <c r="AO25" s="7" t="s">
        <v>96</v>
      </c>
      <c r="AP25" s="2" t="s">
        <v>24</v>
      </c>
      <c r="AQ25" s="3">
        <f t="shared" si="23"/>
        <v>3053634.8905140255</v>
      </c>
      <c r="AR25" s="3">
        <f t="shared" si="23"/>
        <v>57728.690602332499</v>
      </c>
      <c r="AS25" s="3">
        <f t="shared" si="23"/>
        <v>0</v>
      </c>
      <c r="AT25" s="3">
        <f t="shared" si="23"/>
        <v>0</v>
      </c>
      <c r="AU25" s="3">
        <f t="shared" si="24"/>
        <v>3111363.5811163578</v>
      </c>
      <c r="AV25" s="7" t="s">
        <v>96</v>
      </c>
      <c r="AW25" s="2" t="s">
        <v>24</v>
      </c>
      <c r="AX25" s="3">
        <f t="shared" si="25"/>
        <v>3121173.2085206513</v>
      </c>
      <c r="AY25" s="3">
        <f t="shared" si="25"/>
        <v>341984.91619044542</v>
      </c>
      <c r="AZ25" s="3">
        <f t="shared" si="25"/>
        <v>392.15028392903247</v>
      </c>
      <c r="BA25" s="3">
        <f t="shared" si="25"/>
        <v>0</v>
      </c>
      <c r="BB25" s="3">
        <f t="shared" si="26"/>
        <v>3463550.2749950257</v>
      </c>
      <c r="BC25" s="7" t="s">
        <v>96</v>
      </c>
      <c r="BD25" s="2" t="s">
        <v>24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7" t="s">
        <v>96</v>
      </c>
      <c r="BK25" s="2" t="s">
        <v>24</v>
      </c>
      <c r="BL25" s="3">
        <v>4246.7901622997806</v>
      </c>
      <c r="BM25" s="3">
        <v>9.6104352689870165</v>
      </c>
      <c r="BN25" s="3">
        <v>0</v>
      </c>
      <c r="BO25" s="3">
        <v>0</v>
      </c>
      <c r="BP25" s="3">
        <v>4256.4005975687678</v>
      </c>
      <c r="BQ25" s="7" t="s">
        <v>96</v>
      </c>
      <c r="BR25" s="2" t="s">
        <v>24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7" t="s">
        <v>96</v>
      </c>
      <c r="BY25" s="2" t="s">
        <v>24</v>
      </c>
      <c r="BZ25" s="3">
        <v>493.33567714133358</v>
      </c>
      <c r="CA25" s="3">
        <v>30003.321883377637</v>
      </c>
      <c r="CB25" s="3">
        <v>0</v>
      </c>
      <c r="CC25" s="3">
        <v>0</v>
      </c>
      <c r="CD25" s="3">
        <v>30496.657560518972</v>
      </c>
      <c r="CE25" s="7" t="s">
        <v>96</v>
      </c>
      <c r="CF25" s="2" t="s">
        <v>24</v>
      </c>
      <c r="CG25" s="3">
        <v>17714.337811466095</v>
      </c>
      <c r="CH25" s="3">
        <v>16085.584706746617</v>
      </c>
      <c r="CI25" s="3">
        <v>0</v>
      </c>
      <c r="CJ25" s="3">
        <v>0</v>
      </c>
      <c r="CK25" s="3">
        <v>33799.922518212712</v>
      </c>
      <c r="CL25" s="7" t="s">
        <v>96</v>
      </c>
      <c r="CM25" s="2" t="s">
        <v>24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7" t="s">
        <v>96</v>
      </c>
      <c r="CT25" s="2" t="s">
        <v>24</v>
      </c>
      <c r="CU25" s="3">
        <v>3028644.4064231012</v>
      </c>
      <c r="CV25" s="3">
        <v>8345.3484800550214</v>
      </c>
      <c r="CW25" s="3">
        <v>0</v>
      </c>
      <c r="CX25" s="3">
        <v>0</v>
      </c>
      <c r="CY25" s="3">
        <v>3036989.7549031563</v>
      </c>
      <c r="CZ25" s="7" t="s">
        <v>96</v>
      </c>
      <c r="DA25" s="2" t="s">
        <v>24</v>
      </c>
      <c r="DB25" s="3">
        <v>370.20347680831634</v>
      </c>
      <c r="DC25" s="3">
        <v>2850.7654872745939</v>
      </c>
      <c r="DD25" s="3">
        <v>0</v>
      </c>
      <c r="DE25" s="3">
        <v>0</v>
      </c>
      <c r="DF25" s="3">
        <v>3220.9689640829101</v>
      </c>
      <c r="DG25" s="7" t="s">
        <v>96</v>
      </c>
      <c r="DH25" s="2" t="s">
        <v>24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7" t="s">
        <v>96</v>
      </c>
      <c r="DO25" s="2" t="s">
        <v>24</v>
      </c>
      <c r="DP25" s="3">
        <v>2165.8169632083204</v>
      </c>
      <c r="DQ25" s="3">
        <v>434.05960960963807</v>
      </c>
      <c r="DR25" s="3">
        <v>0</v>
      </c>
      <c r="DS25" s="3">
        <v>0</v>
      </c>
      <c r="DT25" s="3">
        <v>2599.8765728179587</v>
      </c>
      <c r="DU25" s="7" t="s">
        <v>96</v>
      </c>
      <c r="DV25" s="2" t="s">
        <v>24</v>
      </c>
      <c r="DW25" s="3">
        <v>1126746.4301682906</v>
      </c>
      <c r="DX25" s="3">
        <v>3321.655555302943</v>
      </c>
      <c r="DY25" s="3">
        <v>0</v>
      </c>
      <c r="DZ25" s="3">
        <v>0</v>
      </c>
      <c r="EA25" s="3">
        <v>1130068.0857235936</v>
      </c>
      <c r="EB25" s="7" t="s">
        <v>96</v>
      </c>
      <c r="EC25" s="2" t="s">
        <v>24</v>
      </c>
      <c r="ED25" s="3">
        <v>1994426.7783523607</v>
      </c>
      <c r="EE25" s="3">
        <v>338663.26063514251</v>
      </c>
      <c r="EF25" s="3">
        <v>392.15028392903247</v>
      </c>
      <c r="EG25" s="3">
        <v>0</v>
      </c>
      <c r="EH25" s="3">
        <v>2333482.1892714323</v>
      </c>
    </row>
    <row r="26" spans="1:138" ht="10.199999999999999" customHeight="1" x14ac:dyDescent="0.2">
      <c r="A26" s="7" t="s">
        <v>120</v>
      </c>
      <c r="B26" s="2" t="s">
        <v>48</v>
      </c>
      <c r="C26" s="3">
        <f t="shared" si="4"/>
        <v>2684.8799999999997</v>
      </c>
      <c r="D26" s="3">
        <f t="shared" si="5"/>
        <v>318.48522136339398</v>
      </c>
      <c r="E26" s="3">
        <f t="shared" si="6"/>
        <v>18160664.680758692</v>
      </c>
      <c r="F26" s="3">
        <f t="shared" si="7"/>
        <v>863441.05104225548</v>
      </c>
      <c r="G26" s="3">
        <f t="shared" si="8"/>
        <v>34794.550351206846</v>
      </c>
      <c r="H26" s="3">
        <f t="shared" si="9"/>
        <v>0</v>
      </c>
      <c r="I26" s="3">
        <f t="shared" si="10"/>
        <v>1747464.0670711028</v>
      </c>
      <c r="J26" s="3">
        <f t="shared" si="11"/>
        <v>89289.506006154086</v>
      </c>
      <c r="K26" s="3">
        <f t="shared" si="12"/>
        <v>1756290.0202676465</v>
      </c>
      <c r="L26" s="3">
        <f t="shared" si="13"/>
        <v>276296.85634679161</v>
      </c>
      <c r="M26" s="3">
        <f t="shared" si="14"/>
        <v>8179571.5045840042</v>
      </c>
      <c r="N26" s="3">
        <f t="shared" si="15"/>
        <v>2637013.9603241985</v>
      </c>
      <c r="O26" s="3">
        <f t="shared" si="16"/>
        <v>33747829.561973415</v>
      </c>
      <c r="P26" s="7" t="s">
        <v>120</v>
      </c>
      <c r="Q26" s="2" t="s">
        <v>48</v>
      </c>
      <c r="R26" s="3">
        <f t="shared" si="17"/>
        <v>2684.8799999999997</v>
      </c>
      <c r="S26" s="3">
        <f t="shared" si="17"/>
        <v>318.48522136339398</v>
      </c>
      <c r="T26" s="3">
        <f t="shared" si="17"/>
        <v>18160664.680758692</v>
      </c>
      <c r="U26" s="3">
        <f t="shared" si="17"/>
        <v>863441.05104225548</v>
      </c>
      <c r="V26" s="3">
        <f t="shared" si="17"/>
        <v>34794.550351206846</v>
      </c>
      <c r="W26" s="3">
        <f t="shared" si="17"/>
        <v>0</v>
      </c>
      <c r="X26" s="3">
        <f t="shared" si="17"/>
        <v>1747464.0670711028</v>
      </c>
      <c r="Y26" s="3">
        <f t="shared" si="17"/>
        <v>89289.506006154086</v>
      </c>
      <c r="Z26" s="3">
        <f t="shared" si="17"/>
        <v>1756290.0202676465</v>
      </c>
      <c r="AA26" s="3">
        <f t="shared" si="17"/>
        <v>276296.85634679161</v>
      </c>
      <c r="AB26" s="3">
        <f t="shared" si="18"/>
        <v>22931244.09706521</v>
      </c>
      <c r="AC26" s="7" t="s">
        <v>120</v>
      </c>
      <c r="AD26" s="2" t="s">
        <v>48</v>
      </c>
      <c r="AE26" s="3">
        <f t="shared" si="19"/>
        <v>8179571.5045840042</v>
      </c>
      <c r="AF26" s="3">
        <f t="shared" si="19"/>
        <v>2637013.9603241985</v>
      </c>
      <c r="AG26" s="3">
        <f t="shared" si="20"/>
        <v>10816585.464908203</v>
      </c>
      <c r="AH26" s="7" t="s">
        <v>120</v>
      </c>
      <c r="AI26" s="2" t="s">
        <v>48</v>
      </c>
      <c r="AJ26" s="3">
        <f t="shared" si="21"/>
        <v>15078141.872707129</v>
      </c>
      <c r="AK26" s="3">
        <f t="shared" si="21"/>
        <v>7629305.9994272301</v>
      </c>
      <c r="AL26" s="3">
        <f t="shared" si="21"/>
        <v>11040381.689839056</v>
      </c>
      <c r="AM26" s="3">
        <f t="shared" si="21"/>
        <v>0</v>
      </c>
      <c r="AN26" s="3">
        <f t="shared" si="22"/>
        <v>33747829.561973415</v>
      </c>
      <c r="AO26" s="7" t="s">
        <v>120</v>
      </c>
      <c r="AP26" s="2" t="s">
        <v>48</v>
      </c>
      <c r="AQ26" s="3">
        <f t="shared" si="23"/>
        <v>4412459.8541803146</v>
      </c>
      <c r="AR26" s="3">
        <f t="shared" si="23"/>
        <v>7478402.5530458437</v>
      </c>
      <c r="AS26" s="3">
        <f t="shared" si="23"/>
        <v>11040381.689839056</v>
      </c>
      <c r="AT26" s="3">
        <f t="shared" si="23"/>
        <v>0</v>
      </c>
      <c r="AU26" s="3">
        <f t="shared" si="24"/>
        <v>22931244.097065214</v>
      </c>
      <c r="AV26" s="7" t="s">
        <v>120</v>
      </c>
      <c r="AW26" s="2" t="s">
        <v>48</v>
      </c>
      <c r="AX26" s="3">
        <f t="shared" si="25"/>
        <v>10665682.018526815</v>
      </c>
      <c r="AY26" s="3">
        <f t="shared" si="25"/>
        <v>150903.44638138643</v>
      </c>
      <c r="AZ26" s="3">
        <f t="shared" si="25"/>
        <v>0</v>
      </c>
      <c r="BA26" s="3">
        <f t="shared" si="25"/>
        <v>0</v>
      </c>
      <c r="BB26" s="3">
        <f t="shared" si="26"/>
        <v>10816585.464908201</v>
      </c>
      <c r="BC26" s="7" t="s">
        <v>120</v>
      </c>
      <c r="BD26" s="2" t="s">
        <v>48</v>
      </c>
      <c r="BE26" s="3">
        <v>2684.8799999999997</v>
      </c>
      <c r="BF26" s="3">
        <v>0</v>
      </c>
      <c r="BG26" s="3">
        <v>0</v>
      </c>
      <c r="BH26" s="3">
        <v>0</v>
      </c>
      <c r="BI26" s="3">
        <v>2684.8799999999997</v>
      </c>
      <c r="BJ26" s="7" t="s">
        <v>120</v>
      </c>
      <c r="BK26" s="2" t="s">
        <v>48</v>
      </c>
      <c r="BL26" s="3">
        <v>318.48522136339398</v>
      </c>
      <c r="BM26" s="3">
        <v>0</v>
      </c>
      <c r="BN26" s="3">
        <v>0</v>
      </c>
      <c r="BO26" s="3">
        <v>0</v>
      </c>
      <c r="BP26" s="3">
        <v>318.48522136339398</v>
      </c>
      <c r="BQ26" s="7" t="s">
        <v>120</v>
      </c>
      <c r="BR26" s="2" t="s">
        <v>48</v>
      </c>
      <c r="BS26" s="3">
        <v>712445.05942410394</v>
      </c>
      <c r="BT26" s="3">
        <v>6457760.0185493305</v>
      </c>
      <c r="BU26" s="3">
        <v>10990459.602785258</v>
      </c>
      <c r="BV26" s="3">
        <v>0</v>
      </c>
      <c r="BW26" s="3">
        <v>18160664.680758692</v>
      </c>
      <c r="BX26" s="7" t="s">
        <v>120</v>
      </c>
      <c r="BY26" s="2" t="s">
        <v>48</v>
      </c>
      <c r="BZ26" s="3">
        <v>744461.68054635823</v>
      </c>
      <c r="CA26" s="3">
        <v>118979.3704958973</v>
      </c>
      <c r="CB26" s="3">
        <v>0</v>
      </c>
      <c r="CC26" s="3">
        <v>0</v>
      </c>
      <c r="CD26" s="3">
        <v>863441.05104225548</v>
      </c>
      <c r="CE26" s="7" t="s">
        <v>120</v>
      </c>
      <c r="CF26" s="2" t="s">
        <v>48</v>
      </c>
      <c r="CG26" s="3">
        <v>34794.550351206846</v>
      </c>
      <c r="CH26" s="3">
        <v>0</v>
      </c>
      <c r="CI26" s="3">
        <v>0</v>
      </c>
      <c r="CJ26" s="3">
        <v>0</v>
      </c>
      <c r="CK26" s="3">
        <v>34794.550351206846</v>
      </c>
      <c r="CL26" s="7" t="s">
        <v>120</v>
      </c>
      <c r="CM26" s="2" t="s">
        <v>48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7" t="s">
        <v>120</v>
      </c>
      <c r="CT26" s="2" t="s">
        <v>48</v>
      </c>
      <c r="CU26" s="3">
        <v>1747464.0670711028</v>
      </c>
      <c r="CV26" s="3">
        <v>0</v>
      </c>
      <c r="CW26" s="3">
        <v>0</v>
      </c>
      <c r="CX26" s="3">
        <v>0</v>
      </c>
      <c r="CY26" s="3">
        <v>1747464.0670711028</v>
      </c>
      <c r="CZ26" s="7" t="s">
        <v>120</v>
      </c>
      <c r="DA26" s="2" t="s">
        <v>48</v>
      </c>
      <c r="DB26" s="3">
        <v>854626.85626703117</v>
      </c>
      <c r="DC26" s="3">
        <v>901663.16400061536</v>
      </c>
      <c r="DD26" s="3">
        <v>0</v>
      </c>
      <c r="DE26" s="3">
        <v>0</v>
      </c>
      <c r="DF26" s="3">
        <v>1756290.0202676465</v>
      </c>
      <c r="DG26" s="7" t="s">
        <v>120</v>
      </c>
      <c r="DH26" s="2" t="s">
        <v>48</v>
      </c>
      <c r="DI26" s="3">
        <v>39367.418952356675</v>
      </c>
      <c r="DJ26" s="3">
        <v>0</v>
      </c>
      <c r="DK26" s="3">
        <v>49922.087053797404</v>
      </c>
      <c r="DL26" s="3">
        <v>0</v>
      </c>
      <c r="DM26" s="3">
        <v>89289.506006154086</v>
      </c>
      <c r="DN26" s="7" t="s">
        <v>120</v>
      </c>
      <c r="DO26" s="2" t="s">
        <v>48</v>
      </c>
      <c r="DP26" s="3">
        <v>276296.85634679161</v>
      </c>
      <c r="DQ26" s="3">
        <v>0</v>
      </c>
      <c r="DR26" s="3">
        <v>0</v>
      </c>
      <c r="DS26" s="3">
        <v>0</v>
      </c>
      <c r="DT26" s="3">
        <v>276296.85634679161</v>
      </c>
      <c r="DU26" s="7" t="s">
        <v>120</v>
      </c>
      <c r="DV26" s="2" t="s">
        <v>48</v>
      </c>
      <c r="DW26" s="3">
        <v>2631734.0212428579</v>
      </c>
      <c r="DX26" s="3">
        <v>5279.939081340598</v>
      </c>
      <c r="DY26" s="3">
        <v>0</v>
      </c>
      <c r="DZ26" s="3">
        <v>0</v>
      </c>
      <c r="EA26" s="3">
        <v>2637013.9603241985</v>
      </c>
      <c r="EB26" s="7" t="s">
        <v>120</v>
      </c>
      <c r="EC26" s="2" t="s">
        <v>48</v>
      </c>
      <c r="ED26" s="3">
        <v>8033947.9972839579</v>
      </c>
      <c r="EE26" s="3">
        <v>145623.50730004584</v>
      </c>
      <c r="EF26" s="3">
        <v>0</v>
      </c>
      <c r="EG26" s="3">
        <v>0</v>
      </c>
      <c r="EH26" s="3">
        <v>8179571.5045840042</v>
      </c>
    </row>
    <row r="27" spans="1:138" ht="10.199999999999999" customHeight="1" x14ac:dyDescent="0.2">
      <c r="A27" s="7" t="s">
        <v>102</v>
      </c>
      <c r="B27" s="2" t="s">
        <v>30</v>
      </c>
      <c r="C27" s="3">
        <f t="shared" si="4"/>
        <v>1473.2587342371742</v>
      </c>
      <c r="D27" s="3">
        <f t="shared" si="5"/>
        <v>37581.718291072772</v>
      </c>
      <c r="E27" s="3">
        <f t="shared" si="6"/>
        <v>1994086.0954838644</v>
      </c>
      <c r="F27" s="3">
        <f t="shared" si="7"/>
        <v>14169652.593638306</v>
      </c>
      <c r="G27" s="3">
        <f t="shared" si="8"/>
        <v>196022.77818928976</v>
      </c>
      <c r="H27" s="3">
        <f t="shared" si="9"/>
        <v>80332.259801336477</v>
      </c>
      <c r="I27" s="3">
        <f t="shared" si="10"/>
        <v>597766.00304281956</v>
      </c>
      <c r="J27" s="3">
        <f t="shared" si="11"/>
        <v>2295.0988294085646</v>
      </c>
      <c r="K27" s="3">
        <f t="shared" si="12"/>
        <v>3868761.5656784838</v>
      </c>
      <c r="L27" s="3">
        <f t="shared" si="13"/>
        <v>28521.002341272084</v>
      </c>
      <c r="M27" s="3">
        <f t="shared" si="14"/>
        <v>11376660.96807467</v>
      </c>
      <c r="N27" s="3">
        <f t="shared" si="15"/>
        <v>22930128.316809915</v>
      </c>
      <c r="O27" s="3">
        <f t="shared" si="16"/>
        <v>55283281.658914678</v>
      </c>
      <c r="P27" s="7" t="s">
        <v>102</v>
      </c>
      <c r="Q27" s="2" t="s">
        <v>30</v>
      </c>
      <c r="R27" s="3">
        <f t="shared" si="17"/>
        <v>1473.2587342371742</v>
      </c>
      <c r="S27" s="3">
        <f t="shared" si="17"/>
        <v>37581.718291072772</v>
      </c>
      <c r="T27" s="3">
        <f t="shared" si="17"/>
        <v>1994086.0954838644</v>
      </c>
      <c r="U27" s="3">
        <f t="shared" si="17"/>
        <v>14169652.593638306</v>
      </c>
      <c r="V27" s="3">
        <f t="shared" si="17"/>
        <v>196022.77818928976</v>
      </c>
      <c r="W27" s="3">
        <f t="shared" si="17"/>
        <v>80332.259801336477</v>
      </c>
      <c r="X27" s="3">
        <f t="shared" si="17"/>
        <v>597766.00304281956</v>
      </c>
      <c r="Y27" s="3">
        <f t="shared" si="17"/>
        <v>2295.0988294085646</v>
      </c>
      <c r="Z27" s="3">
        <f t="shared" si="17"/>
        <v>3868761.5656784838</v>
      </c>
      <c r="AA27" s="3">
        <f t="shared" si="17"/>
        <v>28521.002341272084</v>
      </c>
      <c r="AB27" s="3">
        <f t="shared" si="18"/>
        <v>20976492.374030091</v>
      </c>
      <c r="AC27" s="7" t="s">
        <v>102</v>
      </c>
      <c r="AD27" s="2" t="s">
        <v>30</v>
      </c>
      <c r="AE27" s="3">
        <f t="shared" si="19"/>
        <v>11376660.96807467</v>
      </c>
      <c r="AF27" s="3">
        <f t="shared" si="19"/>
        <v>22930128.316809915</v>
      </c>
      <c r="AG27" s="3">
        <f t="shared" si="20"/>
        <v>34306789.284884587</v>
      </c>
      <c r="AH27" s="7" t="s">
        <v>102</v>
      </c>
      <c r="AI27" s="2" t="s">
        <v>30</v>
      </c>
      <c r="AJ27" s="3">
        <f t="shared" si="21"/>
        <v>50354798.286710352</v>
      </c>
      <c r="AK27" s="3">
        <f t="shared" si="21"/>
        <v>232190.86214177593</v>
      </c>
      <c r="AL27" s="3">
        <f t="shared" si="21"/>
        <v>600210.40219453059</v>
      </c>
      <c r="AM27" s="3">
        <f t="shared" si="21"/>
        <v>4096082.1078680162</v>
      </c>
      <c r="AN27" s="3">
        <f t="shared" si="22"/>
        <v>55283281.65891467</v>
      </c>
      <c r="AO27" s="7" t="s">
        <v>102</v>
      </c>
      <c r="AP27" s="2" t="s">
        <v>30</v>
      </c>
      <c r="AQ27" s="3">
        <f t="shared" si="23"/>
        <v>16048009.001825769</v>
      </c>
      <c r="AR27" s="3">
        <f t="shared" si="23"/>
        <v>232190.86214177593</v>
      </c>
      <c r="AS27" s="3">
        <f t="shared" si="23"/>
        <v>600210.40219453059</v>
      </c>
      <c r="AT27" s="3">
        <f t="shared" si="23"/>
        <v>4096082.1078680162</v>
      </c>
      <c r="AU27" s="3">
        <f t="shared" si="24"/>
        <v>20976492.374030091</v>
      </c>
      <c r="AV27" s="7" t="s">
        <v>102</v>
      </c>
      <c r="AW27" s="2" t="s">
        <v>30</v>
      </c>
      <c r="AX27" s="3">
        <f t="shared" si="25"/>
        <v>34306789.284884587</v>
      </c>
      <c r="AY27" s="3">
        <f t="shared" si="25"/>
        <v>0</v>
      </c>
      <c r="AZ27" s="3">
        <f t="shared" si="25"/>
        <v>0</v>
      </c>
      <c r="BA27" s="3">
        <f t="shared" si="25"/>
        <v>0</v>
      </c>
      <c r="BB27" s="3">
        <f t="shared" si="26"/>
        <v>34306789.284884587</v>
      </c>
      <c r="BC27" s="7" t="s">
        <v>102</v>
      </c>
      <c r="BD27" s="2" t="s">
        <v>30</v>
      </c>
      <c r="BE27" s="3">
        <v>1473.2587342371742</v>
      </c>
      <c r="BF27" s="3">
        <v>0</v>
      </c>
      <c r="BG27" s="3">
        <v>0</v>
      </c>
      <c r="BH27" s="3">
        <v>0</v>
      </c>
      <c r="BI27" s="3">
        <v>1473.2587342371742</v>
      </c>
      <c r="BJ27" s="7" t="s">
        <v>102</v>
      </c>
      <c r="BK27" s="2" t="s">
        <v>30</v>
      </c>
      <c r="BL27" s="3">
        <v>37581.718291072772</v>
      </c>
      <c r="BM27" s="3">
        <v>0</v>
      </c>
      <c r="BN27" s="3">
        <v>0</v>
      </c>
      <c r="BO27" s="3">
        <v>0</v>
      </c>
      <c r="BP27" s="3">
        <v>37581.718291072772</v>
      </c>
      <c r="BQ27" s="7" t="s">
        <v>102</v>
      </c>
      <c r="BR27" s="2" t="s">
        <v>30</v>
      </c>
      <c r="BS27" s="3">
        <v>1994086.0954838644</v>
      </c>
      <c r="BT27" s="3">
        <v>0</v>
      </c>
      <c r="BU27" s="3">
        <v>0</v>
      </c>
      <c r="BV27" s="3">
        <v>0</v>
      </c>
      <c r="BW27" s="3">
        <v>1994086.0954838644</v>
      </c>
      <c r="BX27" s="7" t="s">
        <v>102</v>
      </c>
      <c r="BY27" s="2" t="s">
        <v>30</v>
      </c>
      <c r="BZ27" s="3">
        <v>9684442.6855228283</v>
      </c>
      <c r="CA27" s="3">
        <v>0</v>
      </c>
      <c r="CB27" s="3">
        <v>389127.80024746159</v>
      </c>
      <c r="CC27" s="3">
        <v>4096082.1078680162</v>
      </c>
      <c r="CD27" s="3">
        <v>14169652.593638306</v>
      </c>
      <c r="CE27" s="7" t="s">
        <v>102</v>
      </c>
      <c r="CF27" s="2" t="s">
        <v>30</v>
      </c>
      <c r="CG27" s="3">
        <v>196022.77818928976</v>
      </c>
      <c r="CH27" s="3">
        <v>0</v>
      </c>
      <c r="CI27" s="3">
        <v>0</v>
      </c>
      <c r="CJ27" s="3">
        <v>0</v>
      </c>
      <c r="CK27" s="3">
        <v>196022.77818928976</v>
      </c>
      <c r="CL27" s="7" t="s">
        <v>102</v>
      </c>
      <c r="CM27" s="2" t="s">
        <v>30</v>
      </c>
      <c r="CN27" s="3">
        <v>80332.259801336477</v>
      </c>
      <c r="CO27" s="3">
        <v>0</v>
      </c>
      <c r="CP27" s="3">
        <v>0</v>
      </c>
      <c r="CQ27" s="3">
        <v>0</v>
      </c>
      <c r="CR27" s="3">
        <v>80332.259801336477</v>
      </c>
      <c r="CS27" s="7" t="s">
        <v>102</v>
      </c>
      <c r="CT27" s="2" t="s">
        <v>30</v>
      </c>
      <c r="CU27" s="3">
        <v>597766.00304281956</v>
      </c>
      <c r="CV27" s="3">
        <v>0</v>
      </c>
      <c r="CW27" s="3">
        <v>0</v>
      </c>
      <c r="CX27" s="3">
        <v>0</v>
      </c>
      <c r="CY27" s="3">
        <v>597766.00304281956</v>
      </c>
      <c r="CZ27" s="7" t="s">
        <v>102</v>
      </c>
      <c r="DA27" s="2" t="s">
        <v>30</v>
      </c>
      <c r="DB27" s="3">
        <v>3425488.1015896387</v>
      </c>
      <c r="DC27" s="3">
        <v>232190.86214177593</v>
      </c>
      <c r="DD27" s="3">
        <v>211082.60194706902</v>
      </c>
      <c r="DE27" s="3">
        <v>0</v>
      </c>
      <c r="DF27" s="3">
        <v>3868761.5656784838</v>
      </c>
      <c r="DG27" s="7" t="s">
        <v>102</v>
      </c>
      <c r="DH27" s="2" t="s">
        <v>30</v>
      </c>
      <c r="DI27" s="3">
        <v>2295.0988294085646</v>
      </c>
      <c r="DJ27" s="3">
        <v>0</v>
      </c>
      <c r="DK27" s="3">
        <v>0</v>
      </c>
      <c r="DL27" s="3">
        <v>0</v>
      </c>
      <c r="DM27" s="3">
        <v>2295.0988294085646</v>
      </c>
      <c r="DN27" s="7" t="s">
        <v>102</v>
      </c>
      <c r="DO27" s="2" t="s">
        <v>30</v>
      </c>
      <c r="DP27" s="3">
        <v>28521.002341272084</v>
      </c>
      <c r="DQ27" s="3">
        <v>0</v>
      </c>
      <c r="DR27" s="3">
        <v>0</v>
      </c>
      <c r="DS27" s="3">
        <v>0</v>
      </c>
      <c r="DT27" s="3">
        <v>28521.002341272084</v>
      </c>
      <c r="DU27" s="7" t="s">
        <v>102</v>
      </c>
      <c r="DV27" s="2" t="s">
        <v>30</v>
      </c>
      <c r="DW27" s="3">
        <v>22930128.316809915</v>
      </c>
      <c r="DX27" s="3">
        <v>0</v>
      </c>
      <c r="DY27" s="3">
        <v>0</v>
      </c>
      <c r="DZ27" s="3">
        <v>0</v>
      </c>
      <c r="EA27" s="3">
        <v>22930128.316809915</v>
      </c>
      <c r="EB27" s="7" t="s">
        <v>102</v>
      </c>
      <c r="EC27" s="2" t="s">
        <v>30</v>
      </c>
      <c r="ED27" s="3">
        <v>11376660.96807467</v>
      </c>
      <c r="EE27" s="3">
        <v>0</v>
      </c>
      <c r="EF27" s="3">
        <v>0</v>
      </c>
      <c r="EG27" s="3">
        <v>0</v>
      </c>
      <c r="EH27" s="3">
        <v>11376660.96807467</v>
      </c>
    </row>
    <row r="28" spans="1:138" ht="10.199999999999999" customHeight="1" x14ac:dyDescent="0.2">
      <c r="A28" s="7" t="s">
        <v>98</v>
      </c>
      <c r="B28" s="2" t="s">
        <v>26</v>
      </c>
      <c r="C28" s="3">
        <f t="shared" si="4"/>
        <v>85266.69192396017</v>
      </c>
      <c r="D28" s="3">
        <f t="shared" si="5"/>
        <v>518690.55815953662</v>
      </c>
      <c r="E28" s="3">
        <f t="shared" si="6"/>
        <v>3174441.9274203391</v>
      </c>
      <c r="F28" s="3">
        <f t="shared" si="7"/>
        <v>15089.549281849502</v>
      </c>
      <c r="G28" s="3">
        <f t="shared" si="8"/>
        <v>84035.033183581138</v>
      </c>
      <c r="H28" s="3">
        <f t="shared" si="9"/>
        <v>0</v>
      </c>
      <c r="I28" s="3">
        <f t="shared" si="10"/>
        <v>91698.35503538989</v>
      </c>
      <c r="J28" s="3">
        <f t="shared" si="11"/>
        <v>1097468.9951531782</v>
      </c>
      <c r="K28" s="3">
        <f t="shared" si="12"/>
        <v>540108.1719339554</v>
      </c>
      <c r="L28" s="3">
        <f t="shared" si="13"/>
        <v>681831.12053851155</v>
      </c>
      <c r="M28" s="3">
        <f t="shared" si="14"/>
        <v>129942951.07928568</v>
      </c>
      <c r="N28" s="3">
        <f t="shared" si="15"/>
        <v>1956608.1394873392</v>
      </c>
      <c r="O28" s="3">
        <f t="shared" si="16"/>
        <v>138188189.62140331</v>
      </c>
      <c r="P28" s="7" t="s">
        <v>98</v>
      </c>
      <c r="Q28" s="2" t="s">
        <v>26</v>
      </c>
      <c r="R28" s="3">
        <f t="shared" si="17"/>
        <v>85266.69192396017</v>
      </c>
      <c r="S28" s="3">
        <f t="shared" si="17"/>
        <v>518690.55815953662</v>
      </c>
      <c r="T28" s="3">
        <f t="shared" si="17"/>
        <v>3174441.9274203391</v>
      </c>
      <c r="U28" s="3">
        <f t="shared" si="17"/>
        <v>15089.549281849502</v>
      </c>
      <c r="V28" s="3">
        <f t="shared" si="17"/>
        <v>84035.033183581138</v>
      </c>
      <c r="W28" s="3">
        <f t="shared" si="17"/>
        <v>0</v>
      </c>
      <c r="X28" s="3">
        <f t="shared" si="17"/>
        <v>91698.35503538989</v>
      </c>
      <c r="Y28" s="3">
        <f t="shared" si="17"/>
        <v>1097468.9951531782</v>
      </c>
      <c r="Z28" s="3">
        <f t="shared" si="17"/>
        <v>540108.1719339554</v>
      </c>
      <c r="AA28" s="3">
        <f t="shared" si="17"/>
        <v>681831.12053851155</v>
      </c>
      <c r="AB28" s="3">
        <f t="shared" si="18"/>
        <v>6288630.4026303012</v>
      </c>
      <c r="AC28" s="7" t="s">
        <v>98</v>
      </c>
      <c r="AD28" s="2" t="s">
        <v>26</v>
      </c>
      <c r="AE28" s="3">
        <f t="shared" si="19"/>
        <v>129942951.07928568</v>
      </c>
      <c r="AF28" s="3">
        <f t="shared" si="19"/>
        <v>1956608.1394873392</v>
      </c>
      <c r="AG28" s="3">
        <f t="shared" si="20"/>
        <v>131899559.21877302</v>
      </c>
      <c r="AH28" s="7" t="s">
        <v>98</v>
      </c>
      <c r="AI28" s="2" t="s">
        <v>26</v>
      </c>
      <c r="AJ28" s="3">
        <f t="shared" si="21"/>
        <v>134896243.69546977</v>
      </c>
      <c r="AK28" s="3">
        <f t="shared" si="21"/>
        <v>2802645.94164648</v>
      </c>
      <c r="AL28" s="3">
        <f t="shared" si="21"/>
        <v>489299.98428706557</v>
      </c>
      <c r="AM28" s="3">
        <f t="shared" si="21"/>
        <v>0</v>
      </c>
      <c r="AN28" s="3">
        <f t="shared" si="22"/>
        <v>138188189.62140331</v>
      </c>
      <c r="AO28" s="7" t="s">
        <v>98</v>
      </c>
      <c r="AP28" s="2" t="s">
        <v>26</v>
      </c>
      <c r="AQ28" s="3">
        <f t="shared" si="23"/>
        <v>3658427.4058524701</v>
      </c>
      <c r="AR28" s="3">
        <f t="shared" si="23"/>
        <v>2144452.1304977247</v>
      </c>
      <c r="AS28" s="3">
        <f t="shared" si="23"/>
        <v>485750.86628010671</v>
      </c>
      <c r="AT28" s="3">
        <f t="shared" si="23"/>
        <v>0</v>
      </c>
      <c r="AU28" s="3">
        <f t="shared" si="24"/>
        <v>6288630.4026303012</v>
      </c>
      <c r="AV28" s="7" t="s">
        <v>98</v>
      </c>
      <c r="AW28" s="2" t="s">
        <v>26</v>
      </c>
      <c r="AX28" s="3">
        <f t="shared" si="25"/>
        <v>131237816.2896173</v>
      </c>
      <c r="AY28" s="3">
        <f t="shared" si="25"/>
        <v>658193.81114875525</v>
      </c>
      <c r="AZ28" s="3">
        <f t="shared" si="25"/>
        <v>3549.118006958844</v>
      </c>
      <c r="BA28" s="3">
        <f t="shared" si="25"/>
        <v>0</v>
      </c>
      <c r="BB28" s="3">
        <f t="shared" si="26"/>
        <v>131899559.21877302</v>
      </c>
      <c r="BC28" s="7" t="s">
        <v>98</v>
      </c>
      <c r="BD28" s="2" t="s">
        <v>26</v>
      </c>
      <c r="BE28" s="3">
        <v>73534.113636137132</v>
      </c>
      <c r="BF28" s="3">
        <v>11732.578287823031</v>
      </c>
      <c r="BG28" s="3">
        <v>0</v>
      </c>
      <c r="BH28" s="3">
        <v>0</v>
      </c>
      <c r="BI28" s="3">
        <v>85266.69192396017</v>
      </c>
      <c r="BJ28" s="7" t="s">
        <v>98</v>
      </c>
      <c r="BK28" s="2" t="s">
        <v>26</v>
      </c>
      <c r="BL28" s="3">
        <v>509821.43065123016</v>
      </c>
      <c r="BM28" s="3">
        <v>8869.1275083064447</v>
      </c>
      <c r="BN28" s="3">
        <v>0</v>
      </c>
      <c r="BO28" s="3">
        <v>0</v>
      </c>
      <c r="BP28" s="3">
        <v>518690.55815953662</v>
      </c>
      <c r="BQ28" s="7" t="s">
        <v>98</v>
      </c>
      <c r="BR28" s="2" t="s">
        <v>26</v>
      </c>
      <c r="BS28" s="3">
        <v>848378.69789571012</v>
      </c>
      <c r="BT28" s="3">
        <v>2008872.7891349071</v>
      </c>
      <c r="BU28" s="3">
        <v>317190.44038972218</v>
      </c>
      <c r="BV28" s="3">
        <v>0</v>
      </c>
      <c r="BW28" s="3">
        <v>3174441.9274203391</v>
      </c>
      <c r="BX28" s="7" t="s">
        <v>98</v>
      </c>
      <c r="BY28" s="2" t="s">
        <v>26</v>
      </c>
      <c r="BZ28" s="3">
        <v>15089.549281849502</v>
      </c>
      <c r="CA28" s="3">
        <v>0</v>
      </c>
      <c r="CB28" s="3">
        <v>0</v>
      </c>
      <c r="CC28" s="3">
        <v>0</v>
      </c>
      <c r="CD28" s="3">
        <v>15089.549281849502</v>
      </c>
      <c r="CE28" s="7" t="s">
        <v>98</v>
      </c>
      <c r="CF28" s="2" t="s">
        <v>26</v>
      </c>
      <c r="CG28" s="3">
        <v>83883.658256783485</v>
      </c>
      <c r="CH28" s="3">
        <v>151.37492679765748</v>
      </c>
      <c r="CI28" s="3">
        <v>0</v>
      </c>
      <c r="CJ28" s="3">
        <v>0</v>
      </c>
      <c r="CK28" s="3">
        <v>84035.033183581138</v>
      </c>
      <c r="CL28" s="7" t="s">
        <v>98</v>
      </c>
      <c r="CM28" s="2" t="s">
        <v>26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7" t="s">
        <v>98</v>
      </c>
      <c r="CT28" s="2" t="s">
        <v>26</v>
      </c>
      <c r="CU28" s="3">
        <v>89297.485429640976</v>
      </c>
      <c r="CV28" s="3">
        <v>2400.8696057489178</v>
      </c>
      <c r="CW28" s="3">
        <v>0</v>
      </c>
      <c r="CX28" s="3">
        <v>0</v>
      </c>
      <c r="CY28" s="3">
        <v>91698.35503538989</v>
      </c>
      <c r="CZ28" s="7" t="s">
        <v>98</v>
      </c>
      <c r="DA28" s="2" t="s">
        <v>26</v>
      </c>
      <c r="DB28" s="3">
        <v>489835.60181730893</v>
      </c>
      <c r="DC28" s="3">
        <v>50272.570116646464</v>
      </c>
      <c r="DD28" s="3">
        <v>0</v>
      </c>
      <c r="DE28" s="3">
        <v>0</v>
      </c>
      <c r="DF28" s="3">
        <v>540108.1719339554</v>
      </c>
      <c r="DG28" s="7" t="s">
        <v>98</v>
      </c>
      <c r="DH28" s="2" t="s">
        <v>26</v>
      </c>
      <c r="DI28" s="3">
        <v>1092634.0432089195</v>
      </c>
      <c r="DJ28" s="3">
        <v>4834.9519442588535</v>
      </c>
      <c r="DK28" s="3">
        <v>0</v>
      </c>
      <c r="DL28" s="3">
        <v>0</v>
      </c>
      <c r="DM28" s="3">
        <v>1097468.9951531782</v>
      </c>
      <c r="DN28" s="7" t="s">
        <v>98</v>
      </c>
      <c r="DO28" s="2" t="s">
        <v>26</v>
      </c>
      <c r="DP28" s="3">
        <v>455952.82567489042</v>
      </c>
      <c r="DQ28" s="3">
        <v>57317.868973236553</v>
      </c>
      <c r="DR28" s="3">
        <v>168560.42589038453</v>
      </c>
      <c r="DS28" s="3">
        <v>0</v>
      </c>
      <c r="DT28" s="3">
        <v>681831.12053851155</v>
      </c>
      <c r="DU28" s="7" t="s">
        <v>98</v>
      </c>
      <c r="DV28" s="2" t="s">
        <v>26</v>
      </c>
      <c r="DW28" s="3">
        <v>1395367.6206520528</v>
      </c>
      <c r="DX28" s="3">
        <v>557691.40082832752</v>
      </c>
      <c r="DY28" s="3">
        <v>3549.118006958844</v>
      </c>
      <c r="DZ28" s="3">
        <v>0</v>
      </c>
      <c r="EA28" s="3">
        <v>1956608.1394873392</v>
      </c>
      <c r="EB28" s="7" t="s">
        <v>98</v>
      </c>
      <c r="EC28" s="2" t="s">
        <v>26</v>
      </c>
      <c r="ED28" s="3">
        <v>129842448.66896525</v>
      </c>
      <c r="EE28" s="3">
        <v>100502.41032042773</v>
      </c>
      <c r="EF28" s="3">
        <v>0</v>
      </c>
      <c r="EG28" s="3">
        <v>0</v>
      </c>
      <c r="EH28" s="3">
        <v>129942951.07928568</v>
      </c>
    </row>
    <row r="29" spans="1:138" ht="10.199999999999999" customHeight="1" x14ac:dyDescent="0.2">
      <c r="A29" s="7" t="s">
        <v>93</v>
      </c>
      <c r="B29" s="2" t="s">
        <v>21</v>
      </c>
      <c r="C29" s="3">
        <f t="shared" si="4"/>
        <v>144.15652903480523</v>
      </c>
      <c r="D29" s="3">
        <f t="shared" si="5"/>
        <v>25120.179672218121</v>
      </c>
      <c r="E29" s="3">
        <f t="shared" si="6"/>
        <v>0</v>
      </c>
      <c r="F29" s="3">
        <f t="shared" si="7"/>
        <v>190786.56774950723</v>
      </c>
      <c r="G29" s="3">
        <f t="shared" si="8"/>
        <v>0</v>
      </c>
      <c r="H29" s="3">
        <f t="shared" si="9"/>
        <v>0</v>
      </c>
      <c r="I29" s="3">
        <f t="shared" si="10"/>
        <v>4693.0986195148053</v>
      </c>
      <c r="J29" s="3">
        <f t="shared" si="11"/>
        <v>2000.9361106712486</v>
      </c>
      <c r="K29" s="3">
        <f t="shared" si="12"/>
        <v>13680.509284567614</v>
      </c>
      <c r="L29" s="3">
        <f t="shared" si="13"/>
        <v>2009.4053066292395</v>
      </c>
      <c r="M29" s="3">
        <f t="shared" si="14"/>
        <v>4644994.095735277</v>
      </c>
      <c r="N29" s="3">
        <f t="shared" si="15"/>
        <v>7232.1314662091045</v>
      </c>
      <c r="O29" s="3">
        <f t="shared" si="16"/>
        <v>4890661.0804736288</v>
      </c>
      <c r="P29" s="7" t="s">
        <v>93</v>
      </c>
      <c r="Q29" s="2" t="s">
        <v>21</v>
      </c>
      <c r="R29" s="3">
        <f t="shared" si="17"/>
        <v>144.15652903480523</v>
      </c>
      <c r="S29" s="3">
        <f t="shared" si="17"/>
        <v>25120.179672218121</v>
      </c>
      <c r="T29" s="3">
        <f t="shared" si="17"/>
        <v>0</v>
      </c>
      <c r="U29" s="3">
        <f t="shared" si="17"/>
        <v>190786.56774950723</v>
      </c>
      <c r="V29" s="3">
        <f t="shared" si="17"/>
        <v>0</v>
      </c>
      <c r="W29" s="3">
        <f t="shared" si="17"/>
        <v>0</v>
      </c>
      <c r="X29" s="3">
        <f t="shared" si="17"/>
        <v>4693.0986195148053</v>
      </c>
      <c r="Y29" s="3">
        <f t="shared" si="17"/>
        <v>2000.9361106712486</v>
      </c>
      <c r="Z29" s="3">
        <f t="shared" si="17"/>
        <v>13680.509284567614</v>
      </c>
      <c r="AA29" s="3">
        <f t="shared" si="17"/>
        <v>2009.4053066292395</v>
      </c>
      <c r="AB29" s="3">
        <f t="shared" si="18"/>
        <v>238434.85327214305</v>
      </c>
      <c r="AC29" s="7" t="s">
        <v>93</v>
      </c>
      <c r="AD29" s="2" t="s">
        <v>21</v>
      </c>
      <c r="AE29" s="3">
        <f t="shared" si="19"/>
        <v>4644994.095735277</v>
      </c>
      <c r="AF29" s="3">
        <f t="shared" si="19"/>
        <v>7232.1314662091045</v>
      </c>
      <c r="AG29" s="3">
        <f t="shared" si="20"/>
        <v>4652226.227201486</v>
      </c>
      <c r="AH29" s="7" t="s">
        <v>93</v>
      </c>
      <c r="AI29" s="2" t="s">
        <v>21</v>
      </c>
      <c r="AJ29" s="3">
        <f t="shared" si="21"/>
        <v>4698092.0674165403</v>
      </c>
      <c r="AK29" s="3">
        <f t="shared" si="21"/>
        <v>192569.01305708886</v>
      </c>
      <c r="AL29" s="3">
        <f t="shared" si="21"/>
        <v>0</v>
      </c>
      <c r="AM29" s="3">
        <f t="shared" si="21"/>
        <v>0</v>
      </c>
      <c r="AN29" s="3">
        <f t="shared" si="22"/>
        <v>4890661.0804736288</v>
      </c>
      <c r="AO29" s="7" t="s">
        <v>93</v>
      </c>
      <c r="AP29" s="2" t="s">
        <v>21</v>
      </c>
      <c r="AQ29" s="3">
        <f t="shared" si="23"/>
        <v>71826.175923756164</v>
      </c>
      <c r="AR29" s="3">
        <f t="shared" si="23"/>
        <v>166608.6773483869</v>
      </c>
      <c r="AS29" s="3">
        <f t="shared" si="23"/>
        <v>0</v>
      </c>
      <c r="AT29" s="3">
        <f t="shared" si="23"/>
        <v>0</v>
      </c>
      <c r="AU29" s="3">
        <f t="shared" si="24"/>
        <v>238434.85327214305</v>
      </c>
      <c r="AV29" s="7" t="s">
        <v>93</v>
      </c>
      <c r="AW29" s="2" t="s">
        <v>21</v>
      </c>
      <c r="AX29" s="3">
        <f t="shared" si="25"/>
        <v>4626265.891492784</v>
      </c>
      <c r="AY29" s="3">
        <f t="shared" si="25"/>
        <v>25960.335708701961</v>
      </c>
      <c r="AZ29" s="3">
        <f t="shared" si="25"/>
        <v>0</v>
      </c>
      <c r="BA29" s="3">
        <f t="shared" si="25"/>
        <v>0</v>
      </c>
      <c r="BB29" s="3">
        <f t="shared" si="26"/>
        <v>4652226.227201486</v>
      </c>
      <c r="BC29" s="7" t="s">
        <v>93</v>
      </c>
      <c r="BD29" s="2" t="s">
        <v>21</v>
      </c>
      <c r="BE29" s="3">
        <v>0</v>
      </c>
      <c r="BF29" s="3">
        <v>144.15652903480523</v>
      </c>
      <c r="BG29" s="3">
        <v>0</v>
      </c>
      <c r="BH29" s="3">
        <v>0</v>
      </c>
      <c r="BI29" s="3">
        <v>144.15652903480523</v>
      </c>
      <c r="BJ29" s="7" t="s">
        <v>93</v>
      </c>
      <c r="BK29" s="2" t="s">
        <v>21</v>
      </c>
      <c r="BL29" s="3">
        <v>25120.179672218121</v>
      </c>
      <c r="BM29" s="3">
        <v>0</v>
      </c>
      <c r="BN29" s="3">
        <v>0</v>
      </c>
      <c r="BO29" s="3">
        <v>0</v>
      </c>
      <c r="BP29" s="3">
        <v>25120.179672218121</v>
      </c>
      <c r="BQ29" s="7" t="s">
        <v>93</v>
      </c>
      <c r="BR29" s="2" t="s">
        <v>21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7" t="s">
        <v>93</v>
      </c>
      <c r="BY29" s="2" t="s">
        <v>21</v>
      </c>
      <c r="BZ29" s="3">
        <v>25136.852311447376</v>
      </c>
      <c r="CA29" s="3">
        <v>165649.71543805985</v>
      </c>
      <c r="CB29" s="3">
        <v>0</v>
      </c>
      <c r="CC29" s="3">
        <v>0</v>
      </c>
      <c r="CD29" s="3">
        <v>190786.56774950723</v>
      </c>
      <c r="CE29" s="7" t="s">
        <v>93</v>
      </c>
      <c r="CF29" s="2" t="s">
        <v>21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7" t="s">
        <v>93</v>
      </c>
      <c r="CM29" s="2" t="s">
        <v>21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7" t="s">
        <v>93</v>
      </c>
      <c r="CT29" s="2" t="s">
        <v>21</v>
      </c>
      <c r="CU29" s="3">
        <v>4693.0986195148053</v>
      </c>
      <c r="CV29" s="3">
        <v>0</v>
      </c>
      <c r="CW29" s="3">
        <v>0</v>
      </c>
      <c r="CX29" s="3">
        <v>0</v>
      </c>
      <c r="CY29" s="3">
        <v>4693.0986195148053</v>
      </c>
      <c r="CZ29" s="7" t="s">
        <v>93</v>
      </c>
      <c r="DA29" s="2" t="s">
        <v>21</v>
      </c>
      <c r="DB29" s="3">
        <v>13680.509284567614</v>
      </c>
      <c r="DC29" s="3">
        <v>0</v>
      </c>
      <c r="DD29" s="3">
        <v>0</v>
      </c>
      <c r="DE29" s="3">
        <v>0</v>
      </c>
      <c r="DF29" s="3">
        <v>13680.509284567614</v>
      </c>
      <c r="DG29" s="7" t="s">
        <v>93</v>
      </c>
      <c r="DH29" s="2" t="s">
        <v>21</v>
      </c>
      <c r="DI29" s="3">
        <v>2000.9361106712486</v>
      </c>
      <c r="DJ29" s="3">
        <v>0</v>
      </c>
      <c r="DK29" s="3">
        <v>0</v>
      </c>
      <c r="DL29" s="3">
        <v>0</v>
      </c>
      <c r="DM29" s="3">
        <v>2000.9361106712486</v>
      </c>
      <c r="DN29" s="7" t="s">
        <v>93</v>
      </c>
      <c r="DO29" s="2" t="s">
        <v>21</v>
      </c>
      <c r="DP29" s="3">
        <v>1194.5999253369994</v>
      </c>
      <c r="DQ29" s="3">
        <v>814.8053812922401</v>
      </c>
      <c r="DR29" s="3">
        <v>0</v>
      </c>
      <c r="DS29" s="3">
        <v>0</v>
      </c>
      <c r="DT29" s="3">
        <v>2009.4053066292395</v>
      </c>
      <c r="DU29" s="7" t="s">
        <v>93</v>
      </c>
      <c r="DV29" s="2" t="s">
        <v>21</v>
      </c>
      <c r="DW29" s="3">
        <v>7232.1314662091045</v>
      </c>
      <c r="DX29" s="3">
        <v>0</v>
      </c>
      <c r="DY29" s="3">
        <v>0</v>
      </c>
      <c r="DZ29" s="3">
        <v>0</v>
      </c>
      <c r="EA29" s="3">
        <v>7232.1314662091045</v>
      </c>
      <c r="EB29" s="7" t="s">
        <v>93</v>
      </c>
      <c r="EC29" s="2" t="s">
        <v>21</v>
      </c>
      <c r="ED29" s="3">
        <v>4619033.7600265751</v>
      </c>
      <c r="EE29" s="3">
        <v>25960.335708701961</v>
      </c>
      <c r="EF29" s="3">
        <v>0</v>
      </c>
      <c r="EG29" s="3">
        <v>0</v>
      </c>
      <c r="EH29" s="3">
        <v>4644994.095735277</v>
      </c>
    </row>
    <row r="30" spans="1:138" ht="10.199999999999999" customHeight="1" x14ac:dyDescent="0.2">
      <c r="A30" s="7" t="s">
        <v>115</v>
      </c>
      <c r="B30" s="2" t="s">
        <v>43</v>
      </c>
      <c r="C30" s="3">
        <f t="shared" si="4"/>
        <v>231066.81654535176</v>
      </c>
      <c r="D30" s="3">
        <f t="shared" si="5"/>
        <v>1407.0878538205613</v>
      </c>
      <c r="E30" s="3">
        <f t="shared" si="6"/>
        <v>687592.39015207079</v>
      </c>
      <c r="F30" s="3">
        <f t="shared" si="7"/>
        <v>1687935.9897427184</v>
      </c>
      <c r="G30" s="3">
        <f t="shared" si="8"/>
        <v>159136.97562559336</v>
      </c>
      <c r="H30" s="3">
        <f t="shared" si="9"/>
        <v>0</v>
      </c>
      <c r="I30" s="3">
        <f t="shared" si="10"/>
        <v>271236.89155617682</v>
      </c>
      <c r="J30" s="3">
        <f t="shared" si="11"/>
        <v>10557.963689998975</v>
      </c>
      <c r="K30" s="3">
        <f t="shared" si="12"/>
        <v>83492.456721753915</v>
      </c>
      <c r="L30" s="3">
        <f t="shared" si="13"/>
        <v>637000.64296125213</v>
      </c>
      <c r="M30" s="3">
        <f t="shared" si="14"/>
        <v>2792804.7811613348</v>
      </c>
      <c r="N30" s="3">
        <f t="shared" si="15"/>
        <v>3387636.2452992615</v>
      </c>
      <c r="O30" s="3">
        <f t="shared" si="16"/>
        <v>9949868.2413093336</v>
      </c>
      <c r="P30" s="7" t="s">
        <v>115</v>
      </c>
      <c r="Q30" s="2" t="s">
        <v>43</v>
      </c>
      <c r="R30" s="3">
        <f t="shared" si="17"/>
        <v>231066.81654535176</v>
      </c>
      <c r="S30" s="3">
        <f t="shared" si="17"/>
        <v>1407.0878538205613</v>
      </c>
      <c r="T30" s="3">
        <f t="shared" si="17"/>
        <v>687592.39015207079</v>
      </c>
      <c r="U30" s="3">
        <f t="shared" si="17"/>
        <v>1687935.9897427184</v>
      </c>
      <c r="V30" s="3">
        <f t="shared" si="17"/>
        <v>159136.97562559336</v>
      </c>
      <c r="W30" s="3">
        <f t="shared" ref="W30:AA41" si="27">H30</f>
        <v>0</v>
      </c>
      <c r="X30" s="3">
        <f t="shared" si="27"/>
        <v>271236.89155617682</v>
      </c>
      <c r="Y30" s="3">
        <f t="shared" si="27"/>
        <v>10557.963689998975</v>
      </c>
      <c r="Z30" s="3">
        <f t="shared" si="27"/>
        <v>83492.456721753915</v>
      </c>
      <c r="AA30" s="3">
        <f t="shared" si="27"/>
        <v>637000.64296125213</v>
      </c>
      <c r="AB30" s="3">
        <f t="shared" si="18"/>
        <v>3769427.2148487368</v>
      </c>
      <c r="AC30" s="7" t="s">
        <v>115</v>
      </c>
      <c r="AD30" s="2" t="s">
        <v>43</v>
      </c>
      <c r="AE30" s="3">
        <f t="shared" si="19"/>
        <v>2792804.7811613348</v>
      </c>
      <c r="AF30" s="3">
        <f t="shared" si="19"/>
        <v>3387636.2452992615</v>
      </c>
      <c r="AG30" s="3">
        <f t="shared" si="20"/>
        <v>6180441.0264605964</v>
      </c>
      <c r="AH30" s="7" t="s">
        <v>115</v>
      </c>
      <c r="AI30" s="2" t="s">
        <v>43</v>
      </c>
      <c r="AJ30" s="3">
        <f t="shared" si="21"/>
        <v>6440465.6353218416</v>
      </c>
      <c r="AK30" s="3">
        <f t="shared" si="21"/>
        <v>3319012.246486071</v>
      </c>
      <c r="AL30" s="3">
        <f t="shared" si="21"/>
        <v>190390.35950141985</v>
      </c>
      <c r="AM30" s="3">
        <f t="shared" si="21"/>
        <v>0</v>
      </c>
      <c r="AN30" s="3">
        <f t="shared" si="22"/>
        <v>9949868.2413093317</v>
      </c>
      <c r="AO30" s="7" t="s">
        <v>115</v>
      </c>
      <c r="AP30" s="2" t="s">
        <v>43</v>
      </c>
      <c r="AQ30" s="3">
        <f t="shared" si="23"/>
        <v>3386669.1881887941</v>
      </c>
      <c r="AR30" s="3">
        <f t="shared" si="23"/>
        <v>192367.66715852224</v>
      </c>
      <c r="AS30" s="3">
        <f t="shared" si="23"/>
        <v>190390.35950141985</v>
      </c>
      <c r="AT30" s="3">
        <f t="shared" si="23"/>
        <v>0</v>
      </c>
      <c r="AU30" s="3">
        <f t="shared" si="24"/>
        <v>3769427.2148487363</v>
      </c>
      <c r="AV30" s="7" t="s">
        <v>115</v>
      </c>
      <c r="AW30" s="2" t="s">
        <v>43</v>
      </c>
      <c r="AX30" s="3">
        <f t="shared" si="25"/>
        <v>3053796.4471330475</v>
      </c>
      <c r="AY30" s="3">
        <f t="shared" si="25"/>
        <v>3126644.5793275489</v>
      </c>
      <c r="AZ30" s="3">
        <f t="shared" si="25"/>
        <v>0</v>
      </c>
      <c r="BA30" s="3">
        <f t="shared" si="25"/>
        <v>0</v>
      </c>
      <c r="BB30" s="3">
        <f t="shared" si="26"/>
        <v>6180441.0264605964</v>
      </c>
      <c r="BC30" s="7" t="s">
        <v>115</v>
      </c>
      <c r="BD30" s="2" t="s">
        <v>43</v>
      </c>
      <c r="BE30" s="3">
        <v>231066.81654535176</v>
      </c>
      <c r="BF30" s="3">
        <v>0</v>
      </c>
      <c r="BG30" s="3">
        <v>0</v>
      </c>
      <c r="BH30" s="3">
        <v>0</v>
      </c>
      <c r="BI30" s="3">
        <v>231066.81654535176</v>
      </c>
      <c r="BJ30" s="7" t="s">
        <v>115</v>
      </c>
      <c r="BK30" s="2" t="s">
        <v>43</v>
      </c>
      <c r="BL30" s="3">
        <v>1407.0878538205613</v>
      </c>
      <c r="BM30" s="3">
        <v>0</v>
      </c>
      <c r="BN30" s="3">
        <v>0</v>
      </c>
      <c r="BO30" s="3">
        <v>0</v>
      </c>
      <c r="BP30" s="3">
        <v>1407.0878538205613</v>
      </c>
      <c r="BQ30" s="7" t="s">
        <v>115</v>
      </c>
      <c r="BR30" s="2" t="s">
        <v>43</v>
      </c>
      <c r="BS30" s="3">
        <v>306811.67114923109</v>
      </c>
      <c r="BT30" s="3">
        <v>190390.35950141985</v>
      </c>
      <c r="BU30" s="3">
        <v>190390.35950141985</v>
      </c>
      <c r="BV30" s="3">
        <v>0</v>
      </c>
      <c r="BW30" s="3">
        <v>687592.39015207079</v>
      </c>
      <c r="BX30" s="7" t="s">
        <v>115</v>
      </c>
      <c r="BY30" s="2" t="s">
        <v>43</v>
      </c>
      <c r="BZ30" s="3">
        <v>1687935.9897427184</v>
      </c>
      <c r="CA30" s="3">
        <v>0</v>
      </c>
      <c r="CB30" s="3">
        <v>0</v>
      </c>
      <c r="CC30" s="3">
        <v>0</v>
      </c>
      <c r="CD30" s="3">
        <v>1687935.9897427184</v>
      </c>
      <c r="CE30" s="7" t="s">
        <v>115</v>
      </c>
      <c r="CF30" s="2" t="s">
        <v>43</v>
      </c>
      <c r="CG30" s="3">
        <v>159136.97562559336</v>
      </c>
      <c r="CH30" s="3">
        <v>0</v>
      </c>
      <c r="CI30" s="3">
        <v>0</v>
      </c>
      <c r="CJ30" s="3">
        <v>0</v>
      </c>
      <c r="CK30" s="3">
        <v>159136.97562559336</v>
      </c>
      <c r="CL30" s="7" t="s">
        <v>115</v>
      </c>
      <c r="CM30" s="2" t="s">
        <v>43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7" t="s">
        <v>115</v>
      </c>
      <c r="CT30" s="2" t="s">
        <v>43</v>
      </c>
      <c r="CU30" s="3">
        <v>270814.01734984404</v>
      </c>
      <c r="CV30" s="3">
        <v>422.87420633278481</v>
      </c>
      <c r="CW30" s="3">
        <v>0</v>
      </c>
      <c r="CX30" s="3">
        <v>0</v>
      </c>
      <c r="CY30" s="3">
        <v>271236.89155617682</v>
      </c>
      <c r="CZ30" s="7" t="s">
        <v>115</v>
      </c>
      <c r="DA30" s="2" t="s">
        <v>43</v>
      </c>
      <c r="DB30" s="3">
        <v>81938.023270984297</v>
      </c>
      <c r="DC30" s="3">
        <v>1554.4334507696151</v>
      </c>
      <c r="DD30" s="3">
        <v>0</v>
      </c>
      <c r="DE30" s="3">
        <v>0</v>
      </c>
      <c r="DF30" s="3">
        <v>83492.456721753915</v>
      </c>
      <c r="DG30" s="7" t="s">
        <v>115</v>
      </c>
      <c r="DH30" s="2" t="s">
        <v>43</v>
      </c>
      <c r="DI30" s="3">
        <v>10557.963689998975</v>
      </c>
      <c r="DJ30" s="3">
        <v>0</v>
      </c>
      <c r="DK30" s="3">
        <v>0</v>
      </c>
      <c r="DL30" s="3">
        <v>0</v>
      </c>
      <c r="DM30" s="3">
        <v>10557.963689998975</v>
      </c>
      <c r="DN30" s="7" t="s">
        <v>115</v>
      </c>
      <c r="DO30" s="2" t="s">
        <v>43</v>
      </c>
      <c r="DP30" s="3">
        <v>637000.64296125213</v>
      </c>
      <c r="DQ30" s="3">
        <v>0</v>
      </c>
      <c r="DR30" s="3">
        <v>0</v>
      </c>
      <c r="DS30" s="3">
        <v>0</v>
      </c>
      <c r="DT30" s="3">
        <v>637000.64296125213</v>
      </c>
      <c r="DU30" s="7" t="s">
        <v>115</v>
      </c>
      <c r="DV30" s="2" t="s">
        <v>43</v>
      </c>
      <c r="DW30" s="3">
        <v>605332.72310820175</v>
      </c>
      <c r="DX30" s="3">
        <v>2782303.5221910598</v>
      </c>
      <c r="DY30" s="3">
        <v>0</v>
      </c>
      <c r="DZ30" s="3">
        <v>0</v>
      </c>
      <c r="EA30" s="3">
        <v>3387636.2452992615</v>
      </c>
      <c r="EB30" s="7" t="s">
        <v>115</v>
      </c>
      <c r="EC30" s="2" t="s">
        <v>43</v>
      </c>
      <c r="ED30" s="3">
        <v>2448463.7240248458</v>
      </c>
      <c r="EE30" s="3">
        <v>344341.05713648896</v>
      </c>
      <c r="EF30" s="3">
        <v>0</v>
      </c>
      <c r="EG30" s="3">
        <v>0</v>
      </c>
      <c r="EH30" s="3">
        <v>2792804.7811613348</v>
      </c>
    </row>
    <row r="31" spans="1:138" ht="10.199999999999999" customHeight="1" x14ac:dyDescent="0.2">
      <c r="A31" s="7" t="s">
        <v>111</v>
      </c>
      <c r="B31" s="2" t="s">
        <v>39</v>
      </c>
      <c r="C31" s="3">
        <f t="shared" si="4"/>
        <v>20637.397891241384</v>
      </c>
      <c r="D31" s="3">
        <f t="shared" si="5"/>
        <v>10987.019325756579</v>
      </c>
      <c r="E31" s="3">
        <f t="shared" si="6"/>
        <v>0</v>
      </c>
      <c r="F31" s="3">
        <f t="shared" si="7"/>
        <v>1300469.7018913575</v>
      </c>
      <c r="G31" s="3">
        <f t="shared" si="8"/>
        <v>873.63652344145453</v>
      </c>
      <c r="H31" s="3">
        <f t="shared" si="9"/>
        <v>0</v>
      </c>
      <c r="I31" s="3">
        <f t="shared" si="10"/>
        <v>13003.039627805507</v>
      </c>
      <c r="J31" s="3">
        <f t="shared" si="11"/>
        <v>1053977.24876391</v>
      </c>
      <c r="K31" s="3">
        <f t="shared" si="12"/>
        <v>5223595.0316337328</v>
      </c>
      <c r="L31" s="3">
        <f t="shared" si="13"/>
        <v>245075.88963017869</v>
      </c>
      <c r="M31" s="3">
        <f t="shared" si="14"/>
        <v>3322772.1835661614</v>
      </c>
      <c r="N31" s="3">
        <f t="shared" si="15"/>
        <v>915366.20688783552</v>
      </c>
      <c r="O31" s="3">
        <f t="shared" si="16"/>
        <v>12106757.355741421</v>
      </c>
      <c r="P31" s="7" t="s">
        <v>111</v>
      </c>
      <c r="Q31" s="2" t="s">
        <v>39</v>
      </c>
      <c r="R31" s="3">
        <f t="shared" ref="R31:V41" si="28">C31</f>
        <v>20637.397891241384</v>
      </c>
      <c r="S31" s="3">
        <f t="shared" si="28"/>
        <v>10987.019325756579</v>
      </c>
      <c r="T31" s="3">
        <f t="shared" si="28"/>
        <v>0</v>
      </c>
      <c r="U31" s="3">
        <f t="shared" si="28"/>
        <v>1300469.7018913575</v>
      </c>
      <c r="V31" s="3">
        <f t="shared" si="28"/>
        <v>873.63652344145453</v>
      </c>
      <c r="W31" s="3">
        <f t="shared" si="27"/>
        <v>0</v>
      </c>
      <c r="X31" s="3">
        <f t="shared" si="27"/>
        <v>13003.039627805507</v>
      </c>
      <c r="Y31" s="3">
        <f t="shared" si="27"/>
        <v>1053977.24876391</v>
      </c>
      <c r="Z31" s="3">
        <f t="shared" si="27"/>
        <v>5223595.0316337328</v>
      </c>
      <c r="AA31" s="3">
        <f t="shared" si="27"/>
        <v>245075.88963017869</v>
      </c>
      <c r="AB31" s="3">
        <f t="shared" si="18"/>
        <v>7868618.9652874246</v>
      </c>
      <c r="AC31" s="7" t="s">
        <v>111</v>
      </c>
      <c r="AD31" s="2" t="s">
        <v>39</v>
      </c>
      <c r="AE31" s="3">
        <f t="shared" si="19"/>
        <v>3322772.1835661614</v>
      </c>
      <c r="AF31" s="3">
        <f t="shared" si="19"/>
        <v>915366.20688783552</v>
      </c>
      <c r="AG31" s="3">
        <f t="shared" si="20"/>
        <v>4238138.3904539971</v>
      </c>
      <c r="AH31" s="7" t="s">
        <v>111</v>
      </c>
      <c r="AI31" s="2" t="s">
        <v>39</v>
      </c>
      <c r="AJ31" s="3">
        <f t="shared" si="21"/>
        <v>10827414.496192057</v>
      </c>
      <c r="AK31" s="3">
        <f t="shared" si="21"/>
        <v>716829.85708000383</v>
      </c>
      <c r="AL31" s="3">
        <f t="shared" si="21"/>
        <v>562513.00246936036</v>
      </c>
      <c r="AM31" s="3">
        <f t="shared" si="21"/>
        <v>0</v>
      </c>
      <c r="AN31" s="3">
        <f t="shared" si="22"/>
        <v>12106757.355741421</v>
      </c>
      <c r="AO31" s="7" t="s">
        <v>111</v>
      </c>
      <c r="AP31" s="2" t="s">
        <v>39</v>
      </c>
      <c r="AQ31" s="3">
        <f t="shared" si="23"/>
        <v>7435187.2634001542</v>
      </c>
      <c r="AR31" s="3">
        <f t="shared" si="23"/>
        <v>433431.70188726869</v>
      </c>
      <c r="AS31" s="3">
        <f t="shared" si="23"/>
        <v>0</v>
      </c>
      <c r="AT31" s="3">
        <f t="shared" si="23"/>
        <v>0</v>
      </c>
      <c r="AU31" s="3">
        <f t="shared" si="24"/>
        <v>7868618.9652874228</v>
      </c>
      <c r="AV31" s="7" t="s">
        <v>111</v>
      </c>
      <c r="AW31" s="2" t="s">
        <v>39</v>
      </c>
      <c r="AX31" s="3">
        <f t="shared" si="25"/>
        <v>3392227.2327919016</v>
      </c>
      <c r="AY31" s="3">
        <f t="shared" si="25"/>
        <v>283398.15519273514</v>
      </c>
      <c r="AZ31" s="3">
        <f t="shared" si="25"/>
        <v>562513.00246936036</v>
      </c>
      <c r="BA31" s="3">
        <f t="shared" si="25"/>
        <v>0</v>
      </c>
      <c r="BB31" s="3">
        <f t="shared" si="26"/>
        <v>4238138.3904539971</v>
      </c>
      <c r="BC31" s="7" t="s">
        <v>111</v>
      </c>
      <c r="BD31" s="2" t="s">
        <v>39</v>
      </c>
      <c r="BE31" s="3">
        <v>20637.397891241384</v>
      </c>
      <c r="BF31" s="3">
        <v>0</v>
      </c>
      <c r="BG31" s="3">
        <v>0</v>
      </c>
      <c r="BH31" s="3">
        <v>0</v>
      </c>
      <c r="BI31" s="3">
        <v>20637.397891241384</v>
      </c>
      <c r="BJ31" s="7" t="s">
        <v>111</v>
      </c>
      <c r="BK31" s="2" t="s">
        <v>39</v>
      </c>
      <c r="BL31" s="3">
        <v>10987.019325756579</v>
      </c>
      <c r="BM31" s="3">
        <v>0</v>
      </c>
      <c r="BN31" s="3">
        <v>0</v>
      </c>
      <c r="BO31" s="3">
        <v>0</v>
      </c>
      <c r="BP31" s="3">
        <v>10987.019325756579</v>
      </c>
      <c r="BQ31" s="7" t="s">
        <v>111</v>
      </c>
      <c r="BR31" s="2" t="s">
        <v>39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7" t="s">
        <v>111</v>
      </c>
      <c r="BY31" s="2" t="s">
        <v>39</v>
      </c>
      <c r="BZ31" s="3">
        <v>1300469.7018913575</v>
      </c>
      <c r="CA31" s="3">
        <v>0</v>
      </c>
      <c r="CB31" s="3">
        <v>0</v>
      </c>
      <c r="CC31" s="3">
        <v>0</v>
      </c>
      <c r="CD31" s="3">
        <v>1300469.7018913575</v>
      </c>
      <c r="CE31" s="7" t="s">
        <v>111</v>
      </c>
      <c r="CF31" s="2" t="s">
        <v>39</v>
      </c>
      <c r="CG31" s="3">
        <v>873.63652344145453</v>
      </c>
      <c r="CH31" s="3">
        <v>0</v>
      </c>
      <c r="CI31" s="3">
        <v>0</v>
      </c>
      <c r="CJ31" s="3">
        <v>0</v>
      </c>
      <c r="CK31" s="3">
        <v>873.63652344145453</v>
      </c>
      <c r="CL31" s="7" t="s">
        <v>111</v>
      </c>
      <c r="CM31" s="2" t="s">
        <v>39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7" t="s">
        <v>111</v>
      </c>
      <c r="CT31" s="2" t="s">
        <v>39</v>
      </c>
      <c r="CU31" s="3">
        <v>13003.039627805507</v>
      </c>
      <c r="CV31" s="3">
        <v>0</v>
      </c>
      <c r="CW31" s="3">
        <v>0</v>
      </c>
      <c r="CX31" s="3">
        <v>0</v>
      </c>
      <c r="CY31" s="3">
        <v>13003.039627805507</v>
      </c>
      <c r="CZ31" s="7" t="s">
        <v>111</v>
      </c>
      <c r="DA31" s="2" t="s">
        <v>39</v>
      </c>
      <c r="DB31" s="3">
        <v>5153113.6526824348</v>
      </c>
      <c r="DC31" s="3">
        <v>70481.378951297709</v>
      </c>
      <c r="DD31" s="3">
        <v>0</v>
      </c>
      <c r="DE31" s="3">
        <v>0</v>
      </c>
      <c r="DF31" s="3">
        <v>5223595.0316337328</v>
      </c>
      <c r="DG31" s="7" t="s">
        <v>111</v>
      </c>
      <c r="DH31" s="2" t="s">
        <v>39</v>
      </c>
      <c r="DI31" s="3">
        <v>695005.90428281506</v>
      </c>
      <c r="DJ31" s="3">
        <v>358971.34448109486</v>
      </c>
      <c r="DK31" s="3">
        <v>0</v>
      </c>
      <c r="DL31" s="3">
        <v>0</v>
      </c>
      <c r="DM31" s="3">
        <v>1053977.24876391</v>
      </c>
      <c r="DN31" s="7" t="s">
        <v>111</v>
      </c>
      <c r="DO31" s="2" t="s">
        <v>39</v>
      </c>
      <c r="DP31" s="3">
        <v>241096.91117530258</v>
      </c>
      <c r="DQ31" s="3">
        <v>3978.9784548761199</v>
      </c>
      <c r="DR31" s="3">
        <v>0</v>
      </c>
      <c r="DS31" s="3">
        <v>0</v>
      </c>
      <c r="DT31" s="3">
        <v>245075.88963017869</v>
      </c>
      <c r="DU31" s="7" t="s">
        <v>111</v>
      </c>
      <c r="DV31" s="2" t="s">
        <v>39</v>
      </c>
      <c r="DW31" s="3">
        <v>79632.603219071549</v>
      </c>
      <c r="DX31" s="3">
        <v>273220.60119940364</v>
      </c>
      <c r="DY31" s="3">
        <v>562513.00246936036</v>
      </c>
      <c r="DZ31" s="3">
        <v>0</v>
      </c>
      <c r="EA31" s="3">
        <v>915366.20688783552</v>
      </c>
      <c r="EB31" s="7" t="s">
        <v>111</v>
      </c>
      <c r="EC31" s="2" t="s">
        <v>39</v>
      </c>
      <c r="ED31" s="3">
        <v>3312594.6295728302</v>
      </c>
      <c r="EE31" s="3">
        <v>10177.553993331498</v>
      </c>
      <c r="EF31" s="3">
        <v>0</v>
      </c>
      <c r="EG31" s="3">
        <v>0</v>
      </c>
      <c r="EH31" s="3">
        <v>3322772.1835661614</v>
      </c>
    </row>
    <row r="32" spans="1:138" ht="10.199999999999999" customHeight="1" x14ac:dyDescent="0.2">
      <c r="A32" s="7" t="s">
        <v>118</v>
      </c>
      <c r="B32" s="2" t="s">
        <v>46</v>
      </c>
      <c r="C32" s="3">
        <f t="shared" si="4"/>
        <v>5170.5309958213356</v>
      </c>
      <c r="D32" s="3">
        <f t="shared" si="5"/>
        <v>0</v>
      </c>
      <c r="E32" s="3">
        <f t="shared" si="6"/>
        <v>715444.66203755757</v>
      </c>
      <c r="F32" s="3">
        <f t="shared" si="7"/>
        <v>3628.3570134542847</v>
      </c>
      <c r="G32" s="3">
        <f t="shared" si="8"/>
        <v>222.4678292484156</v>
      </c>
      <c r="H32" s="3">
        <f t="shared" si="9"/>
        <v>0</v>
      </c>
      <c r="I32" s="3">
        <f t="shared" si="10"/>
        <v>0</v>
      </c>
      <c r="J32" s="3">
        <f t="shared" si="11"/>
        <v>14091966.949564625</v>
      </c>
      <c r="K32" s="3">
        <f t="shared" si="12"/>
        <v>3610313.1621129918</v>
      </c>
      <c r="L32" s="3">
        <f t="shared" si="13"/>
        <v>215628.19169337803</v>
      </c>
      <c r="M32" s="3">
        <f t="shared" si="14"/>
        <v>0</v>
      </c>
      <c r="N32" s="3">
        <f t="shared" si="15"/>
        <v>3157.0043639948913</v>
      </c>
      <c r="O32" s="3">
        <f t="shared" si="16"/>
        <v>18645531.32561107</v>
      </c>
      <c r="P32" s="7" t="s">
        <v>118</v>
      </c>
      <c r="Q32" s="2" t="s">
        <v>46</v>
      </c>
      <c r="R32" s="3">
        <f t="shared" si="28"/>
        <v>5170.5309958213356</v>
      </c>
      <c r="S32" s="3">
        <f t="shared" si="28"/>
        <v>0</v>
      </c>
      <c r="T32" s="3">
        <f t="shared" si="28"/>
        <v>715444.66203755757</v>
      </c>
      <c r="U32" s="3">
        <f t="shared" si="28"/>
        <v>3628.3570134542847</v>
      </c>
      <c r="V32" s="3">
        <f t="shared" si="28"/>
        <v>222.4678292484156</v>
      </c>
      <c r="W32" s="3">
        <f t="shared" si="27"/>
        <v>0</v>
      </c>
      <c r="X32" s="3">
        <f t="shared" si="27"/>
        <v>0</v>
      </c>
      <c r="Y32" s="3">
        <f t="shared" si="27"/>
        <v>14091966.949564625</v>
      </c>
      <c r="Z32" s="3">
        <f t="shared" si="27"/>
        <v>3610313.1621129918</v>
      </c>
      <c r="AA32" s="3">
        <f t="shared" si="27"/>
        <v>215628.19169337803</v>
      </c>
      <c r="AB32" s="3">
        <f t="shared" si="18"/>
        <v>18642374.321247075</v>
      </c>
      <c r="AC32" s="7" t="s">
        <v>118</v>
      </c>
      <c r="AD32" s="2" t="s">
        <v>46</v>
      </c>
      <c r="AE32" s="3">
        <f t="shared" si="19"/>
        <v>0</v>
      </c>
      <c r="AF32" s="3">
        <f t="shared" si="19"/>
        <v>3157.0043639948913</v>
      </c>
      <c r="AG32" s="3">
        <f t="shared" si="20"/>
        <v>3157.0043639948913</v>
      </c>
      <c r="AH32" s="7" t="s">
        <v>118</v>
      </c>
      <c r="AI32" s="2" t="s">
        <v>46</v>
      </c>
      <c r="AJ32" s="3">
        <f t="shared" si="21"/>
        <v>16298180.23892509</v>
      </c>
      <c r="AK32" s="3">
        <f t="shared" si="21"/>
        <v>1249845.859340047</v>
      </c>
      <c r="AL32" s="3">
        <f t="shared" si="21"/>
        <v>1097505.2273459346</v>
      </c>
      <c r="AM32" s="3">
        <f t="shared" si="21"/>
        <v>0</v>
      </c>
      <c r="AN32" s="3">
        <f t="shared" si="22"/>
        <v>18645531.325611074</v>
      </c>
      <c r="AO32" s="7" t="s">
        <v>118</v>
      </c>
      <c r="AP32" s="2" t="s">
        <v>46</v>
      </c>
      <c r="AQ32" s="3">
        <f t="shared" si="23"/>
        <v>16295023.234561095</v>
      </c>
      <c r="AR32" s="3">
        <f t="shared" si="23"/>
        <v>1249845.859340047</v>
      </c>
      <c r="AS32" s="3">
        <f t="shared" si="23"/>
        <v>1097505.2273459346</v>
      </c>
      <c r="AT32" s="3">
        <f t="shared" si="23"/>
        <v>0</v>
      </c>
      <c r="AU32" s="3">
        <f t="shared" si="24"/>
        <v>18642374.321247078</v>
      </c>
      <c r="AV32" s="7" t="s">
        <v>118</v>
      </c>
      <c r="AW32" s="2" t="s">
        <v>46</v>
      </c>
      <c r="AX32" s="3">
        <f t="shared" si="25"/>
        <v>3157.0043639948913</v>
      </c>
      <c r="AY32" s="3">
        <f t="shared" si="25"/>
        <v>0</v>
      </c>
      <c r="AZ32" s="3">
        <f t="shared" si="25"/>
        <v>0</v>
      </c>
      <c r="BA32" s="3">
        <f t="shared" si="25"/>
        <v>0</v>
      </c>
      <c r="BB32" s="3">
        <f t="shared" si="26"/>
        <v>3157.0043639948913</v>
      </c>
      <c r="BC32" s="7" t="s">
        <v>118</v>
      </c>
      <c r="BD32" s="2" t="s">
        <v>46</v>
      </c>
      <c r="BE32" s="3">
        <v>5170.5309958213356</v>
      </c>
      <c r="BF32" s="3">
        <v>0</v>
      </c>
      <c r="BG32" s="3">
        <v>0</v>
      </c>
      <c r="BH32" s="3">
        <v>0</v>
      </c>
      <c r="BI32" s="3">
        <v>5170.5309958213356</v>
      </c>
      <c r="BJ32" s="7" t="s">
        <v>118</v>
      </c>
      <c r="BK32" s="2" t="s">
        <v>46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7" t="s">
        <v>118</v>
      </c>
      <c r="BR32" s="2" t="s">
        <v>46</v>
      </c>
      <c r="BS32" s="3">
        <v>715444.66203755757</v>
      </c>
      <c r="BT32" s="3">
        <v>0</v>
      </c>
      <c r="BU32" s="3">
        <v>0</v>
      </c>
      <c r="BV32" s="3">
        <v>0</v>
      </c>
      <c r="BW32" s="3">
        <v>715444.66203755757</v>
      </c>
      <c r="BX32" s="7" t="s">
        <v>118</v>
      </c>
      <c r="BY32" s="2" t="s">
        <v>46</v>
      </c>
      <c r="BZ32" s="3">
        <v>3628.3570134542847</v>
      </c>
      <c r="CA32" s="3">
        <v>0</v>
      </c>
      <c r="CB32" s="3">
        <v>0</v>
      </c>
      <c r="CC32" s="3">
        <v>0</v>
      </c>
      <c r="CD32" s="3">
        <v>3628.3570134542847</v>
      </c>
      <c r="CE32" s="7" t="s">
        <v>118</v>
      </c>
      <c r="CF32" s="2" t="s">
        <v>46</v>
      </c>
      <c r="CG32" s="3">
        <v>222.4678292484156</v>
      </c>
      <c r="CH32" s="3">
        <v>0</v>
      </c>
      <c r="CI32" s="3">
        <v>0</v>
      </c>
      <c r="CJ32" s="3">
        <v>0</v>
      </c>
      <c r="CK32" s="3">
        <v>222.4678292484156</v>
      </c>
      <c r="CL32" s="7" t="s">
        <v>118</v>
      </c>
      <c r="CM32" s="2" t="s">
        <v>46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7" t="s">
        <v>118</v>
      </c>
      <c r="CT32" s="2" t="s">
        <v>46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7" t="s">
        <v>118</v>
      </c>
      <c r="DA32" s="2" t="s">
        <v>46</v>
      </c>
      <c r="DB32" s="3">
        <v>1286595.6512255047</v>
      </c>
      <c r="DC32" s="3">
        <v>1226212.2835415527</v>
      </c>
      <c r="DD32" s="3">
        <v>1097505.2273459346</v>
      </c>
      <c r="DE32" s="3">
        <v>0</v>
      </c>
      <c r="DF32" s="3">
        <v>3610313.1621129918</v>
      </c>
      <c r="DG32" s="7" t="s">
        <v>118</v>
      </c>
      <c r="DH32" s="2" t="s">
        <v>46</v>
      </c>
      <c r="DI32" s="3">
        <v>14091966.949564625</v>
      </c>
      <c r="DJ32" s="3">
        <v>0</v>
      </c>
      <c r="DK32" s="3">
        <v>0</v>
      </c>
      <c r="DL32" s="3">
        <v>0</v>
      </c>
      <c r="DM32" s="3">
        <v>14091966.949564625</v>
      </c>
      <c r="DN32" s="7" t="s">
        <v>118</v>
      </c>
      <c r="DO32" s="2" t="s">
        <v>46</v>
      </c>
      <c r="DP32" s="3">
        <v>191994.61589488373</v>
      </c>
      <c r="DQ32" s="3">
        <v>23633.575798494294</v>
      </c>
      <c r="DR32" s="3">
        <v>0</v>
      </c>
      <c r="DS32" s="3">
        <v>0</v>
      </c>
      <c r="DT32" s="3">
        <v>215628.19169337803</v>
      </c>
      <c r="DU32" s="7" t="s">
        <v>118</v>
      </c>
      <c r="DV32" s="2" t="s">
        <v>46</v>
      </c>
      <c r="DW32" s="3">
        <v>3157.0043639948913</v>
      </c>
      <c r="DX32" s="3">
        <v>0</v>
      </c>
      <c r="DY32" s="3">
        <v>0</v>
      </c>
      <c r="DZ32" s="3">
        <v>0</v>
      </c>
      <c r="EA32" s="3">
        <v>3157.0043639948913</v>
      </c>
      <c r="EB32" s="7" t="s">
        <v>118</v>
      </c>
      <c r="EC32" s="2" t="s">
        <v>46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</row>
    <row r="33" spans="1:138" ht="10.199999999999999" customHeight="1" x14ac:dyDescent="0.2">
      <c r="A33" s="7" t="s">
        <v>124</v>
      </c>
      <c r="B33" s="2" t="s">
        <v>52</v>
      </c>
      <c r="C33" s="3">
        <f t="shared" si="4"/>
        <v>0</v>
      </c>
      <c r="D33" s="3">
        <f t="shared" si="5"/>
        <v>1644.1659282346945</v>
      </c>
      <c r="E33" s="3">
        <f t="shared" si="6"/>
        <v>0</v>
      </c>
      <c r="F33" s="3">
        <f t="shared" si="7"/>
        <v>458705.79134795064</v>
      </c>
      <c r="G33" s="3">
        <f t="shared" si="8"/>
        <v>3403972.8941071052</v>
      </c>
      <c r="H33" s="3">
        <f t="shared" si="9"/>
        <v>15865.863291784985</v>
      </c>
      <c r="I33" s="3">
        <f t="shared" si="10"/>
        <v>15.376696430379225</v>
      </c>
      <c r="J33" s="3">
        <f t="shared" si="11"/>
        <v>80.407308417191373</v>
      </c>
      <c r="K33" s="3">
        <f t="shared" si="12"/>
        <v>0</v>
      </c>
      <c r="L33" s="3">
        <f t="shared" si="13"/>
        <v>2291529.543572261</v>
      </c>
      <c r="M33" s="3">
        <f t="shared" si="14"/>
        <v>1756969.6307773751</v>
      </c>
      <c r="N33" s="3">
        <f t="shared" si="15"/>
        <v>3709.5444752042322</v>
      </c>
      <c r="O33" s="3">
        <f t="shared" si="16"/>
        <v>7932493.217504764</v>
      </c>
      <c r="P33" s="7" t="s">
        <v>124</v>
      </c>
      <c r="Q33" s="2" t="s">
        <v>52</v>
      </c>
      <c r="R33" s="3">
        <f t="shared" si="28"/>
        <v>0</v>
      </c>
      <c r="S33" s="3">
        <f t="shared" si="28"/>
        <v>1644.1659282346945</v>
      </c>
      <c r="T33" s="3">
        <f t="shared" si="28"/>
        <v>0</v>
      </c>
      <c r="U33" s="3">
        <f t="shared" si="28"/>
        <v>458705.79134795064</v>
      </c>
      <c r="V33" s="3">
        <f t="shared" si="28"/>
        <v>3403972.8941071052</v>
      </c>
      <c r="W33" s="3">
        <f t="shared" si="27"/>
        <v>15865.863291784985</v>
      </c>
      <c r="X33" s="3">
        <f t="shared" si="27"/>
        <v>15.376696430379225</v>
      </c>
      <c r="Y33" s="3">
        <f t="shared" si="27"/>
        <v>80.407308417191373</v>
      </c>
      <c r="Z33" s="3">
        <f t="shared" si="27"/>
        <v>0</v>
      </c>
      <c r="AA33" s="3">
        <f t="shared" si="27"/>
        <v>2291529.543572261</v>
      </c>
      <c r="AB33" s="3">
        <f t="shared" si="18"/>
        <v>6171814.0422521848</v>
      </c>
      <c r="AC33" s="7" t="s">
        <v>124</v>
      </c>
      <c r="AD33" s="2" t="s">
        <v>52</v>
      </c>
      <c r="AE33" s="3">
        <f t="shared" si="19"/>
        <v>1756969.6307773751</v>
      </c>
      <c r="AF33" s="3">
        <f t="shared" si="19"/>
        <v>3709.5444752042322</v>
      </c>
      <c r="AG33" s="3">
        <f t="shared" si="20"/>
        <v>1760679.1752525794</v>
      </c>
      <c r="AH33" s="7" t="s">
        <v>124</v>
      </c>
      <c r="AI33" s="2" t="s">
        <v>52</v>
      </c>
      <c r="AJ33" s="3">
        <f t="shared" si="21"/>
        <v>5945569.5570787229</v>
      </c>
      <c r="AK33" s="3">
        <f t="shared" si="21"/>
        <v>1983562.3354274081</v>
      </c>
      <c r="AL33" s="3">
        <f t="shared" si="21"/>
        <v>3361.3249986318574</v>
      </c>
      <c r="AM33" s="3">
        <f t="shared" si="21"/>
        <v>0</v>
      </c>
      <c r="AN33" s="3">
        <f t="shared" si="22"/>
        <v>7932493.217504763</v>
      </c>
      <c r="AO33" s="7" t="s">
        <v>124</v>
      </c>
      <c r="AP33" s="2" t="s">
        <v>52</v>
      </c>
      <c r="AQ33" s="3">
        <f t="shared" si="23"/>
        <v>4304585.1824785816</v>
      </c>
      <c r="AR33" s="3">
        <f t="shared" si="23"/>
        <v>1867228.8597736023</v>
      </c>
      <c r="AS33" s="3">
        <f t="shared" si="23"/>
        <v>0</v>
      </c>
      <c r="AT33" s="3">
        <f t="shared" si="23"/>
        <v>0</v>
      </c>
      <c r="AU33" s="3">
        <f t="shared" si="24"/>
        <v>6171814.0422521839</v>
      </c>
      <c r="AV33" s="7" t="s">
        <v>124</v>
      </c>
      <c r="AW33" s="2" t="s">
        <v>52</v>
      </c>
      <c r="AX33" s="3">
        <f t="shared" si="25"/>
        <v>1640984.3746001415</v>
      </c>
      <c r="AY33" s="3">
        <f t="shared" si="25"/>
        <v>116333.47565380584</v>
      </c>
      <c r="AZ33" s="3">
        <f t="shared" si="25"/>
        <v>3361.3249986318574</v>
      </c>
      <c r="BA33" s="3">
        <f t="shared" si="25"/>
        <v>0</v>
      </c>
      <c r="BB33" s="3">
        <f t="shared" si="26"/>
        <v>1760679.1752525792</v>
      </c>
      <c r="BC33" s="7" t="s">
        <v>124</v>
      </c>
      <c r="BD33" s="2" t="s">
        <v>52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7" t="s">
        <v>124</v>
      </c>
      <c r="BK33" s="2" t="s">
        <v>52</v>
      </c>
      <c r="BL33" s="3">
        <v>1644.1659282346945</v>
      </c>
      <c r="BM33" s="3">
        <v>0</v>
      </c>
      <c r="BN33" s="3">
        <v>0</v>
      </c>
      <c r="BO33" s="3">
        <v>0</v>
      </c>
      <c r="BP33" s="3">
        <v>1644.1659282346945</v>
      </c>
      <c r="BQ33" s="7" t="s">
        <v>124</v>
      </c>
      <c r="BR33" s="2" t="s">
        <v>52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7" t="s">
        <v>124</v>
      </c>
      <c r="BY33" s="2" t="s">
        <v>52</v>
      </c>
      <c r="BZ33" s="3">
        <v>66205.17780207294</v>
      </c>
      <c r="CA33" s="3">
        <v>392500.61354587768</v>
      </c>
      <c r="CB33" s="3">
        <v>0</v>
      </c>
      <c r="CC33" s="3">
        <v>0</v>
      </c>
      <c r="CD33" s="3">
        <v>458705.79134795064</v>
      </c>
      <c r="CE33" s="7" t="s">
        <v>124</v>
      </c>
      <c r="CF33" s="2" t="s">
        <v>52</v>
      </c>
      <c r="CG33" s="3">
        <v>1946768.6711845421</v>
      </c>
      <c r="CH33" s="3">
        <v>1457204.2229225631</v>
      </c>
      <c r="CI33" s="3">
        <v>0</v>
      </c>
      <c r="CJ33" s="3">
        <v>0</v>
      </c>
      <c r="CK33" s="3">
        <v>3403972.8941071052</v>
      </c>
      <c r="CL33" s="7" t="s">
        <v>124</v>
      </c>
      <c r="CM33" s="2" t="s">
        <v>52</v>
      </c>
      <c r="CN33" s="3">
        <v>0</v>
      </c>
      <c r="CO33" s="3">
        <v>15865.863291784985</v>
      </c>
      <c r="CP33" s="3">
        <v>0</v>
      </c>
      <c r="CQ33" s="3">
        <v>0</v>
      </c>
      <c r="CR33" s="3">
        <v>15865.863291784985</v>
      </c>
      <c r="CS33" s="7" t="s">
        <v>124</v>
      </c>
      <c r="CT33" s="2" t="s">
        <v>52</v>
      </c>
      <c r="CU33" s="3">
        <v>0</v>
      </c>
      <c r="CV33" s="3">
        <v>15.376696430379225</v>
      </c>
      <c r="CW33" s="3">
        <v>0</v>
      </c>
      <c r="CX33" s="3">
        <v>0</v>
      </c>
      <c r="CY33" s="3">
        <v>15.376696430379225</v>
      </c>
      <c r="CZ33" s="7" t="s">
        <v>124</v>
      </c>
      <c r="DA33" s="2" t="s">
        <v>52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7" t="s">
        <v>124</v>
      </c>
      <c r="DH33" s="2" t="s">
        <v>52</v>
      </c>
      <c r="DI33" s="3">
        <v>80.407308417191373</v>
      </c>
      <c r="DJ33" s="3">
        <v>0</v>
      </c>
      <c r="DK33" s="3">
        <v>0</v>
      </c>
      <c r="DL33" s="3">
        <v>0</v>
      </c>
      <c r="DM33" s="3">
        <v>80.407308417191373</v>
      </c>
      <c r="DN33" s="7" t="s">
        <v>124</v>
      </c>
      <c r="DO33" s="2" t="s">
        <v>52</v>
      </c>
      <c r="DP33" s="3">
        <v>2289886.7602553144</v>
      </c>
      <c r="DQ33" s="3">
        <v>1642.7833169464673</v>
      </c>
      <c r="DR33" s="3">
        <v>0</v>
      </c>
      <c r="DS33" s="3">
        <v>0</v>
      </c>
      <c r="DT33" s="3">
        <v>2291529.543572261</v>
      </c>
      <c r="DU33" s="7" t="s">
        <v>124</v>
      </c>
      <c r="DV33" s="2" t="s">
        <v>52</v>
      </c>
      <c r="DW33" s="3">
        <v>1.5407941441255517</v>
      </c>
      <c r="DX33" s="3">
        <v>346.67868242824915</v>
      </c>
      <c r="DY33" s="3">
        <v>3361.3249986318574</v>
      </c>
      <c r="DZ33" s="3">
        <v>0</v>
      </c>
      <c r="EA33" s="3">
        <v>3709.5444752042322</v>
      </c>
      <c r="EB33" s="7" t="s">
        <v>124</v>
      </c>
      <c r="EC33" s="2" t="s">
        <v>52</v>
      </c>
      <c r="ED33" s="3">
        <v>1640982.8338059974</v>
      </c>
      <c r="EE33" s="3">
        <v>115986.7969713776</v>
      </c>
      <c r="EF33" s="3">
        <v>0</v>
      </c>
      <c r="EG33" s="3">
        <v>0</v>
      </c>
      <c r="EH33" s="3">
        <v>1756969.6307773751</v>
      </c>
    </row>
    <row r="34" spans="1:138" ht="10.199999999999999" customHeight="1" x14ac:dyDescent="0.2">
      <c r="A34" s="7" t="s">
        <v>123</v>
      </c>
      <c r="B34" s="2" t="s">
        <v>51</v>
      </c>
      <c r="C34" s="3">
        <f t="shared" si="4"/>
        <v>0</v>
      </c>
      <c r="D34" s="3">
        <f t="shared" si="5"/>
        <v>5910.3257692718817</v>
      </c>
      <c r="E34" s="3">
        <f t="shared" si="6"/>
        <v>0</v>
      </c>
      <c r="F34" s="3">
        <f t="shared" si="7"/>
        <v>2094.1490957701026</v>
      </c>
      <c r="G34" s="3">
        <f t="shared" si="8"/>
        <v>0</v>
      </c>
      <c r="H34" s="3">
        <f t="shared" si="9"/>
        <v>0</v>
      </c>
      <c r="I34" s="3">
        <f t="shared" si="10"/>
        <v>2115.443199451357</v>
      </c>
      <c r="J34" s="3">
        <f t="shared" si="11"/>
        <v>0</v>
      </c>
      <c r="K34" s="3">
        <f t="shared" si="12"/>
        <v>2212.4981171651998</v>
      </c>
      <c r="L34" s="3">
        <f t="shared" si="13"/>
        <v>40613.458395843205</v>
      </c>
      <c r="M34" s="3">
        <f t="shared" si="14"/>
        <v>655828.88901660684</v>
      </c>
      <c r="N34" s="3">
        <f t="shared" si="15"/>
        <v>10268.796164076579</v>
      </c>
      <c r="O34" s="3">
        <f t="shared" si="16"/>
        <v>719043.55975818518</v>
      </c>
      <c r="P34" s="7" t="s">
        <v>123</v>
      </c>
      <c r="Q34" s="2" t="s">
        <v>51</v>
      </c>
      <c r="R34" s="3">
        <f t="shared" si="28"/>
        <v>0</v>
      </c>
      <c r="S34" s="3">
        <f t="shared" si="28"/>
        <v>5910.3257692718817</v>
      </c>
      <c r="T34" s="3">
        <f t="shared" si="28"/>
        <v>0</v>
      </c>
      <c r="U34" s="3">
        <f t="shared" si="28"/>
        <v>2094.1490957701026</v>
      </c>
      <c r="V34" s="3">
        <f t="shared" si="28"/>
        <v>0</v>
      </c>
      <c r="W34" s="3">
        <f t="shared" si="27"/>
        <v>0</v>
      </c>
      <c r="X34" s="3">
        <f t="shared" si="27"/>
        <v>2115.443199451357</v>
      </c>
      <c r="Y34" s="3">
        <f t="shared" si="27"/>
        <v>0</v>
      </c>
      <c r="Z34" s="3">
        <f t="shared" si="27"/>
        <v>2212.4981171651998</v>
      </c>
      <c r="AA34" s="3">
        <f t="shared" si="27"/>
        <v>40613.458395843205</v>
      </c>
      <c r="AB34" s="3">
        <f t="shared" si="18"/>
        <v>52945.874577501745</v>
      </c>
      <c r="AC34" s="7" t="s">
        <v>123</v>
      </c>
      <c r="AD34" s="2" t="s">
        <v>51</v>
      </c>
      <c r="AE34" s="3">
        <f t="shared" si="19"/>
        <v>655828.88901660684</v>
      </c>
      <c r="AF34" s="3">
        <f t="shared" si="19"/>
        <v>10268.796164076579</v>
      </c>
      <c r="AG34" s="3">
        <f t="shared" si="20"/>
        <v>666097.68518068339</v>
      </c>
      <c r="AH34" s="7" t="s">
        <v>123</v>
      </c>
      <c r="AI34" s="2" t="s">
        <v>51</v>
      </c>
      <c r="AJ34" s="3">
        <f t="shared" si="21"/>
        <v>121927.43486060295</v>
      </c>
      <c r="AK34" s="3">
        <f t="shared" si="21"/>
        <v>597116.12489758222</v>
      </c>
      <c r="AL34" s="3">
        <f t="shared" si="21"/>
        <v>0</v>
      </c>
      <c r="AM34" s="3">
        <f t="shared" si="21"/>
        <v>0</v>
      </c>
      <c r="AN34" s="3">
        <f t="shared" si="22"/>
        <v>719043.55975818518</v>
      </c>
      <c r="AO34" s="7" t="s">
        <v>123</v>
      </c>
      <c r="AP34" s="2" t="s">
        <v>51</v>
      </c>
      <c r="AQ34" s="3">
        <f t="shared" si="23"/>
        <v>38743.649129493228</v>
      </c>
      <c r="AR34" s="3">
        <f t="shared" si="23"/>
        <v>14202.225448008518</v>
      </c>
      <c r="AS34" s="3">
        <f t="shared" si="23"/>
        <v>0</v>
      </c>
      <c r="AT34" s="3">
        <f t="shared" si="23"/>
        <v>0</v>
      </c>
      <c r="AU34" s="3">
        <f t="shared" si="24"/>
        <v>52945.874577501745</v>
      </c>
      <c r="AV34" s="7" t="s">
        <v>123</v>
      </c>
      <c r="AW34" s="2" t="s">
        <v>51</v>
      </c>
      <c r="AX34" s="3">
        <f t="shared" si="25"/>
        <v>83183.785731109732</v>
      </c>
      <c r="AY34" s="3">
        <f t="shared" si="25"/>
        <v>582913.89944957371</v>
      </c>
      <c r="AZ34" s="3">
        <f t="shared" si="25"/>
        <v>0</v>
      </c>
      <c r="BA34" s="3">
        <f t="shared" si="25"/>
        <v>0</v>
      </c>
      <c r="BB34" s="3">
        <f t="shared" si="26"/>
        <v>666097.68518068339</v>
      </c>
      <c r="BC34" s="7" t="s">
        <v>123</v>
      </c>
      <c r="BD34" s="2" t="s">
        <v>51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7" t="s">
        <v>123</v>
      </c>
      <c r="BK34" s="2" t="s">
        <v>51</v>
      </c>
      <c r="BL34" s="3">
        <v>1466.5967469378479</v>
      </c>
      <c r="BM34" s="3">
        <v>4443.7290223340342</v>
      </c>
      <c r="BN34" s="3">
        <v>0</v>
      </c>
      <c r="BO34" s="3">
        <v>0</v>
      </c>
      <c r="BP34" s="3">
        <v>5910.3257692718817</v>
      </c>
      <c r="BQ34" s="7" t="s">
        <v>123</v>
      </c>
      <c r="BR34" s="2" t="s">
        <v>51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7" t="s">
        <v>123</v>
      </c>
      <c r="BY34" s="2" t="s">
        <v>51</v>
      </c>
      <c r="BZ34" s="3">
        <v>22.424348960969706</v>
      </c>
      <c r="CA34" s="3">
        <v>2071.7247468091327</v>
      </c>
      <c r="CB34" s="3">
        <v>0</v>
      </c>
      <c r="CC34" s="3">
        <v>0</v>
      </c>
      <c r="CD34" s="3">
        <v>2094.1490957701026</v>
      </c>
      <c r="CE34" s="7" t="s">
        <v>123</v>
      </c>
      <c r="CF34" s="2" t="s">
        <v>51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7" t="s">
        <v>123</v>
      </c>
      <c r="CM34" s="2" t="s">
        <v>51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7" t="s">
        <v>123</v>
      </c>
      <c r="CT34" s="2" t="s">
        <v>51</v>
      </c>
      <c r="CU34" s="3">
        <v>9.6104352689870147</v>
      </c>
      <c r="CV34" s="3">
        <v>2105.8327641823698</v>
      </c>
      <c r="CW34" s="3">
        <v>0</v>
      </c>
      <c r="CX34" s="3">
        <v>0</v>
      </c>
      <c r="CY34" s="3">
        <v>2115.443199451357</v>
      </c>
      <c r="CZ34" s="7" t="s">
        <v>123</v>
      </c>
      <c r="DA34" s="2" t="s">
        <v>51</v>
      </c>
      <c r="DB34" s="3">
        <v>635.23826265295236</v>
      </c>
      <c r="DC34" s="3">
        <v>1577.2598545122473</v>
      </c>
      <c r="DD34" s="3">
        <v>0</v>
      </c>
      <c r="DE34" s="3">
        <v>0</v>
      </c>
      <c r="DF34" s="3">
        <v>2212.4981171651998</v>
      </c>
      <c r="DG34" s="7" t="s">
        <v>123</v>
      </c>
      <c r="DH34" s="2" t="s">
        <v>51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7" t="s">
        <v>123</v>
      </c>
      <c r="DO34" s="2" t="s">
        <v>51</v>
      </c>
      <c r="DP34" s="3">
        <v>36609.779335672472</v>
      </c>
      <c r="DQ34" s="3">
        <v>4003.6790601707344</v>
      </c>
      <c r="DR34" s="3">
        <v>0</v>
      </c>
      <c r="DS34" s="3">
        <v>0</v>
      </c>
      <c r="DT34" s="3">
        <v>40613.458395843205</v>
      </c>
      <c r="DU34" s="7" t="s">
        <v>123</v>
      </c>
      <c r="DV34" s="2" t="s">
        <v>51</v>
      </c>
      <c r="DW34" s="3">
        <v>0</v>
      </c>
      <c r="DX34" s="3">
        <v>10268.796164076579</v>
      </c>
      <c r="DY34" s="3">
        <v>0</v>
      </c>
      <c r="DZ34" s="3">
        <v>0</v>
      </c>
      <c r="EA34" s="3">
        <v>10268.796164076579</v>
      </c>
      <c r="EB34" s="7" t="s">
        <v>123</v>
      </c>
      <c r="EC34" s="2" t="s">
        <v>51</v>
      </c>
      <c r="ED34" s="3">
        <v>83183.785731109732</v>
      </c>
      <c r="EE34" s="3">
        <v>572645.10328549717</v>
      </c>
      <c r="EF34" s="3">
        <v>0</v>
      </c>
      <c r="EG34" s="3">
        <v>0</v>
      </c>
      <c r="EH34" s="3">
        <v>655828.88901660684</v>
      </c>
    </row>
    <row r="35" spans="1:138" ht="10.199999999999999" customHeight="1" x14ac:dyDescent="0.2">
      <c r="A35" s="7" t="s">
        <v>126</v>
      </c>
      <c r="B35" s="2" t="s">
        <v>54</v>
      </c>
      <c r="C35" s="3">
        <f t="shared" si="4"/>
        <v>0</v>
      </c>
      <c r="D35" s="3">
        <f t="shared" si="5"/>
        <v>0</v>
      </c>
      <c r="E35" s="3">
        <f t="shared" si="6"/>
        <v>0</v>
      </c>
      <c r="F35" s="3">
        <f t="shared" si="7"/>
        <v>21803.563831334137</v>
      </c>
      <c r="G35" s="3">
        <f t="shared" si="8"/>
        <v>0</v>
      </c>
      <c r="H35" s="3">
        <f t="shared" si="9"/>
        <v>0</v>
      </c>
      <c r="I35" s="3">
        <f t="shared" si="10"/>
        <v>99.615870304917749</v>
      </c>
      <c r="J35" s="3">
        <f t="shared" si="11"/>
        <v>0</v>
      </c>
      <c r="K35" s="3">
        <f t="shared" si="12"/>
        <v>0</v>
      </c>
      <c r="L35" s="3">
        <f t="shared" si="13"/>
        <v>197.0639576383827</v>
      </c>
      <c r="M35" s="3">
        <f t="shared" si="14"/>
        <v>0</v>
      </c>
      <c r="N35" s="3">
        <f t="shared" si="15"/>
        <v>0</v>
      </c>
      <c r="O35" s="3">
        <f t="shared" si="16"/>
        <v>22100.243659277439</v>
      </c>
      <c r="P35" s="7" t="s">
        <v>126</v>
      </c>
      <c r="Q35" s="2" t="s">
        <v>54</v>
      </c>
      <c r="R35" s="3">
        <f t="shared" si="28"/>
        <v>0</v>
      </c>
      <c r="S35" s="3">
        <f t="shared" si="28"/>
        <v>0</v>
      </c>
      <c r="T35" s="3">
        <f t="shared" si="28"/>
        <v>0</v>
      </c>
      <c r="U35" s="3">
        <f t="shared" si="28"/>
        <v>21803.563831334137</v>
      </c>
      <c r="V35" s="3">
        <f t="shared" si="28"/>
        <v>0</v>
      </c>
      <c r="W35" s="3">
        <f t="shared" si="27"/>
        <v>0</v>
      </c>
      <c r="X35" s="3">
        <f t="shared" si="27"/>
        <v>99.615870304917749</v>
      </c>
      <c r="Y35" s="3">
        <f t="shared" si="27"/>
        <v>0</v>
      </c>
      <c r="Z35" s="3">
        <f t="shared" si="27"/>
        <v>0</v>
      </c>
      <c r="AA35" s="3">
        <f t="shared" si="27"/>
        <v>197.0639576383827</v>
      </c>
      <c r="AB35" s="3">
        <f t="shared" si="18"/>
        <v>22100.243659277439</v>
      </c>
      <c r="AC35" s="7" t="s">
        <v>126</v>
      </c>
      <c r="AD35" s="2" t="s">
        <v>54</v>
      </c>
      <c r="AE35" s="3">
        <f t="shared" si="19"/>
        <v>0</v>
      </c>
      <c r="AF35" s="3">
        <f t="shared" si="19"/>
        <v>0</v>
      </c>
      <c r="AG35" s="3">
        <f t="shared" si="20"/>
        <v>0</v>
      </c>
      <c r="AH35" s="7" t="s">
        <v>126</v>
      </c>
      <c r="AI35" s="2" t="s">
        <v>54</v>
      </c>
      <c r="AJ35" s="3">
        <f t="shared" si="21"/>
        <v>208.27613211886757</v>
      </c>
      <c r="AK35" s="3">
        <f t="shared" si="21"/>
        <v>21891.967527158569</v>
      </c>
      <c r="AL35" s="3">
        <f t="shared" si="21"/>
        <v>0</v>
      </c>
      <c r="AM35" s="3">
        <f t="shared" si="21"/>
        <v>0</v>
      </c>
      <c r="AN35" s="3">
        <f t="shared" si="22"/>
        <v>22100.243659277436</v>
      </c>
      <c r="AO35" s="7" t="s">
        <v>126</v>
      </c>
      <c r="AP35" s="2" t="s">
        <v>54</v>
      </c>
      <c r="AQ35" s="3">
        <f t="shared" si="23"/>
        <v>208.27613211886757</v>
      </c>
      <c r="AR35" s="3">
        <f t="shared" si="23"/>
        <v>21891.967527158569</v>
      </c>
      <c r="AS35" s="3">
        <f t="shared" si="23"/>
        <v>0</v>
      </c>
      <c r="AT35" s="3">
        <f t="shared" si="23"/>
        <v>0</v>
      </c>
      <c r="AU35" s="3">
        <f t="shared" si="24"/>
        <v>22100.243659277436</v>
      </c>
      <c r="AV35" s="7" t="s">
        <v>126</v>
      </c>
      <c r="AW35" s="2" t="s">
        <v>54</v>
      </c>
      <c r="AX35" s="3">
        <f t="shared" si="25"/>
        <v>0</v>
      </c>
      <c r="AY35" s="3">
        <f t="shared" si="25"/>
        <v>0</v>
      </c>
      <c r="AZ35" s="3">
        <f t="shared" si="25"/>
        <v>0</v>
      </c>
      <c r="BA35" s="3">
        <f t="shared" si="25"/>
        <v>0</v>
      </c>
      <c r="BB35" s="3">
        <f t="shared" si="26"/>
        <v>0</v>
      </c>
      <c r="BC35" s="7" t="s">
        <v>126</v>
      </c>
      <c r="BD35" s="2" t="s">
        <v>54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7" t="s">
        <v>126</v>
      </c>
      <c r="BK35" s="2" t="s">
        <v>54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7" t="s">
        <v>126</v>
      </c>
      <c r="BR35" s="2" t="s">
        <v>54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7" t="s">
        <v>126</v>
      </c>
      <c r="BY35" s="2" t="s">
        <v>54</v>
      </c>
      <c r="BZ35" s="3">
        <v>0</v>
      </c>
      <c r="CA35" s="3">
        <v>21803.563831334137</v>
      </c>
      <c r="CB35" s="3">
        <v>0</v>
      </c>
      <c r="CC35" s="3">
        <v>0</v>
      </c>
      <c r="CD35" s="3">
        <v>21803.563831334137</v>
      </c>
      <c r="CE35" s="7" t="s">
        <v>126</v>
      </c>
      <c r="CF35" s="2" t="s">
        <v>54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7" t="s">
        <v>126</v>
      </c>
      <c r="CM35" s="2" t="s">
        <v>54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7" t="s">
        <v>126</v>
      </c>
      <c r="CT35" s="2" t="s">
        <v>54</v>
      </c>
      <c r="CU35" s="3">
        <v>11.212174480484851</v>
      </c>
      <c r="CV35" s="3">
        <v>88.403695824432901</v>
      </c>
      <c r="CW35" s="3">
        <v>0</v>
      </c>
      <c r="CX35" s="3">
        <v>0</v>
      </c>
      <c r="CY35" s="3">
        <v>99.615870304917749</v>
      </c>
      <c r="CZ35" s="7" t="s">
        <v>126</v>
      </c>
      <c r="DA35" s="2" t="s">
        <v>54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7" t="s">
        <v>126</v>
      </c>
      <c r="DH35" s="2" t="s">
        <v>54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7" t="s">
        <v>126</v>
      </c>
      <c r="DO35" s="2" t="s">
        <v>54</v>
      </c>
      <c r="DP35" s="3">
        <v>197.0639576383827</v>
      </c>
      <c r="DQ35" s="3">
        <v>0</v>
      </c>
      <c r="DR35" s="3">
        <v>0</v>
      </c>
      <c r="DS35" s="3">
        <v>0</v>
      </c>
      <c r="DT35" s="3">
        <v>197.0639576383827</v>
      </c>
      <c r="DU35" s="7" t="s">
        <v>126</v>
      </c>
      <c r="DV35" s="2" t="s">
        <v>54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7" t="s">
        <v>126</v>
      </c>
      <c r="EC35" s="2" t="s">
        <v>54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</row>
    <row r="36" spans="1:138" ht="10.199999999999999" customHeight="1" x14ac:dyDescent="0.2">
      <c r="A36" s="7" t="s">
        <v>129</v>
      </c>
      <c r="B36" s="2" t="s">
        <v>57</v>
      </c>
      <c r="C36" s="3">
        <f t="shared" si="4"/>
        <v>9827.3167274594325</v>
      </c>
      <c r="D36" s="3">
        <f t="shared" si="5"/>
        <v>1400267.7801301305</v>
      </c>
      <c r="E36" s="3">
        <f t="shared" si="6"/>
        <v>12968210.947669316</v>
      </c>
      <c r="F36" s="3">
        <f t="shared" si="7"/>
        <v>93723.91814840505</v>
      </c>
      <c r="G36" s="3">
        <f t="shared" si="8"/>
        <v>287187.76306050166</v>
      </c>
      <c r="H36" s="3">
        <f t="shared" si="9"/>
        <v>0</v>
      </c>
      <c r="I36" s="3">
        <f t="shared" si="10"/>
        <v>17583.932280319961</v>
      </c>
      <c r="J36" s="3">
        <f t="shared" si="11"/>
        <v>18638.289916464782</v>
      </c>
      <c r="K36" s="3">
        <f t="shared" si="12"/>
        <v>3707945.0718112742</v>
      </c>
      <c r="L36" s="3">
        <f t="shared" si="13"/>
        <v>49082.284951511974</v>
      </c>
      <c r="M36" s="3">
        <f t="shared" si="14"/>
        <v>25411274.712963149</v>
      </c>
      <c r="N36" s="3">
        <f t="shared" si="15"/>
        <v>22769493.184059959</v>
      </c>
      <c r="O36" s="3">
        <f t="shared" si="16"/>
        <v>66733235.201718494</v>
      </c>
      <c r="P36" s="7" t="s">
        <v>129</v>
      </c>
      <c r="Q36" s="2" t="s">
        <v>57</v>
      </c>
      <c r="R36" s="3">
        <f t="shared" si="28"/>
        <v>9827.3167274594325</v>
      </c>
      <c r="S36" s="3">
        <f t="shared" si="28"/>
        <v>1400267.7801301305</v>
      </c>
      <c r="T36" s="3">
        <f t="shared" si="28"/>
        <v>12968210.947669316</v>
      </c>
      <c r="U36" s="3">
        <f t="shared" si="28"/>
        <v>93723.91814840505</v>
      </c>
      <c r="V36" s="3">
        <f t="shared" si="28"/>
        <v>287187.76306050166</v>
      </c>
      <c r="W36" s="3">
        <f t="shared" si="27"/>
        <v>0</v>
      </c>
      <c r="X36" s="3">
        <f t="shared" si="27"/>
        <v>17583.932280319961</v>
      </c>
      <c r="Y36" s="3">
        <f t="shared" si="27"/>
        <v>18638.289916464782</v>
      </c>
      <c r="Z36" s="3">
        <f t="shared" si="27"/>
        <v>3707945.0718112742</v>
      </c>
      <c r="AA36" s="3">
        <f t="shared" si="27"/>
        <v>49082.284951511974</v>
      </c>
      <c r="AB36" s="3">
        <f t="shared" si="18"/>
        <v>18552467.304695386</v>
      </c>
      <c r="AC36" s="7" t="s">
        <v>129</v>
      </c>
      <c r="AD36" s="2" t="s">
        <v>57</v>
      </c>
      <c r="AE36" s="3">
        <f t="shared" si="19"/>
        <v>25411274.712963149</v>
      </c>
      <c r="AF36" s="3">
        <f t="shared" si="19"/>
        <v>22769493.184059959</v>
      </c>
      <c r="AG36" s="3">
        <f t="shared" si="20"/>
        <v>48180767.897023112</v>
      </c>
      <c r="AH36" s="7" t="s">
        <v>129</v>
      </c>
      <c r="AI36" s="2" t="s">
        <v>57</v>
      </c>
      <c r="AJ36" s="3">
        <f t="shared" si="21"/>
        <v>25129757.811139628</v>
      </c>
      <c r="AK36" s="3">
        <f t="shared" si="21"/>
        <v>20143779.014042012</v>
      </c>
      <c r="AL36" s="3">
        <f t="shared" si="21"/>
        <v>21459277.054797098</v>
      </c>
      <c r="AM36" s="3">
        <f t="shared" si="21"/>
        <v>421.32173975078479</v>
      </c>
      <c r="AN36" s="3">
        <f t="shared" si="22"/>
        <v>66733235.201718487</v>
      </c>
      <c r="AO36" s="7" t="s">
        <v>129</v>
      </c>
      <c r="AP36" s="2" t="s">
        <v>57</v>
      </c>
      <c r="AQ36" s="3">
        <f t="shared" si="23"/>
        <v>5332437.5369207868</v>
      </c>
      <c r="AR36" s="3">
        <f t="shared" si="23"/>
        <v>1694896.8971666056</v>
      </c>
      <c r="AS36" s="3">
        <f t="shared" si="23"/>
        <v>11524711.548868239</v>
      </c>
      <c r="AT36" s="3">
        <f t="shared" si="23"/>
        <v>421.32173975078479</v>
      </c>
      <c r="AU36" s="3">
        <f t="shared" si="24"/>
        <v>18552467.304695383</v>
      </c>
      <c r="AV36" s="7" t="s">
        <v>129</v>
      </c>
      <c r="AW36" s="2" t="s">
        <v>57</v>
      </c>
      <c r="AX36" s="3">
        <f t="shared" si="25"/>
        <v>19797320.274218842</v>
      </c>
      <c r="AY36" s="3">
        <f t="shared" si="25"/>
        <v>18448882.116875406</v>
      </c>
      <c r="AZ36" s="3">
        <f t="shared" si="25"/>
        <v>9934565.505928861</v>
      </c>
      <c r="BA36" s="3">
        <f t="shared" si="25"/>
        <v>0</v>
      </c>
      <c r="BB36" s="3">
        <f t="shared" si="26"/>
        <v>48180767.897023112</v>
      </c>
      <c r="BC36" s="7" t="s">
        <v>129</v>
      </c>
      <c r="BD36" s="2" t="s">
        <v>57</v>
      </c>
      <c r="BE36" s="3">
        <v>7718.5813339317956</v>
      </c>
      <c r="BF36" s="3">
        <v>2108.7353935276369</v>
      </c>
      <c r="BG36" s="3">
        <v>0</v>
      </c>
      <c r="BH36" s="3">
        <v>0</v>
      </c>
      <c r="BI36" s="3">
        <v>9827.3167274594325</v>
      </c>
      <c r="BJ36" s="7" t="s">
        <v>129</v>
      </c>
      <c r="BK36" s="2" t="s">
        <v>57</v>
      </c>
      <c r="BL36" s="3">
        <v>1400267.7801301305</v>
      </c>
      <c r="BM36" s="3">
        <v>0</v>
      </c>
      <c r="BN36" s="3">
        <v>0</v>
      </c>
      <c r="BO36" s="3">
        <v>0</v>
      </c>
      <c r="BP36" s="3">
        <v>1400267.7801301305</v>
      </c>
      <c r="BQ36" s="7" t="s">
        <v>129</v>
      </c>
      <c r="BR36" s="2" t="s">
        <v>57</v>
      </c>
      <c r="BS36" s="3">
        <v>63792.13907320398</v>
      </c>
      <c r="BT36" s="3">
        <v>1531137.5904577242</v>
      </c>
      <c r="BU36" s="3">
        <v>11373281.218138387</v>
      </c>
      <c r="BV36" s="3">
        <v>0</v>
      </c>
      <c r="BW36" s="3">
        <v>12968210.947669316</v>
      </c>
      <c r="BX36" s="7" t="s">
        <v>129</v>
      </c>
      <c r="BY36" s="2" t="s">
        <v>57</v>
      </c>
      <c r="BZ36" s="3">
        <v>74649.11531410813</v>
      </c>
      <c r="CA36" s="3">
        <v>19074.802834296923</v>
      </c>
      <c r="CB36" s="3">
        <v>0</v>
      </c>
      <c r="CC36" s="3">
        <v>0</v>
      </c>
      <c r="CD36" s="3">
        <v>93723.91814840505</v>
      </c>
      <c r="CE36" s="7" t="s">
        <v>129</v>
      </c>
      <c r="CF36" s="2" t="s">
        <v>57</v>
      </c>
      <c r="CG36" s="3">
        <v>14613.167746767824</v>
      </c>
      <c r="CH36" s="3">
        <v>121144.2645838817</v>
      </c>
      <c r="CI36" s="3">
        <v>151430.33072985211</v>
      </c>
      <c r="CJ36" s="3">
        <v>0</v>
      </c>
      <c r="CK36" s="3">
        <v>287187.76306050166</v>
      </c>
      <c r="CL36" s="7" t="s">
        <v>129</v>
      </c>
      <c r="CM36" s="2" t="s">
        <v>57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7" t="s">
        <v>129</v>
      </c>
      <c r="CT36" s="2" t="s">
        <v>57</v>
      </c>
      <c r="CU36" s="3">
        <v>17160.927687005598</v>
      </c>
      <c r="CV36" s="3">
        <v>423.00459331436366</v>
      </c>
      <c r="CW36" s="3">
        <v>0</v>
      </c>
      <c r="CX36" s="3">
        <v>0</v>
      </c>
      <c r="CY36" s="3">
        <v>17583.932280319961</v>
      </c>
      <c r="CZ36" s="7" t="s">
        <v>129</v>
      </c>
      <c r="DA36" s="2" t="s">
        <v>57</v>
      </c>
      <c r="DB36" s="3">
        <v>3707945.0718112742</v>
      </c>
      <c r="DC36" s="3">
        <v>0</v>
      </c>
      <c r="DD36" s="3">
        <v>0</v>
      </c>
      <c r="DE36" s="3">
        <v>0</v>
      </c>
      <c r="DF36" s="3">
        <v>3707945.0718112742</v>
      </c>
      <c r="DG36" s="7" t="s">
        <v>129</v>
      </c>
      <c r="DH36" s="2" t="s">
        <v>57</v>
      </c>
      <c r="DI36" s="3">
        <v>88.95050781891058</v>
      </c>
      <c r="DJ36" s="3">
        <v>18549.339408645872</v>
      </c>
      <c r="DK36" s="3">
        <v>0</v>
      </c>
      <c r="DL36" s="3">
        <v>0</v>
      </c>
      <c r="DM36" s="3">
        <v>18638.289916464782</v>
      </c>
      <c r="DN36" s="7" t="s">
        <v>129</v>
      </c>
      <c r="DO36" s="2" t="s">
        <v>57</v>
      </c>
      <c r="DP36" s="3">
        <v>46201.803316546306</v>
      </c>
      <c r="DQ36" s="3">
        <v>2459.1598952148834</v>
      </c>
      <c r="DR36" s="3">
        <v>0</v>
      </c>
      <c r="DS36" s="3">
        <v>421.32173975078479</v>
      </c>
      <c r="DT36" s="3">
        <v>49082.284951511974</v>
      </c>
      <c r="DU36" s="7" t="s">
        <v>129</v>
      </c>
      <c r="DV36" s="2" t="s">
        <v>57</v>
      </c>
      <c r="DW36" s="3">
        <v>6710547.8859962216</v>
      </c>
      <c r="DX36" s="3">
        <v>6124989.6691323882</v>
      </c>
      <c r="DY36" s="3">
        <v>9933955.6289313491</v>
      </c>
      <c r="DZ36" s="3">
        <v>0</v>
      </c>
      <c r="EA36" s="3">
        <v>22769493.184059959</v>
      </c>
      <c r="EB36" s="7" t="s">
        <v>129</v>
      </c>
      <c r="EC36" s="2" t="s">
        <v>57</v>
      </c>
      <c r="ED36" s="3">
        <v>13086772.38822262</v>
      </c>
      <c r="EE36" s="3">
        <v>12323892.447743017</v>
      </c>
      <c r="EF36" s="3">
        <v>609.87699751232651</v>
      </c>
      <c r="EG36" s="3">
        <v>0</v>
      </c>
      <c r="EH36" s="3">
        <v>25411274.712963149</v>
      </c>
    </row>
    <row r="37" spans="1:138" ht="10.199999999999999" customHeight="1" x14ac:dyDescent="0.2">
      <c r="A37" s="7" t="s">
        <v>128</v>
      </c>
      <c r="B37" s="2" t="s">
        <v>56</v>
      </c>
      <c r="C37" s="3">
        <f t="shared" si="4"/>
        <v>1297.1298812119517</v>
      </c>
      <c r="D37" s="3">
        <f t="shared" si="5"/>
        <v>3033.1788950029954</v>
      </c>
      <c r="E37" s="3">
        <f t="shared" si="6"/>
        <v>713.68000372890049</v>
      </c>
      <c r="F37" s="3">
        <f t="shared" si="7"/>
        <v>652052.93594033422</v>
      </c>
      <c r="G37" s="3">
        <f t="shared" si="8"/>
        <v>1232.7057569913579</v>
      </c>
      <c r="H37" s="3">
        <f t="shared" si="9"/>
        <v>384588.52619286801</v>
      </c>
      <c r="I37" s="3">
        <f t="shared" si="10"/>
        <v>953374.25836651702</v>
      </c>
      <c r="J37" s="3">
        <f t="shared" si="11"/>
        <v>2644.4814117739643</v>
      </c>
      <c r="K37" s="3">
        <f t="shared" si="12"/>
        <v>19132015.15760592</v>
      </c>
      <c r="L37" s="3">
        <f t="shared" si="13"/>
        <v>3901502.0420814329</v>
      </c>
      <c r="M37" s="3">
        <f t="shared" si="14"/>
        <v>2139700.1813435084</v>
      </c>
      <c r="N37" s="3">
        <f t="shared" si="15"/>
        <v>24404310.817791913</v>
      </c>
      <c r="O37" s="3">
        <f t="shared" si="16"/>
        <v>51576465.0952712</v>
      </c>
      <c r="P37" s="7" t="s">
        <v>128</v>
      </c>
      <c r="Q37" s="2" t="s">
        <v>56</v>
      </c>
      <c r="R37" s="3">
        <f t="shared" si="28"/>
        <v>1297.1298812119517</v>
      </c>
      <c r="S37" s="3">
        <f t="shared" si="28"/>
        <v>3033.1788950029954</v>
      </c>
      <c r="T37" s="3">
        <f t="shared" si="28"/>
        <v>713.68000372890049</v>
      </c>
      <c r="U37" s="3">
        <f t="shared" si="28"/>
        <v>652052.93594033422</v>
      </c>
      <c r="V37" s="3">
        <f t="shared" si="28"/>
        <v>1232.7057569913579</v>
      </c>
      <c r="W37" s="3">
        <f t="shared" si="27"/>
        <v>384588.52619286801</v>
      </c>
      <c r="X37" s="3">
        <f t="shared" si="27"/>
        <v>953374.25836651702</v>
      </c>
      <c r="Y37" s="3">
        <f t="shared" si="27"/>
        <v>2644.4814117739643</v>
      </c>
      <c r="Z37" s="3">
        <f t="shared" si="27"/>
        <v>19132015.15760592</v>
      </c>
      <c r="AA37" s="3">
        <f t="shared" si="27"/>
        <v>3901502.0420814329</v>
      </c>
      <c r="AB37" s="3">
        <f t="shared" si="18"/>
        <v>25032454.096135784</v>
      </c>
      <c r="AC37" s="7" t="s">
        <v>128</v>
      </c>
      <c r="AD37" s="2" t="s">
        <v>56</v>
      </c>
      <c r="AE37" s="3">
        <f t="shared" si="19"/>
        <v>2139700.1813435084</v>
      </c>
      <c r="AF37" s="3">
        <f t="shared" si="19"/>
        <v>24404310.817791913</v>
      </c>
      <c r="AG37" s="3">
        <f t="shared" si="20"/>
        <v>26544010.99913542</v>
      </c>
      <c r="AH37" s="7" t="s">
        <v>128</v>
      </c>
      <c r="AI37" s="2" t="s">
        <v>56</v>
      </c>
      <c r="AJ37" s="3">
        <f t="shared" si="21"/>
        <v>43385133.620068088</v>
      </c>
      <c r="AK37" s="3">
        <f t="shared" si="21"/>
        <v>7972303.2283357084</v>
      </c>
      <c r="AL37" s="3">
        <f t="shared" si="21"/>
        <v>219028.24686741055</v>
      </c>
      <c r="AM37" s="3">
        <f t="shared" si="21"/>
        <v>0</v>
      </c>
      <c r="AN37" s="3">
        <f t="shared" si="22"/>
        <v>51576465.095271207</v>
      </c>
      <c r="AO37" s="7" t="s">
        <v>128</v>
      </c>
      <c r="AP37" s="2" t="s">
        <v>56</v>
      </c>
      <c r="AQ37" s="3">
        <f t="shared" si="23"/>
        <v>18637562.830888901</v>
      </c>
      <c r="AR37" s="3">
        <f t="shared" si="23"/>
        <v>6175863.0183794694</v>
      </c>
      <c r="AS37" s="3">
        <f t="shared" si="23"/>
        <v>219028.24686741055</v>
      </c>
      <c r="AT37" s="3">
        <f t="shared" si="23"/>
        <v>0</v>
      </c>
      <c r="AU37" s="3">
        <f t="shared" si="24"/>
        <v>25032454.09613578</v>
      </c>
      <c r="AV37" s="7" t="s">
        <v>128</v>
      </c>
      <c r="AW37" s="2" t="s">
        <v>56</v>
      </c>
      <c r="AX37" s="3">
        <f t="shared" si="25"/>
        <v>24747570.789179184</v>
      </c>
      <c r="AY37" s="3">
        <f t="shared" si="25"/>
        <v>1796440.2099562385</v>
      </c>
      <c r="AZ37" s="3">
        <f t="shared" si="25"/>
        <v>0</v>
      </c>
      <c r="BA37" s="3">
        <f t="shared" si="25"/>
        <v>0</v>
      </c>
      <c r="BB37" s="3">
        <f t="shared" si="26"/>
        <v>26544010.999135423</v>
      </c>
      <c r="BC37" s="7" t="s">
        <v>128</v>
      </c>
      <c r="BD37" s="2" t="s">
        <v>56</v>
      </c>
      <c r="BE37" s="3">
        <v>1297.1298812119517</v>
      </c>
      <c r="BF37" s="3">
        <v>0</v>
      </c>
      <c r="BG37" s="3">
        <v>0</v>
      </c>
      <c r="BH37" s="3">
        <v>0</v>
      </c>
      <c r="BI37" s="3">
        <v>1297.1298812119517</v>
      </c>
      <c r="BJ37" s="7" t="s">
        <v>128</v>
      </c>
      <c r="BK37" s="2" t="s">
        <v>56</v>
      </c>
      <c r="BL37" s="3">
        <v>2866.7719381570041</v>
      </c>
      <c r="BM37" s="3">
        <v>166.40695684599135</v>
      </c>
      <c r="BN37" s="3">
        <v>0</v>
      </c>
      <c r="BO37" s="3">
        <v>0</v>
      </c>
      <c r="BP37" s="3">
        <v>3033.1788950029954</v>
      </c>
      <c r="BQ37" s="7" t="s">
        <v>128</v>
      </c>
      <c r="BR37" s="2" t="s">
        <v>56</v>
      </c>
      <c r="BS37" s="3">
        <v>713.68000372890049</v>
      </c>
      <c r="BT37" s="3">
        <v>0</v>
      </c>
      <c r="BU37" s="3">
        <v>0</v>
      </c>
      <c r="BV37" s="3">
        <v>0</v>
      </c>
      <c r="BW37" s="3">
        <v>713.68000372890049</v>
      </c>
      <c r="BX37" s="7" t="s">
        <v>128</v>
      </c>
      <c r="BY37" s="2" t="s">
        <v>56</v>
      </c>
      <c r="BZ37" s="3">
        <v>498048.28958807461</v>
      </c>
      <c r="CA37" s="3">
        <v>154004.64635225959</v>
      </c>
      <c r="CB37" s="3">
        <v>0</v>
      </c>
      <c r="CC37" s="3">
        <v>0</v>
      </c>
      <c r="CD37" s="3">
        <v>652052.93594033422</v>
      </c>
      <c r="CE37" s="7" t="s">
        <v>128</v>
      </c>
      <c r="CF37" s="2" t="s">
        <v>56</v>
      </c>
      <c r="CG37" s="3">
        <v>1232.7057569913579</v>
      </c>
      <c r="CH37" s="3">
        <v>0</v>
      </c>
      <c r="CI37" s="3">
        <v>0</v>
      </c>
      <c r="CJ37" s="3">
        <v>0</v>
      </c>
      <c r="CK37" s="3">
        <v>1232.7057569913579</v>
      </c>
      <c r="CL37" s="7" t="s">
        <v>128</v>
      </c>
      <c r="CM37" s="2" t="s">
        <v>56</v>
      </c>
      <c r="CN37" s="3">
        <v>0</v>
      </c>
      <c r="CO37" s="3">
        <v>323663.61115241365</v>
      </c>
      <c r="CP37" s="3">
        <v>60924.91504045434</v>
      </c>
      <c r="CQ37" s="3">
        <v>0</v>
      </c>
      <c r="CR37" s="3">
        <v>384588.52619286801</v>
      </c>
      <c r="CS37" s="7" t="s">
        <v>128</v>
      </c>
      <c r="CT37" s="2" t="s">
        <v>56</v>
      </c>
      <c r="CU37" s="3">
        <v>942777.53340477135</v>
      </c>
      <c r="CV37" s="3">
        <v>10596.72496174564</v>
      </c>
      <c r="CW37" s="3">
        <v>0</v>
      </c>
      <c r="CX37" s="3">
        <v>0</v>
      </c>
      <c r="CY37" s="3">
        <v>953374.25836651702</v>
      </c>
      <c r="CZ37" s="7" t="s">
        <v>128</v>
      </c>
      <c r="DA37" s="2" t="s">
        <v>56</v>
      </c>
      <c r="DB37" s="3">
        <v>13306730.012448467</v>
      </c>
      <c r="DC37" s="3">
        <v>5667181.8133304985</v>
      </c>
      <c r="DD37" s="3">
        <v>158103.33182695622</v>
      </c>
      <c r="DE37" s="3">
        <v>0</v>
      </c>
      <c r="DF37" s="3">
        <v>19132015.15760592</v>
      </c>
      <c r="DG37" s="7" t="s">
        <v>128</v>
      </c>
      <c r="DH37" s="2" t="s">
        <v>56</v>
      </c>
      <c r="DI37" s="3">
        <v>2644.4814117739643</v>
      </c>
      <c r="DJ37" s="3">
        <v>0</v>
      </c>
      <c r="DK37" s="3">
        <v>0</v>
      </c>
      <c r="DL37" s="3">
        <v>0</v>
      </c>
      <c r="DM37" s="3">
        <v>2644.4814117739643</v>
      </c>
      <c r="DN37" s="7" t="s">
        <v>128</v>
      </c>
      <c r="DO37" s="2" t="s">
        <v>56</v>
      </c>
      <c r="DP37" s="3">
        <v>3881252.2264557267</v>
      </c>
      <c r="DQ37" s="3">
        <v>20249.815625706011</v>
      </c>
      <c r="DR37" s="3">
        <v>0</v>
      </c>
      <c r="DS37" s="3">
        <v>0</v>
      </c>
      <c r="DT37" s="3">
        <v>3901502.0420814329</v>
      </c>
      <c r="DU37" s="7" t="s">
        <v>128</v>
      </c>
      <c r="DV37" s="2" t="s">
        <v>56</v>
      </c>
      <c r="DW37" s="3">
        <v>23597166.528849784</v>
      </c>
      <c r="DX37" s="3">
        <v>807144.28894212795</v>
      </c>
      <c r="DY37" s="3">
        <v>0</v>
      </c>
      <c r="DZ37" s="3">
        <v>0</v>
      </c>
      <c r="EA37" s="3">
        <v>24404310.817791913</v>
      </c>
      <c r="EB37" s="7" t="s">
        <v>128</v>
      </c>
      <c r="EC37" s="2" t="s">
        <v>56</v>
      </c>
      <c r="ED37" s="3">
        <v>1150404.2603293976</v>
      </c>
      <c r="EE37" s="3">
        <v>989295.92101411067</v>
      </c>
      <c r="EF37" s="3">
        <v>0</v>
      </c>
      <c r="EG37" s="3">
        <v>0</v>
      </c>
      <c r="EH37" s="3">
        <v>2139700.1813435084</v>
      </c>
    </row>
    <row r="38" spans="1:138" ht="10.199999999999999" customHeight="1" x14ac:dyDescent="0.2">
      <c r="A38" s="7" t="s">
        <v>127</v>
      </c>
      <c r="B38" s="2" t="s">
        <v>55</v>
      </c>
      <c r="C38" s="3">
        <f t="shared" si="4"/>
        <v>0</v>
      </c>
      <c r="D38" s="3">
        <f t="shared" si="5"/>
        <v>0</v>
      </c>
      <c r="E38" s="3">
        <f t="shared" si="6"/>
        <v>0</v>
      </c>
      <c r="F38" s="3">
        <f t="shared" si="7"/>
        <v>177923.07690035022</v>
      </c>
      <c r="G38" s="3">
        <f t="shared" si="8"/>
        <v>0</v>
      </c>
      <c r="H38" s="3">
        <f t="shared" si="9"/>
        <v>0</v>
      </c>
      <c r="I38" s="3">
        <f t="shared" si="10"/>
        <v>61083.573673372193</v>
      </c>
      <c r="J38" s="3">
        <f t="shared" si="11"/>
        <v>0</v>
      </c>
      <c r="K38" s="3">
        <f t="shared" si="12"/>
        <v>0</v>
      </c>
      <c r="L38" s="3">
        <f t="shared" si="13"/>
        <v>487339.07067921793</v>
      </c>
      <c r="M38" s="3">
        <f t="shared" si="14"/>
        <v>740857.33823579398</v>
      </c>
      <c r="N38" s="3">
        <f t="shared" si="15"/>
        <v>0</v>
      </c>
      <c r="O38" s="3">
        <f t="shared" si="16"/>
        <v>1467203.0594887342</v>
      </c>
      <c r="P38" s="7" t="s">
        <v>127</v>
      </c>
      <c r="Q38" s="2" t="s">
        <v>55</v>
      </c>
      <c r="R38" s="3">
        <f t="shared" si="28"/>
        <v>0</v>
      </c>
      <c r="S38" s="3">
        <f t="shared" si="28"/>
        <v>0</v>
      </c>
      <c r="T38" s="3">
        <f t="shared" si="28"/>
        <v>0</v>
      </c>
      <c r="U38" s="3">
        <f t="shared" si="28"/>
        <v>177923.07690035022</v>
      </c>
      <c r="V38" s="3">
        <f t="shared" si="28"/>
        <v>0</v>
      </c>
      <c r="W38" s="3">
        <f t="shared" si="27"/>
        <v>0</v>
      </c>
      <c r="X38" s="3">
        <f t="shared" si="27"/>
        <v>61083.573673372193</v>
      </c>
      <c r="Y38" s="3">
        <f t="shared" si="27"/>
        <v>0</v>
      </c>
      <c r="Z38" s="3">
        <f t="shared" si="27"/>
        <v>0</v>
      </c>
      <c r="AA38" s="3">
        <f t="shared" si="27"/>
        <v>487339.07067921793</v>
      </c>
      <c r="AB38" s="3">
        <f t="shared" si="18"/>
        <v>726345.72125294036</v>
      </c>
      <c r="AC38" s="7" t="s">
        <v>127</v>
      </c>
      <c r="AD38" s="2" t="s">
        <v>55</v>
      </c>
      <c r="AE38" s="3">
        <f t="shared" si="19"/>
        <v>740857.33823579398</v>
      </c>
      <c r="AF38" s="3">
        <f t="shared" si="19"/>
        <v>0</v>
      </c>
      <c r="AG38" s="3">
        <f t="shared" si="20"/>
        <v>740857.33823579398</v>
      </c>
      <c r="AH38" s="7" t="s">
        <v>127</v>
      </c>
      <c r="AI38" s="2" t="s">
        <v>55</v>
      </c>
      <c r="AJ38" s="3">
        <f t="shared" si="21"/>
        <v>1229471.0046380097</v>
      </c>
      <c r="AK38" s="3">
        <f t="shared" si="21"/>
        <v>237732.05485072476</v>
      </c>
      <c r="AL38" s="3">
        <f t="shared" si="21"/>
        <v>0</v>
      </c>
      <c r="AM38" s="3">
        <f t="shared" si="21"/>
        <v>0</v>
      </c>
      <c r="AN38" s="3">
        <f t="shared" si="22"/>
        <v>1467203.0594887345</v>
      </c>
      <c r="AO38" s="7" t="s">
        <v>127</v>
      </c>
      <c r="AP38" s="2" t="s">
        <v>55</v>
      </c>
      <c r="AQ38" s="3">
        <f t="shared" si="23"/>
        <v>662753.48132043879</v>
      </c>
      <c r="AR38" s="3">
        <f t="shared" si="23"/>
        <v>63592.239932501543</v>
      </c>
      <c r="AS38" s="3">
        <f t="shared" si="23"/>
        <v>0</v>
      </c>
      <c r="AT38" s="3">
        <f t="shared" si="23"/>
        <v>0</v>
      </c>
      <c r="AU38" s="3">
        <f t="shared" si="24"/>
        <v>726345.72125294036</v>
      </c>
      <c r="AV38" s="7" t="s">
        <v>127</v>
      </c>
      <c r="AW38" s="2" t="s">
        <v>55</v>
      </c>
      <c r="AX38" s="3">
        <f t="shared" si="25"/>
        <v>566717.5233175708</v>
      </c>
      <c r="AY38" s="3">
        <f t="shared" si="25"/>
        <v>174139.81491822322</v>
      </c>
      <c r="AZ38" s="3">
        <f t="shared" si="25"/>
        <v>0</v>
      </c>
      <c r="BA38" s="3">
        <f t="shared" si="25"/>
        <v>0</v>
      </c>
      <c r="BB38" s="3">
        <f t="shared" si="26"/>
        <v>740857.33823579398</v>
      </c>
      <c r="BC38" s="7" t="s">
        <v>127</v>
      </c>
      <c r="BD38" s="2" t="s">
        <v>55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7" t="s">
        <v>127</v>
      </c>
      <c r="BK38" s="2" t="s">
        <v>55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7" t="s">
        <v>127</v>
      </c>
      <c r="BR38" s="2" t="s">
        <v>55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7" t="s">
        <v>127</v>
      </c>
      <c r="BY38" s="2" t="s">
        <v>55</v>
      </c>
      <c r="BZ38" s="3">
        <v>177923.07690035022</v>
      </c>
      <c r="CA38" s="3">
        <v>0</v>
      </c>
      <c r="CB38" s="3">
        <v>0</v>
      </c>
      <c r="CC38" s="3">
        <v>0</v>
      </c>
      <c r="CD38" s="3">
        <v>177923.07690035022</v>
      </c>
      <c r="CE38" s="7" t="s">
        <v>127</v>
      </c>
      <c r="CF38" s="2" t="s">
        <v>55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7" t="s">
        <v>127</v>
      </c>
      <c r="CM38" s="2" t="s">
        <v>55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7" t="s">
        <v>127</v>
      </c>
      <c r="CT38" s="2" t="s">
        <v>55</v>
      </c>
      <c r="CU38" s="3">
        <v>0</v>
      </c>
      <c r="CV38" s="3">
        <v>61083.573673372193</v>
      </c>
      <c r="CW38" s="3">
        <v>0</v>
      </c>
      <c r="CX38" s="3">
        <v>0</v>
      </c>
      <c r="CY38" s="3">
        <v>61083.573673372193</v>
      </c>
      <c r="CZ38" s="7" t="s">
        <v>127</v>
      </c>
      <c r="DA38" s="2" t="s">
        <v>55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7" t="s">
        <v>127</v>
      </c>
      <c r="DH38" s="2" t="s">
        <v>55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7" t="s">
        <v>127</v>
      </c>
      <c r="DO38" s="2" t="s">
        <v>55</v>
      </c>
      <c r="DP38" s="3">
        <v>484830.40442008857</v>
      </c>
      <c r="DQ38" s="3">
        <v>2508.6662591293489</v>
      </c>
      <c r="DR38" s="3">
        <v>0</v>
      </c>
      <c r="DS38" s="3">
        <v>0</v>
      </c>
      <c r="DT38" s="3">
        <v>487339.07067921793</v>
      </c>
      <c r="DU38" s="7" t="s">
        <v>127</v>
      </c>
      <c r="DV38" s="2" t="s">
        <v>55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7" t="s">
        <v>127</v>
      </c>
      <c r="EC38" s="2" t="s">
        <v>55</v>
      </c>
      <c r="ED38" s="3">
        <v>566717.5233175708</v>
      </c>
      <c r="EE38" s="3">
        <v>174139.81491822322</v>
      </c>
      <c r="EF38" s="3">
        <v>0</v>
      </c>
      <c r="EG38" s="3">
        <v>0</v>
      </c>
      <c r="EH38" s="3">
        <v>740857.33823579398</v>
      </c>
    </row>
    <row r="39" spans="1:138" ht="10.199999999999999" customHeight="1" x14ac:dyDescent="0.2">
      <c r="A39" s="7" t="s">
        <v>125</v>
      </c>
      <c r="B39" s="2" t="s">
        <v>53</v>
      </c>
      <c r="C39" s="3">
        <f t="shared" si="4"/>
        <v>0</v>
      </c>
      <c r="D39" s="3">
        <f t="shared" si="5"/>
        <v>11255.448311202425</v>
      </c>
      <c r="E39" s="3">
        <f t="shared" si="6"/>
        <v>0</v>
      </c>
      <c r="F39" s="3">
        <f t="shared" si="7"/>
        <v>171178.34577431058</v>
      </c>
      <c r="G39" s="3">
        <f t="shared" si="8"/>
        <v>114626.10898038615</v>
      </c>
      <c r="H39" s="3">
        <f t="shared" si="9"/>
        <v>0</v>
      </c>
      <c r="I39" s="3">
        <f t="shared" si="10"/>
        <v>0</v>
      </c>
      <c r="J39" s="3">
        <f t="shared" si="11"/>
        <v>0</v>
      </c>
      <c r="K39" s="3">
        <f t="shared" si="12"/>
        <v>51.212174480484848</v>
      </c>
      <c r="L39" s="3">
        <f t="shared" si="13"/>
        <v>5220.9302750945062</v>
      </c>
      <c r="M39" s="3">
        <f t="shared" si="14"/>
        <v>3408983.1364946663</v>
      </c>
      <c r="N39" s="3">
        <f t="shared" si="15"/>
        <v>18089.046523289962</v>
      </c>
      <c r="O39" s="3">
        <f t="shared" si="16"/>
        <v>3729404.22853343</v>
      </c>
      <c r="P39" s="7" t="s">
        <v>125</v>
      </c>
      <c r="Q39" s="2" t="s">
        <v>53</v>
      </c>
      <c r="R39" s="3">
        <f t="shared" si="28"/>
        <v>0</v>
      </c>
      <c r="S39" s="3">
        <f t="shared" si="28"/>
        <v>11255.448311202425</v>
      </c>
      <c r="T39" s="3">
        <f t="shared" si="28"/>
        <v>0</v>
      </c>
      <c r="U39" s="3">
        <f t="shared" si="28"/>
        <v>171178.34577431058</v>
      </c>
      <c r="V39" s="3">
        <f t="shared" si="28"/>
        <v>114626.10898038615</v>
      </c>
      <c r="W39" s="3">
        <f t="shared" si="27"/>
        <v>0</v>
      </c>
      <c r="X39" s="3">
        <f t="shared" si="27"/>
        <v>0</v>
      </c>
      <c r="Y39" s="3">
        <f t="shared" si="27"/>
        <v>0</v>
      </c>
      <c r="Z39" s="3">
        <f t="shared" si="27"/>
        <v>51.212174480484848</v>
      </c>
      <c r="AA39" s="3">
        <f t="shared" si="27"/>
        <v>5220.9302750945062</v>
      </c>
      <c r="AB39" s="3">
        <f t="shared" si="18"/>
        <v>302332.04551547416</v>
      </c>
      <c r="AC39" s="7" t="s">
        <v>125</v>
      </c>
      <c r="AD39" s="2" t="s">
        <v>53</v>
      </c>
      <c r="AE39" s="3">
        <f t="shared" si="19"/>
        <v>3408983.1364946663</v>
      </c>
      <c r="AF39" s="3">
        <f t="shared" si="19"/>
        <v>18089.046523289962</v>
      </c>
      <c r="AG39" s="3">
        <f t="shared" si="20"/>
        <v>3427072.1830179561</v>
      </c>
      <c r="AH39" s="7" t="s">
        <v>125</v>
      </c>
      <c r="AI39" s="2" t="s">
        <v>53</v>
      </c>
      <c r="AJ39" s="3">
        <f t="shared" si="21"/>
        <v>432998.59403618536</v>
      </c>
      <c r="AK39" s="3">
        <f t="shared" si="21"/>
        <v>2686567.1713198153</v>
      </c>
      <c r="AL39" s="3">
        <f t="shared" si="21"/>
        <v>609838.46317742963</v>
      </c>
      <c r="AM39" s="3">
        <f t="shared" si="21"/>
        <v>0</v>
      </c>
      <c r="AN39" s="3">
        <f t="shared" si="22"/>
        <v>3729404.22853343</v>
      </c>
      <c r="AO39" s="7" t="s">
        <v>125</v>
      </c>
      <c r="AP39" s="2" t="s">
        <v>53</v>
      </c>
      <c r="AQ39" s="3">
        <f t="shared" si="23"/>
        <v>46176.204979638867</v>
      </c>
      <c r="AR39" s="3">
        <f t="shared" si="23"/>
        <v>98559.332847719561</v>
      </c>
      <c r="AS39" s="3">
        <f t="shared" si="23"/>
        <v>157596.50768811573</v>
      </c>
      <c r="AT39" s="3">
        <f t="shared" si="23"/>
        <v>0</v>
      </c>
      <c r="AU39" s="3">
        <f t="shared" si="24"/>
        <v>302332.04551547416</v>
      </c>
      <c r="AV39" s="7" t="s">
        <v>125</v>
      </c>
      <c r="AW39" s="2" t="s">
        <v>53</v>
      </c>
      <c r="AX39" s="3">
        <f t="shared" si="25"/>
        <v>386822.3890565465</v>
      </c>
      <c r="AY39" s="3">
        <f t="shared" si="25"/>
        <v>2588007.8384720958</v>
      </c>
      <c r="AZ39" s="3">
        <f t="shared" si="25"/>
        <v>452241.95548931393</v>
      </c>
      <c r="BA39" s="3">
        <f t="shared" si="25"/>
        <v>0</v>
      </c>
      <c r="BB39" s="3">
        <f t="shared" si="26"/>
        <v>3427072.1830179561</v>
      </c>
      <c r="BC39" s="7" t="s">
        <v>125</v>
      </c>
      <c r="BD39" s="2" t="s">
        <v>53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7" t="s">
        <v>125</v>
      </c>
      <c r="BK39" s="2" t="s">
        <v>53</v>
      </c>
      <c r="BL39" s="3">
        <v>50.214524280457148</v>
      </c>
      <c r="BM39" s="3">
        <v>10810.508144719821</v>
      </c>
      <c r="BN39" s="3">
        <v>394.72564220214792</v>
      </c>
      <c r="BO39" s="3">
        <v>0</v>
      </c>
      <c r="BP39" s="3">
        <v>11255.448311202425</v>
      </c>
      <c r="BQ39" s="7" t="s">
        <v>125</v>
      </c>
      <c r="BR39" s="2" t="s">
        <v>53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7" t="s">
        <v>125</v>
      </c>
      <c r="BY39" s="2" t="s">
        <v>53</v>
      </c>
      <c r="BZ39" s="3">
        <v>7740.5869838805193</v>
      </c>
      <c r="CA39" s="3">
        <v>6994.4184855924359</v>
      </c>
      <c r="CB39" s="3">
        <v>156443.34030483762</v>
      </c>
      <c r="CC39" s="3">
        <v>0</v>
      </c>
      <c r="CD39" s="3">
        <v>171178.34577431058</v>
      </c>
      <c r="CE39" s="7" t="s">
        <v>125</v>
      </c>
      <c r="CF39" s="2" t="s">
        <v>53</v>
      </c>
      <c r="CG39" s="3">
        <v>37441.565290348051</v>
      </c>
      <c r="CH39" s="3">
        <v>76435.712384231141</v>
      </c>
      <c r="CI39" s="3">
        <v>748.83130580696104</v>
      </c>
      <c r="CJ39" s="3">
        <v>0</v>
      </c>
      <c r="CK39" s="3">
        <v>114626.10898038615</v>
      </c>
      <c r="CL39" s="7" t="s">
        <v>125</v>
      </c>
      <c r="CM39" s="2" t="s">
        <v>53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7" t="s">
        <v>125</v>
      </c>
      <c r="CT39" s="2" t="s">
        <v>53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7" t="s">
        <v>125</v>
      </c>
      <c r="DA39" s="2" t="s">
        <v>53</v>
      </c>
      <c r="DB39" s="3">
        <v>0</v>
      </c>
      <c r="DC39" s="3">
        <v>41.601739211497836</v>
      </c>
      <c r="DD39" s="3">
        <v>9.6104352689870147</v>
      </c>
      <c r="DE39" s="3">
        <v>0</v>
      </c>
      <c r="DF39" s="3">
        <v>51.212174480484848</v>
      </c>
      <c r="DG39" s="7" t="s">
        <v>125</v>
      </c>
      <c r="DH39" s="2" t="s">
        <v>53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7" t="s">
        <v>125</v>
      </c>
      <c r="DO39" s="2" t="s">
        <v>53</v>
      </c>
      <c r="DP39" s="3">
        <v>943.83818112984079</v>
      </c>
      <c r="DQ39" s="3">
        <v>4277.0920939646658</v>
      </c>
      <c r="DR39" s="3">
        <v>0</v>
      </c>
      <c r="DS39" s="3">
        <v>0</v>
      </c>
      <c r="DT39" s="3">
        <v>5220.9302750945062</v>
      </c>
      <c r="DU39" s="7" t="s">
        <v>125</v>
      </c>
      <c r="DV39" s="2" t="s">
        <v>53</v>
      </c>
      <c r="DW39" s="3">
        <v>2959.6766272154591</v>
      </c>
      <c r="DX39" s="3">
        <v>12034.469543940892</v>
      </c>
      <c r="DY39" s="3">
        <v>3094.9003521336135</v>
      </c>
      <c r="DZ39" s="3">
        <v>0</v>
      </c>
      <c r="EA39" s="3">
        <v>18089.046523289962</v>
      </c>
      <c r="EB39" s="7" t="s">
        <v>125</v>
      </c>
      <c r="EC39" s="2" t="s">
        <v>53</v>
      </c>
      <c r="ED39" s="3">
        <v>383862.71242933103</v>
      </c>
      <c r="EE39" s="3">
        <v>2575973.3689281549</v>
      </c>
      <c r="EF39" s="3">
        <v>449147.05513718032</v>
      </c>
      <c r="EG39" s="3">
        <v>0</v>
      </c>
      <c r="EH39" s="3">
        <v>3408983.1364946663</v>
      </c>
    </row>
    <row r="40" spans="1:138" ht="10.199999999999999" customHeight="1" x14ac:dyDescent="0.2">
      <c r="A40" s="7" t="s">
        <v>130</v>
      </c>
      <c r="B40" s="2" t="s">
        <v>58</v>
      </c>
      <c r="C40" s="3">
        <f t="shared" si="4"/>
        <v>0</v>
      </c>
      <c r="D40" s="3">
        <f t="shared" si="5"/>
        <v>86765.425622327486</v>
      </c>
      <c r="E40" s="3">
        <f t="shared" si="6"/>
        <v>0</v>
      </c>
      <c r="F40" s="3">
        <f t="shared" si="7"/>
        <v>8.0086960574891801</v>
      </c>
      <c r="G40" s="3">
        <f t="shared" si="8"/>
        <v>499.22087053797401</v>
      </c>
      <c r="H40" s="3">
        <f t="shared" si="9"/>
        <v>0</v>
      </c>
      <c r="I40" s="3">
        <f t="shared" si="10"/>
        <v>38512.241880921953</v>
      </c>
      <c r="J40" s="3">
        <f t="shared" si="11"/>
        <v>0</v>
      </c>
      <c r="K40" s="3">
        <f t="shared" si="12"/>
        <v>677.39193693967638</v>
      </c>
      <c r="L40" s="3">
        <f t="shared" si="13"/>
        <v>85605769.408553421</v>
      </c>
      <c r="M40" s="3">
        <f t="shared" si="14"/>
        <v>3646942.6844022674</v>
      </c>
      <c r="N40" s="3">
        <f t="shared" si="15"/>
        <v>52279924.655543767</v>
      </c>
      <c r="O40" s="3">
        <f t="shared" si="16"/>
        <v>141659099.03750625</v>
      </c>
      <c r="P40" s="7" t="s">
        <v>130</v>
      </c>
      <c r="Q40" s="2" t="s">
        <v>58</v>
      </c>
      <c r="R40" s="3">
        <f t="shared" si="28"/>
        <v>0</v>
      </c>
      <c r="S40" s="3">
        <f t="shared" si="28"/>
        <v>86765.425622327486</v>
      </c>
      <c r="T40" s="3">
        <f t="shared" si="28"/>
        <v>0</v>
      </c>
      <c r="U40" s="3">
        <f t="shared" si="28"/>
        <v>8.0086960574891801</v>
      </c>
      <c r="V40" s="3">
        <f t="shared" si="28"/>
        <v>499.22087053797401</v>
      </c>
      <c r="W40" s="3">
        <f t="shared" si="27"/>
        <v>0</v>
      </c>
      <c r="X40" s="3">
        <f t="shared" si="27"/>
        <v>38512.241880921953</v>
      </c>
      <c r="Y40" s="3">
        <f t="shared" si="27"/>
        <v>0</v>
      </c>
      <c r="Z40" s="3">
        <f t="shared" si="27"/>
        <v>677.39193693967638</v>
      </c>
      <c r="AA40" s="3">
        <f t="shared" si="27"/>
        <v>85605769.408553421</v>
      </c>
      <c r="AB40" s="3">
        <f t="shared" si="18"/>
        <v>85732231.697560206</v>
      </c>
      <c r="AC40" s="7" t="s">
        <v>130</v>
      </c>
      <c r="AD40" s="2" t="s">
        <v>58</v>
      </c>
      <c r="AE40" s="3">
        <f t="shared" si="19"/>
        <v>3646942.6844022674</v>
      </c>
      <c r="AF40" s="3">
        <f t="shared" si="19"/>
        <v>52279924.655543767</v>
      </c>
      <c r="AG40" s="3">
        <f t="shared" si="20"/>
        <v>55926867.339946032</v>
      </c>
      <c r="AH40" s="7" t="s">
        <v>130</v>
      </c>
      <c r="AI40" s="2" t="s">
        <v>58</v>
      </c>
      <c r="AJ40" s="3">
        <f t="shared" si="21"/>
        <v>1485776.7539531165</v>
      </c>
      <c r="AK40" s="3">
        <f t="shared" si="21"/>
        <v>1880061.6559105336</v>
      </c>
      <c r="AL40" s="3">
        <f t="shared" si="21"/>
        <v>138293260.6276426</v>
      </c>
      <c r="AM40" s="3">
        <f t="shared" si="21"/>
        <v>0</v>
      </c>
      <c r="AN40" s="3">
        <f t="shared" si="22"/>
        <v>141659099.03750625</v>
      </c>
      <c r="AO40" s="7" t="s">
        <v>130</v>
      </c>
      <c r="AP40" s="2" t="s">
        <v>58</v>
      </c>
      <c r="AQ40" s="3">
        <f t="shared" si="23"/>
        <v>128295.47162399183</v>
      </c>
      <c r="AR40" s="3">
        <f t="shared" si="23"/>
        <v>4430.594097867609</v>
      </c>
      <c r="AS40" s="3">
        <f t="shared" si="23"/>
        <v>85599505.631838351</v>
      </c>
      <c r="AT40" s="3">
        <f t="shared" si="23"/>
        <v>0</v>
      </c>
      <c r="AU40" s="3">
        <f t="shared" si="24"/>
        <v>85732231.697560206</v>
      </c>
      <c r="AV40" s="7" t="s">
        <v>130</v>
      </c>
      <c r="AW40" s="2" t="s">
        <v>58</v>
      </c>
      <c r="AX40" s="3">
        <f t="shared" si="25"/>
        <v>1357481.2823291246</v>
      </c>
      <c r="AY40" s="3">
        <f t="shared" si="25"/>
        <v>1875631.061812666</v>
      </c>
      <c r="AZ40" s="3">
        <f t="shared" si="25"/>
        <v>52693754.995804243</v>
      </c>
      <c r="BA40" s="3">
        <f t="shared" si="25"/>
        <v>0</v>
      </c>
      <c r="BB40" s="3">
        <f t="shared" si="26"/>
        <v>55926867.339946032</v>
      </c>
      <c r="BC40" s="7" t="s">
        <v>130</v>
      </c>
      <c r="BD40" s="2" t="s">
        <v>58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7" t="s">
        <v>130</v>
      </c>
      <c r="BK40" s="2" t="s">
        <v>58</v>
      </c>
      <c r="BL40" s="3">
        <v>86474.213447846996</v>
      </c>
      <c r="BM40" s="3">
        <v>291.21217448048486</v>
      </c>
      <c r="BN40" s="3">
        <v>0</v>
      </c>
      <c r="BO40" s="3">
        <v>0</v>
      </c>
      <c r="BP40" s="3">
        <v>86765.425622327486</v>
      </c>
      <c r="BQ40" s="7" t="s">
        <v>130</v>
      </c>
      <c r="BR40" s="2" t="s">
        <v>58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7" t="s">
        <v>130</v>
      </c>
      <c r="BY40" s="2" t="s">
        <v>58</v>
      </c>
      <c r="BZ40" s="3">
        <v>8.0086960574891801</v>
      </c>
      <c r="CA40" s="3">
        <v>0</v>
      </c>
      <c r="CB40" s="3">
        <v>0</v>
      </c>
      <c r="CC40" s="3">
        <v>0</v>
      </c>
      <c r="CD40" s="3">
        <v>8.0086960574891801</v>
      </c>
      <c r="CE40" s="7" t="s">
        <v>130</v>
      </c>
      <c r="CF40" s="2" t="s">
        <v>58</v>
      </c>
      <c r="CG40" s="3">
        <v>0</v>
      </c>
      <c r="CH40" s="3">
        <v>499.22087053797401</v>
      </c>
      <c r="CI40" s="3">
        <v>0</v>
      </c>
      <c r="CJ40" s="3">
        <v>0</v>
      </c>
      <c r="CK40" s="3">
        <v>499.22087053797401</v>
      </c>
      <c r="CL40" s="7" t="s">
        <v>130</v>
      </c>
      <c r="CM40" s="2" t="s">
        <v>58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7" t="s">
        <v>130</v>
      </c>
      <c r="CT40" s="2" t="s">
        <v>58</v>
      </c>
      <c r="CU40" s="3">
        <v>38505.834924075963</v>
      </c>
      <c r="CV40" s="3">
        <v>6.4069568459913446</v>
      </c>
      <c r="CW40" s="3">
        <v>0</v>
      </c>
      <c r="CX40" s="3">
        <v>0</v>
      </c>
      <c r="CY40" s="3">
        <v>38512.241880921953</v>
      </c>
      <c r="CZ40" s="7" t="s">
        <v>130</v>
      </c>
      <c r="DA40" s="2" t="s">
        <v>58</v>
      </c>
      <c r="DB40" s="3">
        <v>669.98389308649894</v>
      </c>
      <c r="DC40" s="3">
        <v>7.4080438531774897</v>
      </c>
      <c r="DD40" s="3">
        <v>0</v>
      </c>
      <c r="DE40" s="3">
        <v>0</v>
      </c>
      <c r="DF40" s="3">
        <v>677.39193693967638</v>
      </c>
      <c r="DG40" s="7" t="s">
        <v>130</v>
      </c>
      <c r="DH40" s="2" t="s">
        <v>58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7" t="s">
        <v>130</v>
      </c>
      <c r="DO40" s="2" t="s">
        <v>58</v>
      </c>
      <c r="DP40" s="3">
        <v>2637.4306629249004</v>
      </c>
      <c r="DQ40" s="3">
        <v>3626.346052149981</v>
      </c>
      <c r="DR40" s="3">
        <v>85599505.631838351</v>
      </c>
      <c r="DS40" s="3">
        <v>0</v>
      </c>
      <c r="DT40" s="3">
        <v>85605769.408553421</v>
      </c>
      <c r="DU40" s="7" t="s">
        <v>130</v>
      </c>
      <c r="DV40" s="2" t="s">
        <v>58</v>
      </c>
      <c r="DW40" s="3">
        <v>332.81391369198269</v>
      </c>
      <c r="DX40" s="3">
        <v>289448.76448821445</v>
      </c>
      <c r="DY40" s="3">
        <v>51990143.077141859</v>
      </c>
      <c r="DZ40" s="3">
        <v>0</v>
      </c>
      <c r="EA40" s="3">
        <v>52279924.655543767</v>
      </c>
      <c r="EB40" s="7" t="s">
        <v>130</v>
      </c>
      <c r="EC40" s="2" t="s">
        <v>58</v>
      </c>
      <c r="ED40" s="3">
        <v>1357148.4684154326</v>
      </c>
      <c r="EE40" s="3">
        <v>1586182.2973244516</v>
      </c>
      <c r="EF40" s="3">
        <v>703611.91866238299</v>
      </c>
      <c r="EG40" s="3">
        <v>0</v>
      </c>
      <c r="EH40" s="3">
        <v>3646942.6844022674</v>
      </c>
    </row>
    <row r="41" spans="1:138" ht="10.199999999999999" customHeight="1" x14ac:dyDescent="0.2">
      <c r="A41" s="7" t="s">
        <v>122</v>
      </c>
      <c r="B41" s="2" t="s">
        <v>50</v>
      </c>
      <c r="C41" s="3">
        <f t="shared" si="4"/>
        <v>0</v>
      </c>
      <c r="D41" s="3">
        <f t="shared" si="5"/>
        <v>1733.2299181666631</v>
      </c>
      <c r="E41" s="3">
        <f t="shared" si="6"/>
        <v>0</v>
      </c>
      <c r="F41" s="3">
        <f t="shared" si="7"/>
        <v>1302.1667851289103</v>
      </c>
      <c r="G41" s="3">
        <f t="shared" si="8"/>
        <v>1268.5465595347894</v>
      </c>
      <c r="H41" s="3">
        <f t="shared" si="9"/>
        <v>0</v>
      </c>
      <c r="I41" s="3">
        <f t="shared" si="10"/>
        <v>0</v>
      </c>
      <c r="J41" s="3">
        <f t="shared" si="11"/>
        <v>0</v>
      </c>
      <c r="K41" s="3">
        <f t="shared" si="12"/>
        <v>104.48251436053528</v>
      </c>
      <c r="L41" s="3">
        <f t="shared" si="13"/>
        <v>6405.5643455112004</v>
      </c>
      <c r="M41" s="3">
        <f t="shared" si="14"/>
        <v>609446.76743036869</v>
      </c>
      <c r="N41" s="3">
        <f t="shared" si="15"/>
        <v>0</v>
      </c>
      <c r="O41" s="3">
        <f t="shared" si="16"/>
        <v>620260.75755307078</v>
      </c>
      <c r="P41" s="7" t="s">
        <v>122</v>
      </c>
      <c r="Q41" s="2" t="s">
        <v>50</v>
      </c>
      <c r="R41" s="3">
        <f t="shared" si="28"/>
        <v>0</v>
      </c>
      <c r="S41" s="3">
        <f t="shared" si="28"/>
        <v>1733.2299181666631</v>
      </c>
      <c r="T41" s="3">
        <f t="shared" si="28"/>
        <v>0</v>
      </c>
      <c r="U41" s="3">
        <f t="shared" si="28"/>
        <v>1302.1667851289103</v>
      </c>
      <c r="V41" s="3">
        <f t="shared" si="28"/>
        <v>1268.5465595347894</v>
      </c>
      <c r="W41" s="3">
        <f t="shared" si="27"/>
        <v>0</v>
      </c>
      <c r="X41" s="3">
        <f t="shared" si="27"/>
        <v>0</v>
      </c>
      <c r="Y41" s="3">
        <f t="shared" si="27"/>
        <v>0</v>
      </c>
      <c r="Z41" s="3">
        <f t="shared" si="27"/>
        <v>104.48251436053528</v>
      </c>
      <c r="AA41" s="3">
        <f t="shared" si="27"/>
        <v>6405.5643455112004</v>
      </c>
      <c r="AB41" s="3">
        <f t="shared" si="18"/>
        <v>10813.990122702098</v>
      </c>
      <c r="AC41" s="7" t="s">
        <v>122</v>
      </c>
      <c r="AD41" s="2" t="s">
        <v>50</v>
      </c>
      <c r="AE41" s="3">
        <f t="shared" si="19"/>
        <v>609446.76743036869</v>
      </c>
      <c r="AF41" s="3">
        <f t="shared" si="19"/>
        <v>0</v>
      </c>
      <c r="AG41" s="3">
        <f t="shared" si="20"/>
        <v>609446.76743036869</v>
      </c>
      <c r="AH41" s="7" t="s">
        <v>122</v>
      </c>
      <c r="AI41" s="2" t="s">
        <v>50</v>
      </c>
      <c r="AJ41" s="3">
        <f t="shared" si="21"/>
        <v>2951.4341349123715</v>
      </c>
      <c r="AK41" s="3">
        <f t="shared" si="21"/>
        <v>617309.32341815846</v>
      </c>
      <c r="AL41" s="3">
        <f t="shared" si="21"/>
        <v>0</v>
      </c>
      <c r="AM41" s="3">
        <f t="shared" si="21"/>
        <v>0</v>
      </c>
      <c r="AN41" s="3">
        <f t="shared" si="22"/>
        <v>620260.75755307078</v>
      </c>
      <c r="AO41" s="7" t="s">
        <v>122</v>
      </c>
      <c r="AP41" s="2" t="s">
        <v>50</v>
      </c>
      <c r="AQ41" s="3">
        <f t="shared" si="23"/>
        <v>2917.3130795057023</v>
      </c>
      <c r="AR41" s="3">
        <f t="shared" si="23"/>
        <v>7896.677043196396</v>
      </c>
      <c r="AS41" s="3">
        <f t="shared" si="23"/>
        <v>0</v>
      </c>
      <c r="AT41" s="3">
        <f t="shared" si="23"/>
        <v>0</v>
      </c>
      <c r="AU41" s="3">
        <f t="shared" si="24"/>
        <v>10813.990122702098</v>
      </c>
      <c r="AV41" s="7" t="s">
        <v>122</v>
      </c>
      <c r="AW41" s="2" t="s">
        <v>50</v>
      </c>
      <c r="AX41" s="3">
        <f t="shared" si="25"/>
        <v>34.121055406669278</v>
      </c>
      <c r="AY41" s="3">
        <f t="shared" si="25"/>
        <v>609412.64637496206</v>
      </c>
      <c r="AZ41" s="3">
        <f t="shared" si="25"/>
        <v>0</v>
      </c>
      <c r="BA41" s="3">
        <f t="shared" si="25"/>
        <v>0</v>
      </c>
      <c r="BB41" s="3">
        <f t="shared" si="26"/>
        <v>609446.76743036869</v>
      </c>
      <c r="BC41" s="7" t="s">
        <v>122</v>
      </c>
      <c r="BD41" s="2" t="s">
        <v>50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7" t="s">
        <v>122</v>
      </c>
      <c r="BK41" s="2" t="s">
        <v>50</v>
      </c>
      <c r="BL41" s="3">
        <v>1414.4765253059047</v>
      </c>
      <c r="BM41" s="3">
        <v>318.75339286075848</v>
      </c>
      <c r="BN41" s="3">
        <v>0</v>
      </c>
      <c r="BO41" s="3">
        <v>0</v>
      </c>
      <c r="BP41" s="3">
        <v>1733.2299181666631</v>
      </c>
      <c r="BQ41" s="7" t="s">
        <v>122</v>
      </c>
      <c r="BR41" s="2" t="s">
        <v>50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7" t="s">
        <v>122</v>
      </c>
      <c r="BY41" s="2" t="s">
        <v>50</v>
      </c>
      <c r="BZ41" s="3">
        <v>0</v>
      </c>
      <c r="CA41" s="3">
        <v>1302.1667851289103</v>
      </c>
      <c r="CB41" s="3">
        <v>0</v>
      </c>
      <c r="CC41" s="3">
        <v>0</v>
      </c>
      <c r="CD41" s="3">
        <v>1302.1667851289103</v>
      </c>
      <c r="CE41" s="7" t="s">
        <v>122</v>
      </c>
      <c r="CF41" s="2" t="s">
        <v>50</v>
      </c>
      <c r="CG41" s="3">
        <v>0</v>
      </c>
      <c r="CH41" s="3">
        <v>1268.5465595347894</v>
      </c>
      <c r="CI41" s="3">
        <v>0</v>
      </c>
      <c r="CJ41" s="3">
        <v>0</v>
      </c>
      <c r="CK41" s="3">
        <v>1268.5465595347894</v>
      </c>
      <c r="CL41" s="7" t="s">
        <v>122</v>
      </c>
      <c r="CM41" s="2" t="s">
        <v>50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7" t="s">
        <v>122</v>
      </c>
      <c r="CT41" s="2" t="s">
        <v>50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7" t="s">
        <v>122</v>
      </c>
      <c r="DA41" s="2" t="s">
        <v>50</v>
      </c>
      <c r="DB41" s="3">
        <v>0</v>
      </c>
      <c r="DC41" s="3">
        <v>104.48251436053528</v>
      </c>
      <c r="DD41" s="3">
        <v>0</v>
      </c>
      <c r="DE41" s="3">
        <v>0</v>
      </c>
      <c r="DF41" s="3">
        <v>104.48251436053528</v>
      </c>
      <c r="DG41" s="7" t="s">
        <v>122</v>
      </c>
      <c r="DH41" s="2" t="s">
        <v>50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7" t="s">
        <v>122</v>
      </c>
      <c r="DO41" s="2" t="s">
        <v>50</v>
      </c>
      <c r="DP41" s="3">
        <v>1502.8365541997975</v>
      </c>
      <c r="DQ41" s="3">
        <v>4902.7277913114031</v>
      </c>
      <c r="DR41" s="3">
        <v>0</v>
      </c>
      <c r="DS41" s="3">
        <v>0</v>
      </c>
      <c r="DT41" s="3">
        <v>6405.5643455112004</v>
      </c>
      <c r="DU41" s="7" t="s">
        <v>122</v>
      </c>
      <c r="DV41" s="2" t="s">
        <v>50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7" t="s">
        <v>122</v>
      </c>
      <c r="EC41" s="2" t="s">
        <v>50</v>
      </c>
      <c r="ED41" s="3">
        <v>34.121055406669278</v>
      </c>
      <c r="EE41" s="3">
        <v>609412.64637496206</v>
      </c>
      <c r="EF41" s="3">
        <v>0</v>
      </c>
      <c r="EG41" s="3">
        <v>0</v>
      </c>
      <c r="EH41" s="3">
        <v>609446.76743036869</v>
      </c>
    </row>
    <row r="42" spans="1:138" ht="10.199999999999999" customHeight="1" x14ac:dyDescent="0.2">
      <c r="A42" s="8"/>
      <c r="B42" s="4" t="s">
        <v>59</v>
      </c>
      <c r="C42" s="3">
        <f>SUM(C4:C41)</f>
        <v>601966.91987259465</v>
      </c>
      <c r="D42" s="3">
        <f t="shared" ref="D42:O42" si="29">SUM(D4:D41)</f>
        <v>3115207.6673194091</v>
      </c>
      <c r="E42" s="3">
        <f t="shared" si="29"/>
        <v>1963006053.324373</v>
      </c>
      <c r="F42" s="3">
        <f t="shared" si="29"/>
        <v>444259830.32617521</v>
      </c>
      <c r="G42" s="3">
        <f t="shared" si="29"/>
        <v>95583741.90518786</v>
      </c>
      <c r="H42" s="3">
        <f t="shared" si="29"/>
        <v>40015373.855696738</v>
      </c>
      <c r="I42" s="3">
        <f t="shared" si="29"/>
        <v>13273894.040354278</v>
      </c>
      <c r="J42" s="3">
        <f t="shared" si="29"/>
        <v>117717248.47153123</v>
      </c>
      <c r="K42" s="3">
        <f t="shared" si="29"/>
        <v>144016818.74185991</v>
      </c>
      <c r="L42" s="3">
        <f t="shared" si="29"/>
        <v>109824630.39046344</v>
      </c>
      <c r="M42" s="3">
        <f t="shared" si="29"/>
        <v>272254122.31766516</v>
      </c>
      <c r="N42" s="3">
        <f t="shared" si="29"/>
        <v>284247290.73870593</v>
      </c>
      <c r="O42" s="3">
        <f t="shared" si="29"/>
        <v>3487916178.6992054</v>
      </c>
      <c r="P42" s="8"/>
      <c r="Q42" s="4" t="s">
        <v>59</v>
      </c>
      <c r="R42" s="3">
        <f>SUM(R4:R41)</f>
        <v>601966.91987259465</v>
      </c>
      <c r="S42" s="3">
        <f t="shared" ref="S42:AB42" si="30">SUM(S4:S41)</f>
        <v>3115207.6673194091</v>
      </c>
      <c r="T42" s="3">
        <f t="shared" si="30"/>
        <v>1963006053.324373</v>
      </c>
      <c r="U42" s="3">
        <f t="shared" si="30"/>
        <v>444259830.32617521</v>
      </c>
      <c r="V42" s="3">
        <f t="shared" si="30"/>
        <v>95583741.90518786</v>
      </c>
      <c r="W42" s="3">
        <f t="shared" si="30"/>
        <v>40015373.855696738</v>
      </c>
      <c r="X42" s="3">
        <f t="shared" si="30"/>
        <v>13273894.040354278</v>
      </c>
      <c r="Y42" s="3">
        <f t="shared" si="30"/>
        <v>117717248.47153123</v>
      </c>
      <c r="Z42" s="3">
        <f t="shared" si="30"/>
        <v>144016818.74185991</v>
      </c>
      <c r="AA42" s="3">
        <f t="shared" si="30"/>
        <v>109824630.39046344</v>
      </c>
      <c r="AB42" s="3">
        <f t="shared" si="30"/>
        <v>2931414765.6428337</v>
      </c>
      <c r="AC42" s="8"/>
      <c r="AD42" s="4" t="s">
        <v>59</v>
      </c>
      <c r="AE42" s="3">
        <f>SUM(AE4:AE41)</f>
        <v>272254122.31766516</v>
      </c>
      <c r="AF42" s="3">
        <f t="shared" ref="AF42:AG42" si="31">SUM(AF4:AF41)</f>
        <v>284247290.73870593</v>
      </c>
      <c r="AG42" s="3">
        <f t="shared" si="31"/>
        <v>556501413.05637121</v>
      </c>
      <c r="AH42" s="8"/>
      <c r="AI42" s="4" t="s">
        <v>59</v>
      </c>
      <c r="AJ42" s="3">
        <f>SUM(AJ4:AJ41)</f>
        <v>2895263089.3682179</v>
      </c>
      <c r="AK42" s="3">
        <f t="shared" ref="AK42:AN42" si="32">SUM(AK4:AK41)</f>
        <v>280409819.89149112</v>
      </c>
      <c r="AL42" s="3">
        <f t="shared" si="32"/>
        <v>285868742.05367923</v>
      </c>
      <c r="AM42" s="3">
        <f t="shared" si="32"/>
        <v>26374527.385816429</v>
      </c>
      <c r="AN42" s="3">
        <f t="shared" si="32"/>
        <v>3487916178.6992049</v>
      </c>
      <c r="AO42" s="8"/>
      <c r="AP42" s="4" t="s">
        <v>59</v>
      </c>
      <c r="AQ42" s="3">
        <f>SUM(AQ4:AQ41)</f>
        <v>2586348003.1698999</v>
      </c>
      <c r="AR42" s="3">
        <f t="shared" ref="AR42:AU42" si="33">SUM(AR4:AR41)</f>
        <v>177738381.89757067</v>
      </c>
      <c r="AS42" s="3">
        <f t="shared" si="33"/>
        <v>151108989.97162372</v>
      </c>
      <c r="AT42" s="3">
        <f t="shared" si="33"/>
        <v>16219390.603738066</v>
      </c>
      <c r="AU42" s="3">
        <f t="shared" si="33"/>
        <v>2931414765.6428337</v>
      </c>
      <c r="AV42" s="8"/>
      <c r="AW42" s="4" t="s">
        <v>59</v>
      </c>
      <c r="AX42" s="3">
        <f>SUM(AX4:AX41)</f>
        <v>308915086.19831687</v>
      </c>
      <c r="AY42" s="3">
        <f t="shared" ref="AY42:BB42" si="34">SUM(AY4:AY41)</f>
        <v>102671437.99392051</v>
      </c>
      <c r="AZ42" s="3">
        <f t="shared" si="34"/>
        <v>134759752.08205548</v>
      </c>
      <c r="BA42" s="3">
        <f t="shared" si="34"/>
        <v>10155136.782078365</v>
      </c>
      <c r="BB42" s="3">
        <f t="shared" si="34"/>
        <v>556501413.05637121</v>
      </c>
      <c r="BC42" s="8"/>
      <c r="BD42" s="4" t="s">
        <v>59</v>
      </c>
      <c r="BE42" s="3">
        <v>552746.97894190939</v>
      </c>
      <c r="BF42" s="3">
        <v>49219.940930685261</v>
      </c>
      <c r="BG42" s="3">
        <v>0</v>
      </c>
      <c r="BH42" s="3">
        <v>0</v>
      </c>
      <c r="BI42" s="3">
        <v>601966.91987259465</v>
      </c>
      <c r="BJ42" s="8"/>
      <c r="BK42" s="4" t="s">
        <v>59</v>
      </c>
      <c r="BL42" s="3">
        <v>3076984.687270944</v>
      </c>
      <c r="BM42" s="3">
        <v>32085.685649169736</v>
      </c>
      <c r="BN42" s="3">
        <v>6137.2943992958399</v>
      </c>
      <c r="BO42" s="3">
        <v>0</v>
      </c>
      <c r="BP42" s="3">
        <v>3115207.6673194091</v>
      </c>
      <c r="BQ42" s="8"/>
      <c r="BR42" s="4" t="s">
        <v>59</v>
      </c>
      <c r="BS42" s="3">
        <v>1783817664.5085239</v>
      </c>
      <c r="BT42" s="3">
        <v>148209273.70320079</v>
      </c>
      <c r="BU42" s="3">
        <v>30979115.11264836</v>
      </c>
      <c r="BV42" s="3">
        <v>0</v>
      </c>
      <c r="BW42" s="3">
        <v>1963006053.324373</v>
      </c>
      <c r="BX42" s="8"/>
      <c r="BY42" s="4" t="s">
        <v>59</v>
      </c>
      <c r="BZ42" s="3">
        <v>435558774.89987177</v>
      </c>
      <c r="CA42" s="3">
        <v>3105307.6931456178</v>
      </c>
      <c r="CB42" s="3">
        <v>1499665.6252897992</v>
      </c>
      <c r="CC42" s="3">
        <v>4096082.1078680162</v>
      </c>
      <c r="CD42" s="3">
        <v>444259830.32617521</v>
      </c>
      <c r="CE42" s="8"/>
      <c r="CF42" s="4" t="s">
        <v>59</v>
      </c>
      <c r="CG42" s="3">
        <v>87618485.826760009</v>
      </c>
      <c r="CH42" s="3">
        <v>3808728.887647632</v>
      </c>
      <c r="CI42" s="3">
        <v>4156527.1907802485</v>
      </c>
      <c r="CJ42" s="3">
        <v>0</v>
      </c>
      <c r="CK42" s="3">
        <v>95583741.90518786</v>
      </c>
      <c r="CL42" s="8"/>
      <c r="CM42" s="4" t="s">
        <v>59</v>
      </c>
      <c r="CN42" s="3">
        <v>38264121.108125612</v>
      </c>
      <c r="CO42" s="3">
        <v>1040419.8071762377</v>
      </c>
      <c r="CP42" s="3">
        <v>710832.94039489108</v>
      </c>
      <c r="CQ42" s="3">
        <v>0</v>
      </c>
      <c r="CR42" s="3">
        <v>40015373.855696738</v>
      </c>
      <c r="CS42" s="8"/>
      <c r="CT42" s="4" t="s">
        <v>59</v>
      </c>
      <c r="CU42" s="3">
        <v>11791561.325053796</v>
      </c>
      <c r="CV42" s="3">
        <v>499635.48714559042</v>
      </c>
      <c r="CW42" s="3">
        <v>982697.22815488873</v>
      </c>
      <c r="CX42" s="3">
        <v>0</v>
      </c>
      <c r="CY42" s="3">
        <v>13273894.040354278</v>
      </c>
      <c r="CZ42" s="8"/>
      <c r="DA42" s="4" t="s">
        <v>59</v>
      </c>
      <c r="DB42" s="3">
        <v>134170632.983281</v>
      </c>
      <c r="DC42" s="3">
        <v>8379484.9870236795</v>
      </c>
      <c r="DD42" s="3">
        <v>1466700.7715552289</v>
      </c>
      <c r="DE42" s="3">
        <v>0</v>
      </c>
      <c r="DF42" s="3">
        <v>144016818.74185991</v>
      </c>
      <c r="DG42" s="8"/>
      <c r="DH42" s="4" t="s">
        <v>59</v>
      </c>
      <c r="DI42" s="3">
        <v>73976191.873640269</v>
      </c>
      <c r="DJ42" s="3">
        <v>10700430.024872061</v>
      </c>
      <c r="DK42" s="3">
        <v>22317111.271370947</v>
      </c>
      <c r="DL42" s="3">
        <v>10723515.301647969</v>
      </c>
      <c r="DM42" s="3">
        <v>117717248.47153123</v>
      </c>
      <c r="DN42" s="8"/>
      <c r="DO42" s="4" t="s">
        <v>59</v>
      </c>
      <c r="DP42" s="3">
        <v>17520838.978432123</v>
      </c>
      <c r="DQ42" s="3">
        <v>1913795.6807791956</v>
      </c>
      <c r="DR42" s="3">
        <v>88990202.537030056</v>
      </c>
      <c r="DS42" s="3">
        <v>1399793.1942220817</v>
      </c>
      <c r="DT42" s="3">
        <v>109824630.39046344</v>
      </c>
      <c r="DU42" s="8"/>
      <c r="DV42" s="4" t="s">
        <v>59</v>
      </c>
      <c r="DW42" s="3">
        <v>80451473.020325899</v>
      </c>
      <c r="DX42" s="3">
        <v>60039268.775006518</v>
      </c>
      <c r="DY42" s="3">
        <v>133601412.16129518</v>
      </c>
      <c r="DZ42" s="3">
        <v>10155136.782078365</v>
      </c>
      <c r="EA42" s="3">
        <v>284247290.73870593</v>
      </c>
      <c r="EB42" s="8"/>
      <c r="EC42" s="4" t="s">
        <v>59</v>
      </c>
      <c r="ED42" s="3">
        <v>228463613.17799091</v>
      </c>
      <c r="EE42" s="3">
        <v>42632169.218913957</v>
      </c>
      <c r="EF42" s="3">
        <v>1158339.9207602923</v>
      </c>
      <c r="EG42" s="3">
        <v>0</v>
      </c>
      <c r="EH42" s="3">
        <v>272254122.31766516</v>
      </c>
    </row>
    <row r="43" spans="1:138" ht="10.199999999999999" customHeight="1" x14ac:dyDescent="0.2">
      <c r="O43" s="1">
        <f>AB42+AG42</f>
        <v>3487916178.6992049</v>
      </c>
      <c r="AJ43" s="5"/>
      <c r="AK43" s="5"/>
      <c r="AN43" s="1">
        <f>O42</f>
        <v>3487916178.6992054</v>
      </c>
      <c r="AQ43" s="5"/>
      <c r="AR43" s="5"/>
      <c r="AU43" s="1">
        <f>AB42</f>
        <v>2931414765.6428337</v>
      </c>
      <c r="AX43" s="5"/>
      <c r="AY43" s="5"/>
      <c r="BB43" s="1">
        <f>AG42</f>
        <v>556501413.05637121</v>
      </c>
      <c r="BE43" s="5"/>
      <c r="BF43" s="5"/>
      <c r="BL43" s="5"/>
      <c r="BM43" s="5"/>
      <c r="BS43" s="5"/>
      <c r="BT43" s="5"/>
      <c r="BZ43" s="5"/>
      <c r="CA43" s="5"/>
      <c r="CG43" s="5"/>
      <c r="CH43" s="5"/>
      <c r="CN43" s="5"/>
      <c r="CO43" s="5"/>
      <c r="CU43" s="5"/>
      <c r="CV43" s="5"/>
      <c r="DB43" s="5"/>
      <c r="DC43" s="5"/>
      <c r="DI43" s="5"/>
      <c r="DJ43" s="5"/>
      <c r="DP43" s="5"/>
      <c r="DQ43" s="5"/>
      <c r="DW43" s="5"/>
      <c r="DX43" s="5"/>
      <c r="ED43" s="5"/>
      <c r="EE43" s="5"/>
    </row>
    <row r="44" spans="1:138" ht="10.199999999999999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E44" s="6"/>
      <c r="AF44" s="6"/>
      <c r="AG44" s="6"/>
    </row>
    <row r="46" spans="1:138" ht="12" customHeight="1" x14ac:dyDescent="0.25">
      <c r="AH46" s="84" t="s">
        <v>0</v>
      </c>
      <c r="AI46" s="84" t="s">
        <v>65</v>
      </c>
      <c r="AJ46" s="77" t="s">
        <v>444</v>
      </c>
      <c r="AK46" s="21"/>
      <c r="AN46" s="5"/>
      <c r="AU46" s="5"/>
      <c r="BB46" s="5"/>
      <c r="BI46" s="5"/>
      <c r="BP46" s="5"/>
      <c r="BW46" s="5"/>
      <c r="CD46" s="5"/>
      <c r="CK46" s="5"/>
      <c r="CR46" s="5"/>
      <c r="CY46" s="5"/>
      <c r="DF46" s="5"/>
      <c r="DM46" s="5"/>
      <c r="DT46" s="5"/>
      <c r="EA46" s="5"/>
      <c r="EH46" s="5"/>
    </row>
    <row r="47" spans="1:138" ht="12" customHeight="1" x14ac:dyDescent="0.25">
      <c r="B47" s="18" t="str">
        <f>A1</f>
        <v>Tabel  Jumlah Kuantitas Bahan Baku (Kg) berdasarkan Jenis Kegiatan</v>
      </c>
      <c r="AH47" s="72">
        <v>1</v>
      </c>
      <c r="AI47" s="69" t="s">
        <v>439</v>
      </c>
      <c r="AJ47" s="34">
        <f>AJ42</f>
        <v>2895263089.3682179</v>
      </c>
      <c r="AK47" s="18"/>
      <c r="AN47" s="5"/>
      <c r="AU47" s="5"/>
      <c r="BB47" s="5"/>
      <c r="BI47" s="5"/>
      <c r="BP47" s="5"/>
      <c r="BW47" s="5"/>
      <c r="CD47" s="5"/>
      <c r="CK47" s="5"/>
      <c r="CR47" s="5"/>
      <c r="CY47" s="5"/>
      <c r="DF47" s="5"/>
      <c r="DM47" s="5"/>
      <c r="DT47" s="5"/>
      <c r="EA47" s="5"/>
      <c r="EH47" s="5"/>
    </row>
    <row r="48" spans="1:138" ht="12" customHeight="1" x14ac:dyDescent="0.25">
      <c r="B48" s="18" t="str">
        <f>P1</f>
        <v>Tabel  Jumlah Kuantitas Bahan Baku (Kg) pada Kegiatan Pengolahan</v>
      </c>
      <c r="AH48" s="72">
        <v>2</v>
      </c>
      <c r="AI48" s="69" t="s">
        <v>440</v>
      </c>
      <c r="AJ48" s="34">
        <f>AK42</f>
        <v>280409819.89149112</v>
      </c>
      <c r="AK48" s="18"/>
    </row>
    <row r="49" spans="2:37" ht="12" customHeight="1" x14ac:dyDescent="0.25">
      <c r="B49" s="18" t="str">
        <f>AC1</f>
        <v>Tabel  Jumlah Kuantitas Bahan Baku (Kg) pada Kegiatan Pemasaran</v>
      </c>
      <c r="AH49" s="72">
        <v>3</v>
      </c>
      <c r="AI49" s="69" t="s">
        <v>69</v>
      </c>
      <c r="AJ49" s="34">
        <f>AL42</f>
        <v>285868742.05367923</v>
      </c>
      <c r="AK49" s="18"/>
    </row>
    <row r="50" spans="2:37" ht="12" customHeight="1" x14ac:dyDescent="0.25">
      <c r="B50" s="18" t="str">
        <f>AH1</f>
        <v>Tabel 127 Jumlah Kuantitas Bahan Baku (Kg) berdasarkan Asal Bahan Baku</v>
      </c>
      <c r="AH50" s="72">
        <v>4</v>
      </c>
      <c r="AI50" s="69" t="s">
        <v>70</v>
      </c>
      <c r="AJ50" s="34">
        <f>AM42</f>
        <v>26374527.385816429</v>
      </c>
      <c r="AK50" s="18"/>
    </row>
    <row r="51" spans="2:37" ht="12" customHeight="1" x14ac:dyDescent="0.25">
      <c r="B51" s="18" t="str">
        <f>AO1</f>
        <v>Tabel 128 Jumlah Kuantitas Bahan Baku (Kg) berdasarkan Asal Bahan Baku pada Kegiatan Pengolahan</v>
      </c>
      <c r="AH51" s="72"/>
      <c r="AI51" s="69" t="s">
        <v>400</v>
      </c>
      <c r="AJ51" s="34">
        <f>AN42</f>
        <v>3487916178.6992049</v>
      </c>
      <c r="AK51" s="51">
        <f>SUM(AJ47:AJ50)</f>
        <v>3487916178.6992044</v>
      </c>
    </row>
    <row r="52" spans="2:37" ht="10.199999999999999" customHeight="1" x14ac:dyDescent="0.25">
      <c r="B52" s="18" t="str">
        <f>AV1</f>
        <v>Tabel 129 Jumlah Kuantitas Bahan Baku (Kg) berdasarkan Asal Bahan Baku pada Kegiatan Pemasaran</v>
      </c>
    </row>
    <row r="53" spans="2:37" ht="10.199999999999999" customHeight="1" x14ac:dyDescent="0.25">
      <c r="B53" s="18" t="str">
        <f>BC1</f>
        <v>Tabel 130 Jumlah Kuantitas Bahan Baku (Kg) berdasarkan Asal Bahan Baku pada Jenis Kegiatan Fermentasi</v>
      </c>
    </row>
    <row r="54" spans="2:37" ht="10.199999999999999" customHeight="1" x14ac:dyDescent="0.25">
      <c r="B54" s="18" t="str">
        <f>BJ1</f>
        <v>Tabel 131 Jumlah Kuantitas Bahan Baku (Kg) berdasarkan Asal Bahan Baku pada Jenis Kegiatan Pelumatan Daging</v>
      </c>
    </row>
    <row r="55" spans="2:37" ht="10.199999999999999" customHeight="1" x14ac:dyDescent="0.25">
      <c r="B55" s="18" t="str">
        <f>BQ1</f>
        <v>Tabel 132 Jumlah Kuantitas Bahan Baku (Kg) berdasarkan Asal Bahan Baku pada Jenis Kegiatan Pembekuan</v>
      </c>
    </row>
    <row r="56" spans="2:37" ht="10.199999999999999" customHeight="1" x14ac:dyDescent="0.25">
      <c r="B56" s="18" t="str">
        <f>BX1</f>
        <v>Tabel 133 Jumlah Kuantitas Bahan Baku (Kg) berdasarkan Asal Bahan Baku pada Jenis Kegiatan Pemindangan</v>
      </c>
    </row>
    <row r="57" spans="2:37" ht="10.199999999999999" customHeight="1" x14ac:dyDescent="0.25">
      <c r="B57" s="18" t="str">
        <f>CE1</f>
        <v>Tabel 134 Jumlah Kuantitas Bahan Baku (Kg) berdasarkan Asal Bahan Baku pada Jenis Kegiatan Penanganan Produk Segar</v>
      </c>
    </row>
    <row r="58" spans="2:37" ht="10.199999999999999" customHeight="1" x14ac:dyDescent="0.25">
      <c r="B58" s="18" t="str">
        <f>CL1</f>
        <v>Tabel 135 Jumlah Kuantitas Bahan Baku (Kg) berdasarkan Asal Bahan Baku pada Jenis Kegiatan Pengalengan</v>
      </c>
    </row>
    <row r="59" spans="2:37" ht="10.199999999999999" customHeight="1" x14ac:dyDescent="0.25">
      <c r="B59" s="18" t="str">
        <f>CS1</f>
        <v>Tabel 136 Jumlah Kuantitas Bahan Baku (Kg) berdasarkan Asal Bahan Baku pada Jenis Kegiatan Pengasapan / Pemanggangan</v>
      </c>
    </row>
    <row r="60" spans="2:37" ht="10.199999999999999" customHeight="1" x14ac:dyDescent="0.25">
      <c r="B60" s="18" t="str">
        <f>CZ1</f>
        <v>Tabel 137Jumlah Kuantitas Bahan Baku (Kg) berdasarkan Asal Bahan Baku pada Jenis Kegiatan Penggaraman / Pengeringan</v>
      </c>
    </row>
    <row r="61" spans="2:37" ht="10.199999999999999" customHeight="1" x14ac:dyDescent="0.25">
      <c r="B61" s="18" t="str">
        <f>DG1</f>
        <v>Tabel 138 Jumlah Kuantitas Bahan Baku (Kg) berdasarkan Asal Bahan Baku pada Jenis Kegiatan Pereduksian/Ekstraksi</v>
      </c>
    </row>
    <row r="62" spans="2:37" ht="10.199999999999999" customHeight="1" x14ac:dyDescent="0.25">
      <c r="B62" s="18" t="str">
        <f>DN1</f>
        <v>Tabel 139 Jumlah Kuantitas Bahan Baku (Kg) berdasarkan Asal Bahan Baku pada Jenis Kegiatan Pengolahan Lainnya</v>
      </c>
    </row>
    <row r="63" spans="2:37" ht="10.199999999999999" customHeight="1" x14ac:dyDescent="0.25">
      <c r="B63" s="18" t="str">
        <f>DU1</f>
        <v>Tabel 140 Jumlah Kuantitas Bahan Baku (Kg) berdasarkan Asal Bahan Baku pada Jenis Kegiatan Pengumpul/Pedagang Besar/Distributor</v>
      </c>
    </row>
    <row r="64" spans="2:37" ht="10.199999999999999" customHeight="1" x14ac:dyDescent="0.25">
      <c r="B64" s="18" t="str">
        <f>EB1</f>
        <v>Tabel 141 Jumlah Kuantitas Bahan Baku (Kg) berdasarkan Asal Bahan Baku pada Jenis Kegiatan Pengecer</v>
      </c>
    </row>
  </sheetData>
  <mergeCells count="90">
    <mergeCell ref="EB1:EH1"/>
    <mergeCell ref="CZ1:DF1"/>
    <mergeCell ref="BC1:BI1"/>
    <mergeCell ref="BJ1:BP1"/>
    <mergeCell ref="BQ1:BW1"/>
    <mergeCell ref="BX1:CD1"/>
    <mergeCell ref="DG1:DM1"/>
    <mergeCell ref="DN1:DT1"/>
    <mergeCell ref="DU1:EA1"/>
    <mergeCell ref="CE1:CK1"/>
    <mergeCell ref="CL1:CR1"/>
    <mergeCell ref="CS1:CY1"/>
    <mergeCell ref="AG2:AG3"/>
    <mergeCell ref="A2:A3"/>
    <mergeCell ref="B2:B3"/>
    <mergeCell ref="C2:N2"/>
    <mergeCell ref="O2:O3"/>
    <mergeCell ref="P2:P3"/>
    <mergeCell ref="Q2:Q3"/>
    <mergeCell ref="R2:AA2"/>
    <mergeCell ref="AB2:AB3"/>
    <mergeCell ref="AC2:AC3"/>
    <mergeCell ref="AD2:AD3"/>
    <mergeCell ref="AE2:AF2"/>
    <mergeCell ref="BB2:BB3"/>
    <mergeCell ref="AH2:AH3"/>
    <mergeCell ref="AI2:AI3"/>
    <mergeCell ref="AJ2:AM2"/>
    <mergeCell ref="AN2:AN3"/>
    <mergeCell ref="AO2:AO3"/>
    <mergeCell ref="AP2:AP3"/>
    <mergeCell ref="AQ2:AT2"/>
    <mergeCell ref="AU2:AU3"/>
    <mergeCell ref="AV2:AV3"/>
    <mergeCell ref="AW2:AW3"/>
    <mergeCell ref="AX2:BA2"/>
    <mergeCell ref="DV2:DV3"/>
    <mergeCell ref="DW2:DZ2"/>
    <mergeCell ref="EA2:EA3"/>
    <mergeCell ref="DG2:DG3"/>
    <mergeCell ref="DH2:DH3"/>
    <mergeCell ref="DI2:DL2"/>
    <mergeCell ref="DM2:DM3"/>
    <mergeCell ref="DN2:DN3"/>
    <mergeCell ref="DO2:DO3"/>
    <mergeCell ref="DP2:DS2"/>
    <mergeCell ref="DT2:DT3"/>
    <mergeCell ref="BK2:BK3"/>
    <mergeCell ref="CG2:CJ2"/>
    <mergeCell ref="CK2:CK3"/>
    <mergeCell ref="CL2:CL3"/>
    <mergeCell ref="CM2:CM3"/>
    <mergeCell ref="BX2:BX3"/>
    <mergeCell ref="BY2:BY3"/>
    <mergeCell ref="BZ2:CC2"/>
    <mergeCell ref="CD2:CD3"/>
    <mergeCell ref="CE2:CE3"/>
    <mergeCell ref="CF2:CF3"/>
    <mergeCell ref="BL2:BO2"/>
    <mergeCell ref="BP2:BP3"/>
    <mergeCell ref="BQ2:BQ3"/>
    <mergeCell ref="BR2:BR3"/>
    <mergeCell ref="BS2:BV2"/>
    <mergeCell ref="BC2:BC3"/>
    <mergeCell ref="BD2:BD3"/>
    <mergeCell ref="BE2:BH2"/>
    <mergeCell ref="BI2:BI3"/>
    <mergeCell ref="BJ2:BJ3"/>
    <mergeCell ref="BW2:BW3"/>
    <mergeCell ref="CN2:CQ2"/>
    <mergeCell ref="CR2:CR3"/>
    <mergeCell ref="ED2:EG2"/>
    <mergeCell ref="EH2:EH3"/>
    <mergeCell ref="CZ2:CZ3"/>
    <mergeCell ref="DA2:DA3"/>
    <mergeCell ref="DB2:DE2"/>
    <mergeCell ref="DF2:DF3"/>
    <mergeCell ref="CS2:CS3"/>
    <mergeCell ref="CT2:CT3"/>
    <mergeCell ref="CU2:CX2"/>
    <mergeCell ref="CY2:CY3"/>
    <mergeCell ref="EB2:EB3"/>
    <mergeCell ref="EC2:EC3"/>
    <mergeCell ref="DU2:DU3"/>
    <mergeCell ref="AH1:AN1"/>
    <mergeCell ref="AV1:BB1"/>
    <mergeCell ref="A1:O1"/>
    <mergeCell ref="P1:AB1"/>
    <mergeCell ref="AC1:AG1"/>
    <mergeCell ref="AO1:AU1"/>
  </mergeCells>
  <pageMargins left="0.31496062992125984" right="0" top="0.59055118110236227" bottom="0.35433070866141736" header="0.31496062992125984" footer="0.31496062992125984"/>
  <pageSetup paperSize="9" scale="90" firstPageNumber="127" orientation="landscape" useFirstPageNumber="1" r:id="rId1"/>
  <headerFooter>
    <oddFooter>&amp;C&amp;P</oddFooter>
  </headerFooter>
  <colBreaks count="16" manualBreakCount="16">
    <brk id="28" max="1048575" man="1"/>
    <brk id="33" max="1048575" man="1"/>
    <brk id="40" max="1048575" man="1"/>
    <brk id="47" max="1048575" man="1"/>
    <brk id="54" max="1048575" man="1"/>
    <brk id="61" max="1048575" man="1"/>
    <brk id="68" max="1048575" man="1"/>
    <brk id="75" max="1048575" man="1"/>
    <brk id="82" max="1048575" man="1"/>
    <brk id="89" max="1048575" man="1"/>
    <brk id="96" max="1048575" man="1"/>
    <brk id="103" max="1048575" man="1"/>
    <brk id="110" max="1048575" man="1"/>
    <brk id="117" max="1048575" man="1"/>
    <brk id="124" max="1048575" man="1"/>
    <brk id="131" max="41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1C9C-60B6-47A0-948A-C641073C7F25}">
  <dimension ref="A1:S805"/>
  <sheetViews>
    <sheetView view="pageBreakPreview" topLeftCell="A729" zoomScale="55" zoomScaleNormal="40" zoomScaleSheetLayoutView="55" workbookViewId="0">
      <selection activeCell="P154" sqref="P154:R166"/>
    </sheetView>
  </sheetViews>
  <sheetFormatPr defaultRowHeight="10.199999999999999" x14ac:dyDescent="0.2"/>
  <cols>
    <col min="1" max="1" width="6.6640625" style="25" customWidth="1"/>
    <col min="2" max="2" width="19.33203125" style="25" bestFit="1" customWidth="1"/>
    <col min="3" max="15" width="12.33203125" style="25" customWidth="1"/>
    <col min="16" max="16" width="4.6640625" style="25" customWidth="1"/>
    <col min="17" max="17" width="39.6640625" style="25" customWidth="1"/>
    <col min="18" max="18" width="21.6640625" style="25" customWidth="1"/>
    <col min="19" max="19" width="17.109375" style="25" customWidth="1"/>
    <col min="20" max="16384" width="8.88671875" style="25"/>
  </cols>
  <sheetData>
    <row r="1" spans="1:16" ht="10.199999999999999" customHeight="1" x14ac:dyDescent="0.2">
      <c r="A1" s="97" t="s">
        <v>318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spans="1:16" x14ac:dyDescent="0.2">
      <c r="A2" s="98" t="s">
        <v>0</v>
      </c>
      <c r="B2" s="98" t="s">
        <v>1</v>
      </c>
      <c r="C2" s="98" t="s">
        <v>4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56"/>
      <c r="P2" s="98" t="s">
        <v>3</v>
      </c>
    </row>
    <row r="3" spans="1:16" ht="30.6" x14ac:dyDescent="0.2">
      <c r="A3" s="98"/>
      <c r="B3" s="98"/>
      <c r="C3" s="11" t="s">
        <v>9</v>
      </c>
      <c r="D3" s="11" t="s">
        <v>10</v>
      </c>
      <c r="E3" s="11" t="s">
        <v>11</v>
      </c>
      <c r="F3" s="11" t="s">
        <v>12</v>
      </c>
      <c r="G3" s="46" t="s">
        <v>13</v>
      </c>
      <c r="H3" s="46" t="s">
        <v>14</v>
      </c>
      <c r="I3" s="46" t="s">
        <v>138</v>
      </c>
      <c r="J3" s="46" t="s">
        <v>132</v>
      </c>
      <c r="K3" s="46" t="s">
        <v>134</v>
      </c>
      <c r="L3" s="46" t="s">
        <v>18</v>
      </c>
      <c r="M3" s="46" t="s">
        <v>19</v>
      </c>
      <c r="N3" s="46" t="s">
        <v>133</v>
      </c>
      <c r="O3" s="56"/>
      <c r="P3" s="98"/>
    </row>
    <row r="4" spans="1:16" x14ac:dyDescent="0.2">
      <c r="A4" s="7" t="s">
        <v>110</v>
      </c>
      <c r="B4" s="2" t="s">
        <v>38</v>
      </c>
      <c r="C4" s="3">
        <v>2420.8718725077433</v>
      </c>
      <c r="D4" s="3">
        <v>78732.113398863527</v>
      </c>
      <c r="E4" s="3">
        <v>2143725.476365577</v>
      </c>
      <c r="F4" s="3">
        <v>2556.5458110236145</v>
      </c>
      <c r="G4" s="3">
        <v>64774.562827419948</v>
      </c>
      <c r="H4" s="3">
        <v>0</v>
      </c>
      <c r="I4" s="3">
        <v>2178.5295681818116</v>
      </c>
      <c r="J4" s="3">
        <v>8060.8984615384607</v>
      </c>
      <c r="K4" s="3">
        <v>3713.4694506913511</v>
      </c>
      <c r="L4" s="3">
        <v>2373.6364558823452</v>
      </c>
      <c r="M4" s="3">
        <v>27284.98410078013</v>
      </c>
      <c r="N4" s="3">
        <v>3111.1421885374252</v>
      </c>
      <c r="O4" s="3"/>
      <c r="P4" s="3">
        <v>2338932.2305010031</v>
      </c>
    </row>
    <row r="5" spans="1:16" x14ac:dyDescent="0.2">
      <c r="A5" s="7" t="s">
        <v>113</v>
      </c>
      <c r="B5" s="2" t="s">
        <v>41</v>
      </c>
      <c r="C5" s="3">
        <v>0</v>
      </c>
      <c r="D5" s="3">
        <v>2664.0466761310745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288718.13161781366</v>
      </c>
      <c r="M5" s="3">
        <v>92912.774672522413</v>
      </c>
      <c r="N5" s="3">
        <v>962842.13503914815</v>
      </c>
      <c r="O5" s="3"/>
      <c r="P5" s="3">
        <v>1347137.0880056154</v>
      </c>
    </row>
    <row r="6" spans="1:16" x14ac:dyDescent="0.2">
      <c r="A6" s="7" t="s">
        <v>119</v>
      </c>
      <c r="B6" s="2" t="s">
        <v>47</v>
      </c>
      <c r="C6" s="3">
        <v>0</v>
      </c>
      <c r="D6" s="3">
        <v>4837.4991818181816</v>
      </c>
      <c r="E6" s="3">
        <v>1532624084.9999998</v>
      </c>
      <c r="F6" s="3">
        <v>335610</v>
      </c>
      <c r="G6" s="3">
        <v>0</v>
      </c>
      <c r="H6" s="3">
        <v>0</v>
      </c>
      <c r="I6" s="3">
        <v>92872.207224371363</v>
      </c>
      <c r="J6" s="3">
        <v>0</v>
      </c>
      <c r="K6" s="3">
        <v>600131.69999999995</v>
      </c>
      <c r="L6" s="3">
        <v>1427.1650735294115</v>
      </c>
      <c r="M6" s="3">
        <v>1482320.2440619627</v>
      </c>
      <c r="N6" s="3">
        <v>1122917.9085510173</v>
      </c>
      <c r="O6" s="3"/>
      <c r="P6" s="3">
        <v>1536264201.7240925</v>
      </c>
    </row>
    <row r="7" spans="1:16" x14ac:dyDescent="0.2">
      <c r="A7" s="7" t="s">
        <v>121</v>
      </c>
      <c r="B7" s="2" t="s">
        <v>49</v>
      </c>
      <c r="C7" s="3">
        <v>0</v>
      </c>
      <c r="D7" s="3">
        <v>1429.9356198347105</v>
      </c>
      <c r="E7" s="3">
        <v>2744223.445961752</v>
      </c>
      <c r="F7" s="3">
        <v>3675.5340944881887</v>
      </c>
      <c r="G7" s="3">
        <v>2938</v>
      </c>
      <c r="H7" s="3">
        <v>0</v>
      </c>
      <c r="I7" s="3">
        <v>97590.102681818171</v>
      </c>
      <c r="J7" s="3">
        <v>0</v>
      </c>
      <c r="K7" s="3">
        <v>0</v>
      </c>
      <c r="L7" s="3">
        <v>2841.3559191176464</v>
      </c>
      <c r="M7" s="3">
        <v>310065.26570737362</v>
      </c>
      <c r="N7" s="3">
        <v>4655.4030197306602</v>
      </c>
      <c r="O7" s="3"/>
      <c r="P7" s="3">
        <v>3167419.0430041146</v>
      </c>
    </row>
    <row r="8" spans="1:16" x14ac:dyDescent="0.2">
      <c r="A8" s="7" t="s">
        <v>95</v>
      </c>
      <c r="B8" s="2" t="s">
        <v>23</v>
      </c>
      <c r="C8" s="3">
        <v>0</v>
      </c>
      <c r="D8" s="3">
        <v>1016.9999999999999</v>
      </c>
      <c r="E8" s="3">
        <v>0</v>
      </c>
      <c r="F8" s="3">
        <v>0</v>
      </c>
      <c r="G8" s="3">
        <v>0</v>
      </c>
      <c r="H8" s="3">
        <v>0</v>
      </c>
      <c r="I8" s="3">
        <v>15430.463318181817</v>
      </c>
      <c r="J8" s="3">
        <v>10540995.346681593</v>
      </c>
      <c r="K8" s="3">
        <v>0</v>
      </c>
      <c r="L8" s="3">
        <v>3442.564941176463</v>
      </c>
      <c r="M8" s="3">
        <v>44474.561460747253</v>
      </c>
      <c r="N8" s="3">
        <v>37628.595493266519</v>
      </c>
      <c r="O8" s="3"/>
      <c r="P8" s="3">
        <v>10642988.531894965</v>
      </c>
    </row>
    <row r="9" spans="1:16" x14ac:dyDescent="0.2">
      <c r="A9" s="7" t="s">
        <v>101</v>
      </c>
      <c r="B9" s="2" t="s">
        <v>29</v>
      </c>
      <c r="C9" s="3">
        <v>0</v>
      </c>
      <c r="D9" s="3">
        <v>1039.3100755742848</v>
      </c>
      <c r="E9" s="3">
        <v>0</v>
      </c>
      <c r="F9" s="3">
        <v>0</v>
      </c>
      <c r="G9" s="3">
        <v>0</v>
      </c>
      <c r="H9" s="3">
        <v>0</v>
      </c>
      <c r="I9" s="3">
        <v>2972.8759090909089</v>
      </c>
      <c r="J9" s="3">
        <v>2156.04</v>
      </c>
      <c r="K9" s="3">
        <v>0</v>
      </c>
      <c r="L9" s="3">
        <v>2250.2101286764641</v>
      </c>
      <c r="M9" s="3">
        <v>26316.309668735827</v>
      </c>
      <c r="N9" s="3">
        <v>18550.079999999998</v>
      </c>
      <c r="O9" s="3"/>
      <c r="P9" s="3">
        <v>53284.825782077489</v>
      </c>
    </row>
    <row r="10" spans="1:16" x14ac:dyDescent="0.2">
      <c r="A10" s="7" t="s">
        <v>106</v>
      </c>
      <c r="B10" s="2" t="s">
        <v>34</v>
      </c>
      <c r="C10" s="3">
        <v>0</v>
      </c>
      <c r="D10" s="3">
        <v>1834.634380165289</v>
      </c>
      <c r="E10" s="3">
        <v>40492592.331349783</v>
      </c>
      <c r="F10" s="3">
        <v>150499.52096109596</v>
      </c>
      <c r="G10" s="3">
        <v>1454.8974072565027</v>
      </c>
      <c r="H10" s="3">
        <v>0</v>
      </c>
      <c r="I10" s="3">
        <v>2009.1187883409307</v>
      </c>
      <c r="J10" s="3">
        <v>407265.72930360708</v>
      </c>
      <c r="K10" s="3">
        <v>2395.6551219512185</v>
      </c>
      <c r="L10" s="3">
        <v>2463467.4344117641</v>
      </c>
      <c r="M10" s="3">
        <v>94365.501888482948</v>
      </c>
      <c r="N10" s="3">
        <v>3714660.3530848725</v>
      </c>
      <c r="O10" s="3"/>
      <c r="P10" s="3">
        <v>47330545.176697314</v>
      </c>
    </row>
    <row r="11" spans="1:16" x14ac:dyDescent="0.2">
      <c r="A11" s="7" t="s">
        <v>103</v>
      </c>
      <c r="B11" s="2" t="s">
        <v>31</v>
      </c>
      <c r="C11" s="3">
        <v>1336.6285714285668</v>
      </c>
      <c r="D11" s="3">
        <v>2375.0732231404891</v>
      </c>
      <c r="E11" s="3">
        <v>0</v>
      </c>
      <c r="F11" s="3">
        <v>516495.06141732284</v>
      </c>
      <c r="G11" s="3">
        <v>0</v>
      </c>
      <c r="H11" s="3">
        <v>0</v>
      </c>
      <c r="I11" s="3">
        <v>11588.406818181818</v>
      </c>
      <c r="J11" s="3">
        <v>3625.2138461538461</v>
      </c>
      <c r="K11" s="3">
        <v>0</v>
      </c>
      <c r="L11" s="3">
        <v>1938.0330882352939</v>
      </c>
      <c r="M11" s="3">
        <v>18082344.586155556</v>
      </c>
      <c r="N11" s="3">
        <v>145804.11261362518</v>
      </c>
      <c r="O11" s="3"/>
      <c r="P11" s="3">
        <v>18765507.115733646</v>
      </c>
    </row>
    <row r="12" spans="1:16" x14ac:dyDescent="0.2">
      <c r="A12" s="7" t="s">
        <v>99</v>
      </c>
      <c r="B12" s="2" t="s">
        <v>27</v>
      </c>
      <c r="C12" s="3">
        <v>50578.840379657617</v>
      </c>
      <c r="D12" s="3">
        <v>0</v>
      </c>
      <c r="E12" s="3">
        <v>0</v>
      </c>
      <c r="F12" s="3">
        <v>1233151.7236333964</v>
      </c>
      <c r="G12" s="3">
        <v>161188.83132569079</v>
      </c>
      <c r="H12" s="3">
        <v>0</v>
      </c>
      <c r="I12" s="3">
        <v>93837.665454545437</v>
      </c>
      <c r="J12" s="3">
        <v>0</v>
      </c>
      <c r="K12" s="3">
        <v>247395.66148548599</v>
      </c>
      <c r="L12" s="3">
        <v>1723.0283205882299</v>
      </c>
      <c r="M12" s="3">
        <v>139100.68401495257</v>
      </c>
      <c r="N12" s="3">
        <v>2735793.4534105854</v>
      </c>
      <c r="O12" s="3"/>
      <c r="P12" s="3">
        <v>4662769.888024902</v>
      </c>
    </row>
    <row r="13" spans="1:16" x14ac:dyDescent="0.2">
      <c r="A13" s="7" t="s">
        <v>94</v>
      </c>
      <c r="B13" s="2" t="s">
        <v>22</v>
      </c>
      <c r="C13" s="3">
        <v>0</v>
      </c>
      <c r="D13" s="3">
        <v>2146.4919669421447</v>
      </c>
      <c r="E13" s="3">
        <v>194066728.61400002</v>
      </c>
      <c r="F13" s="3">
        <v>28144301.079988748</v>
      </c>
      <c r="G13" s="3">
        <v>2687.5166666666637</v>
      </c>
      <c r="H13" s="3">
        <v>37961790.337236732</v>
      </c>
      <c r="I13" s="3">
        <v>1275.9929181818118</v>
      </c>
      <c r="J13" s="3">
        <v>86466860.806153849</v>
      </c>
      <c r="K13" s="3">
        <v>11455.023085714285</v>
      </c>
      <c r="L13" s="3">
        <v>2504.0552245989297</v>
      </c>
      <c r="M13" s="3">
        <v>355850.36772687593</v>
      </c>
      <c r="N13" s="3">
        <v>24416450.231277663</v>
      </c>
      <c r="O13" s="3"/>
      <c r="P13" s="3">
        <v>371432050.51624596</v>
      </c>
    </row>
    <row r="14" spans="1:16" x14ac:dyDescent="0.2">
      <c r="A14" s="7" t="s">
        <v>97</v>
      </c>
      <c r="B14" s="2" t="s">
        <v>25</v>
      </c>
      <c r="C14" s="3">
        <v>0</v>
      </c>
      <c r="D14" s="3">
        <v>4114.4373966942139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13080.184136029409</v>
      </c>
      <c r="M14" s="3">
        <v>85856.296293731139</v>
      </c>
      <c r="N14" s="3">
        <v>33699.430702355021</v>
      </c>
      <c r="O14" s="3"/>
      <c r="P14" s="3">
        <v>136750.34852880979</v>
      </c>
    </row>
    <row r="15" spans="1:16" x14ac:dyDescent="0.2">
      <c r="A15" s="7" t="s">
        <v>117</v>
      </c>
      <c r="B15" s="2" t="s">
        <v>45</v>
      </c>
      <c r="C15" s="3">
        <v>0</v>
      </c>
      <c r="D15" s="3">
        <v>0</v>
      </c>
      <c r="E15" s="3">
        <v>0</v>
      </c>
      <c r="F15" s="3">
        <v>616052.38235835009</v>
      </c>
      <c r="G15" s="3">
        <v>7091.4330549509923</v>
      </c>
      <c r="H15" s="3">
        <v>0</v>
      </c>
      <c r="I15" s="3">
        <v>0</v>
      </c>
      <c r="J15" s="3">
        <v>1247.3113846153758</v>
      </c>
      <c r="K15" s="3">
        <v>24713.367640026303</v>
      </c>
      <c r="L15" s="3">
        <v>2185.3659926470532</v>
      </c>
      <c r="M15" s="3">
        <v>163010.0938172029</v>
      </c>
      <c r="N15" s="3">
        <v>38857617.793801479</v>
      </c>
      <c r="O15" s="3"/>
      <c r="P15" s="3">
        <v>39671917.748049274</v>
      </c>
    </row>
    <row r="16" spans="1:16" x14ac:dyDescent="0.2">
      <c r="A16" s="7" t="s">
        <v>114</v>
      </c>
      <c r="B16" s="2" t="s">
        <v>42</v>
      </c>
      <c r="C16" s="3">
        <v>1518.2357142857143</v>
      </c>
      <c r="D16" s="3">
        <v>26945.076033407382</v>
      </c>
      <c r="E16" s="3">
        <v>0</v>
      </c>
      <c r="F16" s="3">
        <v>214703.69474409445</v>
      </c>
      <c r="G16" s="3">
        <v>0</v>
      </c>
      <c r="H16" s="3">
        <v>0</v>
      </c>
      <c r="I16" s="3">
        <v>2066.3908155080212</v>
      </c>
      <c r="J16" s="3">
        <v>1736.7230769230689</v>
      </c>
      <c r="K16" s="3">
        <v>22249.826780487801</v>
      </c>
      <c r="L16" s="3">
        <v>71322.247911085025</v>
      </c>
      <c r="M16" s="3">
        <v>56709.58810626121</v>
      </c>
      <c r="N16" s="3">
        <v>5867.2013592233006</v>
      </c>
      <c r="O16" s="3"/>
      <c r="P16" s="3">
        <v>403118.984541276</v>
      </c>
    </row>
    <row r="17" spans="1:16" x14ac:dyDescent="0.2">
      <c r="A17" s="7" t="s">
        <v>112</v>
      </c>
      <c r="B17" s="2" t="s">
        <v>40</v>
      </c>
      <c r="C17" s="3">
        <v>0</v>
      </c>
      <c r="D17" s="3">
        <v>0</v>
      </c>
      <c r="E17" s="3">
        <v>65491320.842999987</v>
      </c>
      <c r="F17" s="3">
        <v>9210.9770078740148</v>
      </c>
      <c r="G17" s="3">
        <v>1176.7066666666592</v>
      </c>
      <c r="H17" s="3">
        <v>4881.5999999999995</v>
      </c>
      <c r="I17" s="3">
        <v>11219.667272727271</v>
      </c>
      <c r="J17" s="3">
        <v>1381.8683076923076</v>
      </c>
      <c r="K17" s="3">
        <v>6750.8956097560967</v>
      </c>
      <c r="L17" s="3">
        <v>5480.6284090909085</v>
      </c>
      <c r="M17" s="3">
        <v>41956.629915696642</v>
      </c>
      <c r="N17" s="3">
        <v>1513.6843689320385</v>
      </c>
      <c r="O17" s="3"/>
      <c r="P17" s="3">
        <v>65574893.500558421</v>
      </c>
    </row>
    <row r="18" spans="1:16" x14ac:dyDescent="0.2">
      <c r="A18" s="7" t="s">
        <v>116</v>
      </c>
      <c r="B18" s="2" t="s">
        <v>44</v>
      </c>
      <c r="C18" s="3">
        <v>9725.4086113510439</v>
      </c>
      <c r="D18" s="3">
        <v>59355.189067895531</v>
      </c>
      <c r="E18" s="3">
        <v>12928689.791999998</v>
      </c>
      <c r="F18" s="3">
        <v>8248.5106299212584</v>
      </c>
      <c r="G18" s="3">
        <v>27835.541111111106</v>
      </c>
      <c r="H18" s="3">
        <v>45764.999999999993</v>
      </c>
      <c r="I18" s="3">
        <v>19224.317613636358</v>
      </c>
      <c r="J18" s="3">
        <v>9619.7769230769209</v>
      </c>
      <c r="K18" s="3">
        <v>29147.616878048775</v>
      </c>
      <c r="L18" s="3">
        <v>448962.27196078422</v>
      </c>
      <c r="M18" s="3">
        <v>62473.877019522697</v>
      </c>
      <c r="N18" s="3">
        <v>59909969.323262237</v>
      </c>
      <c r="O18" s="3"/>
      <c r="P18" s="3">
        <v>73559016.62507759</v>
      </c>
    </row>
    <row r="19" spans="1:16" x14ac:dyDescent="0.2">
      <c r="A19" s="7" t="s">
        <v>107</v>
      </c>
      <c r="B19" s="2" t="s">
        <v>35</v>
      </c>
      <c r="C19" s="3">
        <v>0</v>
      </c>
      <c r="D19" s="3">
        <v>2168.0759008264445</v>
      </c>
      <c r="E19" s="3">
        <v>0</v>
      </c>
      <c r="F19" s="3">
        <v>0</v>
      </c>
      <c r="G19" s="3">
        <v>0</v>
      </c>
      <c r="H19" s="3">
        <v>0</v>
      </c>
      <c r="I19" s="3">
        <v>21937.776340909088</v>
      </c>
      <c r="J19" s="3">
        <v>0</v>
      </c>
      <c r="K19" s="3">
        <v>0</v>
      </c>
      <c r="L19" s="3">
        <v>112721.46580147058</v>
      </c>
      <c r="M19" s="3">
        <v>3541885.574724609</v>
      </c>
      <c r="N19" s="3">
        <v>236597.45590555848</v>
      </c>
      <c r="O19" s="3"/>
      <c r="P19" s="3">
        <v>3915310.3486733735</v>
      </c>
    </row>
    <row r="20" spans="1:16" x14ac:dyDescent="0.2">
      <c r="A20" s="7" t="s">
        <v>100</v>
      </c>
      <c r="B20" s="2" t="s">
        <v>28</v>
      </c>
      <c r="C20" s="3">
        <v>0</v>
      </c>
      <c r="D20" s="3">
        <v>1128.5169917355336</v>
      </c>
      <c r="E20" s="3">
        <v>0</v>
      </c>
      <c r="F20" s="3">
        <v>0</v>
      </c>
      <c r="G20" s="3">
        <v>92031.594444444432</v>
      </c>
      <c r="H20" s="3">
        <v>0</v>
      </c>
      <c r="I20" s="3">
        <v>9553.5130909090894</v>
      </c>
      <c r="J20" s="3">
        <v>0</v>
      </c>
      <c r="K20" s="3">
        <v>483.52466805876963</v>
      </c>
      <c r="L20" s="3">
        <v>1777.8623863636362</v>
      </c>
      <c r="M20" s="3">
        <v>41492.698249007997</v>
      </c>
      <c r="N20" s="3">
        <v>73174.022078296257</v>
      </c>
      <c r="O20" s="3"/>
      <c r="P20" s="3">
        <v>219641.73190881571</v>
      </c>
    </row>
    <row r="21" spans="1:16" x14ac:dyDescent="0.2">
      <c r="A21" s="7" t="s">
        <v>108</v>
      </c>
      <c r="B21" s="2" t="s">
        <v>36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2268.7717436974744</v>
      </c>
      <c r="M21" s="3">
        <v>25250.274980789287</v>
      </c>
      <c r="N21" s="3">
        <v>0</v>
      </c>
      <c r="O21" s="3"/>
      <c r="P21" s="3">
        <v>27519.046724486761</v>
      </c>
    </row>
    <row r="22" spans="1:16" x14ac:dyDescent="0.2">
      <c r="A22" s="7" t="s">
        <v>104</v>
      </c>
      <c r="B22" s="2" t="s">
        <v>32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1347025.6529999997</v>
      </c>
      <c r="M22" s="3">
        <v>39109.077642462435</v>
      </c>
      <c r="N22" s="3">
        <v>866383.27479725692</v>
      </c>
      <c r="O22" s="3"/>
      <c r="P22" s="3">
        <v>2252518.0054397192</v>
      </c>
    </row>
    <row r="23" spans="1:16" x14ac:dyDescent="0.2">
      <c r="A23" s="7" t="s">
        <v>105</v>
      </c>
      <c r="B23" s="2" t="s">
        <v>33</v>
      </c>
      <c r="C23" s="3">
        <v>0</v>
      </c>
      <c r="D23" s="3">
        <v>1585.3769256198334</v>
      </c>
      <c r="E23" s="3">
        <v>0</v>
      </c>
      <c r="F23" s="3">
        <v>0</v>
      </c>
      <c r="G23" s="3">
        <v>2148.5694444444398</v>
      </c>
      <c r="H23" s="3">
        <v>0</v>
      </c>
      <c r="I23" s="3">
        <v>0</v>
      </c>
      <c r="J23" s="3">
        <v>0</v>
      </c>
      <c r="K23" s="3">
        <v>0</v>
      </c>
      <c r="L23" s="3">
        <v>2186.3882045454452</v>
      </c>
      <c r="M23" s="3">
        <v>50116.005126488017</v>
      </c>
      <c r="N23" s="3">
        <v>236941.05367741932</v>
      </c>
      <c r="O23" s="3"/>
      <c r="P23" s="3">
        <v>292977.39337851707</v>
      </c>
    </row>
    <row r="24" spans="1:16" x14ac:dyDescent="0.2">
      <c r="A24" s="7" t="s">
        <v>109</v>
      </c>
      <c r="B24" s="2" t="s">
        <v>37</v>
      </c>
      <c r="C24" s="3">
        <v>0</v>
      </c>
      <c r="D24" s="3">
        <v>0</v>
      </c>
      <c r="E24" s="3">
        <v>0</v>
      </c>
      <c r="F24" s="3">
        <v>8420.7599999999984</v>
      </c>
      <c r="G24" s="3">
        <v>2782.059999999994</v>
      </c>
      <c r="H24" s="3">
        <v>0</v>
      </c>
      <c r="I24" s="3">
        <v>6432.2591931818115</v>
      </c>
      <c r="J24" s="3">
        <v>0</v>
      </c>
      <c r="K24" s="3">
        <v>0</v>
      </c>
      <c r="L24" s="3">
        <v>3104.2055514705798</v>
      </c>
      <c r="M24" s="3">
        <v>53112.416436925749</v>
      </c>
      <c r="N24" s="3">
        <v>2820.8656085186349</v>
      </c>
      <c r="O24" s="3"/>
      <c r="P24" s="3">
        <v>76672.566790096767</v>
      </c>
    </row>
    <row r="25" spans="1:16" x14ac:dyDescent="0.2">
      <c r="A25" s="7" t="s">
        <v>96</v>
      </c>
      <c r="B25" s="2" t="s">
        <v>24</v>
      </c>
      <c r="C25" s="3">
        <v>0</v>
      </c>
      <c r="D25" s="3">
        <v>1798.6611570247933</v>
      </c>
      <c r="E25" s="3">
        <v>0</v>
      </c>
      <c r="F25" s="3">
        <v>6018.6380314960625</v>
      </c>
      <c r="G25" s="3">
        <v>32915.672883085077</v>
      </c>
      <c r="H25" s="3">
        <v>0</v>
      </c>
      <c r="I25" s="3">
        <v>22498.813636363629</v>
      </c>
      <c r="J25" s="3">
        <v>0</v>
      </c>
      <c r="K25" s="3">
        <v>2740.8149999999991</v>
      </c>
      <c r="L25" s="3">
        <v>1574.2063235294117</v>
      </c>
      <c r="M25" s="3">
        <v>55697.403912205336</v>
      </c>
      <c r="N25" s="3">
        <v>4648.5264052615094</v>
      </c>
      <c r="O25" s="3"/>
      <c r="P25" s="3">
        <v>127892.73734896581</v>
      </c>
    </row>
    <row r="26" spans="1:16" x14ac:dyDescent="0.2">
      <c r="A26" s="7" t="s">
        <v>120</v>
      </c>
      <c r="B26" s="2" t="s">
        <v>48</v>
      </c>
      <c r="C26" s="3">
        <v>2684.8799999999997</v>
      </c>
      <c r="D26" s="3">
        <v>0</v>
      </c>
      <c r="E26" s="3">
        <v>17426447.549999997</v>
      </c>
      <c r="F26" s="3">
        <v>98310.873210420585</v>
      </c>
      <c r="G26" s="3">
        <v>23574.562222222215</v>
      </c>
      <c r="H26" s="3">
        <v>0</v>
      </c>
      <c r="I26" s="3">
        <v>15200.232980350971</v>
      </c>
      <c r="J26" s="3">
        <v>0</v>
      </c>
      <c r="K26" s="3">
        <v>71247.36531370008</v>
      </c>
      <c r="L26" s="3">
        <v>2697.1517999999928</v>
      </c>
      <c r="M26" s="3">
        <v>386854.59135570721</v>
      </c>
      <c r="N26" s="3">
        <v>33979.930642135871</v>
      </c>
      <c r="O26" s="3"/>
      <c r="P26" s="3">
        <v>18060997.137524534</v>
      </c>
    </row>
    <row r="27" spans="1:16" x14ac:dyDescent="0.2">
      <c r="A27" s="7" t="s">
        <v>102</v>
      </c>
      <c r="B27" s="2" t="s">
        <v>30</v>
      </c>
      <c r="C27" s="3">
        <v>1416.5357142857113</v>
      </c>
      <c r="D27" s="3">
        <v>25903.746446280991</v>
      </c>
      <c r="E27" s="3">
        <v>1917310.3175770512</v>
      </c>
      <c r="F27" s="3">
        <v>3385327.7782159792</v>
      </c>
      <c r="G27" s="3">
        <v>187127.99999999997</v>
      </c>
      <c r="H27" s="3">
        <v>77239.328281866008</v>
      </c>
      <c r="I27" s="3">
        <v>24501.879886363637</v>
      </c>
      <c r="J27" s="3">
        <v>2206.7335384615344</v>
      </c>
      <c r="K27" s="3">
        <v>668566.076487805</v>
      </c>
      <c r="L27" s="3">
        <v>2594.8455882352937</v>
      </c>
      <c r="M27" s="3">
        <v>7639541.3056871481</v>
      </c>
      <c r="N27" s="3">
        <v>1310497.7579983661</v>
      </c>
      <c r="O27" s="3"/>
      <c r="P27" s="3">
        <v>15242234.305421844</v>
      </c>
    </row>
    <row r="28" spans="1:16" x14ac:dyDescent="0.2">
      <c r="A28" s="7" t="s">
        <v>98</v>
      </c>
      <c r="B28" s="2" t="s">
        <v>26</v>
      </c>
      <c r="C28" s="3">
        <v>14092.921952524912</v>
      </c>
      <c r="D28" s="3">
        <v>17520.304462809916</v>
      </c>
      <c r="E28" s="3">
        <v>3052220.4</v>
      </c>
      <c r="F28" s="3">
        <v>8033.1274184476933</v>
      </c>
      <c r="G28" s="3">
        <v>42339.063690703231</v>
      </c>
      <c r="H28" s="3">
        <v>0</v>
      </c>
      <c r="I28" s="3">
        <v>40508.959090909084</v>
      </c>
      <c r="J28" s="3">
        <v>3318.7056923076825</v>
      </c>
      <c r="K28" s="3">
        <v>25421.212718256204</v>
      </c>
      <c r="L28" s="3">
        <v>338763.63995094341</v>
      </c>
      <c r="M28" s="3">
        <v>25985.169124299329</v>
      </c>
      <c r="N28" s="3">
        <v>992168.5121065611</v>
      </c>
      <c r="O28" s="3"/>
      <c r="P28" s="3">
        <v>4560372.0162077621</v>
      </c>
    </row>
    <row r="29" spans="1:16" x14ac:dyDescent="0.2">
      <c r="A29" s="7" t="s">
        <v>93</v>
      </c>
      <c r="B29" s="2" t="s">
        <v>21</v>
      </c>
      <c r="C29" s="3">
        <v>0</v>
      </c>
      <c r="D29" s="3">
        <v>21464.919669421444</v>
      </c>
      <c r="E29" s="3">
        <v>0</v>
      </c>
      <c r="F29" s="3">
        <v>190642.41122047242</v>
      </c>
      <c r="G29" s="3">
        <v>0</v>
      </c>
      <c r="H29" s="3">
        <v>0</v>
      </c>
      <c r="I29" s="3">
        <v>2370.9225243506489</v>
      </c>
      <c r="J29" s="3">
        <v>1928.8578461538459</v>
      </c>
      <c r="K29" s="3">
        <v>13004.086302439024</v>
      </c>
      <c r="L29" s="3">
        <v>1120.1083455882351</v>
      </c>
      <c r="M29" s="3">
        <v>113462.41433387887</v>
      </c>
      <c r="N29" s="3">
        <v>1807.1662135922329</v>
      </c>
      <c r="O29" s="3"/>
      <c r="P29" s="3">
        <v>345800.88645589672</v>
      </c>
    </row>
    <row r="30" spans="1:16" x14ac:dyDescent="0.2">
      <c r="A30" s="7" t="s">
        <v>115</v>
      </c>
      <c r="B30" s="2" t="s">
        <v>43</v>
      </c>
      <c r="C30" s="3">
        <v>54037.98714717594</v>
      </c>
      <c r="D30" s="3">
        <v>0</v>
      </c>
      <c r="E30" s="3">
        <v>585792</v>
      </c>
      <c r="F30" s="3">
        <v>1283203.9359341445</v>
      </c>
      <c r="G30" s="3">
        <v>116606.81155168633</v>
      </c>
      <c r="H30" s="3">
        <v>0</v>
      </c>
      <c r="I30" s="3">
        <v>202871.15999999997</v>
      </c>
      <c r="J30" s="3">
        <v>10068.299999999999</v>
      </c>
      <c r="K30" s="3">
        <v>50957.015331010436</v>
      </c>
      <c r="L30" s="3">
        <v>611944.61197036807</v>
      </c>
      <c r="M30" s="3">
        <v>2412661.3251828346</v>
      </c>
      <c r="N30" s="3">
        <v>2987674.8610318089</v>
      </c>
      <c r="O30" s="3"/>
      <c r="P30" s="3">
        <v>8315818.0081490288</v>
      </c>
    </row>
    <row r="31" spans="1:16" x14ac:dyDescent="0.2">
      <c r="A31" s="7" t="s">
        <v>111</v>
      </c>
      <c r="B31" s="2" t="s">
        <v>39</v>
      </c>
      <c r="C31" s="3">
        <v>0</v>
      </c>
      <c r="D31" s="3">
        <v>0</v>
      </c>
      <c r="E31" s="3">
        <v>0</v>
      </c>
      <c r="F31" s="3">
        <v>4020.3131102362199</v>
      </c>
      <c r="G31" s="3">
        <v>0</v>
      </c>
      <c r="H31" s="3">
        <v>0</v>
      </c>
      <c r="I31" s="3">
        <v>2689.0404545454448</v>
      </c>
      <c r="J31" s="3">
        <v>1021.2870461538461</v>
      </c>
      <c r="K31" s="3">
        <v>9577.9206161745824</v>
      </c>
      <c r="L31" s="3">
        <v>19811.932720588236</v>
      </c>
      <c r="M31" s="3">
        <v>82411.068665478204</v>
      </c>
      <c r="N31" s="3">
        <v>811978.29774752841</v>
      </c>
      <c r="O31" s="3"/>
      <c r="P31" s="3">
        <v>931509.86036070494</v>
      </c>
    </row>
    <row r="32" spans="1:16" x14ac:dyDescent="0.2">
      <c r="A32" s="7" t="s">
        <v>118</v>
      </c>
      <c r="B32" s="2" t="s">
        <v>46</v>
      </c>
      <c r="C32" s="3">
        <v>1276.3349999999998</v>
      </c>
      <c r="D32" s="3">
        <v>0</v>
      </c>
      <c r="E32" s="3">
        <v>687898.79999999993</v>
      </c>
      <c r="F32" s="3">
        <v>2884.7565354330704</v>
      </c>
      <c r="G32" s="3">
        <v>0</v>
      </c>
      <c r="H32" s="3">
        <v>0</v>
      </c>
      <c r="I32" s="3">
        <v>0</v>
      </c>
      <c r="J32" s="3">
        <v>0</v>
      </c>
      <c r="K32" s="3">
        <v>3471040.3229999999</v>
      </c>
      <c r="L32" s="3">
        <v>3285.5381470588195</v>
      </c>
      <c r="M32" s="3">
        <v>0</v>
      </c>
      <c r="N32" s="3">
        <v>2983.529126213592</v>
      </c>
      <c r="O32" s="3"/>
      <c r="P32" s="3">
        <v>4169369.2818087051</v>
      </c>
    </row>
    <row r="33" spans="1:16" x14ac:dyDescent="0.2">
      <c r="A33" s="7" t="s">
        <v>124</v>
      </c>
      <c r="B33" s="2" t="s">
        <v>52</v>
      </c>
      <c r="C33" s="3">
        <v>0</v>
      </c>
      <c r="D33" s="3">
        <v>0</v>
      </c>
      <c r="E33" s="3">
        <v>0</v>
      </c>
      <c r="F33" s="3">
        <v>1140.8417716535362</v>
      </c>
      <c r="G33" s="3">
        <v>0</v>
      </c>
      <c r="H33" s="3">
        <v>15254.999999999998</v>
      </c>
      <c r="I33" s="3">
        <v>0</v>
      </c>
      <c r="J33" s="3">
        <v>0</v>
      </c>
      <c r="K33" s="3">
        <v>0</v>
      </c>
      <c r="L33" s="3">
        <v>2671.1754264705864</v>
      </c>
      <c r="M33" s="3">
        <v>38799.460244785267</v>
      </c>
      <c r="N33" s="3">
        <v>3709.1372330097079</v>
      </c>
      <c r="O33" s="3"/>
      <c r="P33" s="3">
        <v>61575.614675919089</v>
      </c>
    </row>
    <row r="34" spans="1:16" x14ac:dyDescent="0.2">
      <c r="A34" s="7" t="s">
        <v>123</v>
      </c>
      <c r="B34" s="2" t="s">
        <v>51</v>
      </c>
      <c r="C34" s="3">
        <v>0</v>
      </c>
      <c r="D34" s="3">
        <v>4340.303851239667</v>
      </c>
      <c r="E34" s="3">
        <v>0</v>
      </c>
      <c r="F34" s="3">
        <v>0</v>
      </c>
      <c r="G34" s="3">
        <v>0</v>
      </c>
      <c r="H34" s="3">
        <v>0</v>
      </c>
      <c r="I34" s="3">
        <v>2024.7545454545443</v>
      </c>
      <c r="J34" s="3">
        <v>0</v>
      </c>
      <c r="K34" s="3">
        <v>1499.2068292682877</v>
      </c>
      <c r="L34" s="3">
        <v>37478.117980052302</v>
      </c>
      <c r="M34" s="3">
        <v>36934.030338223878</v>
      </c>
      <c r="N34" s="3">
        <v>9873.4296774193535</v>
      </c>
      <c r="O34" s="3"/>
      <c r="P34" s="3">
        <v>92149.843221658026</v>
      </c>
    </row>
    <row r="35" spans="1:16" x14ac:dyDescent="0.2">
      <c r="A35" s="7" t="s">
        <v>126</v>
      </c>
      <c r="B35" s="2" t="s">
        <v>54</v>
      </c>
      <c r="C35" s="3">
        <v>0</v>
      </c>
      <c r="D35" s="3">
        <v>0</v>
      </c>
      <c r="E35" s="3">
        <v>0</v>
      </c>
      <c r="F35" s="3">
        <v>1181.9622047244002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/>
      <c r="P35" s="3">
        <v>1181.9622047244002</v>
      </c>
    </row>
    <row r="36" spans="1:16" x14ac:dyDescent="0.2">
      <c r="A36" s="7" t="s">
        <v>129</v>
      </c>
      <c r="B36" s="2" t="s">
        <v>57</v>
      </c>
      <c r="C36" s="3">
        <v>3938.6957142857109</v>
      </c>
      <c r="D36" s="3">
        <v>1345395.674320661</v>
      </c>
      <c r="E36" s="3">
        <v>12417569.999999996</v>
      </c>
      <c r="F36" s="3">
        <v>54244.457716535435</v>
      </c>
      <c r="G36" s="3">
        <v>1277.5068518518462</v>
      </c>
      <c r="H36" s="3">
        <v>0</v>
      </c>
      <c r="I36" s="3">
        <v>6127.8872727272665</v>
      </c>
      <c r="J36" s="3">
        <v>17840.683384615375</v>
      </c>
      <c r="K36" s="3">
        <v>19995.470165853658</v>
      </c>
      <c r="L36" s="3">
        <v>34169.902289592756</v>
      </c>
      <c r="M36" s="3">
        <v>66734.737805182391</v>
      </c>
      <c r="N36" s="3">
        <v>7331978.6557469452</v>
      </c>
      <c r="O36" s="3"/>
      <c r="P36" s="3">
        <v>21299273.671268247</v>
      </c>
    </row>
    <row r="37" spans="1:16" x14ac:dyDescent="0.2">
      <c r="A37" s="7" t="s">
        <v>128</v>
      </c>
      <c r="B37" s="2" t="s">
        <v>56</v>
      </c>
      <c r="C37" s="3">
        <v>0</v>
      </c>
      <c r="D37" s="3">
        <v>1156.3962396694119</v>
      </c>
      <c r="E37" s="3">
        <v>0</v>
      </c>
      <c r="F37" s="3">
        <v>276217.19999999995</v>
      </c>
      <c r="G37" s="3">
        <v>1185.2444444444423</v>
      </c>
      <c r="H37" s="3">
        <v>369781.19999999995</v>
      </c>
      <c r="I37" s="3">
        <v>242743.10727272724</v>
      </c>
      <c r="J37" s="3">
        <v>2542.6642846153759</v>
      </c>
      <c r="K37" s="3">
        <v>290884.72126829263</v>
      </c>
      <c r="L37" s="3">
        <v>3508727.3853704277</v>
      </c>
      <c r="M37" s="3">
        <v>18671.612142695667</v>
      </c>
      <c r="N37" s="3">
        <v>15719.630660820543</v>
      </c>
      <c r="O37" s="3"/>
      <c r="P37" s="3">
        <v>4727629.1616836935</v>
      </c>
    </row>
    <row r="38" spans="1:16" x14ac:dyDescent="0.2">
      <c r="A38" s="7" t="s">
        <v>127</v>
      </c>
      <c r="B38" s="2" t="s">
        <v>55</v>
      </c>
      <c r="C38" s="3">
        <v>0</v>
      </c>
      <c r="D38" s="3">
        <v>0</v>
      </c>
      <c r="E38" s="3">
        <v>0</v>
      </c>
      <c r="F38" s="3">
        <v>49128.113701695351</v>
      </c>
      <c r="G38" s="3">
        <v>0</v>
      </c>
      <c r="H38" s="3">
        <v>0</v>
      </c>
      <c r="I38" s="3">
        <v>58731.749999999993</v>
      </c>
      <c r="J38" s="3">
        <v>0</v>
      </c>
      <c r="K38" s="3">
        <v>0</v>
      </c>
      <c r="L38" s="3">
        <v>2497.4379264705799</v>
      </c>
      <c r="M38" s="3">
        <v>2452.0449349726646</v>
      </c>
      <c r="N38" s="3">
        <v>0</v>
      </c>
      <c r="O38" s="3"/>
      <c r="P38" s="3">
        <v>112809.34656313859</v>
      </c>
    </row>
    <row r="39" spans="1:16" x14ac:dyDescent="0.2">
      <c r="A39" s="7" t="s">
        <v>125</v>
      </c>
      <c r="B39" s="2" t="s">
        <v>53</v>
      </c>
      <c r="C39" s="3">
        <v>0</v>
      </c>
      <c r="D39" s="3">
        <v>2233.127479338837</v>
      </c>
      <c r="E39" s="3">
        <v>0</v>
      </c>
      <c r="F39" s="3">
        <v>1271.0097637795182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3277.7536102941094</v>
      </c>
      <c r="M39" s="3">
        <v>130350.48331077438</v>
      </c>
      <c r="N39" s="3">
        <v>12242.055483870965</v>
      </c>
      <c r="O39" s="3"/>
      <c r="P39" s="3">
        <v>149374.42964805782</v>
      </c>
    </row>
    <row r="40" spans="1:16" x14ac:dyDescent="0.2">
      <c r="A40" s="7" t="s">
        <v>130</v>
      </c>
      <c r="B40" s="2" t="s">
        <v>58</v>
      </c>
      <c r="C40" s="3">
        <v>0</v>
      </c>
      <c r="D40" s="3">
        <v>83144.80604594278</v>
      </c>
      <c r="E40" s="3">
        <v>0</v>
      </c>
      <c r="F40" s="3">
        <v>0</v>
      </c>
      <c r="G40" s="3">
        <v>0</v>
      </c>
      <c r="H40" s="3">
        <v>0</v>
      </c>
      <c r="I40" s="3">
        <v>12283.251598237353</v>
      </c>
      <c r="J40" s="3">
        <v>0</v>
      </c>
      <c r="K40" s="3">
        <v>557.02041760370264</v>
      </c>
      <c r="L40" s="3">
        <v>82303775.999999985</v>
      </c>
      <c r="M40" s="3">
        <v>390414.44111381058</v>
      </c>
      <c r="N40" s="3">
        <v>49877168.240295351</v>
      </c>
      <c r="O40" s="3"/>
      <c r="P40" s="3">
        <v>132667343.75947094</v>
      </c>
    </row>
    <row r="41" spans="1:16" x14ac:dyDescent="0.2">
      <c r="A41" s="7" t="s">
        <v>122</v>
      </c>
      <c r="B41" s="2" t="s">
        <v>50</v>
      </c>
      <c r="C41" s="3">
        <v>0</v>
      </c>
      <c r="D41" s="3">
        <v>0</v>
      </c>
      <c r="E41" s="3">
        <v>0</v>
      </c>
      <c r="F41" s="3">
        <v>1252.0311023622003</v>
      </c>
      <c r="G41" s="3">
        <v>1138.8516666666617</v>
      </c>
      <c r="H41" s="3">
        <v>0</v>
      </c>
      <c r="I41" s="3">
        <v>0</v>
      </c>
      <c r="J41" s="3">
        <v>0</v>
      </c>
      <c r="K41" s="3">
        <v>100.45975609756097</v>
      </c>
      <c r="L41" s="3">
        <v>2349.8745627828002</v>
      </c>
      <c r="M41" s="3">
        <v>12998.813047252881</v>
      </c>
      <c r="N41" s="3">
        <v>0</v>
      </c>
      <c r="O41" s="3"/>
      <c r="P41" s="3">
        <v>17840.030135162102</v>
      </c>
    </row>
    <row r="42" spans="1:16" x14ac:dyDescent="0.2">
      <c r="A42" s="8"/>
      <c r="B42" s="4" t="s">
        <v>59</v>
      </c>
      <c r="C42" s="3">
        <v>143027.34067750294</v>
      </c>
      <c r="D42" s="3">
        <v>1694330.7165110374</v>
      </c>
      <c r="E42" s="3">
        <v>1886578604.5702541</v>
      </c>
      <c r="F42" s="3">
        <v>36605803.240583703</v>
      </c>
      <c r="G42" s="3">
        <v>772275.42625931138</v>
      </c>
      <c r="H42" s="3">
        <v>38474712.465518601</v>
      </c>
      <c r="I42" s="3">
        <v>1022741.0462697954</v>
      </c>
      <c r="J42" s="3">
        <v>97481876.94593136</v>
      </c>
      <c r="K42" s="3">
        <v>5574028.4339267211</v>
      </c>
      <c r="L42" s="3">
        <v>91657540.342290953</v>
      </c>
      <c r="M42" s="3">
        <v>36229976.712969929</v>
      </c>
      <c r="N42" s="3">
        <v>196783427.25060868</v>
      </c>
      <c r="O42" s="3"/>
      <c r="P42" s="3">
        <v>2393018344.4918017</v>
      </c>
    </row>
    <row r="45" spans="1:16" ht="10.199999999999999" customHeight="1" x14ac:dyDescent="0.2">
      <c r="A45" s="97" t="s">
        <v>319</v>
      </c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</row>
    <row r="46" spans="1:16" x14ac:dyDescent="0.2">
      <c r="A46" s="98" t="s">
        <v>0</v>
      </c>
      <c r="B46" s="98" t="s">
        <v>1</v>
      </c>
      <c r="C46" s="98" t="s">
        <v>4</v>
      </c>
      <c r="D46" s="98"/>
      <c r="E46" s="98"/>
      <c r="F46" s="98"/>
      <c r="G46" s="98"/>
      <c r="H46" s="98"/>
      <c r="I46" s="98"/>
      <c r="J46" s="98"/>
      <c r="K46" s="98"/>
      <c r="L46" s="98"/>
      <c r="M46" s="98" t="s">
        <v>3</v>
      </c>
    </row>
    <row r="47" spans="1:16" ht="20.399999999999999" x14ac:dyDescent="0.2">
      <c r="A47" s="98"/>
      <c r="B47" s="98"/>
      <c r="C47" s="11" t="s">
        <v>9</v>
      </c>
      <c r="D47" s="11" t="s">
        <v>10</v>
      </c>
      <c r="E47" s="11" t="s">
        <v>11</v>
      </c>
      <c r="F47" s="11" t="s">
        <v>12</v>
      </c>
      <c r="G47" s="46" t="s">
        <v>13</v>
      </c>
      <c r="H47" s="46" t="s">
        <v>14</v>
      </c>
      <c r="I47" s="46" t="s">
        <v>131</v>
      </c>
      <c r="J47" s="46" t="s">
        <v>132</v>
      </c>
      <c r="K47" s="46" t="s">
        <v>134</v>
      </c>
      <c r="L47" s="46" t="s">
        <v>18</v>
      </c>
      <c r="M47" s="98"/>
    </row>
    <row r="48" spans="1:16" x14ac:dyDescent="0.2">
      <c r="A48" s="7" t="s">
        <v>110</v>
      </c>
      <c r="B48" s="2" t="s">
        <v>38</v>
      </c>
      <c r="C48" s="3">
        <v>2420.8718725077433</v>
      </c>
      <c r="D48" s="3">
        <v>78732.113398863527</v>
      </c>
      <c r="E48" s="3">
        <v>2143725.476365577</v>
      </c>
      <c r="F48" s="3">
        <v>2556.5458110236145</v>
      </c>
      <c r="G48" s="3">
        <v>64774.562827419948</v>
      </c>
      <c r="H48" s="3">
        <v>0</v>
      </c>
      <c r="I48" s="3">
        <v>2178.5295681818116</v>
      </c>
      <c r="J48" s="3">
        <v>8060.8984615384607</v>
      </c>
      <c r="K48" s="3">
        <v>3713.4694506913511</v>
      </c>
      <c r="L48" s="3">
        <v>2373.6364558823452</v>
      </c>
      <c r="M48" s="3">
        <v>2308536.1042116857</v>
      </c>
    </row>
    <row r="49" spans="1:13" x14ac:dyDescent="0.2">
      <c r="A49" s="7" t="s">
        <v>113</v>
      </c>
      <c r="B49" s="2" t="s">
        <v>41</v>
      </c>
      <c r="C49" s="3">
        <v>0</v>
      </c>
      <c r="D49" s="3">
        <v>2664.0466761310745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288718.13161781366</v>
      </c>
      <c r="M49" s="3">
        <v>291382.17829394474</v>
      </c>
    </row>
    <row r="50" spans="1:13" x14ac:dyDescent="0.2">
      <c r="A50" s="7" t="s">
        <v>119</v>
      </c>
      <c r="B50" s="2" t="s">
        <v>47</v>
      </c>
      <c r="C50" s="3">
        <v>0</v>
      </c>
      <c r="D50" s="3">
        <v>4837.4991818181816</v>
      </c>
      <c r="E50" s="3">
        <v>1532624084.9999998</v>
      </c>
      <c r="F50" s="3">
        <v>335610</v>
      </c>
      <c r="G50" s="3">
        <v>0</v>
      </c>
      <c r="H50" s="3">
        <v>0</v>
      </c>
      <c r="I50" s="3">
        <v>92872.207224371363</v>
      </c>
      <c r="J50" s="3">
        <v>0</v>
      </c>
      <c r="K50" s="3">
        <v>600131.69999999995</v>
      </c>
      <c r="L50" s="3">
        <v>1427.1650735294115</v>
      </c>
      <c r="M50" s="3">
        <v>1533658963.5714796</v>
      </c>
    </row>
    <row r="51" spans="1:13" x14ac:dyDescent="0.2">
      <c r="A51" s="7" t="s">
        <v>121</v>
      </c>
      <c r="B51" s="2" t="s">
        <v>49</v>
      </c>
      <c r="C51" s="3">
        <v>0</v>
      </c>
      <c r="D51" s="3">
        <v>1429.9356198347105</v>
      </c>
      <c r="E51" s="3">
        <v>2744223.445961752</v>
      </c>
      <c r="F51" s="3">
        <v>3675.5340944881887</v>
      </c>
      <c r="G51" s="3">
        <v>2938</v>
      </c>
      <c r="H51" s="3">
        <v>0</v>
      </c>
      <c r="I51" s="3">
        <v>97590.102681818171</v>
      </c>
      <c r="J51" s="3">
        <v>0</v>
      </c>
      <c r="K51" s="3">
        <v>0</v>
      </c>
      <c r="L51" s="3">
        <v>2841.3559191176464</v>
      </c>
      <c r="M51" s="3">
        <v>2852698.3742770106</v>
      </c>
    </row>
    <row r="52" spans="1:13" x14ac:dyDescent="0.2">
      <c r="A52" s="7" t="s">
        <v>95</v>
      </c>
      <c r="B52" s="2" t="s">
        <v>23</v>
      </c>
      <c r="C52" s="3">
        <v>0</v>
      </c>
      <c r="D52" s="3">
        <v>1016.9999999999999</v>
      </c>
      <c r="E52" s="3">
        <v>0</v>
      </c>
      <c r="F52" s="3">
        <v>0</v>
      </c>
      <c r="G52" s="3">
        <v>0</v>
      </c>
      <c r="H52" s="3">
        <v>0</v>
      </c>
      <c r="I52" s="3">
        <v>15430.463318181817</v>
      </c>
      <c r="J52" s="3">
        <v>10540995.346681593</v>
      </c>
      <c r="K52" s="3">
        <v>0</v>
      </c>
      <c r="L52" s="3">
        <v>3442.564941176463</v>
      </c>
      <c r="M52" s="3">
        <v>10560885.374940952</v>
      </c>
    </row>
    <row r="53" spans="1:13" x14ac:dyDescent="0.2">
      <c r="A53" s="7" t="s">
        <v>101</v>
      </c>
      <c r="B53" s="2" t="s">
        <v>29</v>
      </c>
      <c r="C53" s="3">
        <v>0</v>
      </c>
      <c r="D53" s="3">
        <v>1039.3100755742848</v>
      </c>
      <c r="E53" s="3">
        <v>0</v>
      </c>
      <c r="F53" s="3">
        <v>0</v>
      </c>
      <c r="G53" s="3">
        <v>0</v>
      </c>
      <c r="H53" s="3">
        <v>0</v>
      </c>
      <c r="I53" s="3">
        <v>2972.8759090909089</v>
      </c>
      <c r="J53" s="3">
        <v>2156.04</v>
      </c>
      <c r="K53" s="3">
        <v>0</v>
      </c>
      <c r="L53" s="3">
        <v>2250.2101286764641</v>
      </c>
      <c r="M53" s="3">
        <v>8418.4361133416587</v>
      </c>
    </row>
    <row r="54" spans="1:13" x14ac:dyDescent="0.2">
      <c r="A54" s="7" t="s">
        <v>106</v>
      </c>
      <c r="B54" s="2" t="s">
        <v>34</v>
      </c>
      <c r="C54" s="3">
        <v>0</v>
      </c>
      <c r="D54" s="3">
        <v>1834.634380165289</v>
      </c>
      <c r="E54" s="3">
        <v>40492592.331349783</v>
      </c>
      <c r="F54" s="3">
        <v>150499.52096109596</v>
      </c>
      <c r="G54" s="3">
        <v>1454.8974072565027</v>
      </c>
      <c r="H54" s="3">
        <v>0</v>
      </c>
      <c r="I54" s="3">
        <v>2009.1187883409307</v>
      </c>
      <c r="J54" s="3">
        <v>407265.72930360708</v>
      </c>
      <c r="K54" s="3">
        <v>2395.6551219512185</v>
      </c>
      <c r="L54" s="3">
        <v>2463467.4344117641</v>
      </c>
      <c r="M54" s="3">
        <v>43521519.32172396</v>
      </c>
    </row>
    <row r="55" spans="1:13" x14ac:dyDescent="0.2">
      <c r="A55" s="7" t="s">
        <v>103</v>
      </c>
      <c r="B55" s="2" t="s">
        <v>31</v>
      </c>
      <c r="C55" s="3">
        <v>1336.6285714285668</v>
      </c>
      <c r="D55" s="3">
        <v>2375.0732231404891</v>
      </c>
      <c r="E55" s="3">
        <v>0</v>
      </c>
      <c r="F55" s="3">
        <v>516495.06141732284</v>
      </c>
      <c r="G55" s="3">
        <v>0</v>
      </c>
      <c r="H55" s="3">
        <v>0</v>
      </c>
      <c r="I55" s="3">
        <v>11588.406818181818</v>
      </c>
      <c r="J55" s="3">
        <v>3625.2138461538461</v>
      </c>
      <c r="K55" s="3">
        <v>0</v>
      </c>
      <c r="L55" s="3">
        <v>1938.0330882352939</v>
      </c>
      <c r="M55" s="3">
        <v>537358.41696446284</v>
      </c>
    </row>
    <row r="56" spans="1:13" x14ac:dyDescent="0.2">
      <c r="A56" s="7" t="s">
        <v>99</v>
      </c>
      <c r="B56" s="2" t="s">
        <v>27</v>
      </c>
      <c r="C56" s="3">
        <v>50578.840379657617</v>
      </c>
      <c r="D56" s="3">
        <v>0</v>
      </c>
      <c r="E56" s="3">
        <v>0</v>
      </c>
      <c r="F56" s="3">
        <v>1233151.7236333964</v>
      </c>
      <c r="G56" s="3">
        <v>161188.83132569079</v>
      </c>
      <c r="H56" s="3">
        <v>0</v>
      </c>
      <c r="I56" s="3">
        <v>93837.665454545437</v>
      </c>
      <c r="J56" s="3">
        <v>0</v>
      </c>
      <c r="K56" s="3">
        <v>247395.66148548599</v>
      </c>
      <c r="L56" s="3">
        <v>1723.0283205882299</v>
      </c>
      <c r="M56" s="3">
        <v>1787875.7505993645</v>
      </c>
    </row>
    <row r="57" spans="1:13" x14ac:dyDescent="0.2">
      <c r="A57" s="7" t="s">
        <v>94</v>
      </c>
      <c r="B57" s="2" t="s">
        <v>22</v>
      </c>
      <c r="C57" s="3">
        <v>0</v>
      </c>
      <c r="D57" s="3">
        <v>2146.4919669421447</v>
      </c>
      <c r="E57" s="3">
        <v>194066728.61400002</v>
      </c>
      <c r="F57" s="3">
        <v>28144301.079988748</v>
      </c>
      <c r="G57" s="3">
        <v>2687.5166666666637</v>
      </c>
      <c r="H57" s="3">
        <v>37961790.337236732</v>
      </c>
      <c r="I57" s="3">
        <v>1275.9929181818118</v>
      </c>
      <c r="J57" s="3">
        <v>86466860.806153849</v>
      </c>
      <c r="K57" s="3">
        <v>11455.023085714285</v>
      </c>
      <c r="L57" s="3">
        <v>2504.0552245989297</v>
      </c>
      <c r="M57" s="3">
        <v>346659749.91724145</v>
      </c>
    </row>
    <row r="58" spans="1:13" x14ac:dyDescent="0.2">
      <c r="A58" s="7" t="s">
        <v>97</v>
      </c>
      <c r="B58" s="2" t="s">
        <v>25</v>
      </c>
      <c r="C58" s="3">
        <v>0</v>
      </c>
      <c r="D58" s="3">
        <v>4114.4373966942139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13080.184136029409</v>
      </c>
      <c r="M58" s="3">
        <v>17194.621532723624</v>
      </c>
    </row>
    <row r="59" spans="1:13" x14ac:dyDescent="0.2">
      <c r="A59" s="7" t="s">
        <v>117</v>
      </c>
      <c r="B59" s="2" t="s">
        <v>45</v>
      </c>
      <c r="C59" s="3">
        <v>0</v>
      </c>
      <c r="D59" s="3">
        <v>0</v>
      </c>
      <c r="E59" s="3">
        <v>0</v>
      </c>
      <c r="F59" s="3">
        <v>616052.38235835009</v>
      </c>
      <c r="G59" s="3">
        <v>7091.4330549509923</v>
      </c>
      <c r="H59" s="3">
        <v>0</v>
      </c>
      <c r="I59" s="3">
        <v>0</v>
      </c>
      <c r="J59" s="3">
        <v>1247.3113846153758</v>
      </c>
      <c r="K59" s="3">
        <v>24713.367640026303</v>
      </c>
      <c r="L59" s="3">
        <v>2185.3659926470532</v>
      </c>
      <c r="M59" s="3">
        <v>651289.86043058976</v>
      </c>
    </row>
    <row r="60" spans="1:13" x14ac:dyDescent="0.2">
      <c r="A60" s="7" t="s">
        <v>114</v>
      </c>
      <c r="B60" s="2" t="s">
        <v>42</v>
      </c>
      <c r="C60" s="3">
        <v>1518.2357142857143</v>
      </c>
      <c r="D60" s="3">
        <v>26945.076033407382</v>
      </c>
      <c r="E60" s="3">
        <v>0</v>
      </c>
      <c r="F60" s="3">
        <v>214703.69474409445</v>
      </c>
      <c r="G60" s="3">
        <v>0</v>
      </c>
      <c r="H60" s="3">
        <v>0</v>
      </c>
      <c r="I60" s="3">
        <v>2066.3908155080212</v>
      </c>
      <c r="J60" s="3">
        <v>1736.7230769230689</v>
      </c>
      <c r="K60" s="3">
        <v>22249.826780487801</v>
      </c>
      <c r="L60" s="3">
        <v>71322.247911085025</v>
      </c>
      <c r="M60" s="3">
        <v>340542.1950757915</v>
      </c>
    </row>
    <row r="61" spans="1:13" x14ac:dyDescent="0.2">
      <c r="A61" s="7" t="s">
        <v>112</v>
      </c>
      <c r="B61" s="2" t="s">
        <v>40</v>
      </c>
      <c r="C61" s="3">
        <v>0</v>
      </c>
      <c r="D61" s="3">
        <v>0</v>
      </c>
      <c r="E61" s="3">
        <v>65491320.842999987</v>
      </c>
      <c r="F61" s="3">
        <v>9210.9770078740148</v>
      </c>
      <c r="G61" s="3">
        <v>1176.7066666666592</v>
      </c>
      <c r="H61" s="3">
        <v>4881.5999999999995</v>
      </c>
      <c r="I61" s="3">
        <v>11219.667272727271</v>
      </c>
      <c r="J61" s="3">
        <v>1381.8683076923076</v>
      </c>
      <c r="K61" s="3">
        <v>6750.8956097560967</v>
      </c>
      <c r="L61" s="3">
        <v>5480.6284090909085</v>
      </c>
      <c r="M61" s="3">
        <v>65531423.186273791</v>
      </c>
    </row>
    <row r="62" spans="1:13" x14ac:dyDescent="0.2">
      <c r="A62" s="7" t="s">
        <v>116</v>
      </c>
      <c r="B62" s="2" t="s">
        <v>44</v>
      </c>
      <c r="C62" s="3">
        <v>9725.4086113510439</v>
      </c>
      <c r="D62" s="3">
        <v>59355.189067895531</v>
      </c>
      <c r="E62" s="3">
        <v>12928689.791999998</v>
      </c>
      <c r="F62" s="3">
        <v>8248.5106299212584</v>
      </c>
      <c r="G62" s="3">
        <v>27835.541111111106</v>
      </c>
      <c r="H62" s="3">
        <v>45764.999999999993</v>
      </c>
      <c r="I62" s="3">
        <v>19224.317613636358</v>
      </c>
      <c r="J62" s="3">
        <v>9619.7769230769209</v>
      </c>
      <c r="K62" s="3">
        <v>29147.616878048775</v>
      </c>
      <c r="L62" s="3">
        <v>448962.27196078422</v>
      </c>
      <c r="M62" s="3">
        <v>13586573.424795825</v>
      </c>
    </row>
    <row r="63" spans="1:13" x14ac:dyDescent="0.2">
      <c r="A63" s="7" t="s">
        <v>107</v>
      </c>
      <c r="B63" s="2" t="s">
        <v>35</v>
      </c>
      <c r="C63" s="3">
        <v>0</v>
      </c>
      <c r="D63" s="3">
        <v>2168.0759008264445</v>
      </c>
      <c r="E63" s="3">
        <v>0</v>
      </c>
      <c r="F63" s="3">
        <v>0</v>
      </c>
      <c r="G63" s="3">
        <v>0</v>
      </c>
      <c r="H63" s="3">
        <v>0</v>
      </c>
      <c r="I63" s="3">
        <v>21937.776340909088</v>
      </c>
      <c r="J63" s="3">
        <v>0</v>
      </c>
      <c r="K63" s="3">
        <v>0</v>
      </c>
      <c r="L63" s="3">
        <v>112721.46580147058</v>
      </c>
      <c r="M63" s="3">
        <v>136827.31804320612</v>
      </c>
    </row>
    <row r="64" spans="1:13" x14ac:dyDescent="0.2">
      <c r="A64" s="7" t="s">
        <v>100</v>
      </c>
      <c r="B64" s="2" t="s">
        <v>28</v>
      </c>
      <c r="C64" s="3">
        <v>0</v>
      </c>
      <c r="D64" s="3">
        <v>1128.5169917355336</v>
      </c>
      <c r="E64" s="3">
        <v>0</v>
      </c>
      <c r="F64" s="3">
        <v>0</v>
      </c>
      <c r="G64" s="3">
        <v>92031.594444444432</v>
      </c>
      <c r="H64" s="3">
        <v>0</v>
      </c>
      <c r="I64" s="3">
        <v>9553.5130909090894</v>
      </c>
      <c r="J64" s="3">
        <v>0</v>
      </c>
      <c r="K64" s="3">
        <v>483.52466805876963</v>
      </c>
      <c r="L64" s="3">
        <v>1777.8623863636362</v>
      </c>
      <c r="M64" s="3">
        <v>104975.01158151147</v>
      </c>
    </row>
    <row r="65" spans="1:13" x14ac:dyDescent="0.2">
      <c r="A65" s="7" t="s">
        <v>108</v>
      </c>
      <c r="B65" s="2" t="s">
        <v>36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2268.7717436974744</v>
      </c>
      <c r="M65" s="3">
        <v>2268.7717436974744</v>
      </c>
    </row>
    <row r="66" spans="1:13" x14ac:dyDescent="0.2">
      <c r="A66" s="7" t="s">
        <v>104</v>
      </c>
      <c r="B66" s="2" t="s">
        <v>32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1347025.6529999997</v>
      </c>
      <c r="M66" s="3">
        <v>1347025.6529999997</v>
      </c>
    </row>
    <row r="67" spans="1:13" x14ac:dyDescent="0.2">
      <c r="A67" s="7" t="s">
        <v>105</v>
      </c>
      <c r="B67" s="2" t="s">
        <v>33</v>
      </c>
      <c r="C67" s="3">
        <v>0</v>
      </c>
      <c r="D67" s="3">
        <v>1585.3769256198334</v>
      </c>
      <c r="E67" s="3">
        <v>0</v>
      </c>
      <c r="F67" s="3">
        <v>0</v>
      </c>
      <c r="G67" s="3">
        <v>2148.5694444444398</v>
      </c>
      <c r="H67" s="3">
        <v>0</v>
      </c>
      <c r="I67" s="3">
        <v>0</v>
      </c>
      <c r="J67" s="3">
        <v>0</v>
      </c>
      <c r="K67" s="3">
        <v>0</v>
      </c>
      <c r="L67" s="3">
        <v>2186.3882045454452</v>
      </c>
      <c r="M67" s="3">
        <v>5920.3345746097184</v>
      </c>
    </row>
    <row r="68" spans="1:13" x14ac:dyDescent="0.2">
      <c r="A68" s="7" t="s">
        <v>109</v>
      </c>
      <c r="B68" s="2" t="s">
        <v>37</v>
      </c>
      <c r="C68" s="3">
        <v>0</v>
      </c>
      <c r="D68" s="3">
        <v>0</v>
      </c>
      <c r="E68" s="3">
        <v>0</v>
      </c>
      <c r="F68" s="3">
        <v>8420.7599999999984</v>
      </c>
      <c r="G68" s="3">
        <v>2782.059999999994</v>
      </c>
      <c r="H68" s="3">
        <v>0</v>
      </c>
      <c r="I68" s="3">
        <v>6432.2591931818115</v>
      </c>
      <c r="J68" s="3">
        <v>0</v>
      </c>
      <c r="K68" s="3">
        <v>0</v>
      </c>
      <c r="L68" s="3">
        <v>3104.2055514705798</v>
      </c>
      <c r="M68" s="3">
        <v>20739.284744652381</v>
      </c>
    </row>
    <row r="69" spans="1:13" x14ac:dyDescent="0.2">
      <c r="A69" s="7" t="s">
        <v>96</v>
      </c>
      <c r="B69" s="2" t="s">
        <v>24</v>
      </c>
      <c r="C69" s="3">
        <v>0</v>
      </c>
      <c r="D69" s="3">
        <v>1798.6611570247933</v>
      </c>
      <c r="E69" s="3">
        <v>0</v>
      </c>
      <c r="F69" s="3">
        <v>6018.6380314960625</v>
      </c>
      <c r="G69" s="3">
        <v>32915.672883085077</v>
      </c>
      <c r="H69" s="3">
        <v>0</v>
      </c>
      <c r="I69" s="3">
        <v>22498.813636363629</v>
      </c>
      <c r="J69" s="3">
        <v>0</v>
      </c>
      <c r="K69" s="3">
        <v>2740.8149999999991</v>
      </c>
      <c r="L69" s="3">
        <v>1574.2063235294117</v>
      </c>
      <c r="M69" s="3">
        <v>67546.80703149896</v>
      </c>
    </row>
    <row r="70" spans="1:13" x14ac:dyDescent="0.2">
      <c r="A70" s="7" t="s">
        <v>120</v>
      </c>
      <c r="B70" s="2" t="s">
        <v>48</v>
      </c>
      <c r="C70" s="3">
        <v>2684.8799999999997</v>
      </c>
      <c r="D70" s="3">
        <v>0</v>
      </c>
      <c r="E70" s="3">
        <v>17426447.549999997</v>
      </c>
      <c r="F70" s="3">
        <v>98310.873210420585</v>
      </c>
      <c r="G70" s="3">
        <v>23574.562222222215</v>
      </c>
      <c r="H70" s="3">
        <v>0</v>
      </c>
      <c r="I70" s="3">
        <v>15200.232980350971</v>
      </c>
      <c r="J70" s="3">
        <v>0</v>
      </c>
      <c r="K70" s="3">
        <v>71247.36531370008</v>
      </c>
      <c r="L70" s="3">
        <v>2697.1517999999928</v>
      </c>
      <c r="M70" s="3">
        <v>17640162.615526691</v>
      </c>
    </row>
    <row r="71" spans="1:13" x14ac:dyDescent="0.2">
      <c r="A71" s="7" t="s">
        <v>102</v>
      </c>
      <c r="B71" s="2" t="s">
        <v>30</v>
      </c>
      <c r="C71" s="3">
        <v>1416.5357142857113</v>
      </c>
      <c r="D71" s="3">
        <v>25903.746446280991</v>
      </c>
      <c r="E71" s="3">
        <v>1917310.3175770512</v>
      </c>
      <c r="F71" s="3">
        <v>3385327.7782159792</v>
      </c>
      <c r="G71" s="3">
        <v>187127.99999999997</v>
      </c>
      <c r="H71" s="3">
        <v>77239.328281866008</v>
      </c>
      <c r="I71" s="3">
        <v>24501.879886363637</v>
      </c>
      <c r="J71" s="3">
        <v>2206.7335384615344</v>
      </c>
      <c r="K71" s="3">
        <v>668566.076487805</v>
      </c>
      <c r="L71" s="3">
        <v>2594.8455882352937</v>
      </c>
      <c r="M71" s="3">
        <v>6292195.2417363292</v>
      </c>
    </row>
    <row r="72" spans="1:13" x14ac:dyDescent="0.2">
      <c r="A72" s="7" t="s">
        <v>98</v>
      </c>
      <c r="B72" s="2" t="s">
        <v>26</v>
      </c>
      <c r="C72" s="3">
        <v>14092.921952524912</v>
      </c>
      <c r="D72" s="3">
        <v>17520.304462809916</v>
      </c>
      <c r="E72" s="3">
        <v>3052220.4</v>
      </c>
      <c r="F72" s="3">
        <v>8033.1274184476933</v>
      </c>
      <c r="G72" s="3">
        <v>42339.063690703231</v>
      </c>
      <c r="H72" s="3">
        <v>0</v>
      </c>
      <c r="I72" s="3">
        <v>40508.959090909084</v>
      </c>
      <c r="J72" s="3">
        <v>3318.7056923076825</v>
      </c>
      <c r="K72" s="3">
        <v>25421.212718256204</v>
      </c>
      <c r="L72" s="3">
        <v>338763.63995094341</v>
      </c>
      <c r="M72" s="3">
        <v>3542218.3349769022</v>
      </c>
    </row>
    <row r="73" spans="1:13" x14ac:dyDescent="0.2">
      <c r="A73" s="7" t="s">
        <v>93</v>
      </c>
      <c r="B73" s="2" t="s">
        <v>21</v>
      </c>
      <c r="C73" s="3">
        <v>0</v>
      </c>
      <c r="D73" s="3">
        <v>21464.919669421444</v>
      </c>
      <c r="E73" s="3">
        <v>0</v>
      </c>
      <c r="F73" s="3">
        <v>190642.41122047242</v>
      </c>
      <c r="G73" s="3">
        <v>0</v>
      </c>
      <c r="H73" s="3">
        <v>0</v>
      </c>
      <c r="I73" s="3">
        <v>2370.9225243506489</v>
      </c>
      <c r="J73" s="3">
        <v>1928.8578461538459</v>
      </c>
      <c r="K73" s="3">
        <v>13004.086302439024</v>
      </c>
      <c r="L73" s="3">
        <v>1120.1083455882351</v>
      </c>
      <c r="M73" s="3">
        <v>230531.30590842559</v>
      </c>
    </row>
    <row r="74" spans="1:13" x14ac:dyDescent="0.2">
      <c r="A74" s="7" t="s">
        <v>115</v>
      </c>
      <c r="B74" s="2" t="s">
        <v>43</v>
      </c>
      <c r="C74" s="3">
        <v>54037.98714717594</v>
      </c>
      <c r="D74" s="3">
        <v>0</v>
      </c>
      <c r="E74" s="3">
        <v>585792</v>
      </c>
      <c r="F74" s="3">
        <v>1283203.9359341445</v>
      </c>
      <c r="G74" s="3">
        <v>116606.81155168633</v>
      </c>
      <c r="H74" s="3">
        <v>0</v>
      </c>
      <c r="I74" s="3">
        <v>202871.15999999997</v>
      </c>
      <c r="J74" s="3">
        <v>10068.299999999999</v>
      </c>
      <c r="K74" s="3">
        <v>50957.015331010436</v>
      </c>
      <c r="L74" s="3">
        <v>611944.61197036807</v>
      </c>
      <c r="M74" s="3">
        <v>2915481.8219343852</v>
      </c>
    </row>
    <row r="75" spans="1:13" x14ac:dyDescent="0.2">
      <c r="A75" s="7" t="s">
        <v>111</v>
      </c>
      <c r="B75" s="2" t="s">
        <v>39</v>
      </c>
      <c r="C75" s="3">
        <v>0</v>
      </c>
      <c r="D75" s="3">
        <v>0</v>
      </c>
      <c r="E75" s="3">
        <v>0</v>
      </c>
      <c r="F75" s="3">
        <v>4020.3131102362199</v>
      </c>
      <c r="G75" s="3">
        <v>0</v>
      </c>
      <c r="H75" s="3">
        <v>0</v>
      </c>
      <c r="I75" s="3">
        <v>2689.0404545454448</v>
      </c>
      <c r="J75" s="3">
        <v>1021.2870461538461</v>
      </c>
      <c r="K75" s="3">
        <v>9577.9206161745824</v>
      </c>
      <c r="L75" s="3">
        <v>19811.932720588236</v>
      </c>
      <c r="M75" s="3">
        <v>37120.493947698327</v>
      </c>
    </row>
    <row r="76" spans="1:13" x14ac:dyDescent="0.2">
      <c r="A76" s="7" t="s">
        <v>118</v>
      </c>
      <c r="B76" s="2" t="s">
        <v>46</v>
      </c>
      <c r="C76" s="3">
        <v>1276.3349999999998</v>
      </c>
      <c r="D76" s="3">
        <v>0</v>
      </c>
      <c r="E76" s="3">
        <v>687898.79999999993</v>
      </c>
      <c r="F76" s="3">
        <v>2884.7565354330704</v>
      </c>
      <c r="G76" s="3">
        <v>0</v>
      </c>
      <c r="H76" s="3">
        <v>0</v>
      </c>
      <c r="I76" s="3">
        <v>0</v>
      </c>
      <c r="J76" s="3">
        <v>0</v>
      </c>
      <c r="K76" s="3">
        <v>3471040.3229999999</v>
      </c>
      <c r="L76" s="3">
        <v>3285.5381470588195</v>
      </c>
      <c r="M76" s="3">
        <v>4166385.7526824917</v>
      </c>
    </row>
    <row r="77" spans="1:13" x14ac:dyDescent="0.2">
      <c r="A77" s="7" t="s">
        <v>124</v>
      </c>
      <c r="B77" s="2" t="s">
        <v>52</v>
      </c>
      <c r="C77" s="3">
        <v>0</v>
      </c>
      <c r="D77" s="3">
        <v>0</v>
      </c>
      <c r="E77" s="3">
        <v>0</v>
      </c>
      <c r="F77" s="3">
        <v>1140.8417716535362</v>
      </c>
      <c r="G77" s="3">
        <v>0</v>
      </c>
      <c r="H77" s="3">
        <v>15254.999999999998</v>
      </c>
      <c r="I77" s="3">
        <v>0</v>
      </c>
      <c r="J77" s="3">
        <v>0</v>
      </c>
      <c r="K77" s="3">
        <v>0</v>
      </c>
      <c r="L77" s="3">
        <v>2671.1754264705864</v>
      </c>
      <c r="M77" s="3">
        <v>19067.017198124118</v>
      </c>
    </row>
    <row r="78" spans="1:13" x14ac:dyDescent="0.2">
      <c r="A78" s="7" t="s">
        <v>123</v>
      </c>
      <c r="B78" s="2" t="s">
        <v>51</v>
      </c>
      <c r="C78" s="3">
        <v>0</v>
      </c>
      <c r="D78" s="3">
        <v>4340.303851239667</v>
      </c>
      <c r="E78" s="3">
        <v>0</v>
      </c>
      <c r="F78" s="3">
        <v>0</v>
      </c>
      <c r="G78" s="3">
        <v>0</v>
      </c>
      <c r="H78" s="3">
        <v>0</v>
      </c>
      <c r="I78" s="3">
        <v>2024.7545454545443</v>
      </c>
      <c r="J78" s="3">
        <v>0</v>
      </c>
      <c r="K78" s="3">
        <v>1499.2068292682877</v>
      </c>
      <c r="L78" s="3">
        <v>37478.117980052302</v>
      </c>
      <c r="M78" s="3">
        <v>45342.383206014798</v>
      </c>
    </row>
    <row r="79" spans="1:13" x14ac:dyDescent="0.2">
      <c r="A79" s="7" t="s">
        <v>126</v>
      </c>
      <c r="B79" s="2" t="s">
        <v>54</v>
      </c>
      <c r="C79" s="3">
        <v>0</v>
      </c>
      <c r="D79" s="3">
        <v>0</v>
      </c>
      <c r="E79" s="3">
        <v>0</v>
      </c>
      <c r="F79" s="3">
        <v>1181.9622047244002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1181.9622047244002</v>
      </c>
    </row>
    <row r="80" spans="1:13" x14ac:dyDescent="0.2">
      <c r="A80" s="7" t="s">
        <v>129</v>
      </c>
      <c r="B80" s="2" t="s">
        <v>57</v>
      </c>
      <c r="C80" s="3">
        <v>3938.6957142857109</v>
      </c>
      <c r="D80" s="3">
        <v>1345395.674320661</v>
      </c>
      <c r="E80" s="3">
        <v>12417569.999999996</v>
      </c>
      <c r="F80" s="3">
        <v>54244.457716535435</v>
      </c>
      <c r="G80" s="3">
        <v>1277.5068518518462</v>
      </c>
      <c r="H80" s="3">
        <v>0</v>
      </c>
      <c r="I80" s="3">
        <v>6127.8872727272665</v>
      </c>
      <c r="J80" s="3">
        <v>17840.683384615375</v>
      </c>
      <c r="K80" s="3">
        <v>19995.470165853658</v>
      </c>
      <c r="L80" s="3">
        <v>34169.902289592756</v>
      </c>
      <c r="M80" s="3">
        <v>13900560.277716121</v>
      </c>
    </row>
    <row r="81" spans="1:13" x14ac:dyDescent="0.2">
      <c r="A81" s="7" t="s">
        <v>128</v>
      </c>
      <c r="B81" s="2" t="s">
        <v>56</v>
      </c>
      <c r="C81" s="3">
        <v>0</v>
      </c>
      <c r="D81" s="3">
        <v>1156.3962396694119</v>
      </c>
      <c r="E81" s="3">
        <v>0</v>
      </c>
      <c r="F81" s="3">
        <v>276217.19999999995</v>
      </c>
      <c r="G81" s="3">
        <v>1185.2444444444423</v>
      </c>
      <c r="H81" s="3">
        <v>369781.19999999995</v>
      </c>
      <c r="I81" s="3">
        <v>242743.10727272724</v>
      </c>
      <c r="J81" s="3">
        <v>2542.6642846153759</v>
      </c>
      <c r="K81" s="3">
        <v>290884.72126829263</v>
      </c>
      <c r="L81" s="3">
        <v>3508727.3853704277</v>
      </c>
      <c r="M81" s="3">
        <v>4693237.9188801767</v>
      </c>
    </row>
    <row r="82" spans="1:13" x14ac:dyDescent="0.2">
      <c r="A82" s="7" t="s">
        <v>127</v>
      </c>
      <c r="B82" s="2" t="s">
        <v>55</v>
      </c>
      <c r="C82" s="3">
        <v>0</v>
      </c>
      <c r="D82" s="3">
        <v>0</v>
      </c>
      <c r="E82" s="3">
        <v>0</v>
      </c>
      <c r="F82" s="3">
        <v>49128.113701695351</v>
      </c>
      <c r="G82" s="3">
        <v>0</v>
      </c>
      <c r="H82" s="3">
        <v>0</v>
      </c>
      <c r="I82" s="3">
        <v>58731.749999999993</v>
      </c>
      <c r="J82" s="3">
        <v>0</v>
      </c>
      <c r="K82" s="3">
        <v>0</v>
      </c>
      <c r="L82" s="3">
        <v>2497.4379264705799</v>
      </c>
      <c r="M82" s="3">
        <v>110357.30162816592</v>
      </c>
    </row>
    <row r="83" spans="1:13" x14ac:dyDescent="0.2">
      <c r="A83" s="7" t="s">
        <v>125</v>
      </c>
      <c r="B83" s="2" t="s">
        <v>53</v>
      </c>
      <c r="C83" s="3">
        <v>0</v>
      </c>
      <c r="D83" s="3">
        <v>2233.127479338837</v>
      </c>
      <c r="E83" s="3">
        <v>0</v>
      </c>
      <c r="F83" s="3">
        <v>1271.0097637795182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3277.7536102941094</v>
      </c>
      <c r="M83" s="3">
        <v>6781.8908534124648</v>
      </c>
    </row>
    <row r="84" spans="1:13" x14ac:dyDescent="0.2">
      <c r="A84" s="7" t="s">
        <v>130</v>
      </c>
      <c r="B84" s="2" t="s">
        <v>58</v>
      </c>
      <c r="C84" s="3">
        <v>0</v>
      </c>
      <c r="D84" s="3">
        <v>83144.80604594278</v>
      </c>
      <c r="E84" s="3">
        <v>0</v>
      </c>
      <c r="F84" s="3">
        <v>0</v>
      </c>
      <c r="G84" s="3">
        <v>0</v>
      </c>
      <c r="H84" s="3">
        <v>0</v>
      </c>
      <c r="I84" s="3">
        <v>12283.251598237353</v>
      </c>
      <c r="J84" s="3">
        <v>0</v>
      </c>
      <c r="K84" s="3">
        <v>557.02041760370264</v>
      </c>
      <c r="L84" s="3">
        <v>82303775.999999985</v>
      </c>
      <c r="M84" s="3">
        <v>82399761.078061774</v>
      </c>
    </row>
    <row r="85" spans="1:13" x14ac:dyDescent="0.2">
      <c r="A85" s="7" t="s">
        <v>122</v>
      </c>
      <c r="B85" s="2" t="s">
        <v>50</v>
      </c>
      <c r="C85" s="3">
        <v>0</v>
      </c>
      <c r="D85" s="3">
        <v>0</v>
      </c>
      <c r="E85" s="3">
        <v>0</v>
      </c>
      <c r="F85" s="3">
        <v>1252.0311023622003</v>
      </c>
      <c r="G85" s="3">
        <v>1138.8516666666617</v>
      </c>
      <c r="H85" s="3">
        <v>0</v>
      </c>
      <c r="I85" s="3">
        <v>0</v>
      </c>
      <c r="J85" s="3">
        <v>0</v>
      </c>
      <c r="K85" s="3">
        <v>100.45975609756097</v>
      </c>
      <c r="L85" s="3">
        <v>2349.8745627828002</v>
      </c>
      <c r="M85" s="3">
        <v>4841.2170879092228</v>
      </c>
    </row>
    <row r="86" spans="1:13" x14ac:dyDescent="0.2">
      <c r="A86" s="8"/>
      <c r="B86" s="4" t="s">
        <v>59</v>
      </c>
      <c r="C86" s="3">
        <v>143027.34067750294</v>
      </c>
      <c r="D86" s="3">
        <v>1694330.7165110374</v>
      </c>
      <c r="E86" s="3">
        <v>1886578604.5702541</v>
      </c>
      <c r="F86" s="3">
        <v>36605803.240583703</v>
      </c>
      <c r="G86" s="3">
        <v>772275.42625931138</v>
      </c>
      <c r="H86" s="3">
        <v>38474712.465518601</v>
      </c>
      <c r="I86" s="3">
        <v>1022741.0462697954</v>
      </c>
      <c r="J86" s="3">
        <v>97481876.94593136</v>
      </c>
      <c r="K86" s="3">
        <v>5574028.4339267211</v>
      </c>
      <c r="L86" s="3">
        <v>91657540.342290953</v>
      </c>
      <c r="M86" s="3">
        <v>2160004940.528223</v>
      </c>
    </row>
    <row r="89" spans="1:13" ht="10.199999999999999" customHeight="1" x14ac:dyDescent="0.2">
      <c r="A89" s="97" t="s">
        <v>320</v>
      </c>
      <c r="B89" s="97"/>
      <c r="C89" s="97"/>
      <c r="D89" s="97"/>
      <c r="E89" s="97"/>
    </row>
    <row r="90" spans="1:13" x14ac:dyDescent="0.2">
      <c r="A90" s="98" t="s">
        <v>0</v>
      </c>
      <c r="B90" s="98" t="s">
        <v>1</v>
      </c>
      <c r="C90" s="98" t="s">
        <v>4</v>
      </c>
      <c r="D90" s="98"/>
      <c r="E90" s="98" t="s">
        <v>3</v>
      </c>
    </row>
    <row r="91" spans="1:13" ht="30.6" x14ac:dyDescent="0.2">
      <c r="A91" s="98"/>
      <c r="B91" s="98"/>
      <c r="C91" s="46" t="s">
        <v>19</v>
      </c>
      <c r="D91" s="46" t="s">
        <v>133</v>
      </c>
      <c r="E91" s="98"/>
    </row>
    <row r="92" spans="1:13" x14ac:dyDescent="0.2">
      <c r="A92" s="7" t="s">
        <v>110</v>
      </c>
      <c r="B92" s="2" t="s">
        <v>38</v>
      </c>
      <c r="C92" s="3">
        <v>27284.98410078013</v>
      </c>
      <c r="D92" s="3">
        <v>3111.1421885374252</v>
      </c>
      <c r="E92" s="3">
        <v>30396.126289317555</v>
      </c>
    </row>
    <row r="93" spans="1:13" x14ac:dyDescent="0.2">
      <c r="A93" s="7" t="s">
        <v>113</v>
      </c>
      <c r="B93" s="2" t="s">
        <v>41</v>
      </c>
      <c r="C93" s="3">
        <v>92912.774672522413</v>
      </c>
      <c r="D93" s="3">
        <v>962842.13503914815</v>
      </c>
      <c r="E93" s="3">
        <v>1055754.9097116706</v>
      </c>
    </row>
    <row r="94" spans="1:13" x14ac:dyDescent="0.2">
      <c r="A94" s="7" t="s">
        <v>119</v>
      </c>
      <c r="B94" s="2" t="s">
        <v>47</v>
      </c>
      <c r="C94" s="3">
        <v>1482320.2440619627</v>
      </c>
      <c r="D94" s="3">
        <v>1122917.9085510173</v>
      </c>
      <c r="E94" s="3">
        <v>2605238.15261298</v>
      </c>
    </row>
    <row r="95" spans="1:13" x14ac:dyDescent="0.2">
      <c r="A95" s="7" t="s">
        <v>121</v>
      </c>
      <c r="B95" s="2" t="s">
        <v>49</v>
      </c>
      <c r="C95" s="3">
        <v>310065.26570737362</v>
      </c>
      <c r="D95" s="3">
        <v>4655.4030197306602</v>
      </c>
      <c r="E95" s="3">
        <v>314720.66872710426</v>
      </c>
    </row>
    <row r="96" spans="1:13" x14ac:dyDescent="0.2">
      <c r="A96" s="7" t="s">
        <v>95</v>
      </c>
      <c r="B96" s="2" t="s">
        <v>23</v>
      </c>
      <c r="C96" s="3">
        <v>44474.561460747253</v>
      </c>
      <c r="D96" s="3">
        <v>37628.595493266519</v>
      </c>
      <c r="E96" s="3">
        <v>82103.156954013772</v>
      </c>
    </row>
    <row r="97" spans="1:5" x14ac:dyDescent="0.2">
      <c r="A97" s="7" t="s">
        <v>101</v>
      </c>
      <c r="B97" s="2" t="s">
        <v>29</v>
      </c>
      <c r="C97" s="3">
        <v>26316.309668735827</v>
      </c>
      <c r="D97" s="3">
        <v>18550.079999999998</v>
      </c>
      <c r="E97" s="3">
        <v>44866.389668735821</v>
      </c>
    </row>
    <row r="98" spans="1:5" x14ac:dyDescent="0.2">
      <c r="A98" s="7" t="s">
        <v>106</v>
      </c>
      <c r="B98" s="2" t="s">
        <v>34</v>
      </c>
      <c r="C98" s="3">
        <v>94365.501888482948</v>
      </c>
      <c r="D98" s="3">
        <v>3714660.3530848725</v>
      </c>
      <c r="E98" s="3">
        <v>3809025.8549733553</v>
      </c>
    </row>
    <row r="99" spans="1:5" x14ac:dyDescent="0.2">
      <c r="A99" s="7" t="s">
        <v>103</v>
      </c>
      <c r="B99" s="2" t="s">
        <v>31</v>
      </c>
      <c r="C99" s="3">
        <v>18082344.586155556</v>
      </c>
      <c r="D99" s="3">
        <v>145804.11261362518</v>
      </c>
      <c r="E99" s="3">
        <v>18228148.698769182</v>
      </c>
    </row>
    <row r="100" spans="1:5" x14ac:dyDescent="0.2">
      <c r="A100" s="7" t="s">
        <v>99</v>
      </c>
      <c r="B100" s="2" t="s">
        <v>27</v>
      </c>
      <c r="C100" s="3">
        <v>139100.68401495257</v>
      </c>
      <c r="D100" s="3">
        <v>2735793.4534105854</v>
      </c>
      <c r="E100" s="3">
        <v>2874894.1374255382</v>
      </c>
    </row>
    <row r="101" spans="1:5" x14ac:dyDescent="0.2">
      <c r="A101" s="7" t="s">
        <v>94</v>
      </c>
      <c r="B101" s="2" t="s">
        <v>22</v>
      </c>
      <c r="C101" s="3">
        <v>355850.36772687593</v>
      </c>
      <c r="D101" s="3">
        <v>24416450.231277663</v>
      </c>
      <c r="E101" s="3">
        <v>24772300.599004541</v>
      </c>
    </row>
    <row r="102" spans="1:5" x14ac:dyDescent="0.2">
      <c r="A102" s="7" t="s">
        <v>97</v>
      </c>
      <c r="B102" s="2" t="s">
        <v>25</v>
      </c>
      <c r="C102" s="3">
        <v>85856.296293731139</v>
      </c>
      <c r="D102" s="3">
        <v>33699.430702355021</v>
      </c>
      <c r="E102" s="3">
        <v>119555.72699608616</v>
      </c>
    </row>
    <row r="103" spans="1:5" x14ac:dyDescent="0.2">
      <c r="A103" s="7" t="s">
        <v>117</v>
      </c>
      <c r="B103" s="2" t="s">
        <v>45</v>
      </c>
      <c r="C103" s="3">
        <v>163010.0938172029</v>
      </c>
      <c r="D103" s="3">
        <v>38857617.793801479</v>
      </c>
      <c r="E103" s="3">
        <v>39020627.887618683</v>
      </c>
    </row>
    <row r="104" spans="1:5" x14ac:dyDescent="0.2">
      <c r="A104" s="7" t="s">
        <v>114</v>
      </c>
      <c r="B104" s="2" t="s">
        <v>42</v>
      </c>
      <c r="C104" s="3">
        <v>56709.58810626121</v>
      </c>
      <c r="D104" s="3">
        <v>5867.2013592233006</v>
      </c>
      <c r="E104" s="3">
        <v>62576.789465484508</v>
      </c>
    </row>
    <row r="105" spans="1:5" x14ac:dyDescent="0.2">
      <c r="A105" s="7" t="s">
        <v>112</v>
      </c>
      <c r="B105" s="2" t="s">
        <v>40</v>
      </c>
      <c r="C105" s="3">
        <v>41956.629915696642</v>
      </c>
      <c r="D105" s="3">
        <v>1513.6843689320385</v>
      </c>
      <c r="E105" s="3">
        <v>43470.314284628679</v>
      </c>
    </row>
    <row r="106" spans="1:5" x14ac:dyDescent="0.2">
      <c r="A106" s="7" t="s">
        <v>116</v>
      </c>
      <c r="B106" s="2" t="s">
        <v>44</v>
      </c>
      <c r="C106" s="3">
        <v>62473.877019522697</v>
      </c>
      <c r="D106" s="3">
        <v>59909969.323262237</v>
      </c>
      <c r="E106" s="3">
        <v>59972443.200281762</v>
      </c>
    </row>
    <row r="107" spans="1:5" x14ac:dyDescent="0.2">
      <c r="A107" s="7" t="s">
        <v>107</v>
      </c>
      <c r="B107" s="2" t="s">
        <v>35</v>
      </c>
      <c r="C107" s="3">
        <v>3541885.574724609</v>
      </c>
      <c r="D107" s="3">
        <v>236597.45590555848</v>
      </c>
      <c r="E107" s="3">
        <v>3778483.0306301676</v>
      </c>
    </row>
    <row r="108" spans="1:5" x14ac:dyDescent="0.2">
      <c r="A108" s="7" t="s">
        <v>100</v>
      </c>
      <c r="B108" s="2" t="s">
        <v>28</v>
      </c>
      <c r="C108" s="3">
        <v>41492.698249007997</v>
      </c>
      <c r="D108" s="3">
        <v>73174.022078296257</v>
      </c>
      <c r="E108" s="3">
        <v>114666.72032730425</v>
      </c>
    </row>
    <row r="109" spans="1:5" x14ac:dyDescent="0.2">
      <c r="A109" s="7" t="s">
        <v>108</v>
      </c>
      <c r="B109" s="2" t="s">
        <v>36</v>
      </c>
      <c r="C109" s="3">
        <v>25250.274980789287</v>
      </c>
      <c r="D109" s="3">
        <v>0</v>
      </c>
      <c r="E109" s="3">
        <v>25250.274980789287</v>
      </c>
    </row>
    <row r="110" spans="1:5" x14ac:dyDescent="0.2">
      <c r="A110" s="7" t="s">
        <v>104</v>
      </c>
      <c r="B110" s="2" t="s">
        <v>32</v>
      </c>
      <c r="C110" s="3">
        <v>39109.077642462435</v>
      </c>
      <c r="D110" s="3">
        <v>866383.27479725692</v>
      </c>
      <c r="E110" s="3">
        <v>905492.35243971937</v>
      </c>
    </row>
    <row r="111" spans="1:5" x14ac:dyDescent="0.2">
      <c r="A111" s="7" t="s">
        <v>105</v>
      </c>
      <c r="B111" s="2" t="s">
        <v>33</v>
      </c>
      <c r="C111" s="3">
        <v>50116.005126488017</v>
      </c>
      <c r="D111" s="3">
        <v>236941.05367741932</v>
      </c>
      <c r="E111" s="3">
        <v>287057.05880390736</v>
      </c>
    </row>
    <row r="112" spans="1:5" x14ac:dyDescent="0.2">
      <c r="A112" s="7" t="s">
        <v>109</v>
      </c>
      <c r="B112" s="2" t="s">
        <v>37</v>
      </c>
      <c r="C112" s="3">
        <v>53112.416436925749</v>
      </c>
      <c r="D112" s="3">
        <v>2820.8656085186349</v>
      </c>
      <c r="E112" s="3">
        <v>55933.282045444386</v>
      </c>
    </row>
    <row r="113" spans="1:5" x14ac:dyDescent="0.2">
      <c r="A113" s="7" t="s">
        <v>96</v>
      </c>
      <c r="B113" s="2" t="s">
        <v>24</v>
      </c>
      <c r="C113" s="3">
        <v>55697.403912205336</v>
      </c>
      <c r="D113" s="3">
        <v>4648.5264052615094</v>
      </c>
      <c r="E113" s="3">
        <v>60345.930317466846</v>
      </c>
    </row>
    <row r="114" spans="1:5" x14ac:dyDescent="0.2">
      <c r="A114" s="7" t="s">
        <v>120</v>
      </c>
      <c r="B114" s="2" t="s">
        <v>48</v>
      </c>
      <c r="C114" s="3">
        <v>386854.59135570721</v>
      </c>
      <c r="D114" s="3">
        <v>33979.930642135871</v>
      </c>
      <c r="E114" s="3">
        <v>420834.52199784305</v>
      </c>
    </row>
    <row r="115" spans="1:5" x14ac:dyDescent="0.2">
      <c r="A115" s="7" t="s">
        <v>102</v>
      </c>
      <c r="B115" s="2" t="s">
        <v>30</v>
      </c>
      <c r="C115" s="3">
        <v>7639541.3056871481</v>
      </c>
      <c r="D115" s="3">
        <v>1310497.7579983661</v>
      </c>
      <c r="E115" s="3">
        <v>8950039.063685514</v>
      </c>
    </row>
    <row r="116" spans="1:5" x14ac:dyDescent="0.2">
      <c r="A116" s="7" t="s">
        <v>98</v>
      </c>
      <c r="B116" s="2" t="s">
        <v>26</v>
      </c>
      <c r="C116" s="3">
        <v>25985.169124299329</v>
      </c>
      <c r="D116" s="3">
        <v>992168.5121065611</v>
      </c>
      <c r="E116" s="3">
        <v>1018153.6812308604</v>
      </c>
    </row>
    <row r="117" spans="1:5" x14ac:dyDescent="0.2">
      <c r="A117" s="7" t="s">
        <v>93</v>
      </c>
      <c r="B117" s="2" t="s">
        <v>21</v>
      </c>
      <c r="C117" s="3">
        <v>113462.41433387887</v>
      </c>
      <c r="D117" s="3">
        <v>1807.1662135922329</v>
      </c>
      <c r="E117" s="3">
        <v>115269.58054747111</v>
      </c>
    </row>
    <row r="118" spans="1:5" x14ac:dyDescent="0.2">
      <c r="A118" s="7" t="s">
        <v>115</v>
      </c>
      <c r="B118" s="2" t="s">
        <v>43</v>
      </c>
      <c r="C118" s="3">
        <v>2412661.3251828346</v>
      </c>
      <c r="D118" s="3">
        <v>2987674.8610318089</v>
      </c>
      <c r="E118" s="3">
        <v>5400336.1862146435</v>
      </c>
    </row>
    <row r="119" spans="1:5" x14ac:dyDescent="0.2">
      <c r="A119" s="7" t="s">
        <v>111</v>
      </c>
      <c r="B119" s="2" t="s">
        <v>39</v>
      </c>
      <c r="C119" s="3">
        <v>82411.068665478204</v>
      </c>
      <c r="D119" s="3">
        <v>811978.29774752841</v>
      </c>
      <c r="E119" s="3">
        <v>894389.36641300656</v>
      </c>
    </row>
    <row r="120" spans="1:5" x14ac:dyDescent="0.2">
      <c r="A120" s="7" t="s">
        <v>118</v>
      </c>
      <c r="B120" s="2" t="s">
        <v>46</v>
      </c>
      <c r="C120" s="3">
        <v>0</v>
      </c>
      <c r="D120" s="3">
        <v>2983.529126213592</v>
      </c>
      <c r="E120" s="3">
        <v>2983.529126213592</v>
      </c>
    </row>
    <row r="121" spans="1:5" x14ac:dyDescent="0.2">
      <c r="A121" s="7" t="s">
        <v>124</v>
      </c>
      <c r="B121" s="2" t="s">
        <v>52</v>
      </c>
      <c r="C121" s="3">
        <v>38799.460244785267</v>
      </c>
      <c r="D121" s="3">
        <v>3709.1372330097079</v>
      </c>
      <c r="E121" s="3">
        <v>42508.597477794974</v>
      </c>
    </row>
    <row r="122" spans="1:5" x14ac:dyDescent="0.2">
      <c r="A122" s="7" t="s">
        <v>123</v>
      </c>
      <c r="B122" s="2" t="s">
        <v>51</v>
      </c>
      <c r="C122" s="3">
        <v>36934.030338223878</v>
      </c>
      <c r="D122" s="3">
        <v>9873.4296774193535</v>
      </c>
      <c r="E122" s="3">
        <v>46807.460015643228</v>
      </c>
    </row>
    <row r="123" spans="1:5" x14ac:dyDescent="0.2">
      <c r="A123" s="7" t="s">
        <v>126</v>
      </c>
      <c r="B123" s="2" t="s">
        <v>54</v>
      </c>
      <c r="C123" s="3">
        <v>0</v>
      </c>
      <c r="D123" s="3">
        <v>0</v>
      </c>
      <c r="E123" s="3">
        <v>0</v>
      </c>
    </row>
    <row r="124" spans="1:5" x14ac:dyDescent="0.2">
      <c r="A124" s="7" t="s">
        <v>129</v>
      </c>
      <c r="B124" s="2" t="s">
        <v>57</v>
      </c>
      <c r="C124" s="3">
        <v>66734.737805182391</v>
      </c>
      <c r="D124" s="3">
        <v>7331978.6557469452</v>
      </c>
      <c r="E124" s="3">
        <v>7398713.3935521273</v>
      </c>
    </row>
    <row r="125" spans="1:5" x14ac:dyDescent="0.2">
      <c r="A125" s="7" t="s">
        <v>128</v>
      </c>
      <c r="B125" s="2" t="s">
        <v>56</v>
      </c>
      <c r="C125" s="3">
        <v>18671.612142695667</v>
      </c>
      <c r="D125" s="3">
        <v>15719.630660820543</v>
      </c>
      <c r="E125" s="3">
        <v>34391.242803516208</v>
      </c>
    </row>
    <row r="126" spans="1:5" x14ac:dyDescent="0.2">
      <c r="A126" s="7" t="s">
        <v>127</v>
      </c>
      <c r="B126" s="2" t="s">
        <v>55</v>
      </c>
      <c r="C126" s="3">
        <v>2452.0449349726646</v>
      </c>
      <c r="D126" s="3">
        <v>0</v>
      </c>
      <c r="E126" s="3">
        <v>2452.0449349726646</v>
      </c>
    </row>
    <row r="127" spans="1:5" x14ac:dyDescent="0.2">
      <c r="A127" s="7" t="s">
        <v>125</v>
      </c>
      <c r="B127" s="2" t="s">
        <v>53</v>
      </c>
      <c r="C127" s="3">
        <v>130350.48331077438</v>
      </c>
      <c r="D127" s="3">
        <v>12242.055483870965</v>
      </c>
      <c r="E127" s="3">
        <v>142592.53879464534</v>
      </c>
    </row>
    <row r="128" spans="1:5" x14ac:dyDescent="0.2">
      <c r="A128" s="7" t="s">
        <v>130</v>
      </c>
      <c r="B128" s="2" t="s">
        <v>58</v>
      </c>
      <c r="C128" s="3">
        <v>390414.44111381058</v>
      </c>
      <c r="D128" s="3">
        <v>49877168.240295351</v>
      </c>
      <c r="E128" s="3">
        <v>50267582.681409158</v>
      </c>
    </row>
    <row r="129" spans="1:17" x14ac:dyDescent="0.2">
      <c r="A129" s="7" t="s">
        <v>122</v>
      </c>
      <c r="B129" s="2" t="s">
        <v>50</v>
      </c>
      <c r="C129" s="3">
        <v>12998.813047252881</v>
      </c>
      <c r="D129" s="3">
        <v>0</v>
      </c>
      <c r="E129" s="3">
        <v>12998.813047252881</v>
      </c>
    </row>
    <row r="130" spans="1:17" x14ac:dyDescent="0.2">
      <c r="A130" s="8"/>
      <c r="B130" s="4" t="s">
        <v>59</v>
      </c>
      <c r="C130" s="3">
        <v>36229976.712969929</v>
      </c>
      <c r="D130" s="3">
        <v>196783427.25060868</v>
      </c>
      <c r="E130" s="3">
        <v>233013403.96357858</v>
      </c>
    </row>
    <row r="133" spans="1:17" x14ac:dyDescent="0.2">
      <c r="A133" s="99" t="s">
        <v>339</v>
      </c>
      <c r="B133" s="99"/>
      <c r="C133" s="9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57"/>
    </row>
    <row r="134" spans="1:17" x14ac:dyDescent="0.2">
      <c r="A134" s="99"/>
      <c r="B134" s="99"/>
      <c r="C134" s="9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57"/>
    </row>
    <row r="135" spans="1:17" x14ac:dyDescent="0.2">
      <c r="A135" s="100" t="s">
        <v>0</v>
      </c>
      <c r="B135" s="100" t="s">
        <v>1</v>
      </c>
      <c r="C135" s="100" t="s">
        <v>139</v>
      </c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 t="s">
        <v>66</v>
      </c>
      <c r="O135" s="80"/>
    </row>
    <row r="136" spans="1:17" x14ac:dyDescent="0.2">
      <c r="A136" s="100"/>
      <c r="B136" s="100"/>
      <c r="C136" s="26" t="s">
        <v>71</v>
      </c>
      <c r="D136" s="26" t="s">
        <v>64</v>
      </c>
      <c r="E136" s="26" t="s">
        <v>72</v>
      </c>
      <c r="F136" s="26" t="s">
        <v>73</v>
      </c>
      <c r="G136" s="26" t="s">
        <v>74</v>
      </c>
      <c r="H136" s="26" t="s">
        <v>75</v>
      </c>
      <c r="I136" s="26" t="s">
        <v>63</v>
      </c>
      <c r="J136" s="26" t="s">
        <v>62</v>
      </c>
      <c r="K136" s="26" t="s">
        <v>76</v>
      </c>
      <c r="L136" s="26" t="s">
        <v>77</v>
      </c>
      <c r="M136" s="26" t="s">
        <v>78</v>
      </c>
      <c r="N136" s="100"/>
      <c r="O136" s="80"/>
    </row>
    <row r="137" spans="1:17" x14ac:dyDescent="0.2">
      <c r="A137" s="27" t="s">
        <v>110</v>
      </c>
      <c r="B137" s="2" t="s">
        <v>38</v>
      </c>
      <c r="C137" s="28">
        <v>2083653.6231173193</v>
      </c>
      <c r="D137" s="28">
        <v>707610.47404138756</v>
      </c>
      <c r="E137" s="28">
        <v>368863.34298226715</v>
      </c>
      <c r="F137" s="28">
        <v>0</v>
      </c>
      <c r="G137" s="28">
        <v>159189.38075508759</v>
      </c>
      <c r="H137" s="28">
        <v>0</v>
      </c>
      <c r="I137" s="28">
        <v>0</v>
      </c>
      <c r="J137" s="28">
        <v>0</v>
      </c>
      <c r="K137" s="28">
        <v>296671.08163413027</v>
      </c>
      <c r="L137" s="28">
        <v>12887.908456832305</v>
      </c>
      <c r="M137" s="28">
        <v>84328558.472079441</v>
      </c>
      <c r="N137" s="3">
        <v>87957434.283066466</v>
      </c>
      <c r="O137" s="30"/>
      <c r="Q137" s="25" t="str">
        <f>A133</f>
        <v xml:space="preserve">Tabel 142 Jumlah Kuantitas Bahan Baku (Kg) per Kabupaten berdasarkan Jenis Ikan </v>
      </c>
    </row>
    <row r="138" spans="1:17" x14ac:dyDescent="0.2">
      <c r="A138" s="27" t="s">
        <v>113</v>
      </c>
      <c r="B138" s="2" t="s">
        <v>41</v>
      </c>
      <c r="C138" s="28">
        <v>139561.11333049778</v>
      </c>
      <c r="D138" s="28">
        <v>470211.5764747379</v>
      </c>
      <c r="E138" s="28">
        <v>0</v>
      </c>
      <c r="F138" s="28">
        <v>102168.58567396479</v>
      </c>
      <c r="G138" s="28">
        <v>0</v>
      </c>
      <c r="H138" s="28">
        <v>0</v>
      </c>
      <c r="I138" s="28">
        <v>106834.26331759934</v>
      </c>
      <c r="J138" s="28">
        <v>24510.206997215108</v>
      </c>
      <c r="K138" s="28">
        <v>46705.112474513167</v>
      </c>
      <c r="L138" s="28">
        <v>0</v>
      </c>
      <c r="M138" s="28">
        <v>816137.05065007007</v>
      </c>
      <c r="N138" s="3">
        <v>1706127.9089185982</v>
      </c>
      <c r="O138" s="30"/>
      <c r="Q138" s="25" t="str">
        <f>A178</f>
        <v>Tabel 143 Jumlah Kuantitas Bahan Baku (Kg) per Kabupaten berdasarkan Jenis Ikan pada Jenis Kegiatan Pengolahan</v>
      </c>
    </row>
    <row r="139" spans="1:17" x14ac:dyDescent="0.2">
      <c r="A139" s="27" t="s">
        <v>119</v>
      </c>
      <c r="B139" s="2" t="s">
        <v>47</v>
      </c>
      <c r="C139" s="28">
        <v>317758626.85445362</v>
      </c>
      <c r="D139" s="28">
        <v>323479437.03482908</v>
      </c>
      <c r="E139" s="28">
        <v>318338343.22361219</v>
      </c>
      <c r="F139" s="28">
        <v>319455058.64311671</v>
      </c>
      <c r="G139" s="28">
        <v>317447045.64179051</v>
      </c>
      <c r="H139" s="28">
        <v>2949091.112891878</v>
      </c>
      <c r="I139" s="28">
        <v>1593.2918702854463</v>
      </c>
      <c r="J139" s="28">
        <v>3284424.1545338319</v>
      </c>
      <c r="K139" s="28">
        <v>21688.295024995779</v>
      </c>
      <c r="L139" s="28">
        <v>0</v>
      </c>
      <c r="M139" s="28">
        <v>17306254.498915158</v>
      </c>
      <c r="N139" s="3">
        <v>1620041562.7510383</v>
      </c>
      <c r="O139" s="30"/>
      <c r="Q139" s="25" t="str">
        <f>A223</f>
        <v>Tabel 144 Jumlah Kuantitas Bahan Baku (Kg) per Kabupaten berdasarkan Jenis Ikan pada Jenis Kegiatan Pemasaran</v>
      </c>
    </row>
    <row r="140" spans="1:17" x14ac:dyDescent="0.2">
      <c r="A140" s="27" t="s">
        <v>121</v>
      </c>
      <c r="B140" s="2" t="s">
        <v>49</v>
      </c>
      <c r="C140" s="28">
        <v>227178.89654448527</v>
      </c>
      <c r="D140" s="28">
        <v>1238150.1281284681</v>
      </c>
      <c r="E140" s="28">
        <v>45295.941865763467</v>
      </c>
      <c r="F140" s="28">
        <v>226124.89735817202</v>
      </c>
      <c r="G140" s="28">
        <v>10981.447615350937</v>
      </c>
      <c r="H140" s="28">
        <v>2860.2159293666518</v>
      </c>
      <c r="I140" s="28">
        <v>7094.8075315368296</v>
      </c>
      <c r="J140" s="28">
        <v>2854500.6675577243</v>
      </c>
      <c r="K140" s="28">
        <v>20195.0012061665</v>
      </c>
      <c r="L140" s="28">
        <v>0</v>
      </c>
      <c r="M140" s="28">
        <v>1195035.0330238403</v>
      </c>
      <c r="N140" s="3">
        <v>5827417.0367608741</v>
      </c>
      <c r="O140" s="30"/>
      <c r="Q140" s="25" t="str">
        <f>A268</f>
        <v>Tabel 145 Jumlah Kuantitas Bahan Baku (Kg) per Kabupaten berdasarkan Jenis Ikan pada Jenis Kegiatan Fermentasi</v>
      </c>
    </row>
    <row r="141" spans="1:17" x14ac:dyDescent="0.2">
      <c r="A141" s="27" t="s">
        <v>95</v>
      </c>
      <c r="B141" s="2" t="s">
        <v>23</v>
      </c>
      <c r="C141" s="28">
        <v>32264.712612201391</v>
      </c>
      <c r="D141" s="28">
        <v>471676.68460617936</v>
      </c>
      <c r="E141" s="28">
        <v>8813256.0255502928</v>
      </c>
      <c r="F141" s="28">
        <v>1011464.8517070959</v>
      </c>
      <c r="G141" s="28">
        <v>0</v>
      </c>
      <c r="H141" s="28">
        <v>2012116.3070533853</v>
      </c>
      <c r="I141" s="28">
        <v>0</v>
      </c>
      <c r="J141" s="28">
        <v>168773.1874511191</v>
      </c>
      <c r="K141" s="28">
        <v>3359.998071778813</v>
      </c>
      <c r="L141" s="28">
        <v>0</v>
      </c>
      <c r="M141" s="28">
        <v>12458606.747885041</v>
      </c>
      <c r="N141" s="3">
        <v>24971518.514937092</v>
      </c>
      <c r="O141" s="30"/>
      <c r="Q141" s="25" t="str">
        <f>A313</f>
        <v>Tabel 146 Jumlah Kuantitas Bahan Baku (Kg) per Kabupaten berdasarkan Jenis Ikan pada Jenis Kegiatan Pelumatan daging Ikan</v>
      </c>
    </row>
    <row r="142" spans="1:17" x14ac:dyDescent="0.2">
      <c r="A142" s="27" t="s">
        <v>101</v>
      </c>
      <c r="B142" s="2" t="s">
        <v>29</v>
      </c>
      <c r="C142" s="28">
        <v>31218.399211690958</v>
      </c>
      <c r="D142" s="28">
        <v>44745.213805808649</v>
      </c>
      <c r="E142" s="28">
        <v>0</v>
      </c>
      <c r="F142" s="28">
        <v>839.9568705654882</v>
      </c>
      <c r="G142" s="28">
        <v>0</v>
      </c>
      <c r="H142" s="28">
        <v>0</v>
      </c>
      <c r="I142" s="28">
        <v>101449.63703758121</v>
      </c>
      <c r="J142" s="28">
        <v>8881.7168169585202</v>
      </c>
      <c r="K142" s="28">
        <v>22002.876198612943</v>
      </c>
      <c r="L142" s="28">
        <v>0</v>
      </c>
      <c r="M142" s="28">
        <v>2657714.4180152519</v>
      </c>
      <c r="N142" s="3">
        <v>2866852.2179564694</v>
      </c>
      <c r="O142" s="30"/>
      <c r="Q142" s="25" t="str">
        <f>A358</f>
        <v>Tabel 147 Jumlah Kuantitas Bahan Baku (Kg) per Kabupaten berdasarkan Jenis Ikan pada Jenis Kegiatan Pembekuan</v>
      </c>
    </row>
    <row r="143" spans="1:17" x14ac:dyDescent="0.2">
      <c r="A143" s="27" t="s">
        <v>106</v>
      </c>
      <c r="B143" s="2" t="s">
        <v>34</v>
      </c>
      <c r="C143" s="28">
        <v>89363.759892940958</v>
      </c>
      <c r="D143" s="28">
        <v>1195050.1894449268</v>
      </c>
      <c r="E143" s="28">
        <v>769.46661772334937</v>
      </c>
      <c r="F143" s="28">
        <v>1226.9003795260812</v>
      </c>
      <c r="G143" s="28">
        <v>0</v>
      </c>
      <c r="H143" s="28">
        <v>0</v>
      </c>
      <c r="I143" s="28">
        <v>3490306.7605831227</v>
      </c>
      <c r="J143" s="28">
        <v>3468.458976370981</v>
      </c>
      <c r="K143" s="28">
        <v>226.31371109510278</v>
      </c>
      <c r="L143" s="28">
        <v>6494645.9194347626</v>
      </c>
      <c r="M143" s="28">
        <v>45295258.978050061</v>
      </c>
      <c r="N143" s="3">
        <v>56570316.747090533</v>
      </c>
      <c r="O143" s="30"/>
      <c r="Q143" s="25" t="str">
        <f>A403</f>
        <v>Tabel 148 Jumlah Kuantitas Bahan Baku (Kg) per Kabupaten berdasarkan Jenis Ikan pada Jenis Kegiatan Pemindangan</v>
      </c>
    </row>
    <row r="144" spans="1:17" x14ac:dyDescent="0.2">
      <c r="A144" s="27" t="s">
        <v>103</v>
      </c>
      <c r="B144" s="2" t="s">
        <v>31</v>
      </c>
      <c r="C144" s="28">
        <v>106303.07501906544</v>
      </c>
      <c r="D144" s="28">
        <v>5718487.9056154909</v>
      </c>
      <c r="E144" s="28">
        <v>653183.12585517543</v>
      </c>
      <c r="F144" s="28">
        <v>65799.734393551669</v>
      </c>
      <c r="G144" s="28">
        <v>108289.11055478752</v>
      </c>
      <c r="H144" s="28">
        <v>53662.632018302793</v>
      </c>
      <c r="I144" s="28">
        <v>521945.02682062372</v>
      </c>
      <c r="J144" s="28">
        <v>29016.80779685689</v>
      </c>
      <c r="K144" s="28">
        <v>351449.12475202116</v>
      </c>
      <c r="L144" s="28">
        <v>0</v>
      </c>
      <c r="M144" s="28">
        <v>5936389.949307465</v>
      </c>
      <c r="N144" s="3">
        <v>13544526.492133342</v>
      </c>
      <c r="O144" s="30"/>
      <c r="Q144" s="25" t="str">
        <f>A448</f>
        <v>Tabel 149 Jumlah Kuantitas Bahan Baku (Kg) per Kabupaten berdasarkan Jenis Ikan pada Jenis Kegiatan Penanganan Produk Segar</v>
      </c>
    </row>
    <row r="145" spans="1:19" x14ac:dyDescent="0.2">
      <c r="A145" s="27" t="s">
        <v>99</v>
      </c>
      <c r="B145" s="2" t="s">
        <v>27</v>
      </c>
      <c r="C145" s="28">
        <v>1699987.4615029949</v>
      </c>
      <c r="D145" s="28">
        <v>4311990.0368161574</v>
      </c>
      <c r="E145" s="28">
        <v>549270.09624253807</v>
      </c>
      <c r="F145" s="28">
        <v>15294655.01977195</v>
      </c>
      <c r="G145" s="28">
        <v>122571.28260125454</v>
      </c>
      <c r="H145" s="28">
        <v>14637551.489575054</v>
      </c>
      <c r="I145" s="28">
        <v>10177.291472524379</v>
      </c>
      <c r="J145" s="28">
        <v>0</v>
      </c>
      <c r="K145" s="28">
        <v>125219.37710876061</v>
      </c>
      <c r="L145" s="28">
        <v>0</v>
      </c>
      <c r="M145" s="28">
        <v>7131989.6688926881</v>
      </c>
      <c r="N145" s="3">
        <v>43883411.723983929</v>
      </c>
      <c r="O145" s="30"/>
      <c r="Q145" s="25" t="str">
        <f>A493</f>
        <v>Tabel 150 Jumlah Kuantitas Bahan Baku (Kg) per Kabupaten berdasarkan Jenis Ikan pada Jenis Kegiatan Pengalengan</v>
      </c>
    </row>
    <row r="146" spans="1:19" x14ac:dyDescent="0.2">
      <c r="A146" s="27" t="s">
        <v>94</v>
      </c>
      <c r="B146" s="2" t="s">
        <v>22</v>
      </c>
      <c r="C146" s="28">
        <v>44231770.352496862</v>
      </c>
      <c r="D146" s="28">
        <v>53153390.74760031</v>
      </c>
      <c r="E146" s="28">
        <v>133844492.04472838</v>
      </c>
      <c r="F146" s="28">
        <v>98352459.087661475</v>
      </c>
      <c r="G146" s="28">
        <v>1151334.6864794013</v>
      </c>
      <c r="H146" s="28">
        <v>201427243.56122795</v>
      </c>
      <c r="I146" s="28">
        <v>122920.97675969702</v>
      </c>
      <c r="J146" s="28">
        <v>9946.4889079816312</v>
      </c>
      <c r="K146" s="28">
        <v>113500632.17152274</v>
      </c>
      <c r="L146" s="28">
        <v>0</v>
      </c>
      <c r="M146" s="28">
        <v>194599723.75221658</v>
      </c>
      <c r="N146" s="3">
        <v>840393913.86960149</v>
      </c>
      <c r="O146" s="30"/>
      <c r="Q146" s="25" t="str">
        <f>A538</f>
        <v>Tabel 151 Jumlah Kuantitas Bahan Baku (Kg) per Kabupaten berdasarkan Jenis Ikan pada Jenis Kegiatan Pengasapan/Pemanggangan</v>
      </c>
    </row>
    <row r="147" spans="1:19" x14ac:dyDescent="0.2">
      <c r="A147" s="27" t="s">
        <v>97</v>
      </c>
      <c r="B147" s="2" t="s">
        <v>25</v>
      </c>
      <c r="C147" s="28">
        <v>0</v>
      </c>
      <c r="D147" s="28">
        <v>100484.38949069707</v>
      </c>
      <c r="E147" s="28">
        <v>46634.609312548484</v>
      </c>
      <c r="F147" s="28">
        <v>109287.11534499816</v>
      </c>
      <c r="G147" s="28">
        <v>0</v>
      </c>
      <c r="H147" s="28">
        <v>0</v>
      </c>
      <c r="I147" s="28">
        <v>1874.1267274303125</v>
      </c>
      <c r="J147" s="28">
        <v>0</v>
      </c>
      <c r="K147" s="28">
        <v>469.18993227055063</v>
      </c>
      <c r="L147" s="28">
        <v>0</v>
      </c>
      <c r="M147" s="28">
        <v>47239.871261595988</v>
      </c>
      <c r="N147" s="3">
        <v>305989.3020695406</v>
      </c>
      <c r="O147" s="30"/>
      <c r="Q147" s="25" t="str">
        <f>A583</f>
        <v>Tabel 152 Jumlah Kuantitas Bahan Baku (Kg) per Kabupaten berdasarkan Jenis Ikan pada Jenis Kegiatan Penggaraman/Pengeringan</v>
      </c>
    </row>
    <row r="148" spans="1:19" x14ac:dyDescent="0.2">
      <c r="A148" s="27" t="s">
        <v>117</v>
      </c>
      <c r="B148" s="2" t="s">
        <v>45</v>
      </c>
      <c r="C148" s="28">
        <v>0</v>
      </c>
      <c r="D148" s="28">
        <v>167186.77555973627</v>
      </c>
      <c r="E148" s="28">
        <v>143516.29480809791</v>
      </c>
      <c r="F148" s="28">
        <v>435611.37239134283</v>
      </c>
      <c r="G148" s="28">
        <v>1217.67073664957</v>
      </c>
      <c r="H148" s="28">
        <v>20352.574329158459</v>
      </c>
      <c r="I148" s="28">
        <v>1254.0062632188422</v>
      </c>
      <c r="J148" s="28">
        <v>0</v>
      </c>
      <c r="K148" s="28">
        <v>40398124.528263859</v>
      </c>
      <c r="L148" s="28">
        <v>2180.1315941563312</v>
      </c>
      <c r="M148" s="28">
        <v>720470.91374685289</v>
      </c>
      <c r="N148" s="3">
        <v>41889914.26769308</v>
      </c>
      <c r="O148" s="30"/>
      <c r="Q148" s="25" t="str">
        <f>A628</f>
        <v>Tabel 153 Jumlah Kuantitas Bahan Baku (Kg) per Kabupaten berdasarkan Jenis Ikan pada Jenis Kegiatan Pereduksian/Ekstraksi</v>
      </c>
    </row>
    <row r="149" spans="1:19" x14ac:dyDescent="0.2">
      <c r="A149" s="27" t="s">
        <v>114</v>
      </c>
      <c r="B149" s="2" t="s">
        <v>42</v>
      </c>
      <c r="C149" s="28">
        <v>0</v>
      </c>
      <c r="D149" s="28">
        <v>28460.502374423369</v>
      </c>
      <c r="E149" s="28">
        <v>0</v>
      </c>
      <c r="F149" s="28">
        <v>168.50371731204169</v>
      </c>
      <c r="G149" s="28">
        <v>0</v>
      </c>
      <c r="H149" s="28">
        <v>8.4336698587035528</v>
      </c>
      <c r="I149" s="28">
        <v>3746.5659684262746</v>
      </c>
      <c r="J149" s="28">
        <v>0</v>
      </c>
      <c r="K149" s="28">
        <v>7715.8667484172802</v>
      </c>
      <c r="L149" s="28">
        <v>0</v>
      </c>
      <c r="M149" s="28">
        <v>6952045.5552687692</v>
      </c>
      <c r="N149" s="3">
        <v>6992145.4277472068</v>
      </c>
      <c r="O149" s="30"/>
      <c r="Q149" s="25" t="str">
        <f>A673</f>
        <v>Tabel 154 Jumlah Kuantitas Bahan Baku (Kg) per Kabupaten berdasarkan Jenis Ikan pada Jenis Kegiatan Pengolahan Lainnya</v>
      </c>
    </row>
    <row r="150" spans="1:19" x14ac:dyDescent="0.2">
      <c r="A150" s="27" t="s">
        <v>112</v>
      </c>
      <c r="B150" s="2" t="s">
        <v>40</v>
      </c>
      <c r="C150" s="28">
        <v>743240.89798187814</v>
      </c>
      <c r="D150" s="28">
        <v>624845.52637905558</v>
      </c>
      <c r="E150" s="28">
        <v>498220.28462356242</v>
      </c>
      <c r="F150" s="28">
        <v>1176381.2537912647</v>
      </c>
      <c r="G150" s="28">
        <v>1465722.2329063928</v>
      </c>
      <c r="H150" s="28">
        <v>90127.213916333654</v>
      </c>
      <c r="I150" s="28">
        <v>5561809.6278388482</v>
      </c>
      <c r="J150" s="28">
        <v>89640.141693152196</v>
      </c>
      <c r="K150" s="28">
        <v>59578845.781443097</v>
      </c>
      <c r="L150" s="28">
        <v>9902.3055752359596</v>
      </c>
      <c r="M150" s="28">
        <v>14803136.632936265</v>
      </c>
      <c r="N150" s="3">
        <v>84641871.89908509</v>
      </c>
      <c r="O150" s="30"/>
      <c r="Q150" s="25" t="str">
        <f>A718</f>
        <v>Tabel 155 Jumlah Kuantitas Bahan Baku (Kg) per Kabupaten berdasarkan Jenis Ikan pada Jenis Kegiatan Pengumpul/Pedagang Besar/Distributor</v>
      </c>
    </row>
    <row r="151" spans="1:19" x14ac:dyDescent="0.2">
      <c r="A151" s="27" t="s">
        <v>116</v>
      </c>
      <c r="B151" s="2" t="s">
        <v>44</v>
      </c>
      <c r="C151" s="28">
        <v>64455.191247298128</v>
      </c>
      <c r="D151" s="28">
        <v>3441222.3992648148</v>
      </c>
      <c r="E151" s="28">
        <v>7691379.0980341053</v>
      </c>
      <c r="F151" s="28">
        <v>8024372.1273556501</v>
      </c>
      <c r="G151" s="28">
        <v>0</v>
      </c>
      <c r="H151" s="28">
        <v>0</v>
      </c>
      <c r="I151" s="28">
        <v>3392050.9544173167</v>
      </c>
      <c r="J151" s="28">
        <v>1190690.8707806496</v>
      </c>
      <c r="K151" s="28">
        <v>1400776.3024670607</v>
      </c>
      <c r="L151" s="28">
        <v>40054796.2651577</v>
      </c>
      <c r="M151" s="28">
        <v>13389876.840660727</v>
      </c>
      <c r="N151" s="3">
        <v>78649620.049385324</v>
      </c>
      <c r="O151" s="30"/>
      <c r="Q151" s="25" t="str">
        <f>A763</f>
        <v>Tabel 156 Jumlah Kuantitas Bahan Baku (Kg) per Kabupaten berdasarkan Jenis Ikan pada Jenis Kegiatan Pengecer</v>
      </c>
    </row>
    <row r="152" spans="1:19" x14ac:dyDescent="0.2">
      <c r="A152" s="27" t="s">
        <v>107</v>
      </c>
      <c r="B152" s="2" t="s">
        <v>35</v>
      </c>
      <c r="C152" s="28">
        <v>1356.4114772988003</v>
      </c>
      <c r="D152" s="28">
        <v>74065.10200702562</v>
      </c>
      <c r="E152" s="28">
        <v>1322.2240567457554</v>
      </c>
      <c r="F152" s="28">
        <v>119652.83038291697</v>
      </c>
      <c r="G152" s="28">
        <v>0</v>
      </c>
      <c r="H152" s="28">
        <v>0</v>
      </c>
      <c r="I152" s="28">
        <v>781033.13784738514</v>
      </c>
      <c r="J152" s="28">
        <v>118501.59215009326</v>
      </c>
      <c r="K152" s="28">
        <v>283118.87009055773</v>
      </c>
      <c r="L152" s="28">
        <v>0</v>
      </c>
      <c r="M152" s="28">
        <v>11937901.624942113</v>
      </c>
      <c r="N152" s="3">
        <v>13316951.792954136</v>
      </c>
      <c r="O152" s="30"/>
    </row>
    <row r="153" spans="1:19" x14ac:dyDescent="0.2">
      <c r="A153" s="27" t="s">
        <v>100</v>
      </c>
      <c r="B153" s="2" t="s">
        <v>28</v>
      </c>
      <c r="C153" s="28">
        <v>2257.0981532955789</v>
      </c>
      <c r="D153" s="28">
        <v>37196.635065835348</v>
      </c>
      <c r="E153" s="28">
        <v>0</v>
      </c>
      <c r="F153" s="28">
        <v>469.55272426341088</v>
      </c>
      <c r="G153" s="28">
        <v>0</v>
      </c>
      <c r="H153" s="28">
        <v>126055.14055406941</v>
      </c>
      <c r="I153" s="28">
        <v>60094.33485038783</v>
      </c>
      <c r="J153" s="28">
        <v>88576.759946152277</v>
      </c>
      <c r="K153" s="28">
        <v>7402.4901944835856</v>
      </c>
      <c r="L153" s="28">
        <v>0</v>
      </c>
      <c r="M153" s="28">
        <v>812413.58650967979</v>
      </c>
      <c r="N153" s="3">
        <v>1134465.5979981672</v>
      </c>
      <c r="O153" s="30"/>
    </row>
    <row r="154" spans="1:19" ht="12" x14ac:dyDescent="0.25">
      <c r="A154" s="27" t="s">
        <v>108</v>
      </c>
      <c r="B154" s="2" t="s">
        <v>36</v>
      </c>
      <c r="C154" s="28">
        <v>0</v>
      </c>
      <c r="D154" s="28">
        <v>1760.9220936603224</v>
      </c>
      <c r="E154" s="28">
        <v>0</v>
      </c>
      <c r="F154" s="28">
        <v>0</v>
      </c>
      <c r="G154" s="28">
        <v>507.92548835994893</v>
      </c>
      <c r="H154" s="28">
        <v>0</v>
      </c>
      <c r="I154" s="28">
        <v>25962.844507032085</v>
      </c>
      <c r="J154" s="28">
        <v>0</v>
      </c>
      <c r="K154" s="28">
        <v>24796.150503390672</v>
      </c>
      <c r="L154" s="28">
        <v>0</v>
      </c>
      <c r="M154" s="28">
        <v>336948.89235615608</v>
      </c>
      <c r="N154" s="3">
        <v>389976.73494859913</v>
      </c>
      <c r="O154" s="30"/>
      <c r="P154" s="67" t="s">
        <v>0</v>
      </c>
      <c r="Q154" s="67" t="s">
        <v>139</v>
      </c>
      <c r="R154" s="33" t="s">
        <v>444</v>
      </c>
      <c r="S154" s="21"/>
    </row>
    <row r="155" spans="1:19" ht="12" x14ac:dyDescent="0.25">
      <c r="A155" s="27" t="s">
        <v>104</v>
      </c>
      <c r="B155" s="2" t="s">
        <v>32</v>
      </c>
      <c r="C155" s="28">
        <v>1017.0594198028278</v>
      </c>
      <c r="D155" s="28">
        <v>297319.26309238316</v>
      </c>
      <c r="E155" s="28">
        <v>0</v>
      </c>
      <c r="F155" s="28">
        <v>0</v>
      </c>
      <c r="G155" s="28">
        <v>0</v>
      </c>
      <c r="H155" s="28">
        <v>0</v>
      </c>
      <c r="I155" s="28">
        <v>5629.1931459591797</v>
      </c>
      <c r="J155" s="28">
        <v>40825.354033750678</v>
      </c>
      <c r="K155" s="28">
        <v>22303.935582283117</v>
      </c>
      <c r="L155" s="28">
        <v>1332411.2445542405</v>
      </c>
      <c r="M155" s="28">
        <v>1492475.7408464272</v>
      </c>
      <c r="N155" s="3">
        <v>3191981.7906748466</v>
      </c>
      <c r="O155" s="30"/>
      <c r="P155" s="72">
        <v>1</v>
      </c>
      <c r="Q155" s="82" t="s">
        <v>71</v>
      </c>
      <c r="R155" s="34">
        <f>C175</f>
        <v>379574990.39125979</v>
      </c>
      <c r="S155" s="18"/>
    </row>
    <row r="156" spans="1:19" ht="12" x14ac:dyDescent="0.25">
      <c r="A156" s="27" t="s">
        <v>105</v>
      </c>
      <c r="B156" s="2" t="s">
        <v>33</v>
      </c>
      <c r="C156" s="28">
        <v>28900.257372759468</v>
      </c>
      <c r="D156" s="28">
        <v>14220.422789969731</v>
      </c>
      <c r="E156" s="28">
        <v>10540.707001320063</v>
      </c>
      <c r="F156" s="28">
        <v>0</v>
      </c>
      <c r="G156" s="28">
        <v>0</v>
      </c>
      <c r="H156" s="28">
        <v>0</v>
      </c>
      <c r="I156" s="28">
        <v>47975.419732283568</v>
      </c>
      <c r="J156" s="28">
        <v>32212.20501950707</v>
      </c>
      <c r="K156" s="28">
        <v>94.455770910478989</v>
      </c>
      <c r="L156" s="28">
        <v>2506.4424469486794</v>
      </c>
      <c r="M156" s="28">
        <v>3544358.8196440749</v>
      </c>
      <c r="N156" s="3">
        <v>3680808.7297777738</v>
      </c>
      <c r="O156" s="30"/>
      <c r="P156" s="72">
        <v>2</v>
      </c>
      <c r="Q156" s="82" t="s">
        <v>64</v>
      </c>
      <c r="R156" s="34">
        <f>D175</f>
        <v>438765637.29474175</v>
      </c>
      <c r="S156" s="18"/>
    </row>
    <row r="157" spans="1:19" ht="12" x14ac:dyDescent="0.25">
      <c r="A157" s="27" t="s">
        <v>109</v>
      </c>
      <c r="B157" s="2" t="s">
        <v>37</v>
      </c>
      <c r="C157" s="28">
        <v>0</v>
      </c>
      <c r="D157" s="28">
        <v>13985.559188775027</v>
      </c>
      <c r="E157" s="28">
        <v>0</v>
      </c>
      <c r="F157" s="28">
        <v>0</v>
      </c>
      <c r="G157" s="28">
        <v>0</v>
      </c>
      <c r="H157" s="28">
        <v>0</v>
      </c>
      <c r="I157" s="28">
        <v>498443.27822714561</v>
      </c>
      <c r="J157" s="28">
        <v>130869.58115134595</v>
      </c>
      <c r="K157" s="28">
        <v>84.252844103947723</v>
      </c>
      <c r="L157" s="28">
        <v>0</v>
      </c>
      <c r="M157" s="28">
        <v>1469651.4664590666</v>
      </c>
      <c r="N157" s="3">
        <v>2113034.137870437</v>
      </c>
      <c r="O157" s="30"/>
      <c r="P157" s="72">
        <v>3</v>
      </c>
      <c r="Q157" s="82" t="s">
        <v>72</v>
      </c>
      <c r="R157" s="34">
        <f>E175</f>
        <v>475585791.3821128</v>
      </c>
      <c r="S157" s="18"/>
    </row>
    <row r="158" spans="1:19" ht="12" x14ac:dyDescent="0.25">
      <c r="A158" s="27" t="s">
        <v>96</v>
      </c>
      <c r="B158" s="2" t="s">
        <v>24</v>
      </c>
      <c r="C158" s="28">
        <v>0</v>
      </c>
      <c r="D158" s="28">
        <v>162119.97759865617</v>
      </c>
      <c r="E158" s="28">
        <v>0</v>
      </c>
      <c r="F158" s="28">
        <v>64175.311526208599</v>
      </c>
      <c r="G158" s="28">
        <v>2945.5993768423077</v>
      </c>
      <c r="H158" s="28">
        <v>0</v>
      </c>
      <c r="I158" s="28">
        <v>105978.00861665254</v>
      </c>
      <c r="J158" s="28">
        <v>22259.809036367809</v>
      </c>
      <c r="K158" s="28">
        <v>1682.4717892518931</v>
      </c>
      <c r="L158" s="28">
        <v>0</v>
      </c>
      <c r="M158" s="28">
        <v>6215752.6781674037</v>
      </c>
      <c r="N158" s="3">
        <v>6574913.8561113831</v>
      </c>
      <c r="O158" s="30"/>
      <c r="P158" s="72">
        <v>4</v>
      </c>
      <c r="Q158" s="82" t="s">
        <v>73</v>
      </c>
      <c r="R158" s="34">
        <f>F175</f>
        <v>453942039.03449571</v>
      </c>
      <c r="S158" s="18"/>
    </row>
    <row r="159" spans="1:19" ht="12" x14ac:dyDescent="0.25">
      <c r="A159" s="27" t="s">
        <v>120</v>
      </c>
      <c r="B159" s="2" t="s">
        <v>48</v>
      </c>
      <c r="C159" s="28">
        <v>0</v>
      </c>
      <c r="D159" s="28">
        <v>97882.170479777909</v>
      </c>
      <c r="E159" s="28">
        <v>1431.3244250021889</v>
      </c>
      <c r="F159" s="28">
        <v>55901.412910725172</v>
      </c>
      <c r="G159" s="28">
        <v>1845.7072920882561</v>
      </c>
      <c r="H159" s="28">
        <v>0</v>
      </c>
      <c r="I159" s="28">
        <v>51267.176903602303</v>
      </c>
      <c r="J159" s="28">
        <v>16361.600954826668</v>
      </c>
      <c r="K159" s="28">
        <v>98692.222271721912</v>
      </c>
      <c r="L159" s="28">
        <v>0</v>
      </c>
      <c r="M159" s="28">
        <v>33424447.946735665</v>
      </c>
      <c r="N159" s="3">
        <v>33747829.561973408</v>
      </c>
      <c r="O159" s="30"/>
      <c r="P159" s="72">
        <v>5</v>
      </c>
      <c r="Q159" s="82" t="s">
        <v>74</v>
      </c>
      <c r="R159" s="34">
        <f>G175</f>
        <v>322666163.05197871</v>
      </c>
      <c r="S159" s="18"/>
    </row>
    <row r="160" spans="1:19" ht="12" x14ac:dyDescent="0.25">
      <c r="A160" s="27" t="s">
        <v>102</v>
      </c>
      <c r="B160" s="2" t="s">
        <v>30</v>
      </c>
      <c r="C160" s="28">
        <v>2139.5116017332862</v>
      </c>
      <c r="D160" s="28">
        <v>27601296.867437772</v>
      </c>
      <c r="E160" s="28">
        <v>0</v>
      </c>
      <c r="F160" s="28">
        <v>3672350.3720157533</v>
      </c>
      <c r="G160" s="28">
        <v>1036292.3718035842</v>
      </c>
      <c r="H160" s="28">
        <v>0</v>
      </c>
      <c r="I160" s="28">
        <v>4506762.7704876456</v>
      </c>
      <c r="J160" s="28">
        <v>61354.454132737839</v>
      </c>
      <c r="K160" s="28">
        <v>995587.84421777574</v>
      </c>
      <c r="L160" s="28">
        <v>0</v>
      </c>
      <c r="M160" s="28">
        <v>17407497.467217661</v>
      </c>
      <c r="N160" s="3">
        <v>55283281.658914663</v>
      </c>
      <c r="O160" s="30"/>
      <c r="P160" s="72">
        <v>6</v>
      </c>
      <c r="Q160" s="82" t="s">
        <v>75</v>
      </c>
      <c r="R160" s="34">
        <f>H175</f>
        <v>222007761.10027999</v>
      </c>
      <c r="S160" s="18"/>
    </row>
    <row r="161" spans="1:19" ht="12" x14ac:dyDescent="0.25">
      <c r="A161" s="27" t="s">
        <v>98</v>
      </c>
      <c r="B161" s="2" t="s">
        <v>26</v>
      </c>
      <c r="C161" s="28">
        <v>0</v>
      </c>
      <c r="D161" s="28">
        <v>14198.093279776633</v>
      </c>
      <c r="E161" s="28">
        <v>0</v>
      </c>
      <c r="F161" s="28">
        <v>599838.27723235439</v>
      </c>
      <c r="G161" s="28">
        <v>634462.39371305599</v>
      </c>
      <c r="H161" s="28">
        <v>22861.952178456475</v>
      </c>
      <c r="I161" s="28">
        <v>3347168.9992895122</v>
      </c>
      <c r="J161" s="28">
        <v>0</v>
      </c>
      <c r="K161" s="28">
        <v>2468846.2826638045</v>
      </c>
      <c r="L161" s="28">
        <v>0</v>
      </c>
      <c r="M161" s="28">
        <v>131100813.62304634</v>
      </c>
      <c r="N161" s="3">
        <v>138188189.62140331</v>
      </c>
      <c r="O161" s="30"/>
      <c r="P161" s="72">
        <v>7</v>
      </c>
      <c r="Q161" s="82" t="s">
        <v>63</v>
      </c>
      <c r="R161" s="34">
        <f>I175</f>
        <v>73491485.151218504</v>
      </c>
      <c r="S161" s="18"/>
    </row>
    <row r="162" spans="1:19" ht="12" x14ac:dyDescent="0.25">
      <c r="A162" s="27" t="s">
        <v>93</v>
      </c>
      <c r="B162" s="2" t="s">
        <v>21</v>
      </c>
      <c r="C162" s="28">
        <v>132.87157232238116</v>
      </c>
      <c r="D162" s="28">
        <v>1338010.6293561505</v>
      </c>
      <c r="E162" s="28">
        <v>152475.25061215725</v>
      </c>
      <c r="F162" s="28">
        <v>2365267.0142164337</v>
      </c>
      <c r="G162" s="28">
        <v>1267.37444224726</v>
      </c>
      <c r="H162" s="28">
        <v>0</v>
      </c>
      <c r="I162" s="28">
        <v>0</v>
      </c>
      <c r="J162" s="28">
        <v>0</v>
      </c>
      <c r="K162" s="28">
        <v>51813.380744241113</v>
      </c>
      <c r="L162" s="28">
        <v>0</v>
      </c>
      <c r="M162" s="28">
        <v>981694.5595300775</v>
      </c>
      <c r="N162" s="3">
        <v>4890661.0804736298</v>
      </c>
      <c r="O162" s="30"/>
      <c r="P162" s="72">
        <v>8</v>
      </c>
      <c r="Q162" s="82" t="s">
        <v>62</v>
      </c>
      <c r="R162" s="34">
        <f>J175</f>
        <v>9169346.0179338343</v>
      </c>
      <c r="S162" s="18"/>
    </row>
    <row r="163" spans="1:19" ht="12" x14ac:dyDescent="0.25">
      <c r="A163" s="27" t="s">
        <v>115</v>
      </c>
      <c r="B163" s="2" t="s">
        <v>43</v>
      </c>
      <c r="C163" s="28">
        <v>0</v>
      </c>
      <c r="D163" s="28">
        <v>244917.79896268621</v>
      </c>
      <c r="E163" s="28">
        <v>721193.33105674922</v>
      </c>
      <c r="F163" s="28">
        <v>382904.07764446526</v>
      </c>
      <c r="G163" s="28">
        <v>11294.426085626859</v>
      </c>
      <c r="H163" s="28">
        <v>0</v>
      </c>
      <c r="I163" s="28">
        <v>220413.29276779882</v>
      </c>
      <c r="J163" s="28">
        <v>0</v>
      </c>
      <c r="K163" s="28">
        <v>1467.6303706818603</v>
      </c>
      <c r="L163" s="28">
        <v>0</v>
      </c>
      <c r="M163" s="28">
        <v>8367677.6844213242</v>
      </c>
      <c r="N163" s="3">
        <v>9949868.2413093317</v>
      </c>
      <c r="O163" s="30"/>
      <c r="P163" s="72">
        <v>9</v>
      </c>
      <c r="Q163" s="82" t="s">
        <v>76</v>
      </c>
      <c r="R163" s="34">
        <f>K175</f>
        <v>222611348.48863256</v>
      </c>
      <c r="S163" s="18"/>
    </row>
    <row r="164" spans="1:19" ht="12" x14ac:dyDescent="0.25">
      <c r="A164" s="27" t="s">
        <v>111</v>
      </c>
      <c r="B164" s="2" t="s">
        <v>39</v>
      </c>
      <c r="C164" s="28">
        <v>423.01932575657844</v>
      </c>
      <c r="D164" s="28">
        <v>2896446.6612947243</v>
      </c>
      <c r="E164" s="28">
        <v>260356.55427968621</v>
      </c>
      <c r="F164" s="28">
        <v>1335493.4772896466</v>
      </c>
      <c r="G164" s="28">
        <v>288314.24632475741</v>
      </c>
      <c r="H164" s="28">
        <v>129.28556898684803</v>
      </c>
      <c r="I164" s="28">
        <v>60829.590212581104</v>
      </c>
      <c r="J164" s="28">
        <v>0</v>
      </c>
      <c r="K164" s="28">
        <v>114893.17905171492</v>
      </c>
      <c r="L164" s="28">
        <v>15053.855954625125</v>
      </c>
      <c r="M164" s="28">
        <v>7134817.8499155007</v>
      </c>
      <c r="N164" s="3">
        <v>12106757.719217978</v>
      </c>
      <c r="O164" s="30"/>
      <c r="P164" s="72">
        <v>10</v>
      </c>
      <c r="Q164" s="82" t="s">
        <v>77</v>
      </c>
      <c r="R164" s="34">
        <f>L175</f>
        <v>184932486.49883863</v>
      </c>
      <c r="S164" s="18"/>
    </row>
    <row r="165" spans="1:19" ht="12" x14ac:dyDescent="0.25">
      <c r="A165" s="27" t="s">
        <v>118</v>
      </c>
      <c r="B165" s="2" t="s">
        <v>46</v>
      </c>
      <c r="C165" s="28">
        <v>23594.286660407528</v>
      </c>
      <c r="D165" s="28">
        <v>541127.03094011405</v>
      </c>
      <c r="E165" s="28">
        <v>13971.694446679086</v>
      </c>
      <c r="F165" s="28">
        <v>1493.0758242594068</v>
      </c>
      <c r="G165" s="28">
        <v>5100.9060960567667</v>
      </c>
      <c r="H165" s="28">
        <v>0</v>
      </c>
      <c r="I165" s="28">
        <v>129934.69065326544</v>
      </c>
      <c r="J165" s="28">
        <v>0</v>
      </c>
      <c r="K165" s="28">
        <v>130511.18978606877</v>
      </c>
      <c r="L165" s="28">
        <v>17105.857828795459</v>
      </c>
      <c r="M165" s="28">
        <v>17782692.593375426</v>
      </c>
      <c r="N165" s="3">
        <v>18645531.325611074</v>
      </c>
      <c r="O165" s="30"/>
      <c r="P165" s="72">
        <v>11</v>
      </c>
      <c r="Q165" s="82" t="s">
        <v>78</v>
      </c>
      <c r="R165" s="34">
        <f>M175</f>
        <v>705169130.1093365</v>
      </c>
    </row>
    <row r="166" spans="1:19" ht="12" x14ac:dyDescent="0.25">
      <c r="A166" s="27" t="s">
        <v>124</v>
      </c>
      <c r="B166" s="2" t="s">
        <v>52</v>
      </c>
      <c r="C166" s="28">
        <v>2310.5437693211979</v>
      </c>
      <c r="D166" s="28">
        <v>433093.32605079917</v>
      </c>
      <c r="E166" s="28">
        <v>44907.514677680971</v>
      </c>
      <c r="F166" s="28">
        <v>0</v>
      </c>
      <c r="G166" s="28">
        <v>286.50176498532801</v>
      </c>
      <c r="H166" s="28">
        <v>15248.594716102951</v>
      </c>
      <c r="I166" s="28">
        <v>49722.924613976225</v>
      </c>
      <c r="J166" s="28">
        <v>419.91358382993729</v>
      </c>
      <c r="K166" s="28">
        <v>3993.5078153542718</v>
      </c>
      <c r="L166" s="28">
        <v>0</v>
      </c>
      <c r="M166" s="28">
        <v>7382510.3905127132</v>
      </c>
      <c r="N166" s="3">
        <v>7932493.217504763</v>
      </c>
      <c r="O166" s="30"/>
      <c r="P166" s="72"/>
      <c r="Q166" s="69" t="s">
        <v>400</v>
      </c>
      <c r="R166" s="34">
        <f>N175</f>
        <v>3487916178.5208287</v>
      </c>
      <c r="S166" s="51">
        <f>SUM(R155:R165)</f>
        <v>3487916178.5208282</v>
      </c>
    </row>
    <row r="167" spans="1:19" x14ac:dyDescent="0.2">
      <c r="A167" s="27" t="s">
        <v>123</v>
      </c>
      <c r="B167" s="2" t="s">
        <v>51</v>
      </c>
      <c r="C167" s="28">
        <v>2257.5798026520474</v>
      </c>
      <c r="D167" s="28">
        <v>1463.7801328156843</v>
      </c>
      <c r="E167" s="28">
        <v>150.14915871539156</v>
      </c>
      <c r="F167" s="28">
        <v>4371.7538709837845</v>
      </c>
      <c r="G167" s="28">
        <v>639.90748542702408</v>
      </c>
      <c r="H167" s="28">
        <v>3478.6660298960205</v>
      </c>
      <c r="I167" s="28">
        <v>87091.04623465109</v>
      </c>
      <c r="J167" s="28">
        <v>53024.749403839967</v>
      </c>
      <c r="K167" s="28">
        <v>10613.404732182025</v>
      </c>
      <c r="L167" s="28">
        <v>0</v>
      </c>
      <c r="M167" s="28">
        <v>555952.52290702215</v>
      </c>
      <c r="N167" s="3">
        <v>719043.55975818518</v>
      </c>
      <c r="O167" s="30"/>
    </row>
    <row r="168" spans="1:19" x14ac:dyDescent="0.2">
      <c r="A168" s="27" t="s">
        <v>126</v>
      </c>
      <c r="B168" s="2" t="s">
        <v>54</v>
      </c>
      <c r="C168" s="28">
        <v>131.31345107775411</v>
      </c>
      <c r="D168" s="28">
        <v>0</v>
      </c>
      <c r="E168" s="28">
        <v>0</v>
      </c>
      <c r="F168" s="28">
        <v>0</v>
      </c>
      <c r="G168" s="28">
        <v>0</v>
      </c>
      <c r="H168" s="28">
        <v>0</v>
      </c>
      <c r="I168" s="28">
        <v>21286.081490747056</v>
      </c>
      <c r="J168" s="28">
        <v>0</v>
      </c>
      <c r="K168" s="28">
        <v>0</v>
      </c>
      <c r="L168" s="28">
        <v>0</v>
      </c>
      <c r="M168" s="28">
        <v>682.8487174526274</v>
      </c>
      <c r="N168" s="3">
        <v>22100.243659277436</v>
      </c>
      <c r="O168" s="30"/>
    </row>
    <row r="169" spans="1:19" x14ac:dyDescent="0.2">
      <c r="A169" s="27" t="s">
        <v>129</v>
      </c>
      <c r="B169" s="2" t="s">
        <v>57</v>
      </c>
      <c r="C169" s="28">
        <v>12097728.367456822</v>
      </c>
      <c r="D169" s="28">
        <v>9228267.0088360719</v>
      </c>
      <c r="E169" s="28">
        <v>3195832.0704772123</v>
      </c>
      <c r="F169" s="28">
        <v>225333.81233393957</v>
      </c>
      <c r="G169" s="28">
        <v>197332.36419627277</v>
      </c>
      <c r="H169" s="28">
        <v>623379.122562401</v>
      </c>
      <c r="I169" s="28">
        <v>10137.67882891394</v>
      </c>
      <c r="J169" s="28">
        <v>1569.8921049403377</v>
      </c>
      <c r="K169" s="28">
        <v>1959524.2299230974</v>
      </c>
      <c r="L169" s="28">
        <v>1312.7389242054167</v>
      </c>
      <c r="M169" s="28">
        <v>39192817.916074604</v>
      </c>
      <c r="N169" s="3">
        <v>66733235.201718479</v>
      </c>
      <c r="O169" s="30"/>
    </row>
    <row r="170" spans="1:19" x14ac:dyDescent="0.2">
      <c r="A170" s="27" t="s">
        <v>128</v>
      </c>
      <c r="B170" s="2" t="s">
        <v>56</v>
      </c>
      <c r="C170" s="28">
        <v>11.996279458561563</v>
      </c>
      <c r="D170" s="28">
        <v>31104.260477948468</v>
      </c>
      <c r="E170" s="28">
        <v>0</v>
      </c>
      <c r="F170" s="28">
        <v>771600.57329223654</v>
      </c>
      <c r="G170" s="28">
        <v>15072.226652280642</v>
      </c>
      <c r="H170" s="28">
        <v>0</v>
      </c>
      <c r="I170" s="28">
        <v>48498463.137495704</v>
      </c>
      <c r="J170" s="28">
        <v>956.76401145163504</v>
      </c>
      <c r="K170" s="28">
        <v>33721.052893760381</v>
      </c>
      <c r="L170" s="28">
        <v>0</v>
      </c>
      <c r="M170" s="28">
        <v>2225535.0841683629</v>
      </c>
      <c r="N170" s="3">
        <v>51576465.095271192</v>
      </c>
      <c r="O170" s="30"/>
    </row>
    <row r="171" spans="1:19" x14ac:dyDescent="0.2">
      <c r="A171" s="27" t="s">
        <v>127</v>
      </c>
      <c r="B171" s="2" t="s">
        <v>55</v>
      </c>
      <c r="C171" s="28">
        <v>1098.8239158971403</v>
      </c>
      <c r="D171" s="28">
        <v>145540.79465912151</v>
      </c>
      <c r="E171" s="28">
        <v>0</v>
      </c>
      <c r="F171" s="28">
        <v>0</v>
      </c>
      <c r="G171" s="28">
        <v>0</v>
      </c>
      <c r="H171" s="28">
        <v>0</v>
      </c>
      <c r="I171" s="28">
        <v>5945.4242501762101</v>
      </c>
      <c r="J171" s="28">
        <v>477614.9976917418</v>
      </c>
      <c r="K171" s="28">
        <v>44989.64004506122</v>
      </c>
      <c r="L171" s="28">
        <v>0</v>
      </c>
      <c r="M171" s="28">
        <v>792013.37892673654</v>
      </c>
      <c r="N171" s="3">
        <v>1467203.0594887345</v>
      </c>
      <c r="O171" s="30"/>
    </row>
    <row r="172" spans="1:19" x14ac:dyDescent="0.2">
      <c r="A172" s="27" t="s">
        <v>125</v>
      </c>
      <c r="B172" s="2" t="s">
        <v>53</v>
      </c>
      <c r="C172" s="28">
        <v>202540.88006187393</v>
      </c>
      <c r="D172" s="28">
        <v>2380.8020351855816</v>
      </c>
      <c r="E172" s="28">
        <v>190387.00768831302</v>
      </c>
      <c r="F172" s="28">
        <v>10520.274853393481</v>
      </c>
      <c r="G172" s="28">
        <v>4208.1099413573929</v>
      </c>
      <c r="H172" s="28">
        <v>210.40549706786962</v>
      </c>
      <c r="I172" s="28">
        <v>495781.68711665127</v>
      </c>
      <c r="J172" s="28">
        <v>304612.14886316197</v>
      </c>
      <c r="K172" s="28">
        <v>205076.125189743</v>
      </c>
      <c r="L172" s="28">
        <v>0</v>
      </c>
      <c r="M172" s="28">
        <v>2313686.7872866825</v>
      </c>
      <c r="N172" s="3">
        <v>3729404.22853343</v>
      </c>
      <c r="O172" s="30"/>
    </row>
    <row r="173" spans="1:19" x14ac:dyDescent="0.2">
      <c r="A173" s="27" t="s">
        <v>130</v>
      </c>
      <c r="B173" s="2" t="s">
        <v>58</v>
      </c>
      <c r="C173" s="28">
        <v>0</v>
      </c>
      <c r="D173" s="28">
        <v>282677.16041568312</v>
      </c>
      <c r="E173" s="28">
        <v>0</v>
      </c>
      <c r="F173" s="28">
        <v>24125.380294020491</v>
      </c>
      <c r="G173" s="28">
        <v>0</v>
      </c>
      <c r="H173" s="28">
        <v>23384.39256169066</v>
      </c>
      <c r="I173" s="28">
        <v>872775.26795852394</v>
      </c>
      <c r="J173" s="28">
        <v>127203.1397740618</v>
      </c>
      <c r="K173" s="28">
        <v>377865.78299790726</v>
      </c>
      <c r="L173" s="28">
        <v>136989683.82891113</v>
      </c>
      <c r="M173" s="28">
        <v>2961383.8637226936</v>
      </c>
      <c r="N173" s="3">
        <v>141659098.8166357</v>
      </c>
      <c r="O173" s="30"/>
    </row>
    <row r="174" spans="1:19" x14ac:dyDescent="0.2">
      <c r="A174" s="27" t="s">
        <v>122</v>
      </c>
      <c r="B174" s="2" t="s">
        <v>50</v>
      </c>
      <c r="C174" s="28">
        <v>1466.0335285815258</v>
      </c>
      <c r="D174" s="28">
        <v>153613.44411525628</v>
      </c>
      <c r="E174" s="28">
        <v>0</v>
      </c>
      <c r="F174" s="28">
        <v>52923.788550576122</v>
      </c>
      <c r="G174" s="28">
        <v>241.53787632778386</v>
      </c>
      <c r="H174" s="28">
        <v>0</v>
      </c>
      <c r="I174" s="28">
        <v>285731.82937970682</v>
      </c>
      <c r="J174" s="28">
        <v>29130.35456416435</v>
      </c>
      <c r="K174" s="28">
        <v>189.3685950405636</v>
      </c>
      <c r="L174" s="28">
        <v>0</v>
      </c>
      <c r="M174" s="28">
        <v>96964.400943417437</v>
      </c>
      <c r="N174" s="3">
        <v>620260.7575530709</v>
      </c>
      <c r="O174" s="30"/>
    </row>
    <row r="175" spans="1:19" x14ac:dyDescent="0.2">
      <c r="A175" s="4"/>
      <c r="B175" s="4" t="s">
        <v>59</v>
      </c>
      <c r="C175" s="3">
        <v>379574990.39125979</v>
      </c>
      <c r="D175" s="3">
        <v>438765637.29474175</v>
      </c>
      <c r="E175" s="3">
        <v>475585791.3821128</v>
      </c>
      <c r="F175" s="3">
        <v>453942039.03449571</v>
      </c>
      <c r="G175" s="3">
        <v>322666163.05197871</v>
      </c>
      <c r="H175" s="3">
        <v>222007761.10027999</v>
      </c>
      <c r="I175" s="3">
        <v>73491485.151218504</v>
      </c>
      <c r="J175" s="3">
        <v>9169346.0179338343</v>
      </c>
      <c r="K175" s="3">
        <v>222611348.48863256</v>
      </c>
      <c r="L175" s="3">
        <v>184932486.49883863</v>
      </c>
      <c r="M175" s="3">
        <v>705169130.1093365</v>
      </c>
      <c r="N175" s="3">
        <v>3487916178.5208287</v>
      </c>
      <c r="O175" s="30"/>
    </row>
    <row r="178" spans="1:15" x14ac:dyDescent="0.2">
      <c r="A178" s="99" t="s">
        <v>340</v>
      </c>
      <c r="B178" s="99"/>
      <c r="C178" s="9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57"/>
    </row>
    <row r="179" spans="1:15" x14ac:dyDescent="0.2">
      <c r="A179" s="99"/>
      <c r="B179" s="99"/>
      <c r="C179" s="9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57"/>
    </row>
    <row r="180" spans="1:15" x14ac:dyDescent="0.2">
      <c r="A180" s="100" t="s">
        <v>0</v>
      </c>
      <c r="B180" s="100" t="s">
        <v>1</v>
      </c>
      <c r="C180" s="100" t="s">
        <v>139</v>
      </c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 t="s">
        <v>66</v>
      </c>
      <c r="O180" s="80"/>
    </row>
    <row r="181" spans="1:15" x14ac:dyDescent="0.2">
      <c r="A181" s="100"/>
      <c r="B181" s="100"/>
      <c r="C181" s="26" t="s">
        <v>71</v>
      </c>
      <c r="D181" s="26" t="s">
        <v>64</v>
      </c>
      <c r="E181" s="26" t="s">
        <v>72</v>
      </c>
      <c r="F181" s="26" t="s">
        <v>73</v>
      </c>
      <c r="G181" s="26" t="s">
        <v>74</v>
      </c>
      <c r="H181" s="26" t="s">
        <v>75</v>
      </c>
      <c r="I181" s="26" t="s">
        <v>63</v>
      </c>
      <c r="J181" s="26" t="s">
        <v>62</v>
      </c>
      <c r="K181" s="26" t="s">
        <v>76</v>
      </c>
      <c r="L181" s="26" t="s">
        <v>77</v>
      </c>
      <c r="M181" s="26" t="s">
        <v>78</v>
      </c>
      <c r="N181" s="100"/>
      <c r="O181" s="80"/>
    </row>
    <row r="182" spans="1:15" x14ac:dyDescent="0.2">
      <c r="A182" s="27" t="s">
        <v>110</v>
      </c>
      <c r="B182" s="2" t="s">
        <v>38</v>
      </c>
      <c r="C182" s="28">
        <f t="shared" ref="C182:M182" si="0">C272+C317+C362+C407+C452+C497+C542+C587+C677+C632</f>
        <v>2073939.4827402211</v>
      </c>
      <c r="D182" s="28">
        <f t="shared" si="0"/>
        <v>685179.83141442272</v>
      </c>
      <c r="E182" s="28">
        <f t="shared" si="0"/>
        <v>371683.94128024683</v>
      </c>
      <c r="F182" s="28">
        <f t="shared" si="0"/>
        <v>0</v>
      </c>
      <c r="G182" s="28">
        <f t="shared" si="0"/>
        <v>127650.36551328999</v>
      </c>
      <c r="H182" s="28">
        <f t="shared" si="0"/>
        <v>0</v>
      </c>
      <c r="I182" s="28">
        <f t="shared" si="0"/>
        <v>0</v>
      </c>
      <c r="J182" s="28">
        <f t="shared" si="0"/>
        <v>0</v>
      </c>
      <c r="K182" s="28">
        <f t="shared" si="0"/>
        <v>51170.581502336827</v>
      </c>
      <c r="L182" s="28">
        <f t="shared" si="0"/>
        <v>12294.991659461928</v>
      </c>
      <c r="M182" s="28">
        <f t="shared" si="0"/>
        <v>84445005.790478468</v>
      </c>
      <c r="N182" s="3">
        <f t="shared" ref="N182:N219" si="1">SUM(C182:M182)</f>
        <v>87766924.984588444</v>
      </c>
      <c r="O182" s="30"/>
    </row>
    <row r="183" spans="1:15" x14ac:dyDescent="0.2">
      <c r="A183" s="27" t="s">
        <v>113</v>
      </c>
      <c r="B183" s="2" t="s">
        <v>41</v>
      </c>
      <c r="C183" s="28">
        <f t="shared" ref="C183:M183" si="2">C273+C318+C363+C408+C453+C498+C543+C588+C678+C633</f>
        <v>333.28366133086956</v>
      </c>
      <c r="D183" s="28">
        <f t="shared" si="2"/>
        <v>288732.83777624334</v>
      </c>
      <c r="E183" s="28">
        <f t="shared" si="2"/>
        <v>0</v>
      </c>
      <c r="F183" s="28">
        <f t="shared" si="2"/>
        <v>0</v>
      </c>
      <c r="G183" s="28">
        <f t="shared" si="2"/>
        <v>0</v>
      </c>
      <c r="H183" s="28">
        <f t="shared" si="2"/>
        <v>0</v>
      </c>
      <c r="I183" s="28">
        <f t="shared" si="2"/>
        <v>2715.3558411558934</v>
      </c>
      <c r="J183" s="28">
        <f t="shared" si="2"/>
        <v>0</v>
      </c>
      <c r="K183" s="28">
        <f t="shared" si="2"/>
        <v>1131.3982671482888</v>
      </c>
      <c r="L183" s="28">
        <f t="shared" si="2"/>
        <v>0</v>
      </c>
      <c r="M183" s="28">
        <f t="shared" si="2"/>
        <v>25904.241726411012</v>
      </c>
      <c r="N183" s="3">
        <f t="shared" si="1"/>
        <v>318817.11727228947</v>
      </c>
      <c r="O183" s="30"/>
    </row>
    <row r="184" spans="1:15" x14ac:dyDescent="0.2">
      <c r="A184" s="27" t="s">
        <v>119</v>
      </c>
      <c r="B184" s="2" t="s">
        <v>47</v>
      </c>
      <c r="C184" s="28">
        <f t="shared" ref="C184:M184" si="3">C274+C319+C364+C409+C454+C499+C544+C589+C679+C634</f>
        <v>317575096.66670823</v>
      </c>
      <c r="D184" s="28">
        <f t="shared" si="3"/>
        <v>321793328.206536</v>
      </c>
      <c r="E184" s="28">
        <f t="shared" si="3"/>
        <v>318044348.61725783</v>
      </c>
      <c r="F184" s="28">
        <f t="shared" si="3"/>
        <v>318702745.18946606</v>
      </c>
      <c r="G184" s="28">
        <f t="shared" si="3"/>
        <v>317343834.33923578</v>
      </c>
      <c r="H184" s="28">
        <f t="shared" si="3"/>
        <v>2576810.4649507878</v>
      </c>
      <c r="I184" s="28">
        <f t="shared" si="3"/>
        <v>0</v>
      </c>
      <c r="J184" s="28">
        <f t="shared" si="3"/>
        <v>3284233.7013994921</v>
      </c>
      <c r="K184" s="28">
        <f t="shared" si="3"/>
        <v>0</v>
      </c>
      <c r="L184" s="28">
        <f t="shared" si="3"/>
        <v>0</v>
      </c>
      <c r="M184" s="28">
        <f t="shared" si="3"/>
        <v>15823111.83146647</v>
      </c>
      <c r="N184" s="3">
        <f t="shared" si="1"/>
        <v>1615143509.0170207</v>
      </c>
      <c r="O184" s="30"/>
    </row>
    <row r="185" spans="1:15" x14ac:dyDescent="0.2">
      <c r="A185" s="27" t="s">
        <v>121</v>
      </c>
      <c r="B185" s="2" t="s">
        <v>49</v>
      </c>
      <c r="C185" s="28">
        <f t="shared" ref="C185:M185" si="4">C275+C320+C365+C410+C455+C500+C545+C590+C680+C635</f>
        <v>143691.23976807177</v>
      </c>
      <c r="D185" s="28">
        <f t="shared" si="4"/>
        <v>860651.65617379802</v>
      </c>
      <c r="E185" s="28">
        <f t="shared" si="4"/>
        <v>3005.1800877373635</v>
      </c>
      <c r="F185" s="28">
        <f t="shared" si="4"/>
        <v>3496.3076623293191</v>
      </c>
      <c r="G185" s="28">
        <f t="shared" si="4"/>
        <v>5221.3013911887638</v>
      </c>
      <c r="H185" s="28">
        <f t="shared" si="4"/>
        <v>867.59715273043037</v>
      </c>
      <c r="I185" s="28">
        <f t="shared" si="4"/>
        <v>0</v>
      </c>
      <c r="J185" s="28">
        <f t="shared" si="4"/>
        <v>2981891.1413848517</v>
      </c>
      <c r="K185" s="28">
        <f t="shared" si="4"/>
        <v>0</v>
      </c>
      <c r="L185" s="28">
        <f t="shared" si="4"/>
        <v>0</v>
      </c>
      <c r="M185" s="28">
        <f t="shared" si="4"/>
        <v>389420.49214655277</v>
      </c>
      <c r="N185" s="3">
        <f t="shared" si="1"/>
        <v>4388244.9157672599</v>
      </c>
      <c r="O185" s="30"/>
    </row>
    <row r="186" spans="1:15" x14ac:dyDescent="0.2">
      <c r="A186" s="27" t="s">
        <v>95</v>
      </c>
      <c r="B186" s="2" t="s">
        <v>23</v>
      </c>
      <c r="C186" s="28">
        <f t="shared" ref="C186:M186" si="5">C276+C321+C366+C411+C456+C501+C546+C591+C681+C636</f>
        <v>41662.042899629523</v>
      </c>
      <c r="D186" s="28">
        <f t="shared" si="5"/>
        <v>23738.314339965185</v>
      </c>
      <c r="E186" s="28">
        <f t="shared" si="5"/>
        <v>8924632.1303621996</v>
      </c>
      <c r="F186" s="28">
        <f t="shared" si="5"/>
        <v>505.9499019256354</v>
      </c>
      <c r="G186" s="28">
        <f t="shared" si="5"/>
        <v>0</v>
      </c>
      <c r="H186" s="28">
        <f t="shared" si="5"/>
        <v>2039645.2997314411</v>
      </c>
      <c r="I186" s="28">
        <f t="shared" si="5"/>
        <v>0</v>
      </c>
      <c r="J186" s="28">
        <f t="shared" si="5"/>
        <v>0</v>
      </c>
      <c r="K186" s="28">
        <f t="shared" si="5"/>
        <v>1675.4738183803101</v>
      </c>
      <c r="L186" s="28">
        <f t="shared" si="5"/>
        <v>0</v>
      </c>
      <c r="M186" s="28">
        <f t="shared" si="5"/>
        <v>407180.38564844045</v>
      </c>
      <c r="N186" s="3">
        <f t="shared" si="1"/>
        <v>11439039.596701981</v>
      </c>
      <c r="O186" s="30"/>
    </row>
    <row r="187" spans="1:15" x14ac:dyDescent="0.2">
      <c r="A187" s="27" t="s">
        <v>101</v>
      </c>
      <c r="B187" s="2" t="s">
        <v>29</v>
      </c>
      <c r="C187" s="28">
        <f t="shared" ref="C187:M187" si="6">C277+C322+C367+C412+C457+C502+C547+C592+C682+C637</f>
        <v>740.16092791949586</v>
      </c>
      <c r="D187" s="28">
        <f t="shared" si="6"/>
        <v>0</v>
      </c>
      <c r="E187" s="28">
        <f t="shared" si="6"/>
        <v>0</v>
      </c>
      <c r="F187" s="28">
        <f t="shared" si="6"/>
        <v>0</v>
      </c>
      <c r="G187" s="28">
        <f t="shared" si="6"/>
        <v>0</v>
      </c>
      <c r="H187" s="28">
        <f t="shared" si="6"/>
        <v>0</v>
      </c>
      <c r="I187" s="28">
        <f t="shared" si="6"/>
        <v>0</v>
      </c>
      <c r="J187" s="28">
        <f t="shared" si="6"/>
        <v>365.91283779798692</v>
      </c>
      <c r="K187" s="28">
        <f t="shared" si="6"/>
        <v>0</v>
      </c>
      <c r="L187" s="28">
        <f t="shared" si="6"/>
        <v>0</v>
      </c>
      <c r="M187" s="28">
        <f t="shared" si="6"/>
        <v>146329.63127913346</v>
      </c>
      <c r="N187" s="3">
        <f t="shared" si="1"/>
        <v>147435.70504485094</v>
      </c>
      <c r="O187" s="30"/>
    </row>
    <row r="188" spans="1:15" x14ac:dyDescent="0.2">
      <c r="A188" s="27" t="s">
        <v>106</v>
      </c>
      <c r="B188" s="2" t="s">
        <v>34</v>
      </c>
      <c r="C188" s="28">
        <f t="shared" ref="C188:M188" si="7">C278+C323+C368+C413+C458+C503+C548+C593+C683+C638</f>
        <v>82546.835265986418</v>
      </c>
      <c r="D188" s="28">
        <f t="shared" si="7"/>
        <v>1191232.351044538</v>
      </c>
      <c r="E188" s="28">
        <f t="shared" si="7"/>
        <v>769.20695079905249</v>
      </c>
      <c r="F188" s="28">
        <f t="shared" si="7"/>
        <v>1162.2543146945695</v>
      </c>
      <c r="G188" s="28">
        <f t="shared" si="7"/>
        <v>0</v>
      </c>
      <c r="H188" s="28">
        <f t="shared" si="7"/>
        <v>0</v>
      </c>
      <c r="I188" s="28">
        <f t="shared" si="7"/>
        <v>3391198.0030466402</v>
      </c>
      <c r="J188" s="28">
        <f t="shared" si="7"/>
        <v>213.35929651116123</v>
      </c>
      <c r="K188" s="28">
        <f t="shared" si="7"/>
        <v>226.23733847030954</v>
      </c>
      <c r="L188" s="28">
        <f t="shared" si="7"/>
        <v>2638837.9120251634</v>
      </c>
      <c r="M188" s="28">
        <f t="shared" si="7"/>
        <v>43625861.594069242</v>
      </c>
      <c r="N188" s="3">
        <f t="shared" si="1"/>
        <v>50932047.753352046</v>
      </c>
      <c r="O188" s="30"/>
    </row>
    <row r="189" spans="1:15" x14ac:dyDescent="0.2">
      <c r="A189" s="27" t="s">
        <v>103</v>
      </c>
      <c r="B189" s="2" t="s">
        <v>31</v>
      </c>
      <c r="C189" s="28">
        <f t="shared" ref="C189:M189" si="8">C279+C324+C369+C414+C459+C504+C549+C594+C684+C639</f>
        <v>5873.4358725282445</v>
      </c>
      <c r="D189" s="28">
        <f t="shared" si="8"/>
        <v>1624055.7040425544</v>
      </c>
      <c r="E189" s="28">
        <f t="shared" si="8"/>
        <v>285613.08791317465</v>
      </c>
      <c r="F189" s="28">
        <f t="shared" si="8"/>
        <v>0</v>
      </c>
      <c r="G189" s="28">
        <f t="shared" si="8"/>
        <v>0</v>
      </c>
      <c r="H189" s="28">
        <f t="shared" si="8"/>
        <v>27288.13503906022</v>
      </c>
      <c r="I189" s="28">
        <f t="shared" si="8"/>
        <v>0</v>
      </c>
      <c r="J189" s="28">
        <f t="shared" si="8"/>
        <v>0</v>
      </c>
      <c r="K189" s="28">
        <f t="shared" si="8"/>
        <v>2292.5181121970945</v>
      </c>
      <c r="L189" s="28">
        <f t="shared" si="8"/>
        <v>0</v>
      </c>
      <c r="M189" s="28">
        <f t="shared" si="8"/>
        <v>237013.17179921927</v>
      </c>
      <c r="N189" s="3">
        <f t="shared" si="1"/>
        <v>2182136.0527787339</v>
      </c>
      <c r="O189" s="30"/>
    </row>
    <row r="190" spans="1:15" x14ac:dyDescent="0.2">
      <c r="A190" s="27" t="s">
        <v>99</v>
      </c>
      <c r="B190" s="2" t="s">
        <v>27</v>
      </c>
      <c r="C190" s="28">
        <f t="shared" ref="C190:M190" si="9">C280+C325+C370+C415+C460+C505+C550+C595+C685+C640</f>
        <v>1577784.9782127901</v>
      </c>
      <c r="D190" s="28">
        <f t="shared" si="9"/>
        <v>3651835.387045247</v>
      </c>
      <c r="E190" s="28">
        <f t="shared" si="9"/>
        <v>230644.48942350311</v>
      </c>
      <c r="F190" s="28">
        <f t="shared" si="9"/>
        <v>9365276.3919858392</v>
      </c>
      <c r="G190" s="28">
        <f t="shared" si="9"/>
        <v>0</v>
      </c>
      <c r="H190" s="28">
        <f t="shared" si="9"/>
        <v>5715499.3803724535</v>
      </c>
      <c r="I190" s="28">
        <f t="shared" si="9"/>
        <v>980.88987787200472</v>
      </c>
      <c r="J190" s="28">
        <f t="shared" si="9"/>
        <v>0</v>
      </c>
      <c r="K190" s="28">
        <f t="shared" si="9"/>
        <v>84693.821023719152</v>
      </c>
      <c r="L190" s="28">
        <f t="shared" si="9"/>
        <v>0</v>
      </c>
      <c r="M190" s="28">
        <f t="shared" si="9"/>
        <v>3045190.2054776456</v>
      </c>
      <c r="N190" s="3">
        <f t="shared" si="1"/>
        <v>23671905.543419071</v>
      </c>
      <c r="O190" s="30"/>
    </row>
    <row r="191" spans="1:15" x14ac:dyDescent="0.2">
      <c r="A191" s="27" t="s">
        <v>94</v>
      </c>
      <c r="B191" s="2" t="s">
        <v>22</v>
      </c>
      <c r="C191" s="28">
        <f t="shared" ref="C191:M191" si="10">C281+C326+C371+C416+C461+C506+C551+C596+C686+C641</f>
        <v>17551782.334475692</v>
      </c>
      <c r="D191" s="28">
        <f t="shared" si="10"/>
        <v>29400427.575265352</v>
      </c>
      <c r="E191" s="28">
        <f t="shared" si="10"/>
        <v>372088449.67520481</v>
      </c>
      <c r="F191" s="28">
        <f t="shared" si="10"/>
        <v>121063651.69592968</v>
      </c>
      <c r="G191" s="28">
        <f t="shared" si="10"/>
        <v>1115137.1648033613</v>
      </c>
      <c r="H191" s="28">
        <f t="shared" si="10"/>
        <v>133938985.49432898</v>
      </c>
      <c r="I191" s="28">
        <f t="shared" si="10"/>
        <v>49621.102167620302</v>
      </c>
      <c r="J191" s="28">
        <f t="shared" si="10"/>
        <v>0</v>
      </c>
      <c r="K191" s="28">
        <f t="shared" si="10"/>
        <v>41367987.878015466</v>
      </c>
      <c r="L191" s="28">
        <f t="shared" si="10"/>
        <v>0</v>
      </c>
      <c r="M191" s="28">
        <f t="shared" si="10"/>
        <v>87332504.52225405</v>
      </c>
      <c r="N191" s="3">
        <f t="shared" si="1"/>
        <v>803908547.44244504</v>
      </c>
      <c r="O191" s="30"/>
    </row>
    <row r="192" spans="1:15" x14ac:dyDescent="0.2">
      <c r="A192" s="27" t="s">
        <v>97</v>
      </c>
      <c r="B192" s="2" t="s">
        <v>25</v>
      </c>
      <c r="C192" s="28">
        <f t="shared" ref="C192:M192" si="11">C282+C327+C372+C417+C462+C507+C552+C597+C687+C642</f>
        <v>0</v>
      </c>
      <c r="D192" s="28">
        <f t="shared" si="11"/>
        <v>7474.7618914643663</v>
      </c>
      <c r="E192" s="28">
        <f t="shared" si="11"/>
        <v>0</v>
      </c>
      <c r="F192" s="28">
        <f t="shared" si="11"/>
        <v>0</v>
      </c>
      <c r="G192" s="28">
        <f t="shared" si="11"/>
        <v>0</v>
      </c>
      <c r="H192" s="28">
        <f t="shared" si="11"/>
        <v>0</v>
      </c>
      <c r="I192" s="28">
        <f t="shared" si="11"/>
        <v>0</v>
      </c>
      <c r="J192" s="28">
        <f t="shared" si="11"/>
        <v>0</v>
      </c>
      <c r="K192" s="28">
        <f t="shared" si="11"/>
        <v>229.22008924023402</v>
      </c>
      <c r="L192" s="28">
        <f t="shared" si="11"/>
        <v>0</v>
      </c>
      <c r="M192" s="28">
        <f t="shared" si="11"/>
        <v>10952.640956670339</v>
      </c>
      <c r="N192" s="3">
        <f t="shared" si="1"/>
        <v>18656.622937374937</v>
      </c>
      <c r="O192" s="30"/>
    </row>
    <row r="193" spans="1:15" x14ac:dyDescent="0.2">
      <c r="A193" s="27" t="s">
        <v>117</v>
      </c>
      <c r="B193" s="2" t="s">
        <v>45</v>
      </c>
      <c r="C193" s="28">
        <f t="shared" ref="C193:M193" si="12">C283+C328+C373+C418+C463+C508+C553+C598+C688+C643</f>
        <v>0</v>
      </c>
      <c r="D193" s="28">
        <f t="shared" si="12"/>
        <v>114103.66495112036</v>
      </c>
      <c r="E193" s="28">
        <f t="shared" si="12"/>
        <v>97938.273442087797</v>
      </c>
      <c r="F193" s="28">
        <f t="shared" si="12"/>
        <v>385432.64018947602</v>
      </c>
      <c r="G193" s="28">
        <f t="shared" si="12"/>
        <v>0</v>
      </c>
      <c r="H193" s="28">
        <f t="shared" si="12"/>
        <v>20336.225676730246</v>
      </c>
      <c r="I193" s="28">
        <f t="shared" si="12"/>
        <v>36.31341600054219</v>
      </c>
      <c r="J193" s="28">
        <f t="shared" si="12"/>
        <v>0</v>
      </c>
      <c r="K193" s="28">
        <f t="shared" si="12"/>
        <v>0</v>
      </c>
      <c r="L193" s="28">
        <f t="shared" si="12"/>
        <v>2178.8049600325321</v>
      </c>
      <c r="M193" s="28">
        <f t="shared" si="12"/>
        <v>260732.34963339579</v>
      </c>
      <c r="N193" s="3">
        <f t="shared" si="1"/>
        <v>880758.27226884337</v>
      </c>
      <c r="O193" s="30"/>
    </row>
    <row r="194" spans="1:15" x14ac:dyDescent="0.2">
      <c r="A194" s="27" t="s">
        <v>114</v>
      </c>
      <c r="B194" s="2" t="s">
        <v>42</v>
      </c>
      <c r="C194" s="28">
        <f t="shared" ref="C194:M194" si="13">C284+C329+C374+C419+C464+C509+C554+C599+C689+C644</f>
        <v>0</v>
      </c>
      <c r="D194" s="28">
        <f t="shared" si="13"/>
        <v>114212.19548361616</v>
      </c>
      <c r="E194" s="28">
        <f t="shared" si="13"/>
        <v>0</v>
      </c>
      <c r="F194" s="28">
        <f t="shared" si="13"/>
        <v>45.340568025541245</v>
      </c>
      <c r="G194" s="28">
        <f t="shared" si="13"/>
        <v>0</v>
      </c>
      <c r="H194" s="28">
        <f t="shared" si="13"/>
        <v>0</v>
      </c>
      <c r="I194" s="28">
        <f t="shared" si="13"/>
        <v>69144.535569425163</v>
      </c>
      <c r="J194" s="28">
        <f t="shared" si="13"/>
        <v>0</v>
      </c>
      <c r="K194" s="28">
        <f t="shared" si="13"/>
        <v>136517.74769316765</v>
      </c>
      <c r="L194" s="28">
        <f t="shared" si="13"/>
        <v>0</v>
      </c>
      <c r="M194" s="28">
        <f t="shared" si="13"/>
        <v>5687934.9949855059</v>
      </c>
      <c r="N194" s="3">
        <f t="shared" si="1"/>
        <v>6007854.8142997408</v>
      </c>
      <c r="O194" s="30"/>
    </row>
    <row r="195" spans="1:15" x14ac:dyDescent="0.2">
      <c r="A195" s="27" t="s">
        <v>112</v>
      </c>
      <c r="B195" s="2" t="s">
        <v>40</v>
      </c>
      <c r="C195" s="28">
        <f t="shared" ref="C195:M195" si="14">C285+C330+C375+C420+C465+C510+C555+C600+C690+C645</f>
        <v>757091.52286199539</v>
      </c>
      <c r="D195" s="28">
        <f t="shared" si="14"/>
        <v>566430.34008072957</v>
      </c>
      <c r="E195" s="28">
        <f t="shared" si="14"/>
        <v>510268.79295048566</v>
      </c>
      <c r="F195" s="28">
        <f t="shared" si="14"/>
        <v>1071655.7477701725</v>
      </c>
      <c r="G195" s="28">
        <f t="shared" si="14"/>
        <v>1521927.4637816972</v>
      </c>
      <c r="H195" s="28">
        <f t="shared" si="14"/>
        <v>124571.67439888473</v>
      </c>
      <c r="I195" s="28">
        <f t="shared" si="14"/>
        <v>1336700.2304284568</v>
      </c>
      <c r="J195" s="28">
        <f t="shared" si="14"/>
        <v>41349.497406184411</v>
      </c>
      <c r="K195" s="28">
        <f t="shared" si="14"/>
        <v>60352925.170441017</v>
      </c>
      <c r="L195" s="28">
        <f t="shared" si="14"/>
        <v>9107.581228437306</v>
      </c>
      <c r="M195" s="28">
        <f t="shared" si="14"/>
        <v>11370074.724362303</v>
      </c>
      <c r="N195" s="3">
        <f t="shared" si="1"/>
        <v>77662102.745710358</v>
      </c>
      <c r="O195" s="30"/>
    </row>
    <row r="196" spans="1:15" x14ac:dyDescent="0.2">
      <c r="A196" s="27" t="s">
        <v>116</v>
      </c>
      <c r="B196" s="2" t="s">
        <v>44</v>
      </c>
      <c r="C196" s="28">
        <f t="shared" ref="C196:M196" si="15">C286+C331+C376+C421+C466+C511+C556+C601+C691+C646</f>
        <v>66565.461401698398</v>
      </c>
      <c r="D196" s="28">
        <f t="shared" si="15"/>
        <v>0</v>
      </c>
      <c r="E196" s="28">
        <f t="shared" si="15"/>
        <v>11094.243566949734</v>
      </c>
      <c r="F196" s="28">
        <f t="shared" si="15"/>
        <v>711905.12697017321</v>
      </c>
      <c r="G196" s="28">
        <f t="shared" si="15"/>
        <v>0</v>
      </c>
      <c r="H196" s="28">
        <f t="shared" si="15"/>
        <v>0</v>
      </c>
      <c r="I196" s="28">
        <f t="shared" si="15"/>
        <v>2867269.8877183222</v>
      </c>
      <c r="J196" s="28">
        <f t="shared" si="15"/>
        <v>1213792.1839521986</v>
      </c>
      <c r="K196" s="28">
        <f t="shared" si="15"/>
        <v>430999.83345653047</v>
      </c>
      <c r="L196" s="28">
        <f t="shared" si="15"/>
        <v>275.64169222482758</v>
      </c>
      <c r="M196" s="28">
        <f t="shared" si="15"/>
        <v>10289078.146642866</v>
      </c>
      <c r="N196" s="3">
        <f t="shared" si="1"/>
        <v>15590980.525400963</v>
      </c>
      <c r="O196" s="30"/>
    </row>
    <row r="197" spans="1:15" x14ac:dyDescent="0.2">
      <c r="A197" s="27" t="s">
        <v>107</v>
      </c>
      <c r="B197" s="2" t="s">
        <v>35</v>
      </c>
      <c r="C197" s="28">
        <f t="shared" ref="C197:M197" si="16">C287+C332+C377+C422+C467+C512+C557+C602+C692+C647</f>
        <v>1192.8428287158299</v>
      </c>
      <c r="D197" s="28">
        <f t="shared" si="16"/>
        <v>0</v>
      </c>
      <c r="E197" s="28">
        <f t="shared" si="16"/>
        <v>1161.8692069797862</v>
      </c>
      <c r="F197" s="28">
        <f t="shared" si="16"/>
        <v>0</v>
      </c>
      <c r="G197" s="28">
        <f t="shared" si="16"/>
        <v>0</v>
      </c>
      <c r="H197" s="28">
        <f t="shared" si="16"/>
        <v>0</v>
      </c>
      <c r="I197" s="28">
        <f t="shared" si="16"/>
        <v>47801.370979337764</v>
      </c>
      <c r="J197" s="28">
        <f t="shared" si="16"/>
        <v>314.26341814505673</v>
      </c>
      <c r="K197" s="28">
        <f t="shared" si="16"/>
        <v>42116.468777079179</v>
      </c>
      <c r="L197" s="28">
        <f t="shared" si="16"/>
        <v>0</v>
      </c>
      <c r="M197" s="28">
        <f t="shared" si="16"/>
        <v>7355798.8222451396</v>
      </c>
      <c r="N197" s="3">
        <f t="shared" si="1"/>
        <v>7448385.6374553973</v>
      </c>
      <c r="O197" s="30"/>
    </row>
    <row r="198" spans="1:15" x14ac:dyDescent="0.2">
      <c r="A198" s="27" t="s">
        <v>100</v>
      </c>
      <c r="B198" s="2" t="s">
        <v>28</v>
      </c>
      <c r="C198" s="28">
        <f t="shared" ref="C198:M198" si="17">C288+C333+C378+C423+C468+C513+C558+C603+C693+C648</f>
        <v>873.81690586551997</v>
      </c>
      <c r="D198" s="28">
        <f t="shared" si="17"/>
        <v>216.17391095002949</v>
      </c>
      <c r="E198" s="28">
        <f t="shared" si="17"/>
        <v>0</v>
      </c>
      <c r="F198" s="28">
        <f t="shared" si="17"/>
        <v>0</v>
      </c>
      <c r="G198" s="28">
        <f t="shared" si="17"/>
        <v>0</v>
      </c>
      <c r="H198" s="28">
        <f t="shared" si="17"/>
        <v>0</v>
      </c>
      <c r="I198" s="28">
        <f t="shared" si="17"/>
        <v>4603.5622908364239</v>
      </c>
      <c r="J198" s="28">
        <f t="shared" si="17"/>
        <v>2088.0038380159904</v>
      </c>
      <c r="K198" s="28">
        <f t="shared" si="17"/>
        <v>0</v>
      </c>
      <c r="L198" s="28">
        <f t="shared" si="17"/>
        <v>0</v>
      </c>
      <c r="M198" s="28">
        <f t="shared" si="17"/>
        <v>116378.58409457498</v>
      </c>
      <c r="N198" s="3">
        <f t="shared" si="1"/>
        <v>124160.14104024295</v>
      </c>
      <c r="O198" s="30"/>
    </row>
    <row r="199" spans="1:15" x14ac:dyDescent="0.2">
      <c r="A199" s="27" t="s">
        <v>108</v>
      </c>
      <c r="B199" s="2" t="s">
        <v>36</v>
      </c>
      <c r="C199" s="28">
        <f t="shared" ref="C199:M199" si="18">C289+C334+C379+C424+C469+C514+C559+C604+C694+C649</f>
        <v>0</v>
      </c>
      <c r="D199" s="28">
        <f t="shared" si="18"/>
        <v>0</v>
      </c>
      <c r="E199" s="28">
        <f t="shared" si="18"/>
        <v>0</v>
      </c>
      <c r="F199" s="28">
        <f t="shared" si="18"/>
        <v>0</v>
      </c>
      <c r="G199" s="28">
        <f t="shared" si="18"/>
        <v>0</v>
      </c>
      <c r="H199" s="28">
        <f t="shared" si="18"/>
        <v>0</v>
      </c>
      <c r="I199" s="28">
        <f t="shared" si="18"/>
        <v>0</v>
      </c>
      <c r="J199" s="28">
        <f t="shared" si="18"/>
        <v>0</v>
      </c>
      <c r="K199" s="28">
        <f t="shared" si="18"/>
        <v>306.45661458994192</v>
      </c>
      <c r="L199" s="28">
        <f t="shared" si="18"/>
        <v>0</v>
      </c>
      <c r="M199" s="28">
        <f t="shared" si="18"/>
        <v>2913.0396075830035</v>
      </c>
      <c r="N199" s="3">
        <f t="shared" si="1"/>
        <v>3219.4962221729456</v>
      </c>
      <c r="O199" s="30"/>
    </row>
    <row r="200" spans="1:15" x14ac:dyDescent="0.2">
      <c r="A200" s="27" t="s">
        <v>104</v>
      </c>
      <c r="B200" s="2" t="s">
        <v>32</v>
      </c>
      <c r="C200" s="28">
        <f t="shared" ref="C200:M200" si="19">C290+C335+C380+C425+C470+C515+C560+C605+C695+C650</f>
        <v>0</v>
      </c>
      <c r="D200" s="28">
        <f t="shared" si="19"/>
        <v>2.002174014372295</v>
      </c>
      <c r="E200" s="28">
        <f t="shared" si="19"/>
        <v>0</v>
      </c>
      <c r="F200" s="28">
        <f t="shared" si="19"/>
        <v>0</v>
      </c>
      <c r="G200" s="28">
        <f t="shared" si="19"/>
        <v>0</v>
      </c>
      <c r="H200" s="28">
        <f t="shared" si="19"/>
        <v>0</v>
      </c>
      <c r="I200" s="28">
        <f t="shared" si="19"/>
        <v>2199.1385660433575</v>
      </c>
      <c r="J200" s="28">
        <f t="shared" si="19"/>
        <v>1067.1215308741221</v>
      </c>
      <c r="K200" s="28">
        <f t="shared" si="19"/>
        <v>86.171499898132438</v>
      </c>
      <c r="L200" s="28">
        <f t="shared" si="19"/>
        <v>1395411.799703412</v>
      </c>
      <c r="M200" s="28">
        <f t="shared" si="19"/>
        <v>6514.9485121072703</v>
      </c>
      <c r="N200" s="3">
        <f t="shared" si="1"/>
        <v>1405281.1819863494</v>
      </c>
      <c r="O200" s="30"/>
    </row>
    <row r="201" spans="1:15" x14ac:dyDescent="0.2">
      <c r="A201" s="27" t="s">
        <v>105</v>
      </c>
      <c r="B201" s="2" t="s">
        <v>33</v>
      </c>
      <c r="C201" s="28">
        <f t="shared" ref="C201:M201" si="20">C291+C336+C381+C426+C471+C516+C561+C606+C696+C651</f>
        <v>4528.7713308496704</v>
      </c>
      <c r="D201" s="28">
        <f t="shared" si="20"/>
        <v>0</v>
      </c>
      <c r="E201" s="28">
        <f t="shared" si="20"/>
        <v>0</v>
      </c>
      <c r="F201" s="28">
        <f t="shared" si="20"/>
        <v>0</v>
      </c>
      <c r="G201" s="28">
        <f t="shared" si="20"/>
        <v>0</v>
      </c>
      <c r="H201" s="28">
        <f t="shared" si="20"/>
        <v>0</v>
      </c>
      <c r="I201" s="28">
        <f t="shared" si="20"/>
        <v>168.18261720727278</v>
      </c>
      <c r="J201" s="28">
        <f t="shared" si="20"/>
        <v>0</v>
      </c>
      <c r="K201" s="28">
        <f t="shared" si="20"/>
        <v>83.684480392111155</v>
      </c>
      <c r="L201" s="28">
        <f t="shared" si="20"/>
        <v>2220.4196328081152</v>
      </c>
      <c r="M201" s="28">
        <f t="shared" si="20"/>
        <v>1558963.4336482652</v>
      </c>
      <c r="N201" s="3">
        <f t="shared" si="1"/>
        <v>1565964.4917095224</v>
      </c>
      <c r="O201" s="30"/>
    </row>
    <row r="202" spans="1:15" x14ac:dyDescent="0.2">
      <c r="A202" s="27" t="s">
        <v>109</v>
      </c>
      <c r="B202" s="2" t="s">
        <v>37</v>
      </c>
      <c r="C202" s="28">
        <f t="shared" ref="C202:M202" si="21">C292+C337+C382+C427+C472+C517+C562+C607+C697+C652</f>
        <v>0</v>
      </c>
      <c r="D202" s="28">
        <f t="shared" si="21"/>
        <v>0</v>
      </c>
      <c r="E202" s="28">
        <f t="shared" si="21"/>
        <v>0</v>
      </c>
      <c r="F202" s="28">
        <f t="shared" si="21"/>
        <v>0</v>
      </c>
      <c r="G202" s="28">
        <f t="shared" si="21"/>
        <v>0</v>
      </c>
      <c r="H202" s="28">
        <f t="shared" si="21"/>
        <v>0</v>
      </c>
      <c r="I202" s="28">
        <f t="shared" si="21"/>
        <v>155870.50490334939</v>
      </c>
      <c r="J202" s="28">
        <f t="shared" si="21"/>
        <v>87705.63490160981</v>
      </c>
      <c r="K202" s="28">
        <f t="shared" si="21"/>
        <v>228.41144435737786</v>
      </c>
      <c r="L202" s="28">
        <f t="shared" si="21"/>
        <v>0</v>
      </c>
      <c r="M202" s="28">
        <f t="shared" si="21"/>
        <v>52697.88791204981</v>
      </c>
      <c r="N202" s="3">
        <f t="shared" si="1"/>
        <v>296502.43916136638</v>
      </c>
      <c r="O202" s="30"/>
    </row>
    <row r="203" spans="1:15" x14ac:dyDescent="0.2">
      <c r="A203" s="27" t="s">
        <v>96</v>
      </c>
      <c r="B203" s="2" t="s">
        <v>24</v>
      </c>
      <c r="C203" s="28">
        <f t="shared" ref="C203:M203" si="22">C293+C338+C383+C428+C473+C518+C563+C608+C698+C653</f>
        <v>0</v>
      </c>
      <c r="D203" s="28">
        <f t="shared" si="22"/>
        <v>1000.630355770541</v>
      </c>
      <c r="E203" s="28">
        <f t="shared" si="22"/>
        <v>0</v>
      </c>
      <c r="F203" s="28">
        <f t="shared" si="22"/>
        <v>12305.833116057989</v>
      </c>
      <c r="G203" s="28">
        <f t="shared" si="22"/>
        <v>0</v>
      </c>
      <c r="H203" s="28">
        <f t="shared" si="22"/>
        <v>0</v>
      </c>
      <c r="I203" s="28">
        <f t="shared" si="22"/>
        <v>6085.8379374057913</v>
      </c>
      <c r="J203" s="28">
        <f t="shared" si="22"/>
        <v>1100.0489451238229</v>
      </c>
      <c r="K203" s="28">
        <f t="shared" si="22"/>
        <v>1210.0538396362049</v>
      </c>
      <c r="L203" s="28">
        <f t="shared" si="22"/>
        <v>0</v>
      </c>
      <c r="M203" s="28">
        <f t="shared" si="22"/>
        <v>3089661.1769223637</v>
      </c>
      <c r="N203" s="3">
        <f t="shared" si="1"/>
        <v>3111363.5811163578</v>
      </c>
      <c r="O203" s="30"/>
    </row>
    <row r="204" spans="1:15" x14ac:dyDescent="0.2">
      <c r="A204" s="27" t="s">
        <v>120</v>
      </c>
      <c r="B204" s="2" t="s">
        <v>48</v>
      </c>
      <c r="C204" s="28">
        <f t="shared" ref="C204:M204" si="23">C294+C339+C384+C429+C474+C519+C564+C609+C699+C654</f>
        <v>0</v>
      </c>
      <c r="D204" s="28">
        <f t="shared" si="23"/>
        <v>35346.068340568352</v>
      </c>
      <c r="E204" s="28">
        <f t="shared" si="23"/>
        <v>1933.0903986278563</v>
      </c>
      <c r="F204" s="28">
        <f t="shared" si="23"/>
        <v>29999.64667047303</v>
      </c>
      <c r="G204" s="28">
        <f t="shared" si="23"/>
        <v>1111.0201650243396</v>
      </c>
      <c r="H204" s="28">
        <f t="shared" si="23"/>
        <v>0</v>
      </c>
      <c r="I204" s="28">
        <f t="shared" si="23"/>
        <v>41411.562094591027</v>
      </c>
      <c r="J204" s="28">
        <f t="shared" si="23"/>
        <v>0</v>
      </c>
      <c r="K204" s="28">
        <f t="shared" si="23"/>
        <v>22692.180218477926</v>
      </c>
      <c r="L204" s="28">
        <f t="shared" si="23"/>
        <v>0</v>
      </c>
      <c r="M204" s="28">
        <f t="shared" si="23"/>
        <v>22798750.529177453</v>
      </c>
      <c r="N204" s="3">
        <f t="shared" si="1"/>
        <v>22931244.097065214</v>
      </c>
      <c r="O204" s="30"/>
    </row>
    <row r="205" spans="1:15" x14ac:dyDescent="0.2">
      <c r="A205" s="27" t="s">
        <v>102</v>
      </c>
      <c r="B205" s="2" t="s">
        <v>30</v>
      </c>
      <c r="C205" s="28">
        <f t="shared" ref="C205:M205" si="24">C295+C340+C385+C430+C475+C520+C565+C610+C700+C655</f>
        <v>0</v>
      </c>
      <c r="D205" s="28">
        <f t="shared" si="24"/>
        <v>12136159.604168342</v>
      </c>
      <c r="E205" s="28">
        <f t="shared" si="24"/>
        <v>0</v>
      </c>
      <c r="F205" s="28">
        <f t="shared" si="24"/>
        <v>3558306.1843521567</v>
      </c>
      <c r="G205" s="28">
        <f t="shared" si="24"/>
        <v>773203.00002324337</v>
      </c>
      <c r="H205" s="28">
        <f t="shared" si="24"/>
        <v>0</v>
      </c>
      <c r="I205" s="28">
        <f t="shared" si="24"/>
        <v>33910.141477196703</v>
      </c>
      <c r="J205" s="28">
        <f t="shared" si="24"/>
        <v>0</v>
      </c>
      <c r="K205" s="28">
        <f t="shared" si="24"/>
        <v>0</v>
      </c>
      <c r="L205" s="28">
        <f t="shared" si="24"/>
        <v>0</v>
      </c>
      <c r="M205" s="28">
        <f t="shared" si="24"/>
        <v>4474913.4440091541</v>
      </c>
      <c r="N205" s="3">
        <f t="shared" si="1"/>
        <v>20976492.374030095</v>
      </c>
      <c r="O205" s="30"/>
    </row>
    <row r="206" spans="1:15" x14ac:dyDescent="0.2">
      <c r="A206" s="27" t="s">
        <v>98</v>
      </c>
      <c r="B206" s="2" t="s">
        <v>26</v>
      </c>
      <c r="C206" s="28">
        <f t="shared" ref="C206:M206" si="25">C296+C341+C386+C431+C476+C521+C566+C611+C701+C656</f>
        <v>0</v>
      </c>
      <c r="D206" s="28">
        <f t="shared" si="25"/>
        <v>2171.7579186297421</v>
      </c>
      <c r="E206" s="28">
        <f t="shared" si="25"/>
        <v>0</v>
      </c>
      <c r="F206" s="28">
        <f t="shared" si="25"/>
        <v>476629.37102307525</v>
      </c>
      <c r="G206" s="28">
        <f t="shared" si="25"/>
        <v>634380.88077944436</v>
      </c>
      <c r="H206" s="28">
        <f t="shared" si="25"/>
        <v>0</v>
      </c>
      <c r="I206" s="28">
        <f t="shared" si="25"/>
        <v>2417416.9486445528</v>
      </c>
      <c r="J206" s="28">
        <f t="shared" si="25"/>
        <v>0</v>
      </c>
      <c r="K206" s="28">
        <f t="shared" si="25"/>
        <v>1084127.4800745961</v>
      </c>
      <c r="L206" s="28">
        <f t="shared" si="25"/>
        <v>0</v>
      </c>
      <c r="M206" s="28">
        <f t="shared" si="25"/>
        <v>1673903.9641900042</v>
      </c>
      <c r="N206" s="3">
        <f t="shared" si="1"/>
        <v>6288630.4026303031</v>
      </c>
      <c r="O206" s="30"/>
    </row>
    <row r="207" spans="1:15" x14ac:dyDescent="0.2">
      <c r="A207" s="27" t="s">
        <v>93</v>
      </c>
      <c r="B207" s="2" t="s">
        <v>21</v>
      </c>
      <c r="C207" s="28">
        <f t="shared" ref="C207:M207" si="26">C297+C342+C387+C432+C477+C522+C567+C612+C702+C657</f>
        <v>89.220022088354511</v>
      </c>
      <c r="D207" s="28">
        <f t="shared" si="26"/>
        <v>6860.3675253076772</v>
      </c>
      <c r="E207" s="28">
        <f t="shared" si="26"/>
        <v>132310.45534635289</v>
      </c>
      <c r="F207" s="28">
        <f t="shared" si="26"/>
        <v>55532.502184104669</v>
      </c>
      <c r="G207" s="28">
        <f t="shared" si="26"/>
        <v>214.1280530120508</v>
      </c>
      <c r="H207" s="28">
        <f t="shared" si="26"/>
        <v>0</v>
      </c>
      <c r="I207" s="28">
        <f t="shared" si="26"/>
        <v>0</v>
      </c>
      <c r="J207" s="28">
        <f t="shared" si="26"/>
        <v>0</v>
      </c>
      <c r="K207" s="28">
        <f t="shared" si="26"/>
        <v>33857.279542179363</v>
      </c>
      <c r="L207" s="28">
        <f t="shared" si="26"/>
        <v>0</v>
      </c>
      <c r="M207" s="28">
        <f t="shared" si="26"/>
        <v>9570.9005990980422</v>
      </c>
      <c r="N207" s="3">
        <f t="shared" si="1"/>
        <v>238434.85327214302</v>
      </c>
      <c r="O207" s="30"/>
    </row>
    <row r="208" spans="1:15" x14ac:dyDescent="0.2">
      <c r="A208" s="27" t="s">
        <v>115</v>
      </c>
      <c r="B208" s="2" t="s">
        <v>43</v>
      </c>
      <c r="C208" s="28">
        <f t="shared" ref="C208:M208" si="27">C298+C343+C388+C433+C478+C523+C568+C613+C703+C658</f>
        <v>0</v>
      </c>
      <c r="D208" s="28">
        <f t="shared" si="27"/>
        <v>215117.47878508418</v>
      </c>
      <c r="E208" s="28">
        <f t="shared" si="27"/>
        <v>549151.36686174246</v>
      </c>
      <c r="F208" s="28">
        <f t="shared" si="27"/>
        <v>183115.55248519947</v>
      </c>
      <c r="G208" s="28">
        <f t="shared" si="27"/>
        <v>0</v>
      </c>
      <c r="H208" s="28">
        <f t="shared" si="27"/>
        <v>0</v>
      </c>
      <c r="I208" s="28">
        <f t="shared" si="27"/>
        <v>7852.7010648784571</v>
      </c>
      <c r="J208" s="28">
        <f t="shared" si="27"/>
        <v>0</v>
      </c>
      <c r="K208" s="28">
        <f t="shared" si="27"/>
        <v>1349.6929151596712</v>
      </c>
      <c r="L208" s="28">
        <f t="shared" si="27"/>
        <v>0</v>
      </c>
      <c r="M208" s="28">
        <f t="shared" si="27"/>
        <v>2812840.4227366722</v>
      </c>
      <c r="N208" s="3">
        <f t="shared" si="1"/>
        <v>3769427.2148487363</v>
      </c>
      <c r="O208" s="30"/>
    </row>
    <row r="209" spans="1:15" x14ac:dyDescent="0.2">
      <c r="A209" s="27" t="s">
        <v>111</v>
      </c>
      <c r="B209" s="2" t="s">
        <v>39</v>
      </c>
      <c r="C209" s="28">
        <f t="shared" ref="C209:M209" si="28">C299+C344+C389+C434+C479+C524+C569+C614+C704+C659</f>
        <v>423.01932575657844</v>
      </c>
      <c r="D209" s="28">
        <f t="shared" si="28"/>
        <v>2245647.9417571509</v>
      </c>
      <c r="E209" s="28">
        <f t="shared" si="28"/>
        <v>217391.3444329373</v>
      </c>
      <c r="F209" s="28">
        <f t="shared" si="28"/>
        <v>536097.13420754147</v>
      </c>
      <c r="G209" s="28">
        <f t="shared" si="28"/>
        <v>54943.837412407403</v>
      </c>
      <c r="H209" s="28">
        <f t="shared" si="28"/>
        <v>0.73466285781395679</v>
      </c>
      <c r="I209" s="28">
        <f t="shared" si="28"/>
        <v>0</v>
      </c>
      <c r="J209" s="28">
        <f t="shared" si="28"/>
        <v>0</v>
      </c>
      <c r="K209" s="28">
        <f t="shared" si="28"/>
        <v>7677.9735181910173</v>
      </c>
      <c r="L209" s="28">
        <f t="shared" si="28"/>
        <v>14316.066627138656</v>
      </c>
      <c r="M209" s="28">
        <f t="shared" si="28"/>
        <v>4780717.2768200021</v>
      </c>
      <c r="N209" s="3">
        <f t="shared" si="1"/>
        <v>7857215.3287639841</v>
      </c>
      <c r="O209" s="30"/>
    </row>
    <row r="210" spans="1:15" x14ac:dyDescent="0.2">
      <c r="A210" s="27" t="s">
        <v>118</v>
      </c>
      <c r="B210" s="2" t="s">
        <v>46</v>
      </c>
      <c r="C210" s="28">
        <f t="shared" ref="C210:M210" si="29">C300+C345+C390+C435+C480+C525+C570+C615+C705+C660</f>
        <v>21346.934997962187</v>
      </c>
      <c r="D210" s="28">
        <f t="shared" si="29"/>
        <v>541433.49652767379</v>
      </c>
      <c r="E210" s="28">
        <f t="shared" si="29"/>
        <v>12366.988224821393</v>
      </c>
      <c r="F210" s="28">
        <f t="shared" si="29"/>
        <v>1223.2717876819129</v>
      </c>
      <c r="G210" s="28">
        <f t="shared" si="29"/>
        <v>3019.5255969566583</v>
      </c>
      <c r="H210" s="28">
        <f t="shared" si="29"/>
        <v>0</v>
      </c>
      <c r="I210" s="28">
        <f t="shared" si="29"/>
        <v>128156.58241530936</v>
      </c>
      <c r="J210" s="28">
        <f t="shared" si="29"/>
        <v>0</v>
      </c>
      <c r="K210" s="28">
        <f t="shared" si="29"/>
        <v>63444.855458661972</v>
      </c>
      <c r="L210" s="28">
        <f t="shared" si="29"/>
        <v>15476.527873522591</v>
      </c>
      <c r="M210" s="28">
        <f t="shared" si="29"/>
        <v>17855906.138364486</v>
      </c>
      <c r="N210" s="3">
        <f t="shared" si="1"/>
        <v>18642374.321247075</v>
      </c>
      <c r="O210" s="30"/>
    </row>
    <row r="211" spans="1:15" x14ac:dyDescent="0.2">
      <c r="A211" s="27" t="s">
        <v>124</v>
      </c>
      <c r="B211" s="2" t="s">
        <v>52</v>
      </c>
      <c r="C211" s="28">
        <f t="shared" ref="C211:M211" si="30">C301+C346+C391+C436+C481+C526+C571+C616+C706+C661</f>
        <v>213.80571238422556</v>
      </c>
      <c r="D211" s="28">
        <f t="shared" si="30"/>
        <v>415783.18160756666</v>
      </c>
      <c r="E211" s="28">
        <f t="shared" si="30"/>
        <v>778.74377568580587</v>
      </c>
      <c r="F211" s="28">
        <f t="shared" si="30"/>
        <v>0</v>
      </c>
      <c r="G211" s="28">
        <f t="shared" si="30"/>
        <v>64.14171371526767</v>
      </c>
      <c r="H211" s="28">
        <f t="shared" si="30"/>
        <v>0</v>
      </c>
      <c r="I211" s="28">
        <f t="shared" si="30"/>
        <v>41012.250828028467</v>
      </c>
      <c r="J211" s="28">
        <f t="shared" si="30"/>
        <v>0</v>
      </c>
      <c r="K211" s="28">
        <f t="shared" si="30"/>
        <v>493.20439126767707</v>
      </c>
      <c r="L211" s="28">
        <f t="shared" si="30"/>
        <v>0</v>
      </c>
      <c r="M211" s="28">
        <f t="shared" si="30"/>
        <v>5713468.7142235367</v>
      </c>
      <c r="N211" s="3">
        <f t="shared" si="1"/>
        <v>6171814.0422521848</v>
      </c>
      <c r="O211" s="30"/>
    </row>
    <row r="212" spans="1:15" x14ac:dyDescent="0.2">
      <c r="A212" s="27" t="s">
        <v>123</v>
      </c>
      <c r="B212" s="2" t="s">
        <v>51</v>
      </c>
      <c r="C212" s="28">
        <f t="shared" ref="C212:M212" si="31">C302+C347+C392+C437+C482+C527+C572+C617+C707+C662</f>
        <v>1664.4584837513321</v>
      </c>
      <c r="D212" s="28">
        <f t="shared" si="31"/>
        <v>1045.8533013284214</v>
      </c>
      <c r="E212" s="28">
        <f t="shared" si="31"/>
        <v>0</v>
      </c>
      <c r="F212" s="28">
        <f t="shared" si="31"/>
        <v>0</v>
      </c>
      <c r="G212" s="28">
        <f t="shared" si="31"/>
        <v>0</v>
      </c>
      <c r="H212" s="28">
        <f t="shared" si="31"/>
        <v>0</v>
      </c>
      <c r="I212" s="28">
        <f t="shared" si="31"/>
        <v>38615.55456472878</v>
      </c>
      <c r="J212" s="28">
        <f t="shared" si="31"/>
        <v>357.19843109332822</v>
      </c>
      <c r="K212" s="28">
        <f t="shared" si="31"/>
        <v>142.78685071850254</v>
      </c>
      <c r="L212" s="28">
        <f t="shared" si="31"/>
        <v>0</v>
      </c>
      <c r="M212" s="28">
        <f t="shared" si="31"/>
        <v>11120.022945881383</v>
      </c>
      <c r="N212" s="3">
        <f t="shared" si="1"/>
        <v>52945.874577501752</v>
      </c>
      <c r="O212" s="30"/>
    </row>
    <row r="213" spans="1:15" x14ac:dyDescent="0.2">
      <c r="A213" s="27" t="s">
        <v>126</v>
      </c>
      <c r="B213" s="2" t="s">
        <v>54</v>
      </c>
      <c r="C213" s="28">
        <f t="shared" ref="C213:M213" si="32">C303+C348+C393+C438+C483+C528+C573+C618+C708+C663</f>
        <v>0</v>
      </c>
      <c r="D213" s="28">
        <f t="shared" si="32"/>
        <v>0</v>
      </c>
      <c r="E213" s="28">
        <f t="shared" si="32"/>
        <v>0</v>
      </c>
      <c r="F213" s="28">
        <f t="shared" si="32"/>
        <v>0</v>
      </c>
      <c r="G213" s="28">
        <f t="shared" si="32"/>
        <v>0</v>
      </c>
      <c r="H213" s="28">
        <f t="shared" si="32"/>
        <v>0</v>
      </c>
      <c r="I213" s="28">
        <f t="shared" si="32"/>
        <v>21932.529652776688</v>
      </c>
      <c r="J213" s="28">
        <f t="shared" si="32"/>
        <v>0</v>
      </c>
      <c r="K213" s="28">
        <f t="shared" si="32"/>
        <v>0</v>
      </c>
      <c r="L213" s="28">
        <f t="shared" si="32"/>
        <v>0</v>
      </c>
      <c r="M213" s="28">
        <f t="shared" si="32"/>
        <v>167.71400650075125</v>
      </c>
      <c r="N213" s="3">
        <f t="shared" si="1"/>
        <v>22100.243659277439</v>
      </c>
      <c r="O213" s="30"/>
    </row>
    <row r="214" spans="1:15" x14ac:dyDescent="0.2">
      <c r="A214" s="27" t="s">
        <v>129</v>
      </c>
      <c r="B214" s="2" t="s">
        <v>57</v>
      </c>
      <c r="C214" s="28">
        <f t="shared" ref="C214:M214" si="33">C304+C349+C394+C439+C484+C529+C574+C619+C709+C664</f>
        <v>11960617.724024577</v>
      </c>
      <c r="D214" s="28">
        <f t="shared" si="33"/>
        <v>38395.650184495804</v>
      </c>
      <c r="E214" s="28">
        <f t="shared" si="33"/>
        <v>1482.6512371940109</v>
      </c>
      <c r="F214" s="28">
        <f t="shared" si="33"/>
        <v>75868.871485568001</v>
      </c>
      <c r="G214" s="28">
        <f t="shared" si="33"/>
        <v>37293.297236758786</v>
      </c>
      <c r="H214" s="28">
        <f t="shared" si="33"/>
        <v>8335.6039929326507</v>
      </c>
      <c r="I214" s="28">
        <f t="shared" si="33"/>
        <v>6468.6292955689614</v>
      </c>
      <c r="J214" s="28">
        <f t="shared" si="33"/>
        <v>347.93045018256402</v>
      </c>
      <c r="K214" s="28">
        <f t="shared" si="33"/>
        <v>25752.601720233764</v>
      </c>
      <c r="L214" s="28">
        <f t="shared" si="33"/>
        <v>1175.6684958245528</v>
      </c>
      <c r="M214" s="28">
        <f t="shared" si="33"/>
        <v>6396728.6765720472</v>
      </c>
      <c r="N214" s="3">
        <f t="shared" si="1"/>
        <v>18552467.304695383</v>
      </c>
      <c r="O214" s="30"/>
    </row>
    <row r="215" spans="1:15" x14ac:dyDescent="0.2">
      <c r="A215" s="27" t="s">
        <v>128</v>
      </c>
      <c r="B215" s="2" t="s">
        <v>56</v>
      </c>
      <c r="C215" s="28">
        <f t="shared" ref="C215:M215" si="34">C305+C350+C395+C440+C485+C530+C575+C620+C710+C665</f>
        <v>0</v>
      </c>
      <c r="D215" s="28">
        <f t="shared" si="34"/>
        <v>93277.610395127907</v>
      </c>
      <c r="E215" s="28">
        <f t="shared" si="34"/>
        <v>0</v>
      </c>
      <c r="F215" s="28">
        <f t="shared" si="34"/>
        <v>7131313.1061088871</v>
      </c>
      <c r="G215" s="28">
        <f t="shared" si="34"/>
        <v>134154.31028806634</v>
      </c>
      <c r="H215" s="28">
        <f t="shared" si="34"/>
        <v>0</v>
      </c>
      <c r="I215" s="28">
        <f t="shared" si="34"/>
        <v>697679.87305099471</v>
      </c>
      <c r="J215" s="28">
        <f t="shared" si="34"/>
        <v>5888.2117652490124</v>
      </c>
      <c r="K215" s="28">
        <f t="shared" si="34"/>
        <v>77099.591068062058</v>
      </c>
      <c r="L215" s="28">
        <f t="shared" si="34"/>
        <v>0</v>
      </c>
      <c r="M215" s="28">
        <f t="shared" si="34"/>
        <v>16893041.393459387</v>
      </c>
      <c r="N215" s="3">
        <f t="shared" si="1"/>
        <v>25032454.096135773</v>
      </c>
      <c r="O215" s="30"/>
    </row>
    <row r="216" spans="1:15" x14ac:dyDescent="0.2">
      <c r="A216" s="27" t="s">
        <v>127</v>
      </c>
      <c r="B216" s="2" t="s">
        <v>55</v>
      </c>
      <c r="C216" s="28">
        <f t="shared" ref="C216:M216" si="35">C306+C351+C396+C441+C486+C531+C576+C621+C711+C666</f>
        <v>0</v>
      </c>
      <c r="D216" s="28">
        <f t="shared" si="35"/>
        <v>143112.71633371309</v>
      </c>
      <c r="E216" s="28">
        <f t="shared" si="35"/>
        <v>0</v>
      </c>
      <c r="F216" s="28">
        <f t="shared" si="35"/>
        <v>0</v>
      </c>
      <c r="G216" s="28">
        <f t="shared" si="35"/>
        <v>0</v>
      </c>
      <c r="H216" s="28">
        <f t="shared" si="35"/>
        <v>0</v>
      </c>
      <c r="I216" s="28">
        <f t="shared" si="35"/>
        <v>3173.1726583569975</v>
      </c>
      <c r="J216" s="28">
        <f t="shared" si="35"/>
        <v>485036.99015010387</v>
      </c>
      <c r="K216" s="28">
        <f t="shared" si="35"/>
        <v>0</v>
      </c>
      <c r="L216" s="28">
        <f t="shared" si="35"/>
        <v>0</v>
      </c>
      <c r="M216" s="28">
        <f t="shared" si="35"/>
        <v>95022.842110766389</v>
      </c>
      <c r="N216" s="3">
        <f t="shared" si="1"/>
        <v>726345.72125294036</v>
      </c>
      <c r="O216" s="30"/>
    </row>
    <row r="217" spans="1:15" x14ac:dyDescent="0.2">
      <c r="A217" s="27" t="s">
        <v>125</v>
      </c>
      <c r="B217" s="2" t="s">
        <v>53</v>
      </c>
      <c r="C217" s="28">
        <f t="shared" ref="C217:M217" si="36">C307+C352+C397+C442+C487+C532+C577+C622+C712+C667</f>
        <v>2742.4479283495002</v>
      </c>
      <c r="D217" s="28">
        <f t="shared" si="36"/>
        <v>0</v>
      </c>
      <c r="E217" s="28">
        <f t="shared" si="36"/>
        <v>1176.3927259449179</v>
      </c>
      <c r="F217" s="28">
        <f t="shared" si="36"/>
        <v>0</v>
      </c>
      <c r="G217" s="28">
        <f t="shared" si="36"/>
        <v>0</v>
      </c>
      <c r="H217" s="28">
        <f t="shared" si="36"/>
        <v>0</v>
      </c>
      <c r="I217" s="28">
        <f t="shared" si="36"/>
        <v>257520.38686199655</v>
      </c>
      <c r="J217" s="28">
        <f t="shared" si="36"/>
        <v>0</v>
      </c>
      <c r="K217" s="28">
        <f t="shared" si="36"/>
        <v>4982.2729409023868</v>
      </c>
      <c r="L217" s="28">
        <f t="shared" si="36"/>
        <v>0</v>
      </c>
      <c r="M217" s="28">
        <f t="shared" si="36"/>
        <v>35910.545058280804</v>
      </c>
      <c r="N217" s="3">
        <f t="shared" si="1"/>
        <v>302332.04551547416</v>
      </c>
      <c r="O217" s="30"/>
    </row>
    <row r="218" spans="1:15" x14ac:dyDescent="0.2">
      <c r="A218" s="27" t="s">
        <v>130</v>
      </c>
      <c r="B218" s="2" t="s">
        <v>58</v>
      </c>
      <c r="C218" s="28">
        <f t="shared" ref="C218:M218" si="37">C308+C353+C398+C443+C488+C533+C578+C623+C713+C668</f>
        <v>0</v>
      </c>
      <c r="D218" s="28">
        <f t="shared" si="37"/>
        <v>0</v>
      </c>
      <c r="E218" s="28">
        <f t="shared" si="37"/>
        <v>0</v>
      </c>
      <c r="F218" s="28">
        <f t="shared" si="37"/>
        <v>0</v>
      </c>
      <c r="G218" s="28">
        <f t="shared" si="37"/>
        <v>0</v>
      </c>
      <c r="H218" s="28">
        <f t="shared" si="37"/>
        <v>0</v>
      </c>
      <c r="I218" s="28">
        <f t="shared" si="37"/>
        <v>725.20469528890953</v>
      </c>
      <c r="J218" s="28">
        <f t="shared" si="37"/>
        <v>3471.3382664395872</v>
      </c>
      <c r="K218" s="28">
        <f t="shared" si="37"/>
        <v>87711.826321173474</v>
      </c>
      <c r="L218" s="28">
        <f t="shared" si="37"/>
        <v>85360601.166885331</v>
      </c>
      <c r="M218" s="28">
        <f t="shared" si="37"/>
        <v>279241.94052143273</v>
      </c>
      <c r="N218" s="3">
        <f t="shared" si="1"/>
        <v>85731751.476689667</v>
      </c>
      <c r="O218" s="30"/>
    </row>
    <row r="219" spans="1:15" x14ac:dyDescent="0.2">
      <c r="A219" s="27" t="s">
        <v>122</v>
      </c>
      <c r="B219" s="2" t="s">
        <v>50</v>
      </c>
      <c r="C219" s="28">
        <f t="shared" ref="C219:M219" si="38">C309+C354+C399+C444+C489+C534+C579+C624+C714+C669</f>
        <v>30.95053425297613</v>
      </c>
      <c r="D219" s="28">
        <f t="shared" si="38"/>
        <v>1302.1667851289103</v>
      </c>
      <c r="E219" s="28">
        <f t="shared" si="38"/>
        <v>0</v>
      </c>
      <c r="F219" s="28">
        <f t="shared" si="38"/>
        <v>0</v>
      </c>
      <c r="G219" s="28">
        <f t="shared" si="38"/>
        <v>0</v>
      </c>
      <c r="H219" s="28">
        <f t="shared" si="38"/>
        <v>0</v>
      </c>
      <c r="I219" s="28">
        <f t="shared" si="38"/>
        <v>4611.5302213141404</v>
      </c>
      <c r="J219" s="28">
        <f t="shared" si="38"/>
        <v>0</v>
      </c>
      <c r="K219" s="28">
        <f t="shared" si="38"/>
        <v>0</v>
      </c>
      <c r="L219" s="28">
        <f t="shared" si="38"/>
        <v>0</v>
      </c>
      <c r="M219" s="28">
        <f t="shared" si="38"/>
        <v>4869.3425820060711</v>
      </c>
      <c r="N219" s="3">
        <f t="shared" si="1"/>
        <v>10813.990122702098</v>
      </c>
      <c r="O219" s="30"/>
    </row>
    <row r="220" spans="1:15" x14ac:dyDescent="0.2">
      <c r="A220" s="4"/>
      <c r="B220" s="4" t="s">
        <v>59</v>
      </c>
      <c r="C220" s="3">
        <f>SUM(C182:C219)</f>
        <v>351870831.4368906</v>
      </c>
      <c r="D220" s="3">
        <f t="shared" ref="D220:N220" si="39">SUM(D182:D219)</f>
        <v>376198275.52611595</v>
      </c>
      <c r="E220" s="3">
        <f t="shared" si="39"/>
        <v>701486200.54065025</v>
      </c>
      <c r="F220" s="3">
        <f t="shared" si="39"/>
        <v>463366268.11817914</v>
      </c>
      <c r="G220" s="3">
        <f t="shared" si="39"/>
        <v>321752154.775994</v>
      </c>
      <c r="H220" s="3">
        <f t="shared" si="39"/>
        <v>144452340.61030686</v>
      </c>
      <c r="I220" s="3">
        <f t="shared" si="39"/>
        <v>11634881.982885253</v>
      </c>
      <c r="J220" s="3">
        <f t="shared" si="39"/>
        <v>8109222.5379738733</v>
      </c>
      <c r="K220" s="3">
        <f t="shared" si="39"/>
        <v>103883212.87143323</v>
      </c>
      <c r="L220" s="3">
        <f t="shared" si="39"/>
        <v>89451896.580783352</v>
      </c>
      <c r="M220" s="3">
        <f t="shared" si="39"/>
        <v>359115396.48324513</v>
      </c>
      <c r="N220" s="3">
        <f t="shared" si="39"/>
        <v>2931320681.4644575</v>
      </c>
      <c r="O220" s="30"/>
    </row>
    <row r="223" spans="1:15" x14ac:dyDescent="0.2">
      <c r="A223" s="99" t="s">
        <v>341</v>
      </c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57"/>
    </row>
    <row r="224" spans="1:15" x14ac:dyDescent="0.2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57"/>
    </row>
    <row r="225" spans="1:15" x14ac:dyDescent="0.2">
      <c r="A225" s="100" t="s">
        <v>0</v>
      </c>
      <c r="B225" s="100" t="s">
        <v>1</v>
      </c>
      <c r="C225" s="100" t="s">
        <v>139</v>
      </c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 t="s">
        <v>66</v>
      </c>
      <c r="O225" s="80"/>
    </row>
    <row r="226" spans="1:15" x14ac:dyDescent="0.2">
      <c r="A226" s="100"/>
      <c r="B226" s="100"/>
      <c r="C226" s="26" t="s">
        <v>71</v>
      </c>
      <c r="D226" s="26" t="s">
        <v>64</v>
      </c>
      <c r="E226" s="26" t="s">
        <v>72</v>
      </c>
      <c r="F226" s="26" t="s">
        <v>73</v>
      </c>
      <c r="G226" s="26" t="s">
        <v>74</v>
      </c>
      <c r="H226" s="26" t="s">
        <v>75</v>
      </c>
      <c r="I226" s="26" t="s">
        <v>63</v>
      </c>
      <c r="J226" s="26" t="s">
        <v>62</v>
      </c>
      <c r="K226" s="26" t="s">
        <v>76</v>
      </c>
      <c r="L226" s="26" t="s">
        <v>77</v>
      </c>
      <c r="M226" s="26" t="s">
        <v>78</v>
      </c>
      <c r="N226" s="100"/>
      <c r="O226" s="80"/>
    </row>
    <row r="227" spans="1:15" x14ac:dyDescent="0.2">
      <c r="A227" s="27" t="s">
        <v>110</v>
      </c>
      <c r="B227" s="2" t="s">
        <v>38</v>
      </c>
      <c r="C227" s="28">
        <f t="shared" ref="C227:M227" si="40">C767+C722</f>
        <v>0</v>
      </c>
      <c r="D227" s="28">
        <f t="shared" si="40"/>
        <v>0</v>
      </c>
      <c r="E227" s="28">
        <f t="shared" si="40"/>
        <v>0</v>
      </c>
      <c r="F227" s="28">
        <f t="shared" si="40"/>
        <v>0</v>
      </c>
      <c r="G227" s="28">
        <f t="shared" si="40"/>
        <v>27639.219911681004</v>
      </c>
      <c r="H227" s="28">
        <f t="shared" si="40"/>
        <v>0</v>
      </c>
      <c r="I227" s="28">
        <f t="shared" si="40"/>
        <v>0</v>
      </c>
      <c r="J227" s="28">
        <f t="shared" si="40"/>
        <v>0</v>
      </c>
      <c r="K227" s="28">
        <f t="shared" si="40"/>
        <v>0</v>
      </c>
      <c r="L227" s="28">
        <f t="shared" si="40"/>
        <v>0</v>
      </c>
      <c r="M227" s="28">
        <f t="shared" si="40"/>
        <v>162870.0785663249</v>
      </c>
      <c r="N227" s="3">
        <f t="shared" ref="N227:N264" si="41">SUM(C227:M227)</f>
        <v>190509.29847800589</v>
      </c>
      <c r="O227" s="30"/>
    </row>
    <row r="228" spans="1:15" x14ac:dyDescent="0.2">
      <c r="A228" s="27" t="s">
        <v>113</v>
      </c>
      <c r="B228" s="2" t="s">
        <v>41</v>
      </c>
      <c r="C228" s="28">
        <f t="shared" ref="C228:M228" si="42">C768+C723</f>
        <v>144782.76022494733</v>
      </c>
      <c r="D228" s="28">
        <f t="shared" si="42"/>
        <v>191825.87148955537</v>
      </c>
      <c r="E228" s="28">
        <f t="shared" si="42"/>
        <v>0</v>
      </c>
      <c r="F228" s="28">
        <f t="shared" si="42"/>
        <v>106682.03384996115</v>
      </c>
      <c r="G228" s="28">
        <f t="shared" si="42"/>
        <v>0</v>
      </c>
      <c r="H228" s="28">
        <f t="shared" si="42"/>
        <v>0</v>
      </c>
      <c r="I228" s="28">
        <f t="shared" si="42"/>
        <v>108081.54168478632</v>
      </c>
      <c r="J228" s="28">
        <f t="shared" si="42"/>
        <v>24778.623329432136</v>
      </c>
      <c r="K228" s="28">
        <f t="shared" si="42"/>
        <v>47625.907968732645</v>
      </c>
      <c r="L228" s="28">
        <f t="shared" si="42"/>
        <v>0</v>
      </c>
      <c r="M228" s="28">
        <f t="shared" si="42"/>
        <v>763534.05309889396</v>
      </c>
      <c r="N228" s="3">
        <f t="shared" si="41"/>
        <v>1387310.7916463087</v>
      </c>
      <c r="O228" s="30"/>
    </row>
    <row r="229" spans="1:15" x14ac:dyDescent="0.2">
      <c r="A229" s="27" t="s">
        <v>119</v>
      </c>
      <c r="B229" s="2" t="s">
        <v>47</v>
      </c>
      <c r="C229" s="28">
        <f t="shared" ref="C229:M229" si="43">C769+C724</f>
        <v>134111.2353076693</v>
      </c>
      <c r="D229" s="28">
        <f t="shared" si="43"/>
        <v>1637489.5049532785</v>
      </c>
      <c r="E229" s="28">
        <f t="shared" si="43"/>
        <v>252363.56904092</v>
      </c>
      <c r="F229" s="28">
        <f t="shared" si="43"/>
        <v>760866.6086029287</v>
      </c>
      <c r="G229" s="28">
        <f t="shared" si="43"/>
        <v>85581.408152880045</v>
      </c>
      <c r="H229" s="28">
        <f t="shared" si="43"/>
        <v>498055.5296357128</v>
      </c>
      <c r="I229" s="28">
        <f t="shared" si="43"/>
        <v>1575.6362588849859</v>
      </c>
      <c r="J229" s="28">
        <f t="shared" si="43"/>
        <v>0</v>
      </c>
      <c r="K229" s="28">
        <f t="shared" si="43"/>
        <v>20478.774962697913</v>
      </c>
      <c r="L229" s="28">
        <f t="shared" si="43"/>
        <v>0</v>
      </c>
      <c r="M229" s="28">
        <f t="shared" si="43"/>
        <v>1507531.4671026031</v>
      </c>
      <c r="N229" s="3">
        <f t="shared" si="41"/>
        <v>4898053.7340175752</v>
      </c>
      <c r="O229" s="30"/>
    </row>
    <row r="230" spans="1:15" x14ac:dyDescent="0.2">
      <c r="A230" s="27" t="s">
        <v>121</v>
      </c>
      <c r="B230" s="2" t="s">
        <v>49</v>
      </c>
      <c r="C230" s="28">
        <f t="shared" ref="C230:M230" si="44">C770+C725</f>
        <v>92688.159497694418</v>
      </c>
      <c r="D230" s="28">
        <f t="shared" si="44"/>
        <v>438811.31346943579</v>
      </c>
      <c r="E230" s="28">
        <f t="shared" si="44"/>
        <v>39776.491118356651</v>
      </c>
      <c r="F230" s="28">
        <f t="shared" si="44"/>
        <v>211990.89626883305</v>
      </c>
      <c r="G230" s="28">
        <f t="shared" si="44"/>
        <v>6095.7697568507183</v>
      </c>
      <c r="H230" s="28">
        <f t="shared" si="44"/>
        <v>1975.0038758824655</v>
      </c>
      <c r="I230" s="28">
        <f t="shared" si="44"/>
        <v>6745.6626768357364</v>
      </c>
      <c r="J230" s="28">
        <f t="shared" si="44"/>
        <v>12868.985187193937</v>
      </c>
      <c r="K230" s="28">
        <f t="shared" si="44"/>
        <v>19201.355699694843</v>
      </c>
      <c r="L230" s="28">
        <f t="shared" si="44"/>
        <v>0</v>
      </c>
      <c r="M230" s="28">
        <f t="shared" si="44"/>
        <v>609018.48344283551</v>
      </c>
      <c r="N230" s="3">
        <f t="shared" si="41"/>
        <v>1439172.1209936133</v>
      </c>
      <c r="O230" s="30"/>
    </row>
    <row r="231" spans="1:15" x14ac:dyDescent="0.2">
      <c r="A231" s="27" t="s">
        <v>95</v>
      </c>
      <c r="B231" s="2" t="s">
        <v>23</v>
      </c>
      <c r="C231" s="28">
        <f t="shared" ref="C231:M231" si="45">C771+C726</f>
        <v>5294.3166280001797</v>
      </c>
      <c r="D231" s="28">
        <f t="shared" si="45"/>
        <v>442474.92384924716</v>
      </c>
      <c r="E231" s="28">
        <f t="shared" si="45"/>
        <v>32522.316124504454</v>
      </c>
      <c r="F231" s="28">
        <f t="shared" si="45"/>
        <v>980988.19011364586</v>
      </c>
      <c r="G231" s="28">
        <f t="shared" si="45"/>
        <v>0</v>
      </c>
      <c r="H231" s="28">
        <f t="shared" si="45"/>
        <v>5405.7859282425525</v>
      </c>
      <c r="I231" s="28">
        <f t="shared" si="45"/>
        <v>0</v>
      </c>
      <c r="J231" s="28">
        <f t="shared" si="45"/>
        <v>163570.73665571422</v>
      </c>
      <c r="K231" s="28">
        <f t="shared" si="45"/>
        <v>39.799454611444816</v>
      </c>
      <c r="L231" s="28">
        <f t="shared" si="45"/>
        <v>0</v>
      </c>
      <c r="M231" s="28">
        <f t="shared" si="45"/>
        <v>11834982.849481145</v>
      </c>
      <c r="N231" s="3">
        <f t="shared" si="41"/>
        <v>13465278.91823511</v>
      </c>
      <c r="O231" s="30"/>
    </row>
    <row r="232" spans="1:15" x14ac:dyDescent="0.2">
      <c r="A232" s="27" t="s">
        <v>101</v>
      </c>
      <c r="B232" s="2" t="s">
        <v>29</v>
      </c>
      <c r="C232" s="28">
        <f t="shared" ref="C232:M232" si="46">C772+C727</f>
        <v>30908.307072585729</v>
      </c>
      <c r="D232" s="28">
        <f t="shared" si="46"/>
        <v>47299.876416700601</v>
      </c>
      <c r="E232" s="28">
        <f t="shared" si="46"/>
        <v>0</v>
      </c>
      <c r="F232" s="28">
        <f t="shared" si="46"/>
        <v>887.98500849381514</v>
      </c>
      <c r="G232" s="28">
        <f t="shared" si="46"/>
        <v>0</v>
      </c>
      <c r="H232" s="28">
        <f t="shared" si="46"/>
        <v>0</v>
      </c>
      <c r="I232" s="28">
        <f t="shared" si="46"/>
        <v>107239.91886901981</v>
      </c>
      <c r="J232" s="28">
        <f t="shared" si="46"/>
        <v>7721.7367682880022</v>
      </c>
      <c r="K232" s="28">
        <f t="shared" si="46"/>
        <v>23258.305261370653</v>
      </c>
      <c r="L232" s="28">
        <f t="shared" si="46"/>
        <v>0</v>
      </c>
      <c r="M232" s="28">
        <f t="shared" si="46"/>
        <v>2502100.3835151601</v>
      </c>
      <c r="N232" s="3">
        <f t="shared" si="41"/>
        <v>2719416.5129116187</v>
      </c>
      <c r="O232" s="30"/>
    </row>
    <row r="233" spans="1:15" x14ac:dyDescent="0.2">
      <c r="A233" s="27" t="s">
        <v>106</v>
      </c>
      <c r="B233" s="2" t="s">
        <v>34</v>
      </c>
      <c r="C233" s="28">
        <f t="shared" ref="C233:M233" si="47">C773+C728</f>
        <v>6792.8962695060563</v>
      </c>
      <c r="D233" s="28">
        <f t="shared" si="47"/>
        <v>3406.6107249595184</v>
      </c>
      <c r="E233" s="28">
        <f t="shared" si="47"/>
        <v>0</v>
      </c>
      <c r="F233" s="28">
        <f t="shared" si="47"/>
        <v>64.500677038981678</v>
      </c>
      <c r="G233" s="28">
        <f t="shared" si="47"/>
        <v>0</v>
      </c>
      <c r="H233" s="28">
        <f t="shared" si="47"/>
        <v>0</v>
      </c>
      <c r="I233" s="28">
        <f t="shared" si="47"/>
        <v>97671.94171021838</v>
      </c>
      <c r="J233" s="28">
        <f t="shared" si="47"/>
        <v>3245.3590323620642</v>
      </c>
      <c r="K233" s="28">
        <f t="shared" si="47"/>
        <v>0</v>
      </c>
      <c r="L233" s="28">
        <f t="shared" si="47"/>
        <v>3870040.6223389003</v>
      </c>
      <c r="M233" s="28">
        <f t="shared" si="47"/>
        <v>1657047.062985504</v>
      </c>
      <c r="N233" s="3">
        <f t="shared" si="41"/>
        <v>5638268.9937384892</v>
      </c>
      <c r="O233" s="30"/>
    </row>
    <row r="234" spans="1:15" x14ac:dyDescent="0.2">
      <c r="A234" s="27" t="s">
        <v>103</v>
      </c>
      <c r="B234" s="2" t="s">
        <v>31</v>
      </c>
      <c r="C234" s="28">
        <f t="shared" ref="C234:M234" si="48">C774+C729</f>
        <v>101033.69449375973</v>
      </c>
      <c r="D234" s="28">
        <f t="shared" si="48"/>
        <v>4155099.2050137036</v>
      </c>
      <c r="E234" s="28">
        <f t="shared" si="48"/>
        <v>379713.61405216879</v>
      </c>
      <c r="F234" s="28">
        <f t="shared" si="48"/>
        <v>65922.630997044485</v>
      </c>
      <c r="G234" s="28">
        <f t="shared" si="48"/>
        <v>108491.88371289609</v>
      </c>
      <c r="H234" s="28">
        <f t="shared" si="48"/>
        <v>27542.702650573719</v>
      </c>
      <c r="I234" s="28">
        <f t="shared" si="48"/>
        <v>522840.18280519272</v>
      </c>
      <c r="J234" s="28">
        <f t="shared" si="48"/>
        <v>29071.160306601792</v>
      </c>
      <c r="K234" s="28">
        <f t="shared" si="48"/>
        <v>348550.64400794014</v>
      </c>
      <c r="L234" s="28">
        <f t="shared" si="48"/>
        <v>0</v>
      </c>
      <c r="M234" s="28">
        <f t="shared" si="48"/>
        <v>5624124.7213147273</v>
      </c>
      <c r="N234" s="3">
        <f t="shared" si="41"/>
        <v>11362390.439354608</v>
      </c>
      <c r="O234" s="30"/>
    </row>
    <row r="235" spans="1:15" x14ac:dyDescent="0.2">
      <c r="A235" s="27" t="s">
        <v>99</v>
      </c>
      <c r="B235" s="2" t="s">
        <v>27</v>
      </c>
      <c r="C235" s="28">
        <f t="shared" ref="C235:M235" si="49">C775+C730</f>
        <v>172897.47117033074</v>
      </c>
      <c r="D235" s="28">
        <f t="shared" si="49"/>
        <v>706062.15172655438</v>
      </c>
      <c r="E235" s="28">
        <f t="shared" si="49"/>
        <v>337035.95230031357</v>
      </c>
      <c r="F235" s="28">
        <f t="shared" si="49"/>
        <v>6322148.9113265639</v>
      </c>
      <c r="G235" s="28">
        <f t="shared" si="49"/>
        <v>112101.50475676582</v>
      </c>
      <c r="H235" s="28">
        <f t="shared" si="49"/>
        <v>8177269.2486689771</v>
      </c>
      <c r="I235" s="28">
        <f t="shared" si="49"/>
        <v>9983.103248689762</v>
      </c>
      <c r="J235" s="28">
        <f t="shared" si="49"/>
        <v>0</v>
      </c>
      <c r="K235" s="28">
        <f t="shared" si="49"/>
        <v>32836.008401716434</v>
      </c>
      <c r="L235" s="28">
        <f t="shared" si="49"/>
        <v>0</v>
      </c>
      <c r="M235" s="28">
        <f t="shared" si="49"/>
        <v>4341171.8289649459</v>
      </c>
      <c r="N235" s="3">
        <f t="shared" si="41"/>
        <v>20211506.180564858</v>
      </c>
      <c r="O235" s="30"/>
    </row>
    <row r="236" spans="1:15" x14ac:dyDescent="0.2">
      <c r="A236" s="27" t="s">
        <v>94</v>
      </c>
      <c r="B236" s="2" t="s">
        <v>22</v>
      </c>
      <c r="C236" s="28">
        <f t="shared" ref="C236:M236" si="50">C776+C731</f>
        <v>2538895.5734887845</v>
      </c>
      <c r="D236" s="28">
        <f t="shared" si="50"/>
        <v>640995.45300870412</v>
      </c>
      <c r="E236" s="28">
        <f t="shared" si="50"/>
        <v>1295176.0976280975</v>
      </c>
      <c r="F236" s="28">
        <f t="shared" si="50"/>
        <v>20878232.269254934</v>
      </c>
      <c r="G236" s="28">
        <f t="shared" si="50"/>
        <v>367.54729833864701</v>
      </c>
      <c r="H236" s="28">
        <f t="shared" si="50"/>
        <v>1293022.4812566089</v>
      </c>
      <c r="I236" s="28">
        <f t="shared" si="50"/>
        <v>4602.6549830417962</v>
      </c>
      <c r="J236" s="28">
        <f t="shared" si="50"/>
        <v>4455.1187677411772</v>
      </c>
      <c r="K236" s="28">
        <f t="shared" si="50"/>
        <v>8777697.1978758089</v>
      </c>
      <c r="L236" s="28">
        <f t="shared" si="50"/>
        <v>0</v>
      </c>
      <c r="M236" s="28">
        <f t="shared" si="50"/>
        <v>1051922.0335941953</v>
      </c>
      <c r="N236" s="3">
        <f t="shared" si="41"/>
        <v>36485366.427156262</v>
      </c>
      <c r="O236" s="30"/>
    </row>
    <row r="237" spans="1:15" x14ac:dyDescent="0.2">
      <c r="A237" s="27" t="s">
        <v>97</v>
      </c>
      <c r="B237" s="2" t="s">
        <v>25</v>
      </c>
      <c r="C237" s="28">
        <f t="shared" ref="C237:M237" si="51">C777+C732</f>
        <v>0</v>
      </c>
      <c r="D237" s="28">
        <f t="shared" si="51"/>
        <v>91109.368200353798</v>
      </c>
      <c r="E237" s="28">
        <f t="shared" si="51"/>
        <v>49595.352324354972</v>
      </c>
      <c r="F237" s="28">
        <f t="shared" si="51"/>
        <v>104934.69558814193</v>
      </c>
      <c r="G237" s="28">
        <f t="shared" si="51"/>
        <v>0</v>
      </c>
      <c r="H237" s="28">
        <f t="shared" si="51"/>
        <v>0</v>
      </c>
      <c r="I237" s="28">
        <f t="shared" si="51"/>
        <v>1780.218452479633</v>
      </c>
      <c r="J237" s="28">
        <f t="shared" si="51"/>
        <v>0</v>
      </c>
      <c r="K237" s="28">
        <f t="shared" si="51"/>
        <v>290.86032662657988</v>
      </c>
      <c r="L237" s="28">
        <f t="shared" si="51"/>
        <v>0</v>
      </c>
      <c r="M237" s="28">
        <f t="shared" si="51"/>
        <v>39622.184240208713</v>
      </c>
      <c r="N237" s="3">
        <f t="shared" si="41"/>
        <v>287332.67913216562</v>
      </c>
      <c r="O237" s="30"/>
    </row>
    <row r="238" spans="1:15" x14ac:dyDescent="0.2">
      <c r="A238" s="27" t="s">
        <v>117</v>
      </c>
      <c r="B238" s="2" t="s">
        <v>45</v>
      </c>
      <c r="C238" s="28">
        <f t="shared" ref="C238:M238" si="52">C778+C733</f>
        <v>0</v>
      </c>
      <c r="D238" s="28">
        <f t="shared" si="52"/>
        <v>52962.413238719528</v>
      </c>
      <c r="E238" s="28">
        <f t="shared" si="52"/>
        <v>45490.348637600255</v>
      </c>
      <c r="F238" s="28">
        <f t="shared" si="52"/>
        <v>49839.369228208918</v>
      </c>
      <c r="G238" s="28">
        <f t="shared" si="52"/>
        <v>1216.8373590007789</v>
      </c>
      <c r="H238" s="28">
        <f t="shared" si="52"/>
        <v>0</v>
      </c>
      <c r="I238" s="28">
        <f t="shared" si="52"/>
        <v>1216.8373590007789</v>
      </c>
      <c r="J238" s="28">
        <f t="shared" si="52"/>
        <v>0</v>
      </c>
      <c r="K238" s="28">
        <f t="shared" si="52"/>
        <v>40397062.250152051</v>
      </c>
      <c r="L238" s="28">
        <f t="shared" si="52"/>
        <v>0</v>
      </c>
      <c r="M238" s="28">
        <f t="shared" si="52"/>
        <v>461367.93944964744</v>
      </c>
      <c r="N238" s="3">
        <f t="shared" si="41"/>
        <v>41009155.995424226</v>
      </c>
      <c r="O238" s="30"/>
    </row>
    <row r="239" spans="1:15" x14ac:dyDescent="0.2">
      <c r="A239" s="27" t="s">
        <v>114</v>
      </c>
      <c r="B239" s="2" t="s">
        <v>42</v>
      </c>
      <c r="C239" s="28">
        <f t="shared" ref="C239:M239" si="53">C779+C734</f>
        <v>0</v>
      </c>
      <c r="D239" s="28">
        <f t="shared" si="53"/>
        <v>373409.47309253667</v>
      </c>
      <c r="E239" s="28">
        <f t="shared" si="53"/>
        <v>0</v>
      </c>
      <c r="F239" s="28">
        <f t="shared" si="53"/>
        <v>3629.5843962448002</v>
      </c>
      <c r="G239" s="28">
        <f t="shared" si="53"/>
        <v>0</v>
      </c>
      <c r="H239" s="28">
        <f t="shared" si="53"/>
        <v>183.31234324468687</v>
      </c>
      <c r="I239" s="28">
        <f t="shared" si="53"/>
        <v>2731.3539143458347</v>
      </c>
      <c r="J239" s="28">
        <f t="shared" si="53"/>
        <v>0</v>
      </c>
      <c r="K239" s="28">
        <f t="shared" si="53"/>
        <v>1228.1926997394021</v>
      </c>
      <c r="L239" s="28">
        <f t="shared" si="53"/>
        <v>0</v>
      </c>
      <c r="M239" s="28">
        <f t="shared" si="53"/>
        <v>603108.69700135454</v>
      </c>
      <c r="N239" s="3">
        <f t="shared" si="41"/>
        <v>984290.61344746593</v>
      </c>
      <c r="O239" s="30"/>
    </row>
    <row r="240" spans="1:15" x14ac:dyDescent="0.2">
      <c r="A240" s="27" t="s">
        <v>112</v>
      </c>
      <c r="B240" s="2" t="s">
        <v>40</v>
      </c>
      <c r="C240" s="28">
        <f t="shared" ref="C240:M240" si="54">C780+C735</f>
        <v>0</v>
      </c>
      <c r="D240" s="28">
        <f t="shared" si="54"/>
        <v>70884.544509867672</v>
      </c>
      <c r="E240" s="28">
        <f t="shared" si="54"/>
        <v>0</v>
      </c>
      <c r="F240" s="28">
        <f t="shared" si="54"/>
        <v>29312.867183191025</v>
      </c>
      <c r="G240" s="28">
        <f t="shared" si="54"/>
        <v>1045.1550592964538</v>
      </c>
      <c r="H240" s="28">
        <f t="shared" si="54"/>
        <v>26741.259813396638</v>
      </c>
      <c r="I240" s="28">
        <f t="shared" si="54"/>
        <v>3613097.4065646725</v>
      </c>
      <c r="J240" s="28">
        <f t="shared" si="54"/>
        <v>56933.071791155642</v>
      </c>
      <c r="K240" s="28">
        <f t="shared" si="54"/>
        <v>273749.85445009143</v>
      </c>
      <c r="L240" s="28">
        <f t="shared" si="54"/>
        <v>0</v>
      </c>
      <c r="M240" s="28">
        <f t="shared" si="54"/>
        <v>2908004.9940030468</v>
      </c>
      <c r="N240" s="3">
        <f t="shared" si="41"/>
        <v>6979769.1533747185</v>
      </c>
      <c r="O240" s="30"/>
    </row>
    <row r="241" spans="1:15" x14ac:dyDescent="0.2">
      <c r="A241" s="27" t="s">
        <v>116</v>
      </c>
      <c r="B241" s="2" t="s">
        <v>44</v>
      </c>
      <c r="C241" s="28">
        <f t="shared" ref="C241:M241" si="55">C781+C736</f>
        <v>0</v>
      </c>
      <c r="D241" s="28">
        <f t="shared" si="55"/>
        <v>3412560.5524907652</v>
      </c>
      <c r="E241" s="28">
        <f t="shared" si="55"/>
        <v>7616408.0800583381</v>
      </c>
      <c r="F241" s="28">
        <f t="shared" si="55"/>
        <v>7273721.2701383103</v>
      </c>
      <c r="G241" s="28">
        <f t="shared" si="55"/>
        <v>0</v>
      </c>
      <c r="H241" s="28">
        <f t="shared" si="55"/>
        <v>0</v>
      </c>
      <c r="I241" s="28">
        <f t="shared" si="55"/>
        <v>632061.07755012298</v>
      </c>
      <c r="J241" s="28">
        <f t="shared" si="55"/>
        <v>15224.066396095228</v>
      </c>
      <c r="K241" s="28">
        <f t="shared" si="55"/>
        <v>960884.4431729418</v>
      </c>
      <c r="L241" s="28">
        <f t="shared" si="55"/>
        <v>39719568.13750422</v>
      </c>
      <c r="M241" s="28">
        <f t="shared" si="55"/>
        <v>3428211.8966735485</v>
      </c>
      <c r="N241" s="3">
        <f t="shared" si="41"/>
        <v>63058639.523984343</v>
      </c>
      <c r="O241" s="30"/>
    </row>
    <row r="242" spans="1:15" x14ac:dyDescent="0.2">
      <c r="A242" s="27" t="s">
        <v>107</v>
      </c>
      <c r="B242" s="2" t="s">
        <v>35</v>
      </c>
      <c r="C242" s="28">
        <f t="shared" ref="C242:M242" si="56">C782+C737</f>
        <v>0</v>
      </c>
      <c r="D242" s="28">
        <f t="shared" si="56"/>
        <v>74660.207950733631</v>
      </c>
      <c r="E242" s="28">
        <f t="shared" si="56"/>
        <v>0</v>
      </c>
      <c r="F242" s="28">
        <f t="shared" si="56"/>
        <v>120614.22932267144</v>
      </c>
      <c r="G242" s="28">
        <f t="shared" si="56"/>
        <v>0</v>
      </c>
      <c r="H242" s="28">
        <f t="shared" si="56"/>
        <v>0</v>
      </c>
      <c r="I242" s="28">
        <f t="shared" si="56"/>
        <v>738825.30597666837</v>
      </c>
      <c r="J242" s="28">
        <f t="shared" si="56"/>
        <v>119090.51887175532</v>
      </c>
      <c r="K242" s="28">
        <f t="shared" si="56"/>
        <v>242712.08763530213</v>
      </c>
      <c r="L242" s="28">
        <f t="shared" si="56"/>
        <v>0</v>
      </c>
      <c r="M242" s="28">
        <f t="shared" si="56"/>
        <v>4572663.8057416044</v>
      </c>
      <c r="N242" s="3">
        <f t="shared" si="41"/>
        <v>5868566.1554987356</v>
      </c>
      <c r="O242" s="30"/>
    </row>
    <row r="243" spans="1:15" x14ac:dyDescent="0.2">
      <c r="A243" s="27" t="s">
        <v>100</v>
      </c>
      <c r="B243" s="2" t="s">
        <v>28</v>
      </c>
      <c r="C243" s="28">
        <f t="shared" ref="C243:M243" si="57">C783+C738</f>
        <v>1508.498356249064</v>
      </c>
      <c r="D243" s="28">
        <f t="shared" si="57"/>
        <v>33410.517102997292</v>
      </c>
      <c r="E243" s="28">
        <f t="shared" si="57"/>
        <v>0</v>
      </c>
      <c r="F243" s="28">
        <f t="shared" si="57"/>
        <v>420.65232466399732</v>
      </c>
      <c r="G243" s="28">
        <f t="shared" si="57"/>
        <v>0</v>
      </c>
      <c r="H243" s="28">
        <f t="shared" si="57"/>
        <v>113082.93770426713</v>
      </c>
      <c r="I243" s="28">
        <f t="shared" si="57"/>
        <v>51009.818215046223</v>
      </c>
      <c r="J243" s="28">
        <f t="shared" si="57"/>
        <v>78918.100287999667</v>
      </c>
      <c r="K243" s="28">
        <f t="shared" si="57"/>
        <v>6663.5519064304317</v>
      </c>
      <c r="L243" s="28">
        <f t="shared" si="57"/>
        <v>0</v>
      </c>
      <c r="M243" s="28">
        <f t="shared" si="57"/>
        <v>725291.38106027059</v>
      </c>
      <c r="N243" s="3">
        <f t="shared" si="41"/>
        <v>1010305.4569579244</v>
      </c>
      <c r="O243" s="30"/>
    </row>
    <row r="244" spans="1:15" x14ac:dyDescent="0.2">
      <c r="A244" s="27" t="s">
        <v>108</v>
      </c>
      <c r="B244" s="2" t="s">
        <v>36</v>
      </c>
      <c r="C244" s="28">
        <f t="shared" ref="C244:M244" si="58">C784+C739</f>
        <v>0</v>
      </c>
      <c r="D244" s="28">
        <f t="shared" si="58"/>
        <v>1796.6234407399909</v>
      </c>
      <c r="E244" s="28">
        <f t="shared" si="58"/>
        <v>0</v>
      </c>
      <c r="F244" s="28">
        <f t="shared" si="58"/>
        <v>0</v>
      </c>
      <c r="G244" s="28">
        <f t="shared" si="58"/>
        <v>518.22713249675178</v>
      </c>
      <c r="H244" s="28">
        <f t="shared" si="58"/>
        <v>0</v>
      </c>
      <c r="I244" s="28">
        <f t="shared" si="58"/>
        <v>26399.914461770633</v>
      </c>
      <c r="J244" s="28">
        <f t="shared" si="58"/>
        <v>0</v>
      </c>
      <c r="K244" s="28">
        <f t="shared" si="58"/>
        <v>24903.13932795875</v>
      </c>
      <c r="L244" s="28">
        <f t="shared" si="58"/>
        <v>0</v>
      </c>
      <c r="M244" s="28">
        <f t="shared" si="58"/>
        <v>333139.33436346002</v>
      </c>
      <c r="N244" s="3">
        <f t="shared" si="41"/>
        <v>386757.23872642615</v>
      </c>
      <c r="O244" s="30"/>
    </row>
    <row r="245" spans="1:15" x14ac:dyDescent="0.2">
      <c r="A245" s="27" t="s">
        <v>104</v>
      </c>
      <c r="B245" s="2" t="s">
        <v>32</v>
      </c>
      <c r="C245" s="28">
        <f t="shared" ref="C245:M245" si="59">C785+C740</f>
        <v>914.45311856366322</v>
      </c>
      <c r="D245" s="28">
        <f t="shared" si="59"/>
        <v>293821.3424702218</v>
      </c>
      <c r="E245" s="28">
        <f t="shared" si="59"/>
        <v>0</v>
      </c>
      <c r="F245" s="28">
        <f t="shared" si="59"/>
        <v>0</v>
      </c>
      <c r="G245" s="28">
        <f t="shared" si="59"/>
        <v>0</v>
      </c>
      <c r="H245" s="28">
        <f t="shared" si="59"/>
        <v>0</v>
      </c>
      <c r="I245" s="28">
        <f t="shared" si="59"/>
        <v>3419.2659550211097</v>
      </c>
      <c r="J245" s="28">
        <f t="shared" si="59"/>
        <v>40467.787136407882</v>
      </c>
      <c r="K245" s="28">
        <f t="shared" si="59"/>
        <v>22369.617263681557</v>
      </c>
      <c r="L245" s="28">
        <f t="shared" si="59"/>
        <v>0</v>
      </c>
      <c r="M245" s="28">
        <f t="shared" si="59"/>
        <v>1425708.1427446008</v>
      </c>
      <c r="N245" s="3">
        <f t="shared" si="41"/>
        <v>1786700.6086884968</v>
      </c>
      <c r="O245" s="30"/>
    </row>
    <row r="246" spans="1:15" x14ac:dyDescent="0.2">
      <c r="A246" s="27" t="s">
        <v>105</v>
      </c>
      <c r="B246" s="2" t="s">
        <v>33</v>
      </c>
      <c r="C246" s="28">
        <f t="shared" ref="C246:M246" si="60">C786+C741</f>
        <v>16294.028185551426</v>
      </c>
      <c r="D246" s="28">
        <f t="shared" si="60"/>
        <v>9598.8867332846967</v>
      </c>
      <c r="E246" s="28">
        <f t="shared" si="60"/>
        <v>7070.3292496800314</v>
      </c>
      <c r="F246" s="28">
        <f t="shared" si="60"/>
        <v>0</v>
      </c>
      <c r="G246" s="28">
        <f t="shared" si="60"/>
        <v>0</v>
      </c>
      <c r="H246" s="28">
        <f t="shared" si="60"/>
        <v>0</v>
      </c>
      <c r="I246" s="28">
        <f t="shared" si="60"/>
        <v>27941.888079316104</v>
      </c>
      <c r="J246" s="28">
        <f t="shared" si="60"/>
        <v>21374.502386714194</v>
      </c>
      <c r="K246" s="28">
        <f t="shared" si="60"/>
        <v>0</v>
      </c>
      <c r="L246" s="28">
        <f t="shared" si="60"/>
        <v>0</v>
      </c>
      <c r="M246" s="28">
        <f t="shared" si="60"/>
        <v>2032564.6034337052</v>
      </c>
      <c r="N246" s="3">
        <f t="shared" si="41"/>
        <v>2114844.2380682514</v>
      </c>
      <c r="O246" s="30"/>
    </row>
    <row r="247" spans="1:15" x14ac:dyDescent="0.2">
      <c r="A247" s="27" t="s">
        <v>109</v>
      </c>
      <c r="B247" s="2" t="s">
        <v>37</v>
      </c>
      <c r="C247" s="28">
        <f t="shared" ref="C247:M247" si="61">C787+C742</f>
        <v>0</v>
      </c>
      <c r="D247" s="28">
        <f t="shared" si="61"/>
        <v>13899.201810020593</v>
      </c>
      <c r="E247" s="28">
        <f t="shared" si="61"/>
        <v>0</v>
      </c>
      <c r="F247" s="28">
        <f t="shared" si="61"/>
        <v>0</v>
      </c>
      <c r="G247" s="28">
        <f t="shared" si="61"/>
        <v>0</v>
      </c>
      <c r="H247" s="28">
        <f t="shared" si="61"/>
        <v>0</v>
      </c>
      <c r="I247" s="28">
        <f t="shared" si="61"/>
        <v>365726.69121003716</v>
      </c>
      <c r="J247" s="28">
        <f t="shared" si="61"/>
        <v>90206.660270334512</v>
      </c>
      <c r="K247" s="28">
        <f t="shared" si="61"/>
        <v>7.0071784488851909</v>
      </c>
      <c r="L247" s="28">
        <f t="shared" si="61"/>
        <v>0</v>
      </c>
      <c r="M247" s="28">
        <f t="shared" si="61"/>
        <v>1331692.13824023</v>
      </c>
      <c r="N247" s="3">
        <f t="shared" si="41"/>
        <v>1801531.6987090711</v>
      </c>
      <c r="O247" s="30"/>
    </row>
    <row r="248" spans="1:15" x14ac:dyDescent="0.2">
      <c r="A248" s="27" t="s">
        <v>96</v>
      </c>
      <c r="B248" s="2" t="s">
        <v>24</v>
      </c>
      <c r="C248" s="28">
        <f t="shared" ref="C248:M248" si="62">C788+C743</f>
        <v>0</v>
      </c>
      <c r="D248" s="28">
        <f t="shared" si="62"/>
        <v>157590.94004116757</v>
      </c>
      <c r="E248" s="28">
        <f t="shared" si="62"/>
        <v>0</v>
      </c>
      <c r="F248" s="28">
        <f t="shared" si="62"/>
        <v>10239.175058885125</v>
      </c>
      <c r="G248" s="28">
        <f t="shared" si="62"/>
        <v>2942.1295739894758</v>
      </c>
      <c r="H248" s="28">
        <f t="shared" si="62"/>
        <v>0</v>
      </c>
      <c r="I248" s="28">
        <f t="shared" si="62"/>
        <v>101667.38580805836</v>
      </c>
      <c r="J248" s="28">
        <f t="shared" si="62"/>
        <v>21247.696138921779</v>
      </c>
      <c r="K248" s="28">
        <f t="shared" si="62"/>
        <v>569.51433039408994</v>
      </c>
      <c r="L248" s="28">
        <f t="shared" si="62"/>
        <v>0</v>
      </c>
      <c r="M248" s="28">
        <f t="shared" si="62"/>
        <v>3169293.4340436095</v>
      </c>
      <c r="N248" s="3">
        <f t="shared" si="41"/>
        <v>3463550.2749950262</v>
      </c>
      <c r="O248" s="30"/>
    </row>
    <row r="249" spans="1:15" x14ac:dyDescent="0.2">
      <c r="A249" s="27" t="s">
        <v>120</v>
      </c>
      <c r="B249" s="2" t="s">
        <v>48</v>
      </c>
      <c r="C249" s="28">
        <f t="shared" ref="C249:M249" si="63">C789+C744</f>
        <v>0</v>
      </c>
      <c r="D249" s="28">
        <f t="shared" si="63"/>
        <v>60724.224152814139</v>
      </c>
      <c r="E249" s="28">
        <f t="shared" si="63"/>
        <v>0</v>
      </c>
      <c r="F249" s="28">
        <f t="shared" si="63"/>
        <v>27831.936070039814</v>
      </c>
      <c r="G249" s="28">
        <f t="shared" si="63"/>
        <v>1012.0704025469023</v>
      </c>
      <c r="H249" s="28">
        <f t="shared" si="63"/>
        <v>0</v>
      </c>
      <c r="I249" s="28">
        <f t="shared" si="63"/>
        <v>22771.584057305306</v>
      </c>
      <c r="J249" s="28">
        <f t="shared" si="63"/>
        <v>15181.056038203535</v>
      </c>
      <c r="K249" s="28">
        <f t="shared" si="63"/>
        <v>53322.792249402293</v>
      </c>
      <c r="L249" s="28">
        <f t="shared" si="63"/>
        <v>0</v>
      </c>
      <c r="M249" s="28">
        <f t="shared" si="63"/>
        <v>10635741.801937889</v>
      </c>
      <c r="N249" s="3">
        <f t="shared" si="41"/>
        <v>10816585.464908201</v>
      </c>
      <c r="O249" s="30"/>
    </row>
    <row r="250" spans="1:15" x14ac:dyDescent="0.2">
      <c r="A250" s="27" t="s">
        <v>102</v>
      </c>
      <c r="B250" s="2" t="s">
        <v>30</v>
      </c>
      <c r="C250" s="28">
        <f t="shared" ref="C250:M250" si="64">C790+C745</f>
        <v>2141.7808510173322</v>
      </c>
      <c r="D250" s="28">
        <f t="shared" si="64"/>
        <v>15460773.571145147</v>
      </c>
      <c r="E250" s="28">
        <f t="shared" si="64"/>
        <v>0</v>
      </c>
      <c r="F250" s="28">
        <f t="shared" si="64"/>
        <v>123899.70221330729</v>
      </c>
      <c r="G250" s="28">
        <f t="shared" si="64"/>
        <v>254271.79518233502</v>
      </c>
      <c r="H250" s="28">
        <f t="shared" si="64"/>
        <v>0</v>
      </c>
      <c r="I250" s="28">
        <f t="shared" si="64"/>
        <v>4471214.3128253641</v>
      </c>
      <c r="J250" s="28">
        <f t="shared" si="64"/>
        <v>61419.529054977538</v>
      </c>
      <c r="K250" s="28">
        <f t="shared" si="64"/>
        <v>996441.05611910974</v>
      </c>
      <c r="L250" s="28">
        <f t="shared" si="64"/>
        <v>0</v>
      </c>
      <c r="M250" s="28">
        <f t="shared" si="64"/>
        <v>12936627.537493326</v>
      </c>
      <c r="N250" s="3">
        <f t="shared" si="41"/>
        <v>34306789.284884587</v>
      </c>
      <c r="O250" s="30"/>
    </row>
    <row r="251" spans="1:15" x14ac:dyDescent="0.2">
      <c r="A251" s="27" t="s">
        <v>98</v>
      </c>
      <c r="B251" s="2" t="s">
        <v>26</v>
      </c>
      <c r="C251" s="28">
        <f t="shared" ref="C251:M251" si="65">C791+C746</f>
        <v>0</v>
      </c>
      <c r="D251" s="28">
        <f t="shared" si="65"/>
        <v>12374.02089698794</v>
      </c>
      <c r="E251" s="28">
        <f t="shared" si="65"/>
        <v>0</v>
      </c>
      <c r="F251" s="28">
        <f t="shared" si="65"/>
        <v>0</v>
      </c>
      <c r="G251" s="28">
        <f t="shared" si="65"/>
        <v>0</v>
      </c>
      <c r="H251" s="28">
        <f t="shared" si="65"/>
        <v>22896.002022184435</v>
      </c>
      <c r="I251" s="28">
        <f t="shared" si="65"/>
        <v>904398.45168344025</v>
      </c>
      <c r="J251" s="28">
        <f t="shared" si="65"/>
        <v>0</v>
      </c>
      <c r="K251" s="28">
        <f t="shared" si="65"/>
        <v>1333876.355252286</v>
      </c>
      <c r="L251" s="28">
        <f t="shared" si="65"/>
        <v>0</v>
      </c>
      <c r="M251" s="28">
        <f t="shared" si="65"/>
        <v>129626014.3889181</v>
      </c>
      <c r="N251" s="3">
        <f t="shared" si="41"/>
        <v>131899559.21877301</v>
      </c>
      <c r="O251" s="30"/>
    </row>
    <row r="252" spans="1:15" x14ac:dyDescent="0.2">
      <c r="A252" s="27" t="s">
        <v>93</v>
      </c>
      <c r="B252" s="2" t="s">
        <v>21</v>
      </c>
      <c r="C252" s="28">
        <f t="shared" ref="C252:M252" si="66">C792+C747</f>
        <v>0</v>
      </c>
      <c r="D252" s="28">
        <f t="shared" si="66"/>
        <v>1341984.7157785334</v>
      </c>
      <c r="E252" s="28">
        <f t="shared" si="66"/>
        <v>8564.8474972370841</v>
      </c>
      <c r="F252" s="28">
        <f t="shared" si="66"/>
        <v>2323904.8904696363</v>
      </c>
      <c r="G252" s="28">
        <f t="shared" si="66"/>
        <v>957.23817845231963</v>
      </c>
      <c r="H252" s="28">
        <f t="shared" si="66"/>
        <v>0</v>
      </c>
      <c r="I252" s="28">
        <f t="shared" si="66"/>
        <v>0</v>
      </c>
      <c r="J252" s="28">
        <f t="shared" si="66"/>
        <v>0</v>
      </c>
      <c r="K252" s="28">
        <f t="shared" si="66"/>
        <v>12523.129999942601</v>
      </c>
      <c r="L252" s="28">
        <f t="shared" si="66"/>
        <v>0</v>
      </c>
      <c r="M252" s="28">
        <f t="shared" si="66"/>
        <v>964291.40527768526</v>
      </c>
      <c r="N252" s="3">
        <f t="shared" si="41"/>
        <v>4652226.2272014879</v>
      </c>
      <c r="O252" s="30"/>
    </row>
    <row r="253" spans="1:15" x14ac:dyDescent="0.2">
      <c r="A253" s="27" t="s">
        <v>115</v>
      </c>
      <c r="B253" s="2" t="s">
        <v>43</v>
      </c>
      <c r="C253" s="28">
        <f t="shared" ref="C253:M253" si="67">C793+C748</f>
        <v>0</v>
      </c>
      <c r="D253" s="28">
        <f t="shared" si="67"/>
        <v>0</v>
      </c>
      <c r="E253" s="28">
        <f t="shared" si="67"/>
        <v>129308.12419424027</v>
      </c>
      <c r="F253" s="28">
        <f t="shared" si="67"/>
        <v>165950.3024173709</v>
      </c>
      <c r="G253" s="28">
        <f t="shared" si="67"/>
        <v>10239.486744901611</v>
      </c>
      <c r="H253" s="28">
        <f t="shared" si="67"/>
        <v>0</v>
      </c>
      <c r="I253" s="28">
        <f t="shared" si="67"/>
        <v>232355.0091645158</v>
      </c>
      <c r="J253" s="28">
        <f t="shared" si="67"/>
        <v>0</v>
      </c>
      <c r="K253" s="28">
        <f t="shared" si="67"/>
        <v>0</v>
      </c>
      <c r="L253" s="28">
        <f t="shared" si="67"/>
        <v>0</v>
      </c>
      <c r="M253" s="28">
        <f t="shared" si="67"/>
        <v>5642588.1039395668</v>
      </c>
      <c r="N253" s="3">
        <f t="shared" si="41"/>
        <v>6180441.0264605954</v>
      </c>
      <c r="O253" s="30"/>
    </row>
    <row r="254" spans="1:15" x14ac:dyDescent="0.2">
      <c r="A254" s="27" t="s">
        <v>111</v>
      </c>
      <c r="B254" s="2" t="s">
        <v>39</v>
      </c>
      <c r="C254" s="28">
        <f t="shared" ref="C254:M254" si="68">C794+C749</f>
        <v>0</v>
      </c>
      <c r="D254" s="28">
        <f t="shared" si="68"/>
        <v>654050.49557654851</v>
      </c>
      <c r="E254" s="28">
        <f t="shared" si="68"/>
        <v>69478.099377706967</v>
      </c>
      <c r="F254" s="28">
        <f t="shared" si="68"/>
        <v>766930.93336953747</v>
      </c>
      <c r="G254" s="28">
        <f t="shared" si="68"/>
        <v>233249.59248715226</v>
      </c>
      <c r="H254" s="28">
        <f t="shared" si="68"/>
        <v>131.22292044317311</v>
      </c>
      <c r="I254" s="28">
        <f t="shared" si="68"/>
        <v>62062.640766757948</v>
      </c>
      <c r="J254" s="28">
        <f t="shared" si="68"/>
        <v>0</v>
      </c>
      <c r="K254" s="28">
        <f t="shared" si="68"/>
        <v>107501.28743178629</v>
      </c>
      <c r="L254" s="28">
        <f t="shared" si="68"/>
        <v>0</v>
      </c>
      <c r="M254" s="28">
        <f t="shared" si="68"/>
        <v>2344734.1185240634</v>
      </c>
      <c r="N254" s="3">
        <f t="shared" si="41"/>
        <v>4238138.3904539961</v>
      </c>
      <c r="O254" s="30"/>
    </row>
    <row r="255" spans="1:15" x14ac:dyDescent="0.2">
      <c r="A255" s="27" t="s">
        <v>118</v>
      </c>
      <c r="B255" s="2" t="s">
        <v>46</v>
      </c>
      <c r="C255" s="28">
        <f t="shared" ref="C255:M255" si="69">C795+C750</f>
        <v>0</v>
      </c>
      <c r="D255" s="28">
        <f t="shared" si="69"/>
        <v>54.004348028744595</v>
      </c>
      <c r="E255" s="28">
        <f t="shared" si="69"/>
        <v>0</v>
      </c>
      <c r="F255" s="28">
        <f t="shared" si="69"/>
        <v>0</v>
      </c>
      <c r="G255" s="28">
        <f t="shared" si="69"/>
        <v>1773.1428662663695</v>
      </c>
      <c r="H255" s="28">
        <f t="shared" si="69"/>
        <v>0</v>
      </c>
      <c r="I255" s="28">
        <f t="shared" si="69"/>
        <v>0</v>
      </c>
      <c r="J255" s="28">
        <f t="shared" si="69"/>
        <v>0</v>
      </c>
      <c r="K255" s="28">
        <f t="shared" si="69"/>
        <v>0</v>
      </c>
      <c r="L255" s="28">
        <f t="shared" si="69"/>
        <v>0</v>
      </c>
      <c r="M255" s="28">
        <f t="shared" si="69"/>
        <v>1329.8571496997772</v>
      </c>
      <c r="N255" s="3">
        <f t="shared" si="41"/>
        <v>3157.0043639948913</v>
      </c>
      <c r="O255" s="30"/>
    </row>
    <row r="256" spans="1:15" x14ac:dyDescent="0.2">
      <c r="A256" s="27" t="s">
        <v>124</v>
      </c>
      <c r="B256" s="2" t="s">
        <v>52</v>
      </c>
      <c r="C256" s="28">
        <f t="shared" ref="C256:M256" si="70">C796+C751</f>
        <v>1450.9333823159377</v>
      </c>
      <c r="D256" s="28">
        <f t="shared" si="70"/>
        <v>15775.088493980413</v>
      </c>
      <c r="E256" s="28">
        <f t="shared" si="70"/>
        <v>42063.66717241217</v>
      </c>
      <c r="F256" s="28">
        <f t="shared" si="70"/>
        <v>0</v>
      </c>
      <c r="G256" s="28">
        <f t="shared" si="70"/>
        <v>35.191206276597491</v>
      </c>
      <c r="H256" s="28">
        <f t="shared" si="70"/>
        <v>14531.536398524349</v>
      </c>
      <c r="I256" s="28">
        <f t="shared" si="70"/>
        <v>8541.5881570766123</v>
      </c>
      <c r="J256" s="28">
        <f t="shared" si="70"/>
        <v>400.9350679705409</v>
      </c>
      <c r="K256" s="28">
        <f t="shared" si="70"/>
        <v>3341.8573959459322</v>
      </c>
      <c r="L256" s="28">
        <f t="shared" si="70"/>
        <v>0</v>
      </c>
      <c r="M256" s="28">
        <f t="shared" si="70"/>
        <v>1674538.3779780767</v>
      </c>
      <c r="N256" s="3">
        <f t="shared" si="41"/>
        <v>1760679.1752525792</v>
      </c>
      <c r="O256" s="30"/>
    </row>
    <row r="257" spans="1:15" x14ac:dyDescent="0.2">
      <c r="A257" s="27" t="s">
        <v>123</v>
      </c>
      <c r="B257" s="2" t="s">
        <v>51</v>
      </c>
      <c r="C257" s="28">
        <f t="shared" ref="C257:M257" si="71">C797+C752</f>
        <v>589.64383493153014</v>
      </c>
      <c r="D257" s="28">
        <f t="shared" si="71"/>
        <v>225.06631915556756</v>
      </c>
      <c r="E257" s="28">
        <f t="shared" si="71"/>
        <v>150.04421277037835</v>
      </c>
      <c r="F257" s="28">
        <f t="shared" si="71"/>
        <v>4368.598061963361</v>
      </c>
      <c r="G257" s="28">
        <f t="shared" si="71"/>
        <v>639.44287861402495</v>
      </c>
      <c r="H257" s="28">
        <f t="shared" si="71"/>
        <v>3476.1403336439139</v>
      </c>
      <c r="I257" s="28">
        <f t="shared" si="71"/>
        <v>48728.841362883184</v>
      </c>
      <c r="J257" s="28">
        <f t="shared" si="71"/>
        <v>52715.695882471315</v>
      </c>
      <c r="K257" s="28">
        <f t="shared" si="71"/>
        <v>10477.173460134149</v>
      </c>
      <c r="L257" s="28">
        <f t="shared" si="71"/>
        <v>0</v>
      </c>
      <c r="M257" s="28">
        <f t="shared" si="71"/>
        <v>544727.03883411607</v>
      </c>
      <c r="N257" s="3">
        <f t="shared" si="41"/>
        <v>666097.6851806835</v>
      </c>
      <c r="O257" s="30"/>
    </row>
    <row r="258" spans="1:15" x14ac:dyDescent="0.2">
      <c r="A258" s="27" t="s">
        <v>126</v>
      </c>
      <c r="B258" s="2" t="s">
        <v>54</v>
      </c>
      <c r="C258" s="28">
        <f t="shared" ref="C258:M258" si="72">C798+C753</f>
        <v>0</v>
      </c>
      <c r="D258" s="28">
        <f t="shared" si="72"/>
        <v>0</v>
      </c>
      <c r="E258" s="28">
        <f t="shared" si="72"/>
        <v>0</v>
      </c>
      <c r="F258" s="28">
        <f t="shared" si="72"/>
        <v>0</v>
      </c>
      <c r="G258" s="28">
        <f t="shared" si="72"/>
        <v>0</v>
      </c>
      <c r="H258" s="28">
        <f t="shared" si="72"/>
        <v>0</v>
      </c>
      <c r="I258" s="28">
        <f t="shared" si="72"/>
        <v>0</v>
      </c>
      <c r="J258" s="28">
        <f t="shared" si="72"/>
        <v>0</v>
      </c>
      <c r="K258" s="28">
        <f t="shared" si="72"/>
        <v>0</v>
      </c>
      <c r="L258" s="28">
        <f t="shared" si="72"/>
        <v>0</v>
      </c>
      <c r="M258" s="28">
        <f t="shared" si="72"/>
        <v>0</v>
      </c>
      <c r="N258" s="3">
        <f t="shared" si="41"/>
        <v>0</v>
      </c>
      <c r="O258" s="30"/>
    </row>
    <row r="259" spans="1:15" x14ac:dyDescent="0.2">
      <c r="A259" s="27" t="s">
        <v>129</v>
      </c>
      <c r="B259" s="2" t="s">
        <v>57</v>
      </c>
      <c r="C259" s="28">
        <f t="shared" ref="C259:M259" si="73">C799+C754</f>
        <v>2277.0218155520165</v>
      </c>
      <c r="D259" s="28">
        <f t="shared" si="73"/>
        <v>9124786.0237258989</v>
      </c>
      <c r="E259" s="28">
        <f t="shared" si="73"/>
        <v>3149773.3127018702</v>
      </c>
      <c r="F259" s="28">
        <f t="shared" si="73"/>
        <v>169885.0847905142</v>
      </c>
      <c r="G259" s="28">
        <f t="shared" si="73"/>
        <v>157526.13645563374</v>
      </c>
      <c r="H259" s="28">
        <f t="shared" si="73"/>
        <v>608313.51934089058</v>
      </c>
      <c r="I259" s="28">
        <f t="shared" si="73"/>
        <v>3507.2352227563438</v>
      </c>
      <c r="J259" s="28">
        <f t="shared" si="73"/>
        <v>1165.1903087454084</v>
      </c>
      <c r="K259" s="28">
        <f t="shared" si="73"/>
        <v>1907576.6243441342</v>
      </c>
      <c r="L259" s="28">
        <f t="shared" si="73"/>
        <v>0</v>
      </c>
      <c r="M259" s="28">
        <f t="shared" si="73"/>
        <v>33055957.748317108</v>
      </c>
      <c r="N259" s="3">
        <f t="shared" si="41"/>
        <v>48180767.897023104</v>
      </c>
      <c r="O259" s="30"/>
    </row>
    <row r="260" spans="1:15" x14ac:dyDescent="0.2">
      <c r="A260" s="27" t="s">
        <v>128</v>
      </c>
      <c r="B260" s="2" t="s">
        <v>56</v>
      </c>
      <c r="C260" s="28">
        <f t="shared" ref="C260:M260" si="74">C800+C755</f>
        <v>128.25456699156123</v>
      </c>
      <c r="D260" s="28">
        <f t="shared" si="74"/>
        <v>227146.23101453501</v>
      </c>
      <c r="E260" s="28">
        <f t="shared" si="74"/>
        <v>0</v>
      </c>
      <c r="F260" s="28">
        <f t="shared" si="74"/>
        <v>456854.05101427238</v>
      </c>
      <c r="G260" s="28">
        <f t="shared" si="74"/>
        <v>13505.499264186801</v>
      </c>
      <c r="H260" s="28">
        <f t="shared" si="74"/>
        <v>0</v>
      </c>
      <c r="I260" s="28">
        <f t="shared" si="74"/>
        <v>24714794.940990832</v>
      </c>
      <c r="J260" s="28">
        <f t="shared" si="74"/>
        <v>3384.3907264836726</v>
      </c>
      <c r="K260" s="28">
        <f t="shared" si="74"/>
        <v>271724.28728845832</v>
      </c>
      <c r="L260" s="28">
        <f t="shared" si="74"/>
        <v>0</v>
      </c>
      <c r="M260" s="28">
        <f t="shared" si="74"/>
        <v>856473.34426966519</v>
      </c>
      <c r="N260" s="3">
        <f t="shared" si="41"/>
        <v>26544010.999135427</v>
      </c>
      <c r="O260" s="30"/>
    </row>
    <row r="261" spans="1:15" x14ac:dyDescent="0.2">
      <c r="A261" s="27" t="s">
        <v>127</v>
      </c>
      <c r="B261" s="2" t="s">
        <v>55</v>
      </c>
      <c r="C261" s="28">
        <f t="shared" ref="C261:M261" si="75">C801+C756</f>
        <v>1081.6281994950755</v>
      </c>
      <c r="D261" s="28">
        <f t="shared" si="75"/>
        <v>5043.2487707806313</v>
      </c>
      <c r="E261" s="28">
        <f t="shared" si="75"/>
        <v>0</v>
      </c>
      <c r="F261" s="28">
        <f t="shared" si="75"/>
        <v>0</v>
      </c>
      <c r="G261" s="28">
        <f t="shared" si="75"/>
        <v>0</v>
      </c>
      <c r="H261" s="28">
        <f t="shared" si="75"/>
        <v>0</v>
      </c>
      <c r="I261" s="28">
        <f t="shared" si="75"/>
        <v>2787.7360525543995</v>
      </c>
      <c r="J261" s="28">
        <f t="shared" si="75"/>
        <v>189.55513622398882</v>
      </c>
      <c r="K261" s="28">
        <f t="shared" si="75"/>
        <v>44264.217264555882</v>
      </c>
      <c r="L261" s="28">
        <f t="shared" si="75"/>
        <v>0</v>
      </c>
      <c r="M261" s="28">
        <f t="shared" si="75"/>
        <v>687490.952812184</v>
      </c>
      <c r="N261" s="3">
        <f t="shared" si="41"/>
        <v>740857.33823579398</v>
      </c>
      <c r="O261" s="30"/>
    </row>
    <row r="262" spans="1:15" x14ac:dyDescent="0.2">
      <c r="A262" s="27" t="s">
        <v>125</v>
      </c>
      <c r="B262" s="2" t="s">
        <v>53</v>
      </c>
      <c r="C262" s="28">
        <f t="shared" ref="C262:M262" si="76">C802+C757</f>
        <v>194066.24989600264</v>
      </c>
      <c r="D262" s="28">
        <f t="shared" si="76"/>
        <v>1312.0440352125622</v>
      </c>
      <c r="E262" s="28">
        <f t="shared" si="76"/>
        <v>186454.9781848398</v>
      </c>
      <c r="F262" s="28">
        <f t="shared" si="76"/>
        <v>10359.2800531214</v>
      </c>
      <c r="G262" s="28">
        <f t="shared" si="76"/>
        <v>4143.7120212485606</v>
      </c>
      <c r="H262" s="28">
        <f t="shared" si="76"/>
        <v>207.18560106242802</v>
      </c>
      <c r="I262" s="28">
        <f t="shared" si="76"/>
        <v>391281.15833822137</v>
      </c>
      <c r="J262" s="28">
        <f t="shared" si="76"/>
        <v>297029.35804437939</v>
      </c>
      <c r="K262" s="28">
        <f t="shared" si="76"/>
        <v>156120.57013323967</v>
      </c>
      <c r="L262" s="28">
        <f t="shared" si="76"/>
        <v>0</v>
      </c>
      <c r="M262" s="28">
        <f t="shared" si="76"/>
        <v>2186097.6467106286</v>
      </c>
      <c r="N262" s="3">
        <f t="shared" si="41"/>
        <v>3427072.1830179566</v>
      </c>
      <c r="O262" s="30"/>
    </row>
    <row r="263" spans="1:15" x14ac:dyDescent="0.2">
      <c r="A263" s="27" t="s">
        <v>130</v>
      </c>
      <c r="B263" s="2" t="s">
        <v>58</v>
      </c>
      <c r="C263" s="28">
        <f t="shared" ref="C263:M263" si="77">C803+C758</f>
        <v>0</v>
      </c>
      <c r="D263" s="28">
        <f t="shared" si="77"/>
        <v>270276.40550431289</v>
      </c>
      <c r="E263" s="28">
        <f t="shared" si="77"/>
        <v>0</v>
      </c>
      <c r="F263" s="28">
        <f t="shared" si="77"/>
        <v>22865.422145122582</v>
      </c>
      <c r="G263" s="28">
        <f t="shared" si="77"/>
        <v>0</v>
      </c>
      <c r="H263" s="28">
        <f t="shared" si="77"/>
        <v>22163.132809261704</v>
      </c>
      <c r="I263" s="28">
        <f t="shared" si="77"/>
        <v>826534.59492992074</v>
      </c>
      <c r="J263" s="28">
        <f t="shared" si="77"/>
        <v>119294.9125664398</v>
      </c>
      <c r="K263" s="28">
        <f t="shared" si="77"/>
        <v>275778.06435565575</v>
      </c>
      <c r="L263" s="28">
        <f t="shared" si="77"/>
        <v>51806916.158721365</v>
      </c>
      <c r="M263" s="28">
        <f t="shared" si="77"/>
        <v>2583038.6489139511</v>
      </c>
      <c r="N263" s="3">
        <f t="shared" si="41"/>
        <v>55926867.339946032</v>
      </c>
      <c r="O263" s="30"/>
    </row>
    <row r="264" spans="1:15" x14ac:dyDescent="0.2">
      <c r="A264" s="27" t="s">
        <v>122</v>
      </c>
      <c r="B264" s="2" t="s">
        <v>50</v>
      </c>
      <c r="C264" s="28">
        <f t="shared" ref="C264:M264" si="78">C804+C759</f>
        <v>1454.6861587585765</v>
      </c>
      <c r="D264" s="28">
        <f t="shared" si="78"/>
        <v>152984.30352466737</v>
      </c>
      <c r="E264" s="28">
        <f t="shared" si="78"/>
        <v>0</v>
      </c>
      <c r="F264" s="28">
        <f t="shared" si="78"/>
        <v>53130.105166530964</v>
      </c>
      <c r="G264" s="28">
        <f t="shared" si="78"/>
        <v>242.44769312642944</v>
      </c>
      <c r="H264" s="28">
        <f t="shared" si="78"/>
        <v>0</v>
      </c>
      <c r="I264" s="28">
        <f t="shared" si="78"/>
        <v>281243.38949223608</v>
      </c>
      <c r="J264" s="28">
        <f t="shared" si="78"/>
        <v>29243.765777981225</v>
      </c>
      <c r="K264" s="28">
        <f t="shared" si="78"/>
        <v>190.10801607094507</v>
      </c>
      <c r="L264" s="28">
        <f t="shared" si="78"/>
        <v>0</v>
      </c>
      <c r="M264" s="28">
        <f t="shared" si="78"/>
        <v>90957.961600997194</v>
      </c>
      <c r="N264" s="3">
        <f t="shared" si="41"/>
        <v>609446.76743036881</v>
      </c>
      <c r="O264" s="30"/>
    </row>
    <row r="265" spans="1:15" x14ac:dyDescent="0.2">
      <c r="A265" s="4"/>
      <c r="B265" s="4" t="s">
        <v>59</v>
      </c>
      <c r="C265" s="3">
        <f>SUM(C227:C264)</f>
        <v>3449311.5925187063</v>
      </c>
      <c r="D265" s="3">
        <f t="shared" ref="D265:N265" si="79">SUM(D227:D264)</f>
        <v>40176678.425020151</v>
      </c>
      <c r="E265" s="3">
        <f t="shared" si="79"/>
        <v>13640945.223875411</v>
      </c>
      <c r="F265" s="3">
        <f t="shared" si="79"/>
        <v>41046476.175111175</v>
      </c>
      <c r="G265" s="3">
        <f t="shared" si="79"/>
        <v>1023595.4380949367</v>
      </c>
      <c r="H265" s="3">
        <f t="shared" si="79"/>
        <v>10814997.001302917</v>
      </c>
      <c r="I265" s="3">
        <f t="shared" si="79"/>
        <v>38394839.288827069</v>
      </c>
      <c r="J265" s="3">
        <f t="shared" si="79"/>
        <v>1269198.5119305938</v>
      </c>
      <c r="K265" s="3">
        <f t="shared" si="79"/>
        <v>56373266.035386957</v>
      </c>
      <c r="L265" s="3">
        <f t="shared" si="79"/>
        <v>95396524.918564484</v>
      </c>
      <c r="M265" s="3">
        <f t="shared" si="79"/>
        <v>254915580.4457387</v>
      </c>
      <c r="N265" s="3">
        <f t="shared" si="79"/>
        <v>556501413.05637109</v>
      </c>
      <c r="O265" s="30"/>
    </row>
    <row r="266" spans="1:15" x14ac:dyDescent="0.2">
      <c r="A266" s="29"/>
      <c r="B266" s="29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</row>
    <row r="268" spans="1:15" x14ac:dyDescent="0.2">
      <c r="A268" s="99" t="s">
        <v>342</v>
      </c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57"/>
    </row>
    <row r="269" spans="1:15" x14ac:dyDescent="0.2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57"/>
    </row>
    <row r="270" spans="1:15" x14ac:dyDescent="0.2">
      <c r="A270" s="100" t="s">
        <v>0</v>
      </c>
      <c r="B270" s="100" t="s">
        <v>1</v>
      </c>
      <c r="C270" s="100" t="s">
        <v>139</v>
      </c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 t="s">
        <v>66</v>
      </c>
      <c r="O270" s="80"/>
    </row>
    <row r="271" spans="1:15" x14ac:dyDescent="0.2">
      <c r="A271" s="100"/>
      <c r="B271" s="100"/>
      <c r="C271" s="26" t="s">
        <v>71</v>
      </c>
      <c r="D271" s="26" t="s">
        <v>64</v>
      </c>
      <c r="E271" s="26" t="s">
        <v>72</v>
      </c>
      <c r="F271" s="26" t="s">
        <v>73</v>
      </c>
      <c r="G271" s="26" t="s">
        <v>74</v>
      </c>
      <c r="H271" s="26" t="s">
        <v>75</v>
      </c>
      <c r="I271" s="26" t="s">
        <v>63</v>
      </c>
      <c r="J271" s="26" t="s">
        <v>62</v>
      </c>
      <c r="K271" s="26" t="s">
        <v>76</v>
      </c>
      <c r="L271" s="26" t="s">
        <v>77</v>
      </c>
      <c r="M271" s="26" t="s">
        <v>78</v>
      </c>
      <c r="N271" s="100"/>
      <c r="O271" s="80"/>
    </row>
    <row r="272" spans="1:15" x14ac:dyDescent="0.2">
      <c r="A272" s="27" t="s">
        <v>110</v>
      </c>
      <c r="B272" s="2" t="s">
        <v>38</v>
      </c>
      <c r="C272" s="28">
        <v>0</v>
      </c>
      <c r="D272" s="28">
        <v>0</v>
      </c>
      <c r="E272" s="28">
        <v>0</v>
      </c>
      <c r="F272" s="28">
        <v>0</v>
      </c>
      <c r="G272" s="28">
        <v>0</v>
      </c>
      <c r="H272" s="28">
        <v>0</v>
      </c>
      <c r="I272" s="28">
        <v>0</v>
      </c>
      <c r="J272" s="28">
        <v>0</v>
      </c>
      <c r="K272" s="28">
        <v>50467.656131135707</v>
      </c>
      <c r="L272" s="28">
        <v>0</v>
      </c>
      <c r="M272" s="28">
        <v>0</v>
      </c>
      <c r="N272" s="28">
        <v>50467.656131135707</v>
      </c>
      <c r="O272" s="81"/>
    </row>
    <row r="273" spans="1:15" x14ac:dyDescent="0.2">
      <c r="A273" s="27" t="s">
        <v>113</v>
      </c>
      <c r="B273" s="2" t="s">
        <v>41</v>
      </c>
      <c r="C273" s="28">
        <v>0</v>
      </c>
      <c r="D273" s="28">
        <v>0</v>
      </c>
      <c r="E273" s="28">
        <v>0</v>
      </c>
      <c r="F273" s="28">
        <v>0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  <c r="M273" s="28">
        <v>0</v>
      </c>
      <c r="N273" s="28">
        <v>0</v>
      </c>
      <c r="O273" s="81"/>
    </row>
    <row r="274" spans="1:15" x14ac:dyDescent="0.2">
      <c r="A274" s="27" t="s">
        <v>119</v>
      </c>
      <c r="B274" s="2" t="s">
        <v>47</v>
      </c>
      <c r="C274" s="28">
        <v>0</v>
      </c>
      <c r="D274" s="28">
        <v>0</v>
      </c>
      <c r="E274" s="28">
        <v>0</v>
      </c>
      <c r="F274" s="28">
        <v>0</v>
      </c>
      <c r="G274" s="28">
        <v>0</v>
      </c>
      <c r="H274" s="28">
        <v>0</v>
      </c>
      <c r="I274" s="28">
        <v>0</v>
      </c>
      <c r="J274" s="28">
        <v>0</v>
      </c>
      <c r="K274" s="28">
        <v>0</v>
      </c>
      <c r="L274" s="28">
        <v>0</v>
      </c>
      <c r="M274" s="28">
        <v>0</v>
      </c>
      <c r="N274" s="28">
        <v>0</v>
      </c>
      <c r="O274" s="81"/>
    </row>
    <row r="275" spans="1:15" x14ac:dyDescent="0.2">
      <c r="A275" s="27" t="s">
        <v>121</v>
      </c>
      <c r="B275" s="2" t="s">
        <v>49</v>
      </c>
      <c r="C275" s="28">
        <v>0</v>
      </c>
      <c r="D275" s="28">
        <v>0</v>
      </c>
      <c r="E275" s="28">
        <v>0</v>
      </c>
      <c r="F275" s="28">
        <v>0</v>
      </c>
      <c r="G275" s="28">
        <v>0</v>
      </c>
      <c r="H275" s="28">
        <v>0</v>
      </c>
      <c r="I275" s="28">
        <v>0</v>
      </c>
      <c r="J275" s="28">
        <v>0</v>
      </c>
      <c r="K275" s="28">
        <v>0</v>
      </c>
      <c r="L275" s="28">
        <v>0</v>
      </c>
      <c r="M275" s="28">
        <v>0</v>
      </c>
      <c r="N275" s="28">
        <v>0</v>
      </c>
      <c r="O275" s="81"/>
    </row>
    <row r="276" spans="1:15" x14ac:dyDescent="0.2">
      <c r="A276" s="27" t="s">
        <v>95</v>
      </c>
      <c r="B276" s="2" t="s">
        <v>23</v>
      </c>
      <c r="C276" s="28">
        <v>0</v>
      </c>
      <c r="D276" s="28">
        <v>0</v>
      </c>
      <c r="E276" s="28">
        <v>0</v>
      </c>
      <c r="F276" s="28">
        <v>0</v>
      </c>
      <c r="G276" s="28">
        <v>0</v>
      </c>
      <c r="H276" s="28">
        <v>0</v>
      </c>
      <c r="I276" s="28">
        <v>0</v>
      </c>
      <c r="J276" s="28">
        <v>0</v>
      </c>
      <c r="K276" s="28">
        <v>0</v>
      </c>
      <c r="L276" s="28">
        <v>0</v>
      </c>
      <c r="M276" s="28">
        <v>0</v>
      </c>
      <c r="N276" s="28">
        <v>0</v>
      </c>
      <c r="O276" s="81"/>
    </row>
    <row r="277" spans="1:15" x14ac:dyDescent="0.2">
      <c r="A277" s="27" t="s">
        <v>101</v>
      </c>
      <c r="B277" s="2" t="s">
        <v>29</v>
      </c>
      <c r="C277" s="28">
        <v>0</v>
      </c>
      <c r="D277" s="28">
        <v>0</v>
      </c>
      <c r="E277" s="28">
        <v>0</v>
      </c>
      <c r="F277" s="28">
        <v>0</v>
      </c>
      <c r="G277" s="28">
        <v>0</v>
      </c>
      <c r="H277" s="28">
        <v>0</v>
      </c>
      <c r="I277" s="28">
        <v>0</v>
      </c>
      <c r="J277" s="28">
        <v>0</v>
      </c>
      <c r="K277" s="28">
        <v>0</v>
      </c>
      <c r="L277" s="28">
        <v>0</v>
      </c>
      <c r="M277" s="28">
        <v>0</v>
      </c>
      <c r="N277" s="28">
        <v>0</v>
      </c>
      <c r="O277" s="81"/>
    </row>
    <row r="278" spans="1:15" x14ac:dyDescent="0.2">
      <c r="A278" s="27" t="s">
        <v>106</v>
      </c>
      <c r="B278" s="2" t="s">
        <v>34</v>
      </c>
      <c r="C278" s="28">
        <v>0</v>
      </c>
      <c r="D278" s="28">
        <v>0</v>
      </c>
      <c r="E278" s="28">
        <v>0</v>
      </c>
      <c r="F278" s="28">
        <v>0</v>
      </c>
      <c r="G278" s="28">
        <v>0</v>
      </c>
      <c r="H278" s="28">
        <v>0</v>
      </c>
      <c r="I278" s="28">
        <v>0</v>
      </c>
      <c r="J278" s="28">
        <v>0</v>
      </c>
      <c r="K278" s="28">
        <v>0</v>
      </c>
      <c r="L278" s="28">
        <v>0</v>
      </c>
      <c r="M278" s="28">
        <v>0</v>
      </c>
      <c r="N278" s="28">
        <v>0</v>
      </c>
      <c r="O278" s="81"/>
    </row>
    <row r="279" spans="1:15" x14ac:dyDescent="0.2">
      <c r="A279" s="27" t="s">
        <v>103</v>
      </c>
      <c r="B279" s="2" t="s">
        <v>31</v>
      </c>
      <c r="C279" s="28">
        <v>0</v>
      </c>
      <c r="D279" s="28">
        <v>0</v>
      </c>
      <c r="E279" s="28">
        <v>0</v>
      </c>
      <c r="F279" s="28">
        <v>0</v>
      </c>
      <c r="G279" s="28">
        <v>0</v>
      </c>
      <c r="H279" s="28">
        <v>0</v>
      </c>
      <c r="I279" s="28">
        <v>0</v>
      </c>
      <c r="J279" s="28">
        <v>0</v>
      </c>
      <c r="K279" s="28">
        <v>2200.0269305122474</v>
      </c>
      <c r="L279" s="28">
        <v>0</v>
      </c>
      <c r="M279" s="28">
        <v>357.70777699250311</v>
      </c>
      <c r="N279" s="28">
        <v>2557.7347075047505</v>
      </c>
      <c r="O279" s="81"/>
    </row>
    <row r="280" spans="1:15" x14ac:dyDescent="0.2">
      <c r="A280" s="27" t="s">
        <v>99</v>
      </c>
      <c r="B280" s="2" t="s">
        <v>27</v>
      </c>
      <c r="C280" s="28">
        <v>0</v>
      </c>
      <c r="D280" s="28">
        <v>6622.2826659746861</v>
      </c>
      <c r="E280" s="28">
        <v>0</v>
      </c>
      <c r="F280" s="28">
        <v>0</v>
      </c>
      <c r="G280" s="28">
        <v>0</v>
      </c>
      <c r="H280" s="28">
        <v>0</v>
      </c>
      <c r="I280" s="28">
        <v>0</v>
      </c>
      <c r="J280" s="28">
        <v>0</v>
      </c>
      <c r="K280" s="28">
        <v>47726.647334613139</v>
      </c>
      <c r="L280" s="28">
        <v>0</v>
      </c>
      <c r="M280" s="28">
        <v>28144.701330392421</v>
      </c>
      <c r="N280" s="28">
        <v>82493.63133098025</v>
      </c>
      <c r="O280" s="81"/>
    </row>
    <row r="281" spans="1:15" x14ac:dyDescent="0.2">
      <c r="A281" s="27" t="s">
        <v>94</v>
      </c>
      <c r="B281" s="2" t="s">
        <v>22</v>
      </c>
      <c r="C281" s="28">
        <v>0</v>
      </c>
      <c r="D281" s="28">
        <v>0</v>
      </c>
      <c r="E281" s="28">
        <v>0</v>
      </c>
      <c r="F281" s="28">
        <v>0</v>
      </c>
      <c r="G281" s="28">
        <v>0</v>
      </c>
      <c r="H281" s="28">
        <v>0</v>
      </c>
      <c r="I281" s="28">
        <v>0</v>
      </c>
      <c r="J281" s="28">
        <v>0</v>
      </c>
      <c r="K281" s="28">
        <v>0</v>
      </c>
      <c r="L281" s="28">
        <v>0</v>
      </c>
      <c r="M281" s="28">
        <v>0</v>
      </c>
      <c r="N281" s="28">
        <v>0</v>
      </c>
      <c r="O281" s="81"/>
    </row>
    <row r="282" spans="1:15" x14ac:dyDescent="0.2">
      <c r="A282" s="27" t="s">
        <v>97</v>
      </c>
      <c r="B282" s="2" t="s">
        <v>25</v>
      </c>
      <c r="C282" s="28">
        <v>0</v>
      </c>
      <c r="D282" s="28">
        <v>0</v>
      </c>
      <c r="E282" s="28">
        <v>0</v>
      </c>
      <c r="F282" s="28">
        <v>0</v>
      </c>
      <c r="G282" s="28">
        <v>0</v>
      </c>
      <c r="H282" s="28">
        <v>0</v>
      </c>
      <c r="I282" s="28">
        <v>0</v>
      </c>
      <c r="J282" s="28">
        <v>0</v>
      </c>
      <c r="K282" s="28">
        <v>0</v>
      </c>
      <c r="L282" s="28">
        <v>0</v>
      </c>
      <c r="M282" s="28">
        <v>0</v>
      </c>
      <c r="N282" s="28">
        <v>0</v>
      </c>
      <c r="O282" s="81"/>
    </row>
    <row r="283" spans="1:15" x14ac:dyDescent="0.2">
      <c r="A283" s="27" t="s">
        <v>117</v>
      </c>
      <c r="B283" s="2" t="s">
        <v>45</v>
      </c>
      <c r="C283" s="28">
        <v>0</v>
      </c>
      <c r="D283" s="28">
        <v>0</v>
      </c>
      <c r="E283" s="28">
        <v>0</v>
      </c>
      <c r="F283" s="28">
        <v>0</v>
      </c>
      <c r="G283" s="28">
        <v>0</v>
      </c>
      <c r="H283" s="28">
        <v>0</v>
      </c>
      <c r="I283" s="28">
        <v>0</v>
      </c>
      <c r="J283" s="28">
        <v>0</v>
      </c>
      <c r="K283" s="28">
        <v>0</v>
      </c>
      <c r="L283" s="28">
        <v>0</v>
      </c>
      <c r="M283" s="28">
        <v>0</v>
      </c>
      <c r="N283" s="28">
        <v>0</v>
      </c>
      <c r="O283" s="81"/>
    </row>
    <row r="284" spans="1:15" x14ac:dyDescent="0.2">
      <c r="A284" s="27" t="s">
        <v>114</v>
      </c>
      <c r="B284" s="2" t="s">
        <v>42</v>
      </c>
      <c r="C284" s="28">
        <v>0</v>
      </c>
      <c r="D284" s="28">
        <v>0</v>
      </c>
      <c r="E284" s="28">
        <v>0</v>
      </c>
      <c r="F284" s="28">
        <v>0</v>
      </c>
      <c r="G284" s="28">
        <v>0</v>
      </c>
      <c r="H284" s="28">
        <v>0</v>
      </c>
      <c r="I284" s="28">
        <v>0</v>
      </c>
      <c r="J284" s="28">
        <v>0</v>
      </c>
      <c r="K284" s="28">
        <v>2561.1707736719304</v>
      </c>
      <c r="L284" s="28">
        <v>0</v>
      </c>
      <c r="M284" s="28">
        <v>182.06494061378402</v>
      </c>
      <c r="N284" s="28">
        <v>2743.2357142857145</v>
      </c>
      <c r="O284" s="81"/>
    </row>
    <row r="285" spans="1:15" x14ac:dyDescent="0.2">
      <c r="A285" s="27" t="s">
        <v>112</v>
      </c>
      <c r="B285" s="2" t="s">
        <v>40</v>
      </c>
      <c r="C285" s="28">
        <v>0</v>
      </c>
      <c r="D285" s="28">
        <v>0</v>
      </c>
      <c r="E285" s="28">
        <v>0</v>
      </c>
      <c r="F285" s="28">
        <v>0</v>
      </c>
      <c r="G285" s="28">
        <v>0</v>
      </c>
      <c r="H285" s="28">
        <v>0</v>
      </c>
      <c r="I285" s="28">
        <v>0</v>
      </c>
      <c r="J285" s="28">
        <v>0</v>
      </c>
      <c r="K285" s="28">
        <v>0</v>
      </c>
      <c r="L285" s="28">
        <v>0</v>
      </c>
      <c r="M285" s="28">
        <v>0</v>
      </c>
      <c r="N285" s="28">
        <v>0</v>
      </c>
      <c r="O285" s="81"/>
    </row>
    <row r="286" spans="1:15" x14ac:dyDescent="0.2">
      <c r="A286" s="27" t="s">
        <v>116</v>
      </c>
      <c r="B286" s="2" t="s">
        <v>44</v>
      </c>
      <c r="C286" s="28">
        <v>0</v>
      </c>
      <c r="D286" s="28">
        <v>0</v>
      </c>
      <c r="E286" s="28">
        <v>0</v>
      </c>
      <c r="F286" s="28">
        <v>0</v>
      </c>
      <c r="G286" s="28">
        <v>0</v>
      </c>
      <c r="H286" s="28">
        <v>0</v>
      </c>
      <c r="I286" s="28">
        <v>22.099762132925896</v>
      </c>
      <c r="J286" s="28">
        <v>0</v>
      </c>
      <c r="K286" s="28">
        <v>19850.47338134547</v>
      </c>
      <c r="L286" s="28">
        <v>0</v>
      </c>
      <c r="M286" s="28">
        <v>86263.909616891848</v>
      </c>
      <c r="N286" s="28">
        <v>106136.48276037024</v>
      </c>
      <c r="O286" s="81"/>
    </row>
    <row r="287" spans="1:15" x14ac:dyDescent="0.2">
      <c r="A287" s="27" t="s">
        <v>107</v>
      </c>
      <c r="B287" s="2" t="s">
        <v>35</v>
      </c>
      <c r="C287" s="28">
        <v>0</v>
      </c>
      <c r="D287" s="28">
        <v>0</v>
      </c>
      <c r="E287" s="28">
        <v>0</v>
      </c>
      <c r="F287" s="28">
        <v>0</v>
      </c>
      <c r="G287" s="28">
        <v>0</v>
      </c>
      <c r="H287" s="28">
        <v>0</v>
      </c>
      <c r="I287" s="28">
        <v>0</v>
      </c>
      <c r="J287" s="28">
        <v>0</v>
      </c>
      <c r="K287" s="28">
        <v>0</v>
      </c>
      <c r="L287" s="28">
        <v>0</v>
      </c>
      <c r="M287" s="28">
        <v>0</v>
      </c>
      <c r="N287" s="28">
        <v>0</v>
      </c>
      <c r="O287" s="81"/>
    </row>
    <row r="288" spans="1:15" x14ac:dyDescent="0.2">
      <c r="A288" s="27" t="s">
        <v>100</v>
      </c>
      <c r="B288" s="2" t="s">
        <v>28</v>
      </c>
      <c r="C288" s="28">
        <v>0</v>
      </c>
      <c r="D288" s="28">
        <v>0</v>
      </c>
      <c r="E288" s="28">
        <v>0</v>
      </c>
      <c r="F288" s="28">
        <v>0</v>
      </c>
      <c r="G288" s="28">
        <v>0</v>
      </c>
      <c r="H288" s="28">
        <v>0</v>
      </c>
      <c r="I288" s="28">
        <v>0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81"/>
    </row>
    <row r="289" spans="1:15" x14ac:dyDescent="0.2">
      <c r="A289" s="27" t="s">
        <v>108</v>
      </c>
      <c r="B289" s="2" t="s">
        <v>36</v>
      </c>
      <c r="C289" s="28">
        <v>0</v>
      </c>
      <c r="D289" s="28">
        <v>0</v>
      </c>
      <c r="E289" s="28">
        <v>0</v>
      </c>
      <c r="F289" s="28">
        <v>0</v>
      </c>
      <c r="G289" s="28">
        <v>0</v>
      </c>
      <c r="H289" s="28">
        <v>0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81"/>
    </row>
    <row r="290" spans="1:15" x14ac:dyDescent="0.2">
      <c r="A290" s="27" t="s">
        <v>104</v>
      </c>
      <c r="B290" s="2" t="s">
        <v>32</v>
      </c>
      <c r="C290" s="28">
        <v>0</v>
      </c>
      <c r="D290" s="28">
        <v>0</v>
      </c>
      <c r="E290" s="28">
        <v>0</v>
      </c>
      <c r="F290" s="28">
        <v>0</v>
      </c>
      <c r="G290" s="28">
        <v>0</v>
      </c>
      <c r="H290" s="28">
        <v>0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81"/>
    </row>
    <row r="291" spans="1:15" x14ac:dyDescent="0.2">
      <c r="A291" s="27" t="s">
        <v>105</v>
      </c>
      <c r="B291" s="2" t="s">
        <v>33</v>
      </c>
      <c r="C291" s="28">
        <v>0</v>
      </c>
      <c r="D291" s="28">
        <v>0</v>
      </c>
      <c r="E291" s="28">
        <v>0</v>
      </c>
      <c r="F291" s="28">
        <v>0</v>
      </c>
      <c r="G291" s="28">
        <v>0</v>
      </c>
      <c r="H291" s="28">
        <v>0</v>
      </c>
      <c r="I291" s="28">
        <v>0</v>
      </c>
      <c r="J291" s="28">
        <v>0</v>
      </c>
      <c r="K291" s="28">
        <v>0</v>
      </c>
      <c r="L291" s="28">
        <v>0</v>
      </c>
      <c r="M291" s="28">
        <v>0</v>
      </c>
      <c r="N291" s="28">
        <v>0</v>
      </c>
      <c r="O291" s="81"/>
    </row>
    <row r="292" spans="1:15" x14ac:dyDescent="0.2">
      <c r="A292" s="27" t="s">
        <v>109</v>
      </c>
      <c r="B292" s="2" t="s">
        <v>37</v>
      </c>
      <c r="C292" s="28">
        <v>0</v>
      </c>
      <c r="D292" s="28">
        <v>0</v>
      </c>
      <c r="E292" s="28">
        <v>0</v>
      </c>
      <c r="F292" s="28">
        <v>0</v>
      </c>
      <c r="G292" s="28">
        <v>0</v>
      </c>
      <c r="H292" s="28">
        <v>0</v>
      </c>
      <c r="I292" s="28">
        <v>0</v>
      </c>
      <c r="J292" s="28">
        <v>0</v>
      </c>
      <c r="K292" s="28">
        <v>0</v>
      </c>
      <c r="L292" s="28">
        <v>0</v>
      </c>
      <c r="M292" s="28">
        <v>0</v>
      </c>
      <c r="N292" s="28">
        <v>0</v>
      </c>
      <c r="O292" s="81"/>
    </row>
    <row r="293" spans="1:15" x14ac:dyDescent="0.2">
      <c r="A293" s="27" t="s">
        <v>96</v>
      </c>
      <c r="B293" s="2" t="s">
        <v>24</v>
      </c>
      <c r="C293" s="28">
        <v>0</v>
      </c>
      <c r="D293" s="28">
        <v>0</v>
      </c>
      <c r="E293" s="28">
        <v>0</v>
      </c>
      <c r="F293" s="28">
        <v>0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81"/>
    </row>
    <row r="294" spans="1:15" x14ac:dyDescent="0.2">
      <c r="A294" s="27" t="s">
        <v>120</v>
      </c>
      <c r="B294" s="2" t="s">
        <v>48</v>
      </c>
      <c r="C294" s="28">
        <v>0</v>
      </c>
      <c r="D294" s="28">
        <v>0</v>
      </c>
      <c r="E294" s="28">
        <v>0</v>
      </c>
      <c r="F294" s="28">
        <v>0</v>
      </c>
      <c r="G294" s="28">
        <v>0</v>
      </c>
      <c r="H294" s="28">
        <v>0</v>
      </c>
      <c r="I294" s="28">
        <v>0</v>
      </c>
      <c r="J294" s="28">
        <v>0</v>
      </c>
      <c r="K294" s="28">
        <v>317.43674627571528</v>
      </c>
      <c r="L294" s="28">
        <v>0</v>
      </c>
      <c r="M294" s="28">
        <v>2367.4432537242842</v>
      </c>
      <c r="N294" s="28">
        <v>2684.8799999999997</v>
      </c>
      <c r="O294" s="81"/>
    </row>
    <row r="295" spans="1:15" x14ac:dyDescent="0.2">
      <c r="A295" s="27" t="s">
        <v>102</v>
      </c>
      <c r="B295" s="2" t="s">
        <v>30</v>
      </c>
      <c r="C295" s="28">
        <v>0</v>
      </c>
      <c r="D295" s="28">
        <v>0</v>
      </c>
      <c r="E295" s="28">
        <v>0</v>
      </c>
      <c r="F295" s="28">
        <v>422.5359029755258</v>
      </c>
      <c r="G295" s="28">
        <v>0</v>
      </c>
      <c r="H295" s="28">
        <v>0</v>
      </c>
      <c r="I295" s="28">
        <v>0</v>
      </c>
      <c r="J295" s="28">
        <v>0</v>
      </c>
      <c r="K295" s="28">
        <v>0</v>
      </c>
      <c r="L295" s="28">
        <v>0</v>
      </c>
      <c r="M295" s="28">
        <v>1050.7228312616485</v>
      </c>
      <c r="N295" s="28">
        <v>1473.2587342371744</v>
      </c>
      <c r="O295" s="81"/>
    </row>
    <row r="296" spans="1:15" x14ac:dyDescent="0.2">
      <c r="A296" s="27" t="s">
        <v>98</v>
      </c>
      <c r="B296" s="2" t="s">
        <v>26</v>
      </c>
      <c r="C296" s="28">
        <v>0</v>
      </c>
      <c r="D296" s="28">
        <v>0</v>
      </c>
      <c r="E296" s="28">
        <v>0</v>
      </c>
      <c r="F296" s="28">
        <v>0</v>
      </c>
      <c r="G296" s="28">
        <v>0</v>
      </c>
      <c r="H296" s="28">
        <v>0</v>
      </c>
      <c r="I296" s="28">
        <v>0</v>
      </c>
      <c r="J296" s="28">
        <v>0</v>
      </c>
      <c r="K296" s="28">
        <v>37242.807761826793</v>
      </c>
      <c r="L296" s="28">
        <v>0</v>
      </c>
      <c r="M296" s="28">
        <v>48023.884162133378</v>
      </c>
      <c r="N296" s="28">
        <v>85266.69192396017</v>
      </c>
      <c r="O296" s="81"/>
    </row>
    <row r="297" spans="1:15" x14ac:dyDescent="0.2">
      <c r="A297" s="27" t="s">
        <v>93</v>
      </c>
      <c r="B297" s="2" t="s">
        <v>21</v>
      </c>
      <c r="C297" s="28">
        <v>0</v>
      </c>
      <c r="D297" s="28">
        <v>0</v>
      </c>
      <c r="E297" s="28">
        <v>0</v>
      </c>
      <c r="F297" s="28">
        <v>0</v>
      </c>
      <c r="G297" s="28">
        <v>0</v>
      </c>
      <c r="H297" s="28">
        <v>0</v>
      </c>
      <c r="I297" s="28">
        <v>0</v>
      </c>
      <c r="J297" s="28">
        <v>0</v>
      </c>
      <c r="K297" s="28">
        <v>144.15652903480523</v>
      </c>
      <c r="L297" s="28">
        <v>0</v>
      </c>
      <c r="M297" s="28">
        <v>0</v>
      </c>
      <c r="N297" s="28">
        <v>144.15652903480523</v>
      </c>
      <c r="O297" s="81"/>
    </row>
    <row r="298" spans="1:15" x14ac:dyDescent="0.2">
      <c r="A298" s="27" t="s">
        <v>115</v>
      </c>
      <c r="B298" s="2" t="s">
        <v>43</v>
      </c>
      <c r="C298" s="28">
        <v>0</v>
      </c>
      <c r="D298" s="28">
        <v>0</v>
      </c>
      <c r="E298" s="28">
        <v>28271.168501602871</v>
      </c>
      <c r="F298" s="28">
        <v>0</v>
      </c>
      <c r="G298" s="28">
        <v>0</v>
      </c>
      <c r="H298" s="28">
        <v>0</v>
      </c>
      <c r="I298" s="28">
        <v>0</v>
      </c>
      <c r="J298" s="28">
        <v>0</v>
      </c>
      <c r="K298" s="28">
        <v>640.5159868246518</v>
      </c>
      <c r="L298" s="28">
        <v>0</v>
      </c>
      <c r="M298" s="28">
        <v>202155.13205692422</v>
      </c>
      <c r="N298" s="28">
        <v>231066.81654535176</v>
      </c>
      <c r="O298" s="81"/>
    </row>
    <row r="299" spans="1:15" x14ac:dyDescent="0.2">
      <c r="A299" s="27" t="s">
        <v>111</v>
      </c>
      <c r="B299" s="2" t="s">
        <v>39</v>
      </c>
      <c r="C299" s="28">
        <v>0</v>
      </c>
      <c r="D299" s="28">
        <v>0</v>
      </c>
      <c r="E299" s="28">
        <v>4514.4307887090526</v>
      </c>
      <c r="F299" s="28">
        <v>0</v>
      </c>
      <c r="G299" s="28">
        <v>0</v>
      </c>
      <c r="H299" s="28">
        <v>0</v>
      </c>
      <c r="I299" s="28">
        <v>0</v>
      </c>
      <c r="J299" s="28">
        <v>0</v>
      </c>
      <c r="K299" s="28">
        <v>6449.1868410129327</v>
      </c>
      <c r="L299" s="28">
        <v>0</v>
      </c>
      <c r="M299" s="28">
        <v>9673.7802615193996</v>
      </c>
      <c r="N299" s="28">
        <v>20637.397891241388</v>
      </c>
      <c r="O299" s="81"/>
    </row>
    <row r="300" spans="1:15" x14ac:dyDescent="0.2">
      <c r="A300" s="27" t="s">
        <v>118</v>
      </c>
      <c r="B300" s="2" t="s">
        <v>46</v>
      </c>
      <c r="C300" s="28">
        <v>0</v>
      </c>
      <c r="D300" s="28">
        <v>0</v>
      </c>
      <c r="E300" s="28">
        <v>0</v>
      </c>
      <c r="F300" s="28">
        <v>0</v>
      </c>
      <c r="G300" s="28">
        <v>0</v>
      </c>
      <c r="H300" s="28">
        <v>0</v>
      </c>
      <c r="I300" s="28">
        <v>0</v>
      </c>
      <c r="J300" s="28">
        <v>0</v>
      </c>
      <c r="K300" s="28">
        <v>5128.1367425300541</v>
      </c>
      <c r="L300" s="28">
        <v>0</v>
      </c>
      <c r="M300" s="28">
        <v>42.39425329128126</v>
      </c>
      <c r="N300" s="28">
        <v>5170.5309958213356</v>
      </c>
      <c r="O300" s="81"/>
    </row>
    <row r="301" spans="1:15" x14ac:dyDescent="0.2">
      <c r="A301" s="27" t="s">
        <v>124</v>
      </c>
      <c r="B301" s="2" t="s">
        <v>52</v>
      </c>
      <c r="C301" s="28">
        <v>0</v>
      </c>
      <c r="D301" s="28">
        <v>0</v>
      </c>
      <c r="E301" s="28">
        <v>0</v>
      </c>
      <c r="F301" s="28">
        <v>0</v>
      </c>
      <c r="G301" s="28">
        <v>0</v>
      </c>
      <c r="H301" s="28">
        <v>0</v>
      </c>
      <c r="I301" s="28">
        <v>0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81"/>
    </row>
    <row r="302" spans="1:15" x14ac:dyDescent="0.2">
      <c r="A302" s="27" t="s">
        <v>123</v>
      </c>
      <c r="B302" s="2" t="s">
        <v>51</v>
      </c>
      <c r="C302" s="28">
        <v>0</v>
      </c>
      <c r="D302" s="28">
        <v>0</v>
      </c>
      <c r="E302" s="28">
        <v>0</v>
      </c>
      <c r="F302" s="28">
        <v>0</v>
      </c>
      <c r="G302" s="28">
        <v>0</v>
      </c>
      <c r="H302" s="28">
        <v>0</v>
      </c>
      <c r="I302" s="28">
        <v>0</v>
      </c>
      <c r="J302" s="28">
        <v>0</v>
      </c>
      <c r="K302" s="28">
        <v>0</v>
      </c>
      <c r="L302" s="28">
        <v>0</v>
      </c>
      <c r="M302" s="28">
        <v>0</v>
      </c>
      <c r="N302" s="28">
        <v>0</v>
      </c>
      <c r="O302" s="81"/>
    </row>
    <row r="303" spans="1:15" x14ac:dyDescent="0.2">
      <c r="A303" s="27" t="s">
        <v>126</v>
      </c>
      <c r="B303" s="2" t="s">
        <v>54</v>
      </c>
      <c r="C303" s="28">
        <v>0</v>
      </c>
      <c r="D303" s="28">
        <v>0</v>
      </c>
      <c r="E303" s="28">
        <v>0</v>
      </c>
      <c r="F303" s="28">
        <v>0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  <c r="O303" s="81"/>
    </row>
    <row r="304" spans="1:15" x14ac:dyDescent="0.2">
      <c r="A304" s="27" t="s">
        <v>129</v>
      </c>
      <c r="B304" s="2" t="s">
        <v>57</v>
      </c>
      <c r="C304" s="28">
        <v>0</v>
      </c>
      <c r="D304" s="28">
        <v>1038.4761634009858</v>
      </c>
      <c r="E304" s="28">
        <v>0</v>
      </c>
      <c r="F304" s="28">
        <v>0</v>
      </c>
      <c r="G304" s="28">
        <v>0</v>
      </c>
      <c r="H304" s="28">
        <v>0</v>
      </c>
      <c r="I304" s="28">
        <v>0</v>
      </c>
      <c r="J304" s="28">
        <v>0</v>
      </c>
      <c r="K304" s="28">
        <v>3827.232227809292</v>
      </c>
      <c r="L304" s="28">
        <v>0</v>
      </c>
      <c r="M304" s="28">
        <v>4961.6083362491545</v>
      </c>
      <c r="N304" s="28">
        <v>9827.3167274594325</v>
      </c>
      <c r="O304" s="81"/>
    </row>
    <row r="305" spans="1:15" x14ac:dyDescent="0.2">
      <c r="A305" s="27" t="s">
        <v>128</v>
      </c>
      <c r="B305" s="2" t="s">
        <v>56</v>
      </c>
      <c r="C305" s="28">
        <v>0</v>
      </c>
      <c r="D305" s="28">
        <v>0</v>
      </c>
      <c r="E305" s="28">
        <v>0</v>
      </c>
      <c r="F305" s="28">
        <v>0</v>
      </c>
      <c r="G305" s="28">
        <v>0</v>
      </c>
      <c r="H305" s="28">
        <v>0</v>
      </c>
      <c r="I305" s="28">
        <v>0</v>
      </c>
      <c r="J305" s="28">
        <v>0</v>
      </c>
      <c r="K305" s="28">
        <v>1297.1298812119517</v>
      </c>
      <c r="L305" s="28">
        <v>0</v>
      </c>
      <c r="M305" s="28">
        <v>0</v>
      </c>
      <c r="N305" s="28">
        <v>1297.1298812119517</v>
      </c>
      <c r="O305" s="81"/>
    </row>
    <row r="306" spans="1:15" x14ac:dyDescent="0.2">
      <c r="A306" s="27" t="s">
        <v>127</v>
      </c>
      <c r="B306" s="2" t="s">
        <v>55</v>
      </c>
      <c r="C306" s="28">
        <v>0</v>
      </c>
      <c r="D306" s="28">
        <v>0</v>
      </c>
      <c r="E306" s="28">
        <v>0</v>
      </c>
      <c r="F306" s="28">
        <v>0</v>
      </c>
      <c r="G306" s="28">
        <v>0</v>
      </c>
      <c r="H306" s="28">
        <v>0</v>
      </c>
      <c r="I306" s="28">
        <v>0</v>
      </c>
      <c r="J306" s="28">
        <v>0</v>
      </c>
      <c r="K306" s="28">
        <v>0</v>
      </c>
      <c r="L306" s="28">
        <v>0</v>
      </c>
      <c r="M306" s="28">
        <v>0</v>
      </c>
      <c r="N306" s="28">
        <v>0</v>
      </c>
      <c r="O306" s="81"/>
    </row>
    <row r="307" spans="1:15" x14ac:dyDescent="0.2">
      <c r="A307" s="27" t="s">
        <v>125</v>
      </c>
      <c r="B307" s="2" t="s">
        <v>53</v>
      </c>
      <c r="C307" s="28">
        <v>0</v>
      </c>
      <c r="D307" s="28">
        <v>0</v>
      </c>
      <c r="E307" s="28">
        <v>0</v>
      </c>
      <c r="F307" s="28">
        <v>0</v>
      </c>
      <c r="G307" s="28">
        <v>0</v>
      </c>
      <c r="H307" s="28">
        <v>0</v>
      </c>
      <c r="I307" s="28">
        <v>0</v>
      </c>
      <c r="J307" s="28">
        <v>0</v>
      </c>
      <c r="K307" s="28">
        <v>0</v>
      </c>
      <c r="L307" s="28">
        <v>0</v>
      </c>
      <c r="M307" s="28">
        <v>0</v>
      </c>
      <c r="N307" s="28">
        <v>0</v>
      </c>
      <c r="O307" s="81"/>
    </row>
    <row r="308" spans="1:15" x14ac:dyDescent="0.2">
      <c r="A308" s="27" t="s">
        <v>130</v>
      </c>
      <c r="B308" s="2" t="s">
        <v>58</v>
      </c>
      <c r="C308" s="28">
        <v>0</v>
      </c>
      <c r="D308" s="28">
        <v>0</v>
      </c>
      <c r="E308" s="28">
        <v>0</v>
      </c>
      <c r="F308" s="28">
        <v>0</v>
      </c>
      <c r="G308" s="28">
        <v>0</v>
      </c>
      <c r="H308" s="28">
        <v>0</v>
      </c>
      <c r="I308" s="28">
        <v>0</v>
      </c>
      <c r="J308" s="28">
        <v>0</v>
      </c>
      <c r="K308" s="28">
        <v>0</v>
      </c>
      <c r="L308" s="28">
        <v>0</v>
      </c>
      <c r="M308" s="28">
        <v>0</v>
      </c>
      <c r="N308" s="28">
        <v>0</v>
      </c>
      <c r="O308" s="81"/>
    </row>
    <row r="309" spans="1:15" x14ac:dyDescent="0.2">
      <c r="A309" s="27" t="s">
        <v>122</v>
      </c>
      <c r="B309" s="2" t="s">
        <v>50</v>
      </c>
      <c r="C309" s="28">
        <v>0</v>
      </c>
      <c r="D309" s="28">
        <v>0</v>
      </c>
      <c r="E309" s="28">
        <v>0</v>
      </c>
      <c r="F309" s="28">
        <v>0</v>
      </c>
      <c r="G309" s="28">
        <v>0</v>
      </c>
      <c r="H309" s="28">
        <v>0</v>
      </c>
      <c r="I309" s="28">
        <v>0</v>
      </c>
      <c r="J309" s="28">
        <v>0</v>
      </c>
      <c r="K309" s="28">
        <v>0</v>
      </c>
      <c r="L309" s="28">
        <v>0</v>
      </c>
      <c r="M309" s="28">
        <v>0</v>
      </c>
      <c r="N309" s="28">
        <v>0</v>
      </c>
      <c r="O309" s="81"/>
    </row>
    <row r="310" spans="1:15" x14ac:dyDescent="0.2">
      <c r="A310" s="4"/>
      <c r="B310" s="4" t="s">
        <v>59</v>
      </c>
      <c r="C310" s="28">
        <v>0</v>
      </c>
      <c r="D310" s="28">
        <v>7660.7588293756717</v>
      </c>
      <c r="E310" s="28">
        <v>32785.599290311926</v>
      </c>
      <c r="F310" s="28">
        <v>422.5359029755258</v>
      </c>
      <c r="G310" s="28">
        <v>0</v>
      </c>
      <c r="H310" s="28">
        <v>0</v>
      </c>
      <c r="I310" s="28">
        <v>22.099762132925896</v>
      </c>
      <c r="J310" s="28">
        <v>0</v>
      </c>
      <c r="K310" s="28">
        <v>177852.57726780468</v>
      </c>
      <c r="L310" s="28">
        <v>0</v>
      </c>
      <c r="M310" s="28">
        <v>383223.34881999396</v>
      </c>
      <c r="N310" s="28">
        <v>601966.91987259465</v>
      </c>
      <c r="O310" s="81"/>
    </row>
    <row r="313" spans="1:15" x14ac:dyDescent="0.2">
      <c r="A313" s="99" t="s">
        <v>343</v>
      </c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57"/>
    </row>
    <row r="314" spans="1:15" x14ac:dyDescent="0.2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57"/>
    </row>
    <row r="315" spans="1:15" x14ac:dyDescent="0.2">
      <c r="A315" s="100" t="s">
        <v>0</v>
      </c>
      <c r="B315" s="100" t="s">
        <v>1</v>
      </c>
      <c r="C315" s="100" t="s">
        <v>139</v>
      </c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 t="s">
        <v>66</v>
      </c>
      <c r="O315" s="80"/>
    </row>
    <row r="316" spans="1:15" x14ac:dyDescent="0.2">
      <c r="A316" s="100"/>
      <c r="B316" s="100"/>
      <c r="C316" s="26" t="s">
        <v>71</v>
      </c>
      <c r="D316" s="26" t="s">
        <v>64</v>
      </c>
      <c r="E316" s="26" t="s">
        <v>72</v>
      </c>
      <c r="F316" s="26" t="s">
        <v>73</v>
      </c>
      <c r="G316" s="26" t="s">
        <v>74</v>
      </c>
      <c r="H316" s="26" t="s">
        <v>75</v>
      </c>
      <c r="I316" s="26" t="s">
        <v>63</v>
      </c>
      <c r="J316" s="26" t="s">
        <v>62</v>
      </c>
      <c r="K316" s="26" t="s">
        <v>76</v>
      </c>
      <c r="L316" s="26" t="s">
        <v>77</v>
      </c>
      <c r="M316" s="26" t="s">
        <v>78</v>
      </c>
      <c r="N316" s="100"/>
      <c r="O316" s="80"/>
    </row>
    <row r="317" spans="1:15" x14ac:dyDescent="0.2">
      <c r="A317" s="27" t="s">
        <v>110</v>
      </c>
      <c r="B317" s="2" t="s">
        <v>38</v>
      </c>
      <c r="C317" s="28">
        <v>798738.9622214078</v>
      </c>
      <c r="D317" s="28">
        <v>0</v>
      </c>
      <c r="E317" s="28">
        <v>0</v>
      </c>
      <c r="F317" s="28">
        <v>0</v>
      </c>
      <c r="G317" s="28">
        <v>0</v>
      </c>
      <c r="H317" s="28">
        <v>0</v>
      </c>
      <c r="I317" s="28">
        <v>0</v>
      </c>
      <c r="J317" s="28">
        <v>0</v>
      </c>
      <c r="K317" s="28">
        <v>0</v>
      </c>
      <c r="L317" s="28">
        <v>0</v>
      </c>
      <c r="M317" s="28">
        <v>15567.696562440578</v>
      </c>
      <c r="N317" s="28">
        <v>814306.6587838484</v>
      </c>
      <c r="O317" s="81"/>
    </row>
    <row r="318" spans="1:15" x14ac:dyDescent="0.2">
      <c r="A318" s="27" t="s">
        <v>113</v>
      </c>
      <c r="B318" s="2" t="s">
        <v>41</v>
      </c>
      <c r="C318" s="28">
        <v>195.2937211651174</v>
      </c>
      <c r="D318" s="28">
        <v>0</v>
      </c>
      <c r="E318" s="28">
        <v>0</v>
      </c>
      <c r="F318" s="28">
        <v>0</v>
      </c>
      <c r="G318" s="28">
        <v>0</v>
      </c>
      <c r="H318" s="28">
        <v>0</v>
      </c>
      <c r="I318" s="28">
        <v>0</v>
      </c>
      <c r="J318" s="28">
        <v>0</v>
      </c>
      <c r="K318" s="28">
        <v>0</v>
      </c>
      <c r="L318" s="28">
        <v>0</v>
      </c>
      <c r="M318" s="28">
        <v>3053.9140221530834</v>
      </c>
      <c r="N318" s="28">
        <v>3249.2077433182008</v>
      </c>
      <c r="O318" s="81"/>
    </row>
    <row r="319" spans="1:15" x14ac:dyDescent="0.2">
      <c r="A319" s="27" t="s">
        <v>119</v>
      </c>
      <c r="B319" s="2" t="s">
        <v>47</v>
      </c>
      <c r="C319" s="28">
        <v>0</v>
      </c>
      <c r="D319" s="28">
        <v>0</v>
      </c>
      <c r="E319" s="28">
        <v>41.044238030824893</v>
      </c>
      <c r="F319" s="28">
        <v>0</v>
      </c>
      <c r="G319" s="28">
        <v>0</v>
      </c>
      <c r="H319" s="28">
        <v>0</v>
      </c>
      <c r="I319" s="28">
        <v>0</v>
      </c>
      <c r="J319" s="28">
        <v>0</v>
      </c>
      <c r="K319" s="28">
        <v>0</v>
      </c>
      <c r="L319" s="28">
        <v>0</v>
      </c>
      <c r="M319" s="28">
        <v>6426.0231682512576</v>
      </c>
      <c r="N319" s="28">
        <v>6467.0674062820826</v>
      </c>
      <c r="O319" s="81"/>
    </row>
    <row r="320" spans="1:15" x14ac:dyDescent="0.2">
      <c r="A320" s="27" t="s">
        <v>121</v>
      </c>
      <c r="B320" s="2" t="s">
        <v>49</v>
      </c>
      <c r="C320" s="28">
        <v>0</v>
      </c>
      <c r="D320" s="28">
        <v>0</v>
      </c>
      <c r="E320" s="28">
        <v>0</v>
      </c>
      <c r="F320" s="28">
        <v>0</v>
      </c>
      <c r="G320" s="28">
        <v>0</v>
      </c>
      <c r="H320" s="28">
        <v>0</v>
      </c>
      <c r="I320" s="28">
        <v>0</v>
      </c>
      <c r="J320" s="28">
        <v>935.34290480495486</v>
      </c>
      <c r="K320" s="28">
        <v>0</v>
      </c>
      <c r="L320" s="28">
        <v>0</v>
      </c>
      <c r="M320" s="28">
        <v>551.85231383492351</v>
      </c>
      <c r="N320" s="28">
        <v>1487.1952186398785</v>
      </c>
      <c r="O320" s="81"/>
    </row>
    <row r="321" spans="1:15" x14ac:dyDescent="0.2">
      <c r="A321" s="27" t="s">
        <v>95</v>
      </c>
      <c r="B321" s="2" t="s">
        <v>23</v>
      </c>
      <c r="C321" s="28">
        <v>0</v>
      </c>
      <c r="D321" s="28">
        <v>0</v>
      </c>
      <c r="E321" s="28">
        <v>0</v>
      </c>
      <c r="F321" s="28">
        <v>0</v>
      </c>
      <c r="G321" s="28">
        <v>0</v>
      </c>
      <c r="H321" s="28">
        <v>0</v>
      </c>
      <c r="I321" s="28">
        <v>0</v>
      </c>
      <c r="J321" s="28">
        <v>0</v>
      </c>
      <c r="K321" s="28">
        <v>0</v>
      </c>
      <c r="L321" s="28">
        <v>0</v>
      </c>
      <c r="M321" s="28">
        <v>1297.9851011770077</v>
      </c>
      <c r="N321" s="28">
        <v>1297.9851011770077</v>
      </c>
      <c r="O321" s="81"/>
    </row>
    <row r="322" spans="1:15" x14ac:dyDescent="0.2">
      <c r="A322" s="27" t="s">
        <v>101</v>
      </c>
      <c r="B322" s="2" t="s">
        <v>29</v>
      </c>
      <c r="C322" s="28">
        <v>155.19109428648329</v>
      </c>
      <c r="D322" s="28">
        <v>0</v>
      </c>
      <c r="E322" s="28">
        <v>0</v>
      </c>
      <c r="F322" s="28">
        <v>0</v>
      </c>
      <c r="G322" s="28">
        <v>0</v>
      </c>
      <c r="H322" s="28">
        <v>0</v>
      </c>
      <c r="I322" s="28">
        <v>0</v>
      </c>
      <c r="J322" s="28">
        <v>0</v>
      </c>
      <c r="K322" s="28">
        <v>0</v>
      </c>
      <c r="L322" s="28">
        <v>0</v>
      </c>
      <c r="M322" s="28">
        <v>22108.50402596276</v>
      </c>
      <c r="N322" s="28">
        <v>22263.695120249242</v>
      </c>
      <c r="O322" s="81"/>
    </row>
    <row r="323" spans="1:15" x14ac:dyDescent="0.2">
      <c r="A323" s="27" t="s">
        <v>106</v>
      </c>
      <c r="B323" s="2" t="s">
        <v>34</v>
      </c>
      <c r="C323" s="28">
        <v>1908.0995258021082</v>
      </c>
      <c r="D323" s="28">
        <v>0</v>
      </c>
      <c r="E323" s="28">
        <v>0</v>
      </c>
      <c r="F323" s="28">
        <v>0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  <c r="M323" s="28">
        <v>0</v>
      </c>
      <c r="N323" s="28">
        <v>1908.0995258021082</v>
      </c>
      <c r="O323" s="81"/>
    </row>
    <row r="324" spans="1:15" x14ac:dyDescent="0.2">
      <c r="A324" s="27" t="s">
        <v>103</v>
      </c>
      <c r="B324" s="2" t="s">
        <v>31</v>
      </c>
      <c r="C324" s="28">
        <v>2439.8321268825266</v>
      </c>
      <c r="D324" s="28">
        <v>0</v>
      </c>
      <c r="E324" s="28">
        <v>0</v>
      </c>
      <c r="F324" s="28">
        <v>0</v>
      </c>
      <c r="G324" s="28">
        <v>0</v>
      </c>
      <c r="H324" s="28">
        <v>0</v>
      </c>
      <c r="I324" s="28">
        <v>0</v>
      </c>
      <c r="J324" s="28">
        <v>0</v>
      </c>
      <c r="K324" s="28">
        <v>0</v>
      </c>
      <c r="L324" s="28">
        <v>0</v>
      </c>
      <c r="M324" s="28">
        <v>487.96642537650536</v>
      </c>
      <c r="N324" s="28">
        <v>2927.798552259032</v>
      </c>
      <c r="O324" s="81"/>
    </row>
    <row r="325" spans="1:15" x14ac:dyDescent="0.2">
      <c r="A325" s="27" t="s">
        <v>99</v>
      </c>
      <c r="B325" s="2" t="s">
        <v>27</v>
      </c>
      <c r="C325" s="28">
        <v>0</v>
      </c>
      <c r="D325" s="28">
        <v>0</v>
      </c>
      <c r="E325" s="28">
        <v>0</v>
      </c>
      <c r="F325" s="28">
        <v>0</v>
      </c>
      <c r="G325" s="28">
        <v>0</v>
      </c>
      <c r="H325" s="28">
        <v>0</v>
      </c>
      <c r="I325" s="28">
        <v>0</v>
      </c>
      <c r="J325" s="28">
        <v>0</v>
      </c>
      <c r="K325" s="28">
        <v>0</v>
      </c>
      <c r="L325" s="28">
        <v>0</v>
      </c>
      <c r="M325" s="28">
        <v>14.015218100606063</v>
      </c>
      <c r="N325" s="28">
        <v>14.015218100606063</v>
      </c>
      <c r="O325" s="81"/>
    </row>
    <row r="326" spans="1:15" x14ac:dyDescent="0.2">
      <c r="A326" s="27" t="s">
        <v>94</v>
      </c>
      <c r="B326" s="2" t="s">
        <v>22</v>
      </c>
      <c r="C326" s="28">
        <v>2232.4449757075536</v>
      </c>
      <c r="D326" s="28">
        <v>0</v>
      </c>
      <c r="E326" s="28">
        <v>0</v>
      </c>
      <c r="F326" s="28">
        <v>0</v>
      </c>
      <c r="G326" s="28">
        <v>0</v>
      </c>
      <c r="H326" s="28">
        <v>0</v>
      </c>
      <c r="I326" s="28">
        <v>0</v>
      </c>
      <c r="J326" s="28">
        <v>0</v>
      </c>
      <c r="K326" s="28">
        <v>0</v>
      </c>
      <c r="L326" s="28">
        <v>0</v>
      </c>
      <c r="M326" s="28">
        <v>0</v>
      </c>
      <c r="N326" s="28">
        <v>2232.4449757075536</v>
      </c>
      <c r="O326" s="81"/>
    </row>
    <row r="327" spans="1:15" x14ac:dyDescent="0.2">
      <c r="A327" s="27" t="s">
        <v>97</v>
      </c>
      <c r="B327" s="2" t="s">
        <v>25</v>
      </c>
      <c r="C327" s="28">
        <v>0</v>
      </c>
      <c r="D327" s="28">
        <v>0</v>
      </c>
      <c r="E327" s="28">
        <v>0</v>
      </c>
      <c r="F327" s="28">
        <v>0</v>
      </c>
      <c r="G327" s="28">
        <v>0</v>
      </c>
      <c r="H327" s="28">
        <v>0</v>
      </c>
      <c r="I327" s="28">
        <v>0</v>
      </c>
      <c r="J327" s="28">
        <v>0</v>
      </c>
      <c r="K327" s="28">
        <v>0</v>
      </c>
      <c r="L327" s="28">
        <v>0</v>
      </c>
      <c r="M327" s="28">
        <v>4279.1937894826688</v>
      </c>
      <c r="N327" s="28">
        <v>4279.1937894826688</v>
      </c>
      <c r="O327" s="81"/>
    </row>
    <row r="328" spans="1:15" x14ac:dyDescent="0.2">
      <c r="A328" s="27" t="s">
        <v>117</v>
      </c>
      <c r="B328" s="2" t="s">
        <v>45</v>
      </c>
      <c r="C328" s="28">
        <v>0</v>
      </c>
      <c r="D328" s="28">
        <v>0</v>
      </c>
      <c r="E328" s="28">
        <v>0</v>
      </c>
      <c r="F328" s="28">
        <v>0</v>
      </c>
      <c r="G328" s="28">
        <v>0</v>
      </c>
      <c r="H328" s="28">
        <v>0</v>
      </c>
      <c r="I328" s="28">
        <v>0</v>
      </c>
      <c r="J328" s="28">
        <v>0</v>
      </c>
      <c r="K328" s="28">
        <v>0</v>
      </c>
      <c r="L328" s="28">
        <v>0</v>
      </c>
      <c r="M328" s="28">
        <v>0</v>
      </c>
      <c r="N328" s="28">
        <v>0</v>
      </c>
      <c r="O328" s="81"/>
    </row>
    <row r="329" spans="1:15" x14ac:dyDescent="0.2">
      <c r="A329" s="27" t="s">
        <v>114</v>
      </c>
      <c r="B329" s="2" t="s">
        <v>42</v>
      </c>
      <c r="C329" s="28">
        <v>0</v>
      </c>
      <c r="D329" s="28">
        <v>0</v>
      </c>
      <c r="E329" s="28">
        <v>0</v>
      </c>
      <c r="F329" s="28">
        <v>0</v>
      </c>
      <c r="G329" s="28">
        <v>0</v>
      </c>
      <c r="H329" s="28">
        <v>0</v>
      </c>
      <c r="I329" s="28">
        <v>0</v>
      </c>
      <c r="J329" s="28">
        <v>0</v>
      </c>
      <c r="K329" s="28">
        <v>0</v>
      </c>
      <c r="L329" s="28">
        <v>0</v>
      </c>
      <c r="M329" s="28">
        <v>28024.050654394861</v>
      </c>
      <c r="N329" s="28">
        <v>28024.050654394861</v>
      </c>
      <c r="O329" s="81"/>
    </row>
    <row r="330" spans="1:15" x14ac:dyDescent="0.2">
      <c r="A330" s="27" t="s">
        <v>112</v>
      </c>
      <c r="B330" s="2" t="s">
        <v>40</v>
      </c>
      <c r="C330" s="28">
        <v>0</v>
      </c>
      <c r="D330" s="28">
        <v>0</v>
      </c>
      <c r="E330" s="28">
        <v>0</v>
      </c>
      <c r="F330" s="28">
        <v>0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81"/>
    </row>
    <row r="331" spans="1:15" x14ac:dyDescent="0.2">
      <c r="A331" s="27" t="s">
        <v>116</v>
      </c>
      <c r="B331" s="2" t="s">
        <v>44</v>
      </c>
      <c r="C331" s="28">
        <v>0</v>
      </c>
      <c r="D331" s="28">
        <v>0</v>
      </c>
      <c r="E331" s="28">
        <v>0</v>
      </c>
      <c r="F331" s="28">
        <v>0</v>
      </c>
      <c r="G331" s="28">
        <v>0</v>
      </c>
      <c r="H331" s="28">
        <v>0</v>
      </c>
      <c r="I331" s="28">
        <v>11074.516767235031</v>
      </c>
      <c r="J331" s="28">
        <v>0</v>
      </c>
      <c r="K331" s="28">
        <v>11803.492702520778</v>
      </c>
      <c r="L331" s="28">
        <v>0</v>
      </c>
      <c r="M331" s="28">
        <v>62315.108072220413</v>
      </c>
      <c r="N331" s="28">
        <v>85193.117541976215</v>
      </c>
      <c r="O331" s="81"/>
    </row>
    <row r="332" spans="1:15" x14ac:dyDescent="0.2">
      <c r="A332" s="27" t="s">
        <v>107</v>
      </c>
      <c r="B332" s="2" t="s">
        <v>35</v>
      </c>
      <c r="C332" s="28">
        <v>0</v>
      </c>
      <c r="D332" s="28">
        <v>0</v>
      </c>
      <c r="E332" s="28">
        <v>0</v>
      </c>
      <c r="F332" s="28">
        <v>0</v>
      </c>
      <c r="G332" s="28">
        <v>0</v>
      </c>
      <c r="H332" s="28">
        <v>0</v>
      </c>
      <c r="I332" s="28">
        <v>0</v>
      </c>
      <c r="J332" s="28">
        <v>0</v>
      </c>
      <c r="K332" s="28">
        <v>0</v>
      </c>
      <c r="L332" s="28">
        <v>0</v>
      </c>
      <c r="M332" s="28">
        <v>2254.8932054228749</v>
      </c>
      <c r="N332" s="28">
        <v>2254.8932054228749</v>
      </c>
      <c r="O332" s="81"/>
    </row>
    <row r="333" spans="1:15" x14ac:dyDescent="0.2">
      <c r="A333" s="27" t="s">
        <v>100</v>
      </c>
      <c r="B333" s="2" t="s">
        <v>28</v>
      </c>
      <c r="C333" s="28">
        <v>0</v>
      </c>
      <c r="D333" s="28">
        <v>0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1421.0472798485107</v>
      </c>
      <c r="K333" s="28">
        <v>0</v>
      </c>
      <c r="L333" s="28">
        <v>0</v>
      </c>
      <c r="M333" s="28">
        <v>14457.008708384001</v>
      </c>
      <c r="N333" s="28">
        <v>15878.055988232511</v>
      </c>
      <c r="O333" s="81"/>
    </row>
    <row r="334" spans="1:15" x14ac:dyDescent="0.2">
      <c r="A334" s="27" t="s">
        <v>108</v>
      </c>
      <c r="B334" s="2" t="s">
        <v>36</v>
      </c>
      <c r="C334" s="28">
        <v>0</v>
      </c>
      <c r="D334" s="28">
        <v>0</v>
      </c>
      <c r="E334" s="28">
        <v>0</v>
      </c>
      <c r="F334" s="28">
        <v>0</v>
      </c>
      <c r="G334" s="28">
        <v>0</v>
      </c>
      <c r="H334" s="28">
        <v>0</v>
      </c>
      <c r="I334" s="28">
        <v>0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81"/>
    </row>
    <row r="335" spans="1:15" x14ac:dyDescent="0.2">
      <c r="A335" s="27" t="s">
        <v>104</v>
      </c>
      <c r="B335" s="2" t="s">
        <v>32</v>
      </c>
      <c r="C335" s="28">
        <v>0</v>
      </c>
      <c r="D335" s="28">
        <v>0</v>
      </c>
      <c r="E335" s="28">
        <v>0</v>
      </c>
      <c r="F335" s="28">
        <v>0</v>
      </c>
      <c r="G335" s="28">
        <v>0</v>
      </c>
      <c r="H335" s="28">
        <v>0</v>
      </c>
      <c r="I335" s="28">
        <v>0</v>
      </c>
      <c r="J335" s="28">
        <v>0</v>
      </c>
      <c r="K335" s="28">
        <v>0</v>
      </c>
      <c r="L335" s="28">
        <v>0</v>
      </c>
      <c r="M335" s="28">
        <v>0</v>
      </c>
      <c r="N335" s="28">
        <v>0</v>
      </c>
      <c r="O335" s="81"/>
    </row>
    <row r="336" spans="1:15" x14ac:dyDescent="0.2">
      <c r="A336" s="27" t="s">
        <v>105</v>
      </c>
      <c r="B336" s="2" t="s">
        <v>33</v>
      </c>
      <c r="C336" s="28">
        <v>3827.9138075657397</v>
      </c>
      <c r="D336" s="28">
        <v>0</v>
      </c>
      <c r="E336" s="28">
        <v>0</v>
      </c>
      <c r="F336" s="28">
        <v>0</v>
      </c>
      <c r="G336" s="28">
        <v>0</v>
      </c>
      <c r="H336" s="28">
        <v>0</v>
      </c>
      <c r="I336" s="28">
        <v>0</v>
      </c>
      <c r="J336" s="28">
        <v>0</v>
      </c>
      <c r="K336" s="28">
        <v>0</v>
      </c>
      <c r="L336" s="28">
        <v>0</v>
      </c>
      <c r="M336" s="28">
        <v>10625.270991277623</v>
      </c>
      <c r="N336" s="28">
        <v>14453.184798843362</v>
      </c>
      <c r="O336" s="81"/>
    </row>
    <row r="337" spans="1:15" x14ac:dyDescent="0.2">
      <c r="A337" s="27" t="s">
        <v>109</v>
      </c>
      <c r="B337" s="2" t="s">
        <v>37</v>
      </c>
      <c r="C337" s="28">
        <v>0</v>
      </c>
      <c r="D337" s="28">
        <v>0</v>
      </c>
      <c r="E337" s="28">
        <v>0</v>
      </c>
      <c r="F337" s="28">
        <v>0</v>
      </c>
      <c r="G337" s="28">
        <v>0</v>
      </c>
      <c r="H337" s="28">
        <v>0</v>
      </c>
      <c r="I337" s="28">
        <v>0</v>
      </c>
      <c r="J337" s="28">
        <v>0</v>
      </c>
      <c r="K337" s="28">
        <v>0</v>
      </c>
      <c r="L337" s="28">
        <v>0</v>
      </c>
      <c r="M337" s="28">
        <v>0</v>
      </c>
      <c r="N337" s="28">
        <v>0</v>
      </c>
      <c r="O337" s="81"/>
    </row>
    <row r="338" spans="1:15" x14ac:dyDescent="0.2">
      <c r="A338" s="27" t="s">
        <v>96</v>
      </c>
      <c r="B338" s="2" t="s">
        <v>24</v>
      </c>
      <c r="C338" s="28">
        <v>0</v>
      </c>
      <c r="D338" s="28">
        <v>0</v>
      </c>
      <c r="E338" s="28">
        <v>0</v>
      </c>
      <c r="F338" s="28">
        <v>0</v>
      </c>
      <c r="G338" s="28">
        <v>0</v>
      </c>
      <c r="H338" s="28">
        <v>0</v>
      </c>
      <c r="I338" s="28">
        <v>0</v>
      </c>
      <c r="J338" s="28">
        <v>0</v>
      </c>
      <c r="K338" s="28">
        <v>0</v>
      </c>
      <c r="L338" s="28">
        <v>0</v>
      </c>
      <c r="M338" s="28">
        <v>4256.4005975687678</v>
      </c>
      <c r="N338" s="28">
        <v>4256.4005975687678</v>
      </c>
      <c r="O338" s="81"/>
    </row>
    <row r="339" spans="1:15" x14ac:dyDescent="0.2">
      <c r="A339" s="27" t="s">
        <v>120</v>
      </c>
      <c r="B339" s="2" t="s">
        <v>48</v>
      </c>
      <c r="C339" s="28">
        <v>0</v>
      </c>
      <c r="D339" s="28">
        <v>0</v>
      </c>
      <c r="E339" s="28">
        <v>0</v>
      </c>
      <c r="F339" s="28">
        <v>0</v>
      </c>
      <c r="G339" s="28">
        <v>0</v>
      </c>
      <c r="H339" s="28">
        <v>0</v>
      </c>
      <c r="I339" s="28">
        <v>0</v>
      </c>
      <c r="J339" s="28">
        <v>0</v>
      </c>
      <c r="K339" s="28">
        <v>0</v>
      </c>
      <c r="L339" s="28">
        <v>0</v>
      </c>
      <c r="M339" s="28">
        <v>318.48522136339398</v>
      </c>
      <c r="N339" s="28">
        <v>318.48522136339398</v>
      </c>
      <c r="O339" s="81"/>
    </row>
    <row r="340" spans="1:15" x14ac:dyDescent="0.2">
      <c r="A340" s="27" t="s">
        <v>102</v>
      </c>
      <c r="B340" s="2" t="s">
        <v>30</v>
      </c>
      <c r="C340" s="28">
        <v>0</v>
      </c>
      <c r="D340" s="28">
        <v>0</v>
      </c>
      <c r="E340" s="28">
        <v>0</v>
      </c>
      <c r="F340" s="28">
        <v>0</v>
      </c>
      <c r="G340" s="28">
        <v>0</v>
      </c>
      <c r="H340" s="28">
        <v>0</v>
      </c>
      <c r="I340" s="28">
        <v>12253.978051651404</v>
      </c>
      <c r="J340" s="28">
        <v>0</v>
      </c>
      <c r="K340" s="28">
        <v>0</v>
      </c>
      <c r="L340" s="28">
        <v>0</v>
      </c>
      <c r="M340" s="28">
        <v>25327.740239421368</v>
      </c>
      <c r="N340" s="28">
        <v>37581.718291072772</v>
      </c>
      <c r="O340" s="81"/>
    </row>
    <row r="341" spans="1:15" x14ac:dyDescent="0.2">
      <c r="A341" s="27" t="s">
        <v>98</v>
      </c>
      <c r="B341" s="2" t="s">
        <v>26</v>
      </c>
      <c r="C341" s="28">
        <v>0</v>
      </c>
      <c r="D341" s="28">
        <v>555.85461392400828</v>
      </c>
      <c r="E341" s="28">
        <v>0</v>
      </c>
      <c r="F341" s="28">
        <v>0</v>
      </c>
      <c r="G341" s="28">
        <v>0</v>
      </c>
      <c r="H341" s="28">
        <v>0</v>
      </c>
      <c r="I341" s="28">
        <v>176566.8670691429</v>
      </c>
      <c r="J341" s="28">
        <v>0</v>
      </c>
      <c r="K341" s="28">
        <v>24359.915709673332</v>
      </c>
      <c r="L341" s="28">
        <v>0</v>
      </c>
      <c r="M341" s="28">
        <v>317207.92076679645</v>
      </c>
      <c r="N341" s="28">
        <v>518690.55815953668</v>
      </c>
      <c r="O341" s="81"/>
    </row>
    <row r="342" spans="1:15" x14ac:dyDescent="0.2">
      <c r="A342" s="27" t="s">
        <v>93</v>
      </c>
      <c r="B342" s="2" t="s">
        <v>21</v>
      </c>
      <c r="C342" s="28">
        <v>0</v>
      </c>
      <c r="D342" s="28">
        <v>0</v>
      </c>
      <c r="E342" s="28">
        <v>0</v>
      </c>
      <c r="F342" s="28">
        <v>0</v>
      </c>
      <c r="G342" s="28">
        <v>0</v>
      </c>
      <c r="H342" s="28">
        <v>0</v>
      </c>
      <c r="I342" s="28">
        <v>0</v>
      </c>
      <c r="J342" s="28">
        <v>0</v>
      </c>
      <c r="K342" s="28">
        <v>25120.179672218121</v>
      </c>
      <c r="L342" s="28">
        <v>0</v>
      </c>
      <c r="M342" s="28">
        <v>0</v>
      </c>
      <c r="N342" s="28">
        <v>25120.179672218121</v>
      </c>
      <c r="O342" s="81"/>
    </row>
    <row r="343" spans="1:15" x14ac:dyDescent="0.2">
      <c r="A343" s="27" t="s">
        <v>115</v>
      </c>
      <c r="B343" s="2" t="s">
        <v>43</v>
      </c>
      <c r="C343" s="28">
        <v>0</v>
      </c>
      <c r="D343" s="28">
        <v>481.52285045653696</v>
      </c>
      <c r="E343" s="28">
        <v>16.818261720727278</v>
      </c>
      <c r="F343" s="28">
        <v>0</v>
      </c>
      <c r="G343" s="28">
        <v>0</v>
      </c>
      <c r="H343" s="28">
        <v>0</v>
      </c>
      <c r="I343" s="28">
        <v>96.104352689870183</v>
      </c>
      <c r="J343" s="28">
        <v>0</v>
      </c>
      <c r="K343" s="28">
        <v>0</v>
      </c>
      <c r="L343" s="28">
        <v>0</v>
      </c>
      <c r="M343" s="28">
        <v>812.64238895342714</v>
      </c>
      <c r="N343" s="28">
        <v>1407.0878538205616</v>
      </c>
      <c r="O343" s="81"/>
    </row>
    <row r="344" spans="1:15" x14ac:dyDescent="0.2">
      <c r="A344" s="27" t="s">
        <v>111</v>
      </c>
      <c r="B344" s="2" t="s">
        <v>39</v>
      </c>
      <c r="C344" s="28">
        <v>423.01932575657844</v>
      </c>
      <c r="D344" s="28">
        <v>0</v>
      </c>
      <c r="E344" s="28">
        <v>0</v>
      </c>
      <c r="F344" s="28">
        <v>0</v>
      </c>
      <c r="G344" s="28">
        <v>0</v>
      </c>
      <c r="H344" s="28">
        <v>0</v>
      </c>
      <c r="I344" s="28">
        <v>0</v>
      </c>
      <c r="J344" s="28">
        <v>0</v>
      </c>
      <c r="K344" s="28">
        <v>0</v>
      </c>
      <c r="L344" s="28">
        <v>0</v>
      </c>
      <c r="M344" s="28">
        <v>0</v>
      </c>
      <c r="N344" s="28">
        <v>423.01932575657844</v>
      </c>
      <c r="O344" s="81"/>
    </row>
    <row r="345" spans="1:15" x14ac:dyDescent="0.2">
      <c r="A345" s="27" t="s">
        <v>118</v>
      </c>
      <c r="B345" s="2" t="s">
        <v>46</v>
      </c>
      <c r="C345" s="28">
        <v>0</v>
      </c>
      <c r="D345" s="28">
        <v>0</v>
      </c>
      <c r="E345" s="28">
        <v>0</v>
      </c>
      <c r="F345" s="28">
        <v>0</v>
      </c>
      <c r="G345" s="28">
        <v>0</v>
      </c>
      <c r="H345" s="28">
        <v>0</v>
      </c>
      <c r="I345" s="28">
        <v>0</v>
      </c>
      <c r="J345" s="28">
        <v>0</v>
      </c>
      <c r="K345" s="28">
        <v>0</v>
      </c>
      <c r="L345" s="28">
        <v>0</v>
      </c>
      <c r="M345" s="28">
        <v>0</v>
      </c>
      <c r="N345" s="28">
        <v>0</v>
      </c>
      <c r="O345" s="81"/>
    </row>
    <row r="346" spans="1:15" x14ac:dyDescent="0.2">
      <c r="A346" s="27" t="s">
        <v>124</v>
      </c>
      <c r="B346" s="2" t="s">
        <v>52</v>
      </c>
      <c r="C346" s="28">
        <v>213.80571238422556</v>
      </c>
      <c r="D346" s="28">
        <v>0</v>
      </c>
      <c r="E346" s="28">
        <v>0</v>
      </c>
      <c r="F346" s="28">
        <v>0</v>
      </c>
      <c r="G346" s="28">
        <v>64.14171371526767</v>
      </c>
      <c r="H346" s="28">
        <v>0</v>
      </c>
      <c r="I346" s="28">
        <v>0</v>
      </c>
      <c r="J346" s="28">
        <v>0</v>
      </c>
      <c r="K346" s="28">
        <v>0</v>
      </c>
      <c r="L346" s="28">
        <v>0</v>
      </c>
      <c r="M346" s="28">
        <v>1366.2185021352013</v>
      </c>
      <c r="N346" s="28">
        <v>1644.1659282346945</v>
      </c>
      <c r="O346" s="81"/>
    </row>
    <row r="347" spans="1:15" x14ac:dyDescent="0.2">
      <c r="A347" s="27" t="s">
        <v>123</v>
      </c>
      <c r="B347" s="2" t="s">
        <v>51</v>
      </c>
      <c r="C347" s="28">
        <v>0</v>
      </c>
      <c r="D347" s="28">
        <v>0</v>
      </c>
      <c r="E347" s="28">
        <v>0</v>
      </c>
      <c r="F347" s="28">
        <v>0</v>
      </c>
      <c r="G347" s="28">
        <v>0</v>
      </c>
      <c r="H347" s="28">
        <v>0</v>
      </c>
      <c r="I347" s="28">
        <v>1573.4907729037006</v>
      </c>
      <c r="J347" s="28">
        <v>314.69815458074015</v>
      </c>
      <c r="K347" s="28">
        <v>0</v>
      </c>
      <c r="L347" s="28">
        <v>0</v>
      </c>
      <c r="M347" s="28">
        <v>4022.1368417874414</v>
      </c>
      <c r="N347" s="28">
        <v>5910.3257692718817</v>
      </c>
      <c r="O347" s="81"/>
    </row>
    <row r="348" spans="1:15" x14ac:dyDescent="0.2">
      <c r="A348" s="27" t="s">
        <v>126</v>
      </c>
      <c r="B348" s="2" t="s">
        <v>54</v>
      </c>
      <c r="C348" s="28">
        <v>0</v>
      </c>
      <c r="D348" s="28">
        <v>0</v>
      </c>
      <c r="E348" s="28">
        <v>0</v>
      </c>
      <c r="F348" s="28">
        <v>0</v>
      </c>
      <c r="G348" s="28">
        <v>0</v>
      </c>
      <c r="H348" s="28">
        <v>0</v>
      </c>
      <c r="I348" s="28">
        <v>0</v>
      </c>
      <c r="J348" s="28">
        <v>0</v>
      </c>
      <c r="K348" s="28">
        <v>0</v>
      </c>
      <c r="L348" s="28">
        <v>0</v>
      </c>
      <c r="M348" s="28">
        <v>0</v>
      </c>
      <c r="N348" s="28">
        <v>0</v>
      </c>
      <c r="O348" s="81"/>
    </row>
    <row r="349" spans="1:15" x14ac:dyDescent="0.2">
      <c r="A349" s="27" t="s">
        <v>129</v>
      </c>
      <c r="B349" s="2" t="s">
        <v>57</v>
      </c>
      <c r="C349" s="28">
        <v>0</v>
      </c>
      <c r="D349" s="28">
        <v>120.69592630574934</v>
      </c>
      <c r="E349" s="28">
        <v>0</v>
      </c>
      <c r="F349" s="28">
        <v>0</v>
      </c>
      <c r="G349" s="28">
        <v>0</v>
      </c>
      <c r="H349" s="28">
        <v>0</v>
      </c>
      <c r="I349" s="28">
        <v>21.476411533238284</v>
      </c>
      <c r="J349" s="28">
        <v>0</v>
      </c>
      <c r="K349" s="28">
        <v>28.993155569871686</v>
      </c>
      <c r="L349" s="28">
        <v>0</v>
      </c>
      <c r="M349" s="28">
        <v>1400096.6146367216</v>
      </c>
      <c r="N349" s="28">
        <v>1400267.7801301305</v>
      </c>
      <c r="O349" s="81"/>
    </row>
    <row r="350" spans="1:15" x14ac:dyDescent="0.2">
      <c r="A350" s="27" t="s">
        <v>128</v>
      </c>
      <c r="B350" s="2" t="s">
        <v>56</v>
      </c>
      <c r="C350" s="28">
        <v>0</v>
      </c>
      <c r="D350" s="28">
        <v>0</v>
      </c>
      <c r="E350" s="28">
        <v>0</v>
      </c>
      <c r="F350" s="28">
        <v>0</v>
      </c>
      <c r="G350" s="28">
        <v>0</v>
      </c>
      <c r="H350" s="28">
        <v>0</v>
      </c>
      <c r="I350" s="28">
        <v>0</v>
      </c>
      <c r="J350" s="28">
        <v>0</v>
      </c>
      <c r="K350" s="28">
        <v>0</v>
      </c>
      <c r="L350" s="28">
        <v>0</v>
      </c>
      <c r="M350" s="28">
        <v>3033.1788950029954</v>
      </c>
      <c r="N350" s="28">
        <v>3033.1788950029954</v>
      </c>
      <c r="O350" s="81"/>
    </row>
    <row r="351" spans="1:15" x14ac:dyDescent="0.2">
      <c r="A351" s="27" t="s">
        <v>127</v>
      </c>
      <c r="B351" s="2" t="s">
        <v>55</v>
      </c>
      <c r="C351" s="28">
        <v>0</v>
      </c>
      <c r="D351" s="28">
        <v>0</v>
      </c>
      <c r="E351" s="28">
        <v>0</v>
      </c>
      <c r="F351" s="28">
        <v>0</v>
      </c>
      <c r="G351" s="28">
        <v>0</v>
      </c>
      <c r="H351" s="28">
        <v>0</v>
      </c>
      <c r="I351" s="28">
        <v>0</v>
      </c>
      <c r="J351" s="28">
        <v>0</v>
      </c>
      <c r="K351" s="28">
        <v>0</v>
      </c>
      <c r="L351" s="28">
        <v>0</v>
      </c>
      <c r="M351" s="28">
        <v>0</v>
      </c>
      <c r="N351" s="28">
        <v>0</v>
      </c>
      <c r="O351" s="81"/>
    </row>
    <row r="352" spans="1:15" x14ac:dyDescent="0.2">
      <c r="A352" s="27" t="s">
        <v>125</v>
      </c>
      <c r="B352" s="2" t="s">
        <v>53</v>
      </c>
      <c r="C352" s="28">
        <v>2504.6738721481493</v>
      </c>
      <c r="D352" s="28">
        <v>0</v>
      </c>
      <c r="E352" s="28">
        <v>1176.3927259449179</v>
      </c>
      <c r="F352" s="28">
        <v>0</v>
      </c>
      <c r="G352" s="28">
        <v>0</v>
      </c>
      <c r="H352" s="28">
        <v>0</v>
      </c>
      <c r="I352" s="28">
        <v>715.28968867179003</v>
      </c>
      <c r="J352" s="28">
        <v>0</v>
      </c>
      <c r="K352" s="28">
        <v>0</v>
      </c>
      <c r="L352" s="28">
        <v>0</v>
      </c>
      <c r="M352" s="28">
        <v>6859.0920244375684</v>
      </c>
      <c r="N352" s="28">
        <v>11255.448311202425</v>
      </c>
      <c r="O352" s="81"/>
    </row>
    <row r="353" spans="1:15" x14ac:dyDescent="0.2">
      <c r="A353" s="27" t="s">
        <v>130</v>
      </c>
      <c r="B353" s="2" t="s">
        <v>58</v>
      </c>
      <c r="C353" s="28">
        <v>0</v>
      </c>
      <c r="D353" s="28">
        <v>0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  <c r="K353" s="28">
        <v>86765.425622327486</v>
      </c>
      <c r="L353" s="28">
        <v>0</v>
      </c>
      <c r="M353" s="28">
        <v>0</v>
      </c>
      <c r="N353" s="28">
        <v>86765.425622327486</v>
      </c>
      <c r="O353" s="81"/>
    </row>
    <row r="354" spans="1:15" x14ac:dyDescent="0.2">
      <c r="A354" s="27" t="s">
        <v>122</v>
      </c>
      <c r="B354" s="2" t="s">
        <v>50</v>
      </c>
      <c r="C354" s="28">
        <v>30.95053425297613</v>
      </c>
      <c r="D354" s="28">
        <v>0</v>
      </c>
      <c r="E354" s="28">
        <v>0</v>
      </c>
      <c r="F354" s="28">
        <v>0</v>
      </c>
      <c r="G354" s="28">
        <v>0</v>
      </c>
      <c r="H354" s="28">
        <v>0</v>
      </c>
      <c r="I354" s="28">
        <v>0</v>
      </c>
      <c r="J354" s="28">
        <v>0</v>
      </c>
      <c r="K354" s="28">
        <v>0</v>
      </c>
      <c r="L354" s="28">
        <v>0</v>
      </c>
      <c r="M354" s="28">
        <v>1702.2793839136871</v>
      </c>
      <c r="N354" s="28">
        <v>1733.2299181666633</v>
      </c>
      <c r="O354" s="81"/>
    </row>
    <row r="355" spans="1:15" x14ac:dyDescent="0.2">
      <c r="A355" s="4"/>
      <c r="B355" s="4" t="s">
        <v>59</v>
      </c>
      <c r="C355" s="28">
        <v>812670.18691735924</v>
      </c>
      <c r="D355" s="28">
        <v>1158.0733906862945</v>
      </c>
      <c r="E355" s="28">
        <v>1234.25522569647</v>
      </c>
      <c r="F355" s="28">
        <v>0</v>
      </c>
      <c r="G355" s="28">
        <v>64.14171371526767</v>
      </c>
      <c r="H355" s="28">
        <v>0</v>
      </c>
      <c r="I355" s="28">
        <v>202301.72311382793</v>
      </c>
      <c r="J355" s="28">
        <v>2671.0883392342057</v>
      </c>
      <c r="K355" s="28">
        <v>148078.00686230959</v>
      </c>
      <c r="L355" s="28">
        <v>0</v>
      </c>
      <c r="M355" s="28">
        <v>1936466.191756581</v>
      </c>
      <c r="N355" s="28">
        <v>3104643.66731941</v>
      </c>
      <c r="O355" s="81"/>
    </row>
    <row r="358" spans="1:15" x14ac:dyDescent="0.2">
      <c r="A358" s="99" t="s">
        <v>344</v>
      </c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57"/>
    </row>
    <row r="359" spans="1:15" x14ac:dyDescent="0.2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57"/>
    </row>
    <row r="360" spans="1:15" x14ac:dyDescent="0.2">
      <c r="A360" s="100" t="s">
        <v>0</v>
      </c>
      <c r="B360" s="100" t="s">
        <v>1</v>
      </c>
      <c r="C360" s="100" t="s">
        <v>139</v>
      </c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 t="s">
        <v>66</v>
      </c>
      <c r="O360" s="80"/>
    </row>
    <row r="361" spans="1:15" x14ac:dyDescent="0.2">
      <c r="A361" s="100"/>
      <c r="B361" s="100"/>
      <c r="C361" s="26" t="s">
        <v>71</v>
      </c>
      <c r="D361" s="26" t="s">
        <v>64</v>
      </c>
      <c r="E361" s="26" t="s">
        <v>72</v>
      </c>
      <c r="F361" s="26" t="s">
        <v>73</v>
      </c>
      <c r="G361" s="26" t="s">
        <v>74</v>
      </c>
      <c r="H361" s="26" t="s">
        <v>75</v>
      </c>
      <c r="I361" s="26" t="s">
        <v>63</v>
      </c>
      <c r="J361" s="26" t="s">
        <v>62</v>
      </c>
      <c r="K361" s="26" t="s">
        <v>76</v>
      </c>
      <c r="L361" s="26" t="s">
        <v>77</v>
      </c>
      <c r="M361" s="26" t="s">
        <v>78</v>
      </c>
      <c r="N361" s="100"/>
      <c r="O361" s="80"/>
    </row>
    <row r="362" spans="1:15" x14ac:dyDescent="0.2">
      <c r="A362" s="27" t="s">
        <v>110</v>
      </c>
      <c r="B362" s="2" t="s">
        <v>38</v>
      </c>
      <c r="C362" s="28">
        <v>1238648.7251222876</v>
      </c>
      <c r="D362" s="28">
        <v>619324.36256114382</v>
      </c>
      <c r="E362" s="28">
        <v>371594.6175366863</v>
      </c>
      <c r="F362" s="28">
        <v>0</v>
      </c>
      <c r="G362" s="28">
        <v>0</v>
      </c>
      <c r="H362" s="28">
        <v>0</v>
      </c>
      <c r="I362" s="28">
        <v>0</v>
      </c>
      <c r="J362" s="28">
        <v>0</v>
      </c>
      <c r="K362" s="28">
        <v>0</v>
      </c>
      <c r="L362" s="28">
        <v>0</v>
      </c>
      <c r="M362" s="28">
        <v>0</v>
      </c>
      <c r="N362" s="28">
        <v>2229567.7052201177</v>
      </c>
      <c r="O362" s="81"/>
    </row>
    <row r="363" spans="1:15" x14ac:dyDescent="0.2">
      <c r="A363" s="27" t="s">
        <v>113</v>
      </c>
      <c r="B363" s="2" t="s">
        <v>41</v>
      </c>
      <c r="C363" s="28">
        <v>0</v>
      </c>
      <c r="D363" s="28">
        <v>0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  <c r="K363" s="28">
        <v>0</v>
      </c>
      <c r="L363" s="28">
        <v>0</v>
      </c>
      <c r="M363" s="28">
        <v>0</v>
      </c>
      <c r="N363" s="28">
        <v>0</v>
      </c>
      <c r="O363" s="81"/>
    </row>
    <row r="364" spans="1:15" x14ac:dyDescent="0.2">
      <c r="A364" s="27" t="s">
        <v>119</v>
      </c>
      <c r="B364" s="2" t="s">
        <v>47</v>
      </c>
      <c r="C364" s="28">
        <v>317317265.83569968</v>
      </c>
      <c r="D364" s="28">
        <v>317951900.36737108</v>
      </c>
      <c r="E364" s="28">
        <v>317951900.36737108</v>
      </c>
      <c r="F364" s="28">
        <v>317951900.36737108</v>
      </c>
      <c r="G364" s="28">
        <v>317317265.83569968</v>
      </c>
      <c r="H364" s="28">
        <v>1586586.3291784986</v>
      </c>
      <c r="I364" s="28">
        <v>0</v>
      </c>
      <c r="J364" s="28">
        <v>3284233.7013994921</v>
      </c>
      <c r="K364" s="28">
        <v>0</v>
      </c>
      <c r="L364" s="28">
        <v>0</v>
      </c>
      <c r="M364" s="28">
        <v>634634.53167139937</v>
      </c>
      <c r="N364" s="28">
        <v>1593995687.3357618</v>
      </c>
      <c r="O364" s="81"/>
    </row>
    <row r="365" spans="1:15" x14ac:dyDescent="0.2">
      <c r="A365" s="27" t="s">
        <v>121</v>
      </c>
      <c r="B365" s="2" t="s">
        <v>49</v>
      </c>
      <c r="C365" s="28">
        <v>836.18720591128726</v>
      </c>
      <c r="D365" s="28">
        <v>418.09360295564363</v>
      </c>
      <c r="E365" s="28">
        <v>836.18720591128726</v>
      </c>
      <c r="F365" s="28">
        <v>0</v>
      </c>
      <c r="G365" s="28">
        <v>0</v>
      </c>
      <c r="H365" s="28">
        <v>0</v>
      </c>
      <c r="I365" s="28">
        <v>0</v>
      </c>
      <c r="J365" s="28">
        <v>2976826.4530441831</v>
      </c>
      <c r="K365" s="28">
        <v>0</v>
      </c>
      <c r="L365" s="28">
        <v>0</v>
      </c>
      <c r="M365" s="28">
        <v>0</v>
      </c>
      <c r="N365" s="28">
        <v>2978916.9210589612</v>
      </c>
      <c r="O365" s="81"/>
    </row>
    <row r="366" spans="1:15" x14ac:dyDescent="0.2">
      <c r="A366" s="27" t="s">
        <v>95</v>
      </c>
      <c r="B366" s="2" t="s">
        <v>23</v>
      </c>
      <c r="C366" s="28">
        <v>0</v>
      </c>
      <c r="D366" s="28">
        <v>0</v>
      </c>
      <c r="E366" s="28">
        <v>0</v>
      </c>
      <c r="F366" s="28">
        <v>0</v>
      </c>
      <c r="G366" s="28">
        <v>0</v>
      </c>
      <c r="H366" s="28">
        <v>0</v>
      </c>
      <c r="I366" s="28">
        <v>0</v>
      </c>
      <c r="J366" s="28">
        <v>0</v>
      </c>
      <c r="K366" s="28">
        <v>0</v>
      </c>
      <c r="L366" s="28">
        <v>0</v>
      </c>
      <c r="M366" s="28">
        <v>0</v>
      </c>
      <c r="N366" s="28">
        <v>0</v>
      </c>
      <c r="O366" s="81"/>
    </row>
    <row r="367" spans="1:15" x14ac:dyDescent="0.2">
      <c r="A367" s="27" t="s">
        <v>101</v>
      </c>
      <c r="B367" s="2" t="s">
        <v>29</v>
      </c>
      <c r="C367" s="28">
        <v>0</v>
      </c>
      <c r="D367" s="28">
        <v>0</v>
      </c>
      <c r="E367" s="28">
        <v>0</v>
      </c>
      <c r="F367" s="28">
        <v>0</v>
      </c>
      <c r="G367" s="28">
        <v>0</v>
      </c>
      <c r="H367" s="28">
        <v>0</v>
      </c>
      <c r="I367" s="28">
        <v>0</v>
      </c>
      <c r="J367" s="28">
        <v>0</v>
      </c>
      <c r="K367" s="28">
        <v>0</v>
      </c>
      <c r="L367" s="28">
        <v>0</v>
      </c>
      <c r="M367" s="28">
        <v>0</v>
      </c>
      <c r="N367" s="28">
        <v>0</v>
      </c>
      <c r="O367" s="81"/>
    </row>
    <row r="368" spans="1:15" x14ac:dyDescent="0.2">
      <c r="A368" s="27" t="s">
        <v>106</v>
      </c>
      <c r="B368" s="2" t="s">
        <v>34</v>
      </c>
      <c r="C368" s="28">
        <v>0</v>
      </c>
      <c r="D368" s="28">
        <v>0</v>
      </c>
      <c r="E368" s="28">
        <v>0</v>
      </c>
      <c r="F368" s="28">
        <v>0</v>
      </c>
      <c r="G368" s="28">
        <v>0</v>
      </c>
      <c r="H368" s="28">
        <v>0</v>
      </c>
      <c r="I368" s="28">
        <v>0</v>
      </c>
      <c r="J368" s="28">
        <v>0</v>
      </c>
      <c r="K368" s="28">
        <v>0</v>
      </c>
      <c r="L368" s="28">
        <v>0</v>
      </c>
      <c r="M368" s="28">
        <v>42121336.958519787</v>
      </c>
      <c r="N368" s="28">
        <v>42121336.958519787</v>
      </c>
      <c r="O368" s="81"/>
    </row>
    <row r="369" spans="1:15" x14ac:dyDescent="0.2">
      <c r="A369" s="27" t="s">
        <v>103</v>
      </c>
      <c r="B369" s="2" t="s">
        <v>31</v>
      </c>
      <c r="C369" s="28">
        <v>0</v>
      </c>
      <c r="D369" s="28">
        <v>0</v>
      </c>
      <c r="E369" s="28">
        <v>0</v>
      </c>
      <c r="F369" s="28">
        <v>0</v>
      </c>
      <c r="G369" s="28">
        <v>0</v>
      </c>
      <c r="H369" s="28">
        <v>0</v>
      </c>
      <c r="I369" s="28">
        <v>0</v>
      </c>
      <c r="J369" s="28">
        <v>0</v>
      </c>
      <c r="K369" s="28">
        <v>0</v>
      </c>
      <c r="L369" s="28">
        <v>0</v>
      </c>
      <c r="M369" s="28">
        <v>0</v>
      </c>
      <c r="N369" s="28">
        <v>0</v>
      </c>
      <c r="O369" s="81"/>
    </row>
    <row r="370" spans="1:15" x14ac:dyDescent="0.2">
      <c r="A370" s="27" t="s">
        <v>99</v>
      </c>
      <c r="B370" s="2" t="s">
        <v>27</v>
      </c>
      <c r="C370" s="28">
        <v>0</v>
      </c>
      <c r="D370" s="28">
        <v>0</v>
      </c>
      <c r="E370" s="28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0</v>
      </c>
      <c r="L370" s="28">
        <v>0</v>
      </c>
      <c r="M370" s="28">
        <v>0</v>
      </c>
      <c r="N370" s="28">
        <v>0</v>
      </c>
      <c r="O370" s="81"/>
    </row>
    <row r="371" spans="1:15" x14ac:dyDescent="0.2">
      <c r="A371" s="27" t="s">
        <v>94</v>
      </c>
      <c r="B371" s="2" t="s">
        <v>22</v>
      </c>
      <c r="C371" s="28">
        <v>14886330.65028609</v>
      </c>
      <c r="D371" s="28">
        <v>22031769.362423416</v>
      </c>
      <c r="E371" s="28">
        <v>24810551.083810154</v>
      </c>
      <c r="F371" s="28">
        <v>15824864.176684462</v>
      </c>
      <c r="G371" s="28">
        <v>496211.02167620306</v>
      </c>
      <c r="H371" s="28">
        <v>711235.79773589096</v>
      </c>
      <c r="I371" s="28">
        <v>49621.102167620302</v>
      </c>
      <c r="J371" s="28">
        <v>0</v>
      </c>
      <c r="K371" s="28">
        <v>41367458.84040612</v>
      </c>
      <c r="L371" s="28">
        <v>0</v>
      </c>
      <c r="M371" s="28">
        <v>81659793.800513819</v>
      </c>
      <c r="N371" s="28">
        <v>201837835.83570376</v>
      </c>
      <c r="O371" s="81"/>
    </row>
    <row r="372" spans="1:15" x14ac:dyDescent="0.2">
      <c r="A372" s="27" t="s">
        <v>97</v>
      </c>
      <c r="B372" s="2" t="s">
        <v>25</v>
      </c>
      <c r="C372" s="28">
        <v>0</v>
      </c>
      <c r="D372" s="28">
        <v>0</v>
      </c>
      <c r="E372" s="28">
        <v>0</v>
      </c>
      <c r="F372" s="28">
        <v>0</v>
      </c>
      <c r="G372" s="28">
        <v>0</v>
      </c>
      <c r="H372" s="28">
        <v>0</v>
      </c>
      <c r="I372" s="28">
        <v>0</v>
      </c>
      <c r="J372" s="28">
        <v>0</v>
      </c>
      <c r="K372" s="28">
        <v>0</v>
      </c>
      <c r="L372" s="28">
        <v>0</v>
      </c>
      <c r="M372" s="28">
        <v>0</v>
      </c>
      <c r="N372" s="28">
        <v>0</v>
      </c>
      <c r="O372" s="81"/>
    </row>
    <row r="373" spans="1:15" x14ac:dyDescent="0.2">
      <c r="A373" s="27" t="s">
        <v>117</v>
      </c>
      <c r="B373" s="2" t="s">
        <v>45</v>
      </c>
      <c r="C373" s="28">
        <v>0</v>
      </c>
      <c r="D373" s="28">
        <v>0</v>
      </c>
      <c r="E373" s="28">
        <v>0</v>
      </c>
      <c r="F373" s="28">
        <v>0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81"/>
    </row>
    <row r="374" spans="1:15" x14ac:dyDescent="0.2">
      <c r="A374" s="27" t="s">
        <v>114</v>
      </c>
      <c r="B374" s="2" t="s">
        <v>42</v>
      </c>
      <c r="C374" s="28">
        <v>0</v>
      </c>
      <c r="D374" s="28">
        <v>0</v>
      </c>
      <c r="E374" s="28">
        <v>0</v>
      </c>
      <c r="F374" s="28">
        <v>0</v>
      </c>
      <c r="G374" s="28">
        <v>0</v>
      </c>
      <c r="H374" s="28">
        <v>0</v>
      </c>
      <c r="I374" s="28">
        <v>0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81"/>
    </row>
    <row r="375" spans="1:15" x14ac:dyDescent="0.2">
      <c r="A375" s="27" t="s">
        <v>112</v>
      </c>
      <c r="B375" s="2" t="s">
        <v>40</v>
      </c>
      <c r="C375" s="28">
        <v>756456.88833032397</v>
      </c>
      <c r="D375" s="28">
        <v>505256.46951772488</v>
      </c>
      <c r="E375" s="28">
        <v>505446.84497722663</v>
      </c>
      <c r="F375" s="28">
        <v>252152.296110108</v>
      </c>
      <c r="G375" s="28">
        <v>252152.296110108</v>
      </c>
      <c r="H375" s="28">
        <v>951.87729750890139</v>
      </c>
      <c r="I375" s="28">
        <v>0</v>
      </c>
      <c r="J375" s="28">
        <v>0</v>
      </c>
      <c r="K375" s="28">
        <v>60352361.751378596</v>
      </c>
      <c r="L375" s="28">
        <v>0</v>
      </c>
      <c r="M375" s="28">
        <v>5487858.1833280688</v>
      </c>
      <c r="N375" s="28">
        <v>68112636.607049659</v>
      </c>
      <c r="O375" s="81"/>
    </row>
    <row r="376" spans="1:15" x14ac:dyDescent="0.2">
      <c r="A376" s="27" t="s">
        <v>116</v>
      </c>
      <c r="B376" s="2" t="s">
        <v>44</v>
      </c>
      <c r="C376" s="28">
        <v>66565.461401698398</v>
      </c>
      <c r="D376" s="28">
        <v>0</v>
      </c>
      <c r="E376" s="28">
        <v>11094.243566949734</v>
      </c>
      <c r="F376" s="28">
        <v>711806.66725549498</v>
      </c>
      <c r="G376" s="28">
        <v>0</v>
      </c>
      <c r="H376" s="28">
        <v>0</v>
      </c>
      <c r="I376" s="28">
        <v>2802518.4377667485</v>
      </c>
      <c r="J376" s="28">
        <v>1210603.858025555</v>
      </c>
      <c r="K376" s="28">
        <v>4437.6974267798942</v>
      </c>
      <c r="L376" s="28">
        <v>0</v>
      </c>
      <c r="M376" s="28">
        <v>9221801.5146942269</v>
      </c>
      <c r="N376" s="28">
        <v>14028827.880137455</v>
      </c>
      <c r="O376" s="81"/>
    </row>
    <row r="377" spans="1:15" x14ac:dyDescent="0.2">
      <c r="A377" s="27" t="s">
        <v>107</v>
      </c>
      <c r="B377" s="2" t="s">
        <v>35</v>
      </c>
      <c r="C377" s="28">
        <v>0</v>
      </c>
      <c r="D377" s="28">
        <v>0</v>
      </c>
      <c r="E377" s="28">
        <v>0</v>
      </c>
      <c r="F377" s="28">
        <v>0</v>
      </c>
      <c r="G377" s="28">
        <v>0</v>
      </c>
      <c r="H377" s="28">
        <v>0</v>
      </c>
      <c r="I377" s="28">
        <v>0</v>
      </c>
      <c r="J377" s="28">
        <v>0</v>
      </c>
      <c r="K377" s="28">
        <v>0</v>
      </c>
      <c r="L377" s="28">
        <v>0</v>
      </c>
      <c r="M377" s="28">
        <v>0</v>
      </c>
      <c r="N377" s="28">
        <v>0</v>
      </c>
      <c r="O377" s="81"/>
    </row>
    <row r="378" spans="1:15" x14ac:dyDescent="0.2">
      <c r="A378" s="27" t="s">
        <v>100</v>
      </c>
      <c r="B378" s="2" t="s">
        <v>28</v>
      </c>
      <c r="C378" s="28">
        <v>0</v>
      </c>
      <c r="D378" s="28">
        <v>0</v>
      </c>
      <c r="E378" s="28">
        <v>0</v>
      </c>
      <c r="F378" s="28">
        <v>0</v>
      </c>
      <c r="G378" s="28">
        <v>0</v>
      </c>
      <c r="H378" s="28">
        <v>0</v>
      </c>
      <c r="I378" s="28">
        <v>0</v>
      </c>
      <c r="J378" s="28">
        <v>0</v>
      </c>
      <c r="K378" s="28">
        <v>0</v>
      </c>
      <c r="L378" s="28">
        <v>0</v>
      </c>
      <c r="M378" s="28">
        <v>0</v>
      </c>
      <c r="N378" s="28">
        <v>0</v>
      </c>
      <c r="O378" s="81"/>
    </row>
    <row r="379" spans="1:15" x14ac:dyDescent="0.2">
      <c r="A379" s="27" t="s">
        <v>108</v>
      </c>
      <c r="B379" s="2" t="s">
        <v>36</v>
      </c>
      <c r="C379" s="28">
        <v>0</v>
      </c>
      <c r="D379" s="28">
        <v>0</v>
      </c>
      <c r="E379" s="28">
        <v>0</v>
      </c>
      <c r="F379" s="28">
        <v>0</v>
      </c>
      <c r="G379" s="28">
        <v>0</v>
      </c>
      <c r="H379" s="28">
        <v>0</v>
      </c>
      <c r="I379" s="28">
        <v>0</v>
      </c>
      <c r="J379" s="28">
        <v>0</v>
      </c>
      <c r="K379" s="28">
        <v>0</v>
      </c>
      <c r="L379" s="28">
        <v>0</v>
      </c>
      <c r="M379" s="28">
        <v>0</v>
      </c>
      <c r="N379" s="28">
        <v>0</v>
      </c>
      <c r="O379" s="81"/>
    </row>
    <row r="380" spans="1:15" x14ac:dyDescent="0.2">
      <c r="A380" s="27" t="s">
        <v>104</v>
      </c>
      <c r="B380" s="2" t="s">
        <v>32</v>
      </c>
      <c r="C380" s="28">
        <v>0</v>
      </c>
      <c r="D380" s="28">
        <v>0</v>
      </c>
      <c r="E380" s="28">
        <v>0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81"/>
    </row>
    <row r="381" spans="1:15" x14ac:dyDescent="0.2">
      <c r="A381" s="27" t="s">
        <v>105</v>
      </c>
      <c r="B381" s="2" t="s">
        <v>33</v>
      </c>
      <c r="C381" s="28">
        <v>0</v>
      </c>
      <c r="D381" s="28">
        <v>0</v>
      </c>
      <c r="E381" s="28">
        <v>0</v>
      </c>
      <c r="F381" s="28">
        <v>0</v>
      </c>
      <c r="G381" s="28">
        <v>0</v>
      </c>
      <c r="H381" s="28">
        <v>0</v>
      </c>
      <c r="I381" s="28">
        <v>0</v>
      </c>
      <c r="J381" s="28">
        <v>0</v>
      </c>
      <c r="K381" s="28">
        <v>0</v>
      </c>
      <c r="L381" s="28">
        <v>0</v>
      </c>
      <c r="M381" s="28">
        <v>89.697395843878809</v>
      </c>
      <c r="N381" s="28">
        <v>89.697395843878809</v>
      </c>
      <c r="O381" s="81"/>
    </row>
    <row r="382" spans="1:15" x14ac:dyDescent="0.2">
      <c r="A382" s="27" t="s">
        <v>109</v>
      </c>
      <c r="B382" s="2" t="s">
        <v>37</v>
      </c>
      <c r="C382" s="28">
        <v>0</v>
      </c>
      <c r="D382" s="28">
        <v>0</v>
      </c>
      <c r="E382" s="28">
        <v>0</v>
      </c>
      <c r="F382" s="28">
        <v>0</v>
      </c>
      <c r="G382" s="28">
        <v>0</v>
      </c>
      <c r="H382" s="28">
        <v>0</v>
      </c>
      <c r="I382" s="28">
        <v>0</v>
      </c>
      <c r="J382" s="28">
        <v>0</v>
      </c>
      <c r="K382" s="28">
        <v>0</v>
      </c>
      <c r="L382" s="28">
        <v>0</v>
      </c>
      <c r="M382" s="28">
        <v>0</v>
      </c>
      <c r="N382" s="28">
        <v>0</v>
      </c>
      <c r="O382" s="81"/>
    </row>
    <row r="383" spans="1:15" x14ac:dyDescent="0.2">
      <c r="A383" s="27" t="s">
        <v>96</v>
      </c>
      <c r="B383" s="2" t="s">
        <v>24</v>
      </c>
      <c r="C383" s="28">
        <v>0</v>
      </c>
      <c r="D383" s="28">
        <v>0</v>
      </c>
      <c r="E383" s="28">
        <v>0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  <c r="K383" s="28">
        <v>0</v>
      </c>
      <c r="L383" s="28">
        <v>0</v>
      </c>
      <c r="M383" s="28">
        <v>0</v>
      </c>
      <c r="N383" s="28">
        <v>0</v>
      </c>
      <c r="O383" s="81"/>
    </row>
    <row r="384" spans="1:15" x14ac:dyDescent="0.2">
      <c r="A384" s="27" t="s">
        <v>120</v>
      </c>
      <c r="B384" s="2" t="s">
        <v>48</v>
      </c>
      <c r="C384" s="28">
        <v>0</v>
      </c>
      <c r="D384" s="28">
        <v>0</v>
      </c>
      <c r="E384" s="28">
        <v>0</v>
      </c>
      <c r="F384" s="28">
        <v>0</v>
      </c>
      <c r="G384" s="28">
        <v>0</v>
      </c>
      <c r="H384" s="28">
        <v>0</v>
      </c>
      <c r="I384" s="28">
        <v>0</v>
      </c>
      <c r="J384" s="28">
        <v>0</v>
      </c>
      <c r="K384" s="28">
        <v>0</v>
      </c>
      <c r="L384" s="28">
        <v>0</v>
      </c>
      <c r="M384" s="28">
        <v>18160664.680758692</v>
      </c>
      <c r="N384" s="28">
        <v>18160664.680758692</v>
      </c>
      <c r="O384" s="81"/>
    </row>
    <row r="385" spans="1:15" x14ac:dyDescent="0.2">
      <c r="A385" s="27" t="s">
        <v>102</v>
      </c>
      <c r="B385" s="2" t="s">
        <v>30</v>
      </c>
      <c r="C385" s="28">
        <v>0</v>
      </c>
      <c r="D385" s="28">
        <v>467363.92862903071</v>
      </c>
      <c r="E385" s="28">
        <v>0</v>
      </c>
      <c r="F385" s="28">
        <v>467363.92862903071</v>
      </c>
      <c r="G385" s="28">
        <v>0</v>
      </c>
      <c r="H385" s="28">
        <v>0</v>
      </c>
      <c r="I385" s="28">
        <v>0</v>
      </c>
      <c r="J385" s="28">
        <v>0</v>
      </c>
      <c r="K385" s="28">
        <v>0</v>
      </c>
      <c r="L385" s="28">
        <v>0</v>
      </c>
      <c r="M385" s="28">
        <v>1059358.238225803</v>
      </c>
      <c r="N385" s="28">
        <v>1994086.0954838644</v>
      </c>
      <c r="O385" s="81"/>
    </row>
    <row r="386" spans="1:15" x14ac:dyDescent="0.2">
      <c r="A386" s="27" t="s">
        <v>98</v>
      </c>
      <c r="B386" s="2" t="s">
        <v>26</v>
      </c>
      <c r="C386" s="28">
        <v>0</v>
      </c>
      <c r="D386" s="28">
        <v>0</v>
      </c>
      <c r="E386" s="28">
        <v>0</v>
      </c>
      <c r="F386" s="28">
        <v>422920.58718629624</v>
      </c>
      <c r="G386" s="28">
        <v>634380.88077944436</v>
      </c>
      <c r="H386" s="28">
        <v>0</v>
      </c>
      <c r="I386" s="28">
        <v>2117140.4594545988</v>
      </c>
      <c r="J386" s="28">
        <v>0</v>
      </c>
      <c r="K386" s="28">
        <v>0</v>
      </c>
      <c r="L386" s="28">
        <v>0</v>
      </c>
      <c r="M386" s="28">
        <v>0</v>
      </c>
      <c r="N386" s="28">
        <v>3174441.9274203395</v>
      </c>
      <c r="O386" s="81"/>
    </row>
    <row r="387" spans="1:15" x14ac:dyDescent="0.2">
      <c r="A387" s="27" t="s">
        <v>93</v>
      </c>
      <c r="B387" s="2" t="s">
        <v>21</v>
      </c>
      <c r="C387" s="28">
        <v>0</v>
      </c>
      <c r="D387" s="28">
        <v>0</v>
      </c>
      <c r="E387" s="28">
        <v>0</v>
      </c>
      <c r="F387" s="28">
        <v>0</v>
      </c>
      <c r="G387" s="28">
        <v>0</v>
      </c>
      <c r="H387" s="28">
        <v>0</v>
      </c>
      <c r="I387" s="28">
        <v>0</v>
      </c>
      <c r="J387" s="28">
        <v>0</v>
      </c>
      <c r="K387" s="28">
        <v>0</v>
      </c>
      <c r="L387" s="28">
        <v>0</v>
      </c>
      <c r="M387" s="28">
        <v>0</v>
      </c>
      <c r="N387" s="28">
        <v>0</v>
      </c>
      <c r="O387" s="81"/>
    </row>
    <row r="388" spans="1:15" x14ac:dyDescent="0.2">
      <c r="A388" s="27" t="s">
        <v>115</v>
      </c>
      <c r="B388" s="2" t="s">
        <v>43</v>
      </c>
      <c r="C388" s="28">
        <v>0</v>
      </c>
      <c r="D388" s="28">
        <v>150609.32673504646</v>
      </c>
      <c r="E388" s="28">
        <v>50203.108911682153</v>
      </c>
      <c r="F388" s="28">
        <v>100406.21782336431</v>
      </c>
      <c r="G388" s="28">
        <v>0</v>
      </c>
      <c r="H388" s="28">
        <v>0</v>
      </c>
      <c r="I388" s="28">
        <v>0</v>
      </c>
      <c r="J388" s="28">
        <v>0</v>
      </c>
      <c r="K388" s="28">
        <v>0</v>
      </c>
      <c r="L388" s="28">
        <v>0</v>
      </c>
      <c r="M388" s="28">
        <v>386373.73668197793</v>
      </c>
      <c r="N388" s="28">
        <v>687592.3901520709</v>
      </c>
      <c r="O388" s="81"/>
    </row>
    <row r="389" spans="1:15" x14ac:dyDescent="0.2">
      <c r="A389" s="27" t="s">
        <v>111</v>
      </c>
      <c r="B389" s="2" t="s">
        <v>39</v>
      </c>
      <c r="C389" s="28">
        <v>0</v>
      </c>
      <c r="D389" s="28">
        <v>0</v>
      </c>
      <c r="E389" s="28">
        <v>0</v>
      </c>
      <c r="F389" s="28">
        <v>0</v>
      </c>
      <c r="G389" s="28">
        <v>0</v>
      </c>
      <c r="H389" s="28">
        <v>0</v>
      </c>
      <c r="I389" s="28">
        <v>0</v>
      </c>
      <c r="J389" s="28">
        <v>0</v>
      </c>
      <c r="K389" s="28">
        <v>0</v>
      </c>
      <c r="L389" s="28">
        <v>0</v>
      </c>
      <c r="M389" s="28">
        <v>0</v>
      </c>
      <c r="N389" s="28">
        <v>0</v>
      </c>
      <c r="O389" s="81"/>
    </row>
    <row r="390" spans="1:15" x14ac:dyDescent="0.2">
      <c r="A390" s="27" t="s">
        <v>118</v>
      </c>
      <c r="B390" s="2" t="s">
        <v>46</v>
      </c>
      <c r="C390" s="28">
        <v>0</v>
      </c>
      <c r="D390" s="28">
        <v>528862.10972616612</v>
      </c>
      <c r="E390" s="28">
        <v>0</v>
      </c>
      <c r="F390" s="28">
        <v>0</v>
      </c>
      <c r="G390" s="28">
        <v>0</v>
      </c>
      <c r="H390" s="28">
        <v>0</v>
      </c>
      <c r="I390" s="28">
        <v>105772.42194523322</v>
      </c>
      <c r="J390" s="28">
        <v>0</v>
      </c>
      <c r="K390" s="28">
        <v>50770.762533711946</v>
      </c>
      <c r="L390" s="28">
        <v>0</v>
      </c>
      <c r="M390" s="28">
        <v>30039.367832446234</v>
      </c>
      <c r="N390" s="28">
        <v>715444.66203755757</v>
      </c>
      <c r="O390" s="81"/>
    </row>
    <row r="391" spans="1:15" x14ac:dyDescent="0.2">
      <c r="A391" s="27" t="s">
        <v>124</v>
      </c>
      <c r="B391" s="2" t="s">
        <v>52</v>
      </c>
      <c r="C391" s="28">
        <v>0</v>
      </c>
      <c r="D391" s="28">
        <v>0</v>
      </c>
      <c r="E391" s="28">
        <v>0</v>
      </c>
      <c r="F391" s="28">
        <v>0</v>
      </c>
      <c r="G391" s="28">
        <v>0</v>
      </c>
      <c r="H391" s="28">
        <v>0</v>
      </c>
      <c r="I391" s="28">
        <v>0</v>
      </c>
      <c r="J391" s="28">
        <v>0</v>
      </c>
      <c r="K391" s="28">
        <v>0</v>
      </c>
      <c r="L391" s="28">
        <v>0</v>
      </c>
      <c r="M391" s="28">
        <v>0</v>
      </c>
      <c r="N391" s="28">
        <v>0</v>
      </c>
      <c r="O391" s="81"/>
    </row>
    <row r="392" spans="1:15" x14ac:dyDescent="0.2">
      <c r="A392" s="27" t="s">
        <v>123</v>
      </c>
      <c r="B392" s="2" t="s">
        <v>51</v>
      </c>
      <c r="C392" s="28">
        <v>0</v>
      </c>
      <c r="D392" s="28">
        <v>0</v>
      </c>
      <c r="E392" s="28">
        <v>0</v>
      </c>
      <c r="F392" s="28">
        <v>0</v>
      </c>
      <c r="G392" s="28">
        <v>0</v>
      </c>
      <c r="H392" s="28">
        <v>0</v>
      </c>
      <c r="I392" s="28">
        <v>0</v>
      </c>
      <c r="J392" s="28">
        <v>0</v>
      </c>
      <c r="K392" s="28">
        <v>0</v>
      </c>
      <c r="L392" s="28">
        <v>0</v>
      </c>
      <c r="M392" s="28">
        <v>0</v>
      </c>
      <c r="N392" s="28">
        <v>0</v>
      </c>
      <c r="O392" s="81"/>
    </row>
    <row r="393" spans="1:15" x14ac:dyDescent="0.2">
      <c r="A393" s="27" t="s">
        <v>126</v>
      </c>
      <c r="B393" s="2" t="s">
        <v>54</v>
      </c>
      <c r="C393" s="28">
        <v>0</v>
      </c>
      <c r="D393" s="28">
        <v>0</v>
      </c>
      <c r="E393" s="28">
        <v>0</v>
      </c>
      <c r="F393" s="28">
        <v>0</v>
      </c>
      <c r="G393" s="28">
        <v>0</v>
      </c>
      <c r="H393" s="28">
        <v>0</v>
      </c>
      <c r="I393" s="28">
        <v>0</v>
      </c>
      <c r="J393" s="28">
        <v>0</v>
      </c>
      <c r="K393" s="28">
        <v>0</v>
      </c>
      <c r="L393" s="28">
        <v>0</v>
      </c>
      <c r="M393" s="28">
        <v>0</v>
      </c>
      <c r="N393" s="28">
        <v>0</v>
      </c>
      <c r="O393" s="81"/>
    </row>
    <row r="394" spans="1:15" x14ac:dyDescent="0.2">
      <c r="A394" s="27" t="s">
        <v>129</v>
      </c>
      <c r="B394" s="2" t="s">
        <v>57</v>
      </c>
      <c r="C394" s="28">
        <v>11946212.654070461</v>
      </c>
      <c r="D394" s="28">
        <v>6099.2224338531596</v>
      </c>
      <c r="E394" s="28">
        <v>0</v>
      </c>
      <c r="F394" s="28">
        <v>6099.2224338531596</v>
      </c>
      <c r="G394" s="28">
        <v>35172.182701886552</v>
      </c>
      <c r="H394" s="28">
        <v>8335.6039929326507</v>
      </c>
      <c r="I394" s="28">
        <v>6099.2224338531596</v>
      </c>
      <c r="J394" s="28">
        <v>0</v>
      </c>
      <c r="K394" s="28">
        <v>0</v>
      </c>
      <c r="L394" s="28">
        <v>0</v>
      </c>
      <c r="M394" s="28">
        <v>960192.8396024768</v>
      </c>
      <c r="N394" s="28">
        <v>12968210.947669318</v>
      </c>
      <c r="O394" s="81"/>
    </row>
    <row r="395" spans="1:15" x14ac:dyDescent="0.2">
      <c r="A395" s="27" t="s">
        <v>128</v>
      </c>
      <c r="B395" s="2" t="s">
        <v>56</v>
      </c>
      <c r="C395" s="28">
        <v>0</v>
      </c>
      <c r="D395" s="28">
        <v>0</v>
      </c>
      <c r="E395" s="28">
        <v>0</v>
      </c>
      <c r="F395" s="28">
        <v>0</v>
      </c>
      <c r="G395" s="28">
        <v>0</v>
      </c>
      <c r="H395" s="28">
        <v>0</v>
      </c>
      <c r="I395" s="28">
        <v>0</v>
      </c>
      <c r="J395" s="28">
        <v>0</v>
      </c>
      <c r="K395" s="28">
        <v>0</v>
      </c>
      <c r="L395" s="28">
        <v>0</v>
      </c>
      <c r="M395" s="28">
        <v>713.68000372890049</v>
      </c>
      <c r="N395" s="28">
        <v>713.68000372890049</v>
      </c>
      <c r="O395" s="81"/>
    </row>
    <row r="396" spans="1:15" x14ac:dyDescent="0.2">
      <c r="A396" s="27" t="s">
        <v>127</v>
      </c>
      <c r="B396" s="2" t="s">
        <v>55</v>
      </c>
      <c r="C396" s="28">
        <v>0</v>
      </c>
      <c r="D396" s="28">
        <v>0</v>
      </c>
      <c r="E396" s="28">
        <v>0</v>
      </c>
      <c r="F396" s="28">
        <v>0</v>
      </c>
      <c r="G396" s="28">
        <v>0</v>
      </c>
      <c r="H396" s="28">
        <v>0</v>
      </c>
      <c r="I396" s="28">
        <v>0</v>
      </c>
      <c r="J396" s="28">
        <v>0</v>
      </c>
      <c r="K396" s="28">
        <v>0</v>
      </c>
      <c r="L396" s="28">
        <v>0</v>
      </c>
      <c r="M396" s="28">
        <v>0</v>
      </c>
      <c r="N396" s="28">
        <v>0</v>
      </c>
      <c r="O396" s="81"/>
    </row>
    <row r="397" spans="1:15" x14ac:dyDescent="0.2">
      <c r="A397" s="27" t="s">
        <v>125</v>
      </c>
      <c r="B397" s="2" t="s">
        <v>53</v>
      </c>
      <c r="C397" s="28">
        <v>0</v>
      </c>
      <c r="D397" s="28">
        <v>0</v>
      </c>
      <c r="E397" s="28">
        <v>0</v>
      </c>
      <c r="F397" s="28">
        <v>0</v>
      </c>
      <c r="G397" s="28">
        <v>0</v>
      </c>
      <c r="H397" s="28">
        <v>0</v>
      </c>
      <c r="I397" s="28">
        <v>0</v>
      </c>
      <c r="J397" s="28">
        <v>0</v>
      </c>
      <c r="K397" s="28">
        <v>0</v>
      </c>
      <c r="L397" s="28">
        <v>0</v>
      </c>
      <c r="M397" s="28">
        <v>0</v>
      </c>
      <c r="N397" s="28">
        <v>0</v>
      </c>
      <c r="O397" s="81"/>
    </row>
    <row r="398" spans="1:15" x14ac:dyDescent="0.2">
      <c r="A398" s="27" t="s">
        <v>130</v>
      </c>
      <c r="B398" s="2" t="s">
        <v>58</v>
      </c>
      <c r="C398" s="28">
        <v>0</v>
      </c>
      <c r="D398" s="28">
        <v>0</v>
      </c>
      <c r="E398" s="28">
        <v>0</v>
      </c>
      <c r="F398" s="28">
        <v>0</v>
      </c>
      <c r="G398" s="28">
        <v>0</v>
      </c>
      <c r="H398" s="28">
        <v>0</v>
      </c>
      <c r="I398" s="28">
        <v>0</v>
      </c>
      <c r="J398" s="28">
        <v>0</v>
      </c>
      <c r="K398" s="28">
        <v>0</v>
      </c>
      <c r="L398" s="28">
        <v>0</v>
      </c>
      <c r="M398" s="28">
        <v>0</v>
      </c>
      <c r="N398" s="28">
        <v>0</v>
      </c>
      <c r="O398" s="81"/>
    </row>
    <row r="399" spans="1:15" x14ac:dyDescent="0.2">
      <c r="A399" s="27" t="s">
        <v>122</v>
      </c>
      <c r="B399" s="2" t="s">
        <v>50</v>
      </c>
      <c r="C399" s="28">
        <v>0</v>
      </c>
      <c r="D399" s="28">
        <v>0</v>
      </c>
      <c r="E399" s="28">
        <v>0</v>
      </c>
      <c r="F399" s="28">
        <v>0</v>
      </c>
      <c r="G399" s="28">
        <v>0</v>
      </c>
      <c r="H399" s="28">
        <v>0</v>
      </c>
      <c r="I399" s="28">
        <v>0</v>
      </c>
      <c r="J399" s="28">
        <v>0</v>
      </c>
      <c r="K399" s="28">
        <v>0</v>
      </c>
      <c r="L399" s="28">
        <v>0</v>
      </c>
      <c r="M399" s="28">
        <v>0</v>
      </c>
      <c r="N399" s="28">
        <v>0</v>
      </c>
      <c r="O399" s="81"/>
    </row>
    <row r="400" spans="1:15" x14ac:dyDescent="0.2">
      <c r="A400" s="4"/>
      <c r="B400" s="4" t="s">
        <v>59</v>
      </c>
      <c r="C400" s="28">
        <v>346212316.40211642</v>
      </c>
      <c r="D400" s="28">
        <v>342261603.24300045</v>
      </c>
      <c r="E400" s="28">
        <v>343701626.45337963</v>
      </c>
      <c r="F400" s="28">
        <v>335737513.4634937</v>
      </c>
      <c r="G400" s="28">
        <v>318735182.21696728</v>
      </c>
      <c r="H400" s="28">
        <v>2307109.6082048309</v>
      </c>
      <c r="I400" s="28">
        <v>5081151.6437680535</v>
      </c>
      <c r="J400" s="28">
        <v>7471664.0124692302</v>
      </c>
      <c r="K400" s="28">
        <v>101775029.05174521</v>
      </c>
      <c r="L400" s="28">
        <v>0</v>
      </c>
      <c r="M400" s="28">
        <v>159722857.22922823</v>
      </c>
      <c r="N400" s="28">
        <v>1963006053.3243728</v>
      </c>
      <c r="O400" s="81"/>
    </row>
    <row r="403" spans="1:15" x14ac:dyDescent="0.2">
      <c r="A403" s="99" t="s">
        <v>345</v>
      </c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57"/>
    </row>
    <row r="404" spans="1:15" x14ac:dyDescent="0.2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57"/>
    </row>
    <row r="405" spans="1:15" x14ac:dyDescent="0.2">
      <c r="A405" s="100" t="s">
        <v>0</v>
      </c>
      <c r="B405" s="100" t="s">
        <v>1</v>
      </c>
      <c r="C405" s="100" t="s">
        <v>139</v>
      </c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 t="s">
        <v>66</v>
      </c>
      <c r="O405" s="80"/>
    </row>
    <row r="406" spans="1:15" x14ac:dyDescent="0.2">
      <c r="A406" s="100"/>
      <c r="B406" s="100"/>
      <c r="C406" s="26" t="s">
        <v>71</v>
      </c>
      <c r="D406" s="26" t="s">
        <v>64</v>
      </c>
      <c r="E406" s="26" t="s">
        <v>72</v>
      </c>
      <c r="F406" s="26" t="s">
        <v>73</v>
      </c>
      <c r="G406" s="26" t="s">
        <v>74</v>
      </c>
      <c r="H406" s="26" t="s">
        <v>75</v>
      </c>
      <c r="I406" s="26" t="s">
        <v>63</v>
      </c>
      <c r="J406" s="26" t="s">
        <v>62</v>
      </c>
      <c r="K406" s="26" t="s">
        <v>76</v>
      </c>
      <c r="L406" s="26" t="s">
        <v>77</v>
      </c>
      <c r="M406" s="26" t="s">
        <v>78</v>
      </c>
      <c r="N406" s="100"/>
      <c r="O406" s="80"/>
    </row>
    <row r="407" spans="1:15" x14ac:dyDescent="0.2">
      <c r="A407" s="27" t="s">
        <v>110</v>
      </c>
      <c r="B407" s="2" t="s">
        <v>38</v>
      </c>
      <c r="C407" s="28">
        <v>0</v>
      </c>
      <c r="D407" s="28">
        <v>5797.9422957219449</v>
      </c>
      <c r="E407" s="28">
        <v>0</v>
      </c>
      <c r="F407" s="28">
        <v>0</v>
      </c>
      <c r="G407" s="28">
        <v>0</v>
      </c>
      <c r="H407" s="28">
        <v>0</v>
      </c>
      <c r="I407" s="28">
        <v>0</v>
      </c>
      <c r="J407" s="28">
        <v>0</v>
      </c>
      <c r="K407" s="28">
        <v>0</v>
      </c>
      <c r="L407" s="28">
        <v>0</v>
      </c>
      <c r="M407" s="28">
        <v>2191.0867719024441</v>
      </c>
      <c r="N407" s="28">
        <v>7989.0290676243894</v>
      </c>
      <c r="O407" s="81"/>
    </row>
    <row r="408" spans="1:15" x14ac:dyDescent="0.2">
      <c r="A408" s="27" t="s">
        <v>113</v>
      </c>
      <c r="B408" s="2" t="s">
        <v>41</v>
      </c>
      <c r="C408" s="28">
        <v>0</v>
      </c>
      <c r="D408" s="28">
        <v>0</v>
      </c>
      <c r="E408" s="28">
        <v>0</v>
      </c>
      <c r="F408" s="28">
        <v>0</v>
      </c>
      <c r="G408" s="28">
        <v>0</v>
      </c>
      <c r="H408" s="28">
        <v>0</v>
      </c>
      <c r="I408" s="28">
        <v>0</v>
      </c>
      <c r="J408" s="28">
        <v>0</v>
      </c>
      <c r="K408" s="28">
        <v>0</v>
      </c>
      <c r="L408" s="28">
        <v>0</v>
      </c>
      <c r="M408" s="28">
        <v>0</v>
      </c>
      <c r="N408" s="28">
        <v>0</v>
      </c>
      <c r="O408" s="81"/>
    </row>
    <row r="409" spans="1:15" x14ac:dyDescent="0.2">
      <c r="A409" s="27" t="s">
        <v>119</v>
      </c>
      <c r="B409" s="2" t="s">
        <v>47</v>
      </c>
      <c r="C409" s="28">
        <v>0</v>
      </c>
      <c r="D409" s="28">
        <v>3773911.8968344969</v>
      </c>
      <c r="E409" s="28">
        <v>0</v>
      </c>
      <c r="F409" s="28">
        <v>409592.53426876152</v>
      </c>
      <c r="G409" s="28">
        <v>0</v>
      </c>
      <c r="H409" s="28">
        <v>0</v>
      </c>
      <c r="I409" s="28">
        <v>0</v>
      </c>
      <c r="J409" s="28">
        <v>0</v>
      </c>
      <c r="K409" s="28">
        <v>0</v>
      </c>
      <c r="L409" s="28">
        <v>0</v>
      </c>
      <c r="M409" s="28">
        <v>14675251.044328656</v>
      </c>
      <c r="N409" s="28">
        <v>18858755.475431915</v>
      </c>
      <c r="O409" s="81"/>
    </row>
    <row r="410" spans="1:15" x14ac:dyDescent="0.2">
      <c r="A410" s="27" t="s">
        <v>121</v>
      </c>
      <c r="B410" s="2" t="s">
        <v>49</v>
      </c>
      <c r="C410" s="28">
        <v>0</v>
      </c>
      <c r="D410" s="28">
        <v>1224.0144329443056</v>
      </c>
      <c r="E410" s="28">
        <v>0</v>
      </c>
      <c r="F410" s="28">
        <v>2640.0311298798756</v>
      </c>
      <c r="G410" s="28">
        <v>0</v>
      </c>
      <c r="H410" s="28">
        <v>0</v>
      </c>
      <c r="I410" s="28">
        <v>0</v>
      </c>
      <c r="J410" s="28">
        <v>0</v>
      </c>
      <c r="K410" s="28">
        <v>0</v>
      </c>
      <c r="L410" s="28">
        <v>0</v>
      </c>
      <c r="M410" s="28">
        <v>148415.94903323246</v>
      </c>
      <c r="N410" s="28">
        <v>152279.99459605664</v>
      </c>
      <c r="O410" s="81"/>
    </row>
    <row r="411" spans="1:15" x14ac:dyDescent="0.2">
      <c r="A411" s="27" t="s">
        <v>95</v>
      </c>
      <c r="B411" s="2" t="s">
        <v>23</v>
      </c>
      <c r="C411" s="28">
        <v>0</v>
      </c>
      <c r="D411" s="28">
        <v>0</v>
      </c>
      <c r="E411" s="28">
        <v>0</v>
      </c>
      <c r="F411" s="28">
        <v>0</v>
      </c>
      <c r="G411" s="28">
        <v>0</v>
      </c>
      <c r="H411" s="28">
        <v>0</v>
      </c>
      <c r="I411" s="28">
        <v>0</v>
      </c>
      <c r="J411" s="28">
        <v>0</v>
      </c>
      <c r="K411" s="28">
        <v>0</v>
      </c>
      <c r="L411" s="28">
        <v>0</v>
      </c>
      <c r="M411" s="28">
        <v>0</v>
      </c>
      <c r="N411" s="28">
        <v>0</v>
      </c>
      <c r="O411" s="81"/>
    </row>
    <row r="412" spans="1:15" x14ac:dyDescent="0.2">
      <c r="A412" s="27" t="s">
        <v>101</v>
      </c>
      <c r="B412" s="2" t="s">
        <v>29</v>
      </c>
      <c r="C412" s="28">
        <v>0</v>
      </c>
      <c r="D412" s="28">
        <v>0</v>
      </c>
      <c r="E412" s="28">
        <v>0</v>
      </c>
      <c r="F412" s="28">
        <v>0</v>
      </c>
      <c r="G412" s="28">
        <v>0</v>
      </c>
      <c r="H412" s="28">
        <v>0</v>
      </c>
      <c r="I412" s="28">
        <v>0</v>
      </c>
      <c r="J412" s="28">
        <v>0</v>
      </c>
      <c r="K412" s="28">
        <v>0</v>
      </c>
      <c r="L412" s="28">
        <v>0</v>
      </c>
      <c r="M412" s="28">
        <v>0</v>
      </c>
      <c r="N412" s="28">
        <v>0</v>
      </c>
      <c r="O412" s="81"/>
    </row>
    <row r="413" spans="1:15" x14ac:dyDescent="0.2">
      <c r="A413" s="27" t="s">
        <v>106</v>
      </c>
      <c r="B413" s="2" t="s">
        <v>34</v>
      </c>
      <c r="C413" s="28">
        <v>77766.361054473397</v>
      </c>
      <c r="D413" s="28">
        <v>1191232.351044538</v>
      </c>
      <c r="E413" s="28">
        <v>769.20695079905249</v>
      </c>
      <c r="F413" s="28">
        <v>0</v>
      </c>
      <c r="G413" s="28">
        <v>0</v>
      </c>
      <c r="H413" s="28">
        <v>0</v>
      </c>
      <c r="I413" s="28">
        <v>3390594.7500799177</v>
      </c>
      <c r="J413" s="28">
        <v>0</v>
      </c>
      <c r="K413" s="28">
        <v>226.23733847030954</v>
      </c>
      <c r="L413" s="28">
        <v>0</v>
      </c>
      <c r="M413" s="28">
        <v>534305.5948001066</v>
      </c>
      <c r="N413" s="28">
        <v>5194894.5012683049</v>
      </c>
      <c r="O413" s="81"/>
    </row>
    <row r="414" spans="1:15" x14ac:dyDescent="0.2">
      <c r="A414" s="27" t="s">
        <v>103</v>
      </c>
      <c r="B414" s="2" t="s">
        <v>31</v>
      </c>
      <c r="C414" s="28">
        <v>3374.2953194162264</v>
      </c>
      <c r="D414" s="28">
        <v>1621685.0677482046</v>
      </c>
      <c r="E414" s="28">
        <v>285613.08791317465</v>
      </c>
      <c r="F414" s="28">
        <v>0</v>
      </c>
      <c r="G414" s="28">
        <v>0</v>
      </c>
      <c r="H414" s="28">
        <v>27288.13503906022</v>
      </c>
      <c r="I414" s="28">
        <v>0</v>
      </c>
      <c r="J414" s="28">
        <v>0</v>
      </c>
      <c r="K414" s="28">
        <v>0</v>
      </c>
      <c r="L414" s="28">
        <v>0</v>
      </c>
      <c r="M414" s="28">
        <v>79135.591613274635</v>
      </c>
      <c r="N414" s="28">
        <v>2017096.1776331302</v>
      </c>
      <c r="O414" s="81"/>
    </row>
    <row r="415" spans="1:15" x14ac:dyDescent="0.2">
      <c r="A415" s="27" t="s">
        <v>99</v>
      </c>
      <c r="B415" s="2" t="s">
        <v>27</v>
      </c>
      <c r="C415" s="28">
        <v>1576867.0275208652</v>
      </c>
      <c r="D415" s="28">
        <v>3620408.0488204118</v>
      </c>
      <c r="E415" s="28">
        <v>220293.62616819158</v>
      </c>
      <c r="F415" s="28">
        <v>9212752.4856708404</v>
      </c>
      <c r="G415" s="28">
        <v>0</v>
      </c>
      <c r="H415" s="28">
        <v>3887774.1836540122</v>
      </c>
      <c r="I415" s="28">
        <v>0</v>
      </c>
      <c r="J415" s="28">
        <v>0</v>
      </c>
      <c r="K415" s="28">
        <v>0</v>
      </c>
      <c r="L415" s="28">
        <v>0</v>
      </c>
      <c r="M415" s="28">
        <v>40047.125453918256</v>
      </c>
      <c r="N415" s="28">
        <v>18558142.497288242</v>
      </c>
      <c r="O415" s="81"/>
    </row>
    <row r="416" spans="1:15" x14ac:dyDescent="0.2">
      <c r="A416" s="27" t="s">
        <v>94</v>
      </c>
      <c r="B416" s="2" t="s">
        <v>22</v>
      </c>
      <c r="C416" s="28">
        <v>0</v>
      </c>
      <c r="D416" s="28">
        <v>7303098.235315063</v>
      </c>
      <c r="E416" s="28">
        <v>347276216.92140496</v>
      </c>
      <c r="F416" s="28">
        <v>11513654.547359345</v>
      </c>
      <c r="G416" s="28">
        <v>0</v>
      </c>
      <c r="H416" s="28">
        <v>12080976.09445625</v>
      </c>
      <c r="I416" s="28">
        <v>0</v>
      </c>
      <c r="J416" s="28">
        <v>0</v>
      </c>
      <c r="K416" s="28">
        <v>0</v>
      </c>
      <c r="L416" s="28">
        <v>0</v>
      </c>
      <c r="M416" s="28">
        <v>0</v>
      </c>
      <c r="N416" s="28">
        <v>378173945.79853565</v>
      </c>
      <c r="O416" s="81"/>
    </row>
    <row r="417" spans="1:15" x14ac:dyDescent="0.2">
      <c r="A417" s="27" t="s">
        <v>97</v>
      </c>
      <c r="B417" s="2" t="s">
        <v>25</v>
      </c>
      <c r="C417" s="28">
        <v>0</v>
      </c>
      <c r="D417" s="28">
        <v>0</v>
      </c>
      <c r="E417" s="28">
        <v>0</v>
      </c>
      <c r="F417" s="28">
        <v>0</v>
      </c>
      <c r="G417" s="28">
        <v>0</v>
      </c>
      <c r="H417" s="28">
        <v>0</v>
      </c>
      <c r="I417" s="28">
        <v>0</v>
      </c>
      <c r="J417" s="28">
        <v>0</v>
      </c>
      <c r="K417" s="28">
        <v>0</v>
      </c>
      <c r="L417" s="28">
        <v>0</v>
      </c>
      <c r="M417" s="28">
        <v>0</v>
      </c>
      <c r="N417" s="28">
        <v>0</v>
      </c>
      <c r="O417" s="81"/>
    </row>
    <row r="418" spans="1:15" x14ac:dyDescent="0.2">
      <c r="A418" s="27" t="s">
        <v>117</v>
      </c>
      <c r="B418" s="2" t="s">
        <v>45</v>
      </c>
      <c r="C418" s="28">
        <v>0</v>
      </c>
      <c r="D418" s="28">
        <v>113465.07289022367</v>
      </c>
      <c r="E418" s="28">
        <v>97938.273442087797</v>
      </c>
      <c r="F418" s="28">
        <v>382304.63851287862</v>
      </c>
      <c r="G418" s="28">
        <v>0</v>
      </c>
      <c r="H418" s="28">
        <v>20336.225676730246</v>
      </c>
      <c r="I418" s="28">
        <v>0</v>
      </c>
      <c r="J418" s="28">
        <v>0</v>
      </c>
      <c r="K418" s="28">
        <v>0</v>
      </c>
      <c r="L418" s="28">
        <v>0</v>
      </c>
      <c r="M418" s="28">
        <v>22095.829983885658</v>
      </c>
      <c r="N418" s="28">
        <v>636140.04050580598</v>
      </c>
      <c r="O418" s="81"/>
    </row>
    <row r="419" spans="1:15" x14ac:dyDescent="0.2">
      <c r="A419" s="27" t="s">
        <v>114</v>
      </c>
      <c r="B419" s="2" t="s">
        <v>42</v>
      </c>
      <c r="C419" s="28">
        <v>0</v>
      </c>
      <c r="D419" s="28">
        <v>114166.85491559062</v>
      </c>
      <c r="E419" s="28">
        <v>0</v>
      </c>
      <c r="F419" s="28">
        <v>0</v>
      </c>
      <c r="G419" s="28">
        <v>0</v>
      </c>
      <c r="H419" s="28">
        <v>0</v>
      </c>
      <c r="I419" s="28">
        <v>69144.535569425163</v>
      </c>
      <c r="J419" s="28">
        <v>0</v>
      </c>
      <c r="K419" s="28">
        <v>98958.032376712566</v>
      </c>
      <c r="L419" s="28">
        <v>0</v>
      </c>
      <c r="M419" s="28">
        <v>0</v>
      </c>
      <c r="N419" s="28">
        <v>282269.42286172835</v>
      </c>
      <c r="O419" s="81"/>
    </row>
    <row r="420" spans="1:15" x14ac:dyDescent="0.2">
      <c r="A420" s="27" t="s">
        <v>112</v>
      </c>
      <c r="B420" s="2" t="s">
        <v>40</v>
      </c>
      <c r="C420" s="28">
        <v>0</v>
      </c>
      <c r="D420" s="28">
        <v>48479.499316939902</v>
      </c>
      <c r="E420" s="28">
        <v>3764.2237538066506</v>
      </c>
      <c r="F420" s="28">
        <v>1026.6064783109043</v>
      </c>
      <c r="G420" s="28">
        <v>0</v>
      </c>
      <c r="H420" s="28">
        <v>123619.79710137584</v>
      </c>
      <c r="I420" s="28">
        <v>0</v>
      </c>
      <c r="J420" s="28">
        <v>0</v>
      </c>
      <c r="K420" s="28">
        <v>0</v>
      </c>
      <c r="L420" s="28">
        <v>0</v>
      </c>
      <c r="M420" s="28">
        <v>183343.32738935022</v>
      </c>
      <c r="N420" s="28">
        <v>360233.45403978351</v>
      </c>
      <c r="O420" s="81"/>
    </row>
    <row r="421" spans="1:15" x14ac:dyDescent="0.2">
      <c r="A421" s="27" t="s">
        <v>116</v>
      </c>
      <c r="B421" s="2" t="s">
        <v>44</v>
      </c>
      <c r="C421" s="28">
        <v>0</v>
      </c>
      <c r="D421" s="28">
        <v>0</v>
      </c>
      <c r="E421" s="28">
        <v>0</v>
      </c>
      <c r="F421" s="28">
        <v>0</v>
      </c>
      <c r="G421" s="28">
        <v>0</v>
      </c>
      <c r="H421" s="28">
        <v>0</v>
      </c>
      <c r="I421" s="28">
        <v>22666.468764218258</v>
      </c>
      <c r="J421" s="28">
        <v>0</v>
      </c>
      <c r="K421" s="28">
        <v>0</v>
      </c>
      <c r="L421" s="28">
        <v>0</v>
      </c>
      <c r="M421" s="28">
        <v>0</v>
      </c>
      <c r="N421" s="28">
        <v>22666.468764218258</v>
      </c>
      <c r="O421" s="81"/>
    </row>
    <row r="422" spans="1:15" x14ac:dyDescent="0.2">
      <c r="A422" s="27" t="s">
        <v>107</v>
      </c>
      <c r="B422" s="2" t="s">
        <v>35</v>
      </c>
      <c r="C422" s="28">
        <v>0</v>
      </c>
      <c r="D422" s="28">
        <v>0</v>
      </c>
      <c r="E422" s="28">
        <v>0</v>
      </c>
      <c r="F422" s="28">
        <v>0</v>
      </c>
      <c r="G422" s="28">
        <v>0</v>
      </c>
      <c r="H422" s="28">
        <v>0</v>
      </c>
      <c r="I422" s="28">
        <v>0</v>
      </c>
      <c r="J422" s="28">
        <v>0</v>
      </c>
      <c r="K422" s="28">
        <v>0</v>
      </c>
      <c r="L422" s="28">
        <v>0</v>
      </c>
      <c r="M422" s="28">
        <v>0</v>
      </c>
      <c r="N422" s="28">
        <v>0</v>
      </c>
      <c r="O422" s="81"/>
    </row>
    <row r="423" spans="1:15" x14ac:dyDescent="0.2">
      <c r="A423" s="27" t="s">
        <v>100</v>
      </c>
      <c r="B423" s="2" t="s">
        <v>28</v>
      </c>
      <c r="C423" s="28">
        <v>0</v>
      </c>
      <c r="D423" s="28">
        <v>0</v>
      </c>
      <c r="E423" s="28">
        <v>0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  <c r="K423" s="28">
        <v>0</v>
      </c>
      <c r="L423" s="28">
        <v>0</v>
      </c>
      <c r="M423" s="28">
        <v>0</v>
      </c>
      <c r="N423" s="28">
        <v>0</v>
      </c>
      <c r="O423" s="81"/>
    </row>
    <row r="424" spans="1:15" x14ac:dyDescent="0.2">
      <c r="A424" s="27" t="s">
        <v>108</v>
      </c>
      <c r="B424" s="2" t="s">
        <v>36</v>
      </c>
      <c r="C424" s="28">
        <v>0</v>
      </c>
      <c r="D424" s="28">
        <v>0</v>
      </c>
      <c r="E424" s="28">
        <v>0</v>
      </c>
      <c r="F424" s="28">
        <v>0</v>
      </c>
      <c r="G424" s="28">
        <v>0</v>
      </c>
      <c r="H424" s="28">
        <v>0</v>
      </c>
      <c r="I424" s="28">
        <v>0</v>
      </c>
      <c r="J424" s="28">
        <v>0</v>
      </c>
      <c r="K424" s="28">
        <v>0</v>
      </c>
      <c r="L424" s="28">
        <v>0</v>
      </c>
      <c r="M424" s="28">
        <v>0</v>
      </c>
      <c r="N424" s="28">
        <v>0</v>
      </c>
      <c r="O424" s="81"/>
    </row>
    <row r="425" spans="1:15" x14ac:dyDescent="0.2">
      <c r="A425" s="27" t="s">
        <v>104</v>
      </c>
      <c r="B425" s="2" t="s">
        <v>32</v>
      </c>
      <c r="C425" s="28">
        <v>0</v>
      </c>
      <c r="D425" s="28">
        <v>0</v>
      </c>
      <c r="E425" s="28">
        <v>0</v>
      </c>
      <c r="F425" s="28">
        <v>0</v>
      </c>
      <c r="G425" s="28">
        <v>0</v>
      </c>
      <c r="H425" s="28">
        <v>0</v>
      </c>
      <c r="I425" s="28">
        <v>0</v>
      </c>
      <c r="J425" s="28">
        <v>0</v>
      </c>
      <c r="K425" s="28">
        <v>0</v>
      </c>
      <c r="L425" s="28">
        <v>0</v>
      </c>
      <c r="M425" s="28">
        <v>0</v>
      </c>
      <c r="N425" s="28">
        <v>0</v>
      </c>
      <c r="O425" s="81"/>
    </row>
    <row r="426" spans="1:15" x14ac:dyDescent="0.2">
      <c r="A426" s="27" t="s">
        <v>105</v>
      </c>
      <c r="B426" s="2" t="s">
        <v>33</v>
      </c>
      <c r="C426" s="28">
        <v>0</v>
      </c>
      <c r="D426" s="28">
        <v>0</v>
      </c>
      <c r="E426" s="28">
        <v>0</v>
      </c>
      <c r="F426" s="28">
        <v>0</v>
      </c>
      <c r="G426" s="28">
        <v>0</v>
      </c>
      <c r="H426" s="28">
        <v>0</v>
      </c>
      <c r="I426" s="28">
        <v>168.18261720727278</v>
      </c>
      <c r="J426" s="28">
        <v>0</v>
      </c>
      <c r="K426" s="28">
        <v>0</v>
      </c>
      <c r="L426" s="28">
        <v>0</v>
      </c>
      <c r="M426" s="28">
        <v>0</v>
      </c>
      <c r="N426" s="28">
        <v>168.18261720727278</v>
      </c>
      <c r="O426" s="81"/>
    </row>
    <row r="427" spans="1:15" x14ac:dyDescent="0.2">
      <c r="A427" s="27" t="s">
        <v>109</v>
      </c>
      <c r="B427" s="2" t="s">
        <v>37</v>
      </c>
      <c r="C427" s="28">
        <v>0</v>
      </c>
      <c r="D427" s="28">
        <v>0</v>
      </c>
      <c r="E427" s="28">
        <v>0</v>
      </c>
      <c r="F427" s="28">
        <v>0</v>
      </c>
      <c r="G427" s="28">
        <v>0</v>
      </c>
      <c r="H427" s="28">
        <v>0</v>
      </c>
      <c r="I427" s="28">
        <v>154956.85912591987</v>
      </c>
      <c r="J427" s="28">
        <v>0</v>
      </c>
      <c r="K427" s="28">
        <v>0</v>
      </c>
      <c r="L427" s="28">
        <v>0</v>
      </c>
      <c r="M427" s="28">
        <v>0</v>
      </c>
      <c r="N427" s="28">
        <v>154956.85912591987</v>
      </c>
      <c r="O427" s="81"/>
    </row>
    <row r="428" spans="1:15" x14ac:dyDescent="0.2">
      <c r="A428" s="27" t="s">
        <v>96</v>
      </c>
      <c r="B428" s="2" t="s">
        <v>24</v>
      </c>
      <c r="C428" s="28">
        <v>0</v>
      </c>
      <c r="D428" s="28">
        <v>907.54867896064741</v>
      </c>
      <c r="E428" s="28">
        <v>0</v>
      </c>
      <c r="F428" s="28">
        <v>11958.617274650738</v>
      </c>
      <c r="G428" s="28">
        <v>0</v>
      </c>
      <c r="H428" s="28">
        <v>0</v>
      </c>
      <c r="I428" s="28">
        <v>0</v>
      </c>
      <c r="J428" s="28">
        <v>0</v>
      </c>
      <c r="K428" s="28">
        <v>0</v>
      </c>
      <c r="L428" s="28">
        <v>0</v>
      </c>
      <c r="M428" s="28">
        <v>17630.491606907584</v>
      </c>
      <c r="N428" s="28">
        <v>30496.657560518972</v>
      </c>
      <c r="O428" s="81"/>
    </row>
    <row r="429" spans="1:15" x14ac:dyDescent="0.2">
      <c r="A429" s="27" t="s">
        <v>120</v>
      </c>
      <c r="B429" s="2" t="s">
        <v>48</v>
      </c>
      <c r="C429" s="28">
        <v>0</v>
      </c>
      <c r="D429" s="28">
        <v>17939.02055606194</v>
      </c>
      <c r="E429" s="28">
        <v>0</v>
      </c>
      <c r="F429" s="28">
        <v>19118.220382528783</v>
      </c>
      <c r="G429" s="28">
        <v>0</v>
      </c>
      <c r="H429" s="28">
        <v>0</v>
      </c>
      <c r="I429" s="28">
        <v>0</v>
      </c>
      <c r="J429" s="28">
        <v>0</v>
      </c>
      <c r="K429" s="28">
        <v>0</v>
      </c>
      <c r="L429" s="28">
        <v>0</v>
      </c>
      <c r="M429" s="28">
        <v>826383.81010366476</v>
      </c>
      <c r="N429" s="28">
        <v>863441.05104225548</v>
      </c>
      <c r="O429" s="81"/>
    </row>
    <row r="430" spans="1:15" x14ac:dyDescent="0.2">
      <c r="A430" s="27" t="s">
        <v>102</v>
      </c>
      <c r="B430" s="2" t="s">
        <v>30</v>
      </c>
      <c r="C430" s="28">
        <v>0</v>
      </c>
      <c r="D430" s="28">
        <v>11443345.935883874</v>
      </c>
      <c r="E430" s="28">
        <v>0</v>
      </c>
      <c r="F430" s="28">
        <v>2689897.4147870643</v>
      </c>
      <c r="G430" s="28">
        <v>0</v>
      </c>
      <c r="H430" s="28">
        <v>0</v>
      </c>
      <c r="I430" s="28">
        <v>0</v>
      </c>
      <c r="J430" s="28">
        <v>0</v>
      </c>
      <c r="K430" s="28">
        <v>0</v>
      </c>
      <c r="L430" s="28">
        <v>0</v>
      </c>
      <c r="M430" s="28">
        <v>36409.242967368482</v>
      </c>
      <c r="N430" s="28">
        <v>14169652.593638306</v>
      </c>
      <c r="O430" s="81"/>
    </row>
    <row r="431" spans="1:15" x14ac:dyDescent="0.2">
      <c r="A431" s="27" t="s">
        <v>98</v>
      </c>
      <c r="B431" s="2" t="s">
        <v>26</v>
      </c>
      <c r="C431" s="28">
        <v>0</v>
      </c>
      <c r="D431" s="28">
        <v>0</v>
      </c>
      <c r="E431" s="28">
        <v>0</v>
      </c>
      <c r="F431" s="28">
        <v>14329.803282172568</v>
      </c>
      <c r="G431" s="28">
        <v>0</v>
      </c>
      <c r="H431" s="28">
        <v>0</v>
      </c>
      <c r="I431" s="28">
        <v>759.74599967693234</v>
      </c>
      <c r="J431" s="28">
        <v>0</v>
      </c>
      <c r="K431" s="28">
        <v>0</v>
      </c>
      <c r="L431" s="28">
        <v>0</v>
      </c>
      <c r="M431" s="28">
        <v>0</v>
      </c>
      <c r="N431" s="28">
        <v>15089.5492818495</v>
      </c>
      <c r="O431" s="81"/>
    </row>
    <row r="432" spans="1:15" x14ac:dyDescent="0.2">
      <c r="A432" s="27" t="s">
        <v>93</v>
      </c>
      <c r="B432" s="2" t="s">
        <v>21</v>
      </c>
      <c r="C432" s="28">
        <v>0</v>
      </c>
      <c r="D432" s="28">
        <v>5950.9783284215164</v>
      </c>
      <c r="E432" s="28">
        <v>132310.45534635289</v>
      </c>
      <c r="F432" s="28">
        <v>51368.931517146593</v>
      </c>
      <c r="G432" s="28">
        <v>0</v>
      </c>
      <c r="H432" s="28">
        <v>0</v>
      </c>
      <c r="I432" s="28">
        <v>0</v>
      </c>
      <c r="J432" s="28">
        <v>0</v>
      </c>
      <c r="K432" s="28">
        <v>0</v>
      </c>
      <c r="L432" s="28">
        <v>0</v>
      </c>
      <c r="M432" s="28">
        <v>1156.2025575862126</v>
      </c>
      <c r="N432" s="28">
        <v>190786.5677495072</v>
      </c>
      <c r="O432" s="81"/>
    </row>
    <row r="433" spans="1:15" x14ac:dyDescent="0.2">
      <c r="A433" s="27" t="s">
        <v>115</v>
      </c>
      <c r="B433" s="2" t="s">
        <v>43</v>
      </c>
      <c r="C433" s="28">
        <v>0</v>
      </c>
      <c r="D433" s="28">
        <v>64026.629199581184</v>
      </c>
      <c r="E433" s="28">
        <v>340936.77392454236</v>
      </c>
      <c r="F433" s="28">
        <v>75896.428425913575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0</v>
      </c>
      <c r="M433" s="28">
        <v>1207076.1581926814</v>
      </c>
      <c r="N433" s="28">
        <v>1687935.9897427184</v>
      </c>
      <c r="O433" s="81"/>
    </row>
    <row r="434" spans="1:15" x14ac:dyDescent="0.2">
      <c r="A434" s="27" t="s">
        <v>111</v>
      </c>
      <c r="B434" s="2" t="s">
        <v>39</v>
      </c>
      <c r="C434" s="28">
        <v>0</v>
      </c>
      <c r="D434" s="28">
        <v>1083323.4981873259</v>
      </c>
      <c r="E434" s="28">
        <v>212557.27962822421</v>
      </c>
      <c r="F434" s="28">
        <v>129.90666225690688</v>
      </c>
      <c r="G434" s="28">
        <v>0</v>
      </c>
      <c r="H434" s="28">
        <v>0.73466285781395679</v>
      </c>
      <c r="I434" s="28">
        <v>0</v>
      </c>
      <c r="J434" s="28">
        <v>0</v>
      </c>
      <c r="K434" s="28">
        <v>0</v>
      </c>
      <c r="L434" s="28">
        <v>0</v>
      </c>
      <c r="M434" s="28">
        <v>4458.2827506928097</v>
      </c>
      <c r="N434" s="28">
        <v>1300469.7018913578</v>
      </c>
      <c r="O434" s="81"/>
    </row>
    <row r="435" spans="1:15" x14ac:dyDescent="0.2">
      <c r="A435" s="27" t="s">
        <v>118</v>
      </c>
      <c r="B435" s="2" t="s">
        <v>46</v>
      </c>
      <c r="C435" s="28">
        <v>0</v>
      </c>
      <c r="D435" s="28">
        <v>0</v>
      </c>
      <c r="E435" s="28">
        <v>2405.0852257723714</v>
      </c>
      <c r="F435" s="28">
        <v>1223.2717876819129</v>
      </c>
      <c r="G435" s="28">
        <v>0</v>
      </c>
      <c r="H435" s="28">
        <v>0</v>
      </c>
      <c r="I435" s="28">
        <v>0</v>
      </c>
      <c r="J435" s="28">
        <v>0</v>
      </c>
      <c r="K435" s="28">
        <v>0</v>
      </c>
      <c r="L435" s="28">
        <v>0</v>
      </c>
      <c r="M435" s="28">
        <v>0</v>
      </c>
      <c r="N435" s="28">
        <v>3628.3570134542842</v>
      </c>
      <c r="O435" s="81"/>
    </row>
    <row r="436" spans="1:15" x14ac:dyDescent="0.2">
      <c r="A436" s="27" t="s">
        <v>124</v>
      </c>
      <c r="B436" s="2" t="s">
        <v>52</v>
      </c>
      <c r="C436" s="28">
        <v>0</v>
      </c>
      <c r="D436" s="28">
        <v>415767.80491113628</v>
      </c>
      <c r="E436" s="28">
        <v>0</v>
      </c>
      <c r="F436" s="28">
        <v>0</v>
      </c>
      <c r="G436" s="28">
        <v>0</v>
      </c>
      <c r="H436" s="28">
        <v>0</v>
      </c>
      <c r="I436" s="28">
        <v>29246.903669899282</v>
      </c>
      <c r="J436" s="28">
        <v>0</v>
      </c>
      <c r="K436" s="28">
        <v>0</v>
      </c>
      <c r="L436" s="28">
        <v>0</v>
      </c>
      <c r="M436" s="28">
        <v>13691.082766914984</v>
      </c>
      <c r="N436" s="28">
        <v>458705.79134795052</v>
      </c>
      <c r="O436" s="81"/>
    </row>
    <row r="437" spans="1:15" x14ac:dyDescent="0.2">
      <c r="A437" s="27" t="s">
        <v>123</v>
      </c>
      <c r="B437" s="2" t="s">
        <v>51</v>
      </c>
      <c r="C437" s="28">
        <v>0</v>
      </c>
      <c r="D437" s="28">
        <v>760.41148722487867</v>
      </c>
      <c r="E437" s="28">
        <v>0</v>
      </c>
      <c r="F437" s="28">
        <v>0</v>
      </c>
      <c r="G437" s="28">
        <v>0</v>
      </c>
      <c r="H437" s="28">
        <v>0</v>
      </c>
      <c r="I437" s="28">
        <v>0</v>
      </c>
      <c r="J437" s="28">
        <v>0</v>
      </c>
      <c r="K437" s="28">
        <v>0</v>
      </c>
      <c r="L437" s="28">
        <v>0</v>
      </c>
      <c r="M437" s="28">
        <v>1333.7376085452236</v>
      </c>
      <c r="N437" s="28">
        <v>2094.1490957701021</v>
      </c>
      <c r="O437" s="81"/>
    </row>
    <row r="438" spans="1:15" x14ac:dyDescent="0.2">
      <c r="A438" s="27" t="s">
        <v>126</v>
      </c>
      <c r="B438" s="2" t="s">
        <v>54</v>
      </c>
      <c r="C438" s="28">
        <v>0</v>
      </c>
      <c r="D438" s="28">
        <v>0</v>
      </c>
      <c r="E438" s="28">
        <v>0</v>
      </c>
      <c r="F438" s="28">
        <v>0</v>
      </c>
      <c r="G438" s="28">
        <v>0</v>
      </c>
      <c r="H438" s="28">
        <v>0</v>
      </c>
      <c r="I438" s="28">
        <v>21803.563831334137</v>
      </c>
      <c r="J438" s="28">
        <v>0</v>
      </c>
      <c r="K438" s="28">
        <v>0</v>
      </c>
      <c r="L438" s="28">
        <v>0</v>
      </c>
      <c r="M438" s="28">
        <v>0</v>
      </c>
      <c r="N438" s="28">
        <v>21803.563831334137</v>
      </c>
      <c r="O438" s="81"/>
    </row>
    <row r="439" spans="1:15" x14ac:dyDescent="0.2">
      <c r="A439" s="27" t="s">
        <v>129</v>
      </c>
      <c r="B439" s="2" t="s">
        <v>57</v>
      </c>
      <c r="C439" s="28">
        <v>0</v>
      </c>
      <c r="D439" s="28">
        <v>28352.005603513149</v>
      </c>
      <c r="E439" s="28">
        <v>225.83971912931034</v>
      </c>
      <c r="F439" s="28">
        <v>65146.072825762603</v>
      </c>
      <c r="G439" s="28">
        <v>0</v>
      </c>
      <c r="H439" s="28">
        <v>0</v>
      </c>
      <c r="I439" s="28">
        <v>0</v>
      </c>
      <c r="J439" s="28">
        <v>0</v>
      </c>
      <c r="K439" s="28">
        <v>0</v>
      </c>
      <c r="L439" s="28">
        <v>0</v>
      </c>
      <c r="M439" s="28">
        <v>0</v>
      </c>
      <c r="N439" s="28">
        <v>93723.918148405064</v>
      </c>
      <c r="O439" s="81"/>
    </row>
    <row r="440" spans="1:15" x14ac:dyDescent="0.2">
      <c r="A440" s="27" t="s">
        <v>128</v>
      </c>
      <c r="B440" s="2" t="s">
        <v>56</v>
      </c>
      <c r="C440" s="28">
        <v>0</v>
      </c>
      <c r="D440" s="28">
        <v>38379.517875168589</v>
      </c>
      <c r="E440" s="28">
        <v>0</v>
      </c>
      <c r="F440" s="28">
        <v>297460.03275528876</v>
      </c>
      <c r="G440" s="28">
        <v>0</v>
      </c>
      <c r="H440" s="28">
        <v>0</v>
      </c>
      <c r="I440" s="28">
        <v>0</v>
      </c>
      <c r="J440" s="28">
        <v>0</v>
      </c>
      <c r="K440" s="28">
        <v>0</v>
      </c>
      <c r="L440" s="28">
        <v>0</v>
      </c>
      <c r="M440" s="28">
        <v>316213.38530987682</v>
      </c>
      <c r="N440" s="28">
        <v>652052.93594033411</v>
      </c>
      <c r="O440" s="81"/>
    </row>
    <row r="441" spans="1:15" x14ac:dyDescent="0.2">
      <c r="A441" s="27" t="s">
        <v>127</v>
      </c>
      <c r="B441" s="2" t="s">
        <v>55</v>
      </c>
      <c r="C441" s="28">
        <v>0</v>
      </c>
      <c r="D441" s="28">
        <v>143112.71633371309</v>
      </c>
      <c r="E441" s="28">
        <v>0</v>
      </c>
      <c r="F441" s="28">
        <v>0</v>
      </c>
      <c r="G441" s="28">
        <v>0</v>
      </c>
      <c r="H441" s="28">
        <v>0</v>
      </c>
      <c r="I441" s="28">
        <v>0</v>
      </c>
      <c r="J441" s="28">
        <v>0</v>
      </c>
      <c r="K441" s="28">
        <v>0</v>
      </c>
      <c r="L441" s="28">
        <v>0</v>
      </c>
      <c r="M441" s="28">
        <v>34810.360566637122</v>
      </c>
      <c r="N441" s="28">
        <v>177923.07690035022</v>
      </c>
      <c r="O441" s="81"/>
    </row>
    <row r="442" spans="1:15" x14ac:dyDescent="0.2">
      <c r="A442" s="27" t="s">
        <v>125</v>
      </c>
      <c r="B442" s="2" t="s">
        <v>53</v>
      </c>
      <c r="C442" s="28">
        <v>0</v>
      </c>
      <c r="D442" s="28">
        <v>0</v>
      </c>
      <c r="E442" s="28">
        <v>0</v>
      </c>
      <c r="F442" s="28">
        <v>0</v>
      </c>
      <c r="G442" s="28">
        <v>0</v>
      </c>
      <c r="H442" s="28">
        <v>0</v>
      </c>
      <c r="I442" s="28">
        <v>142178.98819293859</v>
      </c>
      <c r="J442" s="28">
        <v>0</v>
      </c>
      <c r="K442" s="28">
        <v>0</v>
      </c>
      <c r="L442" s="28">
        <v>0</v>
      </c>
      <c r="M442" s="28">
        <v>28999.35758137198</v>
      </c>
      <c r="N442" s="28">
        <v>171178.34577431058</v>
      </c>
      <c r="O442" s="81"/>
    </row>
    <row r="443" spans="1:15" x14ac:dyDescent="0.2">
      <c r="A443" s="27" t="s">
        <v>130</v>
      </c>
      <c r="B443" s="2" t="s">
        <v>58</v>
      </c>
      <c r="C443" s="28">
        <v>0</v>
      </c>
      <c r="D443" s="28">
        <v>0</v>
      </c>
      <c r="E443" s="28">
        <v>0</v>
      </c>
      <c r="F443" s="28">
        <v>0</v>
      </c>
      <c r="G443" s="28">
        <v>0</v>
      </c>
      <c r="H443" s="28">
        <v>0</v>
      </c>
      <c r="I443" s="28">
        <v>8.0086960574891801</v>
      </c>
      <c r="J443" s="28">
        <v>0</v>
      </c>
      <c r="K443" s="28">
        <v>0</v>
      </c>
      <c r="L443" s="28">
        <v>0</v>
      </c>
      <c r="M443" s="28">
        <v>0</v>
      </c>
      <c r="N443" s="28">
        <v>8.0086960574891801</v>
      </c>
      <c r="O443" s="81"/>
    </row>
    <row r="444" spans="1:15" x14ac:dyDescent="0.2">
      <c r="A444" s="27" t="s">
        <v>122</v>
      </c>
      <c r="B444" s="2" t="s">
        <v>50</v>
      </c>
      <c r="C444" s="28">
        <v>0</v>
      </c>
      <c r="D444" s="28">
        <v>1302.1667851289103</v>
      </c>
      <c r="E444" s="28">
        <v>0</v>
      </c>
      <c r="F444" s="28">
        <v>0</v>
      </c>
      <c r="G444" s="28">
        <v>0</v>
      </c>
      <c r="H444" s="28">
        <v>0</v>
      </c>
      <c r="I444" s="28">
        <v>0</v>
      </c>
      <c r="J444" s="28">
        <v>0</v>
      </c>
      <c r="K444" s="28">
        <v>0</v>
      </c>
      <c r="L444" s="28">
        <v>0</v>
      </c>
      <c r="M444" s="28">
        <v>0</v>
      </c>
      <c r="N444" s="28">
        <v>1302.1667851289103</v>
      </c>
      <c r="O444" s="81"/>
    </row>
    <row r="445" spans="1:15" x14ac:dyDescent="0.2">
      <c r="A445" s="4"/>
      <c r="B445" s="4" t="s">
        <v>59</v>
      </c>
      <c r="C445" s="28">
        <v>1658007.6838947549</v>
      </c>
      <c r="D445" s="28">
        <v>31036637.217444237</v>
      </c>
      <c r="E445" s="28">
        <v>348573030.77347702</v>
      </c>
      <c r="F445" s="28">
        <v>24748499.543120481</v>
      </c>
      <c r="G445" s="28">
        <v>0</v>
      </c>
      <c r="H445" s="28">
        <v>16139995.170590287</v>
      </c>
      <c r="I445" s="28">
        <v>3831528.0065465942</v>
      </c>
      <c r="J445" s="28">
        <v>0</v>
      </c>
      <c r="K445" s="28">
        <v>99184.269715182876</v>
      </c>
      <c r="L445" s="28">
        <v>0</v>
      </c>
      <c r="M445" s="28">
        <v>18172947.661386576</v>
      </c>
      <c r="N445" s="28">
        <v>444259830.32617521</v>
      </c>
      <c r="O445" s="81"/>
    </row>
    <row r="448" spans="1:15" x14ac:dyDescent="0.2">
      <c r="A448" s="99" t="s">
        <v>346</v>
      </c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57"/>
    </row>
    <row r="449" spans="1:15" x14ac:dyDescent="0.2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57"/>
    </row>
    <row r="450" spans="1:15" x14ac:dyDescent="0.2">
      <c r="A450" s="100" t="s">
        <v>0</v>
      </c>
      <c r="B450" s="100" t="s">
        <v>1</v>
      </c>
      <c r="C450" s="100" t="s">
        <v>139</v>
      </c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 t="s">
        <v>66</v>
      </c>
      <c r="O450" s="80"/>
    </row>
    <row r="451" spans="1:15" x14ac:dyDescent="0.2">
      <c r="A451" s="100"/>
      <c r="B451" s="100"/>
      <c r="C451" s="26" t="s">
        <v>71</v>
      </c>
      <c r="D451" s="26" t="s">
        <v>64</v>
      </c>
      <c r="E451" s="26" t="s">
        <v>72</v>
      </c>
      <c r="F451" s="26" t="s">
        <v>73</v>
      </c>
      <c r="G451" s="26" t="s">
        <v>74</v>
      </c>
      <c r="H451" s="26" t="s">
        <v>75</v>
      </c>
      <c r="I451" s="26" t="s">
        <v>63</v>
      </c>
      <c r="J451" s="26" t="s">
        <v>62</v>
      </c>
      <c r="K451" s="26" t="s">
        <v>76</v>
      </c>
      <c r="L451" s="26" t="s">
        <v>77</v>
      </c>
      <c r="M451" s="26" t="s">
        <v>78</v>
      </c>
      <c r="N451" s="100"/>
      <c r="O451" s="80"/>
    </row>
    <row r="452" spans="1:15" x14ac:dyDescent="0.2">
      <c r="A452" s="27" t="s">
        <v>110</v>
      </c>
      <c r="B452" s="2" t="s">
        <v>38</v>
      </c>
      <c r="C452" s="28">
        <v>26873.039345658563</v>
      </c>
      <c r="D452" s="28">
        <v>59789.555326875394</v>
      </c>
      <c r="E452" s="28">
        <v>0</v>
      </c>
      <c r="F452" s="28">
        <v>0</v>
      </c>
      <c r="G452" s="28">
        <v>112589.32450942184</v>
      </c>
      <c r="H452" s="28">
        <v>0</v>
      </c>
      <c r="I452" s="28">
        <v>0</v>
      </c>
      <c r="J452" s="28">
        <v>0</v>
      </c>
      <c r="K452" s="28">
        <v>0</v>
      </c>
      <c r="L452" s="28">
        <v>0</v>
      </c>
      <c r="M452" s="28">
        <v>84264208.002495483</v>
      </c>
      <c r="N452" s="28">
        <v>84463459.92167744</v>
      </c>
      <c r="O452" s="81"/>
    </row>
    <row r="453" spans="1:15" x14ac:dyDescent="0.2">
      <c r="A453" s="27" t="s">
        <v>113</v>
      </c>
      <c r="B453" s="2" t="s">
        <v>41</v>
      </c>
      <c r="C453" s="28">
        <v>0</v>
      </c>
      <c r="D453" s="28">
        <v>0</v>
      </c>
      <c r="E453" s="28">
        <v>0</v>
      </c>
      <c r="F453" s="28">
        <v>0</v>
      </c>
      <c r="G453" s="28">
        <v>0</v>
      </c>
      <c r="H453" s="28">
        <v>0</v>
      </c>
      <c r="I453" s="28">
        <v>0</v>
      </c>
      <c r="J453" s="28">
        <v>0</v>
      </c>
      <c r="K453" s="28">
        <v>0</v>
      </c>
      <c r="L453" s="28">
        <v>0</v>
      </c>
      <c r="M453" s="28">
        <v>10568.975212173467</v>
      </c>
      <c r="N453" s="28">
        <v>10568.975212173467</v>
      </c>
      <c r="O453" s="81"/>
    </row>
    <row r="454" spans="1:15" x14ac:dyDescent="0.2">
      <c r="A454" s="27" t="s">
        <v>119</v>
      </c>
      <c r="B454" s="2" t="s">
        <v>47</v>
      </c>
      <c r="C454" s="28">
        <v>0</v>
      </c>
      <c r="D454" s="28">
        <v>0</v>
      </c>
      <c r="E454" s="28">
        <v>0</v>
      </c>
      <c r="F454" s="28">
        <v>0</v>
      </c>
      <c r="G454" s="28">
        <v>0</v>
      </c>
      <c r="H454" s="28">
        <v>0</v>
      </c>
      <c r="I454" s="28">
        <v>0</v>
      </c>
      <c r="J454" s="28">
        <v>0</v>
      </c>
      <c r="K454" s="28">
        <v>0</v>
      </c>
      <c r="L454" s="28">
        <v>0</v>
      </c>
      <c r="M454" s="28">
        <v>0</v>
      </c>
      <c r="N454" s="28">
        <v>0</v>
      </c>
      <c r="O454" s="81"/>
    </row>
    <row r="455" spans="1:15" x14ac:dyDescent="0.2">
      <c r="A455" s="27" t="s">
        <v>121</v>
      </c>
      <c r="B455" s="2" t="s">
        <v>49</v>
      </c>
      <c r="C455" s="28">
        <v>1623.9100535345933</v>
      </c>
      <c r="D455" s="28">
        <v>2433.6256924801451</v>
      </c>
      <c r="E455" s="28">
        <v>0</v>
      </c>
      <c r="F455" s="28">
        <v>131.54733472865652</v>
      </c>
      <c r="G455" s="28">
        <v>449.51705117139653</v>
      </c>
      <c r="H455" s="28">
        <v>0</v>
      </c>
      <c r="I455" s="28">
        <v>0</v>
      </c>
      <c r="J455" s="28">
        <v>422.99891142586762</v>
      </c>
      <c r="K455" s="28">
        <v>0</v>
      </c>
      <c r="L455" s="28">
        <v>0</v>
      </c>
      <c r="M455" s="28">
        <v>3750.2763883530124</v>
      </c>
      <c r="N455" s="28">
        <v>8811.875431693672</v>
      </c>
      <c r="O455" s="81"/>
    </row>
    <row r="456" spans="1:15" x14ac:dyDescent="0.2">
      <c r="A456" s="27" t="s">
        <v>95</v>
      </c>
      <c r="B456" s="2" t="s">
        <v>23</v>
      </c>
      <c r="C456" s="28">
        <v>0</v>
      </c>
      <c r="D456" s="28">
        <v>0</v>
      </c>
      <c r="E456" s="28">
        <v>0</v>
      </c>
      <c r="F456" s="28">
        <v>0</v>
      </c>
      <c r="G456" s="28">
        <v>0</v>
      </c>
      <c r="H456" s="28">
        <v>0</v>
      </c>
      <c r="I456" s="28">
        <v>0</v>
      </c>
      <c r="J456" s="28">
        <v>0</v>
      </c>
      <c r="K456" s="28">
        <v>0</v>
      </c>
      <c r="L456" s="28">
        <v>0</v>
      </c>
      <c r="M456" s="28">
        <v>2690.7</v>
      </c>
      <c r="N456" s="28">
        <v>2690.7</v>
      </c>
      <c r="O456" s="81"/>
    </row>
    <row r="457" spans="1:15" x14ac:dyDescent="0.2">
      <c r="A457" s="27" t="s">
        <v>101</v>
      </c>
      <c r="B457" s="2" t="s">
        <v>29</v>
      </c>
      <c r="C457" s="28">
        <v>0</v>
      </c>
      <c r="D457" s="28">
        <v>0</v>
      </c>
      <c r="E457" s="28">
        <v>0</v>
      </c>
      <c r="F457" s="28">
        <v>0</v>
      </c>
      <c r="G457" s="28">
        <v>0</v>
      </c>
      <c r="H457" s="28">
        <v>0</v>
      </c>
      <c r="I457" s="28">
        <v>0</v>
      </c>
      <c r="J457" s="28">
        <v>22.424348960969702</v>
      </c>
      <c r="K457" s="28">
        <v>0</v>
      </c>
      <c r="L457" s="28">
        <v>0</v>
      </c>
      <c r="M457" s="28">
        <v>0</v>
      </c>
      <c r="N457" s="28">
        <v>22.424348960969702</v>
      </c>
      <c r="O457" s="81"/>
    </row>
    <row r="458" spans="1:15" x14ac:dyDescent="0.2">
      <c r="A458" s="27" t="s">
        <v>106</v>
      </c>
      <c r="B458" s="2" t="s">
        <v>34</v>
      </c>
      <c r="C458" s="28">
        <v>0</v>
      </c>
      <c r="D458" s="28">
        <v>0</v>
      </c>
      <c r="E458" s="28">
        <v>0</v>
      </c>
      <c r="F458" s="28">
        <v>0</v>
      </c>
      <c r="G458" s="28">
        <v>0</v>
      </c>
      <c r="H458" s="28">
        <v>0</v>
      </c>
      <c r="I458" s="28">
        <v>0</v>
      </c>
      <c r="J458" s="28">
        <v>0</v>
      </c>
      <c r="K458" s="28">
        <v>0</v>
      </c>
      <c r="L458" s="28">
        <v>0</v>
      </c>
      <c r="M458" s="28">
        <v>1663.9628675459142</v>
      </c>
      <c r="N458" s="28">
        <v>1663.9628675459142</v>
      </c>
      <c r="O458" s="81"/>
    </row>
    <row r="459" spans="1:15" x14ac:dyDescent="0.2">
      <c r="A459" s="27" t="s">
        <v>103</v>
      </c>
      <c r="B459" s="2" t="s">
        <v>31</v>
      </c>
      <c r="C459" s="28">
        <v>0</v>
      </c>
      <c r="D459" s="28">
        <v>0</v>
      </c>
      <c r="E459" s="28">
        <v>0</v>
      </c>
      <c r="F459" s="28">
        <v>0</v>
      </c>
      <c r="G459" s="28">
        <v>0</v>
      </c>
      <c r="H459" s="28">
        <v>0</v>
      </c>
      <c r="I459" s="28">
        <v>0</v>
      </c>
      <c r="J459" s="28">
        <v>0</v>
      </c>
      <c r="K459" s="28">
        <v>0</v>
      </c>
      <c r="L459" s="28">
        <v>0</v>
      </c>
      <c r="M459" s="28">
        <v>0</v>
      </c>
      <c r="N459" s="28">
        <v>0</v>
      </c>
      <c r="O459" s="81"/>
    </row>
    <row r="460" spans="1:15" x14ac:dyDescent="0.2">
      <c r="A460" s="27" t="s">
        <v>99</v>
      </c>
      <c r="B460" s="2" t="s">
        <v>27</v>
      </c>
      <c r="C460" s="28">
        <v>0</v>
      </c>
      <c r="D460" s="28">
        <v>23746.098056302893</v>
      </c>
      <c r="E460" s="28">
        <v>10350.863255311519</v>
      </c>
      <c r="F460" s="28">
        <v>15018.899625353966</v>
      </c>
      <c r="G460" s="28">
        <v>0</v>
      </c>
      <c r="H460" s="28">
        <v>28414.134426345347</v>
      </c>
      <c r="I460" s="28">
        <v>0</v>
      </c>
      <c r="J460" s="28">
        <v>0</v>
      </c>
      <c r="K460" s="28">
        <v>35720.626135977007</v>
      </c>
      <c r="L460" s="28">
        <v>0</v>
      </c>
      <c r="M460" s="28">
        <v>54392.771616146805</v>
      </c>
      <c r="N460" s="28">
        <v>167643.39311543753</v>
      </c>
      <c r="O460" s="81"/>
    </row>
    <row r="461" spans="1:15" x14ac:dyDescent="0.2">
      <c r="A461" s="27" t="s">
        <v>94</v>
      </c>
      <c r="B461" s="2" t="s">
        <v>22</v>
      </c>
      <c r="C461" s="28">
        <v>0</v>
      </c>
      <c r="D461" s="28">
        <v>0</v>
      </c>
      <c r="E461" s="28">
        <v>0</v>
      </c>
      <c r="F461" s="28">
        <v>0</v>
      </c>
      <c r="G461" s="28">
        <v>0</v>
      </c>
      <c r="H461" s="28">
        <v>0</v>
      </c>
      <c r="I461" s="28">
        <v>0</v>
      </c>
      <c r="J461" s="28">
        <v>0</v>
      </c>
      <c r="K461" s="28">
        <v>0</v>
      </c>
      <c r="L461" s="28">
        <v>0</v>
      </c>
      <c r="M461" s="28">
        <v>2795.1341873305128</v>
      </c>
      <c r="N461" s="28">
        <v>2795.1341873305128</v>
      </c>
      <c r="O461" s="81"/>
    </row>
    <row r="462" spans="1:15" x14ac:dyDescent="0.2">
      <c r="A462" s="27" t="s">
        <v>97</v>
      </c>
      <c r="B462" s="2" t="s">
        <v>25</v>
      </c>
      <c r="C462" s="28">
        <v>0</v>
      </c>
      <c r="D462" s="28">
        <v>0</v>
      </c>
      <c r="E462" s="28">
        <v>0</v>
      </c>
      <c r="F462" s="28">
        <v>0</v>
      </c>
      <c r="G462" s="28">
        <v>0</v>
      </c>
      <c r="H462" s="28">
        <v>0</v>
      </c>
      <c r="I462" s="28">
        <v>0</v>
      </c>
      <c r="J462" s="28">
        <v>0</v>
      </c>
      <c r="K462" s="28">
        <v>0</v>
      </c>
      <c r="L462" s="28">
        <v>0</v>
      </c>
      <c r="M462" s="28">
        <v>0</v>
      </c>
      <c r="N462" s="28">
        <v>0</v>
      </c>
      <c r="O462" s="81"/>
    </row>
    <row r="463" spans="1:15" x14ac:dyDescent="0.2">
      <c r="A463" s="27" t="s">
        <v>117</v>
      </c>
      <c r="B463" s="2" t="s">
        <v>45</v>
      </c>
      <c r="C463" s="28">
        <v>0</v>
      </c>
      <c r="D463" s="28">
        <v>307.30827977902771</v>
      </c>
      <c r="E463" s="28">
        <v>0</v>
      </c>
      <c r="F463" s="28">
        <v>2151.1579584531942</v>
      </c>
      <c r="G463" s="28">
        <v>0</v>
      </c>
      <c r="H463" s="28">
        <v>0</v>
      </c>
      <c r="I463" s="28">
        <v>0</v>
      </c>
      <c r="J463" s="28">
        <v>0</v>
      </c>
      <c r="K463" s="28">
        <v>0</v>
      </c>
      <c r="L463" s="28">
        <v>0</v>
      </c>
      <c r="M463" s="28">
        <v>4916.9324764644434</v>
      </c>
      <c r="N463" s="28">
        <v>7375.3987146966647</v>
      </c>
      <c r="O463" s="81"/>
    </row>
    <row r="464" spans="1:15" x14ac:dyDescent="0.2">
      <c r="A464" s="27" t="s">
        <v>114</v>
      </c>
      <c r="B464" s="2" t="s">
        <v>42</v>
      </c>
      <c r="C464" s="28">
        <v>0</v>
      </c>
      <c r="D464" s="28">
        <v>0</v>
      </c>
      <c r="E464" s="28">
        <v>0</v>
      </c>
      <c r="F464" s="28">
        <v>0</v>
      </c>
      <c r="G464" s="28">
        <v>0</v>
      </c>
      <c r="H464" s="28">
        <v>0</v>
      </c>
      <c r="I464" s="28">
        <v>0</v>
      </c>
      <c r="J464" s="28">
        <v>0</v>
      </c>
      <c r="K464" s="28">
        <v>0</v>
      </c>
      <c r="L464" s="28">
        <v>0</v>
      </c>
      <c r="M464" s="28">
        <v>4005148.8983503385</v>
      </c>
      <c r="N464" s="28">
        <v>4005148.8983503385</v>
      </c>
      <c r="O464" s="81"/>
    </row>
    <row r="465" spans="1:15" x14ac:dyDescent="0.2">
      <c r="A465" s="27" t="s">
        <v>112</v>
      </c>
      <c r="B465" s="2" t="s">
        <v>40</v>
      </c>
      <c r="C465" s="28">
        <v>0</v>
      </c>
      <c r="D465" s="28">
        <v>0</v>
      </c>
      <c r="E465" s="28">
        <v>0</v>
      </c>
      <c r="F465" s="28">
        <v>0</v>
      </c>
      <c r="G465" s="28">
        <v>3998.9620048073675</v>
      </c>
      <c r="H465" s="28">
        <v>0</v>
      </c>
      <c r="I465" s="28">
        <v>27039.570562999357</v>
      </c>
      <c r="J465" s="28">
        <v>0</v>
      </c>
      <c r="K465" s="28">
        <v>102.11816950528424</v>
      </c>
      <c r="L465" s="28">
        <v>0</v>
      </c>
      <c r="M465" s="28">
        <v>6036.0559293546457</v>
      </c>
      <c r="N465" s="28">
        <v>37176.706666666651</v>
      </c>
      <c r="O465" s="81"/>
    </row>
    <row r="466" spans="1:15" x14ac:dyDescent="0.2">
      <c r="A466" s="27" t="s">
        <v>116</v>
      </c>
      <c r="B466" s="2" t="s">
        <v>44</v>
      </c>
      <c r="C466" s="28">
        <v>0</v>
      </c>
      <c r="D466" s="28">
        <v>0</v>
      </c>
      <c r="E466" s="28">
        <v>0</v>
      </c>
      <c r="F466" s="28">
        <v>0</v>
      </c>
      <c r="G466" s="28">
        <v>0</v>
      </c>
      <c r="H466" s="28">
        <v>0</v>
      </c>
      <c r="I466" s="28">
        <v>12645.228680702105</v>
      </c>
      <c r="J466" s="28">
        <v>3188.3259266436362</v>
      </c>
      <c r="K466" s="28">
        <v>2239.1916770213425</v>
      </c>
      <c r="L466" s="28">
        <v>0</v>
      </c>
      <c r="M466" s="28">
        <v>718524.85600131552</v>
      </c>
      <c r="N466" s="28">
        <v>736597.60228568257</v>
      </c>
      <c r="O466" s="81"/>
    </row>
    <row r="467" spans="1:15" x14ac:dyDescent="0.2">
      <c r="A467" s="27" t="s">
        <v>107</v>
      </c>
      <c r="B467" s="2" t="s">
        <v>35</v>
      </c>
      <c r="C467" s="28">
        <v>0</v>
      </c>
      <c r="D467" s="28">
        <v>0</v>
      </c>
      <c r="E467" s="28">
        <v>0</v>
      </c>
      <c r="F467" s="28">
        <v>0</v>
      </c>
      <c r="G467" s="28">
        <v>0</v>
      </c>
      <c r="H467" s="28">
        <v>0</v>
      </c>
      <c r="I467" s="28">
        <v>0</v>
      </c>
      <c r="J467" s="28">
        <v>0</v>
      </c>
      <c r="K467" s="28">
        <v>0</v>
      </c>
      <c r="L467" s="28">
        <v>0</v>
      </c>
      <c r="M467" s="28">
        <v>0</v>
      </c>
      <c r="N467" s="28">
        <v>0</v>
      </c>
      <c r="O467" s="81"/>
    </row>
    <row r="468" spans="1:15" x14ac:dyDescent="0.2">
      <c r="A468" s="27" t="s">
        <v>100</v>
      </c>
      <c r="B468" s="2" t="s">
        <v>28</v>
      </c>
      <c r="C468" s="28">
        <v>0</v>
      </c>
      <c r="D468" s="28">
        <v>0</v>
      </c>
      <c r="E468" s="28">
        <v>0</v>
      </c>
      <c r="F468" s="28">
        <v>0</v>
      </c>
      <c r="G468" s="28">
        <v>0</v>
      </c>
      <c r="H468" s="28">
        <v>0</v>
      </c>
      <c r="I468" s="28">
        <v>0</v>
      </c>
      <c r="J468" s="28">
        <v>0</v>
      </c>
      <c r="K468" s="28">
        <v>0</v>
      </c>
      <c r="L468" s="28">
        <v>0</v>
      </c>
      <c r="M468" s="28">
        <v>95716.859782402753</v>
      </c>
      <c r="N468" s="28">
        <v>95716.859782402753</v>
      </c>
      <c r="O468" s="81"/>
    </row>
    <row r="469" spans="1:15" x14ac:dyDescent="0.2">
      <c r="A469" s="27" t="s">
        <v>108</v>
      </c>
      <c r="B469" s="2" t="s">
        <v>36</v>
      </c>
      <c r="C469" s="28">
        <v>0</v>
      </c>
      <c r="D469" s="28">
        <v>0</v>
      </c>
      <c r="E469" s="28">
        <v>0</v>
      </c>
      <c r="F469" s="28">
        <v>0</v>
      </c>
      <c r="G469" s="28">
        <v>0</v>
      </c>
      <c r="H469" s="28">
        <v>0</v>
      </c>
      <c r="I469" s="28">
        <v>0</v>
      </c>
      <c r="J469" s="28">
        <v>0</v>
      </c>
      <c r="K469" s="28">
        <v>0</v>
      </c>
      <c r="L469" s="28">
        <v>0</v>
      </c>
      <c r="M469" s="28">
        <v>0</v>
      </c>
      <c r="N469" s="28">
        <v>0</v>
      </c>
      <c r="O469" s="81"/>
    </row>
    <row r="470" spans="1:15" x14ac:dyDescent="0.2">
      <c r="A470" s="27" t="s">
        <v>104</v>
      </c>
      <c r="B470" s="2" t="s">
        <v>32</v>
      </c>
      <c r="C470" s="28">
        <v>0</v>
      </c>
      <c r="D470" s="28">
        <v>0</v>
      </c>
      <c r="E470" s="28">
        <v>0</v>
      </c>
      <c r="F470" s="28">
        <v>0</v>
      </c>
      <c r="G470" s="28">
        <v>0</v>
      </c>
      <c r="H470" s="28">
        <v>0</v>
      </c>
      <c r="I470" s="28">
        <v>0</v>
      </c>
      <c r="J470" s="28">
        <v>0</v>
      </c>
      <c r="K470" s="28">
        <v>0</v>
      </c>
      <c r="L470" s="28">
        <v>0</v>
      </c>
      <c r="M470" s="28">
        <v>0</v>
      </c>
      <c r="N470" s="28">
        <v>0</v>
      </c>
      <c r="O470" s="81"/>
    </row>
    <row r="471" spans="1:15" x14ac:dyDescent="0.2">
      <c r="A471" s="27" t="s">
        <v>105</v>
      </c>
      <c r="B471" s="2" t="s">
        <v>33</v>
      </c>
      <c r="C471" s="28">
        <v>0</v>
      </c>
      <c r="D471" s="28">
        <v>0</v>
      </c>
      <c r="E471" s="28">
        <v>0</v>
      </c>
      <c r="F471" s="28">
        <v>0</v>
      </c>
      <c r="G471" s="28">
        <v>0</v>
      </c>
      <c r="H471" s="28">
        <v>0</v>
      </c>
      <c r="I471" s="28">
        <v>0</v>
      </c>
      <c r="J471" s="28">
        <v>0</v>
      </c>
      <c r="K471" s="28">
        <v>0</v>
      </c>
      <c r="L471" s="28">
        <v>0</v>
      </c>
      <c r="M471" s="28">
        <v>1539228.3795505692</v>
      </c>
      <c r="N471" s="28">
        <v>1539228.3795505692</v>
      </c>
      <c r="O471" s="81"/>
    </row>
    <row r="472" spans="1:15" x14ac:dyDescent="0.2">
      <c r="A472" s="27" t="s">
        <v>109</v>
      </c>
      <c r="B472" s="2" t="s">
        <v>37</v>
      </c>
      <c r="C472" s="28">
        <v>0</v>
      </c>
      <c r="D472" s="28">
        <v>0</v>
      </c>
      <c r="E472" s="28">
        <v>0</v>
      </c>
      <c r="F472" s="28">
        <v>0</v>
      </c>
      <c r="G472" s="28">
        <v>0</v>
      </c>
      <c r="H472" s="28">
        <v>0</v>
      </c>
      <c r="I472" s="28">
        <v>913.64577742951144</v>
      </c>
      <c r="J472" s="28">
        <v>70665.274754148923</v>
      </c>
      <c r="K472" s="28">
        <v>228.41144435737786</v>
      </c>
      <c r="L472" s="28">
        <v>0</v>
      </c>
      <c r="M472" s="28">
        <v>48161.515590116083</v>
      </c>
      <c r="N472" s="28">
        <v>119968.8475660519</v>
      </c>
      <c r="O472" s="81"/>
    </row>
    <row r="473" spans="1:15" x14ac:dyDescent="0.2">
      <c r="A473" s="27" t="s">
        <v>96</v>
      </c>
      <c r="B473" s="2" t="s">
        <v>24</v>
      </c>
      <c r="C473" s="28">
        <v>0</v>
      </c>
      <c r="D473" s="28">
        <v>0</v>
      </c>
      <c r="E473" s="28">
        <v>0</v>
      </c>
      <c r="F473" s="28">
        <v>0</v>
      </c>
      <c r="G473" s="28">
        <v>0</v>
      </c>
      <c r="H473" s="28">
        <v>0</v>
      </c>
      <c r="I473" s="28">
        <v>5830.2594091562596</v>
      </c>
      <c r="J473" s="28">
        <v>1100.0489451238229</v>
      </c>
      <c r="K473" s="28">
        <v>1210.0538396362049</v>
      </c>
      <c r="L473" s="28">
        <v>0</v>
      </c>
      <c r="M473" s="28">
        <v>25659.560324296421</v>
      </c>
      <c r="N473" s="28">
        <v>33799.922518212712</v>
      </c>
      <c r="O473" s="81"/>
    </row>
    <row r="474" spans="1:15" x14ac:dyDescent="0.2">
      <c r="A474" s="27" t="s">
        <v>120</v>
      </c>
      <c r="B474" s="2" t="s">
        <v>48</v>
      </c>
      <c r="C474" s="28">
        <v>0</v>
      </c>
      <c r="D474" s="28">
        <v>0</v>
      </c>
      <c r="E474" s="28">
        <v>0</v>
      </c>
      <c r="F474" s="28">
        <v>0</v>
      </c>
      <c r="G474" s="28">
        <v>0</v>
      </c>
      <c r="H474" s="28">
        <v>0</v>
      </c>
      <c r="I474" s="28">
        <v>2746.9381856215932</v>
      </c>
      <c r="J474" s="28">
        <v>0</v>
      </c>
      <c r="K474" s="28">
        <v>0</v>
      </c>
      <c r="L474" s="28">
        <v>0</v>
      </c>
      <c r="M474" s="28">
        <v>32047.612165585248</v>
      </c>
      <c r="N474" s="28">
        <v>34794.550351206839</v>
      </c>
      <c r="O474" s="81"/>
    </row>
    <row r="475" spans="1:15" x14ac:dyDescent="0.2">
      <c r="A475" s="27" t="s">
        <v>102</v>
      </c>
      <c r="B475" s="2" t="s">
        <v>30</v>
      </c>
      <c r="C475" s="28">
        <v>0</v>
      </c>
      <c r="D475" s="28">
        <v>27486.318865949223</v>
      </c>
      <c r="E475" s="28">
        <v>0</v>
      </c>
      <c r="F475" s="28">
        <v>0</v>
      </c>
      <c r="G475" s="28">
        <v>0</v>
      </c>
      <c r="H475" s="28">
        <v>0</v>
      </c>
      <c r="I475" s="28">
        <v>0</v>
      </c>
      <c r="J475" s="28">
        <v>0</v>
      </c>
      <c r="K475" s="28">
        <v>0</v>
      </c>
      <c r="L475" s="28">
        <v>0</v>
      </c>
      <c r="M475" s="28">
        <v>168536.45932334053</v>
      </c>
      <c r="N475" s="28">
        <v>196022.77818928976</v>
      </c>
      <c r="O475" s="81"/>
    </row>
    <row r="476" spans="1:15" x14ac:dyDescent="0.2">
      <c r="A476" s="27" t="s">
        <v>98</v>
      </c>
      <c r="B476" s="2" t="s">
        <v>26</v>
      </c>
      <c r="C476" s="28">
        <v>0</v>
      </c>
      <c r="D476" s="28">
        <v>0</v>
      </c>
      <c r="E476" s="28">
        <v>0</v>
      </c>
      <c r="F476" s="28">
        <v>0</v>
      </c>
      <c r="G476" s="28">
        <v>0</v>
      </c>
      <c r="H476" s="28">
        <v>0</v>
      </c>
      <c r="I476" s="28">
        <v>24282.314762689657</v>
      </c>
      <c r="J476" s="28">
        <v>0</v>
      </c>
      <c r="K476" s="28">
        <v>25702.384033619117</v>
      </c>
      <c r="L476" s="28">
        <v>0</v>
      </c>
      <c r="M476" s="28">
        <v>34050.334387272364</v>
      </c>
      <c r="N476" s="28">
        <v>84035.033183581138</v>
      </c>
      <c r="O476" s="81"/>
    </row>
    <row r="477" spans="1:15" x14ac:dyDescent="0.2">
      <c r="A477" s="27" t="s">
        <v>93</v>
      </c>
      <c r="B477" s="2" t="s">
        <v>21</v>
      </c>
      <c r="C477" s="28">
        <v>0</v>
      </c>
      <c r="D477" s="28">
        <v>0</v>
      </c>
      <c r="E477" s="28">
        <v>0</v>
      </c>
      <c r="F477" s="28">
        <v>0</v>
      </c>
      <c r="G477" s="28">
        <v>0</v>
      </c>
      <c r="H477" s="28">
        <v>0</v>
      </c>
      <c r="I477" s="28">
        <v>0</v>
      </c>
      <c r="J477" s="28">
        <v>0</v>
      </c>
      <c r="K477" s="28">
        <v>0</v>
      </c>
      <c r="L477" s="28">
        <v>0</v>
      </c>
      <c r="M477" s="28">
        <v>0</v>
      </c>
      <c r="N477" s="28">
        <v>0</v>
      </c>
      <c r="O477" s="81"/>
    </row>
    <row r="478" spans="1:15" x14ac:dyDescent="0.2">
      <c r="A478" s="27" t="s">
        <v>115</v>
      </c>
      <c r="B478" s="2" t="s">
        <v>43</v>
      </c>
      <c r="C478" s="28">
        <v>0</v>
      </c>
      <c r="D478" s="28">
        <v>0</v>
      </c>
      <c r="E478" s="28">
        <v>77237.26036523217</v>
      </c>
      <c r="F478" s="28">
        <v>12.124574513140146</v>
      </c>
      <c r="G478" s="28">
        <v>0</v>
      </c>
      <c r="H478" s="28">
        <v>0</v>
      </c>
      <c r="I478" s="28">
        <v>0</v>
      </c>
      <c r="J478" s="28">
        <v>0</v>
      </c>
      <c r="K478" s="28">
        <v>637.46698688721676</v>
      </c>
      <c r="L478" s="28">
        <v>0</v>
      </c>
      <c r="M478" s="28">
        <v>81250.123698960859</v>
      </c>
      <c r="N478" s="28">
        <v>159136.97562559339</v>
      </c>
      <c r="O478" s="81"/>
    </row>
    <row r="479" spans="1:15" x14ac:dyDescent="0.2">
      <c r="A479" s="27" t="s">
        <v>111</v>
      </c>
      <c r="B479" s="2" t="s">
        <v>39</v>
      </c>
      <c r="C479" s="28">
        <v>0</v>
      </c>
      <c r="D479" s="28">
        <v>0</v>
      </c>
      <c r="E479" s="28">
        <v>0</v>
      </c>
      <c r="F479" s="28">
        <v>0</v>
      </c>
      <c r="G479" s="28">
        <v>0</v>
      </c>
      <c r="H479" s="28">
        <v>0</v>
      </c>
      <c r="I479" s="28">
        <v>0</v>
      </c>
      <c r="J479" s="28">
        <v>0</v>
      </c>
      <c r="K479" s="28">
        <v>0</v>
      </c>
      <c r="L479" s="28">
        <v>0</v>
      </c>
      <c r="M479" s="28">
        <v>34</v>
      </c>
      <c r="N479" s="28">
        <v>34</v>
      </c>
      <c r="O479" s="81"/>
    </row>
    <row r="480" spans="1:15" x14ac:dyDescent="0.2">
      <c r="A480" s="27" t="s">
        <v>118</v>
      </c>
      <c r="B480" s="2" t="s">
        <v>46</v>
      </c>
      <c r="C480" s="28">
        <v>0</v>
      </c>
      <c r="D480" s="28">
        <v>222.4678292484156</v>
      </c>
      <c r="E480" s="28">
        <v>0</v>
      </c>
      <c r="F480" s="28">
        <v>0</v>
      </c>
      <c r="G480" s="28">
        <v>0</v>
      </c>
      <c r="H480" s="28">
        <v>0</v>
      </c>
      <c r="I480" s="28">
        <v>0</v>
      </c>
      <c r="J480" s="28">
        <v>0</v>
      </c>
      <c r="K480" s="28">
        <v>0</v>
      </c>
      <c r="L480" s="28">
        <v>0</v>
      </c>
      <c r="M480" s="28">
        <v>0</v>
      </c>
      <c r="N480" s="28">
        <v>222.4678292484156</v>
      </c>
      <c r="O480" s="81"/>
    </row>
    <row r="481" spans="1:15" x14ac:dyDescent="0.2">
      <c r="A481" s="27" t="s">
        <v>124</v>
      </c>
      <c r="B481" s="2" t="s">
        <v>52</v>
      </c>
      <c r="C481" s="28">
        <v>0</v>
      </c>
      <c r="D481" s="28">
        <v>0</v>
      </c>
      <c r="E481" s="28">
        <v>0</v>
      </c>
      <c r="F481" s="28">
        <v>0</v>
      </c>
      <c r="G481" s="28">
        <v>0</v>
      </c>
      <c r="H481" s="28">
        <v>0</v>
      </c>
      <c r="I481" s="28">
        <v>11497.83276689732</v>
      </c>
      <c r="J481" s="28">
        <v>0</v>
      </c>
      <c r="K481" s="28">
        <v>0</v>
      </c>
      <c r="L481" s="28">
        <v>0</v>
      </c>
      <c r="M481" s="28">
        <v>3392475.0613402077</v>
      </c>
      <c r="N481" s="28">
        <v>3403972.8941071052</v>
      </c>
      <c r="O481" s="81"/>
    </row>
    <row r="482" spans="1:15" x14ac:dyDescent="0.2">
      <c r="A482" s="27" t="s">
        <v>123</v>
      </c>
      <c r="B482" s="2" t="s">
        <v>51</v>
      </c>
      <c r="C482" s="28">
        <v>0</v>
      </c>
      <c r="D482" s="28">
        <v>0</v>
      </c>
      <c r="E482" s="28">
        <v>0</v>
      </c>
      <c r="F482" s="28">
        <v>0</v>
      </c>
      <c r="G482" s="28">
        <v>0</v>
      </c>
      <c r="H482" s="28">
        <v>0</v>
      </c>
      <c r="I482" s="28">
        <v>0</v>
      </c>
      <c r="J482" s="28">
        <v>0</v>
      </c>
      <c r="K482" s="28">
        <v>0</v>
      </c>
      <c r="L482" s="28">
        <v>0</v>
      </c>
      <c r="M482" s="28">
        <v>0</v>
      </c>
      <c r="N482" s="28">
        <v>0</v>
      </c>
      <c r="O482" s="81"/>
    </row>
    <row r="483" spans="1:15" x14ac:dyDescent="0.2">
      <c r="A483" s="27" t="s">
        <v>126</v>
      </c>
      <c r="B483" s="2" t="s">
        <v>54</v>
      </c>
      <c r="C483" s="28">
        <v>0</v>
      </c>
      <c r="D483" s="28">
        <v>0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  <c r="K483" s="28">
        <v>0</v>
      </c>
      <c r="L483" s="28">
        <v>0</v>
      </c>
      <c r="M483" s="28">
        <v>0</v>
      </c>
      <c r="N483" s="28">
        <v>0</v>
      </c>
      <c r="O483" s="81"/>
    </row>
    <row r="484" spans="1:15" x14ac:dyDescent="0.2">
      <c r="A484" s="27" t="s">
        <v>129</v>
      </c>
      <c r="B484" s="2" t="s">
        <v>57</v>
      </c>
      <c r="C484" s="28">
        <v>9463.3054946867433</v>
      </c>
      <c r="D484" s="28">
        <v>0</v>
      </c>
      <c r="E484" s="28">
        <v>0</v>
      </c>
      <c r="F484" s="28">
        <v>0</v>
      </c>
      <c r="G484" s="28">
        <v>0</v>
      </c>
      <c r="H484" s="28">
        <v>0</v>
      </c>
      <c r="I484" s="28">
        <v>0</v>
      </c>
      <c r="J484" s="28">
        <v>0</v>
      </c>
      <c r="K484" s="28">
        <v>0</v>
      </c>
      <c r="L484" s="28">
        <v>0</v>
      </c>
      <c r="M484" s="28">
        <v>277724.45756581496</v>
      </c>
      <c r="N484" s="28">
        <v>287187.76306050172</v>
      </c>
      <c r="O484" s="81"/>
    </row>
    <row r="485" spans="1:15" x14ac:dyDescent="0.2">
      <c r="A485" s="27" t="s">
        <v>128</v>
      </c>
      <c r="B485" s="2" t="s">
        <v>56</v>
      </c>
      <c r="C485" s="28">
        <v>0</v>
      </c>
      <c r="D485" s="28">
        <v>0</v>
      </c>
      <c r="E485" s="28">
        <v>0</v>
      </c>
      <c r="F485" s="28">
        <v>0</v>
      </c>
      <c r="G485" s="28">
        <v>0</v>
      </c>
      <c r="H485" s="28">
        <v>0</v>
      </c>
      <c r="I485" s="28">
        <v>0</v>
      </c>
      <c r="J485" s="28">
        <v>0</v>
      </c>
      <c r="K485" s="28">
        <v>0</v>
      </c>
      <c r="L485" s="28">
        <v>0</v>
      </c>
      <c r="M485" s="28">
        <v>1232.7057569913579</v>
      </c>
      <c r="N485" s="28">
        <v>1232.7057569913579</v>
      </c>
      <c r="O485" s="81"/>
    </row>
    <row r="486" spans="1:15" x14ac:dyDescent="0.2">
      <c r="A486" s="27" t="s">
        <v>127</v>
      </c>
      <c r="B486" s="2" t="s">
        <v>55</v>
      </c>
      <c r="C486" s="28">
        <v>0</v>
      </c>
      <c r="D486" s="28">
        <v>0</v>
      </c>
      <c r="E486" s="28">
        <v>0</v>
      </c>
      <c r="F486" s="28">
        <v>0</v>
      </c>
      <c r="G486" s="28">
        <v>0</v>
      </c>
      <c r="H486" s="28">
        <v>0</v>
      </c>
      <c r="I486" s="28">
        <v>0</v>
      </c>
      <c r="J486" s="28">
        <v>0</v>
      </c>
      <c r="K486" s="28">
        <v>0</v>
      </c>
      <c r="L486" s="28">
        <v>0</v>
      </c>
      <c r="M486" s="28">
        <v>0</v>
      </c>
      <c r="N486" s="28">
        <v>0</v>
      </c>
      <c r="O486" s="81"/>
    </row>
    <row r="487" spans="1:15" x14ac:dyDescent="0.2">
      <c r="A487" s="27" t="s">
        <v>125</v>
      </c>
      <c r="B487" s="2" t="s">
        <v>53</v>
      </c>
      <c r="C487" s="28">
        <v>0</v>
      </c>
      <c r="D487" s="28">
        <v>0</v>
      </c>
      <c r="E487" s="28">
        <v>0</v>
      </c>
      <c r="F487" s="28">
        <v>0</v>
      </c>
      <c r="G487" s="28">
        <v>0</v>
      </c>
      <c r="H487" s="28">
        <v>0</v>
      </c>
      <c r="I487" s="28">
        <v>114626.10898038615</v>
      </c>
      <c r="J487" s="28">
        <v>0</v>
      </c>
      <c r="K487" s="28">
        <v>0</v>
      </c>
      <c r="L487" s="28">
        <v>0</v>
      </c>
      <c r="M487" s="28">
        <v>0</v>
      </c>
      <c r="N487" s="28">
        <v>114626.10898038615</v>
      </c>
      <c r="O487" s="81"/>
    </row>
    <row r="488" spans="1:15" x14ac:dyDescent="0.2">
      <c r="A488" s="27" t="s">
        <v>130</v>
      </c>
      <c r="B488" s="2" t="s">
        <v>58</v>
      </c>
      <c r="C488" s="28">
        <v>0</v>
      </c>
      <c r="D488" s="28">
        <v>0</v>
      </c>
      <c r="E488" s="28">
        <v>0</v>
      </c>
      <c r="F488" s="28">
        <v>0</v>
      </c>
      <c r="G488" s="28">
        <v>0</v>
      </c>
      <c r="H488" s="28">
        <v>0</v>
      </c>
      <c r="I488" s="28">
        <v>0</v>
      </c>
      <c r="J488" s="28">
        <v>0</v>
      </c>
      <c r="K488" s="28">
        <v>0</v>
      </c>
      <c r="L488" s="28">
        <v>0</v>
      </c>
      <c r="M488" s="28">
        <v>19</v>
      </c>
      <c r="N488" s="28">
        <v>19</v>
      </c>
      <c r="O488" s="81"/>
    </row>
    <row r="489" spans="1:15" x14ac:dyDescent="0.2">
      <c r="A489" s="27" t="s">
        <v>122</v>
      </c>
      <c r="B489" s="2" t="s">
        <v>50</v>
      </c>
      <c r="C489" s="28">
        <v>0</v>
      </c>
      <c r="D489" s="28">
        <v>0</v>
      </c>
      <c r="E489" s="28">
        <v>0</v>
      </c>
      <c r="F489" s="28">
        <v>0</v>
      </c>
      <c r="G489" s="28">
        <v>0</v>
      </c>
      <c r="H489" s="28">
        <v>0</v>
      </c>
      <c r="I489" s="28">
        <v>0</v>
      </c>
      <c r="J489" s="28">
        <v>0</v>
      </c>
      <c r="K489" s="28">
        <v>0</v>
      </c>
      <c r="L489" s="28">
        <v>0</v>
      </c>
      <c r="M489" s="28">
        <v>1268.5465595347894</v>
      </c>
      <c r="N489" s="28">
        <v>1268.5465595347894</v>
      </c>
      <c r="O489" s="81"/>
    </row>
    <row r="490" spans="1:15" x14ac:dyDescent="0.2">
      <c r="A490" s="4"/>
      <c r="B490" s="4" t="s">
        <v>59</v>
      </c>
      <c r="C490" s="28">
        <v>37960.254893879901</v>
      </c>
      <c r="D490" s="28">
        <v>113985.3740506351</v>
      </c>
      <c r="E490" s="28">
        <v>87588.123620543687</v>
      </c>
      <c r="F490" s="28">
        <v>17313.729493048959</v>
      </c>
      <c r="G490" s="28">
        <v>117037.80356540061</v>
      </c>
      <c r="H490" s="28">
        <v>28414.134426345347</v>
      </c>
      <c r="I490" s="28">
        <v>199581.89912588196</v>
      </c>
      <c r="J490" s="28">
        <v>75399.072886303227</v>
      </c>
      <c r="K490" s="28">
        <v>65840.252287003546</v>
      </c>
      <c r="L490" s="28">
        <v>0</v>
      </c>
      <c r="M490" s="28">
        <v>94772101.181569591</v>
      </c>
      <c r="N490" s="28">
        <v>95515221.825918585</v>
      </c>
      <c r="O490" s="81"/>
    </row>
    <row r="493" spans="1:15" x14ac:dyDescent="0.2">
      <c r="A493" s="99" t="s">
        <v>347</v>
      </c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57"/>
    </row>
    <row r="494" spans="1:15" x14ac:dyDescent="0.2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57"/>
    </row>
    <row r="495" spans="1:15" x14ac:dyDescent="0.2">
      <c r="A495" s="100" t="s">
        <v>0</v>
      </c>
      <c r="B495" s="100" t="s">
        <v>1</v>
      </c>
      <c r="C495" s="100" t="s">
        <v>139</v>
      </c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 t="s">
        <v>66</v>
      </c>
      <c r="O495" s="80"/>
    </row>
    <row r="496" spans="1:15" x14ac:dyDescent="0.2">
      <c r="A496" s="100"/>
      <c r="B496" s="100"/>
      <c r="C496" s="26" t="s">
        <v>71</v>
      </c>
      <c r="D496" s="26" t="s">
        <v>64</v>
      </c>
      <c r="E496" s="26" t="s">
        <v>72</v>
      </c>
      <c r="F496" s="26" t="s">
        <v>73</v>
      </c>
      <c r="G496" s="26" t="s">
        <v>74</v>
      </c>
      <c r="H496" s="26" t="s">
        <v>75</v>
      </c>
      <c r="I496" s="26" t="s">
        <v>63</v>
      </c>
      <c r="J496" s="26" t="s">
        <v>62</v>
      </c>
      <c r="K496" s="26" t="s">
        <v>76</v>
      </c>
      <c r="L496" s="26" t="s">
        <v>77</v>
      </c>
      <c r="M496" s="26" t="s">
        <v>78</v>
      </c>
      <c r="N496" s="100"/>
      <c r="O496" s="80"/>
    </row>
    <row r="497" spans="1:15" x14ac:dyDescent="0.2">
      <c r="A497" s="27" t="s">
        <v>110</v>
      </c>
      <c r="B497" s="2" t="s">
        <v>38</v>
      </c>
      <c r="C497" s="28">
        <v>0</v>
      </c>
      <c r="D497" s="28">
        <v>0</v>
      </c>
      <c r="E497" s="28">
        <v>0</v>
      </c>
      <c r="F497" s="28">
        <v>0</v>
      </c>
      <c r="G497" s="28">
        <v>0</v>
      </c>
      <c r="H497" s="28">
        <v>0</v>
      </c>
      <c r="I497" s="28">
        <v>0</v>
      </c>
      <c r="J497" s="28">
        <v>0</v>
      </c>
      <c r="K497" s="28">
        <v>0</v>
      </c>
      <c r="L497" s="28">
        <v>0</v>
      </c>
      <c r="M497" s="28">
        <v>0</v>
      </c>
      <c r="N497" s="28">
        <v>0</v>
      </c>
      <c r="O497" s="81"/>
    </row>
    <row r="498" spans="1:15" x14ac:dyDescent="0.2">
      <c r="A498" s="27" t="s">
        <v>113</v>
      </c>
      <c r="B498" s="2" t="s">
        <v>41</v>
      </c>
      <c r="C498" s="28">
        <v>0</v>
      </c>
      <c r="D498" s="28">
        <v>0</v>
      </c>
      <c r="E498" s="28">
        <v>0</v>
      </c>
      <c r="F498" s="28">
        <v>0</v>
      </c>
      <c r="G498" s="28">
        <v>0</v>
      </c>
      <c r="H498" s="28">
        <v>0</v>
      </c>
      <c r="I498" s="28">
        <v>0</v>
      </c>
      <c r="J498" s="28">
        <v>0</v>
      </c>
      <c r="K498" s="28">
        <v>0</v>
      </c>
      <c r="L498" s="28">
        <v>0</v>
      </c>
      <c r="M498" s="28">
        <v>0</v>
      </c>
      <c r="N498" s="28">
        <v>0</v>
      </c>
      <c r="O498" s="81"/>
    </row>
    <row r="499" spans="1:15" x14ac:dyDescent="0.2">
      <c r="A499" s="27" t="s">
        <v>119</v>
      </c>
      <c r="B499" s="2" t="s">
        <v>47</v>
      </c>
      <c r="C499" s="28">
        <v>0</v>
      </c>
      <c r="D499" s="28">
        <v>0</v>
      </c>
      <c r="E499" s="28">
        <v>0</v>
      </c>
      <c r="F499" s="28">
        <v>0</v>
      </c>
      <c r="G499" s="28">
        <v>0</v>
      </c>
      <c r="H499" s="28">
        <v>0</v>
      </c>
      <c r="I499" s="28">
        <v>0</v>
      </c>
      <c r="J499" s="28">
        <v>0</v>
      </c>
      <c r="K499" s="28">
        <v>0</v>
      </c>
      <c r="L499" s="28">
        <v>0</v>
      </c>
      <c r="M499" s="28">
        <v>0</v>
      </c>
      <c r="N499" s="28">
        <v>0</v>
      </c>
      <c r="O499" s="81"/>
    </row>
    <row r="500" spans="1:15" x14ac:dyDescent="0.2">
      <c r="A500" s="27" t="s">
        <v>121</v>
      </c>
      <c r="B500" s="2" t="s">
        <v>49</v>
      </c>
      <c r="C500" s="28">
        <v>0</v>
      </c>
      <c r="D500" s="28">
        <v>0</v>
      </c>
      <c r="E500" s="28">
        <v>0</v>
      </c>
      <c r="F500" s="28">
        <v>0</v>
      </c>
      <c r="G500" s="28">
        <v>0</v>
      </c>
      <c r="H500" s="28">
        <v>0</v>
      </c>
      <c r="I500" s="28">
        <v>0</v>
      </c>
      <c r="J500" s="28">
        <v>0</v>
      </c>
      <c r="K500" s="28">
        <v>0</v>
      </c>
      <c r="L500" s="28">
        <v>0</v>
      </c>
      <c r="M500" s="28">
        <v>0</v>
      </c>
      <c r="N500" s="28">
        <v>0</v>
      </c>
      <c r="O500" s="81"/>
    </row>
    <row r="501" spans="1:15" x14ac:dyDescent="0.2">
      <c r="A501" s="27" t="s">
        <v>95</v>
      </c>
      <c r="B501" s="2" t="s">
        <v>23</v>
      </c>
      <c r="C501" s="28">
        <v>0</v>
      </c>
      <c r="D501" s="28">
        <v>0</v>
      </c>
      <c r="E501" s="28">
        <v>0</v>
      </c>
      <c r="F501" s="28">
        <v>0</v>
      </c>
      <c r="G501" s="28">
        <v>0</v>
      </c>
      <c r="H501" s="28">
        <v>0</v>
      </c>
      <c r="I501" s="28">
        <v>0</v>
      </c>
      <c r="J501" s="28">
        <v>0</v>
      </c>
      <c r="K501" s="28">
        <v>0</v>
      </c>
      <c r="L501" s="28">
        <v>0</v>
      </c>
      <c r="M501" s="28">
        <v>0</v>
      </c>
      <c r="N501" s="28">
        <v>0</v>
      </c>
      <c r="O501" s="81"/>
    </row>
    <row r="502" spans="1:15" x14ac:dyDescent="0.2">
      <c r="A502" s="27" t="s">
        <v>101</v>
      </c>
      <c r="B502" s="2" t="s">
        <v>29</v>
      </c>
      <c r="C502" s="28">
        <v>0</v>
      </c>
      <c r="D502" s="28">
        <v>0</v>
      </c>
      <c r="E502" s="28">
        <v>0</v>
      </c>
      <c r="F502" s="28">
        <v>0</v>
      </c>
      <c r="G502" s="28">
        <v>0</v>
      </c>
      <c r="H502" s="28">
        <v>0</v>
      </c>
      <c r="I502" s="28">
        <v>0</v>
      </c>
      <c r="J502" s="28">
        <v>0</v>
      </c>
      <c r="K502" s="28">
        <v>0</v>
      </c>
      <c r="L502" s="28">
        <v>0</v>
      </c>
      <c r="M502" s="28">
        <v>0</v>
      </c>
      <c r="N502" s="28">
        <v>0</v>
      </c>
      <c r="O502" s="81"/>
    </row>
    <row r="503" spans="1:15" x14ac:dyDescent="0.2">
      <c r="A503" s="27" t="s">
        <v>106</v>
      </c>
      <c r="B503" s="2" t="s">
        <v>34</v>
      </c>
      <c r="C503" s="28">
        <v>0</v>
      </c>
      <c r="D503" s="28">
        <v>0</v>
      </c>
      <c r="E503" s="28">
        <v>0</v>
      </c>
      <c r="F503" s="28">
        <v>0</v>
      </c>
      <c r="G503" s="28">
        <v>0</v>
      </c>
      <c r="H503" s="28">
        <v>0</v>
      </c>
      <c r="I503" s="28">
        <v>0</v>
      </c>
      <c r="J503" s="28">
        <v>0</v>
      </c>
      <c r="K503" s="28">
        <v>0</v>
      </c>
      <c r="L503" s="28">
        <v>0</v>
      </c>
      <c r="M503" s="28">
        <v>0</v>
      </c>
      <c r="N503" s="28">
        <v>0</v>
      </c>
      <c r="O503" s="81"/>
    </row>
    <row r="504" spans="1:15" x14ac:dyDescent="0.2">
      <c r="A504" s="27" t="s">
        <v>103</v>
      </c>
      <c r="B504" s="2" t="s">
        <v>31</v>
      </c>
      <c r="C504" s="28">
        <v>0</v>
      </c>
      <c r="D504" s="28">
        <v>0</v>
      </c>
      <c r="E504" s="28">
        <v>0</v>
      </c>
      <c r="F504" s="28">
        <v>0</v>
      </c>
      <c r="G504" s="28">
        <v>0</v>
      </c>
      <c r="H504" s="28">
        <v>0</v>
      </c>
      <c r="I504" s="28">
        <v>0</v>
      </c>
      <c r="J504" s="28">
        <v>0</v>
      </c>
      <c r="K504" s="28">
        <v>0</v>
      </c>
      <c r="L504" s="28">
        <v>0</v>
      </c>
      <c r="M504" s="28">
        <v>0</v>
      </c>
      <c r="N504" s="28">
        <v>0</v>
      </c>
      <c r="O504" s="81"/>
    </row>
    <row r="505" spans="1:15" x14ac:dyDescent="0.2">
      <c r="A505" s="27" t="s">
        <v>99</v>
      </c>
      <c r="B505" s="2" t="s">
        <v>27</v>
      </c>
      <c r="C505" s="28">
        <v>0</v>
      </c>
      <c r="D505" s="28">
        <v>0</v>
      </c>
      <c r="E505" s="28">
        <v>0</v>
      </c>
      <c r="F505" s="28">
        <v>0</v>
      </c>
      <c r="G505" s="28">
        <v>0</v>
      </c>
      <c r="H505" s="28">
        <v>0</v>
      </c>
      <c r="I505" s="28">
        <v>0</v>
      </c>
      <c r="J505" s="28">
        <v>0</v>
      </c>
      <c r="K505" s="28">
        <v>0</v>
      </c>
      <c r="L505" s="28">
        <v>0</v>
      </c>
      <c r="M505" s="28">
        <v>0</v>
      </c>
      <c r="N505" s="28">
        <v>0</v>
      </c>
      <c r="O505" s="81"/>
    </row>
    <row r="506" spans="1:15" x14ac:dyDescent="0.2">
      <c r="A506" s="27" t="s">
        <v>94</v>
      </c>
      <c r="B506" s="2" t="s">
        <v>22</v>
      </c>
      <c r="C506" s="28">
        <v>615808.60948330176</v>
      </c>
      <c r="D506" s="28">
        <v>0</v>
      </c>
      <c r="E506" s="28">
        <v>0</v>
      </c>
      <c r="F506" s="28">
        <v>0</v>
      </c>
      <c r="G506" s="28">
        <v>615808.60948330176</v>
      </c>
      <c r="H506" s="28">
        <v>36178755.807143979</v>
      </c>
      <c r="I506" s="28">
        <v>0</v>
      </c>
      <c r="J506" s="28">
        <v>0</v>
      </c>
      <c r="K506" s="28">
        <v>0</v>
      </c>
      <c r="L506" s="28">
        <v>0</v>
      </c>
      <c r="M506" s="28">
        <v>2071539.5141714455</v>
      </c>
      <c r="N506" s="28">
        <v>39481912.540282026</v>
      </c>
      <c r="O506" s="81"/>
    </row>
    <row r="507" spans="1:15" x14ac:dyDescent="0.2">
      <c r="A507" s="27" t="s">
        <v>97</v>
      </c>
      <c r="B507" s="2" t="s">
        <v>25</v>
      </c>
      <c r="C507" s="28">
        <v>0</v>
      </c>
      <c r="D507" s="28">
        <v>0</v>
      </c>
      <c r="E507" s="28">
        <v>0</v>
      </c>
      <c r="F507" s="28">
        <v>0</v>
      </c>
      <c r="G507" s="28">
        <v>0</v>
      </c>
      <c r="H507" s="28">
        <v>0</v>
      </c>
      <c r="I507" s="28">
        <v>0</v>
      </c>
      <c r="J507" s="28">
        <v>0</v>
      </c>
      <c r="K507" s="28">
        <v>0</v>
      </c>
      <c r="L507" s="28">
        <v>0</v>
      </c>
      <c r="M507" s="28">
        <v>0</v>
      </c>
      <c r="N507" s="28">
        <v>0</v>
      </c>
      <c r="O507" s="81"/>
    </row>
    <row r="508" spans="1:15" x14ac:dyDescent="0.2">
      <c r="A508" s="27" t="s">
        <v>117</v>
      </c>
      <c r="B508" s="2" t="s">
        <v>45</v>
      </c>
      <c r="C508" s="28">
        <v>0</v>
      </c>
      <c r="D508" s="28">
        <v>0</v>
      </c>
      <c r="E508" s="28">
        <v>0</v>
      </c>
      <c r="F508" s="28">
        <v>0</v>
      </c>
      <c r="G508" s="28">
        <v>0</v>
      </c>
      <c r="H508" s="28">
        <v>0</v>
      </c>
      <c r="I508" s="28">
        <v>0</v>
      </c>
      <c r="J508" s="28">
        <v>0</v>
      </c>
      <c r="K508" s="28">
        <v>0</v>
      </c>
      <c r="L508" s="28">
        <v>0</v>
      </c>
      <c r="M508" s="28">
        <v>0</v>
      </c>
      <c r="N508" s="28">
        <v>0</v>
      </c>
      <c r="O508" s="81"/>
    </row>
    <row r="509" spans="1:15" x14ac:dyDescent="0.2">
      <c r="A509" s="27" t="s">
        <v>114</v>
      </c>
      <c r="B509" s="2" t="s">
        <v>42</v>
      </c>
      <c r="C509" s="28">
        <v>0</v>
      </c>
      <c r="D509" s="28">
        <v>0</v>
      </c>
      <c r="E509" s="28">
        <v>0</v>
      </c>
      <c r="F509" s="28">
        <v>0</v>
      </c>
      <c r="G509" s="28">
        <v>0</v>
      </c>
      <c r="H509" s="28">
        <v>0</v>
      </c>
      <c r="I509" s="28">
        <v>0</v>
      </c>
      <c r="J509" s="28">
        <v>0</v>
      </c>
      <c r="K509" s="28">
        <v>0</v>
      </c>
      <c r="L509" s="28">
        <v>0</v>
      </c>
      <c r="M509" s="28">
        <v>0</v>
      </c>
      <c r="N509" s="28">
        <v>0</v>
      </c>
      <c r="O509" s="81"/>
    </row>
    <row r="510" spans="1:15" x14ac:dyDescent="0.2">
      <c r="A510" s="27" t="s">
        <v>112</v>
      </c>
      <c r="B510" s="2" t="s">
        <v>40</v>
      </c>
      <c r="C510" s="28">
        <v>634.63453167139937</v>
      </c>
      <c r="D510" s="28">
        <v>634.63453167139937</v>
      </c>
      <c r="E510" s="28">
        <v>1057.7242194523324</v>
      </c>
      <c r="F510" s="28">
        <v>423.08968778093293</v>
      </c>
      <c r="G510" s="28">
        <v>0</v>
      </c>
      <c r="H510" s="28">
        <v>0</v>
      </c>
      <c r="I510" s="28">
        <v>1903.9035950141983</v>
      </c>
      <c r="J510" s="28">
        <v>0</v>
      </c>
      <c r="K510" s="28">
        <v>0</v>
      </c>
      <c r="L510" s="28">
        <v>0</v>
      </c>
      <c r="M510" s="28">
        <v>423.08968778093293</v>
      </c>
      <c r="N510" s="28">
        <v>5077.076253371195</v>
      </c>
      <c r="O510" s="81"/>
    </row>
    <row r="511" spans="1:15" x14ac:dyDescent="0.2">
      <c r="A511" s="27" t="s">
        <v>116</v>
      </c>
      <c r="B511" s="2" t="s">
        <v>44</v>
      </c>
      <c r="C511" s="28">
        <v>0</v>
      </c>
      <c r="D511" s="28">
        <v>0</v>
      </c>
      <c r="E511" s="28">
        <v>0</v>
      </c>
      <c r="F511" s="28">
        <v>0</v>
      </c>
      <c r="G511" s="28">
        <v>0</v>
      </c>
      <c r="H511" s="28">
        <v>0</v>
      </c>
      <c r="I511" s="28">
        <v>0</v>
      </c>
      <c r="J511" s="28">
        <v>0</v>
      </c>
      <c r="K511" s="28">
        <v>0</v>
      </c>
      <c r="L511" s="28">
        <v>0</v>
      </c>
      <c r="M511" s="28">
        <v>47597.589875354955</v>
      </c>
      <c r="N511" s="28">
        <v>47597.589875354955</v>
      </c>
      <c r="O511" s="81"/>
    </row>
    <row r="512" spans="1:15" x14ac:dyDescent="0.2">
      <c r="A512" s="27" t="s">
        <v>107</v>
      </c>
      <c r="B512" s="2" t="s">
        <v>35</v>
      </c>
      <c r="C512" s="28">
        <v>0</v>
      </c>
      <c r="D512" s="28">
        <v>0</v>
      </c>
      <c r="E512" s="28">
        <v>0</v>
      </c>
      <c r="F512" s="28">
        <v>0</v>
      </c>
      <c r="G512" s="28">
        <v>0</v>
      </c>
      <c r="H512" s="28">
        <v>0</v>
      </c>
      <c r="I512" s="28">
        <v>0</v>
      </c>
      <c r="J512" s="28">
        <v>0</v>
      </c>
      <c r="K512" s="28">
        <v>0</v>
      </c>
      <c r="L512" s="28">
        <v>0</v>
      </c>
      <c r="M512" s="28">
        <v>0</v>
      </c>
      <c r="N512" s="28">
        <v>0</v>
      </c>
      <c r="O512" s="81"/>
    </row>
    <row r="513" spans="1:15" x14ac:dyDescent="0.2">
      <c r="A513" s="27" t="s">
        <v>100</v>
      </c>
      <c r="B513" s="2" t="s">
        <v>28</v>
      </c>
      <c r="C513" s="28">
        <v>0</v>
      </c>
      <c r="D513" s="28">
        <v>0</v>
      </c>
      <c r="E513" s="28">
        <v>0</v>
      </c>
      <c r="F513" s="28">
        <v>0</v>
      </c>
      <c r="G513" s="28">
        <v>0</v>
      </c>
      <c r="H513" s="28">
        <v>0</v>
      </c>
      <c r="I513" s="28">
        <v>0</v>
      </c>
      <c r="J513" s="28">
        <v>0</v>
      </c>
      <c r="K513" s="28">
        <v>0</v>
      </c>
      <c r="L513" s="28">
        <v>0</v>
      </c>
      <c r="M513" s="28">
        <v>0</v>
      </c>
      <c r="N513" s="28">
        <v>0</v>
      </c>
      <c r="O513" s="81"/>
    </row>
    <row r="514" spans="1:15" x14ac:dyDescent="0.2">
      <c r="A514" s="27" t="s">
        <v>108</v>
      </c>
      <c r="B514" s="2" t="s">
        <v>36</v>
      </c>
      <c r="C514" s="28">
        <v>0</v>
      </c>
      <c r="D514" s="28">
        <v>0</v>
      </c>
      <c r="E514" s="28">
        <v>0</v>
      </c>
      <c r="F514" s="28">
        <v>0</v>
      </c>
      <c r="G514" s="28">
        <v>0</v>
      </c>
      <c r="H514" s="28">
        <v>0</v>
      </c>
      <c r="I514" s="28">
        <v>0</v>
      </c>
      <c r="J514" s="28">
        <v>0</v>
      </c>
      <c r="K514" s="28">
        <v>0</v>
      </c>
      <c r="L514" s="28">
        <v>0</v>
      </c>
      <c r="M514" s="28">
        <v>0</v>
      </c>
      <c r="N514" s="28">
        <v>0</v>
      </c>
      <c r="O514" s="81"/>
    </row>
    <row r="515" spans="1:15" x14ac:dyDescent="0.2">
      <c r="A515" s="27" t="s">
        <v>104</v>
      </c>
      <c r="B515" s="2" t="s">
        <v>32</v>
      </c>
      <c r="C515" s="28">
        <v>0</v>
      </c>
      <c r="D515" s="28">
        <v>0</v>
      </c>
      <c r="E515" s="28">
        <v>0</v>
      </c>
      <c r="F515" s="28">
        <v>0</v>
      </c>
      <c r="G515" s="28">
        <v>0</v>
      </c>
      <c r="H515" s="28">
        <v>0</v>
      </c>
      <c r="I515" s="28">
        <v>0</v>
      </c>
      <c r="J515" s="28">
        <v>0</v>
      </c>
      <c r="K515" s="28">
        <v>0</v>
      </c>
      <c r="L515" s="28">
        <v>0</v>
      </c>
      <c r="M515" s="28">
        <v>0</v>
      </c>
      <c r="N515" s="28">
        <v>0</v>
      </c>
      <c r="O515" s="81"/>
    </row>
    <row r="516" spans="1:15" x14ac:dyDescent="0.2">
      <c r="A516" s="27" t="s">
        <v>105</v>
      </c>
      <c r="B516" s="2" t="s">
        <v>33</v>
      </c>
      <c r="C516" s="28">
        <v>0</v>
      </c>
      <c r="D516" s="28">
        <v>0</v>
      </c>
      <c r="E516" s="28">
        <v>0</v>
      </c>
      <c r="F516" s="28">
        <v>0</v>
      </c>
      <c r="G516" s="28">
        <v>0</v>
      </c>
      <c r="H516" s="28">
        <v>0</v>
      </c>
      <c r="I516" s="28">
        <v>0</v>
      </c>
      <c r="J516" s="28">
        <v>0</v>
      </c>
      <c r="K516" s="28">
        <v>0</v>
      </c>
      <c r="L516" s="28">
        <v>0</v>
      </c>
      <c r="M516" s="28">
        <v>0</v>
      </c>
      <c r="N516" s="28">
        <v>0</v>
      </c>
      <c r="O516" s="81"/>
    </row>
    <row r="517" spans="1:15" x14ac:dyDescent="0.2">
      <c r="A517" s="27" t="s">
        <v>109</v>
      </c>
      <c r="B517" s="2" t="s">
        <v>37</v>
      </c>
      <c r="C517" s="28">
        <v>0</v>
      </c>
      <c r="D517" s="28">
        <v>0</v>
      </c>
      <c r="E517" s="28">
        <v>0</v>
      </c>
      <c r="F517" s="28">
        <v>0</v>
      </c>
      <c r="G517" s="28">
        <v>0</v>
      </c>
      <c r="H517" s="28">
        <v>0</v>
      </c>
      <c r="I517" s="28">
        <v>0</v>
      </c>
      <c r="J517" s="28">
        <v>0</v>
      </c>
      <c r="K517" s="28">
        <v>0</v>
      </c>
      <c r="L517" s="28">
        <v>0</v>
      </c>
      <c r="M517" s="28">
        <v>0</v>
      </c>
      <c r="N517" s="28">
        <v>0</v>
      </c>
      <c r="O517" s="81"/>
    </row>
    <row r="518" spans="1:15" x14ac:dyDescent="0.2">
      <c r="A518" s="27" t="s">
        <v>96</v>
      </c>
      <c r="B518" s="2" t="s">
        <v>24</v>
      </c>
      <c r="C518" s="28">
        <v>0</v>
      </c>
      <c r="D518" s="28">
        <v>0</v>
      </c>
      <c r="E518" s="28">
        <v>0</v>
      </c>
      <c r="F518" s="28">
        <v>0</v>
      </c>
      <c r="G518" s="28">
        <v>0</v>
      </c>
      <c r="H518" s="28">
        <v>0</v>
      </c>
      <c r="I518" s="28">
        <v>0</v>
      </c>
      <c r="J518" s="28">
        <v>0</v>
      </c>
      <c r="K518" s="28">
        <v>0</v>
      </c>
      <c r="L518" s="28">
        <v>0</v>
      </c>
      <c r="M518" s="28">
        <v>0</v>
      </c>
      <c r="N518" s="28">
        <v>0</v>
      </c>
      <c r="O518" s="81"/>
    </row>
    <row r="519" spans="1:15" x14ac:dyDescent="0.2">
      <c r="A519" s="27" t="s">
        <v>120</v>
      </c>
      <c r="B519" s="2" t="s">
        <v>48</v>
      </c>
      <c r="C519" s="28">
        <v>0</v>
      </c>
      <c r="D519" s="28">
        <v>0</v>
      </c>
      <c r="E519" s="28">
        <v>0</v>
      </c>
      <c r="F519" s="28">
        <v>0</v>
      </c>
      <c r="G519" s="28">
        <v>0</v>
      </c>
      <c r="H519" s="28">
        <v>0</v>
      </c>
      <c r="I519" s="28">
        <v>0</v>
      </c>
      <c r="J519" s="28">
        <v>0</v>
      </c>
      <c r="K519" s="28">
        <v>0</v>
      </c>
      <c r="L519" s="28">
        <v>0</v>
      </c>
      <c r="M519" s="28">
        <v>0</v>
      </c>
      <c r="N519" s="28">
        <v>0</v>
      </c>
      <c r="O519" s="81"/>
    </row>
    <row r="520" spans="1:15" x14ac:dyDescent="0.2">
      <c r="A520" s="27" t="s">
        <v>102</v>
      </c>
      <c r="B520" s="2" t="s">
        <v>30</v>
      </c>
      <c r="C520" s="28">
        <v>0</v>
      </c>
      <c r="D520" s="28">
        <v>0</v>
      </c>
      <c r="E520" s="28">
        <v>0</v>
      </c>
      <c r="F520" s="28">
        <v>0</v>
      </c>
      <c r="G520" s="28">
        <v>0</v>
      </c>
      <c r="H520" s="28">
        <v>0</v>
      </c>
      <c r="I520" s="28">
        <v>0</v>
      </c>
      <c r="J520" s="28">
        <v>0</v>
      </c>
      <c r="K520" s="28">
        <v>0</v>
      </c>
      <c r="L520" s="28">
        <v>0</v>
      </c>
      <c r="M520" s="28">
        <v>80332.259801336477</v>
      </c>
      <c r="N520" s="28">
        <v>80332.259801336477</v>
      </c>
      <c r="O520" s="81"/>
    </row>
    <row r="521" spans="1:15" x14ac:dyDescent="0.2">
      <c r="A521" s="27" t="s">
        <v>98</v>
      </c>
      <c r="B521" s="2" t="s">
        <v>26</v>
      </c>
      <c r="C521" s="28">
        <v>0</v>
      </c>
      <c r="D521" s="28">
        <v>0</v>
      </c>
      <c r="E521" s="28">
        <v>0</v>
      </c>
      <c r="F521" s="28">
        <v>0</v>
      </c>
      <c r="G521" s="28">
        <v>0</v>
      </c>
      <c r="H521" s="28">
        <v>0</v>
      </c>
      <c r="I521" s="28">
        <v>0</v>
      </c>
      <c r="J521" s="28">
        <v>0</v>
      </c>
      <c r="K521" s="28">
        <v>0</v>
      </c>
      <c r="L521" s="28">
        <v>0</v>
      </c>
      <c r="M521" s="28">
        <v>0</v>
      </c>
      <c r="N521" s="28">
        <v>0</v>
      </c>
      <c r="O521" s="81"/>
    </row>
    <row r="522" spans="1:15" x14ac:dyDescent="0.2">
      <c r="A522" s="27" t="s">
        <v>93</v>
      </c>
      <c r="B522" s="2" t="s">
        <v>21</v>
      </c>
      <c r="C522" s="28">
        <v>0</v>
      </c>
      <c r="D522" s="28">
        <v>0</v>
      </c>
      <c r="E522" s="28">
        <v>0</v>
      </c>
      <c r="F522" s="28">
        <v>0</v>
      </c>
      <c r="G522" s="28">
        <v>0</v>
      </c>
      <c r="H522" s="28">
        <v>0</v>
      </c>
      <c r="I522" s="28">
        <v>0</v>
      </c>
      <c r="J522" s="28">
        <v>0</v>
      </c>
      <c r="K522" s="28">
        <v>0</v>
      </c>
      <c r="L522" s="28">
        <v>0</v>
      </c>
      <c r="M522" s="28">
        <v>0</v>
      </c>
      <c r="N522" s="28">
        <v>0</v>
      </c>
      <c r="O522" s="81"/>
    </row>
    <row r="523" spans="1:15" x14ac:dyDescent="0.2">
      <c r="A523" s="27" t="s">
        <v>115</v>
      </c>
      <c r="B523" s="2" t="s">
        <v>43</v>
      </c>
      <c r="C523" s="28">
        <v>0</v>
      </c>
      <c r="D523" s="28">
        <v>0</v>
      </c>
      <c r="E523" s="28">
        <v>0</v>
      </c>
      <c r="F523" s="28">
        <v>0</v>
      </c>
      <c r="G523" s="28">
        <v>0</v>
      </c>
      <c r="H523" s="28">
        <v>0</v>
      </c>
      <c r="I523" s="28">
        <v>0</v>
      </c>
      <c r="J523" s="28">
        <v>0</v>
      </c>
      <c r="K523" s="28">
        <v>0</v>
      </c>
      <c r="L523" s="28">
        <v>0</v>
      </c>
      <c r="M523" s="28">
        <v>0</v>
      </c>
      <c r="N523" s="28">
        <v>0</v>
      </c>
      <c r="O523" s="81"/>
    </row>
    <row r="524" spans="1:15" x14ac:dyDescent="0.2">
      <c r="A524" s="27" t="s">
        <v>111</v>
      </c>
      <c r="B524" s="2" t="s">
        <v>39</v>
      </c>
      <c r="C524" s="28">
        <v>0</v>
      </c>
      <c r="D524" s="28">
        <v>0</v>
      </c>
      <c r="E524" s="28">
        <v>0</v>
      </c>
      <c r="F524" s="28">
        <v>0</v>
      </c>
      <c r="G524" s="28">
        <v>0</v>
      </c>
      <c r="H524" s="28">
        <v>0</v>
      </c>
      <c r="I524" s="28">
        <v>0</v>
      </c>
      <c r="J524" s="28">
        <v>0</v>
      </c>
      <c r="K524" s="28">
        <v>0</v>
      </c>
      <c r="L524" s="28">
        <v>0</v>
      </c>
      <c r="M524" s="28">
        <v>0</v>
      </c>
      <c r="N524" s="28">
        <v>0</v>
      </c>
      <c r="O524" s="81"/>
    </row>
    <row r="525" spans="1:15" x14ac:dyDescent="0.2">
      <c r="A525" s="27" t="s">
        <v>118</v>
      </c>
      <c r="B525" s="2" t="s">
        <v>46</v>
      </c>
      <c r="C525" s="28">
        <v>0</v>
      </c>
      <c r="D525" s="28">
        <v>0</v>
      </c>
      <c r="E525" s="28">
        <v>0</v>
      </c>
      <c r="F525" s="28">
        <v>0</v>
      </c>
      <c r="G525" s="28">
        <v>0</v>
      </c>
      <c r="H525" s="28">
        <v>0</v>
      </c>
      <c r="I525" s="28">
        <v>0</v>
      </c>
      <c r="J525" s="28">
        <v>0</v>
      </c>
      <c r="K525" s="28">
        <v>0</v>
      </c>
      <c r="L525" s="28">
        <v>0</v>
      </c>
      <c r="M525" s="28">
        <v>0</v>
      </c>
      <c r="N525" s="28">
        <v>0</v>
      </c>
      <c r="O525" s="81"/>
    </row>
    <row r="526" spans="1:15" x14ac:dyDescent="0.2">
      <c r="A526" s="27" t="s">
        <v>124</v>
      </c>
      <c r="B526" s="2" t="s">
        <v>52</v>
      </c>
      <c r="C526" s="28">
        <v>0</v>
      </c>
      <c r="D526" s="28">
        <v>0</v>
      </c>
      <c r="E526" s="28">
        <v>0</v>
      </c>
      <c r="F526" s="28">
        <v>0</v>
      </c>
      <c r="G526" s="28">
        <v>0</v>
      </c>
      <c r="H526" s="28">
        <v>0</v>
      </c>
      <c r="I526" s="28">
        <v>0</v>
      </c>
      <c r="J526" s="28">
        <v>0</v>
      </c>
      <c r="K526" s="28">
        <v>0</v>
      </c>
      <c r="L526" s="28">
        <v>0</v>
      </c>
      <c r="M526" s="28">
        <v>15865.863291784985</v>
      </c>
      <c r="N526" s="28">
        <v>15865.863291784985</v>
      </c>
      <c r="O526" s="81"/>
    </row>
    <row r="527" spans="1:15" x14ac:dyDescent="0.2">
      <c r="A527" s="27" t="s">
        <v>123</v>
      </c>
      <c r="B527" s="2" t="s">
        <v>51</v>
      </c>
      <c r="C527" s="28">
        <v>0</v>
      </c>
      <c r="D527" s="28">
        <v>0</v>
      </c>
      <c r="E527" s="28">
        <v>0</v>
      </c>
      <c r="F527" s="28">
        <v>0</v>
      </c>
      <c r="G527" s="28">
        <v>0</v>
      </c>
      <c r="H527" s="28">
        <v>0</v>
      </c>
      <c r="I527" s="28">
        <v>0</v>
      </c>
      <c r="J527" s="28">
        <v>0</v>
      </c>
      <c r="K527" s="28">
        <v>0</v>
      </c>
      <c r="L527" s="28">
        <v>0</v>
      </c>
      <c r="M527" s="28">
        <v>0</v>
      </c>
      <c r="N527" s="28">
        <v>0</v>
      </c>
      <c r="O527" s="81"/>
    </row>
    <row r="528" spans="1:15" x14ac:dyDescent="0.2">
      <c r="A528" s="27" t="s">
        <v>126</v>
      </c>
      <c r="B528" s="2" t="s">
        <v>54</v>
      </c>
      <c r="C528" s="28">
        <v>0</v>
      </c>
      <c r="D528" s="28">
        <v>0</v>
      </c>
      <c r="E528" s="28">
        <v>0</v>
      </c>
      <c r="F528" s="28">
        <v>0</v>
      </c>
      <c r="G528" s="28">
        <v>0</v>
      </c>
      <c r="H528" s="28">
        <v>0</v>
      </c>
      <c r="I528" s="28">
        <v>0</v>
      </c>
      <c r="J528" s="28">
        <v>0</v>
      </c>
      <c r="K528" s="28">
        <v>0</v>
      </c>
      <c r="L528" s="28">
        <v>0</v>
      </c>
      <c r="M528" s="28">
        <v>0</v>
      </c>
      <c r="N528" s="28">
        <v>0</v>
      </c>
      <c r="O528" s="81"/>
    </row>
    <row r="529" spans="1:15" x14ac:dyDescent="0.2">
      <c r="A529" s="27" t="s">
        <v>129</v>
      </c>
      <c r="B529" s="2" t="s">
        <v>57</v>
      </c>
      <c r="C529" s="28">
        <v>0</v>
      </c>
      <c r="D529" s="28">
        <v>0</v>
      </c>
      <c r="E529" s="28">
        <v>0</v>
      </c>
      <c r="F529" s="28">
        <v>0</v>
      </c>
      <c r="G529" s="28">
        <v>0</v>
      </c>
      <c r="H529" s="28">
        <v>0</v>
      </c>
      <c r="I529" s="28">
        <v>0</v>
      </c>
      <c r="J529" s="28">
        <v>0</v>
      </c>
      <c r="K529" s="28">
        <v>0</v>
      </c>
      <c r="L529" s="28">
        <v>0</v>
      </c>
      <c r="M529" s="28">
        <v>0</v>
      </c>
      <c r="N529" s="28">
        <v>0</v>
      </c>
      <c r="O529" s="81"/>
    </row>
    <row r="530" spans="1:15" x14ac:dyDescent="0.2">
      <c r="A530" s="27" t="s">
        <v>128</v>
      </c>
      <c r="B530" s="2" t="s">
        <v>56</v>
      </c>
      <c r="C530" s="28">
        <v>0</v>
      </c>
      <c r="D530" s="28">
        <v>0</v>
      </c>
      <c r="E530" s="28">
        <v>0</v>
      </c>
      <c r="F530" s="28">
        <v>0</v>
      </c>
      <c r="G530" s="28">
        <v>0</v>
      </c>
      <c r="H530" s="28">
        <v>0</v>
      </c>
      <c r="I530" s="28">
        <v>0</v>
      </c>
      <c r="J530" s="28">
        <v>0</v>
      </c>
      <c r="K530" s="28">
        <v>0</v>
      </c>
      <c r="L530" s="28">
        <v>0</v>
      </c>
      <c r="M530" s="28">
        <v>384588.52619286801</v>
      </c>
      <c r="N530" s="28">
        <v>384588.52619286801</v>
      </c>
      <c r="O530" s="81"/>
    </row>
    <row r="531" spans="1:15" x14ac:dyDescent="0.2">
      <c r="A531" s="27" t="s">
        <v>127</v>
      </c>
      <c r="B531" s="2" t="s">
        <v>55</v>
      </c>
      <c r="C531" s="28">
        <v>0</v>
      </c>
      <c r="D531" s="28">
        <v>0</v>
      </c>
      <c r="E531" s="28">
        <v>0</v>
      </c>
      <c r="F531" s="28">
        <v>0</v>
      </c>
      <c r="G531" s="28">
        <v>0</v>
      </c>
      <c r="H531" s="28">
        <v>0</v>
      </c>
      <c r="I531" s="28">
        <v>0</v>
      </c>
      <c r="J531" s="28">
        <v>0</v>
      </c>
      <c r="K531" s="28">
        <v>0</v>
      </c>
      <c r="L531" s="28">
        <v>0</v>
      </c>
      <c r="M531" s="28">
        <v>0</v>
      </c>
      <c r="N531" s="28">
        <v>0</v>
      </c>
      <c r="O531" s="81"/>
    </row>
    <row r="532" spans="1:15" x14ac:dyDescent="0.2">
      <c r="A532" s="27" t="s">
        <v>125</v>
      </c>
      <c r="B532" s="2" t="s">
        <v>53</v>
      </c>
      <c r="C532" s="28">
        <v>0</v>
      </c>
      <c r="D532" s="28">
        <v>0</v>
      </c>
      <c r="E532" s="28">
        <v>0</v>
      </c>
      <c r="F532" s="28">
        <v>0</v>
      </c>
      <c r="G532" s="28">
        <v>0</v>
      </c>
      <c r="H532" s="28">
        <v>0</v>
      </c>
      <c r="I532" s="28">
        <v>0</v>
      </c>
      <c r="J532" s="28">
        <v>0</v>
      </c>
      <c r="K532" s="28">
        <v>0</v>
      </c>
      <c r="L532" s="28">
        <v>0</v>
      </c>
      <c r="M532" s="28">
        <v>0</v>
      </c>
      <c r="N532" s="28">
        <v>0</v>
      </c>
      <c r="O532" s="81"/>
    </row>
    <row r="533" spans="1:15" x14ac:dyDescent="0.2">
      <c r="A533" s="27" t="s">
        <v>130</v>
      </c>
      <c r="B533" s="2" t="s">
        <v>58</v>
      </c>
      <c r="C533" s="28">
        <v>0</v>
      </c>
      <c r="D533" s="28">
        <v>0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  <c r="M533" s="28">
        <v>0</v>
      </c>
      <c r="N533" s="28">
        <v>0</v>
      </c>
      <c r="O533" s="81"/>
    </row>
    <row r="534" spans="1:15" x14ac:dyDescent="0.2">
      <c r="A534" s="27" t="s">
        <v>122</v>
      </c>
      <c r="B534" s="2" t="s">
        <v>50</v>
      </c>
      <c r="C534" s="28">
        <v>0</v>
      </c>
      <c r="D534" s="28">
        <v>0</v>
      </c>
      <c r="E534" s="28">
        <v>0</v>
      </c>
      <c r="F534" s="28">
        <v>0</v>
      </c>
      <c r="G534" s="28">
        <v>0</v>
      </c>
      <c r="H534" s="28">
        <v>0</v>
      </c>
      <c r="I534" s="28">
        <v>0</v>
      </c>
      <c r="J534" s="28">
        <v>0</v>
      </c>
      <c r="K534" s="28">
        <v>0</v>
      </c>
      <c r="L534" s="28">
        <v>0</v>
      </c>
      <c r="M534" s="28">
        <v>0</v>
      </c>
      <c r="N534" s="28">
        <v>0</v>
      </c>
      <c r="O534" s="81"/>
    </row>
    <row r="535" spans="1:15" x14ac:dyDescent="0.2">
      <c r="A535" s="4"/>
      <c r="B535" s="4" t="s">
        <v>59</v>
      </c>
      <c r="C535" s="28">
        <v>616443.24401497317</v>
      </c>
      <c r="D535" s="28">
        <v>634.63453167139937</v>
      </c>
      <c r="E535" s="28">
        <v>1057.7242194523324</v>
      </c>
      <c r="F535" s="28">
        <v>423.08968778093293</v>
      </c>
      <c r="G535" s="28">
        <v>615808.60948330176</v>
      </c>
      <c r="H535" s="28">
        <v>36178755.807143979</v>
      </c>
      <c r="I535" s="28">
        <v>1903.9035950141983</v>
      </c>
      <c r="J535" s="28">
        <v>0</v>
      </c>
      <c r="K535" s="28">
        <v>0</v>
      </c>
      <c r="L535" s="28">
        <v>0</v>
      </c>
      <c r="M535" s="28">
        <v>2600346.8430205714</v>
      </c>
      <c r="N535" s="28">
        <v>40015373.855696738</v>
      </c>
      <c r="O535" s="81"/>
    </row>
    <row r="538" spans="1:15" x14ac:dyDescent="0.2">
      <c r="A538" s="99" t="s">
        <v>348</v>
      </c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57"/>
    </row>
    <row r="539" spans="1:15" x14ac:dyDescent="0.2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57"/>
    </row>
    <row r="540" spans="1:15" x14ac:dyDescent="0.2">
      <c r="A540" s="100" t="s">
        <v>0</v>
      </c>
      <c r="B540" s="100" t="s">
        <v>1</v>
      </c>
      <c r="C540" s="100" t="s">
        <v>139</v>
      </c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 t="s">
        <v>66</v>
      </c>
      <c r="O540" s="80"/>
    </row>
    <row r="541" spans="1:15" x14ac:dyDescent="0.2">
      <c r="A541" s="100"/>
      <c r="B541" s="100"/>
      <c r="C541" s="26" t="s">
        <v>71</v>
      </c>
      <c r="D541" s="26" t="s">
        <v>64</v>
      </c>
      <c r="E541" s="26" t="s">
        <v>72</v>
      </c>
      <c r="F541" s="26" t="s">
        <v>73</v>
      </c>
      <c r="G541" s="26" t="s">
        <v>74</v>
      </c>
      <c r="H541" s="26" t="s">
        <v>75</v>
      </c>
      <c r="I541" s="26" t="s">
        <v>63</v>
      </c>
      <c r="J541" s="26" t="s">
        <v>62</v>
      </c>
      <c r="K541" s="26" t="s">
        <v>76</v>
      </c>
      <c r="L541" s="26" t="s">
        <v>77</v>
      </c>
      <c r="M541" s="26" t="s">
        <v>78</v>
      </c>
      <c r="N541" s="100"/>
      <c r="O541" s="80"/>
    </row>
    <row r="542" spans="1:15" x14ac:dyDescent="0.2">
      <c r="A542" s="27" t="s">
        <v>110</v>
      </c>
      <c r="B542" s="2" t="s">
        <v>38</v>
      </c>
      <c r="C542" s="28">
        <v>0</v>
      </c>
      <c r="D542" s="28">
        <v>267.97123068149136</v>
      </c>
      <c r="E542" s="28">
        <v>89.323743560497121</v>
      </c>
      <c r="F542" s="28">
        <v>0</v>
      </c>
      <c r="G542" s="28">
        <v>0</v>
      </c>
      <c r="H542" s="28">
        <v>0</v>
      </c>
      <c r="I542" s="28">
        <v>0</v>
      </c>
      <c r="J542" s="28">
        <v>0</v>
      </c>
      <c r="K542" s="28">
        <v>0</v>
      </c>
      <c r="L542" s="28">
        <v>0</v>
      </c>
      <c r="M542" s="28">
        <v>12385.509420280196</v>
      </c>
      <c r="N542" s="28">
        <v>12742.804394522183</v>
      </c>
      <c r="O542" s="81"/>
    </row>
    <row r="543" spans="1:15" x14ac:dyDescent="0.2">
      <c r="A543" s="27" t="s">
        <v>113</v>
      </c>
      <c r="B543" s="2" t="s">
        <v>41</v>
      </c>
      <c r="C543" s="28">
        <v>0</v>
      </c>
      <c r="D543" s="28">
        <v>0</v>
      </c>
      <c r="E543" s="28">
        <v>0</v>
      </c>
      <c r="F543" s="28">
        <v>0</v>
      </c>
      <c r="G543" s="28">
        <v>0</v>
      </c>
      <c r="H543" s="28">
        <v>0</v>
      </c>
      <c r="I543" s="28">
        <v>0</v>
      </c>
      <c r="J543" s="28">
        <v>0</v>
      </c>
      <c r="K543" s="28">
        <v>0</v>
      </c>
      <c r="L543" s="28">
        <v>0</v>
      </c>
      <c r="M543" s="28">
        <v>0</v>
      </c>
      <c r="N543" s="28">
        <v>0</v>
      </c>
      <c r="O543" s="81"/>
    </row>
    <row r="544" spans="1:15" x14ac:dyDescent="0.2">
      <c r="A544" s="27" t="s">
        <v>119</v>
      </c>
      <c r="B544" s="2" t="s">
        <v>47</v>
      </c>
      <c r="C544" s="28">
        <v>257830.83100854541</v>
      </c>
      <c r="D544" s="28">
        <v>67515.942330401042</v>
      </c>
      <c r="E544" s="28">
        <v>91947.932354619858</v>
      </c>
      <c r="F544" s="28">
        <v>14888.693358177148</v>
      </c>
      <c r="G544" s="28">
        <v>4375.6221329829659</v>
      </c>
      <c r="H544" s="28">
        <v>461.2715942446402</v>
      </c>
      <c r="I544" s="28">
        <v>0</v>
      </c>
      <c r="J544" s="28">
        <v>0</v>
      </c>
      <c r="K544" s="28">
        <v>0</v>
      </c>
      <c r="L544" s="28">
        <v>0</v>
      </c>
      <c r="M544" s="28">
        <v>100777.34672048017</v>
      </c>
      <c r="N544" s="28">
        <v>537797.63949945115</v>
      </c>
      <c r="O544" s="81"/>
    </row>
    <row r="545" spans="1:15" x14ac:dyDescent="0.2">
      <c r="A545" s="27" t="s">
        <v>121</v>
      </c>
      <c r="B545" s="2" t="s">
        <v>49</v>
      </c>
      <c r="C545" s="28">
        <v>141059.73796784529</v>
      </c>
      <c r="D545" s="28">
        <v>856575.92244541796</v>
      </c>
      <c r="E545" s="28">
        <v>2168.992881826076</v>
      </c>
      <c r="F545" s="28">
        <v>724.72919772078706</v>
      </c>
      <c r="G545" s="28">
        <v>4771.784340017367</v>
      </c>
      <c r="H545" s="28">
        <v>867.59715273043037</v>
      </c>
      <c r="I545" s="28">
        <v>0</v>
      </c>
      <c r="J545" s="28">
        <v>1735.1943054608607</v>
      </c>
      <c r="K545" s="28">
        <v>0</v>
      </c>
      <c r="L545" s="28">
        <v>0</v>
      </c>
      <c r="M545" s="28">
        <v>235060.77877364767</v>
      </c>
      <c r="N545" s="28">
        <v>1242964.7370646666</v>
      </c>
      <c r="O545" s="81"/>
    </row>
    <row r="546" spans="1:15" x14ac:dyDescent="0.2">
      <c r="A546" s="27" t="s">
        <v>95</v>
      </c>
      <c r="B546" s="2" t="s">
        <v>23</v>
      </c>
      <c r="C546" s="28">
        <v>41662.042899629523</v>
      </c>
      <c r="D546" s="28">
        <v>23738.314339965185</v>
      </c>
      <c r="E546" s="28">
        <v>1183.9440371431408</v>
      </c>
      <c r="F546" s="28">
        <v>0</v>
      </c>
      <c r="G546" s="28">
        <v>0</v>
      </c>
      <c r="H546" s="28">
        <v>0</v>
      </c>
      <c r="I546" s="28">
        <v>0</v>
      </c>
      <c r="J546" s="28">
        <v>0</v>
      </c>
      <c r="K546" s="28">
        <v>0</v>
      </c>
      <c r="L546" s="28">
        <v>0</v>
      </c>
      <c r="M546" s="28">
        <v>394664.83716169279</v>
      </c>
      <c r="N546" s="28">
        <v>461249.13843843061</v>
      </c>
      <c r="O546" s="81"/>
    </row>
    <row r="547" spans="1:15" x14ac:dyDescent="0.2">
      <c r="A547" s="27" t="s">
        <v>101</v>
      </c>
      <c r="B547" s="2" t="s">
        <v>29</v>
      </c>
      <c r="C547" s="28">
        <v>0</v>
      </c>
      <c r="D547" s="28">
        <v>0</v>
      </c>
      <c r="E547" s="28">
        <v>0</v>
      </c>
      <c r="F547" s="28">
        <v>0</v>
      </c>
      <c r="G547" s="28">
        <v>0</v>
      </c>
      <c r="H547" s="28">
        <v>0</v>
      </c>
      <c r="I547" s="28">
        <v>0</v>
      </c>
      <c r="J547" s="28">
        <v>0</v>
      </c>
      <c r="K547" s="28">
        <v>0</v>
      </c>
      <c r="L547" s="28">
        <v>0</v>
      </c>
      <c r="M547" s="28">
        <v>4372.0071675285053</v>
      </c>
      <c r="N547" s="28">
        <v>4372.0071675285053</v>
      </c>
      <c r="O547" s="81"/>
    </row>
    <row r="548" spans="1:15" x14ac:dyDescent="0.2">
      <c r="A548" s="27" t="s">
        <v>106</v>
      </c>
      <c r="B548" s="2" t="s">
        <v>34</v>
      </c>
      <c r="C548" s="28">
        <v>2353.7916493356406</v>
      </c>
      <c r="D548" s="28">
        <v>0</v>
      </c>
      <c r="E548" s="28">
        <v>0</v>
      </c>
      <c r="F548" s="28">
        <v>0</v>
      </c>
      <c r="G548" s="28">
        <v>0</v>
      </c>
      <c r="H548" s="28">
        <v>0</v>
      </c>
      <c r="I548" s="28">
        <v>176.53437370017309</v>
      </c>
      <c r="J548" s="28">
        <v>0</v>
      </c>
      <c r="K548" s="28">
        <v>0</v>
      </c>
      <c r="L548" s="28">
        <v>0</v>
      </c>
      <c r="M548" s="28">
        <v>78675.573605028301</v>
      </c>
      <c r="N548" s="28">
        <v>81205.899628064115</v>
      </c>
      <c r="O548" s="81"/>
    </row>
    <row r="549" spans="1:15" x14ac:dyDescent="0.2">
      <c r="A549" s="27" t="s">
        <v>103</v>
      </c>
      <c r="B549" s="2" t="s">
        <v>31</v>
      </c>
      <c r="C549" s="28">
        <v>0</v>
      </c>
      <c r="D549" s="28">
        <v>1118.5832430687537</v>
      </c>
      <c r="E549" s="28">
        <v>0</v>
      </c>
      <c r="F549" s="28">
        <v>0</v>
      </c>
      <c r="G549" s="28">
        <v>0</v>
      </c>
      <c r="H549" s="28">
        <v>0</v>
      </c>
      <c r="I549" s="28">
        <v>0</v>
      </c>
      <c r="J549" s="28">
        <v>0</v>
      </c>
      <c r="K549" s="28">
        <v>0</v>
      </c>
      <c r="L549" s="28">
        <v>0</v>
      </c>
      <c r="M549" s="28">
        <v>148081.72408277472</v>
      </c>
      <c r="N549" s="28">
        <v>149200.30732584346</v>
      </c>
      <c r="O549" s="81"/>
    </row>
    <row r="550" spans="1:15" x14ac:dyDescent="0.2">
      <c r="A550" s="27" t="s">
        <v>99</v>
      </c>
      <c r="B550" s="2" t="s">
        <v>27</v>
      </c>
      <c r="C550" s="28">
        <v>0</v>
      </c>
      <c r="D550" s="28">
        <v>0</v>
      </c>
      <c r="E550" s="28">
        <v>0</v>
      </c>
      <c r="F550" s="28">
        <v>0</v>
      </c>
      <c r="G550" s="28">
        <v>0</v>
      </c>
      <c r="H550" s="28">
        <v>0</v>
      </c>
      <c r="I550" s="28">
        <v>0</v>
      </c>
      <c r="J550" s="28">
        <v>0</v>
      </c>
      <c r="K550" s="28">
        <v>0</v>
      </c>
      <c r="L550" s="28">
        <v>0</v>
      </c>
      <c r="M550" s="28">
        <v>2916034.1405435298</v>
      </c>
      <c r="N550" s="28">
        <v>2916034.1405435298</v>
      </c>
      <c r="O550" s="81"/>
    </row>
    <row r="551" spans="1:15" x14ac:dyDescent="0.2">
      <c r="A551" s="27" t="s">
        <v>94</v>
      </c>
      <c r="B551" s="2" t="s">
        <v>22</v>
      </c>
      <c r="C551" s="28">
        <v>0</v>
      </c>
      <c r="D551" s="28">
        <v>49.721328485354469</v>
      </c>
      <c r="E551" s="28">
        <v>0</v>
      </c>
      <c r="F551" s="28">
        <v>0</v>
      </c>
      <c r="G551" s="28">
        <v>0</v>
      </c>
      <c r="H551" s="28">
        <v>0</v>
      </c>
      <c r="I551" s="28">
        <v>0</v>
      </c>
      <c r="J551" s="28">
        <v>0</v>
      </c>
      <c r="K551" s="28">
        <v>0</v>
      </c>
      <c r="L551" s="28">
        <v>0</v>
      </c>
      <c r="M551" s="28">
        <v>682394.95484958787</v>
      </c>
      <c r="N551" s="28">
        <v>682444.67617807328</v>
      </c>
      <c r="O551" s="81"/>
    </row>
    <row r="552" spans="1:15" x14ac:dyDescent="0.2">
      <c r="A552" s="27" t="s">
        <v>97</v>
      </c>
      <c r="B552" s="2" t="s">
        <v>25</v>
      </c>
      <c r="C552" s="28">
        <v>0</v>
      </c>
      <c r="D552" s="28">
        <v>0</v>
      </c>
      <c r="E552" s="28">
        <v>0</v>
      </c>
      <c r="F552" s="28">
        <v>0</v>
      </c>
      <c r="G552" s="28">
        <v>0</v>
      </c>
      <c r="H552" s="28">
        <v>0</v>
      </c>
      <c r="I552" s="28">
        <v>0</v>
      </c>
      <c r="J552" s="28">
        <v>0</v>
      </c>
      <c r="K552" s="28">
        <v>0</v>
      </c>
      <c r="L552" s="28">
        <v>0</v>
      </c>
      <c r="M552" s="28">
        <v>12.613696290545459</v>
      </c>
      <c r="N552" s="28">
        <v>12.613696290545459</v>
      </c>
      <c r="O552" s="81"/>
    </row>
    <row r="553" spans="1:15" x14ac:dyDescent="0.2">
      <c r="A553" s="27" t="s">
        <v>117</v>
      </c>
      <c r="B553" s="2" t="s">
        <v>45</v>
      </c>
      <c r="C553" s="28">
        <v>0</v>
      </c>
      <c r="D553" s="28">
        <v>0</v>
      </c>
      <c r="E553" s="28">
        <v>0</v>
      </c>
      <c r="F553" s="28">
        <v>0</v>
      </c>
      <c r="G553" s="28">
        <v>0</v>
      </c>
      <c r="H553" s="28">
        <v>0</v>
      </c>
      <c r="I553" s="28">
        <v>0</v>
      </c>
      <c r="J553" s="28">
        <v>0</v>
      </c>
      <c r="K553" s="28">
        <v>0</v>
      </c>
      <c r="L553" s="28">
        <v>0</v>
      </c>
      <c r="M553" s="28">
        <v>0</v>
      </c>
      <c r="N553" s="28">
        <v>0</v>
      </c>
      <c r="O553" s="81"/>
    </row>
    <row r="554" spans="1:15" x14ac:dyDescent="0.2">
      <c r="A554" s="27" t="s">
        <v>114</v>
      </c>
      <c r="B554" s="2" t="s">
        <v>42</v>
      </c>
      <c r="C554" s="28">
        <v>0</v>
      </c>
      <c r="D554" s="28">
        <v>45.340568025541245</v>
      </c>
      <c r="E554" s="28">
        <v>0</v>
      </c>
      <c r="F554" s="28">
        <v>45.340568025541245</v>
      </c>
      <c r="G554" s="28">
        <v>0</v>
      </c>
      <c r="H554" s="28">
        <v>0</v>
      </c>
      <c r="I554" s="28">
        <v>0</v>
      </c>
      <c r="J554" s="28">
        <v>0</v>
      </c>
      <c r="K554" s="28">
        <v>0</v>
      </c>
      <c r="L554" s="28">
        <v>0</v>
      </c>
      <c r="M554" s="28">
        <v>56964.934870074583</v>
      </c>
      <c r="N554" s="28">
        <v>57055.616006125667</v>
      </c>
      <c r="O554" s="81"/>
    </row>
    <row r="555" spans="1:15" x14ac:dyDescent="0.2">
      <c r="A555" s="27" t="s">
        <v>112</v>
      </c>
      <c r="B555" s="2" t="s">
        <v>40</v>
      </c>
      <c r="C555" s="28">
        <v>0</v>
      </c>
      <c r="D555" s="28">
        <v>1893.4157974186314</v>
      </c>
      <c r="E555" s="28">
        <v>0</v>
      </c>
      <c r="F555" s="28">
        <v>3786.8315948372629</v>
      </c>
      <c r="G555" s="28">
        <v>64623.771263255701</v>
      </c>
      <c r="H555" s="28">
        <v>0</v>
      </c>
      <c r="I555" s="28">
        <v>8757.0480630611692</v>
      </c>
      <c r="J555" s="28">
        <v>41349.497406184411</v>
      </c>
      <c r="K555" s="28">
        <v>0</v>
      </c>
      <c r="L555" s="28">
        <v>0</v>
      </c>
      <c r="M555" s="28">
        <v>80390.481211236111</v>
      </c>
      <c r="N555" s="28">
        <v>200801.04533599329</v>
      </c>
      <c r="O555" s="81"/>
    </row>
    <row r="556" spans="1:15" x14ac:dyDescent="0.2">
      <c r="A556" s="27" t="s">
        <v>116</v>
      </c>
      <c r="B556" s="2" t="s">
        <v>44</v>
      </c>
      <c r="C556" s="28">
        <v>0</v>
      </c>
      <c r="D556" s="28">
        <v>0</v>
      </c>
      <c r="E556" s="28">
        <v>0</v>
      </c>
      <c r="F556" s="28">
        <v>0</v>
      </c>
      <c r="G556" s="28">
        <v>0</v>
      </c>
      <c r="H556" s="28">
        <v>0</v>
      </c>
      <c r="I556" s="28">
        <v>15926.709007817542</v>
      </c>
      <c r="J556" s="28">
        <v>0</v>
      </c>
      <c r="K556" s="28">
        <v>0</v>
      </c>
      <c r="L556" s="28">
        <v>0</v>
      </c>
      <c r="M556" s="28">
        <v>26601.203317803956</v>
      </c>
      <c r="N556" s="28">
        <v>42527.912325621495</v>
      </c>
      <c r="O556" s="81"/>
    </row>
    <row r="557" spans="1:15" x14ac:dyDescent="0.2">
      <c r="A557" s="27" t="s">
        <v>107</v>
      </c>
      <c r="B557" s="2" t="s">
        <v>35</v>
      </c>
      <c r="C557" s="28">
        <v>1192.8428287158299</v>
      </c>
      <c r="D557" s="28">
        <v>0</v>
      </c>
      <c r="E557" s="28">
        <v>1161.8692069797862</v>
      </c>
      <c r="F557" s="28">
        <v>0</v>
      </c>
      <c r="G557" s="28">
        <v>0</v>
      </c>
      <c r="H557" s="28">
        <v>0</v>
      </c>
      <c r="I557" s="28">
        <v>56.56741526611021</v>
      </c>
      <c r="J557" s="28">
        <v>314.26341814505673</v>
      </c>
      <c r="K557" s="28">
        <v>0</v>
      </c>
      <c r="L557" s="28">
        <v>0</v>
      </c>
      <c r="M557" s="28">
        <v>20226.846219237214</v>
      </c>
      <c r="N557" s="28">
        <v>22952.389088343996</v>
      </c>
      <c r="O557" s="81"/>
    </row>
    <row r="558" spans="1:15" x14ac:dyDescent="0.2">
      <c r="A558" s="27" t="s">
        <v>100</v>
      </c>
      <c r="B558" s="2" t="s">
        <v>28</v>
      </c>
      <c r="C558" s="28">
        <v>873.81690586551997</v>
      </c>
      <c r="D558" s="28">
        <v>216.17391095002949</v>
      </c>
      <c r="E558" s="28">
        <v>0</v>
      </c>
      <c r="F558" s="28">
        <v>0</v>
      </c>
      <c r="G558" s="28">
        <v>0</v>
      </c>
      <c r="H558" s="28">
        <v>0</v>
      </c>
      <c r="I558" s="28">
        <v>4501.9295108824008</v>
      </c>
      <c r="J558" s="28">
        <v>654.80366070567004</v>
      </c>
      <c r="K558" s="28">
        <v>0</v>
      </c>
      <c r="L558" s="28">
        <v>0</v>
      </c>
      <c r="M558" s="28">
        <v>3757.0529299816835</v>
      </c>
      <c r="N558" s="28">
        <v>10003.776918385303</v>
      </c>
      <c r="O558" s="81"/>
    </row>
    <row r="559" spans="1:15" x14ac:dyDescent="0.2">
      <c r="A559" s="27" t="s">
        <v>108</v>
      </c>
      <c r="B559" s="2" t="s">
        <v>36</v>
      </c>
      <c r="C559" s="28">
        <v>0</v>
      </c>
      <c r="D559" s="28">
        <v>0</v>
      </c>
      <c r="E559" s="28">
        <v>0</v>
      </c>
      <c r="F559" s="28">
        <v>0</v>
      </c>
      <c r="G559" s="28">
        <v>0</v>
      </c>
      <c r="H559" s="28">
        <v>0</v>
      </c>
      <c r="I559" s="28">
        <v>0</v>
      </c>
      <c r="J559" s="28">
        <v>0</v>
      </c>
      <c r="K559" s="28">
        <v>0</v>
      </c>
      <c r="L559" s="28">
        <v>0</v>
      </c>
      <c r="M559" s="28">
        <v>0</v>
      </c>
      <c r="N559" s="28">
        <v>0</v>
      </c>
      <c r="O559" s="81"/>
    </row>
    <row r="560" spans="1:15" x14ac:dyDescent="0.2">
      <c r="A560" s="27" t="s">
        <v>104</v>
      </c>
      <c r="B560" s="2" t="s">
        <v>32</v>
      </c>
      <c r="C560" s="28">
        <v>0</v>
      </c>
      <c r="D560" s="28">
        <v>0</v>
      </c>
      <c r="E560" s="28">
        <v>0</v>
      </c>
      <c r="F560" s="28">
        <v>0</v>
      </c>
      <c r="G560" s="28">
        <v>0</v>
      </c>
      <c r="H560" s="28">
        <v>0</v>
      </c>
      <c r="I560" s="28">
        <v>0</v>
      </c>
      <c r="J560" s="28">
        <v>0</v>
      </c>
      <c r="K560" s="28">
        <v>0</v>
      </c>
      <c r="L560" s="28">
        <v>0</v>
      </c>
      <c r="M560" s="28">
        <v>0</v>
      </c>
      <c r="N560" s="28">
        <v>0</v>
      </c>
      <c r="O560" s="81"/>
    </row>
    <row r="561" spans="1:15" x14ac:dyDescent="0.2">
      <c r="A561" s="27" t="s">
        <v>105</v>
      </c>
      <c r="B561" s="2" t="s">
        <v>33</v>
      </c>
      <c r="C561" s="28">
        <v>0</v>
      </c>
      <c r="D561" s="28">
        <v>0</v>
      </c>
      <c r="E561" s="28">
        <v>0</v>
      </c>
      <c r="F561" s="28">
        <v>0</v>
      </c>
      <c r="G561" s="28">
        <v>0</v>
      </c>
      <c r="H561" s="28">
        <v>0</v>
      </c>
      <c r="I561" s="28">
        <v>0</v>
      </c>
      <c r="J561" s="28">
        <v>0</v>
      </c>
      <c r="K561" s="28">
        <v>0</v>
      </c>
      <c r="L561" s="28">
        <v>0</v>
      </c>
      <c r="M561" s="28">
        <v>219.43827197520352</v>
      </c>
      <c r="N561" s="28">
        <v>219.43827197520352</v>
      </c>
      <c r="O561" s="81"/>
    </row>
    <row r="562" spans="1:15" x14ac:dyDescent="0.2">
      <c r="A562" s="27" t="s">
        <v>109</v>
      </c>
      <c r="B562" s="2" t="s">
        <v>37</v>
      </c>
      <c r="C562" s="28">
        <v>0</v>
      </c>
      <c r="D562" s="28">
        <v>0</v>
      </c>
      <c r="E562" s="28">
        <v>0</v>
      </c>
      <c r="F562" s="28">
        <v>0</v>
      </c>
      <c r="G562" s="28">
        <v>0</v>
      </c>
      <c r="H562" s="28">
        <v>0</v>
      </c>
      <c r="I562" s="28">
        <v>0</v>
      </c>
      <c r="J562" s="28">
        <v>16674.246648147211</v>
      </c>
      <c r="K562" s="28">
        <v>0</v>
      </c>
      <c r="L562" s="28">
        <v>0</v>
      </c>
      <c r="M562" s="28">
        <v>0</v>
      </c>
      <c r="N562" s="28">
        <v>16674.246648147211</v>
      </c>
      <c r="O562" s="81"/>
    </row>
    <row r="563" spans="1:15" x14ac:dyDescent="0.2">
      <c r="A563" s="27" t="s">
        <v>96</v>
      </c>
      <c r="B563" s="2" t="s">
        <v>24</v>
      </c>
      <c r="C563" s="28">
        <v>0</v>
      </c>
      <c r="D563" s="28">
        <v>0</v>
      </c>
      <c r="E563" s="28">
        <v>0</v>
      </c>
      <c r="F563" s="28">
        <v>0</v>
      </c>
      <c r="G563" s="28">
        <v>0</v>
      </c>
      <c r="H563" s="28">
        <v>0</v>
      </c>
      <c r="I563" s="28">
        <v>255.57852824953159</v>
      </c>
      <c r="J563" s="28">
        <v>0</v>
      </c>
      <c r="K563" s="28">
        <v>0</v>
      </c>
      <c r="L563" s="28">
        <v>0</v>
      </c>
      <c r="M563" s="28">
        <v>3036734.1763749071</v>
      </c>
      <c r="N563" s="28">
        <v>3036989.7549031568</v>
      </c>
      <c r="O563" s="81"/>
    </row>
    <row r="564" spans="1:15" x14ac:dyDescent="0.2">
      <c r="A564" s="27" t="s">
        <v>120</v>
      </c>
      <c r="B564" s="2" t="s">
        <v>48</v>
      </c>
      <c r="C564" s="28">
        <v>0</v>
      </c>
      <c r="D564" s="28">
        <v>16879.154793641563</v>
      </c>
      <c r="E564" s="28">
        <v>628.74711405866969</v>
      </c>
      <c r="F564" s="28">
        <v>4888.4095820539833</v>
      </c>
      <c r="G564" s="28">
        <v>0</v>
      </c>
      <c r="H564" s="28">
        <v>0</v>
      </c>
      <c r="I564" s="28">
        <v>0</v>
      </c>
      <c r="J564" s="28">
        <v>0</v>
      </c>
      <c r="K564" s="28">
        <v>0</v>
      </c>
      <c r="L564" s="28">
        <v>0</v>
      </c>
      <c r="M564" s="28">
        <v>1725067.7555813487</v>
      </c>
      <c r="N564" s="28">
        <v>1747464.0670711028</v>
      </c>
      <c r="O564" s="81"/>
    </row>
    <row r="565" spans="1:15" x14ac:dyDescent="0.2">
      <c r="A565" s="27" t="s">
        <v>102</v>
      </c>
      <c r="B565" s="2" t="s">
        <v>30</v>
      </c>
      <c r="C565" s="28">
        <v>0</v>
      </c>
      <c r="D565" s="28">
        <v>197963.4207894869</v>
      </c>
      <c r="E565" s="28">
        <v>0</v>
      </c>
      <c r="F565" s="28">
        <v>0</v>
      </c>
      <c r="G565" s="28">
        <v>0</v>
      </c>
      <c r="H565" s="28">
        <v>0</v>
      </c>
      <c r="I565" s="28">
        <v>20495.248084478168</v>
      </c>
      <c r="J565" s="28">
        <v>0</v>
      </c>
      <c r="K565" s="28">
        <v>0</v>
      </c>
      <c r="L565" s="28">
        <v>0</v>
      </c>
      <c r="M565" s="28">
        <v>379307.33416885452</v>
      </c>
      <c r="N565" s="28">
        <v>597766.00304281956</v>
      </c>
      <c r="O565" s="81"/>
    </row>
    <row r="566" spans="1:15" x14ac:dyDescent="0.2">
      <c r="A566" s="27" t="s">
        <v>98</v>
      </c>
      <c r="B566" s="2" t="s">
        <v>26</v>
      </c>
      <c r="C566" s="28">
        <v>0</v>
      </c>
      <c r="D566" s="28">
        <v>1615.9033047057339</v>
      </c>
      <c r="E566" s="28">
        <v>0</v>
      </c>
      <c r="F566" s="28">
        <v>0</v>
      </c>
      <c r="G566" s="28">
        <v>0</v>
      </c>
      <c r="H566" s="28">
        <v>0</v>
      </c>
      <c r="I566" s="28">
        <v>14945.719732974545</v>
      </c>
      <c r="J566" s="28">
        <v>0</v>
      </c>
      <c r="K566" s="28">
        <v>0</v>
      </c>
      <c r="L566" s="28">
        <v>0</v>
      </c>
      <c r="M566" s="28">
        <v>75136.731997709634</v>
      </c>
      <c r="N566" s="28">
        <v>91698.355035389919</v>
      </c>
      <c r="O566" s="81"/>
    </row>
    <row r="567" spans="1:15" x14ac:dyDescent="0.2">
      <c r="A567" s="27" t="s">
        <v>93</v>
      </c>
      <c r="B567" s="2" t="s">
        <v>21</v>
      </c>
      <c r="C567" s="28">
        <v>0</v>
      </c>
      <c r="D567" s="28">
        <v>0</v>
      </c>
      <c r="E567" s="28">
        <v>0</v>
      </c>
      <c r="F567" s="28">
        <v>0</v>
      </c>
      <c r="G567" s="28">
        <v>0</v>
      </c>
      <c r="H567" s="28">
        <v>0</v>
      </c>
      <c r="I567" s="28">
        <v>0</v>
      </c>
      <c r="J567" s="28">
        <v>0</v>
      </c>
      <c r="K567" s="28">
        <v>0</v>
      </c>
      <c r="L567" s="28">
        <v>0</v>
      </c>
      <c r="M567" s="28">
        <v>4693.0986195148053</v>
      </c>
      <c r="N567" s="28">
        <v>4693.0986195148053</v>
      </c>
      <c r="O567" s="81"/>
    </row>
    <row r="568" spans="1:15" x14ac:dyDescent="0.2">
      <c r="A568" s="27" t="s">
        <v>115</v>
      </c>
      <c r="B568" s="2" t="s">
        <v>43</v>
      </c>
      <c r="C568" s="28">
        <v>0</v>
      </c>
      <c r="D568" s="28">
        <v>0</v>
      </c>
      <c r="E568" s="28">
        <v>20139.265621831568</v>
      </c>
      <c r="F568" s="28">
        <v>0</v>
      </c>
      <c r="G568" s="28">
        <v>0</v>
      </c>
      <c r="H568" s="28">
        <v>0</v>
      </c>
      <c r="I568" s="28">
        <v>0</v>
      </c>
      <c r="J568" s="28">
        <v>0</v>
      </c>
      <c r="K568" s="28">
        <v>0</v>
      </c>
      <c r="L568" s="28">
        <v>0</v>
      </c>
      <c r="M568" s="28">
        <v>251097.62593434527</v>
      </c>
      <c r="N568" s="28">
        <v>271236.89155617682</v>
      </c>
      <c r="O568" s="81"/>
    </row>
    <row r="569" spans="1:15" x14ac:dyDescent="0.2">
      <c r="A569" s="27" t="s">
        <v>111</v>
      </c>
      <c r="B569" s="2" t="s">
        <v>39</v>
      </c>
      <c r="C569" s="28">
        <v>0</v>
      </c>
      <c r="D569" s="28">
        <v>2872.429050976019</v>
      </c>
      <c r="E569" s="28">
        <v>252.99111778759368</v>
      </c>
      <c r="F569" s="28">
        <v>112.44049679448608</v>
      </c>
      <c r="G569" s="28">
        <v>0</v>
      </c>
      <c r="H569" s="28">
        <v>0</v>
      </c>
      <c r="I569" s="28">
        <v>0</v>
      </c>
      <c r="J569" s="28">
        <v>0</v>
      </c>
      <c r="K569" s="28">
        <v>0</v>
      </c>
      <c r="L569" s="28">
        <v>0</v>
      </c>
      <c r="M569" s="28">
        <v>9765.1789622474062</v>
      </c>
      <c r="N569" s="28">
        <v>13003.039627805505</v>
      </c>
      <c r="O569" s="81"/>
    </row>
    <row r="570" spans="1:15" x14ac:dyDescent="0.2">
      <c r="A570" s="27" t="s">
        <v>118</v>
      </c>
      <c r="B570" s="2" t="s">
        <v>46</v>
      </c>
      <c r="C570" s="28">
        <v>0</v>
      </c>
      <c r="D570" s="28">
        <v>0</v>
      </c>
      <c r="E570" s="28">
        <v>0</v>
      </c>
      <c r="F570" s="28">
        <v>0</v>
      </c>
      <c r="G570" s="28">
        <v>0</v>
      </c>
      <c r="H570" s="28">
        <v>0</v>
      </c>
      <c r="I570" s="28">
        <v>0</v>
      </c>
      <c r="J570" s="28">
        <v>0</v>
      </c>
      <c r="K570" s="28">
        <v>0</v>
      </c>
      <c r="L570" s="28">
        <v>0</v>
      </c>
      <c r="M570" s="28">
        <v>0</v>
      </c>
      <c r="N570" s="28">
        <v>0</v>
      </c>
      <c r="O570" s="81"/>
    </row>
    <row r="571" spans="1:15" x14ac:dyDescent="0.2">
      <c r="A571" s="27" t="s">
        <v>124</v>
      </c>
      <c r="B571" s="2" t="s">
        <v>52</v>
      </c>
      <c r="C571" s="28">
        <v>0</v>
      </c>
      <c r="D571" s="28">
        <v>15.376696430379225</v>
      </c>
      <c r="E571" s="28">
        <v>0</v>
      </c>
      <c r="F571" s="28">
        <v>0</v>
      </c>
      <c r="G571" s="28">
        <v>0</v>
      </c>
      <c r="H571" s="28">
        <v>0</v>
      </c>
      <c r="I571" s="28">
        <v>0</v>
      </c>
      <c r="J571" s="28">
        <v>0</v>
      </c>
      <c r="K571" s="28">
        <v>0</v>
      </c>
      <c r="L571" s="28">
        <v>0</v>
      </c>
      <c r="M571" s="28">
        <v>0</v>
      </c>
      <c r="N571" s="28">
        <v>15.376696430379225</v>
      </c>
      <c r="O571" s="81"/>
    </row>
    <row r="572" spans="1:15" x14ac:dyDescent="0.2">
      <c r="A572" s="27" t="s">
        <v>123</v>
      </c>
      <c r="B572" s="2" t="s">
        <v>51</v>
      </c>
      <c r="C572" s="28">
        <v>0</v>
      </c>
      <c r="D572" s="28">
        <v>0</v>
      </c>
      <c r="E572" s="28">
        <v>0</v>
      </c>
      <c r="F572" s="28">
        <v>0</v>
      </c>
      <c r="G572" s="28">
        <v>0</v>
      </c>
      <c r="H572" s="28">
        <v>0</v>
      </c>
      <c r="I572" s="28">
        <v>0</v>
      </c>
      <c r="J572" s="28">
        <v>0</v>
      </c>
      <c r="K572" s="28">
        <v>0</v>
      </c>
      <c r="L572" s="28">
        <v>0</v>
      </c>
      <c r="M572" s="28">
        <v>2115.443199451357</v>
      </c>
      <c r="N572" s="28">
        <v>2115.443199451357</v>
      </c>
      <c r="O572" s="81"/>
    </row>
    <row r="573" spans="1:15" x14ac:dyDescent="0.2">
      <c r="A573" s="27" t="s">
        <v>126</v>
      </c>
      <c r="B573" s="2" t="s">
        <v>54</v>
      </c>
      <c r="C573" s="28">
        <v>0</v>
      </c>
      <c r="D573" s="28">
        <v>0</v>
      </c>
      <c r="E573" s="28">
        <v>0</v>
      </c>
      <c r="F573" s="28">
        <v>0</v>
      </c>
      <c r="G573" s="28">
        <v>0</v>
      </c>
      <c r="H573" s="28">
        <v>0</v>
      </c>
      <c r="I573" s="28">
        <v>99.615870304917749</v>
      </c>
      <c r="J573" s="28">
        <v>0</v>
      </c>
      <c r="K573" s="28">
        <v>0</v>
      </c>
      <c r="L573" s="28">
        <v>0</v>
      </c>
      <c r="M573" s="28">
        <v>0</v>
      </c>
      <c r="N573" s="28">
        <v>99.615870304917749</v>
      </c>
      <c r="O573" s="81"/>
    </row>
    <row r="574" spans="1:15" x14ac:dyDescent="0.2">
      <c r="A574" s="27" t="s">
        <v>129</v>
      </c>
      <c r="B574" s="2" t="s">
        <v>57</v>
      </c>
      <c r="C574" s="28">
        <v>0</v>
      </c>
      <c r="D574" s="28">
        <v>656.52692162719109</v>
      </c>
      <c r="E574" s="28">
        <v>962.9061517198802</v>
      </c>
      <c r="F574" s="28">
        <v>218.8423072090637</v>
      </c>
      <c r="G574" s="28">
        <v>0</v>
      </c>
      <c r="H574" s="28">
        <v>0</v>
      </c>
      <c r="I574" s="28">
        <v>0</v>
      </c>
      <c r="J574" s="28">
        <v>0</v>
      </c>
      <c r="K574" s="28">
        <v>0</v>
      </c>
      <c r="L574" s="28">
        <v>0</v>
      </c>
      <c r="M574" s="28">
        <v>15745.656899763826</v>
      </c>
      <c r="N574" s="28">
        <v>17583.932280319961</v>
      </c>
      <c r="O574" s="81"/>
    </row>
    <row r="575" spans="1:15" x14ac:dyDescent="0.2">
      <c r="A575" s="27" t="s">
        <v>128</v>
      </c>
      <c r="B575" s="2" t="s">
        <v>56</v>
      </c>
      <c r="C575" s="28">
        <v>0</v>
      </c>
      <c r="D575" s="28">
        <v>0</v>
      </c>
      <c r="E575" s="28">
        <v>0</v>
      </c>
      <c r="F575" s="28">
        <v>0</v>
      </c>
      <c r="G575" s="28">
        <v>0</v>
      </c>
      <c r="H575" s="28">
        <v>0</v>
      </c>
      <c r="I575" s="28">
        <v>1016.3097524944991</v>
      </c>
      <c r="J575" s="28">
        <v>5888.2117652490124</v>
      </c>
      <c r="K575" s="28">
        <v>0</v>
      </c>
      <c r="L575" s="28">
        <v>0</v>
      </c>
      <c r="M575" s="28">
        <v>946469.73684877343</v>
      </c>
      <c r="N575" s="28">
        <v>953374.25836651691</v>
      </c>
      <c r="O575" s="81"/>
    </row>
    <row r="576" spans="1:15" x14ac:dyDescent="0.2">
      <c r="A576" s="27" t="s">
        <v>127</v>
      </c>
      <c r="B576" s="2" t="s">
        <v>55</v>
      </c>
      <c r="C576" s="28">
        <v>0</v>
      </c>
      <c r="D576" s="28">
        <v>0</v>
      </c>
      <c r="E576" s="28">
        <v>0</v>
      </c>
      <c r="F576" s="28">
        <v>0</v>
      </c>
      <c r="G576" s="28">
        <v>0</v>
      </c>
      <c r="H576" s="28">
        <v>0</v>
      </c>
      <c r="I576" s="28">
        <v>3173.1726583569975</v>
      </c>
      <c r="J576" s="28">
        <v>0</v>
      </c>
      <c r="K576" s="28">
        <v>0</v>
      </c>
      <c r="L576" s="28">
        <v>0</v>
      </c>
      <c r="M576" s="28">
        <v>57910.401015015195</v>
      </c>
      <c r="N576" s="28">
        <v>61083.573673372193</v>
      </c>
      <c r="O576" s="81"/>
    </row>
    <row r="577" spans="1:15" x14ac:dyDescent="0.2">
      <c r="A577" s="27" t="s">
        <v>125</v>
      </c>
      <c r="B577" s="2" t="s">
        <v>53</v>
      </c>
      <c r="C577" s="28">
        <v>0</v>
      </c>
      <c r="D577" s="28">
        <v>0</v>
      </c>
      <c r="E577" s="28">
        <v>0</v>
      </c>
      <c r="F577" s="28">
        <v>0</v>
      </c>
      <c r="G577" s="28">
        <v>0</v>
      </c>
      <c r="H577" s="28">
        <v>0</v>
      </c>
      <c r="I577" s="28">
        <v>0</v>
      </c>
      <c r="J577" s="28">
        <v>0</v>
      </c>
      <c r="K577" s="28">
        <v>0</v>
      </c>
      <c r="L577" s="28">
        <v>0</v>
      </c>
      <c r="M577" s="28">
        <v>0</v>
      </c>
      <c r="N577" s="28">
        <v>0</v>
      </c>
      <c r="O577" s="81"/>
    </row>
    <row r="578" spans="1:15" x14ac:dyDescent="0.2">
      <c r="A578" s="27" t="s">
        <v>130</v>
      </c>
      <c r="B578" s="2" t="s">
        <v>58</v>
      </c>
      <c r="C578" s="28">
        <v>0</v>
      </c>
      <c r="D578" s="28">
        <v>0</v>
      </c>
      <c r="E578" s="28">
        <v>0</v>
      </c>
      <c r="F578" s="28">
        <v>0</v>
      </c>
      <c r="G578" s="28">
        <v>0</v>
      </c>
      <c r="H578" s="28">
        <v>0</v>
      </c>
      <c r="I578" s="28">
        <v>0</v>
      </c>
      <c r="J578" s="28">
        <v>3471.3382664395872</v>
      </c>
      <c r="K578" s="28">
        <v>0</v>
      </c>
      <c r="L578" s="28">
        <v>0</v>
      </c>
      <c r="M578" s="28">
        <v>35040.903614482369</v>
      </c>
      <c r="N578" s="28">
        <v>38512.24188092196</v>
      </c>
      <c r="O578" s="81"/>
    </row>
    <row r="579" spans="1:15" x14ac:dyDescent="0.2">
      <c r="A579" s="27" t="s">
        <v>122</v>
      </c>
      <c r="B579" s="2" t="s">
        <v>50</v>
      </c>
      <c r="C579" s="28">
        <v>0</v>
      </c>
      <c r="D579" s="28">
        <v>0</v>
      </c>
      <c r="E579" s="28">
        <v>0</v>
      </c>
      <c r="F579" s="28">
        <v>0</v>
      </c>
      <c r="G579" s="28">
        <v>0</v>
      </c>
      <c r="H579" s="28">
        <v>0</v>
      </c>
      <c r="I579" s="28">
        <v>0</v>
      </c>
      <c r="J579" s="28">
        <v>0</v>
      </c>
      <c r="K579" s="28">
        <v>0</v>
      </c>
      <c r="L579" s="28">
        <v>0</v>
      </c>
      <c r="M579" s="28">
        <v>0</v>
      </c>
      <c r="N579" s="28">
        <v>0</v>
      </c>
      <c r="O579" s="81"/>
    </row>
    <row r="580" spans="1:15" x14ac:dyDescent="0.2">
      <c r="A580" s="4"/>
      <c r="B580" s="4" t="s">
        <v>59</v>
      </c>
      <c r="C580" s="28">
        <v>444973.06325993716</v>
      </c>
      <c r="D580" s="28">
        <v>1171424.1967512819</v>
      </c>
      <c r="E580" s="28">
        <v>118535.97222952708</v>
      </c>
      <c r="F580" s="28">
        <v>24665.287104818275</v>
      </c>
      <c r="G580" s="28">
        <v>73771.177736256039</v>
      </c>
      <c r="H580" s="28">
        <v>1328.8687469750705</v>
      </c>
      <c r="I580" s="28">
        <v>69404.432997586046</v>
      </c>
      <c r="J580" s="28">
        <v>70087.555470331819</v>
      </c>
      <c r="K580" s="28">
        <v>0</v>
      </c>
      <c r="L580" s="28">
        <v>0</v>
      </c>
      <c r="M580" s="28">
        <v>11299703.486057563</v>
      </c>
      <c r="N580" s="28">
        <v>13273894.040354278</v>
      </c>
      <c r="O580" s="81"/>
    </row>
    <row r="583" spans="1:15" x14ac:dyDescent="0.2">
      <c r="A583" s="99" t="s">
        <v>349</v>
      </c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57"/>
    </row>
    <row r="584" spans="1:15" x14ac:dyDescent="0.2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57"/>
    </row>
    <row r="585" spans="1:15" x14ac:dyDescent="0.2">
      <c r="A585" s="100" t="s">
        <v>0</v>
      </c>
      <c r="B585" s="100" t="s">
        <v>1</v>
      </c>
      <c r="C585" s="100" t="s">
        <v>139</v>
      </c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 t="s">
        <v>66</v>
      </c>
      <c r="O585" s="80"/>
    </row>
    <row r="586" spans="1:15" x14ac:dyDescent="0.2">
      <c r="A586" s="100"/>
      <c r="B586" s="100"/>
      <c r="C586" s="26" t="s">
        <v>71</v>
      </c>
      <c r="D586" s="26" t="s">
        <v>64</v>
      </c>
      <c r="E586" s="26" t="s">
        <v>72</v>
      </c>
      <c r="F586" s="26" t="s">
        <v>73</v>
      </c>
      <c r="G586" s="26" t="s">
        <v>74</v>
      </c>
      <c r="H586" s="26" t="s">
        <v>75</v>
      </c>
      <c r="I586" s="26" t="s">
        <v>63</v>
      </c>
      <c r="J586" s="26" t="s">
        <v>62</v>
      </c>
      <c r="K586" s="26" t="s">
        <v>76</v>
      </c>
      <c r="L586" s="26" t="s">
        <v>77</v>
      </c>
      <c r="M586" s="26" t="s">
        <v>78</v>
      </c>
      <c r="N586" s="100"/>
      <c r="O586" s="80"/>
    </row>
    <row r="587" spans="1:15" x14ac:dyDescent="0.2">
      <c r="A587" s="27" t="s">
        <v>110</v>
      </c>
      <c r="B587" s="2" t="s">
        <v>38</v>
      </c>
      <c r="C587" s="28">
        <v>0</v>
      </c>
      <c r="D587" s="28">
        <v>0</v>
      </c>
      <c r="E587" s="28">
        <v>0</v>
      </c>
      <c r="F587" s="28">
        <v>0</v>
      </c>
      <c r="G587" s="28">
        <v>15061.041003868148</v>
      </c>
      <c r="H587" s="28">
        <v>0</v>
      </c>
      <c r="I587" s="28">
        <v>0</v>
      </c>
      <c r="J587" s="28">
        <v>0</v>
      </c>
      <c r="K587" s="28">
        <v>0</v>
      </c>
      <c r="L587" s="28">
        <v>0</v>
      </c>
      <c r="M587" s="28">
        <v>47420.202678949303</v>
      </c>
      <c r="N587" s="28">
        <v>62481.243682817454</v>
      </c>
      <c r="O587" s="81"/>
    </row>
    <row r="588" spans="1:15" x14ac:dyDescent="0.2">
      <c r="A588" s="27" t="s">
        <v>113</v>
      </c>
      <c r="B588" s="2" t="s">
        <v>41</v>
      </c>
      <c r="C588" s="28">
        <v>0</v>
      </c>
      <c r="D588" s="28">
        <v>0</v>
      </c>
      <c r="E588" s="28">
        <v>0</v>
      </c>
      <c r="F588" s="28">
        <v>0</v>
      </c>
      <c r="G588" s="28">
        <v>0</v>
      </c>
      <c r="H588" s="28">
        <v>0</v>
      </c>
      <c r="I588" s="28">
        <v>0</v>
      </c>
      <c r="J588" s="28">
        <v>0</v>
      </c>
      <c r="K588" s="28">
        <v>0</v>
      </c>
      <c r="L588" s="28">
        <v>0</v>
      </c>
      <c r="M588" s="28">
        <v>0</v>
      </c>
      <c r="N588" s="28">
        <v>0</v>
      </c>
      <c r="O588" s="81"/>
    </row>
    <row r="589" spans="1:15" x14ac:dyDescent="0.2">
      <c r="A589" s="27" t="s">
        <v>119</v>
      </c>
      <c r="B589" s="2" t="s">
        <v>47</v>
      </c>
      <c r="C589" s="28">
        <v>0</v>
      </c>
      <c r="D589" s="28">
        <v>0</v>
      </c>
      <c r="E589" s="28">
        <v>0</v>
      </c>
      <c r="F589" s="28">
        <v>326363.59446808213</v>
      </c>
      <c r="G589" s="28">
        <v>22192.881403153144</v>
      </c>
      <c r="H589" s="28">
        <v>989762.86417804472</v>
      </c>
      <c r="I589" s="28">
        <v>0</v>
      </c>
      <c r="J589" s="28">
        <v>0</v>
      </c>
      <c r="K589" s="28">
        <v>0</v>
      </c>
      <c r="L589" s="28">
        <v>0</v>
      </c>
      <c r="M589" s="28">
        <v>404798.15679351339</v>
      </c>
      <c r="N589" s="28">
        <v>1743117.4968427932</v>
      </c>
      <c r="O589" s="81"/>
    </row>
    <row r="590" spans="1:15" x14ac:dyDescent="0.2">
      <c r="A590" s="27" t="s">
        <v>121</v>
      </c>
      <c r="B590" s="2" t="s">
        <v>49</v>
      </c>
      <c r="C590" s="28">
        <v>0</v>
      </c>
      <c r="D590" s="28">
        <v>0</v>
      </c>
      <c r="E590" s="28">
        <v>0</v>
      </c>
      <c r="F590" s="28">
        <v>0</v>
      </c>
      <c r="G590" s="28">
        <v>0</v>
      </c>
      <c r="H590" s="28">
        <v>0</v>
      </c>
      <c r="I590" s="28">
        <v>0</v>
      </c>
      <c r="J590" s="28">
        <v>0</v>
      </c>
      <c r="K590" s="28">
        <v>0</v>
      </c>
      <c r="L590" s="28">
        <v>0</v>
      </c>
      <c r="M590" s="28">
        <v>0</v>
      </c>
      <c r="N590" s="28">
        <v>0</v>
      </c>
      <c r="O590" s="81"/>
    </row>
    <row r="591" spans="1:15" x14ac:dyDescent="0.2">
      <c r="A591" s="27" t="s">
        <v>95</v>
      </c>
      <c r="B591" s="2" t="s">
        <v>23</v>
      </c>
      <c r="C591" s="28">
        <v>0</v>
      </c>
      <c r="D591" s="28">
        <v>0</v>
      </c>
      <c r="E591" s="28">
        <v>0</v>
      </c>
      <c r="F591" s="28">
        <v>0</v>
      </c>
      <c r="G591" s="28">
        <v>0</v>
      </c>
      <c r="H591" s="28">
        <v>0</v>
      </c>
      <c r="I591" s="28">
        <v>0</v>
      </c>
      <c r="J591" s="28">
        <v>0</v>
      </c>
      <c r="K591" s="28">
        <v>0</v>
      </c>
      <c r="L591" s="28">
        <v>0</v>
      </c>
      <c r="M591" s="28">
        <v>0</v>
      </c>
      <c r="N591" s="28">
        <v>0</v>
      </c>
      <c r="O591" s="81"/>
    </row>
    <row r="592" spans="1:15" x14ac:dyDescent="0.2">
      <c r="A592" s="27" t="s">
        <v>101</v>
      </c>
      <c r="B592" s="2" t="s">
        <v>29</v>
      </c>
      <c r="C592" s="28">
        <v>0</v>
      </c>
      <c r="D592" s="28">
        <v>0</v>
      </c>
      <c r="E592" s="28">
        <v>0</v>
      </c>
      <c r="F592" s="28">
        <v>0</v>
      </c>
      <c r="G592" s="28">
        <v>0</v>
      </c>
      <c r="H592" s="28">
        <v>0</v>
      </c>
      <c r="I592" s="28">
        <v>0</v>
      </c>
      <c r="J592" s="28">
        <v>0</v>
      </c>
      <c r="K592" s="28">
        <v>0</v>
      </c>
      <c r="L592" s="28">
        <v>0</v>
      </c>
      <c r="M592" s="28">
        <v>0</v>
      </c>
      <c r="N592" s="28">
        <v>0</v>
      </c>
      <c r="O592" s="81"/>
    </row>
    <row r="593" spans="1:15" x14ac:dyDescent="0.2">
      <c r="A593" s="27" t="s">
        <v>106</v>
      </c>
      <c r="B593" s="2" t="s">
        <v>34</v>
      </c>
      <c r="C593" s="28">
        <v>0</v>
      </c>
      <c r="D593" s="28">
        <v>0</v>
      </c>
      <c r="E593" s="28">
        <v>0</v>
      </c>
      <c r="F593" s="28">
        <v>1162.2543146945695</v>
      </c>
      <c r="G593" s="28">
        <v>0</v>
      </c>
      <c r="H593" s="28">
        <v>0</v>
      </c>
      <c r="I593" s="28">
        <v>0</v>
      </c>
      <c r="J593" s="28">
        <v>0</v>
      </c>
      <c r="K593" s="28">
        <v>0</v>
      </c>
      <c r="L593" s="28">
        <v>0</v>
      </c>
      <c r="M593" s="28">
        <v>182511.76338459604</v>
      </c>
      <c r="N593" s="28">
        <v>183674.01769929062</v>
      </c>
      <c r="O593" s="81"/>
    </row>
    <row r="594" spans="1:15" x14ac:dyDescent="0.2">
      <c r="A594" s="27" t="s">
        <v>103</v>
      </c>
      <c r="B594" s="2" t="s">
        <v>31</v>
      </c>
      <c r="C594" s="28">
        <v>0</v>
      </c>
      <c r="D594" s="28">
        <v>0</v>
      </c>
      <c r="E594" s="28">
        <v>0</v>
      </c>
      <c r="F594" s="28">
        <v>0</v>
      </c>
      <c r="G594" s="28">
        <v>0</v>
      </c>
      <c r="H594" s="28">
        <v>0</v>
      </c>
      <c r="I594" s="28">
        <v>0</v>
      </c>
      <c r="J594" s="28">
        <v>0</v>
      </c>
      <c r="K594" s="28">
        <v>0</v>
      </c>
      <c r="L594" s="28">
        <v>0</v>
      </c>
      <c r="M594" s="28">
        <v>0</v>
      </c>
      <c r="N594" s="28">
        <v>0</v>
      </c>
      <c r="O594" s="81"/>
    </row>
    <row r="595" spans="1:15" x14ac:dyDescent="0.2">
      <c r="A595" s="27" t="s">
        <v>99</v>
      </c>
      <c r="B595" s="2" t="s">
        <v>27</v>
      </c>
      <c r="C595" s="28">
        <v>0</v>
      </c>
      <c r="D595" s="28">
        <v>0</v>
      </c>
      <c r="E595" s="28">
        <v>0</v>
      </c>
      <c r="F595" s="28">
        <v>137505.00668964552</v>
      </c>
      <c r="G595" s="28">
        <v>0</v>
      </c>
      <c r="H595" s="28">
        <v>1799311.0622920964</v>
      </c>
      <c r="I595" s="28">
        <v>0</v>
      </c>
      <c r="J595" s="28">
        <v>0</v>
      </c>
      <c r="K595" s="28">
        <v>0</v>
      </c>
      <c r="L595" s="28">
        <v>0</v>
      </c>
      <c r="M595" s="28">
        <v>5055.1020039837094</v>
      </c>
      <c r="N595" s="28">
        <v>1941871.1709857257</v>
      </c>
      <c r="O595" s="81"/>
    </row>
    <row r="596" spans="1:15" x14ac:dyDescent="0.2">
      <c r="A596" s="27" t="s">
        <v>94</v>
      </c>
      <c r="B596" s="2" t="s">
        <v>22</v>
      </c>
      <c r="C596" s="28">
        <v>0</v>
      </c>
      <c r="D596" s="28">
        <v>0</v>
      </c>
      <c r="E596" s="28">
        <v>0</v>
      </c>
      <c r="F596" s="28">
        <v>93495847.075191513</v>
      </c>
      <c r="G596" s="28">
        <v>3110.9388595829428</v>
      </c>
      <c r="H596" s="28">
        <v>0</v>
      </c>
      <c r="I596" s="28">
        <v>0</v>
      </c>
      <c r="J596" s="28">
        <v>0</v>
      </c>
      <c r="K596" s="28">
        <v>0</v>
      </c>
      <c r="L596" s="28">
        <v>0</v>
      </c>
      <c r="M596" s="28">
        <v>294934.28688212734</v>
      </c>
      <c r="N596" s="28">
        <v>93793892.300933227</v>
      </c>
      <c r="O596" s="81"/>
    </row>
    <row r="597" spans="1:15" x14ac:dyDescent="0.2">
      <c r="A597" s="27" t="s">
        <v>97</v>
      </c>
      <c r="B597" s="2" t="s">
        <v>25</v>
      </c>
      <c r="C597" s="28">
        <v>0</v>
      </c>
      <c r="D597" s="28">
        <v>0</v>
      </c>
      <c r="E597" s="28">
        <v>0</v>
      </c>
      <c r="F597" s="28">
        <v>0</v>
      </c>
      <c r="G597" s="28">
        <v>0</v>
      </c>
      <c r="H597" s="28">
        <v>0</v>
      </c>
      <c r="I597" s="28">
        <v>0</v>
      </c>
      <c r="J597" s="28">
        <v>0</v>
      </c>
      <c r="K597" s="28">
        <v>0</v>
      </c>
      <c r="L597" s="28">
        <v>0</v>
      </c>
      <c r="M597" s="28">
        <v>0</v>
      </c>
      <c r="N597" s="28">
        <v>0</v>
      </c>
      <c r="O597" s="81"/>
    </row>
    <row r="598" spans="1:15" x14ac:dyDescent="0.2">
      <c r="A598" s="27" t="s">
        <v>117</v>
      </c>
      <c r="B598" s="2" t="s">
        <v>45</v>
      </c>
      <c r="C598" s="28">
        <v>0</v>
      </c>
      <c r="D598" s="28">
        <v>0</v>
      </c>
      <c r="E598" s="28">
        <v>0</v>
      </c>
      <c r="F598" s="28">
        <v>0</v>
      </c>
      <c r="G598" s="28">
        <v>0</v>
      </c>
      <c r="H598" s="28">
        <v>0</v>
      </c>
      <c r="I598" s="28">
        <v>0</v>
      </c>
      <c r="J598" s="28">
        <v>0</v>
      </c>
      <c r="K598" s="28">
        <v>0</v>
      </c>
      <c r="L598" s="28">
        <v>0</v>
      </c>
      <c r="M598" s="28">
        <v>27095.502224700544</v>
      </c>
      <c r="N598" s="28">
        <v>27095.502224700544</v>
      </c>
      <c r="O598" s="81"/>
    </row>
    <row r="599" spans="1:15" x14ac:dyDescent="0.2">
      <c r="A599" s="27" t="s">
        <v>114</v>
      </c>
      <c r="B599" s="2" t="s">
        <v>42</v>
      </c>
      <c r="C599" s="28">
        <v>0</v>
      </c>
      <c r="D599" s="28">
        <v>0</v>
      </c>
      <c r="E599" s="28">
        <v>0</v>
      </c>
      <c r="F599" s="28">
        <v>0</v>
      </c>
      <c r="G599" s="28">
        <v>0</v>
      </c>
      <c r="H599" s="28">
        <v>0</v>
      </c>
      <c r="I599" s="28">
        <v>0</v>
      </c>
      <c r="J599" s="28">
        <v>0</v>
      </c>
      <c r="K599" s="28">
        <v>0</v>
      </c>
      <c r="L599" s="28">
        <v>0</v>
      </c>
      <c r="M599" s="28">
        <v>1553559.5872634973</v>
      </c>
      <c r="N599" s="28">
        <v>1553559.5872634973</v>
      </c>
      <c r="O599" s="81"/>
    </row>
    <row r="600" spans="1:15" x14ac:dyDescent="0.2">
      <c r="A600" s="27" t="s">
        <v>112</v>
      </c>
      <c r="B600" s="2" t="s">
        <v>40</v>
      </c>
      <c r="C600" s="28">
        <v>0</v>
      </c>
      <c r="D600" s="28">
        <v>0</v>
      </c>
      <c r="E600" s="28">
        <v>0</v>
      </c>
      <c r="F600" s="28">
        <v>0</v>
      </c>
      <c r="G600" s="28">
        <v>1201152.4344035261</v>
      </c>
      <c r="H600" s="28">
        <v>0</v>
      </c>
      <c r="I600" s="28">
        <v>0</v>
      </c>
      <c r="J600" s="28">
        <v>0</v>
      </c>
      <c r="K600" s="28">
        <v>0</v>
      </c>
      <c r="L600" s="28">
        <v>0</v>
      </c>
      <c r="M600" s="28">
        <v>5510220.1298524225</v>
      </c>
      <c r="N600" s="28">
        <v>6711372.5642559491</v>
      </c>
      <c r="O600" s="81"/>
    </row>
    <row r="601" spans="1:15" x14ac:dyDescent="0.2">
      <c r="A601" s="27" t="s">
        <v>116</v>
      </c>
      <c r="B601" s="2" t="s">
        <v>44</v>
      </c>
      <c r="C601" s="28">
        <v>0</v>
      </c>
      <c r="D601" s="28">
        <v>0</v>
      </c>
      <c r="E601" s="28">
        <v>0</v>
      </c>
      <c r="F601" s="28">
        <v>98.459714678273045</v>
      </c>
      <c r="G601" s="28">
        <v>0</v>
      </c>
      <c r="H601" s="28">
        <v>0</v>
      </c>
      <c r="I601" s="28">
        <v>56.262694101870316</v>
      </c>
      <c r="J601" s="28">
        <v>0</v>
      </c>
      <c r="K601" s="28">
        <v>0</v>
      </c>
      <c r="L601" s="28">
        <v>0</v>
      </c>
      <c r="M601" s="28">
        <v>40843.494609165456</v>
      </c>
      <c r="N601" s="28">
        <v>40998.217017945601</v>
      </c>
      <c r="O601" s="81"/>
    </row>
    <row r="602" spans="1:15" x14ac:dyDescent="0.2">
      <c r="A602" s="27" t="s">
        <v>107</v>
      </c>
      <c r="B602" s="2" t="s">
        <v>35</v>
      </c>
      <c r="C602" s="28">
        <v>0</v>
      </c>
      <c r="D602" s="28">
        <v>0</v>
      </c>
      <c r="E602" s="28">
        <v>0</v>
      </c>
      <c r="F602" s="28">
        <v>0</v>
      </c>
      <c r="G602" s="28">
        <v>0</v>
      </c>
      <c r="H602" s="28">
        <v>0</v>
      </c>
      <c r="I602" s="28">
        <v>0</v>
      </c>
      <c r="J602" s="28">
        <v>0</v>
      </c>
      <c r="K602" s="28">
        <v>0</v>
      </c>
      <c r="L602" s="28">
        <v>0</v>
      </c>
      <c r="M602" s="28">
        <v>173.78870444751519</v>
      </c>
      <c r="N602" s="28">
        <v>173.78870444751519</v>
      </c>
      <c r="O602" s="81"/>
    </row>
    <row r="603" spans="1:15" x14ac:dyDescent="0.2">
      <c r="A603" s="27" t="s">
        <v>100</v>
      </c>
      <c r="B603" s="2" t="s">
        <v>28</v>
      </c>
      <c r="C603" s="28">
        <v>0</v>
      </c>
      <c r="D603" s="28">
        <v>0</v>
      </c>
      <c r="E603" s="28">
        <v>0</v>
      </c>
      <c r="F603" s="28">
        <v>0</v>
      </c>
      <c r="G603" s="28">
        <v>0</v>
      </c>
      <c r="H603" s="28">
        <v>0</v>
      </c>
      <c r="I603" s="28">
        <v>0</v>
      </c>
      <c r="J603" s="28">
        <v>0</v>
      </c>
      <c r="K603" s="28">
        <v>0</v>
      </c>
      <c r="L603" s="28">
        <v>0</v>
      </c>
      <c r="M603" s="28">
        <v>502.88667857267478</v>
      </c>
      <c r="N603" s="28">
        <v>502.88667857267478</v>
      </c>
      <c r="O603" s="81"/>
    </row>
    <row r="604" spans="1:15" x14ac:dyDescent="0.2">
      <c r="A604" s="27" t="s">
        <v>108</v>
      </c>
      <c r="B604" s="2" t="s">
        <v>36</v>
      </c>
      <c r="C604" s="28">
        <v>0</v>
      </c>
      <c r="D604" s="28">
        <v>0</v>
      </c>
      <c r="E604" s="28">
        <v>0</v>
      </c>
      <c r="F604" s="28">
        <v>0</v>
      </c>
      <c r="G604" s="28">
        <v>0</v>
      </c>
      <c r="H604" s="28">
        <v>0</v>
      </c>
      <c r="I604" s="28">
        <v>0</v>
      </c>
      <c r="J604" s="28">
        <v>0</v>
      </c>
      <c r="K604" s="28">
        <v>0</v>
      </c>
      <c r="L604" s="28">
        <v>0</v>
      </c>
      <c r="M604" s="28">
        <v>0</v>
      </c>
      <c r="N604" s="28">
        <v>0</v>
      </c>
      <c r="O604" s="81"/>
    </row>
    <row r="605" spans="1:15" x14ac:dyDescent="0.2">
      <c r="A605" s="27" t="s">
        <v>104</v>
      </c>
      <c r="B605" s="2" t="s">
        <v>32</v>
      </c>
      <c r="C605" s="28">
        <v>0</v>
      </c>
      <c r="D605" s="28">
        <v>2.002174014372295</v>
      </c>
      <c r="E605" s="28">
        <v>0</v>
      </c>
      <c r="F605" s="28">
        <v>0</v>
      </c>
      <c r="G605" s="28">
        <v>0</v>
      </c>
      <c r="H605" s="28">
        <v>0</v>
      </c>
      <c r="I605" s="28">
        <v>0</v>
      </c>
      <c r="J605" s="28">
        <v>0</v>
      </c>
      <c r="K605" s="28">
        <v>0</v>
      </c>
      <c r="L605" s="28">
        <v>0</v>
      </c>
      <c r="M605" s="28">
        <v>9.6104352689870147</v>
      </c>
      <c r="N605" s="28">
        <v>11.61260928335931</v>
      </c>
      <c r="O605" s="81"/>
    </row>
    <row r="606" spans="1:15" x14ac:dyDescent="0.2">
      <c r="A606" s="27" t="s">
        <v>105</v>
      </c>
      <c r="B606" s="2" t="s">
        <v>33</v>
      </c>
      <c r="C606" s="28">
        <v>0</v>
      </c>
      <c r="D606" s="28">
        <v>0</v>
      </c>
      <c r="E606" s="28">
        <v>0</v>
      </c>
      <c r="F606" s="28">
        <v>0</v>
      </c>
      <c r="G606" s="28">
        <v>0</v>
      </c>
      <c r="H606" s="28">
        <v>0</v>
      </c>
      <c r="I606" s="28">
        <v>0</v>
      </c>
      <c r="J606" s="28">
        <v>0</v>
      </c>
      <c r="K606" s="28">
        <v>0</v>
      </c>
      <c r="L606" s="28">
        <v>0</v>
      </c>
      <c r="M606" s="28">
        <v>0</v>
      </c>
      <c r="N606" s="28">
        <v>0</v>
      </c>
      <c r="O606" s="81"/>
    </row>
    <row r="607" spans="1:15" x14ac:dyDescent="0.2">
      <c r="A607" s="27" t="s">
        <v>109</v>
      </c>
      <c r="B607" s="2" t="s">
        <v>37</v>
      </c>
      <c r="C607" s="28">
        <v>0</v>
      </c>
      <c r="D607" s="28">
        <v>0</v>
      </c>
      <c r="E607" s="28">
        <v>0</v>
      </c>
      <c r="F607" s="28">
        <v>0</v>
      </c>
      <c r="G607" s="28">
        <v>0</v>
      </c>
      <c r="H607" s="28">
        <v>0</v>
      </c>
      <c r="I607" s="28">
        <v>0</v>
      </c>
      <c r="J607" s="28">
        <v>0</v>
      </c>
      <c r="K607" s="28">
        <v>0</v>
      </c>
      <c r="L607" s="28">
        <v>0</v>
      </c>
      <c r="M607" s="28">
        <v>600.65220431168837</v>
      </c>
      <c r="N607" s="28">
        <v>600.65220431168837</v>
      </c>
      <c r="O607" s="81"/>
    </row>
    <row r="608" spans="1:15" x14ac:dyDescent="0.2">
      <c r="A608" s="27" t="s">
        <v>96</v>
      </c>
      <c r="B608" s="2" t="s">
        <v>24</v>
      </c>
      <c r="C608" s="28">
        <v>0</v>
      </c>
      <c r="D608" s="28">
        <v>93.081676809893565</v>
      </c>
      <c r="E608" s="28">
        <v>0</v>
      </c>
      <c r="F608" s="28">
        <v>347.21584140725071</v>
      </c>
      <c r="G608" s="28">
        <v>0</v>
      </c>
      <c r="H608" s="28">
        <v>0</v>
      </c>
      <c r="I608" s="28">
        <v>0</v>
      </c>
      <c r="J608" s="28">
        <v>0</v>
      </c>
      <c r="K608" s="28">
        <v>0</v>
      </c>
      <c r="L608" s="28">
        <v>0</v>
      </c>
      <c r="M608" s="28">
        <v>2780.6714458657657</v>
      </c>
      <c r="N608" s="28">
        <v>3220.9689640829101</v>
      </c>
      <c r="O608" s="81"/>
    </row>
    <row r="609" spans="1:15" x14ac:dyDescent="0.2">
      <c r="A609" s="27" t="s">
        <v>120</v>
      </c>
      <c r="B609" s="2" t="s">
        <v>48</v>
      </c>
      <c r="C609" s="28">
        <v>0</v>
      </c>
      <c r="D609" s="28">
        <v>0</v>
      </c>
      <c r="E609" s="28">
        <v>1159.9387172690826</v>
      </c>
      <c r="F609" s="28">
        <v>5993.0167058902616</v>
      </c>
      <c r="G609" s="28">
        <v>966.61559772423561</v>
      </c>
      <c r="H609" s="28">
        <v>0</v>
      </c>
      <c r="I609" s="28">
        <v>38664.623908969435</v>
      </c>
      <c r="J609" s="28">
        <v>0</v>
      </c>
      <c r="K609" s="28">
        <v>13918.853100094153</v>
      </c>
      <c r="L609" s="28">
        <v>0</v>
      </c>
      <c r="M609" s="28">
        <v>1695586.9722376994</v>
      </c>
      <c r="N609" s="28">
        <v>1756290.0202676465</v>
      </c>
      <c r="O609" s="81"/>
    </row>
    <row r="610" spans="1:15" x14ac:dyDescent="0.2">
      <c r="A610" s="27" t="s">
        <v>102</v>
      </c>
      <c r="B610" s="2" t="s">
        <v>30</v>
      </c>
      <c r="C610" s="28">
        <v>0</v>
      </c>
      <c r="D610" s="28">
        <v>0</v>
      </c>
      <c r="E610" s="28">
        <v>0</v>
      </c>
      <c r="F610" s="28">
        <v>400622.30503308616</v>
      </c>
      <c r="G610" s="28">
        <v>773203.00002324337</v>
      </c>
      <c r="H610" s="28">
        <v>0</v>
      </c>
      <c r="I610" s="28">
        <v>329.03497268946739</v>
      </c>
      <c r="J610" s="28">
        <v>0</v>
      </c>
      <c r="K610" s="28">
        <v>0</v>
      </c>
      <c r="L610" s="28">
        <v>0</v>
      </c>
      <c r="M610" s="28">
        <v>2694607.2256494649</v>
      </c>
      <c r="N610" s="28">
        <v>3868761.5656784838</v>
      </c>
      <c r="O610" s="81"/>
    </row>
    <row r="611" spans="1:15" x14ac:dyDescent="0.2">
      <c r="A611" s="27" t="s">
        <v>98</v>
      </c>
      <c r="B611" s="2" t="s">
        <v>26</v>
      </c>
      <c r="C611" s="28">
        <v>0</v>
      </c>
      <c r="D611" s="28">
        <v>0</v>
      </c>
      <c r="E611" s="28">
        <v>0</v>
      </c>
      <c r="F611" s="28">
        <v>39378.980554606424</v>
      </c>
      <c r="G611" s="28">
        <v>0</v>
      </c>
      <c r="H611" s="28">
        <v>0</v>
      </c>
      <c r="I611" s="28">
        <v>1604.2145635848865</v>
      </c>
      <c r="J611" s="28">
        <v>0</v>
      </c>
      <c r="K611" s="28">
        <v>207132.47698532316</v>
      </c>
      <c r="L611" s="28">
        <v>0</v>
      </c>
      <c r="M611" s="28">
        <v>291992.49983044091</v>
      </c>
      <c r="N611" s="28">
        <v>540108.1719339554</v>
      </c>
      <c r="O611" s="81"/>
    </row>
    <row r="612" spans="1:15" x14ac:dyDescent="0.2">
      <c r="A612" s="27" t="s">
        <v>93</v>
      </c>
      <c r="B612" s="2" t="s">
        <v>21</v>
      </c>
      <c r="C612" s="28">
        <v>89.220022088354511</v>
      </c>
      <c r="D612" s="28">
        <v>0</v>
      </c>
      <c r="E612" s="28">
        <v>0</v>
      </c>
      <c r="F612" s="28">
        <v>3223.5886193206802</v>
      </c>
      <c r="G612" s="28">
        <v>214.1280530120508</v>
      </c>
      <c r="H612" s="28">
        <v>0</v>
      </c>
      <c r="I612" s="28">
        <v>0</v>
      </c>
      <c r="J612" s="28">
        <v>0</v>
      </c>
      <c r="K612" s="28">
        <v>6509.7184522495745</v>
      </c>
      <c r="L612" s="28">
        <v>0</v>
      </c>
      <c r="M612" s="28">
        <v>3643.8541378969549</v>
      </c>
      <c r="N612" s="28">
        <v>13680.509284567615</v>
      </c>
      <c r="O612" s="81"/>
    </row>
    <row r="613" spans="1:15" x14ac:dyDescent="0.2">
      <c r="A613" s="27" t="s">
        <v>115</v>
      </c>
      <c r="B613" s="2" t="s">
        <v>43</v>
      </c>
      <c r="C613" s="28">
        <v>0</v>
      </c>
      <c r="D613" s="28">
        <v>0</v>
      </c>
      <c r="E613" s="28">
        <v>0</v>
      </c>
      <c r="F613" s="28">
        <v>6800.7816614084541</v>
      </c>
      <c r="G613" s="28">
        <v>0</v>
      </c>
      <c r="H613" s="28">
        <v>0</v>
      </c>
      <c r="I613" s="28">
        <v>0</v>
      </c>
      <c r="J613" s="28">
        <v>0</v>
      </c>
      <c r="K613" s="28">
        <v>0</v>
      </c>
      <c r="L613" s="28">
        <v>0</v>
      </c>
      <c r="M613" s="28">
        <v>76691.675060345457</v>
      </c>
      <c r="N613" s="28">
        <v>83492.456721753915</v>
      </c>
      <c r="O613" s="81"/>
    </row>
    <row r="614" spans="1:15" x14ac:dyDescent="0.2">
      <c r="A614" s="27" t="s">
        <v>111</v>
      </c>
      <c r="B614" s="2" t="s">
        <v>39</v>
      </c>
      <c r="C614" s="28">
        <v>0</v>
      </c>
      <c r="D614" s="28">
        <v>0</v>
      </c>
      <c r="E614" s="28">
        <v>0</v>
      </c>
      <c r="F614" s="28">
        <v>535854.78704849014</v>
      </c>
      <c r="G614" s="28">
        <v>54943.837412407403</v>
      </c>
      <c r="H614" s="28">
        <v>0</v>
      </c>
      <c r="I614" s="28">
        <v>0</v>
      </c>
      <c r="J614" s="28">
        <v>0</v>
      </c>
      <c r="K614" s="28">
        <v>0</v>
      </c>
      <c r="L614" s="28">
        <v>0</v>
      </c>
      <c r="M614" s="28">
        <v>4632796.4071728354</v>
      </c>
      <c r="N614" s="28">
        <v>5223595.0316337328</v>
      </c>
      <c r="O614" s="81"/>
    </row>
    <row r="615" spans="1:15" x14ac:dyDescent="0.2">
      <c r="A615" s="27" t="s">
        <v>118</v>
      </c>
      <c r="B615" s="2" t="s">
        <v>46</v>
      </c>
      <c r="C615" s="28">
        <v>0</v>
      </c>
      <c r="D615" s="28">
        <v>0</v>
      </c>
      <c r="E615" s="28">
        <v>0</v>
      </c>
      <c r="F615" s="28">
        <v>0</v>
      </c>
      <c r="G615" s="28">
        <v>0</v>
      </c>
      <c r="H615" s="28">
        <v>0</v>
      </c>
      <c r="I615" s="28">
        <v>0</v>
      </c>
      <c r="J615" s="28">
        <v>0</v>
      </c>
      <c r="K615" s="28">
        <v>7545.9561824199718</v>
      </c>
      <c r="L615" s="28">
        <v>0</v>
      </c>
      <c r="M615" s="28">
        <v>3602767.205930572</v>
      </c>
      <c r="N615" s="28">
        <v>3610313.1621129918</v>
      </c>
      <c r="O615" s="81"/>
    </row>
    <row r="616" spans="1:15" x14ac:dyDescent="0.2">
      <c r="A616" s="27" t="s">
        <v>124</v>
      </c>
      <c r="B616" s="2" t="s">
        <v>52</v>
      </c>
      <c r="C616" s="28">
        <v>0</v>
      </c>
      <c r="D616" s="28">
        <v>0</v>
      </c>
      <c r="E616" s="28">
        <v>0</v>
      </c>
      <c r="F616" s="28">
        <v>0</v>
      </c>
      <c r="G616" s="28">
        <v>0</v>
      </c>
      <c r="H616" s="28">
        <v>0</v>
      </c>
      <c r="I616" s="28">
        <v>0</v>
      </c>
      <c r="J616" s="28">
        <v>0</v>
      </c>
      <c r="K616" s="28">
        <v>0</v>
      </c>
      <c r="L616" s="28">
        <v>0</v>
      </c>
      <c r="M616" s="28">
        <v>0</v>
      </c>
      <c r="N616" s="28">
        <v>0</v>
      </c>
      <c r="O616" s="81"/>
    </row>
    <row r="617" spans="1:15" x14ac:dyDescent="0.2">
      <c r="A617" s="27" t="s">
        <v>123</v>
      </c>
      <c r="B617" s="2" t="s">
        <v>51</v>
      </c>
      <c r="C617" s="28">
        <v>0</v>
      </c>
      <c r="D617" s="28">
        <v>285.4418141035427</v>
      </c>
      <c r="E617" s="28">
        <v>0</v>
      </c>
      <c r="F617" s="28">
        <v>0</v>
      </c>
      <c r="G617" s="28">
        <v>0</v>
      </c>
      <c r="H617" s="28">
        <v>0</v>
      </c>
      <c r="I617" s="28">
        <v>0</v>
      </c>
      <c r="J617" s="28">
        <v>0</v>
      </c>
      <c r="K617" s="28">
        <v>0</v>
      </c>
      <c r="L617" s="28">
        <v>0</v>
      </c>
      <c r="M617" s="28">
        <v>1927.056303061657</v>
      </c>
      <c r="N617" s="28">
        <v>2212.4981171651998</v>
      </c>
      <c r="O617" s="81"/>
    </row>
    <row r="618" spans="1:15" x14ac:dyDescent="0.2">
      <c r="A618" s="27" t="s">
        <v>126</v>
      </c>
      <c r="B618" s="2" t="s">
        <v>54</v>
      </c>
      <c r="C618" s="28">
        <v>0</v>
      </c>
      <c r="D618" s="28">
        <v>0</v>
      </c>
      <c r="E618" s="28">
        <v>0</v>
      </c>
      <c r="F618" s="28">
        <v>0</v>
      </c>
      <c r="G618" s="28">
        <v>0</v>
      </c>
      <c r="H618" s="28">
        <v>0</v>
      </c>
      <c r="I618" s="28">
        <v>0</v>
      </c>
      <c r="J618" s="28">
        <v>0</v>
      </c>
      <c r="K618" s="28">
        <v>0</v>
      </c>
      <c r="L618" s="28">
        <v>0</v>
      </c>
      <c r="M618" s="28">
        <v>0</v>
      </c>
      <c r="N618" s="28">
        <v>0</v>
      </c>
      <c r="O618" s="81"/>
    </row>
    <row r="619" spans="1:15" x14ac:dyDescent="0.2">
      <c r="A619" s="27" t="s">
        <v>129</v>
      </c>
      <c r="B619" s="2" t="s">
        <v>57</v>
      </c>
      <c r="C619" s="28">
        <v>0</v>
      </c>
      <c r="D619" s="28">
        <v>0</v>
      </c>
      <c r="E619" s="28">
        <v>0</v>
      </c>
      <c r="F619" s="28">
        <v>4404.7339187431826</v>
      </c>
      <c r="G619" s="28">
        <v>1878.9329488971032</v>
      </c>
      <c r="H619" s="28">
        <v>0</v>
      </c>
      <c r="I619" s="28">
        <v>0</v>
      </c>
      <c r="J619" s="28">
        <v>0</v>
      </c>
      <c r="K619" s="28">
        <v>0</v>
      </c>
      <c r="L619" s="28">
        <v>0</v>
      </c>
      <c r="M619" s="28">
        <v>3701661.4049436338</v>
      </c>
      <c r="N619" s="28">
        <v>3707945.0718112742</v>
      </c>
      <c r="O619" s="81"/>
    </row>
    <row r="620" spans="1:15" x14ac:dyDescent="0.2">
      <c r="A620" s="27" t="s">
        <v>128</v>
      </c>
      <c r="B620" s="2" t="s">
        <v>56</v>
      </c>
      <c r="C620" s="28">
        <v>0</v>
      </c>
      <c r="D620" s="28">
        <v>0</v>
      </c>
      <c r="E620" s="28">
        <v>0</v>
      </c>
      <c r="F620" s="28">
        <v>6833853.0733535979</v>
      </c>
      <c r="G620" s="28">
        <v>20439.54831723906</v>
      </c>
      <c r="H620" s="28">
        <v>0</v>
      </c>
      <c r="I620" s="28">
        <v>0</v>
      </c>
      <c r="J620" s="28">
        <v>0</v>
      </c>
      <c r="K620" s="28">
        <v>0</v>
      </c>
      <c r="L620" s="28">
        <v>0</v>
      </c>
      <c r="M620" s="28">
        <v>12277722.53593508</v>
      </c>
      <c r="N620" s="28">
        <v>19132015.157605916</v>
      </c>
      <c r="O620" s="81"/>
    </row>
    <row r="621" spans="1:15" x14ac:dyDescent="0.2">
      <c r="A621" s="27" t="s">
        <v>127</v>
      </c>
      <c r="B621" s="2" t="s">
        <v>55</v>
      </c>
      <c r="C621" s="28">
        <v>0</v>
      </c>
      <c r="D621" s="28">
        <v>0</v>
      </c>
      <c r="E621" s="28">
        <v>0</v>
      </c>
      <c r="F621" s="28">
        <v>0</v>
      </c>
      <c r="G621" s="28">
        <v>0</v>
      </c>
      <c r="H621" s="28">
        <v>0</v>
      </c>
      <c r="I621" s="28">
        <v>0</v>
      </c>
      <c r="J621" s="28">
        <v>0</v>
      </c>
      <c r="K621" s="28">
        <v>0</v>
      </c>
      <c r="L621" s="28">
        <v>0</v>
      </c>
      <c r="M621" s="28">
        <v>0</v>
      </c>
      <c r="N621" s="28">
        <v>0</v>
      </c>
      <c r="O621" s="81"/>
    </row>
    <row r="622" spans="1:15" x14ac:dyDescent="0.2">
      <c r="A622" s="27" t="s">
        <v>125</v>
      </c>
      <c r="B622" s="2" t="s">
        <v>53</v>
      </c>
      <c r="C622" s="28">
        <v>0</v>
      </c>
      <c r="D622" s="28">
        <v>0</v>
      </c>
      <c r="E622" s="28">
        <v>0</v>
      </c>
      <c r="F622" s="28">
        <v>0</v>
      </c>
      <c r="G622" s="28">
        <v>0</v>
      </c>
      <c r="H622" s="28">
        <v>0</v>
      </c>
      <c r="I622" s="28">
        <v>0</v>
      </c>
      <c r="J622" s="28">
        <v>0</v>
      </c>
      <c r="K622" s="28">
        <v>51.212174480484848</v>
      </c>
      <c r="L622" s="28">
        <v>0</v>
      </c>
      <c r="M622" s="28">
        <v>0</v>
      </c>
      <c r="N622" s="28">
        <v>51.212174480484848</v>
      </c>
      <c r="O622" s="81"/>
    </row>
    <row r="623" spans="1:15" x14ac:dyDescent="0.2">
      <c r="A623" s="27" t="s">
        <v>130</v>
      </c>
      <c r="B623" s="2" t="s">
        <v>58</v>
      </c>
      <c r="C623" s="28">
        <v>0</v>
      </c>
      <c r="D623" s="28">
        <v>0</v>
      </c>
      <c r="E623" s="28">
        <v>0</v>
      </c>
      <c r="F623" s="28">
        <v>0</v>
      </c>
      <c r="G623" s="28">
        <v>0</v>
      </c>
      <c r="H623" s="28">
        <v>0</v>
      </c>
      <c r="I623" s="28">
        <v>0</v>
      </c>
      <c r="J623" s="28">
        <v>0</v>
      </c>
      <c r="K623" s="28">
        <v>39.104555239977685</v>
      </c>
      <c r="L623" s="28">
        <v>0</v>
      </c>
      <c r="M623" s="28">
        <v>638.28738169969859</v>
      </c>
      <c r="N623" s="28">
        <v>677.39193693967627</v>
      </c>
      <c r="O623" s="81"/>
    </row>
    <row r="624" spans="1:15" x14ac:dyDescent="0.2">
      <c r="A624" s="27" t="s">
        <v>122</v>
      </c>
      <c r="B624" s="2" t="s">
        <v>50</v>
      </c>
      <c r="C624" s="28">
        <v>0</v>
      </c>
      <c r="D624" s="28">
        <v>0</v>
      </c>
      <c r="E624" s="28">
        <v>0</v>
      </c>
      <c r="F624" s="28">
        <v>0</v>
      </c>
      <c r="G624" s="28">
        <v>0</v>
      </c>
      <c r="H624" s="28">
        <v>0</v>
      </c>
      <c r="I624" s="28">
        <v>0</v>
      </c>
      <c r="J624" s="28">
        <v>0</v>
      </c>
      <c r="K624" s="28">
        <v>0</v>
      </c>
      <c r="L624" s="28">
        <v>0</v>
      </c>
      <c r="M624" s="28">
        <v>104.48251436053528</v>
      </c>
      <c r="N624" s="28">
        <v>104.48251436053528</v>
      </c>
      <c r="O624" s="81"/>
    </row>
    <row r="625" spans="1:15" x14ac:dyDescent="0.2">
      <c r="A625" s="4"/>
      <c r="B625" s="4" t="s">
        <v>59</v>
      </c>
      <c r="C625" s="28">
        <v>89.220022088354511</v>
      </c>
      <c r="D625" s="28">
        <v>380.52566492780858</v>
      </c>
      <c r="E625" s="28">
        <v>1159.9387172690826</v>
      </c>
      <c r="F625" s="28">
        <v>101791454.87311517</v>
      </c>
      <c r="G625" s="28">
        <v>2093163.3580226535</v>
      </c>
      <c r="H625" s="28">
        <v>2789073.9264701409</v>
      </c>
      <c r="I625" s="28">
        <v>40654.136139345661</v>
      </c>
      <c r="J625" s="28">
        <v>0</v>
      </c>
      <c r="K625" s="28">
        <v>235197.32144980732</v>
      </c>
      <c r="L625" s="28">
        <v>0</v>
      </c>
      <c r="M625" s="28">
        <v>37050645.442258514</v>
      </c>
      <c r="N625" s="28">
        <v>144001818.74185991</v>
      </c>
      <c r="O625" s="81"/>
    </row>
    <row r="626" spans="1:15" x14ac:dyDescent="0.2">
      <c r="A626" s="29"/>
      <c r="B626" s="29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</row>
    <row r="628" spans="1:15" x14ac:dyDescent="0.2">
      <c r="A628" s="99" t="s">
        <v>350</v>
      </c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57"/>
    </row>
    <row r="629" spans="1:15" x14ac:dyDescent="0.2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57"/>
    </row>
    <row r="630" spans="1:15" x14ac:dyDescent="0.2">
      <c r="A630" s="100" t="s">
        <v>0</v>
      </c>
      <c r="B630" s="100" t="s">
        <v>1</v>
      </c>
      <c r="C630" s="100" t="s">
        <v>139</v>
      </c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 t="s">
        <v>66</v>
      </c>
      <c r="O630" s="80"/>
    </row>
    <row r="631" spans="1:15" x14ac:dyDescent="0.2">
      <c r="A631" s="100"/>
      <c r="B631" s="100"/>
      <c r="C631" s="26" t="s">
        <v>71</v>
      </c>
      <c r="D631" s="26" t="s">
        <v>64</v>
      </c>
      <c r="E631" s="26" t="s">
        <v>72</v>
      </c>
      <c r="F631" s="26" t="s">
        <v>73</v>
      </c>
      <c r="G631" s="26" t="s">
        <v>74</v>
      </c>
      <c r="H631" s="26" t="s">
        <v>75</v>
      </c>
      <c r="I631" s="26" t="s">
        <v>63</v>
      </c>
      <c r="J631" s="26" t="s">
        <v>62</v>
      </c>
      <c r="K631" s="26" t="s">
        <v>76</v>
      </c>
      <c r="L631" s="26" t="s">
        <v>77</v>
      </c>
      <c r="M631" s="26" t="s">
        <v>78</v>
      </c>
      <c r="N631" s="100"/>
      <c r="O631" s="80"/>
    </row>
    <row r="632" spans="1:15" x14ac:dyDescent="0.2">
      <c r="A632" s="27" t="s">
        <v>110</v>
      </c>
      <c r="B632" s="2" t="s">
        <v>38</v>
      </c>
      <c r="C632" s="28">
        <v>0</v>
      </c>
      <c r="D632" s="28">
        <v>0</v>
      </c>
      <c r="E632" s="28">
        <v>0</v>
      </c>
      <c r="F632" s="28">
        <v>0</v>
      </c>
      <c r="G632" s="28">
        <v>0</v>
      </c>
      <c r="H632" s="28">
        <v>0</v>
      </c>
      <c r="I632" s="28">
        <v>0</v>
      </c>
      <c r="J632" s="28">
        <v>0</v>
      </c>
      <c r="K632" s="28">
        <v>0</v>
      </c>
      <c r="L632" s="28">
        <v>8304.8285603851346</v>
      </c>
      <c r="M632" s="28">
        <v>78.856329797044907</v>
      </c>
      <c r="N632" s="28">
        <v>8383.6848901821795</v>
      </c>
      <c r="O632" s="81"/>
    </row>
    <row r="633" spans="1:15" x14ac:dyDescent="0.2">
      <c r="A633" s="27" t="s">
        <v>113</v>
      </c>
      <c r="B633" s="2" t="s">
        <v>41</v>
      </c>
      <c r="C633" s="28">
        <v>0</v>
      </c>
      <c r="D633" s="28">
        <v>0</v>
      </c>
      <c r="E633" s="28">
        <v>0</v>
      </c>
      <c r="F633" s="28">
        <v>0</v>
      </c>
      <c r="G633" s="28">
        <v>0</v>
      </c>
      <c r="H633" s="28">
        <v>0</v>
      </c>
      <c r="I633" s="28">
        <v>0</v>
      </c>
      <c r="J633" s="28">
        <v>0</v>
      </c>
      <c r="K633" s="28">
        <v>0</v>
      </c>
      <c r="L633" s="28">
        <v>0</v>
      </c>
      <c r="M633" s="28">
        <v>0</v>
      </c>
      <c r="N633" s="28">
        <v>0</v>
      </c>
      <c r="O633" s="81"/>
    </row>
    <row r="634" spans="1:15" x14ac:dyDescent="0.2">
      <c r="A634" s="27" t="s">
        <v>119</v>
      </c>
      <c r="B634" s="2" t="s">
        <v>47</v>
      </c>
      <c r="C634" s="28">
        <v>0</v>
      </c>
      <c r="D634" s="28">
        <v>0</v>
      </c>
      <c r="E634" s="28">
        <v>0</v>
      </c>
      <c r="F634" s="28">
        <v>0</v>
      </c>
      <c r="G634" s="28">
        <v>0</v>
      </c>
      <c r="H634" s="28">
        <v>0</v>
      </c>
      <c r="I634" s="28">
        <v>0</v>
      </c>
      <c r="J634" s="28">
        <v>0</v>
      </c>
      <c r="K634" s="28">
        <v>0</v>
      </c>
      <c r="L634" s="28">
        <v>0</v>
      </c>
      <c r="M634" s="28">
        <v>0</v>
      </c>
      <c r="N634" s="28">
        <v>0</v>
      </c>
      <c r="O634" s="81"/>
    </row>
    <row r="635" spans="1:15" x14ac:dyDescent="0.2">
      <c r="A635" s="27" t="s">
        <v>121</v>
      </c>
      <c r="B635" s="2" t="s">
        <v>49</v>
      </c>
      <c r="C635" s="28">
        <v>0</v>
      </c>
      <c r="D635" s="28">
        <v>0</v>
      </c>
      <c r="E635" s="28">
        <v>0</v>
      </c>
      <c r="F635" s="28">
        <v>0</v>
      </c>
      <c r="G635" s="28">
        <v>0</v>
      </c>
      <c r="H635" s="28">
        <v>0</v>
      </c>
      <c r="I635" s="28">
        <v>0</v>
      </c>
      <c r="J635" s="28">
        <v>0</v>
      </c>
      <c r="K635" s="28">
        <v>0</v>
      </c>
      <c r="L635" s="28">
        <v>0</v>
      </c>
      <c r="M635" s="28">
        <v>0</v>
      </c>
      <c r="N635" s="28">
        <v>0</v>
      </c>
      <c r="O635" s="81"/>
    </row>
    <row r="636" spans="1:15" x14ac:dyDescent="0.2">
      <c r="A636" s="27" t="s">
        <v>95</v>
      </c>
      <c r="B636" s="2" t="s">
        <v>23</v>
      </c>
      <c r="C636" s="28">
        <v>0</v>
      </c>
      <c r="D636" s="28">
        <v>0</v>
      </c>
      <c r="E636" s="28">
        <v>8923448.1863250565</v>
      </c>
      <c r="F636" s="28">
        <v>0</v>
      </c>
      <c r="G636" s="28">
        <v>0</v>
      </c>
      <c r="H636" s="28">
        <v>2039645.2997314411</v>
      </c>
      <c r="I636" s="28">
        <v>0</v>
      </c>
      <c r="J636" s="28">
        <v>0</v>
      </c>
      <c r="K636" s="28">
        <v>0</v>
      </c>
      <c r="L636" s="28">
        <v>0</v>
      </c>
      <c r="M636" s="28">
        <v>0</v>
      </c>
      <c r="N636" s="28">
        <v>10963093.486056497</v>
      </c>
      <c r="O636" s="81"/>
    </row>
    <row r="637" spans="1:15" x14ac:dyDescent="0.2">
      <c r="A637" s="27" t="s">
        <v>101</v>
      </c>
      <c r="B637" s="2" t="s">
        <v>29</v>
      </c>
      <c r="C637" s="28">
        <v>0</v>
      </c>
      <c r="D637" s="28">
        <v>0</v>
      </c>
      <c r="E637" s="28">
        <v>0</v>
      </c>
      <c r="F637" s="28">
        <v>0</v>
      </c>
      <c r="G637" s="28">
        <v>0</v>
      </c>
      <c r="H637" s="28">
        <v>0</v>
      </c>
      <c r="I637" s="28">
        <v>0</v>
      </c>
      <c r="J637" s="28">
        <v>0</v>
      </c>
      <c r="K637" s="28">
        <v>0</v>
      </c>
      <c r="L637" s="28">
        <v>0</v>
      </c>
      <c r="M637" s="28">
        <v>2322.4623058138368</v>
      </c>
      <c r="N637" s="28">
        <v>2322.4623058138368</v>
      </c>
      <c r="O637" s="81"/>
    </row>
    <row r="638" spans="1:15" x14ac:dyDescent="0.2">
      <c r="A638" s="27" t="s">
        <v>106</v>
      </c>
      <c r="B638" s="2" t="s">
        <v>34</v>
      </c>
      <c r="C638" s="28">
        <v>0</v>
      </c>
      <c r="D638" s="28">
        <v>0</v>
      </c>
      <c r="E638" s="28">
        <v>0</v>
      </c>
      <c r="F638" s="28">
        <v>0</v>
      </c>
      <c r="G638" s="28">
        <v>0</v>
      </c>
      <c r="H638" s="28">
        <v>0</v>
      </c>
      <c r="I638" s="28">
        <v>0</v>
      </c>
      <c r="J638" s="28">
        <v>0</v>
      </c>
      <c r="K638" s="28">
        <v>0</v>
      </c>
      <c r="L638" s="28">
        <v>0</v>
      </c>
      <c r="M638" s="28">
        <v>423574.06650672836</v>
      </c>
      <c r="N638" s="28">
        <v>423574.06650672836</v>
      </c>
      <c r="O638" s="81"/>
    </row>
    <row r="639" spans="1:15" x14ac:dyDescent="0.2">
      <c r="A639" s="27" t="s">
        <v>103</v>
      </c>
      <c r="B639" s="2" t="s">
        <v>31</v>
      </c>
      <c r="C639" s="28">
        <v>0</v>
      </c>
      <c r="D639" s="28">
        <v>0</v>
      </c>
      <c r="E639" s="28">
        <v>0</v>
      </c>
      <c r="F639" s="28">
        <v>0</v>
      </c>
      <c r="G639" s="28">
        <v>0</v>
      </c>
      <c r="H639" s="28">
        <v>0</v>
      </c>
      <c r="I639" s="28">
        <v>0</v>
      </c>
      <c r="J639" s="28">
        <v>0</v>
      </c>
      <c r="K639" s="28">
        <v>0</v>
      </c>
      <c r="L639" s="28">
        <v>0</v>
      </c>
      <c r="M639" s="28">
        <v>3770.3800253400836</v>
      </c>
      <c r="N639" s="28">
        <v>3770.3800253400836</v>
      </c>
      <c r="O639" s="81"/>
    </row>
    <row r="640" spans="1:15" x14ac:dyDescent="0.2">
      <c r="A640" s="27" t="s">
        <v>99</v>
      </c>
      <c r="B640" s="2" t="s">
        <v>27</v>
      </c>
      <c r="C640" s="28">
        <v>0</v>
      </c>
      <c r="D640" s="28">
        <v>224.24348960969701</v>
      </c>
      <c r="E640" s="28">
        <v>0</v>
      </c>
      <c r="F640" s="28">
        <v>0</v>
      </c>
      <c r="G640" s="28">
        <v>0</v>
      </c>
      <c r="H640" s="28">
        <v>0</v>
      </c>
      <c r="I640" s="28">
        <v>0</v>
      </c>
      <c r="J640" s="28">
        <v>0</v>
      </c>
      <c r="K640" s="28">
        <v>0</v>
      </c>
      <c r="L640" s="28">
        <v>0</v>
      </c>
      <c r="M640" s="28">
        <v>0</v>
      </c>
      <c r="N640" s="28">
        <v>224.24348960969701</v>
      </c>
      <c r="O640" s="81"/>
    </row>
    <row r="641" spans="1:15" x14ac:dyDescent="0.2">
      <c r="A641" s="27" t="s">
        <v>94</v>
      </c>
      <c r="B641" s="2" t="s">
        <v>22</v>
      </c>
      <c r="C641" s="28">
        <v>2047212.7862023914</v>
      </c>
      <c r="D641" s="28">
        <v>65510.256198387782</v>
      </c>
      <c r="E641" s="28">
        <v>0</v>
      </c>
      <c r="F641" s="28">
        <v>229285.89669435722</v>
      </c>
      <c r="G641" s="28">
        <v>0</v>
      </c>
      <c r="H641" s="28">
        <v>84968017.794992849</v>
      </c>
      <c r="I641" s="28">
        <v>0</v>
      </c>
      <c r="J641" s="28">
        <v>0</v>
      </c>
      <c r="K641" s="28">
        <v>432.00006931937907</v>
      </c>
      <c r="L641" s="28">
        <v>0</v>
      </c>
      <c r="M641" s="28">
        <v>2620421.1663115448</v>
      </c>
      <c r="N641" s="28">
        <v>89930879.900468856</v>
      </c>
      <c r="O641" s="81"/>
    </row>
    <row r="642" spans="1:15" x14ac:dyDescent="0.2">
      <c r="A642" s="27" t="s">
        <v>97</v>
      </c>
      <c r="B642" s="2" t="s">
        <v>25</v>
      </c>
      <c r="C642" s="28">
        <v>0</v>
      </c>
      <c r="D642" s="28">
        <v>0</v>
      </c>
      <c r="E642" s="28">
        <v>0</v>
      </c>
      <c r="F642" s="28">
        <v>0</v>
      </c>
      <c r="G642" s="28">
        <v>0</v>
      </c>
      <c r="H642" s="28">
        <v>0</v>
      </c>
      <c r="I642" s="28">
        <v>0</v>
      </c>
      <c r="J642" s="28">
        <v>0</v>
      </c>
      <c r="K642" s="28">
        <v>0</v>
      </c>
      <c r="L642" s="28">
        <v>0</v>
      </c>
      <c r="M642" s="28">
        <v>0</v>
      </c>
      <c r="N642" s="28">
        <v>0</v>
      </c>
      <c r="O642" s="81"/>
    </row>
    <row r="643" spans="1:15" x14ac:dyDescent="0.2">
      <c r="A643" s="27" t="s">
        <v>117</v>
      </c>
      <c r="B643" s="2" t="s">
        <v>45</v>
      </c>
      <c r="C643" s="28">
        <v>0</v>
      </c>
      <c r="D643" s="28">
        <v>325.61457271474143</v>
      </c>
      <c r="E643" s="28">
        <v>0</v>
      </c>
      <c r="F643" s="28">
        <v>976.84371814422434</v>
      </c>
      <c r="G643" s="28">
        <v>0</v>
      </c>
      <c r="H643" s="28">
        <v>0</v>
      </c>
      <c r="I643" s="28">
        <v>0</v>
      </c>
      <c r="J643" s="28">
        <v>0</v>
      </c>
      <c r="K643" s="28">
        <v>0</v>
      </c>
      <c r="L643" s="28">
        <v>0</v>
      </c>
      <c r="M643" s="28">
        <v>0</v>
      </c>
      <c r="N643" s="28">
        <v>1302.4582908589657</v>
      </c>
      <c r="O643" s="81"/>
    </row>
    <row r="644" spans="1:15" x14ac:dyDescent="0.2">
      <c r="A644" s="27" t="s">
        <v>114</v>
      </c>
      <c r="B644" s="2" t="s">
        <v>42</v>
      </c>
      <c r="C644" s="28">
        <v>0</v>
      </c>
      <c r="D644" s="28">
        <v>0</v>
      </c>
      <c r="E644" s="28">
        <v>0</v>
      </c>
      <c r="F644" s="28">
        <v>0</v>
      </c>
      <c r="G644" s="28">
        <v>0</v>
      </c>
      <c r="H644" s="28">
        <v>0</v>
      </c>
      <c r="I644" s="28">
        <v>0</v>
      </c>
      <c r="J644" s="28">
        <v>0</v>
      </c>
      <c r="K644" s="28">
        <v>2536.668021138752</v>
      </c>
      <c r="L644" s="28">
        <v>0</v>
      </c>
      <c r="M644" s="28">
        <v>5.5055784317208228E-2</v>
      </c>
      <c r="N644" s="28">
        <v>2536.7230769230691</v>
      </c>
      <c r="O644" s="81"/>
    </row>
    <row r="645" spans="1:15" x14ac:dyDescent="0.2">
      <c r="A645" s="27" t="s">
        <v>112</v>
      </c>
      <c r="B645" s="2" t="s">
        <v>40</v>
      </c>
      <c r="C645" s="28">
        <v>0</v>
      </c>
      <c r="D645" s="28">
        <v>0</v>
      </c>
      <c r="E645" s="28">
        <v>0</v>
      </c>
      <c r="F645" s="28">
        <v>0</v>
      </c>
      <c r="G645" s="28">
        <v>0</v>
      </c>
      <c r="H645" s="28">
        <v>0</v>
      </c>
      <c r="I645" s="28">
        <v>0</v>
      </c>
      <c r="J645" s="28">
        <v>0</v>
      </c>
      <c r="K645" s="28">
        <v>461.30089291137671</v>
      </c>
      <c r="L645" s="28">
        <v>0</v>
      </c>
      <c r="M645" s="28">
        <v>0</v>
      </c>
      <c r="N645" s="28">
        <v>461.30089291137671</v>
      </c>
      <c r="O645" s="81"/>
    </row>
    <row r="646" spans="1:15" x14ac:dyDescent="0.2">
      <c r="A646" s="27" t="s">
        <v>116</v>
      </c>
      <c r="B646" s="2" t="s">
        <v>44</v>
      </c>
      <c r="C646" s="28">
        <v>0</v>
      </c>
      <c r="D646" s="28">
        <v>0</v>
      </c>
      <c r="E646" s="28">
        <v>0</v>
      </c>
      <c r="F646" s="28">
        <v>0</v>
      </c>
      <c r="G646" s="28">
        <v>0</v>
      </c>
      <c r="H646" s="28">
        <v>0</v>
      </c>
      <c r="I646" s="28">
        <v>0</v>
      </c>
      <c r="J646" s="28">
        <v>0</v>
      </c>
      <c r="K646" s="28">
        <v>0</v>
      </c>
      <c r="L646" s="28">
        <v>0</v>
      </c>
      <c r="M646" s="28">
        <v>10004.986270665779</v>
      </c>
      <c r="N646" s="28">
        <v>10004.986270665779</v>
      </c>
      <c r="O646" s="81"/>
    </row>
    <row r="647" spans="1:15" x14ac:dyDescent="0.2">
      <c r="A647" s="27" t="s">
        <v>107</v>
      </c>
      <c r="B647" s="2" t="s">
        <v>35</v>
      </c>
      <c r="C647" s="28">
        <v>0</v>
      </c>
      <c r="D647" s="28">
        <v>0</v>
      </c>
      <c r="E647" s="28">
        <v>0</v>
      </c>
      <c r="F647" s="28">
        <v>0</v>
      </c>
      <c r="G647" s="28">
        <v>0</v>
      </c>
      <c r="H647" s="28">
        <v>0</v>
      </c>
      <c r="I647" s="28">
        <v>0</v>
      </c>
      <c r="J647" s="28">
        <v>0</v>
      </c>
      <c r="K647" s="28">
        <v>0</v>
      </c>
      <c r="L647" s="28">
        <v>0</v>
      </c>
      <c r="M647" s="28">
        <v>0</v>
      </c>
      <c r="N647" s="28">
        <v>0</v>
      </c>
      <c r="O647" s="81"/>
    </row>
    <row r="648" spans="1:15" x14ac:dyDescent="0.2">
      <c r="A648" s="27" t="s">
        <v>100</v>
      </c>
      <c r="B648" s="2" t="s">
        <v>28</v>
      </c>
      <c r="C648" s="28">
        <v>0</v>
      </c>
      <c r="D648" s="28">
        <v>0</v>
      </c>
      <c r="E648" s="28">
        <v>0</v>
      </c>
      <c r="F648" s="28">
        <v>0</v>
      </c>
      <c r="G648" s="28">
        <v>0</v>
      </c>
      <c r="H648" s="28">
        <v>0</v>
      </c>
      <c r="I648" s="28">
        <v>0</v>
      </c>
      <c r="J648" s="28">
        <v>0</v>
      </c>
      <c r="K648" s="28">
        <v>0</v>
      </c>
      <c r="L648" s="28">
        <v>0</v>
      </c>
      <c r="M648" s="28">
        <v>0</v>
      </c>
      <c r="N648" s="28">
        <v>0</v>
      </c>
      <c r="O648" s="81"/>
    </row>
    <row r="649" spans="1:15" x14ac:dyDescent="0.2">
      <c r="A649" s="27" t="s">
        <v>108</v>
      </c>
      <c r="B649" s="2" t="s">
        <v>36</v>
      </c>
      <c r="C649" s="28">
        <v>0</v>
      </c>
      <c r="D649" s="28">
        <v>0</v>
      </c>
      <c r="E649" s="28">
        <v>0</v>
      </c>
      <c r="F649" s="28">
        <v>0</v>
      </c>
      <c r="G649" s="28">
        <v>0</v>
      </c>
      <c r="H649" s="28">
        <v>0</v>
      </c>
      <c r="I649" s="28">
        <v>0</v>
      </c>
      <c r="J649" s="28">
        <v>0</v>
      </c>
      <c r="K649" s="28">
        <v>0</v>
      </c>
      <c r="L649" s="28">
        <v>0</v>
      </c>
      <c r="M649" s="28">
        <v>0</v>
      </c>
      <c r="N649" s="28">
        <v>0</v>
      </c>
      <c r="O649" s="81"/>
    </row>
    <row r="650" spans="1:15" x14ac:dyDescent="0.2">
      <c r="A650" s="27" t="s">
        <v>104</v>
      </c>
      <c r="B650" s="2" t="s">
        <v>32</v>
      </c>
      <c r="C650" s="28">
        <v>0</v>
      </c>
      <c r="D650" s="28">
        <v>0</v>
      </c>
      <c r="E650" s="28">
        <v>0</v>
      </c>
      <c r="F650" s="28">
        <v>0</v>
      </c>
      <c r="G650" s="28">
        <v>0</v>
      </c>
      <c r="H650" s="28">
        <v>0</v>
      </c>
      <c r="I650" s="28">
        <v>0</v>
      </c>
      <c r="J650" s="28">
        <v>484.03728959763305</v>
      </c>
      <c r="K650" s="28">
        <v>0</v>
      </c>
      <c r="L650" s="28">
        <v>0</v>
      </c>
      <c r="M650" s="28">
        <v>1290.7661055936883</v>
      </c>
      <c r="N650" s="28">
        <v>1774.8033951913212</v>
      </c>
      <c r="O650" s="81"/>
    </row>
    <row r="651" spans="1:15" x14ac:dyDescent="0.2">
      <c r="A651" s="27" t="s">
        <v>105</v>
      </c>
      <c r="B651" s="2" t="s">
        <v>33</v>
      </c>
      <c r="C651" s="28">
        <v>0</v>
      </c>
      <c r="D651" s="28">
        <v>0</v>
      </c>
      <c r="E651" s="28">
        <v>0</v>
      </c>
      <c r="F651" s="28">
        <v>0</v>
      </c>
      <c r="G651" s="28">
        <v>0</v>
      </c>
      <c r="H651" s="28">
        <v>0</v>
      </c>
      <c r="I651" s="28">
        <v>0</v>
      </c>
      <c r="J651" s="28">
        <v>0</v>
      </c>
      <c r="K651" s="28">
        <v>0</v>
      </c>
      <c r="L651" s="28">
        <v>0</v>
      </c>
      <c r="M651" s="28">
        <v>0</v>
      </c>
      <c r="N651" s="28">
        <v>0</v>
      </c>
      <c r="O651" s="81"/>
    </row>
    <row r="652" spans="1:15" x14ac:dyDescent="0.2">
      <c r="A652" s="27" t="s">
        <v>109</v>
      </c>
      <c r="B652" s="2" t="s">
        <v>37</v>
      </c>
      <c r="C652" s="28">
        <v>0</v>
      </c>
      <c r="D652" s="28">
        <v>0</v>
      </c>
      <c r="E652" s="28">
        <v>0</v>
      </c>
      <c r="F652" s="28">
        <v>0</v>
      </c>
      <c r="G652" s="28">
        <v>0</v>
      </c>
      <c r="H652" s="28">
        <v>0</v>
      </c>
      <c r="I652" s="28">
        <v>0</v>
      </c>
      <c r="J652" s="28">
        <v>0</v>
      </c>
      <c r="K652" s="28">
        <v>0</v>
      </c>
      <c r="L652" s="28">
        <v>0</v>
      </c>
      <c r="M652" s="28">
        <v>0</v>
      </c>
      <c r="N652" s="28">
        <v>0</v>
      </c>
      <c r="O652" s="81"/>
    </row>
    <row r="653" spans="1:15" x14ac:dyDescent="0.2">
      <c r="A653" s="27" t="s">
        <v>96</v>
      </c>
      <c r="B653" s="2" t="s">
        <v>24</v>
      </c>
      <c r="C653" s="28">
        <v>0</v>
      </c>
      <c r="D653" s="28">
        <v>0</v>
      </c>
      <c r="E653" s="28">
        <v>0</v>
      </c>
      <c r="F653" s="28">
        <v>0</v>
      </c>
      <c r="G653" s="28">
        <v>0</v>
      </c>
      <c r="H653" s="28">
        <v>0</v>
      </c>
      <c r="I653" s="28">
        <v>0</v>
      </c>
      <c r="J653" s="28">
        <v>0</v>
      </c>
      <c r="K653" s="28">
        <v>0</v>
      </c>
      <c r="L653" s="28">
        <v>0</v>
      </c>
      <c r="M653" s="28">
        <v>0</v>
      </c>
      <c r="N653" s="28">
        <v>0</v>
      </c>
      <c r="O653" s="81"/>
    </row>
    <row r="654" spans="1:15" x14ac:dyDescent="0.2">
      <c r="A654" s="27" t="s">
        <v>120</v>
      </c>
      <c r="B654" s="2" t="s">
        <v>48</v>
      </c>
      <c r="C654" s="28">
        <v>0</v>
      </c>
      <c r="D654" s="28">
        <v>239.08385626463644</v>
      </c>
      <c r="E654" s="28">
        <v>0</v>
      </c>
      <c r="F654" s="28">
        <v>0</v>
      </c>
      <c r="G654" s="28">
        <v>0</v>
      </c>
      <c r="H654" s="28">
        <v>0</v>
      </c>
      <c r="I654" s="28">
        <v>0</v>
      </c>
      <c r="J654" s="28">
        <v>0</v>
      </c>
      <c r="K654" s="28">
        <v>8359.6206605746556</v>
      </c>
      <c r="L654" s="28">
        <v>0</v>
      </c>
      <c r="M654" s="28">
        <v>80690.801489314792</v>
      </c>
      <c r="N654" s="28">
        <v>89289.506006154086</v>
      </c>
      <c r="O654" s="81"/>
    </row>
    <row r="655" spans="1:15" x14ac:dyDescent="0.2">
      <c r="A655" s="27" t="s">
        <v>102</v>
      </c>
      <c r="B655" s="2" t="s">
        <v>30</v>
      </c>
      <c r="C655" s="28">
        <v>0</v>
      </c>
      <c r="D655" s="28">
        <v>0</v>
      </c>
      <c r="E655" s="28">
        <v>0</v>
      </c>
      <c r="F655" s="28">
        <v>0</v>
      </c>
      <c r="G655" s="28">
        <v>0</v>
      </c>
      <c r="H655" s="28">
        <v>0</v>
      </c>
      <c r="I655" s="28">
        <v>0</v>
      </c>
      <c r="J655" s="28">
        <v>0</v>
      </c>
      <c r="K655" s="28">
        <v>0</v>
      </c>
      <c r="L655" s="28">
        <v>0</v>
      </c>
      <c r="M655" s="28">
        <v>2295.0988294085646</v>
      </c>
      <c r="N655" s="28">
        <v>2295.0988294085646</v>
      </c>
      <c r="O655" s="81"/>
    </row>
    <row r="656" spans="1:15" x14ac:dyDescent="0.2">
      <c r="A656" s="27" t="s">
        <v>98</v>
      </c>
      <c r="B656" s="2" t="s">
        <v>26</v>
      </c>
      <c r="C656" s="28">
        <v>0</v>
      </c>
      <c r="D656" s="28">
        <v>0</v>
      </c>
      <c r="E656" s="28">
        <v>0</v>
      </c>
      <c r="F656" s="28">
        <v>0</v>
      </c>
      <c r="G656" s="28">
        <v>0</v>
      </c>
      <c r="H656" s="28">
        <v>0</v>
      </c>
      <c r="I656" s="28">
        <v>4.0817478602970178E-2</v>
      </c>
      <c r="J656" s="28">
        <v>0</v>
      </c>
      <c r="K656" s="28">
        <v>755917.37338608352</v>
      </c>
      <c r="L656" s="28">
        <v>0</v>
      </c>
      <c r="M656" s="28">
        <v>341551.58094961598</v>
      </c>
      <c r="N656" s="28">
        <v>1097468.995153178</v>
      </c>
      <c r="O656" s="81"/>
    </row>
    <row r="657" spans="1:15" x14ac:dyDescent="0.2">
      <c r="A657" s="27" t="s">
        <v>93</v>
      </c>
      <c r="B657" s="2" t="s">
        <v>21</v>
      </c>
      <c r="C657" s="28">
        <v>0</v>
      </c>
      <c r="D657" s="28">
        <v>909.38919688616045</v>
      </c>
      <c r="E657" s="28">
        <v>0</v>
      </c>
      <c r="F657" s="28">
        <v>939.98204763739454</v>
      </c>
      <c r="G657" s="28">
        <v>0</v>
      </c>
      <c r="H657" s="28">
        <v>0</v>
      </c>
      <c r="I657" s="28">
        <v>0</v>
      </c>
      <c r="J657" s="28">
        <v>0</v>
      </c>
      <c r="K657" s="28">
        <v>151.56486614769344</v>
      </c>
      <c r="L657" s="28">
        <v>0</v>
      </c>
      <c r="M657" s="28">
        <v>0</v>
      </c>
      <c r="N657" s="28">
        <v>2000.9361106712486</v>
      </c>
      <c r="O657" s="81"/>
    </row>
    <row r="658" spans="1:15" x14ac:dyDescent="0.2">
      <c r="A658" s="27" t="s">
        <v>115</v>
      </c>
      <c r="B658" s="2" t="s">
        <v>43</v>
      </c>
      <c r="C658" s="28">
        <v>0</v>
      </c>
      <c r="D658" s="28">
        <v>0</v>
      </c>
      <c r="E658" s="28">
        <v>0</v>
      </c>
      <c r="F658" s="28">
        <v>0</v>
      </c>
      <c r="G658" s="28">
        <v>0</v>
      </c>
      <c r="H658" s="28">
        <v>0</v>
      </c>
      <c r="I658" s="28">
        <v>0</v>
      </c>
      <c r="J658" s="28">
        <v>0</v>
      </c>
      <c r="K658" s="28">
        <v>71.709941447802649</v>
      </c>
      <c r="L658" s="28">
        <v>0</v>
      </c>
      <c r="M658" s="28">
        <v>10486.253748551171</v>
      </c>
      <c r="N658" s="28">
        <v>10557.963689998975</v>
      </c>
      <c r="O658" s="81"/>
    </row>
    <row r="659" spans="1:15" x14ac:dyDescent="0.2">
      <c r="A659" s="27" t="s">
        <v>111</v>
      </c>
      <c r="B659" s="2" t="s">
        <v>39</v>
      </c>
      <c r="C659" s="28">
        <v>0</v>
      </c>
      <c r="D659" s="28">
        <v>1052748.3668472643</v>
      </c>
      <c r="E659" s="28">
        <v>3.0075621307219958E-2</v>
      </c>
      <c r="F659" s="28">
        <v>0</v>
      </c>
      <c r="G659" s="28">
        <v>0</v>
      </c>
      <c r="H659" s="28">
        <v>0</v>
      </c>
      <c r="I659" s="28">
        <v>0</v>
      </c>
      <c r="J659" s="28">
        <v>0</v>
      </c>
      <c r="K659" s="28">
        <v>1228.7866771780843</v>
      </c>
      <c r="L659" s="28">
        <v>0</v>
      </c>
      <c r="M659" s="28">
        <v>6.5163846165643247E-2</v>
      </c>
      <c r="N659" s="28">
        <v>1053977.2487639098</v>
      </c>
      <c r="O659" s="81"/>
    </row>
    <row r="660" spans="1:15" x14ac:dyDescent="0.2">
      <c r="A660" s="27" t="s">
        <v>118</v>
      </c>
      <c r="B660" s="2" t="s">
        <v>46</v>
      </c>
      <c r="C660" s="28">
        <v>0</v>
      </c>
      <c r="D660" s="28">
        <v>0</v>
      </c>
      <c r="E660" s="28">
        <v>0</v>
      </c>
      <c r="F660" s="28">
        <v>0</v>
      </c>
      <c r="G660" s="28">
        <v>0</v>
      </c>
      <c r="H660" s="28">
        <v>0</v>
      </c>
      <c r="I660" s="28">
        <v>0</v>
      </c>
      <c r="J660" s="28">
        <v>0</v>
      </c>
      <c r="K660" s="28">
        <v>0</v>
      </c>
      <c r="L660" s="28">
        <v>0</v>
      </c>
      <c r="M660" s="28">
        <v>14091966.949564625</v>
      </c>
      <c r="N660" s="28">
        <v>14091966.949564625</v>
      </c>
      <c r="O660" s="81"/>
    </row>
    <row r="661" spans="1:15" x14ac:dyDescent="0.2">
      <c r="A661" s="27" t="s">
        <v>124</v>
      </c>
      <c r="B661" s="2" t="s">
        <v>52</v>
      </c>
      <c r="C661" s="28">
        <v>0</v>
      </c>
      <c r="D661" s="28">
        <v>0</v>
      </c>
      <c r="E661" s="28">
        <v>0</v>
      </c>
      <c r="F661" s="28">
        <v>0</v>
      </c>
      <c r="G661" s="28">
        <v>0</v>
      </c>
      <c r="H661" s="28">
        <v>0</v>
      </c>
      <c r="I661" s="28">
        <v>0</v>
      </c>
      <c r="J661" s="28">
        <v>0</v>
      </c>
      <c r="K661" s="28">
        <v>0</v>
      </c>
      <c r="L661" s="28">
        <v>0</v>
      </c>
      <c r="M661" s="28">
        <v>80.407308417191373</v>
      </c>
      <c r="N661" s="28">
        <v>80.407308417191373</v>
      </c>
      <c r="O661" s="81"/>
    </row>
    <row r="662" spans="1:15" x14ac:dyDescent="0.2">
      <c r="A662" s="27" t="s">
        <v>123</v>
      </c>
      <c r="B662" s="2" t="s">
        <v>51</v>
      </c>
      <c r="C662" s="28">
        <v>0</v>
      </c>
      <c r="D662" s="28">
        <v>0</v>
      </c>
      <c r="E662" s="28">
        <v>0</v>
      </c>
      <c r="F662" s="28">
        <v>0</v>
      </c>
      <c r="G662" s="28">
        <v>0</v>
      </c>
      <c r="H662" s="28">
        <v>0</v>
      </c>
      <c r="I662" s="28">
        <v>0</v>
      </c>
      <c r="J662" s="28">
        <v>0</v>
      </c>
      <c r="K662" s="28">
        <v>0</v>
      </c>
      <c r="L662" s="28">
        <v>0</v>
      </c>
      <c r="M662" s="28">
        <v>0</v>
      </c>
      <c r="N662" s="28">
        <v>0</v>
      </c>
      <c r="O662" s="81"/>
    </row>
    <row r="663" spans="1:15" x14ac:dyDescent="0.2">
      <c r="A663" s="27" t="s">
        <v>126</v>
      </c>
      <c r="B663" s="2" t="s">
        <v>54</v>
      </c>
      <c r="C663" s="28">
        <v>0</v>
      </c>
      <c r="D663" s="28">
        <v>0</v>
      </c>
      <c r="E663" s="28">
        <v>0</v>
      </c>
      <c r="F663" s="28">
        <v>0</v>
      </c>
      <c r="G663" s="28">
        <v>0</v>
      </c>
      <c r="H663" s="28">
        <v>0</v>
      </c>
      <c r="I663" s="28">
        <v>0</v>
      </c>
      <c r="J663" s="28">
        <v>0</v>
      </c>
      <c r="K663" s="28">
        <v>0</v>
      </c>
      <c r="L663" s="28">
        <v>0</v>
      </c>
      <c r="M663" s="28">
        <v>0</v>
      </c>
      <c r="N663" s="28">
        <v>0</v>
      </c>
      <c r="O663" s="81"/>
    </row>
    <row r="664" spans="1:15" x14ac:dyDescent="0.2">
      <c r="A664" s="27" t="s">
        <v>129</v>
      </c>
      <c r="B664" s="2" t="s">
        <v>57</v>
      </c>
      <c r="C664" s="28">
        <v>0</v>
      </c>
      <c r="D664" s="28">
        <v>0.26480733215655333</v>
      </c>
      <c r="E664" s="28">
        <v>0</v>
      </c>
      <c r="F664" s="28">
        <v>0</v>
      </c>
      <c r="G664" s="28">
        <v>0</v>
      </c>
      <c r="H664" s="28">
        <v>0</v>
      </c>
      <c r="I664" s="28">
        <v>0</v>
      </c>
      <c r="J664" s="28">
        <v>0</v>
      </c>
      <c r="K664" s="28">
        <v>18632.517116623767</v>
      </c>
      <c r="L664" s="28">
        <v>0</v>
      </c>
      <c r="M664" s="28">
        <v>5.5079925088563089</v>
      </c>
      <c r="N664" s="28">
        <v>18638.289916464782</v>
      </c>
      <c r="O664" s="81"/>
    </row>
    <row r="665" spans="1:15" x14ac:dyDescent="0.2">
      <c r="A665" s="27" t="s">
        <v>128</v>
      </c>
      <c r="B665" s="2" t="s">
        <v>56</v>
      </c>
      <c r="C665" s="28">
        <v>0</v>
      </c>
      <c r="D665" s="28">
        <v>0</v>
      </c>
      <c r="E665" s="28">
        <v>0</v>
      </c>
      <c r="F665" s="28">
        <v>0</v>
      </c>
      <c r="G665" s="28">
        <v>0</v>
      </c>
      <c r="H665" s="28">
        <v>0</v>
      </c>
      <c r="I665" s="28">
        <v>0</v>
      </c>
      <c r="J665" s="28">
        <v>0</v>
      </c>
      <c r="K665" s="28">
        <v>2644.006237852027</v>
      </c>
      <c r="L665" s="28">
        <v>0</v>
      </c>
      <c r="M665" s="28">
        <v>0.47517392193705532</v>
      </c>
      <c r="N665" s="28">
        <v>2644.4814117739638</v>
      </c>
      <c r="O665" s="81"/>
    </row>
    <row r="666" spans="1:15" x14ac:dyDescent="0.2">
      <c r="A666" s="27" t="s">
        <v>127</v>
      </c>
      <c r="B666" s="2" t="s">
        <v>55</v>
      </c>
      <c r="C666" s="28">
        <v>0</v>
      </c>
      <c r="D666" s="28">
        <v>0</v>
      </c>
      <c r="E666" s="28">
        <v>0</v>
      </c>
      <c r="F666" s="28">
        <v>0</v>
      </c>
      <c r="G666" s="28">
        <v>0</v>
      </c>
      <c r="H666" s="28">
        <v>0</v>
      </c>
      <c r="I666" s="28">
        <v>0</v>
      </c>
      <c r="J666" s="28">
        <v>0</v>
      </c>
      <c r="K666" s="28">
        <v>0</v>
      </c>
      <c r="L666" s="28">
        <v>0</v>
      </c>
      <c r="M666" s="28">
        <v>0</v>
      </c>
      <c r="N666" s="28">
        <v>0</v>
      </c>
      <c r="O666" s="81"/>
    </row>
    <row r="667" spans="1:15" x14ac:dyDescent="0.2">
      <c r="A667" s="27" t="s">
        <v>125</v>
      </c>
      <c r="B667" s="2" t="s">
        <v>53</v>
      </c>
      <c r="C667" s="28">
        <v>0</v>
      </c>
      <c r="D667" s="28">
        <v>0</v>
      </c>
      <c r="E667" s="28">
        <v>0</v>
      </c>
      <c r="F667" s="28">
        <v>0</v>
      </c>
      <c r="G667" s="28">
        <v>0</v>
      </c>
      <c r="H667" s="28">
        <v>0</v>
      </c>
      <c r="I667" s="28">
        <v>0</v>
      </c>
      <c r="J667" s="28">
        <v>0</v>
      </c>
      <c r="K667" s="28">
        <v>0</v>
      </c>
      <c r="L667" s="28">
        <v>0</v>
      </c>
      <c r="M667" s="28">
        <v>0</v>
      </c>
      <c r="N667" s="28">
        <v>0</v>
      </c>
      <c r="O667" s="81"/>
    </row>
    <row r="668" spans="1:15" x14ac:dyDescent="0.2">
      <c r="A668" s="27" t="s">
        <v>130</v>
      </c>
      <c r="B668" s="2" t="s">
        <v>58</v>
      </c>
      <c r="C668" s="28">
        <v>0</v>
      </c>
      <c r="D668" s="28">
        <v>0</v>
      </c>
      <c r="E668" s="28">
        <v>0</v>
      </c>
      <c r="F668" s="28">
        <v>0</v>
      </c>
      <c r="G668" s="28">
        <v>0</v>
      </c>
      <c r="H668" s="28">
        <v>0</v>
      </c>
      <c r="I668" s="28">
        <v>0</v>
      </c>
      <c r="J668" s="28">
        <v>0</v>
      </c>
      <c r="K668" s="28">
        <v>0</v>
      </c>
      <c r="L668" s="28">
        <v>0</v>
      </c>
      <c r="M668" s="28">
        <v>0</v>
      </c>
      <c r="N668" s="28">
        <v>0</v>
      </c>
      <c r="O668" s="81"/>
    </row>
    <row r="669" spans="1:15" x14ac:dyDescent="0.2">
      <c r="A669" s="27" t="s">
        <v>122</v>
      </c>
      <c r="B669" s="2" t="s">
        <v>50</v>
      </c>
      <c r="C669" s="28">
        <v>0</v>
      </c>
      <c r="D669" s="28">
        <v>0</v>
      </c>
      <c r="E669" s="28">
        <v>0</v>
      </c>
      <c r="F669" s="28">
        <v>0</v>
      </c>
      <c r="G669" s="28">
        <v>0</v>
      </c>
      <c r="H669" s="28">
        <v>0</v>
      </c>
      <c r="I669" s="28">
        <v>0</v>
      </c>
      <c r="J669" s="28">
        <v>0</v>
      </c>
      <c r="K669" s="28">
        <v>0</v>
      </c>
      <c r="L669" s="28">
        <v>0</v>
      </c>
      <c r="M669" s="28">
        <v>0</v>
      </c>
      <c r="N669" s="28">
        <v>0</v>
      </c>
      <c r="O669" s="81"/>
    </row>
    <row r="670" spans="1:15" x14ac:dyDescent="0.2">
      <c r="A670" s="4"/>
      <c r="B670" s="4" t="s">
        <v>59</v>
      </c>
      <c r="C670" s="28">
        <v>2047212.7862023914</v>
      </c>
      <c r="D670" s="28">
        <v>1119957.2189684594</v>
      </c>
      <c r="E670" s="28">
        <v>8923448.2164006773</v>
      </c>
      <c r="F670" s="28">
        <v>231202.72246013884</v>
      </c>
      <c r="G670" s="28">
        <v>0</v>
      </c>
      <c r="H670" s="28">
        <v>87007663.094724298</v>
      </c>
      <c r="I670" s="28">
        <v>4.0817478602970178E-2</v>
      </c>
      <c r="J670" s="28">
        <v>484.03728959763305</v>
      </c>
      <c r="K670" s="28">
        <v>790435.54786927719</v>
      </c>
      <c r="L670" s="28">
        <v>8304.8285603851346</v>
      </c>
      <c r="M670" s="28">
        <v>17588539.879131477</v>
      </c>
      <c r="N670" s="28">
        <v>117717248.37242416</v>
      </c>
      <c r="O670" s="81"/>
    </row>
    <row r="671" spans="1:15" x14ac:dyDescent="0.2">
      <c r="A671" s="29"/>
      <c r="B671" s="29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</row>
    <row r="673" spans="1:15" x14ac:dyDescent="0.2">
      <c r="A673" s="99" t="s">
        <v>351</v>
      </c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57"/>
    </row>
    <row r="674" spans="1:15" x14ac:dyDescent="0.2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57"/>
    </row>
    <row r="675" spans="1:15" x14ac:dyDescent="0.2">
      <c r="A675" s="100" t="s">
        <v>0</v>
      </c>
      <c r="B675" s="100" t="s">
        <v>1</v>
      </c>
      <c r="C675" s="100" t="s">
        <v>139</v>
      </c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 t="s">
        <v>66</v>
      </c>
      <c r="O675" s="80"/>
    </row>
    <row r="676" spans="1:15" x14ac:dyDescent="0.2">
      <c r="A676" s="100"/>
      <c r="B676" s="100"/>
      <c r="C676" s="26" t="s">
        <v>71</v>
      </c>
      <c r="D676" s="26" t="s">
        <v>64</v>
      </c>
      <c r="E676" s="26" t="s">
        <v>72</v>
      </c>
      <c r="F676" s="26" t="s">
        <v>73</v>
      </c>
      <c r="G676" s="26" t="s">
        <v>74</v>
      </c>
      <c r="H676" s="26" t="s">
        <v>75</v>
      </c>
      <c r="I676" s="26" t="s">
        <v>63</v>
      </c>
      <c r="J676" s="26" t="s">
        <v>62</v>
      </c>
      <c r="K676" s="26" t="s">
        <v>76</v>
      </c>
      <c r="L676" s="26" t="s">
        <v>77</v>
      </c>
      <c r="M676" s="26" t="s">
        <v>78</v>
      </c>
      <c r="N676" s="100"/>
      <c r="O676" s="80"/>
    </row>
    <row r="677" spans="1:15" x14ac:dyDescent="0.2">
      <c r="A677" s="27" t="s">
        <v>110</v>
      </c>
      <c r="B677" s="2" t="s">
        <v>38</v>
      </c>
      <c r="C677" s="28">
        <v>9678.7560508670485</v>
      </c>
      <c r="D677" s="28">
        <v>0</v>
      </c>
      <c r="E677" s="28">
        <v>0</v>
      </c>
      <c r="F677" s="28">
        <v>0</v>
      </c>
      <c r="G677" s="28">
        <v>0</v>
      </c>
      <c r="H677" s="28">
        <v>0</v>
      </c>
      <c r="I677" s="28">
        <v>0</v>
      </c>
      <c r="J677" s="28">
        <v>0</v>
      </c>
      <c r="K677" s="28">
        <v>702.92537120112252</v>
      </c>
      <c r="L677" s="28">
        <v>3990.1630990767944</v>
      </c>
      <c r="M677" s="28">
        <v>103154.43621961064</v>
      </c>
      <c r="N677" s="28">
        <v>117526.28074075561</v>
      </c>
      <c r="O677" s="81"/>
    </row>
    <row r="678" spans="1:15" x14ac:dyDescent="0.2">
      <c r="A678" s="27" t="s">
        <v>113</v>
      </c>
      <c r="B678" s="2" t="s">
        <v>41</v>
      </c>
      <c r="C678" s="28">
        <v>137.98994016575213</v>
      </c>
      <c r="D678" s="28">
        <v>288732.83777624334</v>
      </c>
      <c r="E678" s="28">
        <v>0</v>
      </c>
      <c r="F678" s="28">
        <v>0</v>
      </c>
      <c r="G678" s="28">
        <v>0</v>
      </c>
      <c r="H678" s="28">
        <v>0</v>
      </c>
      <c r="I678" s="28">
        <v>2715.3558411558934</v>
      </c>
      <c r="J678" s="28">
        <v>0</v>
      </c>
      <c r="K678" s="28">
        <v>1131.3982671482888</v>
      </c>
      <c r="L678" s="28">
        <v>0</v>
      </c>
      <c r="M678" s="28">
        <v>12281.352492084463</v>
      </c>
      <c r="N678" s="28">
        <v>304998.93431679776</v>
      </c>
      <c r="O678" s="81"/>
    </row>
    <row r="679" spans="1:15" x14ac:dyDescent="0.2">
      <c r="A679" s="27" t="s">
        <v>119</v>
      </c>
      <c r="B679" s="2" t="s">
        <v>47</v>
      </c>
      <c r="C679" s="28">
        <v>0</v>
      </c>
      <c r="D679" s="28">
        <v>0</v>
      </c>
      <c r="E679" s="28">
        <v>459.27329406365652</v>
      </c>
      <c r="F679" s="28">
        <v>0</v>
      </c>
      <c r="G679" s="28">
        <v>0</v>
      </c>
      <c r="H679" s="28">
        <v>0</v>
      </c>
      <c r="I679" s="28">
        <v>0</v>
      </c>
      <c r="J679" s="28">
        <v>0</v>
      </c>
      <c r="K679" s="28">
        <v>0</v>
      </c>
      <c r="L679" s="28">
        <v>0</v>
      </c>
      <c r="M679" s="28">
        <v>1224.728784169751</v>
      </c>
      <c r="N679" s="28">
        <v>1684.0020782334075</v>
      </c>
      <c r="O679" s="81"/>
    </row>
    <row r="680" spans="1:15" x14ac:dyDescent="0.2">
      <c r="A680" s="27" t="s">
        <v>121</v>
      </c>
      <c r="B680" s="2" t="s">
        <v>49</v>
      </c>
      <c r="C680" s="28">
        <v>171.40454078062331</v>
      </c>
      <c r="D680" s="28">
        <v>0</v>
      </c>
      <c r="E680" s="28">
        <v>0</v>
      </c>
      <c r="F680" s="28">
        <v>0</v>
      </c>
      <c r="G680" s="28">
        <v>0</v>
      </c>
      <c r="H680" s="28">
        <v>0</v>
      </c>
      <c r="I680" s="28">
        <v>0</v>
      </c>
      <c r="J680" s="28">
        <v>1971.1522189771679</v>
      </c>
      <c r="K680" s="28">
        <v>0</v>
      </c>
      <c r="L680" s="28">
        <v>0</v>
      </c>
      <c r="M680" s="28">
        <v>1641.6356374847121</v>
      </c>
      <c r="N680" s="28">
        <v>3784.1923972425029</v>
      </c>
      <c r="O680" s="81"/>
    </row>
    <row r="681" spans="1:15" x14ac:dyDescent="0.2">
      <c r="A681" s="27" t="s">
        <v>95</v>
      </c>
      <c r="B681" s="2" t="s">
        <v>23</v>
      </c>
      <c r="C681" s="28">
        <v>0</v>
      </c>
      <c r="D681" s="28">
        <v>0</v>
      </c>
      <c r="E681" s="28">
        <v>0</v>
      </c>
      <c r="F681" s="28">
        <v>505.9499019256354</v>
      </c>
      <c r="G681" s="28">
        <v>0</v>
      </c>
      <c r="H681" s="28">
        <v>0</v>
      </c>
      <c r="I681" s="28">
        <v>0</v>
      </c>
      <c r="J681" s="28">
        <v>0</v>
      </c>
      <c r="K681" s="28">
        <v>1675.4738183803101</v>
      </c>
      <c r="L681" s="28">
        <v>0</v>
      </c>
      <c r="M681" s="28">
        <v>8526.8633855706721</v>
      </c>
      <c r="N681" s="28">
        <v>10708.287105876618</v>
      </c>
      <c r="O681" s="81"/>
    </row>
    <row r="682" spans="1:15" x14ac:dyDescent="0.2">
      <c r="A682" s="27" t="s">
        <v>101</v>
      </c>
      <c r="B682" s="2" t="s">
        <v>29</v>
      </c>
      <c r="C682" s="28">
        <v>584.96983363301251</v>
      </c>
      <c r="D682" s="28">
        <v>0</v>
      </c>
      <c r="E682" s="28">
        <v>0</v>
      </c>
      <c r="F682" s="28">
        <v>0</v>
      </c>
      <c r="G682" s="28">
        <v>0</v>
      </c>
      <c r="H682" s="28">
        <v>0</v>
      </c>
      <c r="I682" s="28">
        <v>0</v>
      </c>
      <c r="J682" s="28">
        <v>343.4884888370172</v>
      </c>
      <c r="K682" s="28">
        <v>0</v>
      </c>
      <c r="L682" s="28">
        <v>0</v>
      </c>
      <c r="M682" s="28">
        <v>117526.65777982838</v>
      </c>
      <c r="N682" s="28">
        <v>118455.11610229842</v>
      </c>
      <c r="O682" s="81"/>
    </row>
    <row r="683" spans="1:15" x14ac:dyDescent="0.2">
      <c r="A683" s="27" t="s">
        <v>106</v>
      </c>
      <c r="B683" s="2" t="s">
        <v>34</v>
      </c>
      <c r="C683" s="28">
        <v>518.5830363752616</v>
      </c>
      <c r="D683" s="28">
        <v>0</v>
      </c>
      <c r="E683" s="28">
        <v>0</v>
      </c>
      <c r="F683" s="28">
        <v>0</v>
      </c>
      <c r="G683" s="28">
        <v>0</v>
      </c>
      <c r="H683" s="28">
        <v>0</v>
      </c>
      <c r="I683" s="28">
        <v>426.71859302232247</v>
      </c>
      <c r="J683" s="28">
        <v>213.35929651116123</v>
      </c>
      <c r="K683" s="28">
        <v>0</v>
      </c>
      <c r="L683" s="28">
        <v>2638837.9120251634</v>
      </c>
      <c r="M683" s="28">
        <v>283793.67438545375</v>
      </c>
      <c r="N683" s="28">
        <v>2923790.2473365259</v>
      </c>
      <c r="O683" s="81"/>
    </row>
    <row r="684" spans="1:15" x14ac:dyDescent="0.2">
      <c r="A684" s="27" t="s">
        <v>103</v>
      </c>
      <c r="B684" s="2" t="s">
        <v>31</v>
      </c>
      <c r="C684" s="28">
        <v>59.308426229491403</v>
      </c>
      <c r="D684" s="28">
        <v>1252.0530512811124</v>
      </c>
      <c r="E684" s="28">
        <v>0</v>
      </c>
      <c r="F684" s="28">
        <v>0</v>
      </c>
      <c r="G684" s="28">
        <v>0</v>
      </c>
      <c r="H684" s="28">
        <v>0</v>
      </c>
      <c r="I684" s="28">
        <v>0</v>
      </c>
      <c r="J684" s="28">
        <v>0</v>
      </c>
      <c r="K684" s="28">
        <v>92.491181684847263</v>
      </c>
      <c r="L684" s="28">
        <v>0</v>
      </c>
      <c r="M684" s="28">
        <v>5179.8018754608447</v>
      </c>
      <c r="N684" s="28">
        <v>6583.6545346562962</v>
      </c>
      <c r="O684" s="81"/>
    </row>
    <row r="685" spans="1:15" x14ac:dyDescent="0.2">
      <c r="A685" s="27" t="s">
        <v>99</v>
      </c>
      <c r="B685" s="2" t="s">
        <v>27</v>
      </c>
      <c r="C685" s="28">
        <v>917.95069192480719</v>
      </c>
      <c r="D685" s="28">
        <v>834.71401294847567</v>
      </c>
      <c r="E685" s="28">
        <v>0</v>
      </c>
      <c r="F685" s="28">
        <v>0</v>
      </c>
      <c r="G685" s="28">
        <v>0</v>
      </c>
      <c r="H685" s="28">
        <v>0</v>
      </c>
      <c r="I685" s="28">
        <v>980.88987787200472</v>
      </c>
      <c r="J685" s="28">
        <v>0</v>
      </c>
      <c r="K685" s="28">
        <v>1246.5475531290058</v>
      </c>
      <c r="L685" s="28">
        <v>0</v>
      </c>
      <c r="M685" s="28">
        <v>1502.3493115740589</v>
      </c>
      <c r="N685" s="28">
        <v>5482.4514474483531</v>
      </c>
      <c r="O685" s="81"/>
    </row>
    <row r="686" spans="1:15" x14ac:dyDescent="0.2">
      <c r="A686" s="27" t="s">
        <v>94</v>
      </c>
      <c r="B686" s="2" t="s">
        <v>22</v>
      </c>
      <c r="C686" s="28">
        <v>197.84352820331583</v>
      </c>
      <c r="D686" s="28">
        <v>0</v>
      </c>
      <c r="E686" s="28">
        <v>1681.6699897281844</v>
      </c>
      <c r="F686" s="28">
        <v>0</v>
      </c>
      <c r="G686" s="28">
        <v>6.5947842734438602</v>
      </c>
      <c r="H686" s="28">
        <v>0</v>
      </c>
      <c r="I686" s="28">
        <v>0</v>
      </c>
      <c r="J686" s="28">
        <v>0</v>
      </c>
      <c r="K686" s="28">
        <v>97.037540023531093</v>
      </c>
      <c r="L686" s="28">
        <v>0</v>
      </c>
      <c r="M686" s="28">
        <v>625.66533818755113</v>
      </c>
      <c r="N686" s="28">
        <v>2608.8111804160262</v>
      </c>
      <c r="O686" s="81"/>
    </row>
    <row r="687" spans="1:15" x14ac:dyDescent="0.2">
      <c r="A687" s="27" t="s">
        <v>97</v>
      </c>
      <c r="B687" s="2" t="s">
        <v>25</v>
      </c>
      <c r="C687" s="28">
        <v>0</v>
      </c>
      <c r="D687" s="28">
        <v>7474.7618914643663</v>
      </c>
      <c r="E687" s="28">
        <v>0</v>
      </c>
      <c r="F687" s="28">
        <v>0</v>
      </c>
      <c r="G687" s="28">
        <v>0</v>
      </c>
      <c r="H687" s="28">
        <v>0</v>
      </c>
      <c r="I687" s="28">
        <v>0</v>
      </c>
      <c r="J687" s="28">
        <v>0</v>
      </c>
      <c r="K687" s="28">
        <v>229.22008924023402</v>
      </c>
      <c r="L687" s="28">
        <v>0</v>
      </c>
      <c r="M687" s="28">
        <v>6660.8334708971242</v>
      </c>
      <c r="N687" s="28">
        <v>14364.815451601724</v>
      </c>
      <c r="O687" s="81"/>
    </row>
    <row r="688" spans="1:15" x14ac:dyDescent="0.2">
      <c r="A688" s="27" t="s">
        <v>117</v>
      </c>
      <c r="B688" s="2" t="s">
        <v>45</v>
      </c>
      <c r="C688" s="28">
        <v>0</v>
      </c>
      <c r="D688" s="28">
        <v>5.6692084029206393</v>
      </c>
      <c r="E688" s="28">
        <v>0</v>
      </c>
      <c r="F688" s="28">
        <v>0</v>
      </c>
      <c r="G688" s="28">
        <v>0</v>
      </c>
      <c r="H688" s="28">
        <v>0</v>
      </c>
      <c r="I688" s="28">
        <v>36.31341600054219</v>
      </c>
      <c r="J688" s="28">
        <v>0</v>
      </c>
      <c r="K688" s="28">
        <v>0</v>
      </c>
      <c r="L688" s="28">
        <v>2178.8049600325321</v>
      </c>
      <c r="M688" s="28">
        <v>206624.08494834515</v>
      </c>
      <c r="N688" s="28">
        <v>208844.87253278116</v>
      </c>
      <c r="O688" s="81"/>
    </row>
    <row r="689" spans="1:15" x14ac:dyDescent="0.2">
      <c r="A689" s="27" t="s">
        <v>114</v>
      </c>
      <c r="B689" s="2" t="s">
        <v>42</v>
      </c>
      <c r="C689" s="28">
        <v>0</v>
      </c>
      <c r="D689" s="28">
        <v>0</v>
      </c>
      <c r="E689" s="28">
        <v>0</v>
      </c>
      <c r="F689" s="28">
        <v>0</v>
      </c>
      <c r="G689" s="28">
        <v>0</v>
      </c>
      <c r="H689" s="28">
        <v>0</v>
      </c>
      <c r="I689" s="28">
        <v>0</v>
      </c>
      <c r="J689" s="28">
        <v>0</v>
      </c>
      <c r="K689" s="28">
        <v>32461.876521644394</v>
      </c>
      <c r="L689" s="28">
        <v>0</v>
      </c>
      <c r="M689" s="28">
        <v>44055.403850803108</v>
      </c>
      <c r="N689" s="28">
        <v>76517.280372447509</v>
      </c>
      <c r="O689" s="81"/>
    </row>
    <row r="690" spans="1:15" x14ac:dyDescent="0.2">
      <c r="A690" s="27" t="s">
        <v>112</v>
      </c>
      <c r="B690" s="2" t="s">
        <v>40</v>
      </c>
      <c r="C690" s="28">
        <v>0</v>
      </c>
      <c r="D690" s="28">
        <v>10166.320916974732</v>
      </c>
      <c r="E690" s="28">
        <v>0</v>
      </c>
      <c r="F690" s="28">
        <v>814266.92389913544</v>
      </c>
      <c r="G690" s="28">
        <v>0</v>
      </c>
      <c r="H690" s="28">
        <v>0</v>
      </c>
      <c r="I690" s="28">
        <v>1298999.7082073821</v>
      </c>
      <c r="J690" s="28">
        <v>0</v>
      </c>
      <c r="K690" s="28">
        <v>0</v>
      </c>
      <c r="L690" s="28">
        <v>9107.581228437306</v>
      </c>
      <c r="M690" s="28">
        <v>101803.45696409108</v>
      </c>
      <c r="N690" s="28">
        <v>2234343.9912160207</v>
      </c>
      <c r="O690" s="81"/>
    </row>
    <row r="691" spans="1:15" x14ac:dyDescent="0.2">
      <c r="A691" s="27" t="s">
        <v>116</v>
      </c>
      <c r="B691" s="2" t="s">
        <v>44</v>
      </c>
      <c r="C691" s="28">
        <v>0</v>
      </c>
      <c r="D691" s="28">
        <v>0</v>
      </c>
      <c r="E691" s="28">
        <v>0</v>
      </c>
      <c r="F691" s="28">
        <v>0</v>
      </c>
      <c r="G691" s="28">
        <v>0</v>
      </c>
      <c r="H691" s="28">
        <v>0</v>
      </c>
      <c r="I691" s="28">
        <v>2360.1642753669257</v>
      </c>
      <c r="J691" s="28">
        <v>0</v>
      </c>
      <c r="K691" s="28">
        <v>392668.97826886299</v>
      </c>
      <c r="L691" s="28">
        <v>275.64169222482758</v>
      </c>
      <c r="M691" s="28">
        <v>75125.484185218302</v>
      </c>
      <c r="N691" s="28">
        <v>470430.26842167304</v>
      </c>
      <c r="O691" s="81"/>
    </row>
    <row r="692" spans="1:15" x14ac:dyDescent="0.2">
      <c r="A692" s="27" t="s">
        <v>107</v>
      </c>
      <c r="B692" s="2" t="s">
        <v>35</v>
      </c>
      <c r="C692" s="28">
        <v>0</v>
      </c>
      <c r="D692" s="28">
        <v>0</v>
      </c>
      <c r="E692" s="28">
        <v>0</v>
      </c>
      <c r="F692" s="28">
        <v>0</v>
      </c>
      <c r="G692" s="28">
        <v>0</v>
      </c>
      <c r="H692" s="28">
        <v>0</v>
      </c>
      <c r="I692" s="28">
        <v>47744.803564071655</v>
      </c>
      <c r="J692" s="28">
        <v>0</v>
      </c>
      <c r="K692" s="28">
        <v>42116.468777079179</v>
      </c>
      <c r="L692" s="28">
        <v>0</v>
      </c>
      <c r="M692" s="28">
        <v>7333143.2941160323</v>
      </c>
      <c r="N692" s="28">
        <v>7423004.5664571831</v>
      </c>
      <c r="O692" s="81"/>
    </row>
    <row r="693" spans="1:15" x14ac:dyDescent="0.2">
      <c r="A693" s="27" t="s">
        <v>100</v>
      </c>
      <c r="B693" s="2" t="s">
        <v>28</v>
      </c>
      <c r="C693" s="28">
        <v>0</v>
      </c>
      <c r="D693" s="28">
        <v>0</v>
      </c>
      <c r="E693" s="28">
        <v>0</v>
      </c>
      <c r="F693" s="28">
        <v>0</v>
      </c>
      <c r="G693" s="28">
        <v>0</v>
      </c>
      <c r="H693" s="28">
        <v>0</v>
      </c>
      <c r="I693" s="28">
        <v>101.63277995402338</v>
      </c>
      <c r="J693" s="28">
        <v>12.152897461809658</v>
      </c>
      <c r="K693" s="28">
        <v>0</v>
      </c>
      <c r="L693" s="28">
        <v>0</v>
      </c>
      <c r="M693" s="28">
        <v>1944.7759952338638</v>
      </c>
      <c r="N693" s="28">
        <v>2058.5616726496969</v>
      </c>
      <c r="O693" s="81"/>
    </row>
    <row r="694" spans="1:15" x14ac:dyDescent="0.2">
      <c r="A694" s="27" t="s">
        <v>108</v>
      </c>
      <c r="B694" s="2" t="s">
        <v>36</v>
      </c>
      <c r="C694" s="28">
        <v>0</v>
      </c>
      <c r="D694" s="28">
        <v>0</v>
      </c>
      <c r="E694" s="28">
        <v>0</v>
      </c>
      <c r="F694" s="28">
        <v>0</v>
      </c>
      <c r="G694" s="28">
        <v>0</v>
      </c>
      <c r="H694" s="28">
        <v>0</v>
      </c>
      <c r="I694" s="28">
        <v>0</v>
      </c>
      <c r="J694" s="28">
        <v>0</v>
      </c>
      <c r="K694" s="28">
        <v>306.45661458994192</v>
      </c>
      <c r="L694" s="28">
        <v>0</v>
      </c>
      <c r="M694" s="28">
        <v>2913.0396075830035</v>
      </c>
      <c r="N694" s="28">
        <v>3219.4962221729456</v>
      </c>
      <c r="O694" s="81"/>
    </row>
    <row r="695" spans="1:15" x14ac:dyDescent="0.2">
      <c r="A695" s="27" t="s">
        <v>104</v>
      </c>
      <c r="B695" s="2" t="s">
        <v>32</v>
      </c>
      <c r="C695" s="28">
        <v>0</v>
      </c>
      <c r="D695" s="28">
        <v>0</v>
      </c>
      <c r="E695" s="28">
        <v>0</v>
      </c>
      <c r="F695" s="28">
        <v>0</v>
      </c>
      <c r="G695" s="28">
        <v>0</v>
      </c>
      <c r="H695" s="28">
        <v>0</v>
      </c>
      <c r="I695" s="28">
        <v>2199.1385660433575</v>
      </c>
      <c r="J695" s="28">
        <v>583.08424127648902</v>
      </c>
      <c r="K695" s="28">
        <v>86.171499898132438</v>
      </c>
      <c r="L695" s="28">
        <v>1395411.799703412</v>
      </c>
      <c r="M695" s="28">
        <v>5214.5719712445953</v>
      </c>
      <c r="N695" s="28">
        <v>1403494.7659818747</v>
      </c>
      <c r="O695" s="81"/>
    </row>
    <row r="696" spans="1:15" x14ac:dyDescent="0.2">
      <c r="A696" s="27" t="s">
        <v>105</v>
      </c>
      <c r="B696" s="2" t="s">
        <v>33</v>
      </c>
      <c r="C696" s="28">
        <v>700.85752328393096</v>
      </c>
      <c r="D696" s="28">
        <v>0</v>
      </c>
      <c r="E696" s="28">
        <v>0</v>
      </c>
      <c r="F696" s="28">
        <v>0</v>
      </c>
      <c r="G696" s="28">
        <v>0</v>
      </c>
      <c r="H696" s="28">
        <v>0</v>
      </c>
      <c r="I696" s="28">
        <v>0</v>
      </c>
      <c r="J696" s="28">
        <v>0</v>
      </c>
      <c r="K696" s="28">
        <v>83.684480392111155</v>
      </c>
      <c r="L696" s="28">
        <v>2220.4196328081152</v>
      </c>
      <c r="M696" s="28">
        <v>8800.6474385992624</v>
      </c>
      <c r="N696" s="28">
        <v>11805.609075083419</v>
      </c>
      <c r="O696" s="81"/>
    </row>
    <row r="697" spans="1:15" x14ac:dyDescent="0.2">
      <c r="A697" s="27" t="s">
        <v>109</v>
      </c>
      <c r="B697" s="2" t="s">
        <v>37</v>
      </c>
      <c r="C697" s="28">
        <v>0</v>
      </c>
      <c r="D697" s="28">
        <v>0</v>
      </c>
      <c r="E697" s="28">
        <v>0</v>
      </c>
      <c r="F697" s="28">
        <v>0</v>
      </c>
      <c r="G697" s="28">
        <v>0</v>
      </c>
      <c r="H697" s="28">
        <v>0</v>
      </c>
      <c r="I697" s="28">
        <v>0</v>
      </c>
      <c r="J697" s="28">
        <v>366.11349931367801</v>
      </c>
      <c r="K697" s="28">
        <v>0</v>
      </c>
      <c r="L697" s="28">
        <v>0</v>
      </c>
      <c r="M697" s="28">
        <v>3935.7201176220383</v>
      </c>
      <c r="N697" s="28">
        <v>4301.8336169357162</v>
      </c>
      <c r="O697" s="81"/>
    </row>
    <row r="698" spans="1:15" x14ac:dyDescent="0.2">
      <c r="A698" s="27" t="s">
        <v>96</v>
      </c>
      <c r="B698" s="2" t="s">
        <v>24</v>
      </c>
      <c r="C698" s="28">
        <v>0</v>
      </c>
      <c r="D698" s="28">
        <v>0</v>
      </c>
      <c r="E698" s="28">
        <v>0</v>
      </c>
      <c r="F698" s="28">
        <v>0</v>
      </c>
      <c r="G698" s="28">
        <v>0</v>
      </c>
      <c r="H698" s="28">
        <v>0</v>
      </c>
      <c r="I698" s="28">
        <v>0</v>
      </c>
      <c r="J698" s="28">
        <v>0</v>
      </c>
      <c r="K698" s="28">
        <v>0</v>
      </c>
      <c r="L698" s="28">
        <v>0</v>
      </c>
      <c r="M698" s="28">
        <v>2599.8765728179583</v>
      </c>
      <c r="N698" s="28">
        <v>2599.8765728179583</v>
      </c>
      <c r="O698" s="81"/>
    </row>
    <row r="699" spans="1:15" x14ac:dyDescent="0.2">
      <c r="A699" s="27" t="s">
        <v>120</v>
      </c>
      <c r="B699" s="2" t="s">
        <v>48</v>
      </c>
      <c r="C699" s="28">
        <v>0</v>
      </c>
      <c r="D699" s="28">
        <v>288.80913460020787</v>
      </c>
      <c r="E699" s="28">
        <v>144.40456730010393</v>
      </c>
      <c r="F699" s="28">
        <v>0</v>
      </c>
      <c r="G699" s="28">
        <v>144.40456730010393</v>
      </c>
      <c r="H699" s="28">
        <v>0</v>
      </c>
      <c r="I699" s="28">
        <v>0</v>
      </c>
      <c r="J699" s="28">
        <v>0</v>
      </c>
      <c r="K699" s="28">
        <v>96.269711533402614</v>
      </c>
      <c r="L699" s="28">
        <v>0</v>
      </c>
      <c r="M699" s="28">
        <v>275622.96836605779</v>
      </c>
      <c r="N699" s="28">
        <v>276296.85634679161</v>
      </c>
      <c r="O699" s="81"/>
    </row>
    <row r="700" spans="1:15" x14ac:dyDescent="0.2">
      <c r="A700" s="27" t="s">
        <v>102</v>
      </c>
      <c r="B700" s="2" t="s">
        <v>30</v>
      </c>
      <c r="C700" s="28">
        <v>0</v>
      </c>
      <c r="D700" s="28">
        <v>0</v>
      </c>
      <c r="E700" s="28">
        <v>0</v>
      </c>
      <c r="F700" s="28">
        <v>0</v>
      </c>
      <c r="G700" s="28">
        <v>0</v>
      </c>
      <c r="H700" s="28">
        <v>0</v>
      </c>
      <c r="I700" s="28">
        <v>831.8803683776656</v>
      </c>
      <c r="J700" s="28">
        <v>0</v>
      </c>
      <c r="K700" s="28">
        <v>0</v>
      </c>
      <c r="L700" s="28">
        <v>0</v>
      </c>
      <c r="M700" s="28">
        <v>27689.12197289442</v>
      </c>
      <c r="N700" s="28">
        <v>28521.002341272084</v>
      </c>
      <c r="O700" s="81"/>
    </row>
    <row r="701" spans="1:15" x14ac:dyDescent="0.2">
      <c r="A701" s="27" t="s">
        <v>98</v>
      </c>
      <c r="B701" s="2" t="s">
        <v>26</v>
      </c>
      <c r="C701" s="28">
        <v>0</v>
      </c>
      <c r="D701" s="28">
        <v>0</v>
      </c>
      <c r="E701" s="28">
        <v>0</v>
      </c>
      <c r="F701" s="28">
        <v>0</v>
      </c>
      <c r="G701" s="28">
        <v>0</v>
      </c>
      <c r="H701" s="28">
        <v>0</v>
      </c>
      <c r="I701" s="28">
        <v>82117.586244405989</v>
      </c>
      <c r="J701" s="28">
        <v>0</v>
      </c>
      <c r="K701" s="28">
        <v>33772.522198070154</v>
      </c>
      <c r="L701" s="28">
        <v>0</v>
      </c>
      <c r="M701" s="28">
        <v>565941.01209603541</v>
      </c>
      <c r="N701" s="28">
        <v>681831.12053851155</v>
      </c>
      <c r="O701" s="81"/>
    </row>
    <row r="702" spans="1:15" x14ac:dyDescent="0.2">
      <c r="A702" s="27" t="s">
        <v>93</v>
      </c>
      <c r="B702" s="2" t="s">
        <v>21</v>
      </c>
      <c r="C702" s="28">
        <v>0</v>
      </c>
      <c r="D702" s="28">
        <v>0</v>
      </c>
      <c r="E702" s="28">
        <v>0</v>
      </c>
      <c r="F702" s="28">
        <v>0</v>
      </c>
      <c r="G702" s="28">
        <v>0</v>
      </c>
      <c r="H702" s="28">
        <v>0</v>
      </c>
      <c r="I702" s="28">
        <v>0</v>
      </c>
      <c r="J702" s="28">
        <v>0</v>
      </c>
      <c r="K702" s="28">
        <v>1931.6600225291704</v>
      </c>
      <c r="L702" s="28">
        <v>0</v>
      </c>
      <c r="M702" s="28">
        <v>77.745284100069284</v>
      </c>
      <c r="N702" s="28">
        <v>2009.4053066292397</v>
      </c>
      <c r="O702" s="81"/>
    </row>
    <row r="703" spans="1:15" x14ac:dyDescent="0.2">
      <c r="A703" s="27" t="s">
        <v>115</v>
      </c>
      <c r="B703" s="2" t="s">
        <v>43</v>
      </c>
      <c r="C703" s="28">
        <v>0</v>
      </c>
      <c r="D703" s="28">
        <v>0</v>
      </c>
      <c r="E703" s="28">
        <v>32346.97127513052</v>
      </c>
      <c r="F703" s="28">
        <v>0</v>
      </c>
      <c r="G703" s="28">
        <v>0</v>
      </c>
      <c r="H703" s="28">
        <v>0</v>
      </c>
      <c r="I703" s="28">
        <v>7756.5967121885869</v>
      </c>
      <c r="J703" s="28">
        <v>0</v>
      </c>
      <c r="K703" s="28">
        <v>0</v>
      </c>
      <c r="L703" s="28">
        <v>0</v>
      </c>
      <c r="M703" s="28">
        <v>596897.07497393305</v>
      </c>
      <c r="N703" s="28">
        <v>637000.64296125213</v>
      </c>
      <c r="O703" s="81"/>
    </row>
    <row r="704" spans="1:15" x14ac:dyDescent="0.2">
      <c r="A704" s="27" t="s">
        <v>111</v>
      </c>
      <c r="B704" s="2" t="s">
        <v>39</v>
      </c>
      <c r="C704" s="28">
        <v>0</v>
      </c>
      <c r="D704" s="28">
        <v>106703.6476715844</v>
      </c>
      <c r="E704" s="28">
        <v>66.612822595140472</v>
      </c>
      <c r="F704" s="28">
        <v>0</v>
      </c>
      <c r="G704" s="28">
        <v>0</v>
      </c>
      <c r="H704" s="28">
        <v>0</v>
      </c>
      <c r="I704" s="28">
        <v>0</v>
      </c>
      <c r="J704" s="28">
        <v>0</v>
      </c>
      <c r="K704" s="28">
        <v>0</v>
      </c>
      <c r="L704" s="28">
        <v>14316.066627138656</v>
      </c>
      <c r="M704" s="28">
        <v>123989.56250886053</v>
      </c>
      <c r="N704" s="28">
        <v>245075.88963017875</v>
      </c>
      <c r="O704" s="81"/>
    </row>
    <row r="705" spans="1:15" x14ac:dyDescent="0.2">
      <c r="A705" s="27" t="s">
        <v>118</v>
      </c>
      <c r="B705" s="2" t="s">
        <v>46</v>
      </c>
      <c r="C705" s="28">
        <v>21346.934997962187</v>
      </c>
      <c r="D705" s="28">
        <v>12348.918972259295</v>
      </c>
      <c r="E705" s="28">
        <v>9961.9029990490217</v>
      </c>
      <c r="F705" s="28">
        <v>0</v>
      </c>
      <c r="G705" s="28">
        <v>3019.5255969566583</v>
      </c>
      <c r="H705" s="28">
        <v>0</v>
      </c>
      <c r="I705" s="28">
        <v>22384.160470076142</v>
      </c>
      <c r="J705" s="28">
        <v>0</v>
      </c>
      <c r="K705" s="28">
        <v>0</v>
      </c>
      <c r="L705" s="28">
        <v>15476.527873522591</v>
      </c>
      <c r="M705" s="28">
        <v>131090.22078355215</v>
      </c>
      <c r="N705" s="28">
        <v>215628.19169337803</v>
      </c>
      <c r="O705" s="81"/>
    </row>
    <row r="706" spans="1:15" x14ac:dyDescent="0.2">
      <c r="A706" s="27" t="s">
        <v>124</v>
      </c>
      <c r="B706" s="2" t="s">
        <v>52</v>
      </c>
      <c r="C706" s="28">
        <v>0</v>
      </c>
      <c r="D706" s="28">
        <v>0</v>
      </c>
      <c r="E706" s="28">
        <v>778.74377568580587</v>
      </c>
      <c r="F706" s="28">
        <v>0</v>
      </c>
      <c r="G706" s="28">
        <v>0</v>
      </c>
      <c r="H706" s="28">
        <v>0</v>
      </c>
      <c r="I706" s="28">
        <v>267.51439123186884</v>
      </c>
      <c r="J706" s="28">
        <v>0</v>
      </c>
      <c r="K706" s="28">
        <v>493.20439126767707</v>
      </c>
      <c r="L706" s="28">
        <v>0</v>
      </c>
      <c r="M706" s="28">
        <v>2289990.0810140758</v>
      </c>
      <c r="N706" s="28">
        <v>2291529.543572261</v>
      </c>
      <c r="O706" s="81"/>
    </row>
    <row r="707" spans="1:15" x14ac:dyDescent="0.2">
      <c r="A707" s="27" t="s">
        <v>123</v>
      </c>
      <c r="B707" s="2" t="s">
        <v>51</v>
      </c>
      <c r="C707" s="28">
        <v>1664.4584837513321</v>
      </c>
      <c r="D707" s="28">
        <v>0</v>
      </c>
      <c r="E707" s="28">
        <v>0</v>
      </c>
      <c r="F707" s="28">
        <v>0</v>
      </c>
      <c r="G707" s="28">
        <v>0</v>
      </c>
      <c r="H707" s="28">
        <v>0</v>
      </c>
      <c r="I707" s="28">
        <v>37042.06379182508</v>
      </c>
      <c r="J707" s="28">
        <v>42.500276512588073</v>
      </c>
      <c r="K707" s="28">
        <v>142.78685071850254</v>
      </c>
      <c r="L707" s="28">
        <v>0</v>
      </c>
      <c r="M707" s="28">
        <v>1721.6489930357034</v>
      </c>
      <c r="N707" s="28">
        <v>40613.458395843212</v>
      </c>
      <c r="O707" s="81"/>
    </row>
    <row r="708" spans="1:15" x14ac:dyDescent="0.2">
      <c r="A708" s="27" t="s">
        <v>126</v>
      </c>
      <c r="B708" s="2" t="s">
        <v>54</v>
      </c>
      <c r="C708" s="28">
        <v>0</v>
      </c>
      <c r="D708" s="28">
        <v>0</v>
      </c>
      <c r="E708" s="28">
        <v>0</v>
      </c>
      <c r="F708" s="28">
        <v>0</v>
      </c>
      <c r="G708" s="28">
        <v>0</v>
      </c>
      <c r="H708" s="28">
        <v>0</v>
      </c>
      <c r="I708" s="28">
        <v>29.349951137631464</v>
      </c>
      <c r="J708" s="28">
        <v>0</v>
      </c>
      <c r="K708" s="28">
        <v>0</v>
      </c>
      <c r="L708" s="28">
        <v>0</v>
      </c>
      <c r="M708" s="28">
        <v>167.71400650075125</v>
      </c>
      <c r="N708" s="28">
        <v>197.0639576383827</v>
      </c>
      <c r="O708" s="81"/>
    </row>
    <row r="709" spans="1:15" x14ac:dyDescent="0.2">
      <c r="A709" s="27" t="s">
        <v>129</v>
      </c>
      <c r="B709" s="2" t="s">
        <v>57</v>
      </c>
      <c r="C709" s="28">
        <v>4941.764459429799</v>
      </c>
      <c r="D709" s="28">
        <v>2128.4583284634123</v>
      </c>
      <c r="E709" s="28">
        <v>293.90536634482038</v>
      </c>
      <c r="F709" s="28">
        <v>0</v>
      </c>
      <c r="G709" s="28">
        <v>242.18158597513019</v>
      </c>
      <c r="H709" s="28">
        <v>0</v>
      </c>
      <c r="I709" s="28">
        <v>347.93045018256402</v>
      </c>
      <c r="J709" s="28">
        <v>347.93045018256402</v>
      </c>
      <c r="K709" s="28">
        <v>3263.8592202308328</v>
      </c>
      <c r="L709" s="28">
        <v>1175.6684958245528</v>
      </c>
      <c r="M709" s="28">
        <v>36340.586594878296</v>
      </c>
      <c r="N709" s="28">
        <v>49082.284951511974</v>
      </c>
      <c r="O709" s="81"/>
    </row>
    <row r="710" spans="1:15" x14ac:dyDescent="0.2">
      <c r="A710" s="27" t="s">
        <v>128</v>
      </c>
      <c r="B710" s="2" t="s">
        <v>56</v>
      </c>
      <c r="C710" s="28">
        <v>0</v>
      </c>
      <c r="D710" s="28">
        <v>54898.092519959318</v>
      </c>
      <c r="E710" s="28">
        <v>0</v>
      </c>
      <c r="F710" s="28">
        <v>0</v>
      </c>
      <c r="G710" s="28">
        <v>113714.76197082727</v>
      </c>
      <c r="H710" s="28">
        <v>0</v>
      </c>
      <c r="I710" s="28">
        <v>696663.56329850026</v>
      </c>
      <c r="J710" s="28">
        <v>0</v>
      </c>
      <c r="K710" s="28">
        <v>73158.454948998085</v>
      </c>
      <c r="L710" s="28">
        <v>0</v>
      </c>
      <c r="M710" s="28">
        <v>2963067.1693431474</v>
      </c>
      <c r="N710" s="28">
        <v>3901502.0420814324</v>
      </c>
      <c r="O710" s="81"/>
    </row>
    <row r="711" spans="1:15" x14ac:dyDescent="0.2">
      <c r="A711" s="27" t="s">
        <v>127</v>
      </c>
      <c r="B711" s="2" t="s">
        <v>55</v>
      </c>
      <c r="C711" s="28">
        <v>0</v>
      </c>
      <c r="D711" s="28">
        <v>0</v>
      </c>
      <c r="E711" s="28">
        <v>0</v>
      </c>
      <c r="F711" s="28">
        <v>0</v>
      </c>
      <c r="G711" s="28">
        <v>0</v>
      </c>
      <c r="H711" s="28">
        <v>0</v>
      </c>
      <c r="I711" s="28">
        <v>0</v>
      </c>
      <c r="J711" s="28">
        <v>485036.99015010387</v>
      </c>
      <c r="K711" s="28">
        <v>0</v>
      </c>
      <c r="L711" s="28">
        <v>0</v>
      </c>
      <c r="M711" s="28">
        <v>2302.0805291140746</v>
      </c>
      <c r="N711" s="28">
        <v>487339.07067921793</v>
      </c>
      <c r="O711" s="81"/>
    </row>
    <row r="712" spans="1:15" x14ac:dyDescent="0.2">
      <c r="A712" s="27" t="s">
        <v>125</v>
      </c>
      <c r="B712" s="2" t="s">
        <v>53</v>
      </c>
      <c r="C712" s="28">
        <v>237.77405620135076</v>
      </c>
      <c r="D712" s="28">
        <v>0</v>
      </c>
      <c r="E712" s="28">
        <v>0</v>
      </c>
      <c r="F712" s="28">
        <v>0</v>
      </c>
      <c r="G712" s="28">
        <v>0</v>
      </c>
      <c r="H712" s="28">
        <v>0</v>
      </c>
      <c r="I712" s="28">
        <v>0</v>
      </c>
      <c r="J712" s="28">
        <v>0</v>
      </c>
      <c r="K712" s="28">
        <v>4931.0607664219024</v>
      </c>
      <c r="L712" s="28">
        <v>0</v>
      </c>
      <c r="M712" s="28">
        <v>52.095452471254831</v>
      </c>
      <c r="N712" s="28">
        <v>5220.930275094508</v>
      </c>
      <c r="O712" s="81"/>
    </row>
    <row r="713" spans="1:15" x14ac:dyDescent="0.2">
      <c r="A713" s="27" t="s">
        <v>130</v>
      </c>
      <c r="B713" s="2" t="s">
        <v>58</v>
      </c>
      <c r="C713" s="28">
        <v>0</v>
      </c>
      <c r="D713" s="28">
        <v>0</v>
      </c>
      <c r="E713" s="28">
        <v>0</v>
      </c>
      <c r="F713" s="28">
        <v>0</v>
      </c>
      <c r="G713" s="28">
        <v>0</v>
      </c>
      <c r="H713" s="28">
        <v>0</v>
      </c>
      <c r="I713" s="28">
        <v>717.19599923142039</v>
      </c>
      <c r="J713" s="28">
        <v>0</v>
      </c>
      <c r="K713" s="28">
        <v>907.29614360601374</v>
      </c>
      <c r="L713" s="28">
        <v>85360601.166885331</v>
      </c>
      <c r="M713" s="28">
        <v>243543.74952525063</v>
      </c>
      <c r="N713" s="28">
        <v>85605769.408553421</v>
      </c>
      <c r="O713" s="81"/>
    </row>
    <row r="714" spans="1:15" x14ac:dyDescent="0.2">
      <c r="A714" s="27" t="s">
        <v>122</v>
      </c>
      <c r="B714" s="2" t="s">
        <v>50</v>
      </c>
      <c r="C714" s="28">
        <v>0</v>
      </c>
      <c r="D714" s="28">
        <v>0</v>
      </c>
      <c r="E714" s="28">
        <v>0</v>
      </c>
      <c r="F714" s="28">
        <v>0</v>
      </c>
      <c r="G714" s="28">
        <v>0</v>
      </c>
      <c r="H714" s="28">
        <v>0</v>
      </c>
      <c r="I714" s="28">
        <v>4611.5302213141404</v>
      </c>
      <c r="J714" s="28">
        <v>0</v>
      </c>
      <c r="K714" s="28">
        <v>0</v>
      </c>
      <c r="L714" s="28">
        <v>0</v>
      </c>
      <c r="M714" s="28">
        <v>1794.0341241970596</v>
      </c>
      <c r="N714" s="28">
        <v>6405.5643455112004</v>
      </c>
      <c r="O714" s="81"/>
    </row>
    <row r="715" spans="1:15" x14ac:dyDescent="0.2">
      <c r="A715" s="4"/>
      <c r="B715" s="4" t="s">
        <v>59</v>
      </c>
      <c r="C715" s="28">
        <v>41158.595568807905</v>
      </c>
      <c r="D715" s="28">
        <v>484834.28348418156</v>
      </c>
      <c r="E715" s="28">
        <v>45733.484089897254</v>
      </c>
      <c r="F715" s="28">
        <v>814772.87380106107</v>
      </c>
      <c r="G715" s="28">
        <v>117127.46850533261</v>
      </c>
      <c r="H715" s="28">
        <v>0</v>
      </c>
      <c r="I715" s="28">
        <v>2208334.0970193399</v>
      </c>
      <c r="J715" s="28">
        <v>488916.77151917637</v>
      </c>
      <c r="K715" s="28">
        <v>591595.84423664981</v>
      </c>
      <c r="L715" s="28">
        <v>89443591.75222297</v>
      </c>
      <c r="M715" s="28">
        <v>15588565.220016018</v>
      </c>
      <c r="N715" s="28">
        <v>109824630.39046344</v>
      </c>
      <c r="O715" s="81"/>
    </row>
    <row r="718" spans="1:15" x14ac:dyDescent="0.2">
      <c r="A718" s="99" t="s">
        <v>352</v>
      </c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57"/>
    </row>
    <row r="719" spans="1:15" x14ac:dyDescent="0.2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57"/>
    </row>
    <row r="720" spans="1:15" x14ac:dyDescent="0.2">
      <c r="A720" s="100" t="s">
        <v>0</v>
      </c>
      <c r="B720" s="100" t="s">
        <v>1</v>
      </c>
      <c r="C720" s="100" t="s">
        <v>139</v>
      </c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 t="s">
        <v>66</v>
      </c>
      <c r="O720" s="80"/>
    </row>
    <row r="721" spans="1:15" x14ac:dyDescent="0.2">
      <c r="A721" s="100"/>
      <c r="B721" s="100"/>
      <c r="C721" s="26" t="s">
        <v>71</v>
      </c>
      <c r="D721" s="26" t="s">
        <v>64</v>
      </c>
      <c r="E721" s="26" t="s">
        <v>72</v>
      </c>
      <c r="F721" s="26" t="s">
        <v>73</v>
      </c>
      <c r="G721" s="26" t="s">
        <v>74</v>
      </c>
      <c r="H721" s="26" t="s">
        <v>75</v>
      </c>
      <c r="I721" s="26" t="s">
        <v>63</v>
      </c>
      <c r="J721" s="26" t="s">
        <v>62</v>
      </c>
      <c r="K721" s="26" t="s">
        <v>76</v>
      </c>
      <c r="L721" s="26" t="s">
        <v>77</v>
      </c>
      <c r="M721" s="26" t="s">
        <v>78</v>
      </c>
      <c r="N721" s="100"/>
      <c r="O721" s="80"/>
    </row>
    <row r="722" spans="1:15" x14ac:dyDescent="0.2">
      <c r="A722" s="27" t="s">
        <v>110</v>
      </c>
      <c r="B722" s="2" t="s">
        <v>38</v>
      </c>
      <c r="C722" s="28">
        <v>0</v>
      </c>
      <c r="D722" s="28">
        <v>0</v>
      </c>
      <c r="E722" s="28">
        <v>0</v>
      </c>
      <c r="F722" s="28">
        <v>0</v>
      </c>
      <c r="G722" s="28">
        <v>0</v>
      </c>
      <c r="H722" s="28">
        <v>0</v>
      </c>
      <c r="I722" s="28">
        <v>0</v>
      </c>
      <c r="J722" s="28">
        <v>0</v>
      </c>
      <c r="K722" s="28">
        <v>0</v>
      </c>
      <c r="L722" s="28">
        <v>0</v>
      </c>
      <c r="M722" s="28">
        <v>3235.7231494355647</v>
      </c>
      <c r="N722" s="28">
        <v>3235.7231494355647</v>
      </c>
      <c r="O722" s="81"/>
    </row>
    <row r="723" spans="1:15" x14ac:dyDescent="0.2">
      <c r="A723" s="27" t="s">
        <v>113</v>
      </c>
      <c r="B723" s="2" t="s">
        <v>41</v>
      </c>
      <c r="C723" s="28">
        <v>144782.76022494733</v>
      </c>
      <c r="D723" s="28">
        <v>145544.77475244695</v>
      </c>
      <c r="E723" s="28">
        <v>0</v>
      </c>
      <c r="F723" s="28">
        <v>106682.03384996115</v>
      </c>
      <c r="G723" s="28">
        <v>0</v>
      </c>
      <c r="H723" s="28">
        <v>0</v>
      </c>
      <c r="I723" s="28">
        <v>103633.97573996225</v>
      </c>
      <c r="J723" s="28">
        <v>19812.377714992792</v>
      </c>
      <c r="K723" s="28">
        <v>47625.907968732645</v>
      </c>
      <c r="L723" s="28">
        <v>0</v>
      </c>
      <c r="M723" s="28">
        <v>433586.26614734204</v>
      </c>
      <c r="N723" s="28">
        <v>1001668.0963983851</v>
      </c>
      <c r="O723" s="81"/>
    </row>
    <row r="724" spans="1:15" x14ac:dyDescent="0.2">
      <c r="A724" s="27" t="s">
        <v>119</v>
      </c>
      <c r="B724" s="2" t="s">
        <v>47</v>
      </c>
      <c r="C724" s="28">
        <v>56967.349020176123</v>
      </c>
      <c r="D724" s="28">
        <v>194358.54374922151</v>
      </c>
      <c r="E724" s="28">
        <v>214915.69741500457</v>
      </c>
      <c r="F724" s="28">
        <v>160655.50182622281</v>
      </c>
      <c r="G724" s="28">
        <v>16819.489362913399</v>
      </c>
      <c r="H724" s="28">
        <v>74753.286057392907</v>
      </c>
      <c r="I724" s="28">
        <v>0</v>
      </c>
      <c r="J724" s="28">
        <v>0</v>
      </c>
      <c r="K724" s="28">
        <v>20192.295642900644</v>
      </c>
      <c r="L724" s="28">
        <v>0</v>
      </c>
      <c r="M724" s="28">
        <v>427296.90982998139</v>
      </c>
      <c r="N724" s="28">
        <v>1165959.0729038133</v>
      </c>
      <c r="O724" s="81"/>
    </row>
    <row r="725" spans="1:15" x14ac:dyDescent="0.2">
      <c r="A725" s="27" t="s">
        <v>121</v>
      </c>
      <c r="B725" s="2" t="s">
        <v>49</v>
      </c>
      <c r="C725" s="28">
        <v>169.37829511980198</v>
      </c>
      <c r="D725" s="28">
        <v>354.15461706867688</v>
      </c>
      <c r="E725" s="28">
        <v>415.74672438496845</v>
      </c>
      <c r="F725" s="28">
        <v>0</v>
      </c>
      <c r="G725" s="28">
        <v>0</v>
      </c>
      <c r="H725" s="28">
        <v>0</v>
      </c>
      <c r="I725" s="28">
        <v>0</v>
      </c>
      <c r="J725" s="28">
        <v>307.9605365814582</v>
      </c>
      <c r="K725" s="28">
        <v>0</v>
      </c>
      <c r="L725" s="28">
        <v>0</v>
      </c>
      <c r="M725" s="28">
        <v>128283.80687813977</v>
      </c>
      <c r="N725" s="28">
        <v>129531.04705129468</v>
      </c>
      <c r="O725" s="81"/>
    </row>
    <row r="726" spans="1:15" x14ac:dyDescent="0.2">
      <c r="A726" s="27" t="s">
        <v>95</v>
      </c>
      <c r="B726" s="2" t="s">
        <v>23</v>
      </c>
      <c r="C726" s="28">
        <v>0</v>
      </c>
      <c r="D726" s="28">
        <v>31075.54558856567</v>
      </c>
      <c r="E726" s="28">
        <v>0</v>
      </c>
      <c r="F726" s="28">
        <v>164666.78504056312</v>
      </c>
      <c r="G726" s="28">
        <v>0</v>
      </c>
      <c r="H726" s="28">
        <v>5405.7859282425525</v>
      </c>
      <c r="I726" s="28">
        <v>0</v>
      </c>
      <c r="J726" s="28">
        <v>1077.7645868866707</v>
      </c>
      <c r="K726" s="28">
        <v>0</v>
      </c>
      <c r="L726" s="28">
        <v>0</v>
      </c>
      <c r="M726" s="28">
        <v>2643157.6569350087</v>
      </c>
      <c r="N726" s="28">
        <v>2845383.5380792669</v>
      </c>
      <c r="O726" s="81"/>
    </row>
    <row r="727" spans="1:15" x14ac:dyDescent="0.2">
      <c r="A727" s="27" t="s">
        <v>101</v>
      </c>
      <c r="B727" s="2" t="s">
        <v>29</v>
      </c>
      <c r="C727" s="28">
        <v>0</v>
      </c>
      <c r="D727" s="28">
        <v>0</v>
      </c>
      <c r="E727" s="28">
        <v>0</v>
      </c>
      <c r="F727" s="28">
        <v>0</v>
      </c>
      <c r="G727" s="28">
        <v>0</v>
      </c>
      <c r="H727" s="28">
        <v>0</v>
      </c>
      <c r="I727" s="28">
        <v>0</v>
      </c>
      <c r="J727" s="28">
        <v>0</v>
      </c>
      <c r="K727" s="28">
        <v>0</v>
      </c>
      <c r="L727" s="28">
        <v>0</v>
      </c>
      <c r="M727" s="28">
        <v>107072.55949907098</v>
      </c>
      <c r="N727" s="28">
        <v>107072.55949907098</v>
      </c>
      <c r="O727" s="81"/>
    </row>
    <row r="728" spans="1:15" x14ac:dyDescent="0.2">
      <c r="A728" s="27" t="s">
        <v>106</v>
      </c>
      <c r="B728" s="2" t="s">
        <v>34</v>
      </c>
      <c r="C728" s="28">
        <v>3547.5372371439926</v>
      </c>
      <c r="D728" s="28">
        <v>161.25169259745411</v>
      </c>
      <c r="E728" s="28">
        <v>0</v>
      </c>
      <c r="F728" s="28">
        <v>64.500677038981678</v>
      </c>
      <c r="G728" s="28">
        <v>0</v>
      </c>
      <c r="H728" s="28">
        <v>0</v>
      </c>
      <c r="I728" s="28">
        <v>0</v>
      </c>
      <c r="J728" s="28">
        <v>0</v>
      </c>
      <c r="K728" s="28">
        <v>0</v>
      </c>
      <c r="L728" s="28">
        <v>3870040.6223389003</v>
      </c>
      <c r="M728" s="28">
        <v>6235.0654471015614</v>
      </c>
      <c r="N728" s="28">
        <v>3880048.977392782</v>
      </c>
      <c r="O728" s="81"/>
    </row>
    <row r="729" spans="1:15" x14ac:dyDescent="0.2">
      <c r="A729" s="27" t="s">
        <v>103</v>
      </c>
      <c r="B729" s="2" t="s">
        <v>31</v>
      </c>
      <c r="C729" s="28">
        <v>0</v>
      </c>
      <c r="D729" s="28">
        <v>26592.467476315629</v>
      </c>
      <c r="E729" s="28">
        <v>1022.7872106275244</v>
      </c>
      <c r="F729" s="28">
        <v>0</v>
      </c>
      <c r="G729" s="28">
        <v>0</v>
      </c>
      <c r="H729" s="28">
        <v>0</v>
      </c>
      <c r="I729" s="28">
        <v>153.41808159412867</v>
      </c>
      <c r="J729" s="28">
        <v>0</v>
      </c>
      <c r="K729" s="28">
        <v>127.84840132844054</v>
      </c>
      <c r="L729" s="28">
        <v>0</v>
      </c>
      <c r="M729" s="28">
        <v>162820.18703453807</v>
      </c>
      <c r="N729" s="28">
        <v>190716.70820440381</v>
      </c>
      <c r="O729" s="81"/>
    </row>
    <row r="730" spans="1:15" x14ac:dyDescent="0.2">
      <c r="A730" s="27" t="s">
        <v>99</v>
      </c>
      <c r="B730" s="2" t="s">
        <v>27</v>
      </c>
      <c r="C730" s="28">
        <v>0</v>
      </c>
      <c r="D730" s="28">
        <v>507260.11833163619</v>
      </c>
      <c r="E730" s="28">
        <v>0</v>
      </c>
      <c r="F730" s="28">
        <v>472570.0715296017</v>
      </c>
      <c r="G730" s="28">
        <v>98179.377741607008</v>
      </c>
      <c r="H730" s="28">
        <v>6156086.4268050855</v>
      </c>
      <c r="I730" s="28">
        <v>0</v>
      </c>
      <c r="J730" s="28">
        <v>0</v>
      </c>
      <c r="K730" s="28">
        <v>0</v>
      </c>
      <c r="L730" s="28">
        <v>0</v>
      </c>
      <c r="M730" s="28">
        <v>136222.57619906327</v>
      </c>
      <c r="N730" s="28">
        <v>7370318.5706069935</v>
      </c>
      <c r="O730" s="81"/>
    </row>
    <row r="731" spans="1:15" x14ac:dyDescent="0.2">
      <c r="A731" s="27" t="s">
        <v>94</v>
      </c>
      <c r="B731" s="2" t="s">
        <v>22</v>
      </c>
      <c r="C731" s="28">
        <v>2538784.1955195908</v>
      </c>
      <c r="D731" s="28">
        <v>63.469604887989753</v>
      </c>
      <c r="E731" s="28">
        <v>1269392.0977597954</v>
      </c>
      <c r="F731" s="28">
        <v>20310273.564156726</v>
      </c>
      <c r="G731" s="28">
        <v>0</v>
      </c>
      <c r="H731" s="28">
        <v>1269455.5673646831</v>
      </c>
      <c r="I731" s="28">
        <v>158.6740122199744</v>
      </c>
      <c r="J731" s="28">
        <v>0</v>
      </c>
      <c r="K731" s="28">
        <v>0</v>
      </c>
      <c r="L731" s="28">
        <v>0</v>
      </c>
      <c r="M731" s="28">
        <v>6042.3063853366239</v>
      </c>
      <c r="N731" s="28">
        <v>25394169.874803241</v>
      </c>
      <c r="O731" s="81"/>
    </row>
    <row r="732" spans="1:15" x14ac:dyDescent="0.2">
      <c r="A732" s="27" t="s">
        <v>97</v>
      </c>
      <c r="B732" s="2" t="s">
        <v>25</v>
      </c>
      <c r="C732" s="28">
        <v>0</v>
      </c>
      <c r="D732" s="28">
        <v>2554.3626026892607</v>
      </c>
      <c r="E732" s="28">
        <v>20752.481573199377</v>
      </c>
      <c r="F732" s="28">
        <v>4402.0415458301723</v>
      </c>
      <c r="G732" s="28">
        <v>0</v>
      </c>
      <c r="H732" s="28">
        <v>0</v>
      </c>
      <c r="I732" s="28">
        <v>0</v>
      </c>
      <c r="J732" s="28">
        <v>0</v>
      </c>
      <c r="K732" s="28">
        <v>0</v>
      </c>
      <c r="L732" s="28">
        <v>0</v>
      </c>
      <c r="M732" s="28">
        <v>9013.2842226259327</v>
      </c>
      <c r="N732" s="28">
        <v>36722.169944344743</v>
      </c>
      <c r="O732" s="81"/>
    </row>
    <row r="733" spans="1:15" x14ac:dyDescent="0.2">
      <c r="A733" s="27" t="s">
        <v>117</v>
      </c>
      <c r="B733" s="2" t="s">
        <v>45</v>
      </c>
      <c r="C733" s="28">
        <v>0</v>
      </c>
      <c r="D733" s="28">
        <v>8994.0233334913937</v>
      </c>
      <c r="E733" s="28">
        <v>33727.58750059273</v>
      </c>
      <c r="F733" s="28">
        <v>354.64996217725394</v>
      </c>
      <c r="G733" s="28">
        <v>0</v>
      </c>
      <c r="H733" s="28">
        <v>0</v>
      </c>
      <c r="I733" s="28">
        <v>0</v>
      </c>
      <c r="J733" s="28">
        <v>0</v>
      </c>
      <c r="K733" s="28">
        <v>40382054.589391045</v>
      </c>
      <c r="L733" s="28">
        <v>0</v>
      </c>
      <c r="M733" s="28">
        <v>10854.438236334136</v>
      </c>
      <c r="N733" s="28">
        <v>40435985.288423643</v>
      </c>
      <c r="O733" s="81"/>
    </row>
    <row r="734" spans="1:15" x14ac:dyDescent="0.2">
      <c r="A734" s="27" t="s">
        <v>114</v>
      </c>
      <c r="B734" s="2" t="s">
        <v>42</v>
      </c>
      <c r="C734" s="28">
        <v>0</v>
      </c>
      <c r="D734" s="28">
        <v>2241.6823346319434</v>
      </c>
      <c r="E734" s="28">
        <v>0</v>
      </c>
      <c r="F734" s="28">
        <v>0</v>
      </c>
      <c r="G734" s="28">
        <v>0</v>
      </c>
      <c r="H734" s="28">
        <v>0</v>
      </c>
      <c r="I734" s="28">
        <v>0</v>
      </c>
      <c r="J734" s="28">
        <v>0</v>
      </c>
      <c r="K734" s="28">
        <v>0</v>
      </c>
      <c r="L734" s="28">
        <v>0</v>
      </c>
      <c r="M734" s="28">
        <v>3860.4621865618906</v>
      </c>
      <c r="N734" s="28">
        <v>6102.1445211938335</v>
      </c>
      <c r="O734" s="81"/>
    </row>
    <row r="735" spans="1:15" x14ac:dyDescent="0.2">
      <c r="A735" s="27" t="s">
        <v>112</v>
      </c>
      <c r="B735" s="2" t="s">
        <v>40</v>
      </c>
      <c r="C735" s="28">
        <v>0</v>
      </c>
      <c r="D735" s="28">
        <v>0</v>
      </c>
      <c r="E735" s="28">
        <v>0</v>
      </c>
      <c r="F735" s="28">
        <v>0</v>
      </c>
      <c r="G735" s="28">
        <v>115.37564883381665</v>
      </c>
      <c r="H735" s="28">
        <v>0</v>
      </c>
      <c r="I735" s="28">
        <v>2251699.5571513432</v>
      </c>
      <c r="J735" s="28">
        <v>0</v>
      </c>
      <c r="K735" s="28">
        <v>272433.67320670927</v>
      </c>
      <c r="L735" s="28">
        <v>0</v>
      </c>
      <c r="M735" s="28">
        <v>546809.50316878792</v>
      </c>
      <c r="N735" s="28">
        <v>3071058.1091756742</v>
      </c>
      <c r="O735" s="81"/>
    </row>
    <row r="736" spans="1:15" x14ac:dyDescent="0.2">
      <c r="A736" s="27" t="s">
        <v>116</v>
      </c>
      <c r="B736" s="2" t="s">
        <v>44</v>
      </c>
      <c r="C736" s="28">
        <v>0</v>
      </c>
      <c r="D736" s="28">
        <v>3408342.6158261057</v>
      </c>
      <c r="E736" s="28">
        <v>7616408.0800583381</v>
      </c>
      <c r="F736" s="28">
        <v>7273669.7164557111</v>
      </c>
      <c r="G736" s="28">
        <v>0</v>
      </c>
      <c r="H736" s="28">
        <v>0</v>
      </c>
      <c r="I736" s="28">
        <v>12808.74852048964</v>
      </c>
      <c r="J736" s="28">
        <v>12376.663130094803</v>
      </c>
      <c r="K736" s="28">
        <v>959191.39258234692</v>
      </c>
      <c r="L736" s="28">
        <v>39719568.13750422</v>
      </c>
      <c r="M736" s="28">
        <v>3315041.6168453912</v>
      </c>
      <c r="N736" s="28">
        <v>62317406.970922701</v>
      </c>
      <c r="O736" s="81"/>
    </row>
    <row r="737" spans="1:15" x14ac:dyDescent="0.2">
      <c r="A737" s="27" t="s">
        <v>107</v>
      </c>
      <c r="B737" s="2" t="s">
        <v>35</v>
      </c>
      <c r="C737" s="28">
        <v>0</v>
      </c>
      <c r="D737" s="28">
        <v>0</v>
      </c>
      <c r="E737" s="28">
        <v>0</v>
      </c>
      <c r="F737" s="28">
        <v>0</v>
      </c>
      <c r="G737" s="28">
        <v>0</v>
      </c>
      <c r="H737" s="28">
        <v>0</v>
      </c>
      <c r="I737" s="28">
        <v>366114.54557104991</v>
      </c>
      <c r="J737" s="28">
        <v>21091.457547084781</v>
      </c>
      <c r="K737" s="28">
        <v>31637.186320627166</v>
      </c>
      <c r="L737" s="28">
        <v>0</v>
      </c>
      <c r="M737" s="28">
        <v>1851664.1854023342</v>
      </c>
      <c r="N737" s="28">
        <v>2270507.3748410959</v>
      </c>
      <c r="O737" s="81"/>
    </row>
    <row r="738" spans="1:15" x14ac:dyDescent="0.2">
      <c r="A738" s="27" t="s">
        <v>100</v>
      </c>
      <c r="B738" s="2" t="s">
        <v>28</v>
      </c>
      <c r="C738" s="28">
        <v>0</v>
      </c>
      <c r="D738" s="28">
        <v>282.94361953285403</v>
      </c>
      <c r="E738" s="28">
        <v>0</v>
      </c>
      <c r="F738" s="28">
        <v>0</v>
      </c>
      <c r="G738" s="28">
        <v>0</v>
      </c>
      <c r="H738" s="28">
        <v>0</v>
      </c>
      <c r="I738" s="28">
        <v>0</v>
      </c>
      <c r="J738" s="28">
        <v>0</v>
      </c>
      <c r="K738" s="28">
        <v>0</v>
      </c>
      <c r="L738" s="28">
        <v>0</v>
      </c>
      <c r="M738" s="28">
        <v>112527.17464059993</v>
      </c>
      <c r="N738" s="28">
        <v>112810.11826013279</v>
      </c>
      <c r="O738" s="81"/>
    </row>
    <row r="739" spans="1:15" x14ac:dyDescent="0.2">
      <c r="A739" s="27" t="s">
        <v>108</v>
      </c>
      <c r="B739" s="2" t="s">
        <v>36</v>
      </c>
      <c r="C739" s="28">
        <v>0</v>
      </c>
      <c r="D739" s="28">
        <v>0</v>
      </c>
      <c r="E739" s="28">
        <v>0</v>
      </c>
      <c r="F739" s="28">
        <v>0</v>
      </c>
      <c r="G739" s="28">
        <v>0</v>
      </c>
      <c r="H739" s="28">
        <v>0</v>
      </c>
      <c r="I739" s="28">
        <v>162.60289412389582</v>
      </c>
      <c r="J739" s="28">
        <v>0</v>
      </c>
      <c r="K739" s="28">
        <v>0</v>
      </c>
      <c r="L739" s="28">
        <v>0</v>
      </c>
      <c r="M739" s="28">
        <v>12410.914775987152</v>
      </c>
      <c r="N739" s="28">
        <v>12573.517670111049</v>
      </c>
      <c r="O739" s="81"/>
    </row>
    <row r="740" spans="1:15" x14ac:dyDescent="0.2">
      <c r="A740" s="27" t="s">
        <v>104</v>
      </c>
      <c r="B740" s="2" t="s">
        <v>32</v>
      </c>
      <c r="C740" s="28">
        <v>0</v>
      </c>
      <c r="D740" s="28">
        <v>247045.61512037454</v>
      </c>
      <c r="E740" s="28">
        <v>0</v>
      </c>
      <c r="F740" s="28">
        <v>0</v>
      </c>
      <c r="G740" s="28">
        <v>0</v>
      </c>
      <c r="H740" s="28">
        <v>0</v>
      </c>
      <c r="I740" s="28">
        <v>2321.9222127447138</v>
      </c>
      <c r="J740" s="28">
        <v>40467.787136407882</v>
      </c>
      <c r="K740" s="28">
        <v>22369.617263681557</v>
      </c>
      <c r="L740" s="28">
        <v>0</v>
      </c>
      <c r="M740" s="28">
        <v>823676.18779562414</v>
      </c>
      <c r="N740" s="28">
        <v>1135881.1295288329</v>
      </c>
      <c r="O740" s="81"/>
    </row>
    <row r="741" spans="1:15" x14ac:dyDescent="0.2">
      <c r="A741" s="27" t="s">
        <v>105</v>
      </c>
      <c r="B741" s="2" t="s">
        <v>33</v>
      </c>
      <c r="C741" s="28">
        <v>11378.508676220979</v>
      </c>
      <c r="D741" s="28">
        <v>8428.5249453488759</v>
      </c>
      <c r="E741" s="28">
        <v>5899.9674617442115</v>
      </c>
      <c r="F741" s="28">
        <v>0</v>
      </c>
      <c r="G741" s="28">
        <v>0</v>
      </c>
      <c r="H741" s="28">
        <v>0</v>
      </c>
      <c r="I741" s="28">
        <v>23494.513285159985</v>
      </c>
      <c r="J741" s="28">
        <v>16224.910519796584</v>
      </c>
      <c r="K741" s="28">
        <v>0</v>
      </c>
      <c r="L741" s="28">
        <v>0</v>
      </c>
      <c r="M741" s="28">
        <v>181002.57320136708</v>
      </c>
      <c r="N741" s="28">
        <v>246428.99808963772</v>
      </c>
      <c r="O741" s="81"/>
    </row>
    <row r="742" spans="1:15" x14ac:dyDescent="0.2">
      <c r="A742" s="27" t="s">
        <v>109</v>
      </c>
      <c r="B742" s="2" t="s">
        <v>37</v>
      </c>
      <c r="C742" s="28">
        <v>0</v>
      </c>
      <c r="D742" s="28">
        <v>1822.8113514983445</v>
      </c>
      <c r="E742" s="28">
        <v>0</v>
      </c>
      <c r="F742" s="28">
        <v>0</v>
      </c>
      <c r="G742" s="28">
        <v>0</v>
      </c>
      <c r="H742" s="28">
        <v>0</v>
      </c>
      <c r="I742" s="28">
        <v>911.40567574917225</v>
      </c>
      <c r="J742" s="28">
        <v>2369.6547569478471</v>
      </c>
      <c r="K742" s="28">
        <v>0</v>
      </c>
      <c r="L742" s="28">
        <v>0</v>
      </c>
      <c r="M742" s="28">
        <v>55600.74253516554</v>
      </c>
      <c r="N742" s="28">
        <v>60704.614319360902</v>
      </c>
      <c r="O742" s="81"/>
    </row>
    <row r="743" spans="1:15" x14ac:dyDescent="0.2">
      <c r="A743" s="27" t="s">
        <v>96</v>
      </c>
      <c r="B743" s="2" t="s">
        <v>24</v>
      </c>
      <c r="C743" s="28">
        <v>0</v>
      </c>
      <c r="D743" s="28">
        <v>0</v>
      </c>
      <c r="E743" s="28">
        <v>0</v>
      </c>
      <c r="F743" s="28">
        <v>3154.3331119088671</v>
      </c>
      <c r="G743" s="28">
        <v>0</v>
      </c>
      <c r="H743" s="28">
        <v>0</v>
      </c>
      <c r="I743" s="28">
        <v>13387.597821631545</v>
      </c>
      <c r="J743" s="28">
        <v>265.74296679911242</v>
      </c>
      <c r="K743" s="28">
        <v>56.944921456952656</v>
      </c>
      <c r="L743" s="28">
        <v>0</v>
      </c>
      <c r="M743" s="28">
        <v>1113203.4669017969</v>
      </c>
      <c r="N743" s="28">
        <v>1130068.0857235934</v>
      </c>
      <c r="O743" s="81"/>
    </row>
    <row r="744" spans="1:15" x14ac:dyDescent="0.2">
      <c r="A744" s="27" t="s">
        <v>120</v>
      </c>
      <c r="B744" s="2" t="s">
        <v>48</v>
      </c>
      <c r="C744" s="28">
        <v>0</v>
      </c>
      <c r="D744" s="28">
        <v>0</v>
      </c>
      <c r="E744" s="28">
        <v>0</v>
      </c>
      <c r="F744" s="28">
        <v>0</v>
      </c>
      <c r="G744" s="28">
        <v>0</v>
      </c>
      <c r="H744" s="28">
        <v>0</v>
      </c>
      <c r="I744" s="28">
        <v>0</v>
      </c>
      <c r="J744" s="28">
        <v>0</v>
      </c>
      <c r="K744" s="28">
        <v>31563.278594643889</v>
      </c>
      <c r="L744" s="28">
        <v>0</v>
      </c>
      <c r="M744" s="28">
        <v>2605450.6817295542</v>
      </c>
      <c r="N744" s="28">
        <v>2637013.960324198</v>
      </c>
      <c r="O744" s="81"/>
    </row>
    <row r="745" spans="1:15" x14ac:dyDescent="0.2">
      <c r="A745" s="27" t="s">
        <v>102</v>
      </c>
      <c r="B745" s="2" t="s">
        <v>30</v>
      </c>
      <c r="C745" s="28">
        <v>0</v>
      </c>
      <c r="D745" s="28">
        <v>14813879.58118201</v>
      </c>
      <c r="E745" s="28">
        <v>0</v>
      </c>
      <c r="F745" s="28">
        <v>0</v>
      </c>
      <c r="G745" s="28">
        <v>0</v>
      </c>
      <c r="H745" s="28">
        <v>0</v>
      </c>
      <c r="I745" s="28">
        <v>1757677.1481298562</v>
      </c>
      <c r="J745" s="28">
        <v>0</v>
      </c>
      <c r="K745" s="28">
        <v>49127.634711533719</v>
      </c>
      <c r="L745" s="28">
        <v>0</v>
      </c>
      <c r="M745" s="28">
        <v>6309443.9527865145</v>
      </c>
      <c r="N745" s="28">
        <v>22930128.316809915</v>
      </c>
      <c r="O745" s="81"/>
    </row>
    <row r="746" spans="1:15" x14ac:dyDescent="0.2">
      <c r="A746" s="27" t="s">
        <v>98</v>
      </c>
      <c r="B746" s="2" t="s">
        <v>26</v>
      </c>
      <c r="C746" s="28">
        <v>0</v>
      </c>
      <c r="D746" s="28">
        <v>0</v>
      </c>
      <c r="E746" s="28">
        <v>0</v>
      </c>
      <c r="F746" s="28">
        <v>0</v>
      </c>
      <c r="G746" s="28">
        <v>0</v>
      </c>
      <c r="H746" s="28">
        <v>0</v>
      </c>
      <c r="I746" s="28">
        <v>357199.45211726922</v>
      </c>
      <c r="J746" s="28">
        <v>0</v>
      </c>
      <c r="K746" s="28">
        <v>1248328.7909636777</v>
      </c>
      <c r="L746" s="28">
        <v>0</v>
      </c>
      <c r="M746" s="28">
        <v>351079.89640639257</v>
      </c>
      <c r="N746" s="28">
        <v>1956608.1394873394</v>
      </c>
      <c r="O746" s="81"/>
    </row>
    <row r="747" spans="1:15" x14ac:dyDescent="0.2">
      <c r="A747" s="27" t="s">
        <v>93</v>
      </c>
      <c r="B747" s="2" t="s">
        <v>21</v>
      </c>
      <c r="C747" s="28">
        <v>0</v>
      </c>
      <c r="D747" s="28">
        <v>0</v>
      </c>
      <c r="E747" s="28">
        <v>0</v>
      </c>
      <c r="F747" s="28">
        <v>0</v>
      </c>
      <c r="G747" s="28">
        <v>0</v>
      </c>
      <c r="H747" s="28">
        <v>0</v>
      </c>
      <c r="I747" s="28">
        <v>0</v>
      </c>
      <c r="J747" s="28">
        <v>0</v>
      </c>
      <c r="K747" s="28">
        <v>0</v>
      </c>
      <c r="L747" s="28">
        <v>0</v>
      </c>
      <c r="M747" s="28">
        <v>7232.1314662091045</v>
      </c>
      <c r="N747" s="28">
        <v>7232.1314662091045</v>
      </c>
      <c r="O747" s="81"/>
    </row>
    <row r="748" spans="1:15" x14ac:dyDescent="0.2">
      <c r="A748" s="27" t="s">
        <v>115</v>
      </c>
      <c r="B748" s="2" t="s">
        <v>43</v>
      </c>
      <c r="C748" s="28">
        <v>0</v>
      </c>
      <c r="D748" s="28">
        <v>0</v>
      </c>
      <c r="E748" s="28">
        <v>0</v>
      </c>
      <c r="F748" s="28">
        <v>0</v>
      </c>
      <c r="G748" s="28">
        <v>0</v>
      </c>
      <c r="H748" s="28">
        <v>0</v>
      </c>
      <c r="I748" s="28">
        <v>196173.34350462473</v>
      </c>
      <c r="J748" s="28">
        <v>0</v>
      </c>
      <c r="K748" s="28">
        <v>0</v>
      </c>
      <c r="L748" s="28">
        <v>0</v>
      </c>
      <c r="M748" s="28">
        <v>3191462.9017946371</v>
      </c>
      <c r="N748" s="28">
        <v>3387636.245299262</v>
      </c>
      <c r="O748" s="81"/>
    </row>
    <row r="749" spans="1:15" x14ac:dyDescent="0.2">
      <c r="A749" s="27" t="s">
        <v>111</v>
      </c>
      <c r="B749" s="2" t="s">
        <v>39</v>
      </c>
      <c r="C749" s="28">
        <v>0</v>
      </c>
      <c r="D749" s="28">
        <v>571035.84115749877</v>
      </c>
      <c r="E749" s="28">
        <v>32317.236392950053</v>
      </c>
      <c r="F749" s="28">
        <v>230085.58368058855</v>
      </c>
      <c r="G749" s="28">
        <v>23605.534676220374</v>
      </c>
      <c r="H749" s="28">
        <v>0</v>
      </c>
      <c r="I749" s="28">
        <v>0</v>
      </c>
      <c r="J749" s="28">
        <v>0</v>
      </c>
      <c r="K749" s="28">
        <v>20570.362657850372</v>
      </c>
      <c r="L749" s="28">
        <v>0</v>
      </c>
      <c r="M749" s="28">
        <v>37751.648322727291</v>
      </c>
      <c r="N749" s="28">
        <v>915366.2068878354</v>
      </c>
      <c r="O749" s="81"/>
    </row>
    <row r="750" spans="1:15" x14ac:dyDescent="0.2">
      <c r="A750" s="27" t="s">
        <v>118</v>
      </c>
      <c r="B750" s="2" t="s">
        <v>46</v>
      </c>
      <c r="C750" s="28">
        <v>0</v>
      </c>
      <c r="D750" s="28">
        <v>54.004348028744595</v>
      </c>
      <c r="E750" s="28">
        <v>0</v>
      </c>
      <c r="F750" s="28">
        <v>0</v>
      </c>
      <c r="G750" s="28">
        <v>1773.1428662663695</v>
      </c>
      <c r="H750" s="28">
        <v>0</v>
      </c>
      <c r="I750" s="28">
        <v>0</v>
      </c>
      <c r="J750" s="28">
        <v>0</v>
      </c>
      <c r="K750" s="28">
        <v>0</v>
      </c>
      <c r="L750" s="28">
        <v>0</v>
      </c>
      <c r="M750" s="28">
        <v>1329.8571496997772</v>
      </c>
      <c r="N750" s="28">
        <v>3157.0043639948913</v>
      </c>
      <c r="O750" s="81"/>
    </row>
    <row r="751" spans="1:15" x14ac:dyDescent="0.2">
      <c r="A751" s="27" t="s">
        <v>124</v>
      </c>
      <c r="B751" s="2" t="s">
        <v>52</v>
      </c>
      <c r="C751" s="28">
        <v>753.71866761294893</v>
      </c>
      <c r="D751" s="28">
        <v>1256.1977793549149</v>
      </c>
      <c r="E751" s="28">
        <v>0</v>
      </c>
      <c r="F751" s="28">
        <v>0</v>
      </c>
      <c r="G751" s="28">
        <v>0</v>
      </c>
      <c r="H751" s="28">
        <v>0</v>
      </c>
      <c r="I751" s="28">
        <v>1543.3287003503244</v>
      </c>
      <c r="J751" s="28">
        <v>13.831798927968439</v>
      </c>
      <c r="K751" s="28">
        <v>3.4579497319921098</v>
      </c>
      <c r="L751" s="28">
        <v>0</v>
      </c>
      <c r="M751" s="28">
        <v>139.00957922608285</v>
      </c>
      <c r="N751" s="28">
        <v>3709.5444752042313</v>
      </c>
      <c r="O751" s="81"/>
    </row>
    <row r="752" spans="1:15" x14ac:dyDescent="0.2">
      <c r="A752" s="27" t="s">
        <v>123</v>
      </c>
      <c r="B752" s="2" t="s">
        <v>51</v>
      </c>
      <c r="C752" s="28">
        <v>0</v>
      </c>
      <c r="D752" s="28">
        <v>0</v>
      </c>
      <c r="E752" s="28">
        <v>0</v>
      </c>
      <c r="F752" s="28">
        <v>0</v>
      </c>
      <c r="G752" s="28">
        <v>0</v>
      </c>
      <c r="H752" s="28">
        <v>0</v>
      </c>
      <c r="I752" s="28">
        <v>1140.9773515640641</v>
      </c>
      <c r="J752" s="28">
        <v>2178.2294893495778</v>
      </c>
      <c r="K752" s="28">
        <v>1867.0538480139235</v>
      </c>
      <c r="L752" s="28">
        <v>0</v>
      </c>
      <c r="M752" s="28">
        <v>5082.535475149014</v>
      </c>
      <c r="N752" s="28">
        <v>10268.796164076579</v>
      </c>
      <c r="O752" s="81"/>
    </row>
    <row r="753" spans="1:15" x14ac:dyDescent="0.2">
      <c r="A753" s="27" t="s">
        <v>126</v>
      </c>
      <c r="B753" s="2" t="s">
        <v>54</v>
      </c>
      <c r="C753" s="28">
        <v>0</v>
      </c>
      <c r="D753" s="28">
        <v>0</v>
      </c>
      <c r="E753" s="28">
        <v>0</v>
      </c>
      <c r="F753" s="28">
        <v>0</v>
      </c>
      <c r="G753" s="28">
        <v>0</v>
      </c>
      <c r="H753" s="28">
        <v>0</v>
      </c>
      <c r="I753" s="28">
        <v>0</v>
      </c>
      <c r="J753" s="28">
        <v>0</v>
      </c>
      <c r="K753" s="28">
        <v>0</v>
      </c>
      <c r="L753" s="28">
        <v>0</v>
      </c>
      <c r="M753" s="28">
        <v>0</v>
      </c>
      <c r="N753" s="28">
        <v>0</v>
      </c>
      <c r="O753" s="81"/>
    </row>
    <row r="754" spans="1:15" x14ac:dyDescent="0.2">
      <c r="A754" s="27" t="s">
        <v>129</v>
      </c>
      <c r="B754" s="2" t="s">
        <v>57</v>
      </c>
      <c r="C754" s="28">
        <v>0</v>
      </c>
      <c r="D754" s="28">
        <v>5881710.4486239217</v>
      </c>
      <c r="E754" s="28">
        <v>0</v>
      </c>
      <c r="F754" s="28">
        <v>1246.7577474595726</v>
      </c>
      <c r="G754" s="28">
        <v>0</v>
      </c>
      <c r="H754" s="28">
        <v>219583.79478772075</v>
      </c>
      <c r="I754" s="28">
        <v>0</v>
      </c>
      <c r="J754" s="28">
        <v>49.870309898382885</v>
      </c>
      <c r="K754" s="28">
        <v>0</v>
      </c>
      <c r="L754" s="28">
        <v>0</v>
      </c>
      <c r="M754" s="28">
        <v>16666902.312590959</v>
      </c>
      <c r="N754" s="28">
        <v>22769493.184059959</v>
      </c>
      <c r="O754" s="81"/>
    </row>
    <row r="755" spans="1:15" x14ac:dyDescent="0.2">
      <c r="A755" s="27" t="s">
        <v>128</v>
      </c>
      <c r="B755" s="2" t="s">
        <v>56</v>
      </c>
      <c r="C755" s="28">
        <v>0</v>
      </c>
      <c r="D755" s="28">
        <v>3.6659300701319419</v>
      </c>
      <c r="E755" s="28">
        <v>0</v>
      </c>
      <c r="F755" s="28">
        <v>0</v>
      </c>
      <c r="G755" s="28">
        <v>0</v>
      </c>
      <c r="H755" s="28">
        <v>0</v>
      </c>
      <c r="I755" s="28">
        <v>24312286.841989577</v>
      </c>
      <c r="J755" s="28">
        <v>0</v>
      </c>
      <c r="K755" s="28">
        <v>2.9327440561055531</v>
      </c>
      <c r="L755" s="28">
        <v>0</v>
      </c>
      <c r="M755" s="28">
        <v>92017.377128212407</v>
      </c>
      <c r="N755" s="28">
        <v>24404310.817791916</v>
      </c>
      <c r="O755" s="81"/>
    </row>
    <row r="756" spans="1:15" x14ac:dyDescent="0.2">
      <c r="A756" s="27" t="s">
        <v>127</v>
      </c>
      <c r="B756" s="2" t="s">
        <v>55</v>
      </c>
      <c r="C756" s="28">
        <v>0</v>
      </c>
      <c r="D756" s="28">
        <v>0</v>
      </c>
      <c r="E756" s="28">
        <v>0</v>
      </c>
      <c r="F756" s="28">
        <v>0</v>
      </c>
      <c r="G756" s="28">
        <v>0</v>
      </c>
      <c r="H756" s="28">
        <v>0</v>
      </c>
      <c r="I756" s="28">
        <v>0</v>
      </c>
      <c r="J756" s="28">
        <v>0</v>
      </c>
      <c r="K756" s="28">
        <v>0</v>
      </c>
      <c r="L756" s="28">
        <v>0</v>
      </c>
      <c r="M756" s="28">
        <v>0</v>
      </c>
      <c r="N756" s="28">
        <v>0</v>
      </c>
      <c r="O756" s="81"/>
    </row>
    <row r="757" spans="1:15" x14ac:dyDescent="0.2">
      <c r="A757" s="27" t="s">
        <v>125</v>
      </c>
      <c r="B757" s="2" t="s">
        <v>53</v>
      </c>
      <c r="C757" s="28">
        <v>43.481856085807856</v>
      </c>
      <c r="D757" s="28">
        <v>100.00826899735806</v>
      </c>
      <c r="E757" s="28">
        <v>21.740928042903928</v>
      </c>
      <c r="F757" s="28">
        <v>0</v>
      </c>
      <c r="G757" s="28">
        <v>0</v>
      </c>
      <c r="H757" s="28">
        <v>0</v>
      </c>
      <c r="I757" s="28">
        <v>5955.5486171550501</v>
      </c>
      <c r="J757" s="28">
        <v>367.21483087339595</v>
      </c>
      <c r="K757" s="28">
        <v>65.22278412871178</v>
      </c>
      <c r="L757" s="28">
        <v>0</v>
      </c>
      <c r="M757" s="28">
        <v>11535.829238006734</v>
      </c>
      <c r="N757" s="28">
        <v>18089.046523289962</v>
      </c>
      <c r="O757" s="81"/>
    </row>
    <row r="758" spans="1:15" x14ac:dyDescent="0.2">
      <c r="A758" s="27" t="s">
        <v>130</v>
      </c>
      <c r="B758" s="2" t="s">
        <v>58</v>
      </c>
      <c r="C758" s="28">
        <v>0</v>
      </c>
      <c r="D758" s="28">
        <v>43634.743181383485</v>
      </c>
      <c r="E758" s="28">
        <v>0</v>
      </c>
      <c r="F758" s="28">
        <v>0</v>
      </c>
      <c r="G758" s="28">
        <v>0</v>
      </c>
      <c r="H758" s="28">
        <v>0</v>
      </c>
      <c r="I758" s="28">
        <v>0</v>
      </c>
      <c r="J758" s="28">
        <v>0</v>
      </c>
      <c r="K758" s="28">
        <v>9017.8469241525854</v>
      </c>
      <c r="L758" s="28">
        <v>51806916.158721365</v>
      </c>
      <c r="M758" s="28">
        <v>420355.9067168613</v>
      </c>
      <c r="N758" s="28">
        <v>52279924.655543759</v>
      </c>
      <c r="O758" s="81"/>
    </row>
    <row r="759" spans="1:15" x14ac:dyDescent="0.2">
      <c r="A759" s="27" t="s">
        <v>122</v>
      </c>
      <c r="B759" s="2" t="s">
        <v>50</v>
      </c>
      <c r="C759" s="28">
        <v>0</v>
      </c>
      <c r="D759" s="28">
        <v>0</v>
      </c>
      <c r="E759" s="28">
        <v>0</v>
      </c>
      <c r="F759" s="28">
        <v>0</v>
      </c>
      <c r="G759" s="28">
        <v>0</v>
      </c>
      <c r="H759" s="28">
        <v>0</v>
      </c>
      <c r="I759" s="28">
        <v>0</v>
      </c>
      <c r="J759" s="28">
        <v>0</v>
      </c>
      <c r="K759" s="28">
        <v>0</v>
      </c>
      <c r="L759" s="28">
        <v>0</v>
      </c>
      <c r="M759" s="28">
        <v>0</v>
      </c>
      <c r="N759" s="28">
        <v>0</v>
      </c>
      <c r="O759" s="81"/>
    </row>
    <row r="760" spans="1:15" x14ac:dyDescent="0.2">
      <c r="A760" s="4"/>
      <c r="B760" s="4" t="s">
        <v>59</v>
      </c>
      <c r="C760" s="28">
        <v>2756426.9294968979</v>
      </c>
      <c r="D760" s="28">
        <v>25896797.395417679</v>
      </c>
      <c r="E760" s="28">
        <v>9194873.4230246805</v>
      </c>
      <c r="F760" s="28">
        <v>28727825.539583791</v>
      </c>
      <c r="G760" s="28">
        <v>140492.92029584097</v>
      </c>
      <c r="H760" s="28">
        <v>7725284.8609431256</v>
      </c>
      <c r="I760" s="28">
        <v>29406823.601376463</v>
      </c>
      <c r="J760" s="28">
        <v>116603.46532464126</v>
      </c>
      <c r="K760" s="28">
        <v>43096236.036876634</v>
      </c>
      <c r="L760" s="28">
        <v>95396524.918564484</v>
      </c>
      <c r="M760" s="28">
        <v>41789401.647801749</v>
      </c>
      <c r="N760" s="28">
        <v>284247290.73870593</v>
      </c>
      <c r="O760" s="81"/>
    </row>
    <row r="761" spans="1:15" x14ac:dyDescent="0.2">
      <c r="A761" s="29"/>
      <c r="B761" s="29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</row>
    <row r="763" spans="1:15" x14ac:dyDescent="0.2">
      <c r="A763" s="99" t="s">
        <v>353</v>
      </c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57"/>
    </row>
    <row r="764" spans="1:15" x14ac:dyDescent="0.2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57"/>
    </row>
    <row r="765" spans="1:15" x14ac:dyDescent="0.2">
      <c r="A765" s="100" t="s">
        <v>0</v>
      </c>
      <c r="B765" s="100" t="s">
        <v>1</v>
      </c>
      <c r="C765" s="100" t="s">
        <v>139</v>
      </c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 t="s">
        <v>66</v>
      </c>
      <c r="O765" s="80"/>
    </row>
    <row r="766" spans="1:15" x14ac:dyDescent="0.2">
      <c r="A766" s="100"/>
      <c r="B766" s="100"/>
      <c r="C766" s="26" t="s">
        <v>71</v>
      </c>
      <c r="D766" s="26" t="s">
        <v>64</v>
      </c>
      <c r="E766" s="26" t="s">
        <v>72</v>
      </c>
      <c r="F766" s="26" t="s">
        <v>73</v>
      </c>
      <c r="G766" s="26" t="s">
        <v>74</v>
      </c>
      <c r="H766" s="26" t="s">
        <v>75</v>
      </c>
      <c r="I766" s="26" t="s">
        <v>63</v>
      </c>
      <c r="J766" s="26" t="s">
        <v>62</v>
      </c>
      <c r="K766" s="26" t="s">
        <v>76</v>
      </c>
      <c r="L766" s="26" t="s">
        <v>77</v>
      </c>
      <c r="M766" s="26" t="s">
        <v>78</v>
      </c>
      <c r="N766" s="100"/>
      <c r="O766" s="80"/>
    </row>
    <row r="767" spans="1:15" x14ac:dyDescent="0.2">
      <c r="A767" s="27" t="s">
        <v>110</v>
      </c>
      <c r="B767" s="2" t="s">
        <v>38</v>
      </c>
      <c r="C767" s="28">
        <v>0</v>
      </c>
      <c r="D767" s="28">
        <v>0</v>
      </c>
      <c r="E767" s="28">
        <v>0</v>
      </c>
      <c r="F767" s="28">
        <v>0</v>
      </c>
      <c r="G767" s="28">
        <v>27639.219911681004</v>
      </c>
      <c r="H767" s="28">
        <v>0</v>
      </c>
      <c r="I767" s="28">
        <v>0</v>
      </c>
      <c r="J767" s="28">
        <v>0</v>
      </c>
      <c r="K767" s="28">
        <v>0</v>
      </c>
      <c r="L767" s="28">
        <v>0</v>
      </c>
      <c r="M767" s="28">
        <v>159634.35541688933</v>
      </c>
      <c r="N767" s="28">
        <v>187273.57532857032</v>
      </c>
      <c r="O767" s="81"/>
    </row>
    <row r="768" spans="1:15" x14ac:dyDescent="0.2">
      <c r="A768" s="27" t="s">
        <v>113</v>
      </c>
      <c r="B768" s="2" t="s">
        <v>41</v>
      </c>
      <c r="C768" s="28">
        <v>0</v>
      </c>
      <c r="D768" s="28">
        <v>46281.096737108419</v>
      </c>
      <c r="E768" s="28">
        <v>0</v>
      </c>
      <c r="F768" s="28">
        <v>0</v>
      </c>
      <c r="G768" s="28">
        <v>0</v>
      </c>
      <c r="H768" s="28">
        <v>0</v>
      </c>
      <c r="I768" s="28">
        <v>4447.5659448240795</v>
      </c>
      <c r="J768" s="28">
        <v>4966.2456144393427</v>
      </c>
      <c r="K768" s="28">
        <v>0</v>
      </c>
      <c r="L768" s="28">
        <v>0</v>
      </c>
      <c r="M768" s="28">
        <v>329947.78695155185</v>
      </c>
      <c r="N768" s="28">
        <v>385642.69524792372</v>
      </c>
      <c r="O768" s="81"/>
    </row>
    <row r="769" spans="1:15" x14ac:dyDescent="0.2">
      <c r="A769" s="27" t="s">
        <v>119</v>
      </c>
      <c r="B769" s="2" t="s">
        <v>47</v>
      </c>
      <c r="C769" s="28">
        <v>77143.886287493166</v>
      </c>
      <c r="D769" s="28">
        <v>1443130.9612040569</v>
      </c>
      <c r="E769" s="28">
        <v>37447.871625915417</v>
      </c>
      <c r="F769" s="28">
        <v>600211.10677670583</v>
      </c>
      <c r="G769" s="28">
        <v>68761.918789966643</v>
      </c>
      <c r="H769" s="28">
        <v>423302.2435783199</v>
      </c>
      <c r="I769" s="28">
        <v>1575.6362588849859</v>
      </c>
      <c r="J769" s="28">
        <v>0</v>
      </c>
      <c r="K769" s="28">
        <v>286.47931979727014</v>
      </c>
      <c r="L769" s="28">
        <v>0</v>
      </c>
      <c r="M769" s="28">
        <v>1080234.5572726217</v>
      </c>
      <c r="N769" s="28">
        <v>3732094.6611137614</v>
      </c>
      <c r="O769" s="81"/>
    </row>
    <row r="770" spans="1:15" x14ac:dyDescent="0.2">
      <c r="A770" s="27" t="s">
        <v>121</v>
      </c>
      <c r="B770" s="2" t="s">
        <v>49</v>
      </c>
      <c r="C770" s="28">
        <v>92518.78120257461</v>
      </c>
      <c r="D770" s="28">
        <v>438457.15885236714</v>
      </c>
      <c r="E770" s="28">
        <v>39360.744393971683</v>
      </c>
      <c r="F770" s="28">
        <v>211990.89626883305</v>
      </c>
      <c r="G770" s="28">
        <v>6095.7697568507183</v>
      </c>
      <c r="H770" s="28">
        <v>1975.0038758824655</v>
      </c>
      <c r="I770" s="28">
        <v>6745.6626768357364</v>
      </c>
      <c r="J770" s="28">
        <v>12561.024650612479</v>
      </c>
      <c r="K770" s="28">
        <v>19201.355699694843</v>
      </c>
      <c r="L770" s="28">
        <v>0</v>
      </c>
      <c r="M770" s="28">
        <v>480734.67656469578</v>
      </c>
      <c r="N770" s="28">
        <v>1309641.0739423186</v>
      </c>
      <c r="O770" s="81"/>
    </row>
    <row r="771" spans="1:15" x14ac:dyDescent="0.2">
      <c r="A771" s="27" t="s">
        <v>95</v>
      </c>
      <c r="B771" s="2" t="s">
        <v>23</v>
      </c>
      <c r="C771" s="28">
        <v>5294.3166280001797</v>
      </c>
      <c r="D771" s="28">
        <v>411399.37826068146</v>
      </c>
      <c r="E771" s="28">
        <v>32522.316124504454</v>
      </c>
      <c r="F771" s="28">
        <v>816321.40507308277</v>
      </c>
      <c r="G771" s="28">
        <v>0</v>
      </c>
      <c r="H771" s="28">
        <v>0</v>
      </c>
      <c r="I771" s="28">
        <v>0</v>
      </c>
      <c r="J771" s="28">
        <v>162492.97206882754</v>
      </c>
      <c r="K771" s="28">
        <v>39.799454611444816</v>
      </c>
      <c r="L771" s="28">
        <v>0</v>
      </c>
      <c r="M771" s="28">
        <v>9191825.1925461367</v>
      </c>
      <c r="N771" s="28">
        <v>10619895.380155845</v>
      </c>
      <c r="O771" s="81"/>
    </row>
    <row r="772" spans="1:15" x14ac:dyDescent="0.2">
      <c r="A772" s="27" t="s">
        <v>101</v>
      </c>
      <c r="B772" s="2" t="s">
        <v>29</v>
      </c>
      <c r="C772" s="28">
        <v>30908.307072585729</v>
      </c>
      <c r="D772" s="28">
        <v>47299.876416700601</v>
      </c>
      <c r="E772" s="28">
        <v>0</v>
      </c>
      <c r="F772" s="28">
        <v>887.98500849381514</v>
      </c>
      <c r="G772" s="28">
        <v>0</v>
      </c>
      <c r="H772" s="28">
        <v>0</v>
      </c>
      <c r="I772" s="28">
        <v>107239.91886901981</v>
      </c>
      <c r="J772" s="28">
        <v>7721.7367682880022</v>
      </c>
      <c r="K772" s="28">
        <v>23258.305261370653</v>
      </c>
      <c r="L772" s="28">
        <v>0</v>
      </c>
      <c r="M772" s="28">
        <v>2395027.8240160891</v>
      </c>
      <c r="N772" s="28">
        <v>2612343.9534125477</v>
      </c>
      <c r="O772" s="81"/>
    </row>
    <row r="773" spans="1:15" x14ac:dyDescent="0.2">
      <c r="A773" s="27" t="s">
        <v>106</v>
      </c>
      <c r="B773" s="2" t="s">
        <v>34</v>
      </c>
      <c r="C773" s="28">
        <v>3245.3590323620642</v>
      </c>
      <c r="D773" s="28">
        <v>3245.3590323620642</v>
      </c>
      <c r="E773" s="28">
        <v>0</v>
      </c>
      <c r="F773" s="28">
        <v>0</v>
      </c>
      <c r="G773" s="28">
        <v>0</v>
      </c>
      <c r="H773" s="28">
        <v>0</v>
      </c>
      <c r="I773" s="28">
        <v>97671.94171021838</v>
      </c>
      <c r="J773" s="28">
        <v>3245.3590323620642</v>
      </c>
      <c r="K773" s="28">
        <v>0</v>
      </c>
      <c r="L773" s="28">
        <v>0</v>
      </c>
      <c r="M773" s="28">
        <v>1650811.9975384024</v>
      </c>
      <c r="N773" s="28">
        <v>1758220.016345707</v>
      </c>
      <c r="O773" s="81"/>
    </row>
    <row r="774" spans="1:15" x14ac:dyDescent="0.2">
      <c r="A774" s="27" t="s">
        <v>103</v>
      </c>
      <c r="B774" s="2" t="s">
        <v>31</v>
      </c>
      <c r="C774" s="28">
        <v>101033.69449375973</v>
      </c>
      <c r="D774" s="28">
        <v>4128506.7375373878</v>
      </c>
      <c r="E774" s="28">
        <v>378690.82684154127</v>
      </c>
      <c r="F774" s="28">
        <v>65922.630997044485</v>
      </c>
      <c r="G774" s="28">
        <v>108491.88371289609</v>
      </c>
      <c r="H774" s="28">
        <v>27542.702650573719</v>
      </c>
      <c r="I774" s="28">
        <v>522686.76472359861</v>
      </c>
      <c r="J774" s="28">
        <v>29071.160306601792</v>
      </c>
      <c r="K774" s="28">
        <v>348422.7956066117</v>
      </c>
      <c r="L774" s="28">
        <v>0</v>
      </c>
      <c r="M774" s="28">
        <v>5461304.5342801893</v>
      </c>
      <c r="N774" s="28">
        <v>11171673.731150204</v>
      </c>
      <c r="O774" s="81"/>
    </row>
    <row r="775" spans="1:15" x14ac:dyDescent="0.2">
      <c r="A775" s="27" t="s">
        <v>99</v>
      </c>
      <c r="B775" s="2" t="s">
        <v>27</v>
      </c>
      <c r="C775" s="28">
        <v>172897.47117033074</v>
      </c>
      <c r="D775" s="28">
        <v>198802.03339491825</v>
      </c>
      <c r="E775" s="28">
        <v>337035.95230031357</v>
      </c>
      <c r="F775" s="28">
        <v>5849578.8397969622</v>
      </c>
      <c r="G775" s="28">
        <v>13922.127015158805</v>
      </c>
      <c r="H775" s="28">
        <v>2021182.8218638913</v>
      </c>
      <c r="I775" s="28">
        <v>9983.103248689762</v>
      </c>
      <c r="J775" s="28">
        <v>0</v>
      </c>
      <c r="K775" s="28">
        <v>32836.008401716434</v>
      </c>
      <c r="L775" s="28">
        <v>0</v>
      </c>
      <c r="M775" s="28">
        <v>4204949.2527658828</v>
      </c>
      <c r="N775" s="28">
        <v>12841187.609957863</v>
      </c>
      <c r="O775" s="81"/>
    </row>
    <row r="776" spans="1:15" x14ac:dyDescent="0.2">
      <c r="A776" s="27" t="s">
        <v>94</v>
      </c>
      <c r="B776" s="2" t="s">
        <v>22</v>
      </c>
      <c r="C776" s="28">
        <v>111.3779691935294</v>
      </c>
      <c r="D776" s="28">
        <v>640931.98340381612</v>
      </c>
      <c r="E776" s="28">
        <v>25783.999868302057</v>
      </c>
      <c r="F776" s="28">
        <v>567958.70509820885</v>
      </c>
      <c r="G776" s="28">
        <v>367.54729833864701</v>
      </c>
      <c r="H776" s="28">
        <v>23566.913891925764</v>
      </c>
      <c r="I776" s="28">
        <v>4443.9809708218218</v>
      </c>
      <c r="J776" s="28">
        <v>4455.1187677411772</v>
      </c>
      <c r="K776" s="28">
        <v>8777697.1978758089</v>
      </c>
      <c r="L776" s="28">
        <v>0</v>
      </c>
      <c r="M776" s="28">
        <v>1045879.7272088587</v>
      </c>
      <c r="N776" s="28">
        <v>11091196.552353015</v>
      </c>
      <c r="O776" s="81"/>
    </row>
    <row r="777" spans="1:15" x14ac:dyDescent="0.2">
      <c r="A777" s="27" t="s">
        <v>97</v>
      </c>
      <c r="B777" s="2" t="s">
        <v>25</v>
      </c>
      <c r="C777" s="28">
        <v>0</v>
      </c>
      <c r="D777" s="28">
        <v>88555.005597664538</v>
      </c>
      <c r="E777" s="28">
        <v>28842.870751155591</v>
      </c>
      <c r="F777" s="28">
        <v>100532.65404231175</v>
      </c>
      <c r="G777" s="28">
        <v>0</v>
      </c>
      <c r="H777" s="28">
        <v>0</v>
      </c>
      <c r="I777" s="28">
        <v>1780.218452479633</v>
      </c>
      <c r="J777" s="28">
        <v>0</v>
      </c>
      <c r="K777" s="28">
        <v>290.86032662657988</v>
      </c>
      <c r="L777" s="28">
        <v>0</v>
      </c>
      <c r="M777" s="28">
        <v>30608.900017582779</v>
      </c>
      <c r="N777" s="28">
        <v>250610.50918782086</v>
      </c>
      <c r="O777" s="81"/>
    </row>
    <row r="778" spans="1:15" x14ac:dyDescent="0.2">
      <c r="A778" s="27" t="s">
        <v>117</v>
      </c>
      <c r="B778" s="2" t="s">
        <v>45</v>
      </c>
      <c r="C778" s="28">
        <v>0</v>
      </c>
      <c r="D778" s="28">
        <v>43968.389905228134</v>
      </c>
      <c r="E778" s="28">
        <v>11762.761137007526</v>
      </c>
      <c r="F778" s="28">
        <v>49484.719266031665</v>
      </c>
      <c r="G778" s="28">
        <v>1216.8373590007789</v>
      </c>
      <c r="H778" s="28">
        <v>0</v>
      </c>
      <c r="I778" s="28">
        <v>1216.8373590007789</v>
      </c>
      <c r="J778" s="28">
        <v>0</v>
      </c>
      <c r="K778" s="28">
        <v>15007.660761009603</v>
      </c>
      <c r="L778" s="28">
        <v>0</v>
      </c>
      <c r="M778" s="28">
        <v>450513.50121331331</v>
      </c>
      <c r="N778" s="28">
        <v>573170.70700059179</v>
      </c>
      <c r="O778" s="81"/>
    </row>
    <row r="779" spans="1:15" x14ac:dyDescent="0.2">
      <c r="A779" s="27" t="s">
        <v>114</v>
      </c>
      <c r="B779" s="2" t="s">
        <v>42</v>
      </c>
      <c r="C779" s="28">
        <v>0</v>
      </c>
      <c r="D779" s="28">
        <v>371167.7907579047</v>
      </c>
      <c r="E779" s="28">
        <v>0</v>
      </c>
      <c r="F779" s="28">
        <v>3629.5843962448002</v>
      </c>
      <c r="G779" s="28">
        <v>0</v>
      </c>
      <c r="H779" s="28">
        <v>183.31234324468687</v>
      </c>
      <c r="I779" s="28">
        <v>2731.3539143458347</v>
      </c>
      <c r="J779" s="28">
        <v>0</v>
      </c>
      <c r="K779" s="28">
        <v>1228.1926997394021</v>
      </c>
      <c r="L779" s="28">
        <v>0</v>
      </c>
      <c r="M779" s="28">
        <v>599248.23481479264</v>
      </c>
      <c r="N779" s="28">
        <v>978188.46892627212</v>
      </c>
      <c r="O779" s="81"/>
    </row>
    <row r="780" spans="1:15" x14ac:dyDescent="0.2">
      <c r="A780" s="27" t="s">
        <v>112</v>
      </c>
      <c r="B780" s="2" t="s">
        <v>40</v>
      </c>
      <c r="C780" s="28">
        <v>0</v>
      </c>
      <c r="D780" s="28">
        <v>70884.544509867672</v>
      </c>
      <c r="E780" s="28">
        <v>0</v>
      </c>
      <c r="F780" s="28">
        <v>29312.867183191025</v>
      </c>
      <c r="G780" s="28">
        <v>929.7794104626372</v>
      </c>
      <c r="H780" s="28">
        <v>26741.259813396638</v>
      </c>
      <c r="I780" s="28">
        <v>1361397.8494133295</v>
      </c>
      <c r="J780" s="28">
        <v>56933.071791155642</v>
      </c>
      <c r="K780" s="28">
        <v>1316.1812433821744</v>
      </c>
      <c r="L780" s="28">
        <v>0</v>
      </c>
      <c r="M780" s="28">
        <v>2361195.490834259</v>
      </c>
      <c r="N780" s="28">
        <v>3908711.0441990444</v>
      </c>
      <c r="O780" s="81"/>
    </row>
    <row r="781" spans="1:15" x14ac:dyDescent="0.2">
      <c r="A781" s="27" t="s">
        <v>116</v>
      </c>
      <c r="B781" s="2" t="s">
        <v>44</v>
      </c>
      <c r="C781" s="28">
        <v>0</v>
      </c>
      <c r="D781" s="28">
        <v>4217.9366646595399</v>
      </c>
      <c r="E781" s="28">
        <v>0</v>
      </c>
      <c r="F781" s="28">
        <v>51.55368259964029</v>
      </c>
      <c r="G781" s="28">
        <v>0</v>
      </c>
      <c r="H781" s="28">
        <v>0</v>
      </c>
      <c r="I781" s="28">
        <v>619252.32902963331</v>
      </c>
      <c r="J781" s="28">
        <v>2847.4032660004254</v>
      </c>
      <c r="K781" s="28">
        <v>1693.0505905948473</v>
      </c>
      <c r="L781" s="28">
        <v>0</v>
      </c>
      <c r="M781" s="28">
        <v>113170.27982815726</v>
      </c>
      <c r="N781" s="28">
        <v>741232.55306164513</v>
      </c>
      <c r="O781" s="81"/>
    </row>
    <row r="782" spans="1:15" x14ac:dyDescent="0.2">
      <c r="A782" s="27" t="s">
        <v>107</v>
      </c>
      <c r="B782" s="2" t="s">
        <v>35</v>
      </c>
      <c r="C782" s="28">
        <v>0</v>
      </c>
      <c r="D782" s="28">
        <v>74660.207950733631</v>
      </c>
      <c r="E782" s="28">
        <v>0</v>
      </c>
      <c r="F782" s="28">
        <v>120614.22932267144</v>
      </c>
      <c r="G782" s="28">
        <v>0</v>
      </c>
      <c r="H782" s="28">
        <v>0</v>
      </c>
      <c r="I782" s="28">
        <v>372710.76040561846</v>
      </c>
      <c r="J782" s="28">
        <v>97999.061324670547</v>
      </c>
      <c r="K782" s="28">
        <v>211074.90131467496</v>
      </c>
      <c r="L782" s="28">
        <v>0</v>
      </c>
      <c r="M782" s="28">
        <v>2720999.6203392702</v>
      </c>
      <c r="N782" s="28">
        <v>3598058.7806576393</v>
      </c>
      <c r="O782" s="81"/>
    </row>
    <row r="783" spans="1:15" x14ac:dyDescent="0.2">
      <c r="A783" s="27" t="s">
        <v>100</v>
      </c>
      <c r="B783" s="2" t="s">
        <v>28</v>
      </c>
      <c r="C783" s="28">
        <v>1508.498356249064</v>
      </c>
      <c r="D783" s="28">
        <v>33127.573483464439</v>
      </c>
      <c r="E783" s="28">
        <v>0</v>
      </c>
      <c r="F783" s="28">
        <v>420.65232466399732</v>
      </c>
      <c r="G783" s="28">
        <v>0</v>
      </c>
      <c r="H783" s="28">
        <v>113082.93770426713</v>
      </c>
      <c r="I783" s="28">
        <v>51009.818215046223</v>
      </c>
      <c r="J783" s="28">
        <v>78918.100287999667</v>
      </c>
      <c r="K783" s="28">
        <v>6663.5519064304317</v>
      </c>
      <c r="L783" s="28">
        <v>0</v>
      </c>
      <c r="M783" s="28">
        <v>612764.20641967061</v>
      </c>
      <c r="N783" s="28">
        <v>897495.33869779157</v>
      </c>
      <c r="O783" s="81"/>
    </row>
    <row r="784" spans="1:15" x14ac:dyDescent="0.2">
      <c r="A784" s="27" t="s">
        <v>108</v>
      </c>
      <c r="B784" s="2" t="s">
        <v>36</v>
      </c>
      <c r="C784" s="28">
        <v>0</v>
      </c>
      <c r="D784" s="28">
        <v>1796.6234407399909</v>
      </c>
      <c r="E784" s="28">
        <v>0</v>
      </c>
      <c r="F784" s="28">
        <v>0</v>
      </c>
      <c r="G784" s="28">
        <v>518.22713249675178</v>
      </c>
      <c r="H784" s="28">
        <v>0</v>
      </c>
      <c r="I784" s="28">
        <v>26237.311567646739</v>
      </c>
      <c r="J784" s="28">
        <v>0</v>
      </c>
      <c r="K784" s="28">
        <v>24903.13932795875</v>
      </c>
      <c r="L784" s="28">
        <v>0</v>
      </c>
      <c r="M784" s="28">
        <v>320728.41958747286</v>
      </c>
      <c r="N784" s="28">
        <v>374183.72105631512</v>
      </c>
      <c r="O784" s="81"/>
    </row>
    <row r="785" spans="1:15" x14ac:dyDescent="0.2">
      <c r="A785" s="27" t="s">
        <v>104</v>
      </c>
      <c r="B785" s="2" t="s">
        <v>32</v>
      </c>
      <c r="C785" s="28">
        <v>914.45311856366322</v>
      </c>
      <c r="D785" s="28">
        <v>46775.727349847279</v>
      </c>
      <c r="E785" s="28">
        <v>0</v>
      </c>
      <c r="F785" s="28">
        <v>0</v>
      </c>
      <c r="G785" s="28">
        <v>0</v>
      </c>
      <c r="H785" s="28">
        <v>0</v>
      </c>
      <c r="I785" s="28">
        <v>1097.3437422763959</v>
      </c>
      <c r="J785" s="28">
        <v>0</v>
      </c>
      <c r="K785" s="28">
        <v>0</v>
      </c>
      <c r="L785" s="28">
        <v>0</v>
      </c>
      <c r="M785" s="28">
        <v>602031.95494897664</v>
      </c>
      <c r="N785" s="28">
        <v>650819.47915966401</v>
      </c>
      <c r="O785" s="81"/>
    </row>
    <row r="786" spans="1:15" x14ac:dyDescent="0.2">
      <c r="A786" s="27" t="s">
        <v>105</v>
      </c>
      <c r="B786" s="2" t="s">
        <v>33</v>
      </c>
      <c r="C786" s="28">
        <v>4915.5195093304455</v>
      </c>
      <c r="D786" s="28">
        <v>1170.3617879358203</v>
      </c>
      <c r="E786" s="28">
        <v>1170.3617879358203</v>
      </c>
      <c r="F786" s="28">
        <v>0</v>
      </c>
      <c r="G786" s="28">
        <v>0</v>
      </c>
      <c r="H786" s="28">
        <v>0</v>
      </c>
      <c r="I786" s="28">
        <v>4447.3747941561187</v>
      </c>
      <c r="J786" s="28">
        <v>5149.5918669176099</v>
      </c>
      <c r="K786" s="28">
        <v>0</v>
      </c>
      <c r="L786" s="28">
        <v>0</v>
      </c>
      <c r="M786" s="28">
        <v>1851562.030232338</v>
      </c>
      <c r="N786" s="28">
        <v>1868415.2399786138</v>
      </c>
      <c r="O786" s="81"/>
    </row>
    <row r="787" spans="1:15" x14ac:dyDescent="0.2">
      <c r="A787" s="27" t="s">
        <v>109</v>
      </c>
      <c r="B787" s="2" t="s">
        <v>37</v>
      </c>
      <c r="C787" s="28">
        <v>0</v>
      </c>
      <c r="D787" s="28">
        <v>12076.390458522248</v>
      </c>
      <c r="E787" s="28">
        <v>0</v>
      </c>
      <c r="F787" s="28">
        <v>0</v>
      </c>
      <c r="G787" s="28">
        <v>0</v>
      </c>
      <c r="H787" s="28">
        <v>0</v>
      </c>
      <c r="I787" s="28">
        <v>364815.28553428798</v>
      </c>
      <c r="J787" s="28">
        <v>87837.00551338667</v>
      </c>
      <c r="K787" s="28">
        <v>7.0071784488851909</v>
      </c>
      <c r="L787" s="28">
        <v>0</v>
      </c>
      <c r="M787" s="28">
        <v>1276091.3957050645</v>
      </c>
      <c r="N787" s="28">
        <v>1740827.0843897103</v>
      </c>
      <c r="O787" s="81"/>
    </row>
    <row r="788" spans="1:15" x14ac:dyDescent="0.2">
      <c r="A788" s="27" t="s">
        <v>96</v>
      </c>
      <c r="B788" s="2" t="s">
        <v>24</v>
      </c>
      <c r="C788" s="28">
        <v>0</v>
      </c>
      <c r="D788" s="28">
        <v>157590.94004116757</v>
      </c>
      <c r="E788" s="28">
        <v>0</v>
      </c>
      <c r="F788" s="28">
        <v>7084.8419469762566</v>
      </c>
      <c r="G788" s="28">
        <v>2942.1295739894758</v>
      </c>
      <c r="H788" s="28">
        <v>0</v>
      </c>
      <c r="I788" s="28">
        <v>88279.787986426818</v>
      </c>
      <c r="J788" s="28">
        <v>20981.953172122667</v>
      </c>
      <c r="K788" s="28">
        <v>512.56940893713727</v>
      </c>
      <c r="L788" s="28">
        <v>0</v>
      </c>
      <c r="M788" s="28">
        <v>2056089.9671418124</v>
      </c>
      <c r="N788" s="28">
        <v>2333482.1892714323</v>
      </c>
      <c r="O788" s="81"/>
    </row>
    <row r="789" spans="1:15" x14ac:dyDescent="0.2">
      <c r="A789" s="27" t="s">
        <v>120</v>
      </c>
      <c r="B789" s="2" t="s">
        <v>48</v>
      </c>
      <c r="C789" s="28">
        <v>0</v>
      </c>
      <c r="D789" s="28">
        <v>60724.224152814139</v>
      </c>
      <c r="E789" s="28">
        <v>0</v>
      </c>
      <c r="F789" s="28">
        <v>27831.936070039814</v>
      </c>
      <c r="G789" s="28">
        <v>1012.0704025469023</v>
      </c>
      <c r="H789" s="28">
        <v>0</v>
      </c>
      <c r="I789" s="28">
        <v>22771.584057305306</v>
      </c>
      <c r="J789" s="28">
        <v>15181.056038203535</v>
      </c>
      <c r="K789" s="28">
        <v>21759.513654758404</v>
      </c>
      <c r="L789" s="28">
        <v>0</v>
      </c>
      <c r="M789" s="28">
        <v>8030291.120208336</v>
      </c>
      <c r="N789" s="28">
        <v>8179571.5045840042</v>
      </c>
      <c r="O789" s="81"/>
    </row>
    <row r="790" spans="1:15" x14ac:dyDescent="0.2">
      <c r="A790" s="27" t="s">
        <v>102</v>
      </c>
      <c r="B790" s="2" t="s">
        <v>30</v>
      </c>
      <c r="C790" s="28">
        <v>2141.7808510173322</v>
      </c>
      <c r="D790" s="28">
        <v>646893.98996313708</v>
      </c>
      <c r="E790" s="28">
        <v>0</v>
      </c>
      <c r="F790" s="28">
        <v>123899.70221330729</v>
      </c>
      <c r="G790" s="28">
        <v>254271.79518233502</v>
      </c>
      <c r="H790" s="28">
        <v>0</v>
      </c>
      <c r="I790" s="28">
        <v>2713537.1646955078</v>
      </c>
      <c r="J790" s="28">
        <v>61419.529054977538</v>
      </c>
      <c r="K790" s="28">
        <v>947313.42140757607</v>
      </c>
      <c r="L790" s="28">
        <v>0</v>
      </c>
      <c r="M790" s="28">
        <v>6627183.5847068112</v>
      </c>
      <c r="N790" s="28">
        <v>11376660.968074668</v>
      </c>
      <c r="O790" s="81"/>
    </row>
    <row r="791" spans="1:15" x14ac:dyDescent="0.2">
      <c r="A791" s="27" t="s">
        <v>98</v>
      </c>
      <c r="B791" s="2" t="s">
        <v>26</v>
      </c>
      <c r="C791" s="28">
        <v>0</v>
      </c>
      <c r="D791" s="28">
        <v>12374.02089698794</v>
      </c>
      <c r="E791" s="28">
        <v>0</v>
      </c>
      <c r="F791" s="28">
        <v>0</v>
      </c>
      <c r="G791" s="28">
        <v>0</v>
      </c>
      <c r="H791" s="28">
        <v>22896.002022184435</v>
      </c>
      <c r="I791" s="28">
        <v>547198.99956617109</v>
      </c>
      <c r="J791" s="28">
        <v>0</v>
      </c>
      <c r="K791" s="28">
        <v>85547.56428860825</v>
      </c>
      <c r="L791" s="28">
        <v>0</v>
      </c>
      <c r="M791" s="28">
        <v>129274934.4925117</v>
      </c>
      <c r="N791" s="28">
        <v>129942951.07928565</v>
      </c>
      <c r="O791" s="81"/>
    </row>
    <row r="792" spans="1:15" x14ac:dyDescent="0.2">
      <c r="A792" s="27" t="s">
        <v>93</v>
      </c>
      <c r="B792" s="2" t="s">
        <v>21</v>
      </c>
      <c r="C792" s="28">
        <v>0</v>
      </c>
      <c r="D792" s="28">
        <v>1341984.7157785334</v>
      </c>
      <c r="E792" s="28">
        <v>8564.8474972370841</v>
      </c>
      <c r="F792" s="28">
        <v>2323904.8904696363</v>
      </c>
      <c r="G792" s="28">
        <v>957.23817845231963</v>
      </c>
      <c r="H792" s="28">
        <v>0</v>
      </c>
      <c r="I792" s="28">
        <v>0</v>
      </c>
      <c r="J792" s="28">
        <v>0</v>
      </c>
      <c r="K792" s="28">
        <v>12523.129999942601</v>
      </c>
      <c r="L792" s="28">
        <v>0</v>
      </c>
      <c r="M792" s="28">
        <v>957059.27381147619</v>
      </c>
      <c r="N792" s="28">
        <v>4644994.095735278</v>
      </c>
      <c r="O792" s="81"/>
    </row>
    <row r="793" spans="1:15" x14ac:dyDescent="0.2">
      <c r="A793" s="27" t="s">
        <v>115</v>
      </c>
      <c r="B793" s="2" t="s">
        <v>43</v>
      </c>
      <c r="C793" s="28">
        <v>0</v>
      </c>
      <c r="D793" s="28">
        <v>0</v>
      </c>
      <c r="E793" s="28">
        <v>129308.12419424027</v>
      </c>
      <c r="F793" s="28">
        <v>165950.3024173709</v>
      </c>
      <c r="G793" s="28">
        <v>10239.486744901611</v>
      </c>
      <c r="H793" s="28">
        <v>0</v>
      </c>
      <c r="I793" s="28">
        <v>36181.665659891063</v>
      </c>
      <c r="J793" s="28">
        <v>0</v>
      </c>
      <c r="K793" s="28">
        <v>0</v>
      </c>
      <c r="L793" s="28">
        <v>0</v>
      </c>
      <c r="M793" s="28">
        <v>2451125.2021449301</v>
      </c>
      <c r="N793" s="28">
        <v>2792804.7811613339</v>
      </c>
      <c r="O793" s="81"/>
    </row>
    <row r="794" spans="1:15" x14ac:dyDescent="0.2">
      <c r="A794" s="27" t="s">
        <v>111</v>
      </c>
      <c r="B794" s="2" t="s">
        <v>39</v>
      </c>
      <c r="C794" s="28">
        <v>0</v>
      </c>
      <c r="D794" s="28">
        <v>83014.654419049693</v>
      </c>
      <c r="E794" s="28">
        <v>37160.86298475691</v>
      </c>
      <c r="F794" s="28">
        <v>536845.34968894895</v>
      </c>
      <c r="G794" s="28">
        <v>209644.05781093187</v>
      </c>
      <c r="H794" s="28">
        <v>131.22292044317311</v>
      </c>
      <c r="I794" s="28">
        <v>62062.640766757948</v>
      </c>
      <c r="J794" s="28">
        <v>0</v>
      </c>
      <c r="K794" s="28">
        <v>86930.924773935913</v>
      </c>
      <c r="L794" s="28">
        <v>0</v>
      </c>
      <c r="M794" s="28">
        <v>2306982.4702013363</v>
      </c>
      <c r="N794" s="28">
        <v>3322772.1835661605</v>
      </c>
      <c r="O794" s="81"/>
    </row>
    <row r="795" spans="1:15" x14ac:dyDescent="0.2">
      <c r="A795" s="27" t="s">
        <v>118</v>
      </c>
      <c r="B795" s="2" t="s">
        <v>46</v>
      </c>
      <c r="C795" s="28">
        <v>0</v>
      </c>
      <c r="D795" s="28">
        <v>0</v>
      </c>
      <c r="E795" s="28">
        <v>0</v>
      </c>
      <c r="F795" s="28">
        <v>0</v>
      </c>
      <c r="G795" s="28">
        <v>0</v>
      </c>
      <c r="H795" s="28">
        <v>0</v>
      </c>
      <c r="I795" s="28">
        <v>0</v>
      </c>
      <c r="J795" s="28">
        <v>0</v>
      </c>
      <c r="K795" s="28">
        <v>0</v>
      </c>
      <c r="L795" s="28">
        <v>0</v>
      </c>
      <c r="M795" s="28">
        <v>0</v>
      </c>
      <c r="N795" s="28">
        <v>0</v>
      </c>
      <c r="O795" s="81"/>
    </row>
    <row r="796" spans="1:15" x14ac:dyDescent="0.2">
      <c r="A796" s="27" t="s">
        <v>124</v>
      </c>
      <c r="B796" s="2" t="s">
        <v>52</v>
      </c>
      <c r="C796" s="28">
        <v>697.21471470298889</v>
      </c>
      <c r="D796" s="28">
        <v>14518.890714625499</v>
      </c>
      <c r="E796" s="28">
        <v>42063.66717241217</v>
      </c>
      <c r="F796" s="28">
        <v>0</v>
      </c>
      <c r="G796" s="28">
        <v>35.191206276597491</v>
      </c>
      <c r="H796" s="28">
        <v>14531.536398524349</v>
      </c>
      <c r="I796" s="28">
        <v>6998.2594567262877</v>
      </c>
      <c r="J796" s="28">
        <v>387.10326904257244</v>
      </c>
      <c r="K796" s="28">
        <v>3338.3994462139403</v>
      </c>
      <c r="L796" s="28">
        <v>0</v>
      </c>
      <c r="M796" s="28">
        <v>1674399.3683988506</v>
      </c>
      <c r="N796" s="28">
        <v>1756969.6307773748</v>
      </c>
      <c r="O796" s="81"/>
    </row>
    <row r="797" spans="1:15" x14ac:dyDescent="0.2">
      <c r="A797" s="27" t="s">
        <v>123</v>
      </c>
      <c r="B797" s="2" t="s">
        <v>51</v>
      </c>
      <c r="C797" s="28">
        <v>589.64383493153014</v>
      </c>
      <c r="D797" s="28">
        <v>225.06631915556756</v>
      </c>
      <c r="E797" s="28">
        <v>150.04421277037835</v>
      </c>
      <c r="F797" s="28">
        <v>4368.598061963361</v>
      </c>
      <c r="G797" s="28">
        <v>639.44287861402495</v>
      </c>
      <c r="H797" s="28">
        <v>3476.1403336439139</v>
      </c>
      <c r="I797" s="28">
        <v>47587.864011319121</v>
      </c>
      <c r="J797" s="28">
        <v>50537.466393121736</v>
      </c>
      <c r="K797" s="28">
        <v>8610.1196121202247</v>
      </c>
      <c r="L797" s="28">
        <v>0</v>
      </c>
      <c r="M797" s="28">
        <v>539644.50335896702</v>
      </c>
      <c r="N797" s="28">
        <v>655828.88901660684</v>
      </c>
      <c r="O797" s="81"/>
    </row>
    <row r="798" spans="1:15" x14ac:dyDescent="0.2">
      <c r="A798" s="27" t="s">
        <v>126</v>
      </c>
      <c r="B798" s="2" t="s">
        <v>54</v>
      </c>
      <c r="C798" s="28">
        <v>0</v>
      </c>
      <c r="D798" s="28">
        <v>0</v>
      </c>
      <c r="E798" s="28">
        <v>0</v>
      </c>
      <c r="F798" s="28">
        <v>0</v>
      </c>
      <c r="G798" s="28">
        <v>0</v>
      </c>
      <c r="H798" s="28">
        <v>0</v>
      </c>
      <c r="I798" s="28">
        <v>0</v>
      </c>
      <c r="J798" s="28">
        <v>0</v>
      </c>
      <c r="K798" s="28">
        <v>0</v>
      </c>
      <c r="L798" s="28">
        <v>0</v>
      </c>
      <c r="M798" s="28">
        <v>0</v>
      </c>
      <c r="N798" s="28">
        <v>0</v>
      </c>
      <c r="O798" s="81"/>
    </row>
    <row r="799" spans="1:15" x14ac:dyDescent="0.2">
      <c r="A799" s="27" t="s">
        <v>129</v>
      </c>
      <c r="B799" s="2" t="s">
        <v>57</v>
      </c>
      <c r="C799" s="28">
        <v>2277.0218155520165</v>
      </c>
      <c r="D799" s="28">
        <v>3243075.5751019767</v>
      </c>
      <c r="E799" s="28">
        <v>3149773.3127018702</v>
      </c>
      <c r="F799" s="28">
        <v>168638.32704305463</v>
      </c>
      <c r="G799" s="28">
        <v>157526.13645563374</v>
      </c>
      <c r="H799" s="28">
        <v>388729.72455316986</v>
      </c>
      <c r="I799" s="28">
        <v>3507.2352227563438</v>
      </c>
      <c r="J799" s="28">
        <v>1115.3199988470255</v>
      </c>
      <c r="K799" s="28">
        <v>1907576.6243441342</v>
      </c>
      <c r="L799" s="28">
        <v>0</v>
      </c>
      <c r="M799" s="28">
        <v>16389055.435726151</v>
      </c>
      <c r="N799" s="28">
        <v>25411274.712963145</v>
      </c>
      <c r="O799" s="81"/>
    </row>
    <row r="800" spans="1:15" x14ac:dyDescent="0.2">
      <c r="A800" s="27" t="s">
        <v>128</v>
      </c>
      <c r="B800" s="2" t="s">
        <v>56</v>
      </c>
      <c r="C800" s="28">
        <v>128.25456699156123</v>
      </c>
      <c r="D800" s="28">
        <v>227142.56508446488</v>
      </c>
      <c r="E800" s="28">
        <v>0</v>
      </c>
      <c r="F800" s="28">
        <v>456854.05101427238</v>
      </c>
      <c r="G800" s="28">
        <v>13505.499264186801</v>
      </c>
      <c r="H800" s="28">
        <v>0</v>
      </c>
      <c r="I800" s="28">
        <v>402508.09900125396</v>
      </c>
      <c r="J800" s="28">
        <v>3384.3907264836726</v>
      </c>
      <c r="K800" s="28">
        <v>271721.35454440222</v>
      </c>
      <c r="L800" s="28">
        <v>0</v>
      </c>
      <c r="M800" s="28">
        <v>764455.96714145283</v>
      </c>
      <c r="N800" s="28">
        <v>2139700.1813435084</v>
      </c>
      <c r="O800" s="81"/>
    </row>
    <row r="801" spans="1:15" x14ac:dyDescent="0.2">
      <c r="A801" s="27" t="s">
        <v>127</v>
      </c>
      <c r="B801" s="2" t="s">
        <v>55</v>
      </c>
      <c r="C801" s="28">
        <v>1081.6281994950755</v>
      </c>
      <c r="D801" s="28">
        <v>5043.2487707806313</v>
      </c>
      <c r="E801" s="28">
        <v>0</v>
      </c>
      <c r="F801" s="28">
        <v>0</v>
      </c>
      <c r="G801" s="28">
        <v>0</v>
      </c>
      <c r="H801" s="28">
        <v>0</v>
      </c>
      <c r="I801" s="28">
        <v>2787.7360525543995</v>
      </c>
      <c r="J801" s="28">
        <v>189.55513622398882</v>
      </c>
      <c r="K801" s="28">
        <v>44264.217264555882</v>
      </c>
      <c r="L801" s="28">
        <v>0</v>
      </c>
      <c r="M801" s="28">
        <v>687490.952812184</v>
      </c>
      <c r="N801" s="28">
        <v>740857.33823579398</v>
      </c>
      <c r="O801" s="81"/>
    </row>
    <row r="802" spans="1:15" x14ac:dyDescent="0.2">
      <c r="A802" s="27" t="s">
        <v>125</v>
      </c>
      <c r="B802" s="2" t="s">
        <v>53</v>
      </c>
      <c r="C802" s="28">
        <v>194022.76803991685</v>
      </c>
      <c r="D802" s="28">
        <v>1212.0357662152041</v>
      </c>
      <c r="E802" s="28">
        <v>186433.23725679689</v>
      </c>
      <c r="F802" s="28">
        <v>10359.2800531214</v>
      </c>
      <c r="G802" s="28">
        <v>4143.7120212485606</v>
      </c>
      <c r="H802" s="28">
        <v>207.18560106242802</v>
      </c>
      <c r="I802" s="28">
        <v>385325.60972106631</v>
      </c>
      <c r="J802" s="28">
        <v>296662.14321350597</v>
      </c>
      <c r="K802" s="28">
        <v>156055.34734911096</v>
      </c>
      <c r="L802" s="28">
        <v>0</v>
      </c>
      <c r="M802" s="28">
        <v>2174561.8174726218</v>
      </c>
      <c r="N802" s="28">
        <v>3408983.1364946663</v>
      </c>
      <c r="O802" s="81"/>
    </row>
    <row r="803" spans="1:15" x14ac:dyDescent="0.2">
      <c r="A803" s="27" t="s">
        <v>130</v>
      </c>
      <c r="B803" s="2" t="s">
        <v>58</v>
      </c>
      <c r="C803" s="28">
        <v>0</v>
      </c>
      <c r="D803" s="28">
        <v>226641.66232292942</v>
      </c>
      <c r="E803" s="28">
        <v>0</v>
      </c>
      <c r="F803" s="28">
        <v>22865.422145122582</v>
      </c>
      <c r="G803" s="28">
        <v>0</v>
      </c>
      <c r="H803" s="28">
        <v>22163.132809261704</v>
      </c>
      <c r="I803" s="28">
        <v>826534.59492992074</v>
      </c>
      <c r="J803" s="28">
        <v>119294.9125664398</v>
      </c>
      <c r="K803" s="28">
        <v>266760.21743150317</v>
      </c>
      <c r="L803" s="28">
        <v>0</v>
      </c>
      <c r="M803" s="28">
        <v>2162682.7421970898</v>
      </c>
      <c r="N803" s="28">
        <v>3646942.6844022674</v>
      </c>
      <c r="O803" s="81"/>
    </row>
    <row r="804" spans="1:15" x14ac:dyDescent="0.2">
      <c r="A804" s="27" t="s">
        <v>122</v>
      </c>
      <c r="B804" s="2" t="s">
        <v>50</v>
      </c>
      <c r="C804" s="28">
        <v>1454.6861587585765</v>
      </c>
      <c r="D804" s="28">
        <v>152984.30352466737</v>
      </c>
      <c r="E804" s="28">
        <v>0</v>
      </c>
      <c r="F804" s="28">
        <v>53130.105166530964</v>
      </c>
      <c r="G804" s="28">
        <v>242.44769312642944</v>
      </c>
      <c r="H804" s="28">
        <v>0</v>
      </c>
      <c r="I804" s="28">
        <v>281243.38949223608</v>
      </c>
      <c r="J804" s="28">
        <v>29243.765777981225</v>
      </c>
      <c r="K804" s="28">
        <v>190.10801607094507</v>
      </c>
      <c r="L804" s="28">
        <v>0</v>
      </c>
      <c r="M804" s="28">
        <v>90957.961600997194</v>
      </c>
      <c r="N804" s="28">
        <v>609446.76743036881</v>
      </c>
      <c r="O804" s="81"/>
    </row>
    <row r="805" spans="1:15" x14ac:dyDescent="0.2">
      <c r="A805" s="4"/>
      <c r="B805" s="4" t="s">
        <v>59</v>
      </c>
      <c r="C805" s="28">
        <v>692884.66302180896</v>
      </c>
      <c r="D805" s="28">
        <v>14279881.029602474</v>
      </c>
      <c r="E805" s="28">
        <v>4446071.8008507313</v>
      </c>
      <c r="F805" s="28">
        <v>12318650.635527393</v>
      </c>
      <c r="G805" s="28">
        <v>883102.51779909537</v>
      </c>
      <c r="H805" s="28">
        <v>3089712.1403597924</v>
      </c>
      <c r="I805" s="28">
        <v>8988015.6874506082</v>
      </c>
      <c r="J805" s="28">
        <v>1152595.0466059528</v>
      </c>
      <c r="K805" s="28">
        <v>13277029.99851035</v>
      </c>
      <c r="L805" s="28">
        <v>0</v>
      </c>
      <c r="M805" s="28">
        <v>213126178.79793695</v>
      </c>
      <c r="N805" s="28">
        <v>272254122.3176651</v>
      </c>
      <c r="O805" s="81"/>
    </row>
  </sheetData>
  <mergeCells count="90">
    <mergeCell ref="A89:E89"/>
    <mergeCell ref="A90:A91"/>
    <mergeCell ref="B90:B91"/>
    <mergeCell ref="C90:D90"/>
    <mergeCell ref="E90:E91"/>
    <mergeCell ref="A45:M45"/>
    <mergeCell ref="A46:A47"/>
    <mergeCell ref="B46:B47"/>
    <mergeCell ref="C46:L46"/>
    <mergeCell ref="M46:M47"/>
    <mergeCell ref="A1:P1"/>
    <mergeCell ref="A2:A3"/>
    <mergeCell ref="B2:B3"/>
    <mergeCell ref="C2:N2"/>
    <mergeCell ref="P2:P3"/>
    <mergeCell ref="A763:N764"/>
    <mergeCell ref="A448:N449"/>
    <mergeCell ref="A493:N494"/>
    <mergeCell ref="A538:N539"/>
    <mergeCell ref="A583:N584"/>
    <mergeCell ref="A628:N629"/>
    <mergeCell ref="A495:A496"/>
    <mergeCell ref="B495:B496"/>
    <mergeCell ref="C495:M495"/>
    <mergeCell ref="N495:N496"/>
    <mergeCell ref="A630:A631"/>
    <mergeCell ref="B630:B631"/>
    <mergeCell ref="C630:M630"/>
    <mergeCell ref="N630:N631"/>
    <mergeCell ref="N720:N721"/>
    <mergeCell ref="A718:N719"/>
    <mergeCell ref="A178:N179"/>
    <mergeCell ref="A223:N224"/>
    <mergeCell ref="A268:N269"/>
    <mergeCell ref="A313:N314"/>
    <mergeCell ref="A358:N359"/>
    <mergeCell ref="A225:A226"/>
    <mergeCell ref="B225:B226"/>
    <mergeCell ref="C225:M225"/>
    <mergeCell ref="N225:N226"/>
    <mergeCell ref="A270:A271"/>
    <mergeCell ref="B270:B271"/>
    <mergeCell ref="C270:M270"/>
    <mergeCell ref="N270:N271"/>
    <mergeCell ref="A315:A316"/>
    <mergeCell ref="B315:B316"/>
    <mergeCell ref="C315:M315"/>
    <mergeCell ref="N315:N316"/>
    <mergeCell ref="B450:B451"/>
    <mergeCell ref="C450:M450"/>
    <mergeCell ref="N450:N451"/>
    <mergeCell ref="A360:A361"/>
    <mergeCell ref="B360:B361"/>
    <mergeCell ref="C360:M360"/>
    <mergeCell ref="N360:N361"/>
    <mergeCell ref="A403:N404"/>
    <mergeCell ref="A405:A406"/>
    <mergeCell ref="B405:B406"/>
    <mergeCell ref="C405:M405"/>
    <mergeCell ref="N405:N406"/>
    <mergeCell ref="A450:A451"/>
    <mergeCell ref="A585:A586"/>
    <mergeCell ref="B585:B586"/>
    <mergeCell ref="C585:M585"/>
    <mergeCell ref="N585:N586"/>
    <mergeCell ref="A540:A541"/>
    <mergeCell ref="B540:B541"/>
    <mergeCell ref="C540:M540"/>
    <mergeCell ref="N540:N541"/>
    <mergeCell ref="A180:A181"/>
    <mergeCell ref="B180:B181"/>
    <mergeCell ref="C180:M180"/>
    <mergeCell ref="N180:N181"/>
    <mergeCell ref="A765:A766"/>
    <mergeCell ref="B765:B766"/>
    <mergeCell ref="C765:M765"/>
    <mergeCell ref="N765:N766"/>
    <mergeCell ref="A673:N674"/>
    <mergeCell ref="A675:A676"/>
    <mergeCell ref="B675:B676"/>
    <mergeCell ref="C675:M675"/>
    <mergeCell ref="N675:N676"/>
    <mergeCell ref="A720:A721"/>
    <mergeCell ref="B720:B721"/>
    <mergeCell ref="C720:M720"/>
    <mergeCell ref="A133:N134"/>
    <mergeCell ref="A135:A136"/>
    <mergeCell ref="B135:B136"/>
    <mergeCell ref="C135:M135"/>
    <mergeCell ref="N135:N136"/>
  </mergeCells>
  <pageMargins left="0.51181102362204722" right="0" top="0.59055118110236227" bottom="0.35433070866141736" header="0.31496062992125984" footer="0.31496062992125984"/>
  <pageSetup paperSize="9" scale="80" firstPageNumber="142" orientation="landscape" useFirstPageNumber="1" r:id="rId1"/>
  <headerFooter>
    <oddFooter>&amp;C&amp;P</oddFooter>
  </headerFooter>
  <rowBreaks count="14" manualBreakCount="14">
    <brk id="177" max="16383" man="1"/>
    <brk id="222" max="16383" man="1"/>
    <brk id="267" max="16383" man="1"/>
    <brk id="312" max="16383" man="1"/>
    <brk id="357" max="16383" man="1"/>
    <brk id="402" max="16383" man="1"/>
    <brk id="447" max="16383" man="1"/>
    <brk id="492" max="16383" man="1"/>
    <brk id="537" max="16383" man="1"/>
    <brk id="582" max="16383" man="1"/>
    <brk id="627" max="16383" man="1"/>
    <brk id="672" max="16383" man="1"/>
    <brk id="717" max="16383" man="1"/>
    <brk id="762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61B5-72CA-49F9-8223-1BCBE0E76111}">
  <dimension ref="A1:EH130"/>
  <sheetViews>
    <sheetView view="pageBreakPreview" topLeftCell="DP1" zoomScale="70" zoomScaleNormal="40" zoomScaleSheetLayoutView="70" workbookViewId="0">
      <selection activeCell="A91" sqref="A91:C130"/>
    </sheetView>
  </sheetViews>
  <sheetFormatPr defaultColWidth="7.77734375" defaultRowHeight="10.199999999999999" customHeight="1" x14ac:dyDescent="0.2"/>
  <cols>
    <col min="1" max="1" width="4.6640625" style="9" customWidth="1"/>
    <col min="2" max="2" width="17" style="1" customWidth="1"/>
    <col min="3" max="3" width="9.6640625" style="1" customWidth="1"/>
    <col min="4" max="4" width="10.77734375" style="1" customWidth="1"/>
    <col min="5" max="5" width="11.21875" style="1" bestFit="1" customWidth="1"/>
    <col min="6" max="7" width="10.77734375" style="1" customWidth="1"/>
    <col min="8" max="8" width="10.88671875" style="1" customWidth="1"/>
    <col min="9" max="9" width="11.77734375" style="1" customWidth="1"/>
    <col min="10" max="12" width="10.77734375" style="1" customWidth="1"/>
    <col min="13" max="13" width="9" style="1" bestFit="1" customWidth="1"/>
    <col min="14" max="14" width="11" style="1" customWidth="1"/>
    <col min="15" max="15" width="11.21875" style="1" bestFit="1" customWidth="1"/>
    <col min="16" max="16" width="4.5546875" style="9" customWidth="1"/>
    <col min="17" max="17" width="16.109375" style="1" customWidth="1"/>
    <col min="18" max="28" width="11.88671875" style="1" customWidth="1"/>
    <col min="29" max="29" width="7.77734375" style="9"/>
    <col min="30" max="30" width="44.21875" style="1" customWidth="1"/>
    <col min="31" max="33" width="14.33203125" style="1" customWidth="1"/>
    <col min="34" max="34" width="7.77734375" style="9"/>
    <col min="35" max="35" width="44.21875" style="1" customWidth="1"/>
    <col min="36" max="38" width="10.109375" style="1" customWidth="1"/>
    <col min="39" max="40" width="10.88671875" style="1" customWidth="1"/>
    <col min="41" max="41" width="7.77734375" style="9"/>
    <col min="42" max="42" width="44.21875" style="1" customWidth="1"/>
    <col min="43" max="45" width="10.109375" style="1" customWidth="1"/>
    <col min="46" max="46" width="11.21875" style="1" bestFit="1" customWidth="1"/>
    <col min="47" max="47" width="11.44140625" style="1" bestFit="1" customWidth="1"/>
    <col min="48" max="48" width="7.77734375" style="9"/>
    <col min="49" max="49" width="44.21875" style="1" customWidth="1"/>
    <col min="50" max="52" width="10.109375" style="1" customWidth="1"/>
    <col min="53" max="54" width="10.88671875" style="1" customWidth="1"/>
    <col min="55" max="55" width="7.77734375" style="9"/>
    <col min="56" max="56" width="44.21875" style="1" customWidth="1"/>
    <col min="57" max="61" width="10.109375" style="1" customWidth="1"/>
    <col min="62" max="62" width="7.77734375" style="9"/>
    <col min="63" max="63" width="44.21875" style="1" customWidth="1"/>
    <col min="64" max="68" width="10.109375" style="1" customWidth="1"/>
    <col min="69" max="69" width="7.77734375" style="9"/>
    <col min="70" max="70" width="44.21875" style="1" customWidth="1"/>
    <col min="71" max="73" width="10.109375" style="1" customWidth="1"/>
    <col min="74" max="75" width="11.21875" style="1" bestFit="1" customWidth="1"/>
    <col min="76" max="76" width="7.77734375" style="9"/>
    <col min="77" max="77" width="44.21875" style="1" customWidth="1"/>
    <col min="78" max="82" width="10.109375" style="1" customWidth="1"/>
    <col min="83" max="83" width="7.77734375" style="9"/>
    <col min="84" max="84" width="44.21875" style="1" customWidth="1"/>
    <col min="85" max="89" width="10.109375" style="1" customWidth="1"/>
    <col min="90" max="90" width="7.77734375" style="9"/>
    <col min="91" max="91" width="44.21875" style="1" customWidth="1"/>
    <col min="92" max="96" width="10.109375" style="1" customWidth="1"/>
    <col min="97" max="97" width="7.77734375" style="9"/>
    <col min="98" max="98" width="44.21875" style="1" customWidth="1"/>
    <col min="99" max="103" width="10.109375" style="1" customWidth="1"/>
    <col min="104" max="104" width="7.77734375" style="9"/>
    <col min="105" max="105" width="44.21875" style="1" customWidth="1"/>
    <col min="106" max="110" width="10.109375" style="1" customWidth="1"/>
    <col min="111" max="111" width="7.77734375" style="9"/>
    <col min="112" max="112" width="44.21875" style="1" customWidth="1"/>
    <col min="113" max="117" width="10.109375" style="1" customWidth="1"/>
    <col min="118" max="118" width="7.77734375" style="9"/>
    <col min="119" max="119" width="44.21875" style="1" customWidth="1"/>
    <col min="120" max="124" width="10.109375" style="1" customWidth="1"/>
    <col min="125" max="125" width="7.77734375" style="9"/>
    <col min="126" max="126" width="44.21875" style="1" customWidth="1"/>
    <col min="127" max="129" width="10.109375" style="1" customWidth="1"/>
    <col min="130" max="131" width="10.77734375" style="1" customWidth="1"/>
    <col min="132" max="132" width="7.77734375" style="9"/>
    <col min="133" max="133" width="44.21875" style="1" customWidth="1"/>
    <col min="134" max="138" width="10.109375" style="1" customWidth="1"/>
    <col min="139" max="16384" width="7.77734375" style="1"/>
  </cols>
  <sheetData>
    <row r="1" spans="1:138" s="38" customFormat="1" ht="21" customHeight="1" x14ac:dyDescent="0.3">
      <c r="A1" s="97" t="s">
        <v>321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 t="s">
        <v>322</v>
      </c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 t="s">
        <v>323</v>
      </c>
      <c r="AD1" s="97"/>
      <c r="AE1" s="97"/>
      <c r="AF1" s="97"/>
      <c r="AG1" s="97"/>
      <c r="AH1" s="97" t="s">
        <v>324</v>
      </c>
      <c r="AI1" s="97"/>
      <c r="AJ1" s="97"/>
      <c r="AK1" s="97"/>
      <c r="AL1" s="97"/>
      <c r="AM1" s="97"/>
      <c r="AN1" s="97"/>
      <c r="AO1" s="97" t="s">
        <v>325</v>
      </c>
      <c r="AP1" s="97"/>
      <c r="AQ1" s="97"/>
      <c r="AR1" s="97"/>
      <c r="AS1" s="97"/>
      <c r="AT1" s="97"/>
      <c r="AU1" s="97"/>
      <c r="AV1" s="97" t="s">
        <v>326</v>
      </c>
      <c r="AW1" s="97"/>
      <c r="AX1" s="97"/>
      <c r="AY1" s="97"/>
      <c r="AZ1" s="97"/>
      <c r="BA1" s="97"/>
      <c r="BB1" s="97"/>
      <c r="BC1" s="97" t="s">
        <v>327</v>
      </c>
      <c r="BD1" s="97"/>
      <c r="BE1" s="97"/>
      <c r="BF1" s="97"/>
      <c r="BG1" s="97"/>
      <c r="BH1" s="97"/>
      <c r="BI1" s="97"/>
      <c r="BJ1" s="97" t="s">
        <v>328</v>
      </c>
      <c r="BK1" s="97"/>
      <c r="BL1" s="97"/>
      <c r="BM1" s="97"/>
      <c r="BN1" s="97"/>
      <c r="BO1" s="97"/>
      <c r="BP1" s="97"/>
      <c r="BQ1" s="97" t="s">
        <v>329</v>
      </c>
      <c r="BR1" s="97"/>
      <c r="BS1" s="97"/>
      <c r="BT1" s="97"/>
      <c r="BU1" s="97"/>
      <c r="BV1" s="97"/>
      <c r="BW1" s="97"/>
      <c r="BX1" s="97" t="s">
        <v>330</v>
      </c>
      <c r="BY1" s="97"/>
      <c r="BZ1" s="97"/>
      <c r="CA1" s="97"/>
      <c r="CB1" s="97"/>
      <c r="CC1" s="97"/>
      <c r="CD1" s="97"/>
      <c r="CE1" s="97" t="s">
        <v>331</v>
      </c>
      <c r="CF1" s="97"/>
      <c r="CG1" s="97"/>
      <c r="CH1" s="97"/>
      <c r="CI1" s="97"/>
      <c r="CJ1" s="97"/>
      <c r="CK1" s="97"/>
      <c r="CL1" s="97" t="s">
        <v>332</v>
      </c>
      <c r="CM1" s="97"/>
      <c r="CN1" s="97"/>
      <c r="CO1" s="97"/>
      <c r="CP1" s="97"/>
      <c r="CQ1" s="97"/>
      <c r="CR1" s="97"/>
      <c r="CS1" s="97" t="s">
        <v>333</v>
      </c>
      <c r="CT1" s="97"/>
      <c r="CU1" s="97"/>
      <c r="CV1" s="97"/>
      <c r="CW1" s="97"/>
      <c r="CX1" s="97"/>
      <c r="CY1" s="97"/>
      <c r="CZ1" s="97" t="s">
        <v>334</v>
      </c>
      <c r="DA1" s="97"/>
      <c r="DB1" s="97"/>
      <c r="DC1" s="97"/>
      <c r="DD1" s="97"/>
      <c r="DE1" s="97"/>
      <c r="DF1" s="97"/>
      <c r="DG1" s="97" t="s">
        <v>335</v>
      </c>
      <c r="DH1" s="97"/>
      <c r="DI1" s="97"/>
      <c r="DJ1" s="97"/>
      <c r="DK1" s="97"/>
      <c r="DL1" s="97"/>
      <c r="DM1" s="97"/>
      <c r="DN1" s="97" t="s">
        <v>336</v>
      </c>
      <c r="DO1" s="97"/>
      <c r="DP1" s="97"/>
      <c r="DQ1" s="97"/>
      <c r="DR1" s="97"/>
      <c r="DS1" s="97"/>
      <c r="DT1" s="97"/>
      <c r="DU1" s="97" t="s">
        <v>337</v>
      </c>
      <c r="DV1" s="97"/>
      <c r="DW1" s="97"/>
      <c r="DX1" s="97"/>
      <c r="DY1" s="97"/>
      <c r="DZ1" s="97"/>
      <c r="EA1" s="97"/>
      <c r="EB1" s="97" t="s">
        <v>338</v>
      </c>
      <c r="EC1" s="97"/>
      <c r="ED1" s="97"/>
      <c r="EE1" s="97"/>
      <c r="EF1" s="97"/>
      <c r="EG1" s="97"/>
      <c r="EH1" s="97"/>
    </row>
    <row r="2" spans="1:138" s="10" customFormat="1" ht="21" customHeight="1" x14ac:dyDescent="0.3">
      <c r="A2" s="98" t="s">
        <v>0</v>
      </c>
      <c r="B2" s="98" t="s">
        <v>1</v>
      </c>
      <c r="C2" s="98" t="s">
        <v>4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 t="s">
        <v>3</v>
      </c>
      <c r="P2" s="98" t="s">
        <v>0</v>
      </c>
      <c r="Q2" s="98" t="s">
        <v>1</v>
      </c>
      <c r="R2" s="98" t="s">
        <v>4</v>
      </c>
      <c r="S2" s="98"/>
      <c r="T2" s="98"/>
      <c r="U2" s="98"/>
      <c r="V2" s="98"/>
      <c r="W2" s="98"/>
      <c r="X2" s="98"/>
      <c r="Y2" s="98"/>
      <c r="Z2" s="98"/>
      <c r="AA2" s="98"/>
      <c r="AB2" s="98" t="s">
        <v>3</v>
      </c>
      <c r="AC2" s="98" t="s">
        <v>0</v>
      </c>
      <c r="AD2" s="98" t="s">
        <v>1</v>
      </c>
      <c r="AE2" s="98" t="s">
        <v>4</v>
      </c>
      <c r="AF2" s="98"/>
      <c r="AG2" s="98" t="s">
        <v>3</v>
      </c>
      <c r="AH2" s="98" t="s">
        <v>0</v>
      </c>
      <c r="AI2" s="98" t="s">
        <v>1</v>
      </c>
      <c r="AJ2" s="98" t="s">
        <v>2</v>
      </c>
      <c r="AK2" s="98"/>
      <c r="AL2" s="98"/>
      <c r="AM2" s="98"/>
      <c r="AN2" s="98" t="s">
        <v>3</v>
      </c>
      <c r="AO2" s="98" t="s">
        <v>0</v>
      </c>
      <c r="AP2" s="98" t="s">
        <v>1</v>
      </c>
      <c r="AQ2" s="98" t="s">
        <v>2</v>
      </c>
      <c r="AR2" s="98"/>
      <c r="AS2" s="98"/>
      <c r="AT2" s="98"/>
      <c r="AU2" s="98" t="s">
        <v>3</v>
      </c>
      <c r="AV2" s="98" t="s">
        <v>0</v>
      </c>
      <c r="AW2" s="98" t="s">
        <v>1</v>
      </c>
      <c r="AX2" s="98" t="s">
        <v>2</v>
      </c>
      <c r="AY2" s="98"/>
      <c r="AZ2" s="98"/>
      <c r="BA2" s="98"/>
      <c r="BB2" s="98" t="s">
        <v>3</v>
      </c>
      <c r="BC2" s="98" t="s">
        <v>0</v>
      </c>
      <c r="BD2" s="98" t="s">
        <v>1</v>
      </c>
      <c r="BE2" s="98" t="s">
        <v>2</v>
      </c>
      <c r="BF2" s="98"/>
      <c r="BG2" s="98"/>
      <c r="BH2" s="98"/>
      <c r="BI2" s="98" t="s">
        <v>3</v>
      </c>
      <c r="BJ2" s="98" t="s">
        <v>0</v>
      </c>
      <c r="BK2" s="98" t="s">
        <v>1</v>
      </c>
      <c r="BL2" s="98" t="s">
        <v>2</v>
      </c>
      <c r="BM2" s="98"/>
      <c r="BN2" s="98"/>
      <c r="BO2" s="98"/>
      <c r="BP2" s="98" t="s">
        <v>3</v>
      </c>
      <c r="BQ2" s="98" t="s">
        <v>0</v>
      </c>
      <c r="BR2" s="98" t="s">
        <v>1</v>
      </c>
      <c r="BS2" s="98" t="s">
        <v>2</v>
      </c>
      <c r="BT2" s="98"/>
      <c r="BU2" s="98"/>
      <c r="BV2" s="98"/>
      <c r="BW2" s="98" t="s">
        <v>3</v>
      </c>
      <c r="BX2" s="98" t="s">
        <v>0</v>
      </c>
      <c r="BY2" s="98" t="s">
        <v>1</v>
      </c>
      <c r="BZ2" s="98" t="s">
        <v>2</v>
      </c>
      <c r="CA2" s="98"/>
      <c r="CB2" s="98"/>
      <c r="CC2" s="98"/>
      <c r="CD2" s="98" t="s">
        <v>3</v>
      </c>
      <c r="CE2" s="98" t="s">
        <v>0</v>
      </c>
      <c r="CF2" s="98" t="s">
        <v>1</v>
      </c>
      <c r="CG2" s="98" t="s">
        <v>2</v>
      </c>
      <c r="CH2" s="98"/>
      <c r="CI2" s="98"/>
      <c r="CJ2" s="98"/>
      <c r="CK2" s="98" t="s">
        <v>3</v>
      </c>
      <c r="CL2" s="98" t="s">
        <v>0</v>
      </c>
      <c r="CM2" s="98" t="s">
        <v>1</v>
      </c>
      <c r="CN2" s="98" t="s">
        <v>2</v>
      </c>
      <c r="CO2" s="98"/>
      <c r="CP2" s="98"/>
      <c r="CQ2" s="98"/>
      <c r="CR2" s="98" t="s">
        <v>3</v>
      </c>
      <c r="CS2" s="98" t="s">
        <v>0</v>
      </c>
      <c r="CT2" s="98" t="s">
        <v>1</v>
      </c>
      <c r="CU2" s="98" t="s">
        <v>2</v>
      </c>
      <c r="CV2" s="98"/>
      <c r="CW2" s="98"/>
      <c r="CX2" s="98"/>
      <c r="CY2" s="98" t="s">
        <v>3</v>
      </c>
      <c r="CZ2" s="98" t="s">
        <v>0</v>
      </c>
      <c r="DA2" s="98" t="s">
        <v>1</v>
      </c>
      <c r="DB2" s="98" t="s">
        <v>2</v>
      </c>
      <c r="DC2" s="98"/>
      <c r="DD2" s="98"/>
      <c r="DE2" s="98"/>
      <c r="DF2" s="98" t="s">
        <v>3</v>
      </c>
      <c r="DG2" s="98" t="s">
        <v>0</v>
      </c>
      <c r="DH2" s="98" t="s">
        <v>1</v>
      </c>
      <c r="DI2" s="98" t="s">
        <v>2</v>
      </c>
      <c r="DJ2" s="98"/>
      <c r="DK2" s="98"/>
      <c r="DL2" s="98"/>
      <c r="DM2" s="98" t="s">
        <v>3</v>
      </c>
      <c r="DN2" s="98" t="s">
        <v>0</v>
      </c>
      <c r="DO2" s="98" t="s">
        <v>1</v>
      </c>
      <c r="DP2" s="98" t="s">
        <v>2</v>
      </c>
      <c r="DQ2" s="98"/>
      <c r="DR2" s="98"/>
      <c r="DS2" s="98"/>
      <c r="DT2" s="98" t="s">
        <v>3</v>
      </c>
      <c r="DU2" s="98" t="s">
        <v>0</v>
      </c>
      <c r="DV2" s="98" t="s">
        <v>1</v>
      </c>
      <c r="DW2" s="98" t="s">
        <v>2</v>
      </c>
      <c r="DX2" s="98"/>
      <c r="DY2" s="98"/>
      <c r="DZ2" s="98"/>
      <c r="EA2" s="98" t="s">
        <v>3</v>
      </c>
      <c r="EB2" s="98" t="s">
        <v>0</v>
      </c>
      <c r="EC2" s="98" t="s">
        <v>1</v>
      </c>
      <c r="ED2" s="98" t="s">
        <v>2</v>
      </c>
      <c r="EE2" s="98"/>
      <c r="EF2" s="98"/>
      <c r="EG2" s="98"/>
      <c r="EH2" s="98" t="s">
        <v>3</v>
      </c>
    </row>
    <row r="3" spans="1:138" s="10" customFormat="1" ht="48.6" customHeight="1" x14ac:dyDescent="0.3">
      <c r="A3" s="98"/>
      <c r="B3" s="98"/>
      <c r="C3" s="11" t="s">
        <v>9</v>
      </c>
      <c r="D3" s="11" t="s">
        <v>10</v>
      </c>
      <c r="E3" s="11" t="s">
        <v>11</v>
      </c>
      <c r="F3" s="11" t="s">
        <v>12</v>
      </c>
      <c r="G3" s="24" t="s">
        <v>13</v>
      </c>
      <c r="H3" s="24" t="s">
        <v>14</v>
      </c>
      <c r="I3" s="24" t="s">
        <v>15</v>
      </c>
      <c r="J3" s="24" t="s">
        <v>16</v>
      </c>
      <c r="K3" s="24" t="s">
        <v>17</v>
      </c>
      <c r="L3" s="24" t="s">
        <v>18</v>
      </c>
      <c r="M3" s="24" t="s">
        <v>19</v>
      </c>
      <c r="N3" s="24" t="s">
        <v>20</v>
      </c>
      <c r="O3" s="98"/>
      <c r="P3" s="98"/>
      <c r="Q3" s="98"/>
      <c r="R3" s="11" t="s">
        <v>9</v>
      </c>
      <c r="S3" s="11" t="s">
        <v>10</v>
      </c>
      <c r="T3" s="11" t="s">
        <v>11</v>
      </c>
      <c r="U3" s="11" t="s">
        <v>12</v>
      </c>
      <c r="V3" s="24" t="s">
        <v>13</v>
      </c>
      <c r="W3" s="24" t="s">
        <v>14</v>
      </c>
      <c r="X3" s="24" t="s">
        <v>15</v>
      </c>
      <c r="Y3" s="24" t="s">
        <v>16</v>
      </c>
      <c r="Z3" s="24" t="s">
        <v>17</v>
      </c>
      <c r="AA3" s="24" t="s">
        <v>18</v>
      </c>
      <c r="AB3" s="98"/>
      <c r="AC3" s="98"/>
      <c r="AD3" s="98"/>
      <c r="AE3" s="24" t="s">
        <v>19</v>
      </c>
      <c r="AF3" s="24" t="s">
        <v>20</v>
      </c>
      <c r="AG3" s="98"/>
      <c r="AH3" s="98"/>
      <c r="AI3" s="98"/>
      <c r="AJ3" s="11" t="s">
        <v>5</v>
      </c>
      <c r="AK3" s="11" t="s">
        <v>6</v>
      </c>
      <c r="AL3" s="11" t="s">
        <v>7</v>
      </c>
      <c r="AM3" s="11" t="s">
        <v>8</v>
      </c>
      <c r="AN3" s="98"/>
      <c r="AO3" s="98"/>
      <c r="AP3" s="98"/>
      <c r="AQ3" s="11" t="s">
        <v>5</v>
      </c>
      <c r="AR3" s="11" t="s">
        <v>6</v>
      </c>
      <c r="AS3" s="11" t="s">
        <v>7</v>
      </c>
      <c r="AT3" s="11" t="s">
        <v>8</v>
      </c>
      <c r="AU3" s="98"/>
      <c r="AV3" s="98"/>
      <c r="AW3" s="98"/>
      <c r="AX3" s="11" t="s">
        <v>5</v>
      </c>
      <c r="AY3" s="11" t="s">
        <v>6</v>
      </c>
      <c r="AZ3" s="11" t="s">
        <v>7</v>
      </c>
      <c r="BA3" s="11" t="s">
        <v>8</v>
      </c>
      <c r="BB3" s="98"/>
      <c r="BC3" s="98"/>
      <c r="BD3" s="98"/>
      <c r="BE3" s="11" t="s">
        <v>5</v>
      </c>
      <c r="BF3" s="11" t="s">
        <v>6</v>
      </c>
      <c r="BG3" s="11" t="s">
        <v>7</v>
      </c>
      <c r="BH3" s="11" t="s">
        <v>8</v>
      </c>
      <c r="BI3" s="98"/>
      <c r="BJ3" s="98"/>
      <c r="BK3" s="98"/>
      <c r="BL3" s="11" t="s">
        <v>5</v>
      </c>
      <c r="BM3" s="11" t="s">
        <v>6</v>
      </c>
      <c r="BN3" s="11" t="s">
        <v>7</v>
      </c>
      <c r="BO3" s="11" t="s">
        <v>8</v>
      </c>
      <c r="BP3" s="98"/>
      <c r="BQ3" s="98"/>
      <c r="BR3" s="98"/>
      <c r="BS3" s="11" t="s">
        <v>5</v>
      </c>
      <c r="BT3" s="11" t="s">
        <v>6</v>
      </c>
      <c r="BU3" s="11" t="s">
        <v>7</v>
      </c>
      <c r="BV3" s="11" t="s">
        <v>8</v>
      </c>
      <c r="BW3" s="98"/>
      <c r="BX3" s="98"/>
      <c r="BY3" s="98"/>
      <c r="BZ3" s="11" t="s">
        <v>5</v>
      </c>
      <c r="CA3" s="11" t="s">
        <v>6</v>
      </c>
      <c r="CB3" s="11" t="s">
        <v>7</v>
      </c>
      <c r="CC3" s="11" t="s">
        <v>8</v>
      </c>
      <c r="CD3" s="98"/>
      <c r="CE3" s="98"/>
      <c r="CF3" s="98"/>
      <c r="CG3" s="11" t="s">
        <v>5</v>
      </c>
      <c r="CH3" s="11" t="s">
        <v>6</v>
      </c>
      <c r="CI3" s="11" t="s">
        <v>7</v>
      </c>
      <c r="CJ3" s="11" t="s">
        <v>8</v>
      </c>
      <c r="CK3" s="98"/>
      <c r="CL3" s="98"/>
      <c r="CM3" s="98"/>
      <c r="CN3" s="11" t="s">
        <v>5</v>
      </c>
      <c r="CO3" s="11" t="s">
        <v>6</v>
      </c>
      <c r="CP3" s="11" t="s">
        <v>7</v>
      </c>
      <c r="CQ3" s="11" t="s">
        <v>8</v>
      </c>
      <c r="CR3" s="98"/>
      <c r="CS3" s="98"/>
      <c r="CT3" s="98"/>
      <c r="CU3" s="11" t="s">
        <v>5</v>
      </c>
      <c r="CV3" s="11" t="s">
        <v>6</v>
      </c>
      <c r="CW3" s="11" t="s">
        <v>7</v>
      </c>
      <c r="CX3" s="11" t="s">
        <v>8</v>
      </c>
      <c r="CY3" s="98"/>
      <c r="CZ3" s="98"/>
      <c r="DA3" s="98"/>
      <c r="DB3" s="11" t="s">
        <v>5</v>
      </c>
      <c r="DC3" s="11" t="s">
        <v>6</v>
      </c>
      <c r="DD3" s="11" t="s">
        <v>7</v>
      </c>
      <c r="DE3" s="11" t="s">
        <v>8</v>
      </c>
      <c r="DF3" s="98"/>
      <c r="DG3" s="98"/>
      <c r="DH3" s="98"/>
      <c r="DI3" s="11" t="s">
        <v>5</v>
      </c>
      <c r="DJ3" s="11" t="s">
        <v>6</v>
      </c>
      <c r="DK3" s="11" t="s">
        <v>7</v>
      </c>
      <c r="DL3" s="11" t="s">
        <v>8</v>
      </c>
      <c r="DM3" s="98"/>
      <c r="DN3" s="98"/>
      <c r="DO3" s="98"/>
      <c r="DP3" s="11" t="s">
        <v>5</v>
      </c>
      <c r="DQ3" s="11" t="s">
        <v>6</v>
      </c>
      <c r="DR3" s="11" t="s">
        <v>7</v>
      </c>
      <c r="DS3" s="11" t="s">
        <v>8</v>
      </c>
      <c r="DT3" s="98"/>
      <c r="DU3" s="98"/>
      <c r="DV3" s="98"/>
      <c r="DW3" s="11" t="s">
        <v>5</v>
      </c>
      <c r="DX3" s="11" t="s">
        <v>6</v>
      </c>
      <c r="DY3" s="11" t="s">
        <v>7</v>
      </c>
      <c r="DZ3" s="11" t="s">
        <v>8</v>
      </c>
      <c r="EA3" s="98"/>
      <c r="EB3" s="98"/>
      <c r="EC3" s="98"/>
      <c r="ED3" s="11" t="s">
        <v>5</v>
      </c>
      <c r="EE3" s="11" t="s">
        <v>6</v>
      </c>
      <c r="EF3" s="11" t="s">
        <v>7</v>
      </c>
      <c r="EG3" s="11" t="s">
        <v>8</v>
      </c>
      <c r="EH3" s="98"/>
    </row>
    <row r="4" spans="1:138" ht="10.199999999999999" customHeight="1" x14ac:dyDescent="0.2">
      <c r="A4" s="7" t="s">
        <v>110</v>
      </c>
      <c r="B4" s="2" t="s">
        <v>38</v>
      </c>
      <c r="C4" s="3">
        <f>BI4</f>
        <v>40130.329950464475</v>
      </c>
      <c r="D4" s="3">
        <f>BP4</f>
        <v>1113952.767740421</v>
      </c>
      <c r="E4" s="3">
        <f>BW4</f>
        <v>192661.50272960524</v>
      </c>
      <c r="F4" s="3">
        <f>CD4</f>
        <v>17122.121728343584</v>
      </c>
      <c r="G4" s="3">
        <f>CK4</f>
        <v>4806208.6579437321</v>
      </c>
      <c r="H4" s="3">
        <f>CR4</f>
        <v>0</v>
      </c>
      <c r="I4" s="3">
        <f>CY4</f>
        <v>11322.844755271817</v>
      </c>
      <c r="J4" s="3">
        <f>DM4</f>
        <v>1327.9936645285081</v>
      </c>
      <c r="K4" s="3">
        <f>DF4</f>
        <v>33464.075476764425</v>
      </c>
      <c r="L4" s="3">
        <f>DT4</f>
        <v>83598.104895293072</v>
      </c>
      <c r="M4" s="3">
        <f>EH4</f>
        <v>97259.634284522122</v>
      </c>
      <c r="N4" s="3">
        <f>EA4</f>
        <v>5115.456102103406</v>
      </c>
      <c r="O4" s="3">
        <f>SUM(C4:N4)</f>
        <v>6402163.4892710494</v>
      </c>
      <c r="P4" s="7" t="s">
        <v>110</v>
      </c>
      <c r="Q4" s="2" t="s">
        <v>38</v>
      </c>
      <c r="R4" s="3">
        <f t="shared" ref="R4:AA4" si="0">C4</f>
        <v>40130.329950464475</v>
      </c>
      <c r="S4" s="3">
        <f t="shared" si="0"/>
        <v>1113952.767740421</v>
      </c>
      <c r="T4" s="3">
        <f t="shared" si="0"/>
        <v>192661.50272960524</v>
      </c>
      <c r="U4" s="3">
        <f t="shared" si="0"/>
        <v>17122.121728343584</v>
      </c>
      <c r="V4" s="3">
        <f t="shared" si="0"/>
        <v>4806208.6579437321</v>
      </c>
      <c r="W4" s="3">
        <f t="shared" si="0"/>
        <v>0</v>
      </c>
      <c r="X4" s="3">
        <f t="shared" si="0"/>
        <v>11322.844755271817</v>
      </c>
      <c r="Y4" s="3">
        <f t="shared" si="0"/>
        <v>1327.9936645285081</v>
      </c>
      <c r="Z4" s="3">
        <f t="shared" si="0"/>
        <v>33464.075476764425</v>
      </c>
      <c r="AA4" s="3">
        <f t="shared" si="0"/>
        <v>83598.104895293072</v>
      </c>
      <c r="AB4" s="3">
        <f>SUM(R4:AA4)</f>
        <v>6299788.398884424</v>
      </c>
      <c r="AC4" s="7" t="s">
        <v>110</v>
      </c>
      <c r="AD4" s="2" t="s">
        <v>38</v>
      </c>
      <c r="AE4" s="3">
        <f>M4</f>
        <v>97259.634284522122</v>
      </c>
      <c r="AF4" s="3">
        <f>N4</f>
        <v>5115.456102103406</v>
      </c>
      <c r="AG4" s="3">
        <f>SUM(AE4:AF4)</f>
        <v>102375.09038662552</v>
      </c>
      <c r="AH4" s="7" t="s">
        <v>110</v>
      </c>
      <c r="AI4" s="2" t="s">
        <v>38</v>
      </c>
      <c r="AJ4" s="3">
        <f>AQ4+AX4</f>
        <v>4588858.1536396351</v>
      </c>
      <c r="AK4" s="3">
        <f t="shared" ref="AK4:AM19" si="1">AR4+AY4</f>
        <v>1169986.1676573395</v>
      </c>
      <c r="AL4" s="3">
        <f t="shared" si="1"/>
        <v>643319.1679740746</v>
      </c>
      <c r="AM4" s="3">
        <f t="shared" si="1"/>
        <v>0</v>
      </c>
      <c r="AN4" s="3">
        <f>SUM(AJ4:AM4)</f>
        <v>6402163.4892710494</v>
      </c>
      <c r="AO4" s="7" t="s">
        <v>110</v>
      </c>
      <c r="AP4" s="2" t="s">
        <v>38</v>
      </c>
      <c r="AQ4" s="3">
        <f>BE4+BL4+BS4+BZ4+CG4+CN4+CU4+DB4+DI4+DP4</f>
        <v>4488780.3876216831</v>
      </c>
      <c r="AR4" s="3">
        <f t="shared" ref="AR4:AT19" si="2">BF4+BM4+BT4+CA4+CH4+CO4+CV4+DC4+DJ4+DQ4</f>
        <v>1167688.8432886656</v>
      </c>
      <c r="AS4" s="3">
        <f t="shared" si="2"/>
        <v>643319.1679740746</v>
      </c>
      <c r="AT4" s="3">
        <f t="shared" si="2"/>
        <v>0</v>
      </c>
      <c r="AU4" s="3">
        <f>SUM(AQ4:AT4)</f>
        <v>6299788.3988844231</v>
      </c>
      <c r="AV4" s="7" t="s">
        <v>110</v>
      </c>
      <c r="AW4" s="2" t="s">
        <v>38</v>
      </c>
      <c r="AX4" s="3">
        <f>DW4+ED4</f>
        <v>100077.76601795174</v>
      </c>
      <c r="AY4" s="3">
        <f t="shared" ref="AY4:BA19" si="3">DX4+EE4</f>
        <v>2297.3243686737951</v>
      </c>
      <c r="AZ4" s="3">
        <f t="shared" si="3"/>
        <v>0</v>
      </c>
      <c r="BA4" s="3">
        <f t="shared" si="3"/>
        <v>0</v>
      </c>
      <c r="BB4" s="3">
        <f>SUM(AX4:BA4)</f>
        <v>102375.09038662554</v>
      </c>
      <c r="BC4" s="7" t="s">
        <v>110</v>
      </c>
      <c r="BD4" s="2" t="s">
        <v>38</v>
      </c>
      <c r="BE4" s="3">
        <v>40130.329950464475</v>
      </c>
      <c r="BF4" s="3">
        <v>0</v>
      </c>
      <c r="BG4" s="3">
        <v>0</v>
      </c>
      <c r="BH4" s="3">
        <v>0</v>
      </c>
      <c r="BI4" s="3">
        <v>40130.329950464475</v>
      </c>
      <c r="BJ4" s="7" t="s">
        <v>110</v>
      </c>
      <c r="BK4" s="2" t="s">
        <v>38</v>
      </c>
      <c r="BL4" s="3">
        <v>38166.662733766178</v>
      </c>
      <c r="BM4" s="3">
        <v>432466.93703258014</v>
      </c>
      <c r="BN4" s="3">
        <v>643319.1679740746</v>
      </c>
      <c r="BO4" s="3">
        <v>0</v>
      </c>
      <c r="BP4" s="3">
        <v>1113952.767740421</v>
      </c>
      <c r="BQ4" s="7" t="s">
        <v>110</v>
      </c>
      <c r="BR4" s="2" t="s">
        <v>38</v>
      </c>
      <c r="BS4" s="3">
        <v>192661.50272960524</v>
      </c>
      <c r="BT4" s="3">
        <v>0</v>
      </c>
      <c r="BU4" s="3">
        <v>0</v>
      </c>
      <c r="BV4" s="3">
        <v>0</v>
      </c>
      <c r="BW4" s="3">
        <v>192661.50272960524</v>
      </c>
      <c r="BX4" s="7" t="s">
        <v>110</v>
      </c>
      <c r="BY4" s="2" t="s">
        <v>38</v>
      </c>
      <c r="BZ4" s="3">
        <v>17122.121728343584</v>
      </c>
      <c r="CA4" s="3">
        <v>0</v>
      </c>
      <c r="CB4" s="3">
        <v>0</v>
      </c>
      <c r="CC4" s="3">
        <v>0</v>
      </c>
      <c r="CD4" s="3">
        <v>17122.121728343584</v>
      </c>
      <c r="CE4" s="7" t="s">
        <v>110</v>
      </c>
      <c r="CF4" s="2" t="s">
        <v>38</v>
      </c>
      <c r="CG4" s="3">
        <v>4070986.7516876468</v>
      </c>
      <c r="CH4" s="3">
        <v>735221.90625608538</v>
      </c>
      <c r="CI4" s="3">
        <v>0</v>
      </c>
      <c r="CJ4" s="3">
        <v>0</v>
      </c>
      <c r="CK4" s="3">
        <v>4806208.6579437321</v>
      </c>
      <c r="CL4" s="7" t="s">
        <v>110</v>
      </c>
      <c r="CM4" s="2" t="s">
        <v>38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7" t="s">
        <v>110</v>
      </c>
      <c r="CT4" s="2" t="s">
        <v>38</v>
      </c>
      <c r="CU4" s="3">
        <v>11322.844755271817</v>
      </c>
      <c r="CV4" s="3">
        <v>0</v>
      </c>
      <c r="CW4" s="3">
        <v>0</v>
      </c>
      <c r="CX4" s="3">
        <v>0</v>
      </c>
      <c r="CY4" s="3">
        <v>11322.844755271817</v>
      </c>
      <c r="CZ4" s="7" t="s">
        <v>110</v>
      </c>
      <c r="DA4" s="2" t="s">
        <v>38</v>
      </c>
      <c r="DB4" s="3">
        <v>33464.075476764425</v>
      </c>
      <c r="DC4" s="3">
        <v>0</v>
      </c>
      <c r="DD4" s="3">
        <v>0</v>
      </c>
      <c r="DE4" s="3">
        <v>0</v>
      </c>
      <c r="DF4" s="3">
        <v>33464.075476764425</v>
      </c>
      <c r="DG4" s="7" t="s">
        <v>110</v>
      </c>
      <c r="DH4" s="2" t="s">
        <v>38</v>
      </c>
      <c r="DI4" s="3">
        <v>1327.9936645285081</v>
      </c>
      <c r="DJ4" s="3">
        <v>0</v>
      </c>
      <c r="DK4" s="3">
        <v>0</v>
      </c>
      <c r="DL4" s="3">
        <v>0</v>
      </c>
      <c r="DM4" s="3">
        <v>1327.9936645285081</v>
      </c>
      <c r="DN4" s="7" t="s">
        <v>110</v>
      </c>
      <c r="DO4" s="2" t="s">
        <v>38</v>
      </c>
      <c r="DP4" s="3">
        <v>83598.104895293072</v>
      </c>
      <c r="DQ4" s="3">
        <v>0</v>
      </c>
      <c r="DR4" s="3">
        <v>0</v>
      </c>
      <c r="DS4" s="3">
        <v>0</v>
      </c>
      <c r="DT4" s="3">
        <v>83598.104895293072</v>
      </c>
      <c r="DU4" s="7" t="s">
        <v>110</v>
      </c>
      <c r="DV4" s="2" t="s">
        <v>38</v>
      </c>
      <c r="DW4" s="3">
        <v>2818.1317334296109</v>
      </c>
      <c r="DX4" s="3">
        <v>2297.3243686737951</v>
      </c>
      <c r="DY4" s="3">
        <v>0</v>
      </c>
      <c r="DZ4" s="3">
        <v>0</v>
      </c>
      <c r="EA4" s="3">
        <v>5115.456102103406</v>
      </c>
      <c r="EB4" s="7" t="s">
        <v>110</v>
      </c>
      <c r="EC4" s="2" t="s">
        <v>38</v>
      </c>
      <c r="ED4" s="3">
        <v>97259.634284522122</v>
      </c>
      <c r="EE4" s="3">
        <v>0</v>
      </c>
      <c r="EF4" s="3">
        <v>0</v>
      </c>
      <c r="EG4" s="3">
        <v>0</v>
      </c>
      <c r="EH4" s="3">
        <v>97259.634284522122</v>
      </c>
    </row>
    <row r="5" spans="1:138" ht="10.199999999999999" customHeight="1" x14ac:dyDescent="0.2">
      <c r="A5" s="7" t="s">
        <v>113</v>
      </c>
      <c r="B5" s="2" t="s">
        <v>41</v>
      </c>
      <c r="C5" s="3">
        <f t="shared" ref="C5:C41" si="4">BI5</f>
        <v>0</v>
      </c>
      <c r="D5" s="3">
        <f t="shared" ref="D5:D41" si="5">BP5</f>
        <v>10859.742815315478</v>
      </c>
      <c r="E5" s="3">
        <f t="shared" ref="E5:E41" si="6">BW5</f>
        <v>0</v>
      </c>
      <c r="F5" s="3">
        <f t="shared" ref="F5:F41" si="7">CD5</f>
        <v>0</v>
      </c>
      <c r="G5" s="3">
        <f t="shared" ref="G5:G41" si="8">CK5</f>
        <v>4824.89375980556</v>
      </c>
      <c r="H5" s="3">
        <f t="shared" ref="H5:H41" si="9">CR5</f>
        <v>0</v>
      </c>
      <c r="I5" s="3">
        <f t="shared" ref="I5:I41" si="10">CY5</f>
        <v>0</v>
      </c>
      <c r="J5" s="3">
        <f t="shared" ref="J5:J41" si="11">DM5</f>
        <v>0</v>
      </c>
      <c r="K5" s="3">
        <f t="shared" ref="K5:K41" si="12">DF5</f>
        <v>0</v>
      </c>
      <c r="L5" s="3">
        <f t="shared" ref="L5:L41" si="13">DT5</f>
        <v>1142747.0076220685</v>
      </c>
      <c r="M5" s="3">
        <f t="shared" ref="M5:M41" si="14">EH5</f>
        <v>217648.93562613186</v>
      </c>
      <c r="N5" s="3">
        <f t="shared" ref="N5:N41" si="15">EA5</f>
        <v>979960.32028768864</v>
      </c>
      <c r="O5" s="3">
        <f t="shared" ref="O5:O41" si="16">SUM(C5:N5)</f>
        <v>2356040.9001110103</v>
      </c>
      <c r="P5" s="7" t="s">
        <v>113</v>
      </c>
      <c r="Q5" s="2" t="s">
        <v>41</v>
      </c>
      <c r="R5" s="3">
        <f t="shared" ref="R5:AA30" si="17">C5</f>
        <v>0</v>
      </c>
      <c r="S5" s="3">
        <f t="shared" si="17"/>
        <v>10859.742815315478</v>
      </c>
      <c r="T5" s="3">
        <f t="shared" si="17"/>
        <v>0</v>
      </c>
      <c r="U5" s="3">
        <f t="shared" si="17"/>
        <v>0</v>
      </c>
      <c r="V5" s="3">
        <f t="shared" si="17"/>
        <v>4824.89375980556</v>
      </c>
      <c r="W5" s="3">
        <f t="shared" si="17"/>
        <v>0</v>
      </c>
      <c r="X5" s="3">
        <f t="shared" si="17"/>
        <v>0</v>
      </c>
      <c r="Y5" s="3">
        <f t="shared" si="17"/>
        <v>0</v>
      </c>
      <c r="Z5" s="3">
        <f t="shared" si="17"/>
        <v>0</v>
      </c>
      <c r="AA5" s="3">
        <f t="shared" si="17"/>
        <v>1142747.0076220685</v>
      </c>
      <c r="AB5" s="3">
        <f t="shared" ref="AB5:AB41" si="18">SUM(R5:AA5)</f>
        <v>1158431.6441971895</v>
      </c>
      <c r="AC5" s="7" t="s">
        <v>113</v>
      </c>
      <c r="AD5" s="2" t="s">
        <v>41</v>
      </c>
      <c r="AE5" s="3">
        <f t="shared" ref="AE5:AF41" si="19">M5</f>
        <v>217648.93562613186</v>
      </c>
      <c r="AF5" s="3">
        <f t="shared" si="19"/>
        <v>979960.32028768864</v>
      </c>
      <c r="AG5" s="3">
        <f t="shared" ref="AG5:AG41" si="20">SUM(AE5:AF5)</f>
        <v>1197609.2559138206</v>
      </c>
      <c r="AH5" s="7" t="s">
        <v>113</v>
      </c>
      <c r="AI5" s="2" t="s">
        <v>41</v>
      </c>
      <c r="AJ5" s="3">
        <f t="shared" ref="AJ5:AM41" si="21">AQ5+AX5</f>
        <v>1373194.1012098929</v>
      </c>
      <c r="AK5" s="3">
        <f t="shared" si="1"/>
        <v>161061.6848339003</v>
      </c>
      <c r="AL5" s="3">
        <f t="shared" si="1"/>
        <v>821785.11406721699</v>
      </c>
      <c r="AM5" s="3">
        <f t="shared" si="1"/>
        <v>0</v>
      </c>
      <c r="AN5" s="3">
        <f t="shared" ref="AN5:AN41" si="22">SUM(AJ5:AM5)</f>
        <v>2356040.9001110103</v>
      </c>
      <c r="AO5" s="7" t="s">
        <v>113</v>
      </c>
      <c r="AP5" s="2" t="s">
        <v>41</v>
      </c>
      <c r="AQ5" s="3">
        <f t="shared" ref="AQ5:AT41" si="23">BE5+BL5+BS5+BZ5+CG5+CN5+CU5+DB5+DI5+DP5</f>
        <v>1155943.9116077505</v>
      </c>
      <c r="AR5" s="3">
        <f t="shared" si="2"/>
        <v>2487.7325894391624</v>
      </c>
      <c r="AS5" s="3">
        <f t="shared" si="2"/>
        <v>0</v>
      </c>
      <c r="AT5" s="3">
        <f t="shared" si="2"/>
        <v>0</v>
      </c>
      <c r="AU5" s="3">
        <f t="shared" ref="AU5:AU41" si="24">SUM(AQ5:AT5)</f>
        <v>1158431.6441971897</v>
      </c>
      <c r="AV5" s="7" t="s">
        <v>113</v>
      </c>
      <c r="AW5" s="2" t="s">
        <v>41</v>
      </c>
      <c r="AX5" s="3">
        <f t="shared" ref="AX5:BA41" si="25">DW5+ED5</f>
        <v>217250.18960214237</v>
      </c>
      <c r="AY5" s="3">
        <f t="shared" si="3"/>
        <v>158573.95224446114</v>
      </c>
      <c r="AZ5" s="3">
        <f t="shared" si="3"/>
        <v>821785.11406721699</v>
      </c>
      <c r="BA5" s="3">
        <f t="shared" si="3"/>
        <v>0</v>
      </c>
      <c r="BB5" s="3">
        <f t="shared" ref="BB5:BB41" si="26">SUM(AX5:BA5)</f>
        <v>1197609.2559138206</v>
      </c>
      <c r="BC5" s="7" t="s">
        <v>113</v>
      </c>
      <c r="BD5" s="2" t="s">
        <v>41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7" t="s">
        <v>113</v>
      </c>
      <c r="BK5" s="2" t="s">
        <v>41</v>
      </c>
      <c r="BL5" s="3">
        <v>9633.3667828045254</v>
      </c>
      <c r="BM5" s="3">
        <v>1226.3760325109517</v>
      </c>
      <c r="BN5" s="3">
        <v>0</v>
      </c>
      <c r="BO5" s="3">
        <v>0</v>
      </c>
      <c r="BP5" s="3">
        <v>10859.742815315478</v>
      </c>
      <c r="BQ5" s="7" t="s">
        <v>113</v>
      </c>
      <c r="BR5" s="2" t="s">
        <v>41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7" t="s">
        <v>113</v>
      </c>
      <c r="BY5" s="2" t="s">
        <v>41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7" t="s">
        <v>113</v>
      </c>
      <c r="CF5" s="2" t="s">
        <v>41</v>
      </c>
      <c r="CG5" s="3">
        <v>4824.89375980556</v>
      </c>
      <c r="CH5" s="3">
        <v>0</v>
      </c>
      <c r="CI5" s="3">
        <v>0</v>
      </c>
      <c r="CJ5" s="3">
        <v>0</v>
      </c>
      <c r="CK5" s="3">
        <v>4824.89375980556</v>
      </c>
      <c r="CL5" s="7" t="s">
        <v>113</v>
      </c>
      <c r="CM5" s="2" t="s">
        <v>41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7" t="s">
        <v>113</v>
      </c>
      <c r="CT5" s="2" t="s">
        <v>41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7" t="s">
        <v>113</v>
      </c>
      <c r="DA5" s="2" t="s">
        <v>41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7" t="s">
        <v>113</v>
      </c>
      <c r="DH5" s="2" t="s">
        <v>41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7" t="s">
        <v>113</v>
      </c>
      <c r="DO5" s="2" t="s">
        <v>41</v>
      </c>
      <c r="DP5" s="3">
        <v>1141485.6510651403</v>
      </c>
      <c r="DQ5" s="3">
        <v>1261.3565569282105</v>
      </c>
      <c r="DR5" s="3">
        <v>0</v>
      </c>
      <c r="DS5" s="3">
        <v>0</v>
      </c>
      <c r="DT5" s="3">
        <v>1142747.0076220685</v>
      </c>
      <c r="DU5" s="7" t="s">
        <v>113</v>
      </c>
      <c r="DV5" s="2" t="s">
        <v>41</v>
      </c>
      <c r="DW5" s="3">
        <v>12688.085463879057</v>
      </c>
      <c r="DX5" s="3">
        <v>145487.1207565926</v>
      </c>
      <c r="DY5" s="3">
        <v>821785.11406721699</v>
      </c>
      <c r="DZ5" s="3">
        <v>0</v>
      </c>
      <c r="EA5" s="3">
        <v>979960.32028768864</v>
      </c>
      <c r="EB5" s="7" t="s">
        <v>113</v>
      </c>
      <c r="EC5" s="2" t="s">
        <v>41</v>
      </c>
      <c r="ED5" s="3">
        <v>204562.10413826333</v>
      </c>
      <c r="EE5" s="3">
        <v>13086.831487868545</v>
      </c>
      <c r="EF5" s="3">
        <v>0</v>
      </c>
      <c r="EG5" s="3">
        <v>0</v>
      </c>
      <c r="EH5" s="3">
        <v>217648.93562613186</v>
      </c>
    </row>
    <row r="6" spans="1:138" ht="10.199999999999999" customHeight="1" x14ac:dyDescent="0.2">
      <c r="A6" s="7" t="s">
        <v>119</v>
      </c>
      <c r="B6" s="2" t="s">
        <v>47</v>
      </c>
      <c r="C6" s="3">
        <f t="shared" si="4"/>
        <v>0</v>
      </c>
      <c r="D6" s="3">
        <f t="shared" si="5"/>
        <v>7326.6119956526281</v>
      </c>
      <c r="E6" s="3">
        <f t="shared" si="6"/>
        <v>8395325.8601420857</v>
      </c>
      <c r="F6" s="3">
        <f t="shared" si="7"/>
        <v>11357262.517531034</v>
      </c>
      <c r="G6" s="3">
        <f t="shared" si="8"/>
        <v>0</v>
      </c>
      <c r="H6" s="3">
        <f t="shared" si="9"/>
        <v>0</v>
      </c>
      <c r="I6" s="3">
        <f t="shared" si="10"/>
        <v>1884341.5631510459</v>
      </c>
      <c r="J6" s="3">
        <f t="shared" si="11"/>
        <v>0</v>
      </c>
      <c r="K6" s="3">
        <f t="shared" si="12"/>
        <v>912142.87761167448</v>
      </c>
      <c r="L6" s="3">
        <f t="shared" si="13"/>
        <v>1249.4787901391314</v>
      </c>
      <c r="M6" s="3">
        <f t="shared" si="14"/>
        <v>4747617.8475557175</v>
      </c>
      <c r="N6" s="3">
        <f t="shared" si="15"/>
        <v>4327350.8418167457</v>
      </c>
      <c r="O6" s="3">
        <f t="shared" si="16"/>
        <v>31632617.598594092</v>
      </c>
      <c r="P6" s="7" t="s">
        <v>119</v>
      </c>
      <c r="Q6" s="2" t="s">
        <v>47</v>
      </c>
      <c r="R6" s="3">
        <f t="shared" si="17"/>
        <v>0</v>
      </c>
      <c r="S6" s="3">
        <f t="shared" si="17"/>
        <v>7326.6119956526281</v>
      </c>
      <c r="T6" s="3">
        <f t="shared" si="17"/>
        <v>8395325.8601420857</v>
      </c>
      <c r="U6" s="3">
        <f t="shared" si="17"/>
        <v>11357262.517531034</v>
      </c>
      <c r="V6" s="3">
        <f t="shared" si="17"/>
        <v>0</v>
      </c>
      <c r="W6" s="3">
        <f t="shared" si="17"/>
        <v>0</v>
      </c>
      <c r="X6" s="3">
        <f t="shared" si="17"/>
        <v>1884341.5631510459</v>
      </c>
      <c r="Y6" s="3">
        <f t="shared" si="17"/>
        <v>0</v>
      </c>
      <c r="Z6" s="3">
        <f t="shared" si="17"/>
        <v>912142.87761167448</v>
      </c>
      <c r="AA6" s="3">
        <f t="shared" si="17"/>
        <v>1249.4787901391314</v>
      </c>
      <c r="AB6" s="3">
        <f t="shared" si="18"/>
        <v>22557648.909221631</v>
      </c>
      <c r="AC6" s="7" t="s">
        <v>119</v>
      </c>
      <c r="AD6" s="2" t="s">
        <v>47</v>
      </c>
      <c r="AE6" s="3">
        <f t="shared" si="19"/>
        <v>4747617.8475557175</v>
      </c>
      <c r="AF6" s="3">
        <f t="shared" si="19"/>
        <v>4327350.8418167457</v>
      </c>
      <c r="AG6" s="3">
        <f t="shared" si="20"/>
        <v>9074968.6893724632</v>
      </c>
      <c r="AH6" s="7" t="s">
        <v>119</v>
      </c>
      <c r="AI6" s="2" t="s">
        <v>47</v>
      </c>
      <c r="AJ6" s="3">
        <f t="shared" si="21"/>
        <v>4467315.8216008618</v>
      </c>
      <c r="AK6" s="3">
        <f t="shared" si="1"/>
        <v>4879961.3380644694</v>
      </c>
      <c r="AL6" s="3">
        <f t="shared" si="1"/>
        <v>13149250.532303553</v>
      </c>
      <c r="AM6" s="3">
        <f t="shared" si="1"/>
        <v>9136089.9066252094</v>
      </c>
      <c r="AN6" s="3">
        <f t="shared" si="22"/>
        <v>31632617.598594092</v>
      </c>
      <c r="AO6" s="7" t="s">
        <v>119</v>
      </c>
      <c r="AP6" s="2" t="s">
        <v>47</v>
      </c>
      <c r="AQ6" s="3">
        <f t="shared" si="23"/>
        <v>1901171.3173642533</v>
      </c>
      <c r="AR6" s="3">
        <f t="shared" si="2"/>
        <v>1876054.969471107</v>
      </c>
      <c r="AS6" s="3">
        <f t="shared" si="2"/>
        <v>10076445.076209551</v>
      </c>
      <c r="AT6" s="3">
        <f t="shared" si="2"/>
        <v>8703977.5461767204</v>
      </c>
      <c r="AU6" s="3">
        <f t="shared" si="24"/>
        <v>22557648.909221631</v>
      </c>
      <c r="AV6" s="7" t="s">
        <v>119</v>
      </c>
      <c r="AW6" s="2" t="s">
        <v>47</v>
      </c>
      <c r="AX6" s="3">
        <f t="shared" si="25"/>
        <v>2566144.5042366087</v>
      </c>
      <c r="AY6" s="3">
        <f t="shared" si="3"/>
        <v>3003906.3685933626</v>
      </c>
      <c r="AZ6" s="3">
        <f t="shared" si="3"/>
        <v>3072805.4560940024</v>
      </c>
      <c r="BA6" s="3">
        <f t="shared" si="3"/>
        <v>432112.36044848966</v>
      </c>
      <c r="BB6" s="3">
        <f t="shared" si="26"/>
        <v>9074968.6893724632</v>
      </c>
      <c r="BC6" s="7" t="s">
        <v>119</v>
      </c>
      <c r="BD6" s="2" t="s">
        <v>47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7" t="s">
        <v>119</v>
      </c>
      <c r="BK6" s="2" t="s">
        <v>47</v>
      </c>
      <c r="BL6" s="3">
        <v>7326.6119956526281</v>
      </c>
      <c r="BM6" s="3">
        <v>0</v>
      </c>
      <c r="BN6" s="3">
        <v>0</v>
      </c>
      <c r="BO6" s="3">
        <v>0</v>
      </c>
      <c r="BP6" s="3">
        <v>7326.6119956526281</v>
      </c>
      <c r="BQ6" s="7" t="s">
        <v>119</v>
      </c>
      <c r="BR6" s="2" t="s">
        <v>47</v>
      </c>
      <c r="BS6" s="3">
        <v>0</v>
      </c>
      <c r="BT6" s="3">
        <v>0</v>
      </c>
      <c r="BU6" s="3">
        <v>0</v>
      </c>
      <c r="BV6" s="3">
        <v>8395325.8601420857</v>
      </c>
      <c r="BW6" s="3">
        <v>8395325.8601420857</v>
      </c>
      <c r="BX6" s="7" t="s">
        <v>119</v>
      </c>
      <c r="BY6" s="2" t="s">
        <v>47</v>
      </c>
      <c r="BZ6" s="3">
        <v>8000</v>
      </c>
      <c r="CA6" s="3">
        <v>964165.75528684817</v>
      </c>
      <c r="CB6" s="3">
        <v>10076445.076209551</v>
      </c>
      <c r="CC6" s="3">
        <v>308651.68603463552</v>
      </c>
      <c r="CD6" s="3">
        <v>11357262.517531034</v>
      </c>
      <c r="CE6" s="7" t="s">
        <v>119</v>
      </c>
      <c r="CF6" s="2" t="s">
        <v>47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7" t="s">
        <v>119</v>
      </c>
      <c r="CM6" s="2" t="s">
        <v>47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7" t="s">
        <v>119</v>
      </c>
      <c r="CT6" s="2" t="s">
        <v>47</v>
      </c>
      <c r="CU6" s="3">
        <v>1865896.052368744</v>
      </c>
      <c r="CV6" s="3">
        <v>18445.510782301961</v>
      </c>
      <c r="CW6" s="3">
        <v>0</v>
      </c>
      <c r="CX6" s="3">
        <v>0</v>
      </c>
      <c r="CY6" s="3">
        <v>1884341.5631510459</v>
      </c>
      <c r="CZ6" s="7" t="s">
        <v>119</v>
      </c>
      <c r="DA6" s="2" t="s">
        <v>47</v>
      </c>
      <c r="DB6" s="3">
        <v>18699.174209717716</v>
      </c>
      <c r="DC6" s="3">
        <v>893443.70340195682</v>
      </c>
      <c r="DD6" s="3">
        <v>0</v>
      </c>
      <c r="DE6" s="3">
        <v>0</v>
      </c>
      <c r="DF6" s="3">
        <v>912142.87761167448</v>
      </c>
      <c r="DG6" s="7" t="s">
        <v>119</v>
      </c>
      <c r="DH6" s="2" t="s">
        <v>47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7" t="s">
        <v>119</v>
      </c>
      <c r="DO6" s="2" t="s">
        <v>47</v>
      </c>
      <c r="DP6" s="3">
        <v>1249.4787901391314</v>
      </c>
      <c r="DQ6" s="3">
        <v>0</v>
      </c>
      <c r="DR6" s="3">
        <v>0</v>
      </c>
      <c r="DS6" s="3">
        <v>0</v>
      </c>
      <c r="DT6" s="3">
        <v>1249.4787901391314</v>
      </c>
      <c r="DU6" s="7" t="s">
        <v>119</v>
      </c>
      <c r="DV6" s="2" t="s">
        <v>47</v>
      </c>
      <c r="DW6" s="3">
        <v>491772.41791537474</v>
      </c>
      <c r="DX6" s="3">
        <v>334815.97940548311</v>
      </c>
      <c r="DY6" s="3">
        <v>3068650.0840473985</v>
      </c>
      <c r="DZ6" s="3">
        <v>432112.36044848966</v>
      </c>
      <c r="EA6" s="3">
        <v>4327350.8418167457</v>
      </c>
      <c r="EB6" s="7" t="s">
        <v>119</v>
      </c>
      <c r="EC6" s="2" t="s">
        <v>47</v>
      </c>
      <c r="ED6" s="3">
        <v>2074372.0863212342</v>
      </c>
      <c r="EE6" s="3">
        <v>2669090.3891878794</v>
      </c>
      <c r="EF6" s="3">
        <v>4155.3720466039367</v>
      </c>
      <c r="EG6" s="3">
        <v>0</v>
      </c>
      <c r="EH6" s="3">
        <v>4747617.8475557175</v>
      </c>
    </row>
    <row r="7" spans="1:138" ht="10.199999999999999" customHeight="1" x14ac:dyDescent="0.2">
      <c r="A7" s="7" t="s">
        <v>121</v>
      </c>
      <c r="B7" s="2" t="s">
        <v>49</v>
      </c>
      <c r="C7" s="3">
        <f t="shared" si="4"/>
        <v>0</v>
      </c>
      <c r="D7" s="3">
        <f t="shared" si="5"/>
        <v>2856.7711700803538</v>
      </c>
      <c r="E7" s="3">
        <f t="shared" si="6"/>
        <v>1562504.1174011645</v>
      </c>
      <c r="F7" s="3">
        <f t="shared" si="7"/>
        <v>161151.21773097329</v>
      </c>
      <c r="G7" s="3">
        <f t="shared" si="8"/>
        <v>24416.254248210189</v>
      </c>
      <c r="H7" s="3">
        <f t="shared" si="9"/>
        <v>0</v>
      </c>
      <c r="I7" s="3">
        <f t="shared" si="10"/>
        <v>6590250.8803117154</v>
      </c>
      <c r="J7" s="3">
        <f t="shared" si="11"/>
        <v>0</v>
      </c>
      <c r="K7" s="3">
        <f t="shared" si="12"/>
        <v>9317.3663114962856</v>
      </c>
      <c r="L7" s="3">
        <f t="shared" si="13"/>
        <v>14894.836431916716</v>
      </c>
      <c r="M7" s="3">
        <f t="shared" si="14"/>
        <v>2359545.4483639374</v>
      </c>
      <c r="N7" s="3">
        <f t="shared" si="15"/>
        <v>191387.62717166526</v>
      </c>
      <c r="O7" s="3">
        <f t="shared" si="16"/>
        <v>10916324.51914116</v>
      </c>
      <c r="P7" s="7" t="s">
        <v>121</v>
      </c>
      <c r="Q7" s="2" t="s">
        <v>49</v>
      </c>
      <c r="R7" s="3">
        <f t="shared" si="17"/>
        <v>0</v>
      </c>
      <c r="S7" s="3">
        <f t="shared" si="17"/>
        <v>2856.7711700803538</v>
      </c>
      <c r="T7" s="3">
        <f t="shared" si="17"/>
        <v>1562504.1174011645</v>
      </c>
      <c r="U7" s="3">
        <f t="shared" si="17"/>
        <v>161151.21773097329</v>
      </c>
      <c r="V7" s="3">
        <f t="shared" si="17"/>
        <v>24416.254248210189</v>
      </c>
      <c r="W7" s="3">
        <f t="shared" si="17"/>
        <v>0</v>
      </c>
      <c r="X7" s="3">
        <f t="shared" si="17"/>
        <v>6590250.8803117154</v>
      </c>
      <c r="Y7" s="3">
        <f t="shared" si="17"/>
        <v>0</v>
      </c>
      <c r="Z7" s="3">
        <f t="shared" si="17"/>
        <v>9317.3663114962856</v>
      </c>
      <c r="AA7" s="3">
        <f t="shared" si="17"/>
        <v>14894.836431916716</v>
      </c>
      <c r="AB7" s="3">
        <f t="shared" si="18"/>
        <v>8365391.4436055571</v>
      </c>
      <c r="AC7" s="7" t="s">
        <v>121</v>
      </c>
      <c r="AD7" s="2" t="s">
        <v>49</v>
      </c>
      <c r="AE7" s="3">
        <f t="shared" si="19"/>
        <v>2359545.4483639374</v>
      </c>
      <c r="AF7" s="3">
        <f t="shared" si="19"/>
        <v>191387.62717166526</v>
      </c>
      <c r="AG7" s="3">
        <f t="shared" si="20"/>
        <v>2550933.0755356029</v>
      </c>
      <c r="AH7" s="7" t="s">
        <v>121</v>
      </c>
      <c r="AI7" s="2" t="s">
        <v>49</v>
      </c>
      <c r="AJ7" s="3">
        <f t="shared" si="21"/>
        <v>4193621.7593790712</v>
      </c>
      <c r="AK7" s="3">
        <f t="shared" si="1"/>
        <v>6323201.646673806</v>
      </c>
      <c r="AL7" s="3">
        <f t="shared" si="1"/>
        <v>399501.11308828276</v>
      </c>
      <c r="AM7" s="3">
        <f t="shared" si="1"/>
        <v>0</v>
      </c>
      <c r="AN7" s="3">
        <f t="shared" si="22"/>
        <v>10916324.51914116</v>
      </c>
      <c r="AO7" s="7" t="s">
        <v>121</v>
      </c>
      <c r="AP7" s="2" t="s">
        <v>49</v>
      </c>
      <c r="AQ7" s="3">
        <f t="shared" si="23"/>
        <v>3209370.2029828085</v>
      </c>
      <c r="AR7" s="3">
        <f t="shared" si="2"/>
        <v>4777728.4118959028</v>
      </c>
      <c r="AS7" s="3">
        <f t="shared" si="2"/>
        <v>378292.82872684544</v>
      </c>
      <c r="AT7" s="3">
        <f t="shared" si="2"/>
        <v>0</v>
      </c>
      <c r="AU7" s="3">
        <f t="shared" si="24"/>
        <v>8365391.4436055571</v>
      </c>
      <c r="AV7" s="7" t="s">
        <v>121</v>
      </c>
      <c r="AW7" s="2" t="s">
        <v>49</v>
      </c>
      <c r="AX7" s="3">
        <f t="shared" si="25"/>
        <v>984251.55639626272</v>
      </c>
      <c r="AY7" s="3">
        <f t="shared" si="3"/>
        <v>1545473.2347779027</v>
      </c>
      <c r="AZ7" s="3">
        <f t="shared" si="3"/>
        <v>21208.284361437338</v>
      </c>
      <c r="BA7" s="3">
        <f t="shared" si="3"/>
        <v>0</v>
      </c>
      <c r="BB7" s="3">
        <f t="shared" si="26"/>
        <v>2550933.0755356029</v>
      </c>
      <c r="BC7" s="7" t="s">
        <v>121</v>
      </c>
      <c r="BD7" s="2" t="s">
        <v>49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7" t="s">
        <v>121</v>
      </c>
      <c r="BK7" s="2" t="s">
        <v>49</v>
      </c>
      <c r="BL7" s="3">
        <v>2856.7711700803538</v>
      </c>
      <c r="BM7" s="3">
        <v>0</v>
      </c>
      <c r="BN7" s="3">
        <v>0</v>
      </c>
      <c r="BO7" s="3">
        <v>0</v>
      </c>
      <c r="BP7" s="3">
        <v>2856.7711700803538</v>
      </c>
      <c r="BQ7" s="7" t="s">
        <v>121</v>
      </c>
      <c r="BR7" s="2" t="s">
        <v>49</v>
      </c>
      <c r="BS7" s="3">
        <v>1234.6067441385419</v>
      </c>
      <c r="BT7" s="3">
        <v>1195002.8432292584</v>
      </c>
      <c r="BU7" s="3">
        <v>366266.66742776742</v>
      </c>
      <c r="BV7" s="3">
        <v>0</v>
      </c>
      <c r="BW7" s="3">
        <v>1562504.1174011645</v>
      </c>
      <c r="BX7" s="7" t="s">
        <v>121</v>
      </c>
      <c r="BY7" s="2" t="s">
        <v>49</v>
      </c>
      <c r="BZ7" s="3">
        <v>154360.88063821133</v>
      </c>
      <c r="CA7" s="3">
        <v>6790.3370927619808</v>
      </c>
      <c r="CB7" s="3">
        <v>0</v>
      </c>
      <c r="CC7" s="3">
        <v>0</v>
      </c>
      <c r="CD7" s="3">
        <v>161151.21773097329</v>
      </c>
      <c r="CE7" s="7" t="s">
        <v>121</v>
      </c>
      <c r="CF7" s="2" t="s">
        <v>49</v>
      </c>
      <c r="CG7" s="3">
        <v>8689.0106913580239</v>
      </c>
      <c r="CH7" s="3">
        <v>15717.921234055928</v>
      </c>
      <c r="CI7" s="3">
        <v>9.3223227962361932</v>
      </c>
      <c r="CJ7" s="3">
        <v>0</v>
      </c>
      <c r="CK7" s="3">
        <v>24416.254248210189</v>
      </c>
      <c r="CL7" s="7" t="s">
        <v>121</v>
      </c>
      <c r="CM7" s="2" t="s">
        <v>49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7" t="s">
        <v>121</v>
      </c>
      <c r="CT7" s="2" t="s">
        <v>49</v>
      </c>
      <c r="CU7" s="3">
        <v>3021704.0898047676</v>
      </c>
      <c r="CV7" s="3">
        <v>3556529.9515306661</v>
      </c>
      <c r="CW7" s="3">
        <v>12016.83897628181</v>
      </c>
      <c r="CX7" s="3">
        <v>0</v>
      </c>
      <c r="CY7" s="3">
        <v>6590250.8803117154</v>
      </c>
      <c r="CZ7" s="7" t="s">
        <v>121</v>
      </c>
      <c r="DA7" s="2" t="s">
        <v>49</v>
      </c>
      <c r="DB7" s="3">
        <v>9317.3663114962856</v>
      </c>
      <c r="DC7" s="3">
        <v>0</v>
      </c>
      <c r="DD7" s="3">
        <v>0</v>
      </c>
      <c r="DE7" s="3">
        <v>0</v>
      </c>
      <c r="DF7" s="3">
        <v>9317.3663114962856</v>
      </c>
      <c r="DG7" s="7" t="s">
        <v>121</v>
      </c>
      <c r="DH7" s="2" t="s">
        <v>49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7" t="s">
        <v>121</v>
      </c>
      <c r="DO7" s="2" t="s">
        <v>49</v>
      </c>
      <c r="DP7" s="3">
        <v>11207.477622756271</v>
      </c>
      <c r="DQ7" s="3">
        <v>3687.3588091604456</v>
      </c>
      <c r="DR7" s="3">
        <v>0</v>
      </c>
      <c r="DS7" s="3">
        <v>0</v>
      </c>
      <c r="DT7" s="3">
        <v>14894.836431916716</v>
      </c>
      <c r="DU7" s="7" t="s">
        <v>121</v>
      </c>
      <c r="DV7" s="2" t="s">
        <v>49</v>
      </c>
      <c r="DW7" s="3">
        <v>111484.59770776698</v>
      </c>
      <c r="DX7" s="3">
        <v>58694.74510246094</v>
      </c>
      <c r="DY7" s="3">
        <v>21208.284361437338</v>
      </c>
      <c r="DZ7" s="3">
        <v>0</v>
      </c>
      <c r="EA7" s="3">
        <v>191387.62717166526</v>
      </c>
      <c r="EB7" s="7" t="s">
        <v>121</v>
      </c>
      <c r="EC7" s="2" t="s">
        <v>49</v>
      </c>
      <c r="ED7" s="3">
        <v>872766.95868849568</v>
      </c>
      <c r="EE7" s="3">
        <v>1486778.4896754418</v>
      </c>
      <c r="EF7" s="3">
        <v>0</v>
      </c>
      <c r="EG7" s="3">
        <v>0</v>
      </c>
      <c r="EH7" s="3">
        <v>2359545.4483639374</v>
      </c>
    </row>
    <row r="8" spans="1:138" ht="10.199999999999999" customHeight="1" x14ac:dyDescent="0.2">
      <c r="A8" s="7" t="s">
        <v>95</v>
      </c>
      <c r="B8" s="2" t="s">
        <v>23</v>
      </c>
      <c r="C8" s="3">
        <f t="shared" si="4"/>
        <v>0</v>
      </c>
      <c r="D8" s="3">
        <f t="shared" si="5"/>
        <v>2430.5708187470177</v>
      </c>
      <c r="E8" s="3">
        <f t="shared" si="6"/>
        <v>0</v>
      </c>
      <c r="F8" s="3">
        <f t="shared" si="7"/>
        <v>0</v>
      </c>
      <c r="G8" s="3">
        <f t="shared" si="8"/>
        <v>70954.674947214473</v>
      </c>
      <c r="H8" s="3">
        <f t="shared" si="9"/>
        <v>0</v>
      </c>
      <c r="I8" s="3">
        <f t="shared" si="10"/>
        <v>346001.13833358488</v>
      </c>
      <c r="J8" s="3">
        <f t="shared" si="11"/>
        <v>17487475.386967503</v>
      </c>
      <c r="K8" s="3">
        <f t="shared" si="12"/>
        <v>0</v>
      </c>
      <c r="L8" s="3">
        <f t="shared" si="13"/>
        <v>6720.0544325052615</v>
      </c>
      <c r="M8" s="3">
        <f t="shared" si="14"/>
        <v>5352348.1831609681</v>
      </c>
      <c r="N8" s="3">
        <f t="shared" si="15"/>
        <v>1680559.565450104</v>
      </c>
      <c r="O8" s="3">
        <f t="shared" si="16"/>
        <v>24946489.574110627</v>
      </c>
      <c r="P8" s="7" t="s">
        <v>95</v>
      </c>
      <c r="Q8" s="2" t="s">
        <v>23</v>
      </c>
      <c r="R8" s="3">
        <f t="shared" si="17"/>
        <v>0</v>
      </c>
      <c r="S8" s="3">
        <f t="shared" si="17"/>
        <v>2430.5708187470177</v>
      </c>
      <c r="T8" s="3">
        <f t="shared" si="17"/>
        <v>0</v>
      </c>
      <c r="U8" s="3">
        <f t="shared" si="17"/>
        <v>0</v>
      </c>
      <c r="V8" s="3">
        <f t="shared" si="17"/>
        <v>70954.674947214473</v>
      </c>
      <c r="W8" s="3">
        <f t="shared" si="17"/>
        <v>0</v>
      </c>
      <c r="X8" s="3">
        <f t="shared" si="17"/>
        <v>346001.13833358488</v>
      </c>
      <c r="Y8" s="3">
        <f t="shared" si="17"/>
        <v>17487475.386967503</v>
      </c>
      <c r="Z8" s="3">
        <f t="shared" si="17"/>
        <v>0</v>
      </c>
      <c r="AA8" s="3">
        <f t="shared" si="17"/>
        <v>6720.0544325052615</v>
      </c>
      <c r="AB8" s="3">
        <f t="shared" si="18"/>
        <v>17913581.825499553</v>
      </c>
      <c r="AC8" s="7" t="s">
        <v>95</v>
      </c>
      <c r="AD8" s="2" t="s">
        <v>23</v>
      </c>
      <c r="AE8" s="3">
        <f t="shared" si="19"/>
        <v>5352348.1831609681</v>
      </c>
      <c r="AF8" s="3">
        <f t="shared" si="19"/>
        <v>1680559.565450104</v>
      </c>
      <c r="AG8" s="3">
        <f t="shared" si="20"/>
        <v>7032907.7486110721</v>
      </c>
      <c r="AH8" s="7" t="s">
        <v>95</v>
      </c>
      <c r="AI8" s="2" t="s">
        <v>23</v>
      </c>
      <c r="AJ8" s="3">
        <f t="shared" si="21"/>
        <v>22900375.766457014</v>
      </c>
      <c r="AK8" s="3">
        <f t="shared" si="1"/>
        <v>1557876.6562698204</v>
      </c>
      <c r="AL8" s="3">
        <f t="shared" si="1"/>
        <v>488237.15138379356</v>
      </c>
      <c r="AM8" s="3">
        <f t="shared" si="1"/>
        <v>0</v>
      </c>
      <c r="AN8" s="3">
        <f t="shared" si="22"/>
        <v>24946489.574110627</v>
      </c>
      <c r="AO8" s="7" t="s">
        <v>95</v>
      </c>
      <c r="AP8" s="2" t="s">
        <v>23</v>
      </c>
      <c r="AQ8" s="3">
        <f t="shared" si="23"/>
        <v>17380338.838332046</v>
      </c>
      <c r="AR8" s="3">
        <f t="shared" si="2"/>
        <v>160803.28601905087</v>
      </c>
      <c r="AS8" s="3">
        <f t="shared" si="2"/>
        <v>372439.70114846015</v>
      </c>
      <c r="AT8" s="3">
        <f t="shared" si="2"/>
        <v>0</v>
      </c>
      <c r="AU8" s="3">
        <f t="shared" si="24"/>
        <v>17913581.825499557</v>
      </c>
      <c r="AV8" s="7" t="s">
        <v>95</v>
      </c>
      <c r="AW8" s="2" t="s">
        <v>23</v>
      </c>
      <c r="AX8" s="3">
        <f t="shared" si="25"/>
        <v>5520036.9281249689</v>
      </c>
      <c r="AY8" s="3">
        <f t="shared" si="3"/>
        <v>1397073.3702507694</v>
      </c>
      <c r="AZ8" s="3">
        <f t="shared" si="3"/>
        <v>115797.45023533344</v>
      </c>
      <c r="BA8" s="3">
        <f t="shared" si="3"/>
        <v>0</v>
      </c>
      <c r="BB8" s="3">
        <f t="shared" si="26"/>
        <v>7032907.7486110721</v>
      </c>
      <c r="BC8" s="7" t="s">
        <v>95</v>
      </c>
      <c r="BD8" s="2" t="s">
        <v>23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7" t="s">
        <v>95</v>
      </c>
      <c r="BK8" s="2" t="s">
        <v>23</v>
      </c>
      <c r="BL8" s="3">
        <v>0</v>
      </c>
      <c r="BM8" s="3">
        <v>372.89291184944767</v>
      </c>
      <c r="BN8" s="3">
        <v>2057.6779068975702</v>
      </c>
      <c r="BO8" s="3">
        <v>0</v>
      </c>
      <c r="BP8" s="3">
        <v>2430.5708187470177</v>
      </c>
      <c r="BQ8" s="7" t="s">
        <v>95</v>
      </c>
      <c r="BR8" s="2" t="s">
        <v>23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7" t="s">
        <v>95</v>
      </c>
      <c r="BY8" s="2" t="s">
        <v>23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7" t="s">
        <v>95</v>
      </c>
      <c r="CF8" s="2" t="s">
        <v>23</v>
      </c>
      <c r="CG8" s="3">
        <v>21090.210387967236</v>
      </c>
      <c r="CH8" s="3">
        <v>49864.464559247237</v>
      </c>
      <c r="CI8" s="3">
        <v>0</v>
      </c>
      <c r="CJ8" s="3">
        <v>0</v>
      </c>
      <c r="CK8" s="3">
        <v>70954.674947214473</v>
      </c>
      <c r="CL8" s="7" t="s">
        <v>95</v>
      </c>
      <c r="CM8" s="2" t="s">
        <v>23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7" t="s">
        <v>95</v>
      </c>
      <c r="CT8" s="2" t="s">
        <v>23</v>
      </c>
      <c r="CU8" s="3">
        <v>238145.62479971582</v>
      </c>
      <c r="CV8" s="3">
        <v>107855.51353386909</v>
      </c>
      <c r="CW8" s="3">
        <v>0</v>
      </c>
      <c r="CX8" s="3">
        <v>0</v>
      </c>
      <c r="CY8" s="3">
        <v>346001.13833358488</v>
      </c>
      <c r="CZ8" s="7" t="s">
        <v>95</v>
      </c>
      <c r="DA8" s="2" t="s">
        <v>23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7" t="s">
        <v>95</v>
      </c>
      <c r="DH8" s="2" t="s">
        <v>23</v>
      </c>
      <c r="DI8" s="3">
        <v>17117093.363725942</v>
      </c>
      <c r="DJ8" s="3">
        <v>0</v>
      </c>
      <c r="DK8" s="3">
        <v>370382.02324156259</v>
      </c>
      <c r="DL8" s="3">
        <v>0</v>
      </c>
      <c r="DM8" s="3">
        <v>17487475.386967503</v>
      </c>
      <c r="DN8" s="7" t="s">
        <v>95</v>
      </c>
      <c r="DO8" s="2" t="s">
        <v>23</v>
      </c>
      <c r="DP8" s="3">
        <v>4009.6394184201736</v>
      </c>
      <c r="DQ8" s="3">
        <v>2710.4150140850879</v>
      </c>
      <c r="DR8" s="3">
        <v>0</v>
      </c>
      <c r="DS8" s="3">
        <v>0</v>
      </c>
      <c r="DT8" s="3">
        <v>6720.0544325052615</v>
      </c>
      <c r="DU8" s="7" t="s">
        <v>95</v>
      </c>
      <c r="DV8" s="2" t="s">
        <v>23</v>
      </c>
      <c r="DW8" s="3">
        <v>628046.0741408068</v>
      </c>
      <c r="DX8" s="3">
        <v>975315.19115240814</v>
      </c>
      <c r="DY8" s="3">
        <v>77198.300156888959</v>
      </c>
      <c r="DZ8" s="3">
        <v>0</v>
      </c>
      <c r="EA8" s="3">
        <v>1680559.565450104</v>
      </c>
      <c r="EB8" s="7" t="s">
        <v>95</v>
      </c>
      <c r="EC8" s="2" t="s">
        <v>23</v>
      </c>
      <c r="ED8" s="3">
        <v>4891990.8539841622</v>
      </c>
      <c r="EE8" s="3">
        <v>421758.17909836129</v>
      </c>
      <c r="EF8" s="3">
        <v>38599.15007844448</v>
      </c>
      <c r="EG8" s="3">
        <v>0</v>
      </c>
      <c r="EH8" s="3">
        <v>5352348.1831609681</v>
      </c>
    </row>
    <row r="9" spans="1:138" ht="10.199999999999999" customHeight="1" x14ac:dyDescent="0.2">
      <c r="A9" s="7" t="s">
        <v>101</v>
      </c>
      <c r="B9" s="2" t="s">
        <v>29</v>
      </c>
      <c r="C9" s="3">
        <f t="shared" si="4"/>
        <v>0</v>
      </c>
      <c r="D9" s="3">
        <f t="shared" si="5"/>
        <v>15417.597789007608</v>
      </c>
      <c r="E9" s="3">
        <f t="shared" si="6"/>
        <v>0</v>
      </c>
      <c r="F9" s="3">
        <f t="shared" si="7"/>
        <v>0</v>
      </c>
      <c r="G9" s="3">
        <f t="shared" si="8"/>
        <v>20.198366058511752</v>
      </c>
      <c r="H9" s="3">
        <f t="shared" si="9"/>
        <v>0</v>
      </c>
      <c r="I9" s="3">
        <f t="shared" si="10"/>
        <v>2765.8904799209236</v>
      </c>
      <c r="J9" s="3">
        <f t="shared" si="11"/>
        <v>1262.5238506989492</v>
      </c>
      <c r="K9" s="3">
        <f t="shared" si="12"/>
        <v>0</v>
      </c>
      <c r="L9" s="3">
        <f t="shared" si="13"/>
        <v>67651.81129526037</v>
      </c>
      <c r="M9" s="3">
        <f t="shared" si="14"/>
        <v>2456457.5605393439</v>
      </c>
      <c r="N9" s="3">
        <f t="shared" si="15"/>
        <v>116538.48389153356</v>
      </c>
      <c r="O9" s="3">
        <f t="shared" si="16"/>
        <v>2660114.0662118238</v>
      </c>
      <c r="P9" s="7" t="s">
        <v>101</v>
      </c>
      <c r="Q9" s="2" t="s">
        <v>29</v>
      </c>
      <c r="R9" s="3">
        <f t="shared" si="17"/>
        <v>0</v>
      </c>
      <c r="S9" s="3">
        <f t="shared" si="17"/>
        <v>15417.597789007608</v>
      </c>
      <c r="T9" s="3">
        <f t="shared" si="17"/>
        <v>0</v>
      </c>
      <c r="U9" s="3">
        <f t="shared" si="17"/>
        <v>0</v>
      </c>
      <c r="V9" s="3">
        <f t="shared" si="17"/>
        <v>20.198366058511752</v>
      </c>
      <c r="W9" s="3">
        <f t="shared" si="17"/>
        <v>0</v>
      </c>
      <c r="X9" s="3">
        <f t="shared" si="17"/>
        <v>2765.8904799209236</v>
      </c>
      <c r="Y9" s="3">
        <f t="shared" si="17"/>
        <v>1262.5238506989492</v>
      </c>
      <c r="Z9" s="3">
        <f t="shared" si="17"/>
        <v>0</v>
      </c>
      <c r="AA9" s="3">
        <f t="shared" si="17"/>
        <v>67651.81129526037</v>
      </c>
      <c r="AB9" s="3">
        <f t="shared" si="18"/>
        <v>87118.021780946365</v>
      </c>
      <c r="AC9" s="7" t="s">
        <v>101</v>
      </c>
      <c r="AD9" s="2" t="s">
        <v>29</v>
      </c>
      <c r="AE9" s="3">
        <f t="shared" si="19"/>
        <v>2456457.5605393439</v>
      </c>
      <c r="AF9" s="3">
        <f t="shared" si="19"/>
        <v>116538.48389153356</v>
      </c>
      <c r="AG9" s="3">
        <f t="shared" si="20"/>
        <v>2572996.0444308775</v>
      </c>
      <c r="AH9" s="7" t="s">
        <v>101</v>
      </c>
      <c r="AI9" s="2" t="s">
        <v>29</v>
      </c>
      <c r="AJ9" s="3">
        <f t="shared" si="21"/>
        <v>870669.80190454237</v>
      </c>
      <c r="AK9" s="3">
        <f t="shared" si="1"/>
        <v>1789444.2643072815</v>
      </c>
      <c r="AL9" s="3">
        <f t="shared" si="1"/>
        <v>0</v>
      </c>
      <c r="AM9" s="3">
        <f t="shared" si="1"/>
        <v>0</v>
      </c>
      <c r="AN9" s="3">
        <f t="shared" si="22"/>
        <v>2660114.0662118238</v>
      </c>
      <c r="AO9" s="7" t="s">
        <v>101</v>
      </c>
      <c r="AP9" s="2" t="s">
        <v>29</v>
      </c>
      <c r="AQ9" s="3">
        <f t="shared" si="23"/>
        <v>9938.8295279980557</v>
      </c>
      <c r="AR9" s="3">
        <f t="shared" si="2"/>
        <v>77179.192252948313</v>
      </c>
      <c r="AS9" s="3">
        <f t="shared" si="2"/>
        <v>0</v>
      </c>
      <c r="AT9" s="3">
        <f t="shared" si="2"/>
        <v>0</v>
      </c>
      <c r="AU9" s="3">
        <f t="shared" si="24"/>
        <v>87118.021780946365</v>
      </c>
      <c r="AV9" s="7" t="s">
        <v>101</v>
      </c>
      <c r="AW9" s="2" t="s">
        <v>29</v>
      </c>
      <c r="AX9" s="3">
        <f t="shared" si="25"/>
        <v>860730.97237654426</v>
      </c>
      <c r="AY9" s="3">
        <f t="shared" si="3"/>
        <v>1712265.0720543331</v>
      </c>
      <c r="AZ9" s="3">
        <f t="shared" si="3"/>
        <v>0</v>
      </c>
      <c r="BA9" s="3">
        <f t="shared" si="3"/>
        <v>0</v>
      </c>
      <c r="BB9" s="3">
        <f t="shared" si="26"/>
        <v>2572996.0444308771</v>
      </c>
      <c r="BC9" s="7" t="s">
        <v>101</v>
      </c>
      <c r="BD9" s="2" t="s">
        <v>29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7" t="s">
        <v>101</v>
      </c>
      <c r="BK9" s="2" t="s">
        <v>29</v>
      </c>
      <c r="BL9" s="3">
        <v>6447.2767579150968</v>
      </c>
      <c r="BM9" s="3">
        <v>8970.3210310925115</v>
      </c>
      <c r="BN9" s="3">
        <v>0</v>
      </c>
      <c r="BO9" s="3">
        <v>0</v>
      </c>
      <c r="BP9" s="3">
        <v>15417.597789007608</v>
      </c>
      <c r="BQ9" s="7" t="s">
        <v>101</v>
      </c>
      <c r="BR9" s="2" t="s">
        <v>29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7" t="s">
        <v>101</v>
      </c>
      <c r="BY9" s="2" t="s">
        <v>29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7" t="s">
        <v>101</v>
      </c>
      <c r="CF9" s="2" t="s">
        <v>29</v>
      </c>
      <c r="CG9" s="3">
        <v>20.198366058511752</v>
      </c>
      <c r="CH9" s="3">
        <v>0</v>
      </c>
      <c r="CI9" s="3">
        <v>0</v>
      </c>
      <c r="CJ9" s="3">
        <v>0</v>
      </c>
      <c r="CK9" s="3">
        <v>20.198366058511752</v>
      </c>
      <c r="CL9" s="7" t="s">
        <v>101</v>
      </c>
      <c r="CM9" s="2" t="s">
        <v>29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7" t="s">
        <v>101</v>
      </c>
      <c r="CT9" s="2" t="s">
        <v>29</v>
      </c>
      <c r="CU9" s="3">
        <v>1503.741661279349</v>
      </c>
      <c r="CV9" s="3">
        <v>1262.1488186415745</v>
      </c>
      <c r="CW9" s="3">
        <v>0</v>
      </c>
      <c r="CX9" s="3">
        <v>0</v>
      </c>
      <c r="CY9" s="3">
        <v>2765.8904799209236</v>
      </c>
      <c r="CZ9" s="7" t="s">
        <v>101</v>
      </c>
      <c r="DA9" s="2" t="s">
        <v>29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7" t="s">
        <v>101</v>
      </c>
      <c r="DH9" s="2" t="s">
        <v>29</v>
      </c>
      <c r="DI9" s="3">
        <v>0</v>
      </c>
      <c r="DJ9" s="3">
        <v>1262.5238506989492</v>
      </c>
      <c r="DK9" s="3">
        <v>0</v>
      </c>
      <c r="DL9" s="3">
        <v>0</v>
      </c>
      <c r="DM9" s="3">
        <v>1262.5238506989492</v>
      </c>
      <c r="DN9" s="7" t="s">
        <v>101</v>
      </c>
      <c r="DO9" s="2" t="s">
        <v>29</v>
      </c>
      <c r="DP9" s="3">
        <v>1967.6127427450976</v>
      </c>
      <c r="DQ9" s="3">
        <v>65684.19855251527</v>
      </c>
      <c r="DR9" s="3">
        <v>0</v>
      </c>
      <c r="DS9" s="3">
        <v>0</v>
      </c>
      <c r="DT9" s="3">
        <v>67651.81129526037</v>
      </c>
      <c r="DU9" s="7" t="s">
        <v>101</v>
      </c>
      <c r="DV9" s="2" t="s">
        <v>29</v>
      </c>
      <c r="DW9" s="3">
        <v>27649.42257845464</v>
      </c>
      <c r="DX9" s="3">
        <v>88889.061313078913</v>
      </c>
      <c r="DY9" s="3">
        <v>0</v>
      </c>
      <c r="DZ9" s="3">
        <v>0</v>
      </c>
      <c r="EA9" s="3">
        <v>116538.48389153356</v>
      </c>
      <c r="EB9" s="7" t="s">
        <v>101</v>
      </c>
      <c r="EC9" s="2" t="s">
        <v>29</v>
      </c>
      <c r="ED9" s="3">
        <v>833081.54979808966</v>
      </c>
      <c r="EE9" s="3">
        <v>1623376.0107412541</v>
      </c>
      <c r="EF9" s="3">
        <v>0</v>
      </c>
      <c r="EG9" s="3">
        <v>0</v>
      </c>
      <c r="EH9" s="3">
        <v>2456457.5605393439</v>
      </c>
    </row>
    <row r="10" spans="1:138" ht="10.199999999999999" customHeight="1" x14ac:dyDescent="0.2">
      <c r="A10" s="7" t="s">
        <v>106</v>
      </c>
      <c r="B10" s="2" t="s">
        <v>34</v>
      </c>
      <c r="C10" s="3">
        <f t="shared" si="4"/>
        <v>0</v>
      </c>
      <c r="D10" s="3">
        <f t="shared" si="5"/>
        <v>1829.4627208598313</v>
      </c>
      <c r="E10" s="3">
        <f t="shared" si="6"/>
        <v>17989012.155844711</v>
      </c>
      <c r="F10" s="3">
        <f t="shared" si="7"/>
        <v>2444902.84693198</v>
      </c>
      <c r="G10" s="3">
        <f t="shared" si="8"/>
        <v>3306.5008938727005</v>
      </c>
      <c r="H10" s="3">
        <f t="shared" si="9"/>
        <v>0</v>
      </c>
      <c r="I10" s="3">
        <f t="shared" si="10"/>
        <v>46209.679239001314</v>
      </c>
      <c r="J10" s="3">
        <f t="shared" si="11"/>
        <v>2238389.1321795462</v>
      </c>
      <c r="K10" s="3">
        <f t="shared" si="12"/>
        <v>84032.439737451379</v>
      </c>
      <c r="L10" s="3">
        <f t="shared" si="13"/>
        <v>480731.64982964704</v>
      </c>
      <c r="M10" s="3">
        <f t="shared" si="14"/>
        <v>778795.85700852878</v>
      </c>
      <c r="N10" s="3">
        <f t="shared" si="15"/>
        <v>3785956.8404386193</v>
      </c>
      <c r="O10" s="3">
        <f t="shared" si="16"/>
        <v>27853166.564824216</v>
      </c>
      <c r="P10" s="7" t="s">
        <v>106</v>
      </c>
      <c r="Q10" s="2" t="s">
        <v>34</v>
      </c>
      <c r="R10" s="3">
        <f t="shared" si="17"/>
        <v>0</v>
      </c>
      <c r="S10" s="3">
        <f t="shared" si="17"/>
        <v>1829.4627208598313</v>
      </c>
      <c r="T10" s="3">
        <f t="shared" si="17"/>
        <v>17989012.155844711</v>
      </c>
      <c r="U10" s="3">
        <f t="shared" si="17"/>
        <v>2444902.84693198</v>
      </c>
      <c r="V10" s="3">
        <f t="shared" si="17"/>
        <v>3306.5008938727005</v>
      </c>
      <c r="W10" s="3">
        <f t="shared" si="17"/>
        <v>0</v>
      </c>
      <c r="X10" s="3">
        <f t="shared" si="17"/>
        <v>46209.679239001314</v>
      </c>
      <c r="Y10" s="3">
        <f t="shared" si="17"/>
        <v>2238389.1321795462</v>
      </c>
      <c r="Z10" s="3">
        <f t="shared" si="17"/>
        <v>84032.439737451379</v>
      </c>
      <c r="AA10" s="3">
        <f t="shared" si="17"/>
        <v>480731.64982964704</v>
      </c>
      <c r="AB10" s="3">
        <f t="shared" si="18"/>
        <v>23288413.867377069</v>
      </c>
      <c r="AC10" s="7" t="s">
        <v>106</v>
      </c>
      <c r="AD10" s="2" t="s">
        <v>34</v>
      </c>
      <c r="AE10" s="3">
        <f t="shared" si="19"/>
        <v>778795.85700852878</v>
      </c>
      <c r="AF10" s="3">
        <f t="shared" si="19"/>
        <v>3785956.8404386193</v>
      </c>
      <c r="AG10" s="3">
        <f t="shared" si="20"/>
        <v>4564752.6974471482</v>
      </c>
      <c r="AH10" s="7" t="s">
        <v>106</v>
      </c>
      <c r="AI10" s="2" t="s">
        <v>34</v>
      </c>
      <c r="AJ10" s="3">
        <f t="shared" si="21"/>
        <v>7603001.2440699488</v>
      </c>
      <c r="AK10" s="3">
        <f t="shared" si="1"/>
        <v>225602.27910924586</v>
      </c>
      <c r="AL10" s="3">
        <f t="shared" si="1"/>
        <v>18696.23293458682</v>
      </c>
      <c r="AM10" s="3">
        <f t="shared" si="1"/>
        <v>20005866.808710437</v>
      </c>
      <c r="AN10" s="3">
        <f t="shared" si="22"/>
        <v>27853166.56482422</v>
      </c>
      <c r="AO10" s="7" t="s">
        <v>106</v>
      </c>
      <c r="AP10" s="2" t="s">
        <v>34</v>
      </c>
      <c r="AQ10" s="3">
        <f t="shared" si="23"/>
        <v>6789807.1243137773</v>
      </c>
      <c r="AR10" s="3">
        <f t="shared" si="2"/>
        <v>188252.36395040585</v>
      </c>
      <c r="AS10" s="3">
        <f t="shared" si="2"/>
        <v>8307.8028180769797</v>
      </c>
      <c r="AT10" s="3">
        <f t="shared" si="2"/>
        <v>16302046.576294811</v>
      </c>
      <c r="AU10" s="3">
        <f t="shared" si="24"/>
        <v>23288413.867377073</v>
      </c>
      <c r="AV10" s="7" t="s">
        <v>106</v>
      </c>
      <c r="AW10" s="2" t="s">
        <v>34</v>
      </c>
      <c r="AX10" s="3">
        <f t="shared" si="25"/>
        <v>813194.11975617195</v>
      </c>
      <c r="AY10" s="3">
        <f t="shared" si="3"/>
        <v>37349.915158840005</v>
      </c>
      <c r="AZ10" s="3">
        <f t="shared" si="3"/>
        <v>10388.43011650984</v>
      </c>
      <c r="BA10" s="3">
        <f t="shared" si="3"/>
        <v>3703820.2324156263</v>
      </c>
      <c r="BB10" s="3">
        <f t="shared" si="26"/>
        <v>4564752.6974471482</v>
      </c>
      <c r="BC10" s="7" t="s">
        <v>106</v>
      </c>
      <c r="BD10" s="2" t="s">
        <v>34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7" t="s">
        <v>106</v>
      </c>
      <c r="BK10" s="2" t="s">
        <v>34</v>
      </c>
      <c r="BL10" s="3">
        <v>1829.4627208598313</v>
      </c>
      <c r="BM10" s="3">
        <v>0</v>
      </c>
      <c r="BN10" s="3">
        <v>0</v>
      </c>
      <c r="BO10" s="3">
        <v>0</v>
      </c>
      <c r="BP10" s="3">
        <v>1829.4627208598313</v>
      </c>
      <c r="BQ10" s="7" t="s">
        <v>106</v>
      </c>
      <c r="BR10" s="2" t="s">
        <v>34</v>
      </c>
      <c r="BS10" s="3">
        <v>1926615.0272960523</v>
      </c>
      <c r="BT10" s="3">
        <v>7271.901081556889</v>
      </c>
      <c r="BU10" s="3">
        <v>0</v>
      </c>
      <c r="BV10" s="3">
        <v>16055125.227467103</v>
      </c>
      <c r="BW10" s="3">
        <v>17989012.155844711</v>
      </c>
      <c r="BX10" s="7" t="s">
        <v>106</v>
      </c>
      <c r="BY10" s="2" t="s">
        <v>34</v>
      </c>
      <c r="BZ10" s="3">
        <v>2443874.0079785311</v>
      </c>
      <c r="CA10" s="3">
        <v>1028.8389534487851</v>
      </c>
      <c r="CB10" s="3">
        <v>0</v>
      </c>
      <c r="CC10" s="3">
        <v>0</v>
      </c>
      <c r="CD10" s="3">
        <v>2444902.84693198</v>
      </c>
      <c r="CE10" s="7" t="s">
        <v>106</v>
      </c>
      <c r="CF10" s="2" t="s">
        <v>34</v>
      </c>
      <c r="CG10" s="3">
        <v>3306.5008938727005</v>
      </c>
      <c r="CH10" s="3">
        <v>0</v>
      </c>
      <c r="CI10" s="3">
        <v>0</v>
      </c>
      <c r="CJ10" s="3">
        <v>0</v>
      </c>
      <c r="CK10" s="3">
        <v>3306.5008938727005</v>
      </c>
      <c r="CL10" s="7" t="s">
        <v>106</v>
      </c>
      <c r="CM10" s="2" t="s">
        <v>34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7" t="s">
        <v>106</v>
      </c>
      <c r="CT10" s="2" t="s">
        <v>34</v>
      </c>
      <c r="CU10" s="3">
        <v>37901.876420924338</v>
      </c>
      <c r="CV10" s="3">
        <v>0</v>
      </c>
      <c r="CW10" s="3">
        <v>8307.8028180769797</v>
      </c>
      <c r="CX10" s="3">
        <v>0</v>
      </c>
      <c r="CY10" s="3">
        <v>46209.679239001314</v>
      </c>
      <c r="CZ10" s="7" t="s">
        <v>106</v>
      </c>
      <c r="DA10" s="2" t="s">
        <v>34</v>
      </c>
      <c r="DB10" s="3">
        <v>84032.439737451379</v>
      </c>
      <c r="DC10" s="3">
        <v>0</v>
      </c>
      <c r="DD10" s="3">
        <v>0</v>
      </c>
      <c r="DE10" s="3">
        <v>0</v>
      </c>
      <c r="DF10" s="3">
        <v>84032.439737451379</v>
      </c>
      <c r="DG10" s="7" t="s">
        <v>106</v>
      </c>
      <c r="DH10" s="2" t="s">
        <v>34</v>
      </c>
      <c r="DI10" s="3">
        <v>2238389.1321795462</v>
      </c>
      <c r="DJ10" s="3">
        <v>0</v>
      </c>
      <c r="DK10" s="3">
        <v>0</v>
      </c>
      <c r="DL10" s="3">
        <v>0</v>
      </c>
      <c r="DM10" s="3">
        <v>2238389.1321795462</v>
      </c>
      <c r="DN10" s="7" t="s">
        <v>106</v>
      </c>
      <c r="DO10" s="2" t="s">
        <v>34</v>
      </c>
      <c r="DP10" s="3">
        <v>53858.677086538424</v>
      </c>
      <c r="DQ10" s="3">
        <v>179951.62391540018</v>
      </c>
      <c r="DR10" s="3">
        <v>0</v>
      </c>
      <c r="DS10" s="3">
        <v>246921.3488277084</v>
      </c>
      <c r="DT10" s="3">
        <v>480731.64982964704</v>
      </c>
      <c r="DU10" s="7" t="s">
        <v>106</v>
      </c>
      <c r="DV10" s="2" t="s">
        <v>34</v>
      </c>
      <c r="DW10" s="3">
        <v>35479.043851674505</v>
      </c>
      <c r="DX10" s="3">
        <v>36269.134054808674</v>
      </c>
      <c r="DY10" s="3">
        <v>10388.43011650984</v>
      </c>
      <c r="DZ10" s="3">
        <v>3703820.2324156263</v>
      </c>
      <c r="EA10" s="3">
        <v>3785956.8404386193</v>
      </c>
      <c r="EB10" s="7" t="s">
        <v>106</v>
      </c>
      <c r="EC10" s="2" t="s">
        <v>34</v>
      </c>
      <c r="ED10" s="3">
        <v>777715.07590449741</v>
      </c>
      <c r="EE10" s="3">
        <v>1080.7811040313343</v>
      </c>
      <c r="EF10" s="3">
        <v>0</v>
      </c>
      <c r="EG10" s="3">
        <v>0</v>
      </c>
      <c r="EH10" s="3">
        <v>778795.85700852878</v>
      </c>
    </row>
    <row r="11" spans="1:138" ht="10.199999999999999" customHeight="1" x14ac:dyDescent="0.2">
      <c r="A11" s="7" t="s">
        <v>103</v>
      </c>
      <c r="B11" s="2" t="s">
        <v>31</v>
      </c>
      <c r="C11" s="3">
        <f t="shared" si="4"/>
        <v>2538.3993039694619</v>
      </c>
      <c r="D11" s="3">
        <f t="shared" si="5"/>
        <v>2881.1545386695152</v>
      </c>
      <c r="E11" s="3">
        <f t="shared" si="6"/>
        <v>0</v>
      </c>
      <c r="F11" s="3">
        <f t="shared" si="7"/>
        <v>1595482.4231332019</v>
      </c>
      <c r="G11" s="3">
        <f t="shared" si="8"/>
        <v>0</v>
      </c>
      <c r="H11" s="3">
        <f t="shared" si="9"/>
        <v>0</v>
      </c>
      <c r="I11" s="3">
        <f t="shared" si="10"/>
        <v>120270.21295636232</v>
      </c>
      <c r="J11" s="3">
        <f t="shared" si="11"/>
        <v>3813.0354443971128</v>
      </c>
      <c r="K11" s="3">
        <f t="shared" si="12"/>
        <v>0</v>
      </c>
      <c r="L11" s="3">
        <f t="shared" si="13"/>
        <v>8232.863122013714</v>
      </c>
      <c r="M11" s="3">
        <f t="shared" si="14"/>
        <v>11394230.793636141</v>
      </c>
      <c r="N11" s="3">
        <f t="shared" si="15"/>
        <v>1604543.0901233694</v>
      </c>
      <c r="O11" s="3">
        <f t="shared" si="16"/>
        <v>14731991.972258125</v>
      </c>
      <c r="P11" s="7" t="s">
        <v>103</v>
      </c>
      <c r="Q11" s="2" t="s">
        <v>31</v>
      </c>
      <c r="R11" s="3">
        <f t="shared" si="17"/>
        <v>2538.3993039694619</v>
      </c>
      <c r="S11" s="3">
        <f t="shared" si="17"/>
        <v>2881.1545386695152</v>
      </c>
      <c r="T11" s="3">
        <f t="shared" si="17"/>
        <v>0</v>
      </c>
      <c r="U11" s="3">
        <f t="shared" si="17"/>
        <v>1595482.4231332019</v>
      </c>
      <c r="V11" s="3">
        <f t="shared" si="17"/>
        <v>0</v>
      </c>
      <c r="W11" s="3">
        <f t="shared" si="17"/>
        <v>0</v>
      </c>
      <c r="X11" s="3">
        <f t="shared" si="17"/>
        <v>120270.21295636232</v>
      </c>
      <c r="Y11" s="3">
        <f t="shared" si="17"/>
        <v>3813.0354443971128</v>
      </c>
      <c r="Z11" s="3">
        <f t="shared" si="17"/>
        <v>0</v>
      </c>
      <c r="AA11" s="3">
        <f t="shared" si="17"/>
        <v>8232.863122013714</v>
      </c>
      <c r="AB11" s="3">
        <f t="shared" si="18"/>
        <v>1733218.088498614</v>
      </c>
      <c r="AC11" s="7" t="s">
        <v>103</v>
      </c>
      <c r="AD11" s="2" t="s">
        <v>31</v>
      </c>
      <c r="AE11" s="3">
        <f t="shared" si="19"/>
        <v>11394230.793636141</v>
      </c>
      <c r="AF11" s="3">
        <f t="shared" si="19"/>
        <v>1604543.0901233694</v>
      </c>
      <c r="AG11" s="3">
        <f t="shared" si="20"/>
        <v>12998773.88375951</v>
      </c>
      <c r="AH11" s="7" t="s">
        <v>103</v>
      </c>
      <c r="AI11" s="2" t="s">
        <v>31</v>
      </c>
      <c r="AJ11" s="3">
        <f t="shared" si="21"/>
        <v>9910074.3050773349</v>
      </c>
      <c r="AK11" s="3">
        <f t="shared" si="1"/>
        <v>3594768.3776550386</v>
      </c>
      <c r="AL11" s="3">
        <f t="shared" si="1"/>
        <v>1227149.2895257515</v>
      </c>
      <c r="AM11" s="3">
        <f t="shared" si="1"/>
        <v>0</v>
      </c>
      <c r="AN11" s="3">
        <f t="shared" si="22"/>
        <v>14731991.972258125</v>
      </c>
      <c r="AO11" s="7" t="s">
        <v>103</v>
      </c>
      <c r="AP11" s="2" t="s">
        <v>31</v>
      </c>
      <c r="AQ11" s="3">
        <f t="shared" si="23"/>
        <v>1271973.9706586024</v>
      </c>
      <c r="AR11" s="3">
        <f t="shared" si="2"/>
        <v>461244.11784001143</v>
      </c>
      <c r="AS11" s="3">
        <f t="shared" si="2"/>
        <v>0</v>
      </c>
      <c r="AT11" s="3">
        <f t="shared" si="2"/>
        <v>0</v>
      </c>
      <c r="AU11" s="3">
        <f t="shared" si="24"/>
        <v>1733218.0884986138</v>
      </c>
      <c r="AV11" s="7" t="s">
        <v>103</v>
      </c>
      <c r="AW11" s="2" t="s">
        <v>31</v>
      </c>
      <c r="AX11" s="3">
        <f t="shared" si="25"/>
        <v>8638100.3344187327</v>
      </c>
      <c r="AY11" s="3">
        <f t="shared" si="3"/>
        <v>3133524.259815027</v>
      </c>
      <c r="AZ11" s="3">
        <f t="shared" si="3"/>
        <v>1227149.2895257515</v>
      </c>
      <c r="BA11" s="3">
        <f t="shared" si="3"/>
        <v>0</v>
      </c>
      <c r="BB11" s="3">
        <f t="shared" si="26"/>
        <v>12998773.88375951</v>
      </c>
      <c r="BC11" s="7" t="s">
        <v>103</v>
      </c>
      <c r="BD11" s="2" t="s">
        <v>31</v>
      </c>
      <c r="BE11" s="3">
        <v>2538.3993039694619</v>
      </c>
      <c r="BF11" s="3">
        <v>0</v>
      </c>
      <c r="BG11" s="3">
        <v>0</v>
      </c>
      <c r="BH11" s="3">
        <v>0</v>
      </c>
      <c r="BI11" s="3">
        <v>2538.3993039694619</v>
      </c>
      <c r="BJ11" s="7" t="s">
        <v>103</v>
      </c>
      <c r="BK11" s="2" t="s">
        <v>31</v>
      </c>
      <c r="BL11" s="3">
        <v>1595.1058468585343</v>
      </c>
      <c r="BM11" s="3">
        <v>1286.0486918109812</v>
      </c>
      <c r="BN11" s="3">
        <v>0</v>
      </c>
      <c r="BO11" s="3">
        <v>0</v>
      </c>
      <c r="BP11" s="3">
        <v>2881.1545386695152</v>
      </c>
      <c r="BQ11" s="7" t="s">
        <v>103</v>
      </c>
      <c r="BR11" s="2" t="s">
        <v>31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7" t="s">
        <v>103</v>
      </c>
      <c r="BY11" s="2" t="s">
        <v>31</v>
      </c>
      <c r="BZ11" s="3">
        <v>1147973.3053217316</v>
      </c>
      <c r="CA11" s="3">
        <v>447509.11781147018</v>
      </c>
      <c r="CB11" s="3">
        <v>0</v>
      </c>
      <c r="CC11" s="3">
        <v>0</v>
      </c>
      <c r="CD11" s="3">
        <v>1595482.4231332019</v>
      </c>
      <c r="CE11" s="7" t="s">
        <v>103</v>
      </c>
      <c r="CF11" s="2" t="s">
        <v>31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7" t="s">
        <v>103</v>
      </c>
      <c r="CM11" s="2" t="s">
        <v>31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7" t="s">
        <v>103</v>
      </c>
      <c r="CT11" s="2" t="s">
        <v>31</v>
      </c>
      <c r="CU11" s="3">
        <v>111010.66237532326</v>
      </c>
      <c r="CV11" s="3">
        <v>9259.5505810390659</v>
      </c>
      <c r="CW11" s="3">
        <v>0</v>
      </c>
      <c r="CX11" s="3">
        <v>0</v>
      </c>
      <c r="CY11" s="3">
        <v>120270.21295636232</v>
      </c>
      <c r="CZ11" s="7" t="s">
        <v>103</v>
      </c>
      <c r="DA11" s="2" t="s">
        <v>31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7" t="s">
        <v>103</v>
      </c>
      <c r="DH11" s="2" t="s">
        <v>31</v>
      </c>
      <c r="DI11" s="3">
        <v>2475.5448049136921</v>
      </c>
      <c r="DJ11" s="3">
        <v>1337.4906394834206</v>
      </c>
      <c r="DK11" s="3">
        <v>0</v>
      </c>
      <c r="DL11" s="3">
        <v>0</v>
      </c>
      <c r="DM11" s="3">
        <v>3813.0354443971128</v>
      </c>
      <c r="DN11" s="7" t="s">
        <v>103</v>
      </c>
      <c r="DO11" s="2" t="s">
        <v>31</v>
      </c>
      <c r="DP11" s="3">
        <v>6380.9530058059017</v>
      </c>
      <c r="DQ11" s="3">
        <v>1851.910116207813</v>
      </c>
      <c r="DR11" s="3">
        <v>0</v>
      </c>
      <c r="DS11" s="3">
        <v>0</v>
      </c>
      <c r="DT11" s="3">
        <v>8232.863122013714</v>
      </c>
      <c r="DU11" s="7" t="s">
        <v>103</v>
      </c>
      <c r="DV11" s="2" t="s">
        <v>31</v>
      </c>
      <c r="DW11" s="3">
        <v>334413.55549199495</v>
      </c>
      <c r="DX11" s="3">
        <v>42980.245105623057</v>
      </c>
      <c r="DY11" s="3">
        <v>1227149.2895257515</v>
      </c>
      <c r="DZ11" s="3">
        <v>0</v>
      </c>
      <c r="EA11" s="3">
        <v>1604543.0901233694</v>
      </c>
      <c r="EB11" s="7" t="s">
        <v>103</v>
      </c>
      <c r="EC11" s="2" t="s">
        <v>31</v>
      </c>
      <c r="ED11" s="3">
        <v>8303686.7789267376</v>
      </c>
      <c r="EE11" s="3">
        <v>3090544.0147094037</v>
      </c>
      <c r="EF11" s="3">
        <v>0</v>
      </c>
      <c r="EG11" s="3">
        <v>0</v>
      </c>
      <c r="EH11" s="3">
        <v>11394230.793636141</v>
      </c>
    </row>
    <row r="12" spans="1:138" ht="10.199999999999999" customHeight="1" x14ac:dyDescent="0.2">
      <c r="A12" s="7" t="s">
        <v>99</v>
      </c>
      <c r="B12" s="2" t="s">
        <v>27</v>
      </c>
      <c r="C12" s="3">
        <f t="shared" si="4"/>
        <v>56163.525500127012</v>
      </c>
      <c r="D12" s="3">
        <f t="shared" si="5"/>
        <v>19.033075708982224</v>
      </c>
      <c r="E12" s="3">
        <f t="shared" si="6"/>
        <v>0</v>
      </c>
      <c r="F12" s="3">
        <f t="shared" si="7"/>
        <v>20530977.122554742</v>
      </c>
      <c r="G12" s="3">
        <f t="shared" si="8"/>
        <v>90512.066348382359</v>
      </c>
      <c r="H12" s="3">
        <f t="shared" si="9"/>
        <v>0</v>
      </c>
      <c r="I12" s="3">
        <f t="shared" si="10"/>
        <v>1579429.7144492839</v>
      </c>
      <c r="J12" s="3">
        <f t="shared" si="11"/>
        <v>130.5125191473067</v>
      </c>
      <c r="K12" s="3">
        <f t="shared" si="12"/>
        <v>524293.39748759347</v>
      </c>
      <c r="L12" s="3">
        <f t="shared" si="13"/>
        <v>6773.9013374125989</v>
      </c>
      <c r="M12" s="3">
        <f t="shared" si="14"/>
        <v>7309580.3394197486</v>
      </c>
      <c r="N12" s="3">
        <f t="shared" si="15"/>
        <v>6720042.574882919</v>
      </c>
      <c r="O12" s="3">
        <f t="shared" si="16"/>
        <v>36817922.187575057</v>
      </c>
      <c r="P12" s="7" t="s">
        <v>99</v>
      </c>
      <c r="Q12" s="2" t="s">
        <v>27</v>
      </c>
      <c r="R12" s="3">
        <f t="shared" si="17"/>
        <v>56163.525500127012</v>
      </c>
      <c r="S12" s="3">
        <f t="shared" si="17"/>
        <v>19.033075708982224</v>
      </c>
      <c r="T12" s="3">
        <f t="shared" si="17"/>
        <v>0</v>
      </c>
      <c r="U12" s="3">
        <f t="shared" si="17"/>
        <v>20530977.122554742</v>
      </c>
      <c r="V12" s="3">
        <f t="shared" si="17"/>
        <v>90512.066348382359</v>
      </c>
      <c r="W12" s="3">
        <f t="shared" si="17"/>
        <v>0</v>
      </c>
      <c r="X12" s="3">
        <f t="shared" si="17"/>
        <v>1579429.7144492839</v>
      </c>
      <c r="Y12" s="3">
        <f t="shared" si="17"/>
        <v>130.5125191473067</v>
      </c>
      <c r="Z12" s="3">
        <f t="shared" si="17"/>
        <v>524293.39748759347</v>
      </c>
      <c r="AA12" s="3">
        <f t="shared" si="17"/>
        <v>6773.9013374125989</v>
      </c>
      <c r="AB12" s="3">
        <f t="shared" si="18"/>
        <v>22788299.273272391</v>
      </c>
      <c r="AC12" s="7" t="s">
        <v>99</v>
      </c>
      <c r="AD12" s="2" t="s">
        <v>27</v>
      </c>
      <c r="AE12" s="3">
        <f t="shared" si="19"/>
        <v>7309580.3394197486</v>
      </c>
      <c r="AF12" s="3">
        <f t="shared" si="19"/>
        <v>6720042.574882919</v>
      </c>
      <c r="AG12" s="3">
        <f t="shared" si="20"/>
        <v>14029622.914302668</v>
      </c>
      <c r="AH12" s="7" t="s">
        <v>99</v>
      </c>
      <c r="AI12" s="2" t="s">
        <v>27</v>
      </c>
      <c r="AJ12" s="3">
        <f t="shared" si="21"/>
        <v>1418447.2271029372</v>
      </c>
      <c r="AK12" s="3">
        <f t="shared" si="1"/>
        <v>17885723.209004033</v>
      </c>
      <c r="AL12" s="3">
        <f t="shared" si="1"/>
        <v>17342842.500203762</v>
      </c>
      <c r="AM12" s="3">
        <f t="shared" si="1"/>
        <v>170909.25126433017</v>
      </c>
      <c r="AN12" s="3">
        <f t="shared" si="22"/>
        <v>36817922.187575072</v>
      </c>
      <c r="AO12" s="7" t="s">
        <v>99</v>
      </c>
      <c r="AP12" s="2" t="s">
        <v>27</v>
      </c>
      <c r="AQ12" s="3">
        <f t="shared" si="23"/>
        <v>898223.73024780292</v>
      </c>
      <c r="AR12" s="3">
        <f t="shared" si="2"/>
        <v>13400222.707725899</v>
      </c>
      <c r="AS12" s="3">
        <f t="shared" si="2"/>
        <v>8489852.8352986928</v>
      </c>
      <c r="AT12" s="3">
        <f t="shared" si="2"/>
        <v>0</v>
      </c>
      <c r="AU12" s="3">
        <f t="shared" si="24"/>
        <v>22788299.273272395</v>
      </c>
      <c r="AV12" s="7" t="s">
        <v>99</v>
      </c>
      <c r="AW12" s="2" t="s">
        <v>27</v>
      </c>
      <c r="AX12" s="3">
        <f t="shared" si="25"/>
        <v>520223.49685513414</v>
      </c>
      <c r="AY12" s="3">
        <f t="shared" si="3"/>
        <v>4485500.501278135</v>
      </c>
      <c r="AZ12" s="3">
        <f t="shared" si="3"/>
        <v>8852989.6649050694</v>
      </c>
      <c r="BA12" s="3">
        <f t="shared" si="3"/>
        <v>170909.25126433017</v>
      </c>
      <c r="BB12" s="3">
        <f t="shared" si="26"/>
        <v>14029622.914302669</v>
      </c>
      <c r="BC12" s="7" t="s">
        <v>99</v>
      </c>
      <c r="BD12" s="2" t="s">
        <v>27</v>
      </c>
      <c r="BE12" s="3">
        <v>50842.583571428564</v>
      </c>
      <c r="BF12" s="3">
        <v>5320.9419286984494</v>
      </c>
      <c r="BG12" s="3">
        <v>0</v>
      </c>
      <c r="BH12" s="3">
        <v>0</v>
      </c>
      <c r="BI12" s="3">
        <v>56163.525500127012</v>
      </c>
      <c r="BJ12" s="7" t="s">
        <v>99</v>
      </c>
      <c r="BK12" s="2" t="s">
        <v>27</v>
      </c>
      <c r="BL12" s="3">
        <v>0</v>
      </c>
      <c r="BM12" s="3">
        <v>0</v>
      </c>
      <c r="BN12" s="3">
        <v>19.033075708982224</v>
      </c>
      <c r="BO12" s="3">
        <v>0</v>
      </c>
      <c r="BP12" s="3">
        <v>19.033075708982224</v>
      </c>
      <c r="BQ12" s="7" t="s">
        <v>99</v>
      </c>
      <c r="BR12" s="2" t="s">
        <v>27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7" t="s">
        <v>99</v>
      </c>
      <c r="BY12" s="2" t="s">
        <v>27</v>
      </c>
      <c r="BZ12" s="3">
        <v>334658.69576059887</v>
      </c>
      <c r="CA12" s="3">
        <v>11865129.888466425</v>
      </c>
      <c r="CB12" s="3">
        <v>8331188.5383277163</v>
      </c>
      <c r="CC12" s="3">
        <v>0</v>
      </c>
      <c r="CD12" s="3">
        <v>20530977.122554742</v>
      </c>
      <c r="CE12" s="7" t="s">
        <v>99</v>
      </c>
      <c r="CF12" s="2" t="s">
        <v>27</v>
      </c>
      <c r="CG12" s="3">
        <v>87005.545618178687</v>
      </c>
      <c r="CH12" s="3">
        <v>3506.5207302036747</v>
      </c>
      <c r="CI12" s="3">
        <v>0</v>
      </c>
      <c r="CJ12" s="3">
        <v>0</v>
      </c>
      <c r="CK12" s="3">
        <v>90512.066348382359</v>
      </c>
      <c r="CL12" s="7" t="s">
        <v>99</v>
      </c>
      <c r="CM12" s="2" t="s">
        <v>27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7" t="s">
        <v>99</v>
      </c>
      <c r="CT12" s="2" t="s">
        <v>27</v>
      </c>
      <c r="CU12" s="3">
        <v>21180.244726757894</v>
      </c>
      <c r="CV12" s="3">
        <v>1400093.6277740619</v>
      </c>
      <c r="CW12" s="3">
        <v>158155.84194846399</v>
      </c>
      <c r="CX12" s="3">
        <v>0</v>
      </c>
      <c r="CY12" s="3">
        <v>1579429.7144492839</v>
      </c>
      <c r="CZ12" s="7" t="s">
        <v>99</v>
      </c>
      <c r="DA12" s="2" t="s">
        <v>27</v>
      </c>
      <c r="DB12" s="3">
        <v>402026.86342876998</v>
      </c>
      <c r="DC12" s="3">
        <v>121777.11211202104</v>
      </c>
      <c r="DD12" s="3">
        <v>489.42194680240016</v>
      </c>
      <c r="DE12" s="3">
        <v>0</v>
      </c>
      <c r="DF12" s="3">
        <v>524293.39748759347</v>
      </c>
      <c r="DG12" s="7" t="s">
        <v>99</v>
      </c>
      <c r="DH12" s="2" t="s">
        <v>27</v>
      </c>
      <c r="DI12" s="3">
        <v>130.5125191473067</v>
      </c>
      <c r="DJ12" s="3">
        <v>0</v>
      </c>
      <c r="DK12" s="3">
        <v>0</v>
      </c>
      <c r="DL12" s="3">
        <v>0</v>
      </c>
      <c r="DM12" s="3">
        <v>130.5125191473067</v>
      </c>
      <c r="DN12" s="7" t="s">
        <v>99</v>
      </c>
      <c r="DO12" s="2" t="s">
        <v>27</v>
      </c>
      <c r="DP12" s="3">
        <v>2379.2846229215675</v>
      </c>
      <c r="DQ12" s="3">
        <v>4394.6167144910314</v>
      </c>
      <c r="DR12" s="3">
        <v>0</v>
      </c>
      <c r="DS12" s="3">
        <v>0</v>
      </c>
      <c r="DT12" s="3">
        <v>6773.9013374125989</v>
      </c>
      <c r="DU12" s="7" t="s">
        <v>99</v>
      </c>
      <c r="DV12" s="2" t="s">
        <v>27</v>
      </c>
      <c r="DW12" s="3">
        <v>9931.8103520755358</v>
      </c>
      <c r="DX12" s="3">
        <v>1533260.4728464107</v>
      </c>
      <c r="DY12" s="3">
        <v>5005941.0404201029</v>
      </c>
      <c r="DZ12" s="3">
        <v>170909.25126433017</v>
      </c>
      <c r="EA12" s="3">
        <v>6720042.574882919</v>
      </c>
      <c r="EB12" s="7" t="s">
        <v>99</v>
      </c>
      <c r="EC12" s="2" t="s">
        <v>27</v>
      </c>
      <c r="ED12" s="3">
        <v>510291.68650305859</v>
      </c>
      <c r="EE12" s="3">
        <v>2952240.0284317243</v>
      </c>
      <c r="EF12" s="3">
        <v>3847048.624484966</v>
      </c>
      <c r="EG12" s="3">
        <v>0</v>
      </c>
      <c r="EH12" s="3">
        <v>7309580.3394197486</v>
      </c>
    </row>
    <row r="13" spans="1:138" ht="10.199999999999999" customHeight="1" x14ac:dyDescent="0.2">
      <c r="A13" s="7" t="s">
        <v>94</v>
      </c>
      <c r="B13" s="2" t="s">
        <v>22</v>
      </c>
      <c r="C13" s="3">
        <f t="shared" si="4"/>
        <v>0</v>
      </c>
      <c r="D13" s="3">
        <f t="shared" si="5"/>
        <v>2171.4793990707803</v>
      </c>
      <c r="E13" s="3">
        <f t="shared" si="6"/>
        <v>277167919.77969927</v>
      </c>
      <c r="F13" s="3">
        <f t="shared" si="7"/>
        <v>353931043.95805931</v>
      </c>
      <c r="G13" s="3">
        <f t="shared" si="8"/>
        <v>12749.981993480125</v>
      </c>
      <c r="H13" s="3">
        <f t="shared" si="9"/>
        <v>144687711.73300532</v>
      </c>
      <c r="I13" s="3">
        <f t="shared" si="10"/>
        <v>680178.20865810849</v>
      </c>
      <c r="J13" s="3">
        <f t="shared" si="11"/>
        <v>320573897.33468246</v>
      </c>
      <c r="K13" s="3">
        <f t="shared" si="12"/>
        <v>99915317.967110693</v>
      </c>
      <c r="L13" s="3">
        <f t="shared" si="13"/>
        <v>4614.533753208234</v>
      </c>
      <c r="M13" s="3">
        <f t="shared" si="14"/>
        <v>5691295.6734636761</v>
      </c>
      <c r="N13" s="3">
        <f t="shared" si="15"/>
        <v>137605410.21486253</v>
      </c>
      <c r="O13" s="3">
        <f t="shared" si="16"/>
        <v>1340272310.8646867</v>
      </c>
      <c r="P13" s="7" t="s">
        <v>94</v>
      </c>
      <c r="Q13" s="2" t="s">
        <v>22</v>
      </c>
      <c r="R13" s="3">
        <f t="shared" si="17"/>
        <v>0</v>
      </c>
      <c r="S13" s="3">
        <f t="shared" si="17"/>
        <v>2171.4793990707803</v>
      </c>
      <c r="T13" s="3">
        <f t="shared" si="17"/>
        <v>277167919.77969927</v>
      </c>
      <c r="U13" s="3">
        <f t="shared" si="17"/>
        <v>353931043.95805931</v>
      </c>
      <c r="V13" s="3">
        <f t="shared" si="17"/>
        <v>12749.981993480125</v>
      </c>
      <c r="W13" s="3">
        <f t="shared" si="17"/>
        <v>144687711.73300532</v>
      </c>
      <c r="X13" s="3">
        <f t="shared" si="17"/>
        <v>680178.20865810849</v>
      </c>
      <c r="Y13" s="3">
        <f t="shared" si="17"/>
        <v>320573897.33468246</v>
      </c>
      <c r="Z13" s="3">
        <f t="shared" si="17"/>
        <v>99915317.967110693</v>
      </c>
      <c r="AA13" s="3">
        <f t="shared" si="17"/>
        <v>4614.533753208234</v>
      </c>
      <c r="AB13" s="3">
        <f t="shared" si="18"/>
        <v>1196975604.9763606</v>
      </c>
      <c r="AC13" s="7" t="s">
        <v>94</v>
      </c>
      <c r="AD13" s="2" t="s">
        <v>22</v>
      </c>
      <c r="AE13" s="3">
        <f t="shared" si="19"/>
        <v>5691295.6734636761</v>
      </c>
      <c r="AF13" s="3">
        <f t="shared" si="19"/>
        <v>137605410.21486253</v>
      </c>
      <c r="AG13" s="3">
        <f t="shared" si="20"/>
        <v>143296705.8883262</v>
      </c>
      <c r="AH13" s="7" t="s">
        <v>94</v>
      </c>
      <c r="AI13" s="2" t="s">
        <v>22</v>
      </c>
      <c r="AJ13" s="3">
        <f t="shared" si="21"/>
        <v>37399210.802117936</v>
      </c>
      <c r="AK13" s="3">
        <f t="shared" si="1"/>
        <v>411008588.64959228</v>
      </c>
      <c r="AL13" s="3">
        <f t="shared" si="1"/>
        <v>61837368.489681549</v>
      </c>
      <c r="AM13" s="3">
        <f t="shared" si="1"/>
        <v>830027142.92329538</v>
      </c>
      <c r="AN13" s="3">
        <f t="shared" si="22"/>
        <v>1340272310.8646872</v>
      </c>
      <c r="AO13" s="7" t="s">
        <v>94</v>
      </c>
      <c r="AP13" s="2" t="s">
        <v>22</v>
      </c>
      <c r="AQ13" s="3">
        <f t="shared" si="23"/>
        <v>32850172.520029407</v>
      </c>
      <c r="AR13" s="3">
        <f t="shared" si="2"/>
        <v>409857842.67759514</v>
      </c>
      <c r="AS13" s="3">
        <f t="shared" si="2"/>
        <v>61837368.489681549</v>
      </c>
      <c r="AT13" s="3">
        <f t="shared" si="2"/>
        <v>692430221.28905487</v>
      </c>
      <c r="AU13" s="3">
        <f t="shared" si="24"/>
        <v>1196975604.976361</v>
      </c>
      <c r="AV13" s="7" t="s">
        <v>94</v>
      </c>
      <c r="AW13" s="2" t="s">
        <v>22</v>
      </c>
      <c r="AX13" s="3">
        <f t="shared" si="25"/>
        <v>4549038.2820885275</v>
      </c>
      <c r="AY13" s="3">
        <f t="shared" si="3"/>
        <v>1150745.9719971302</v>
      </c>
      <c r="AZ13" s="3">
        <f t="shared" si="3"/>
        <v>0</v>
      </c>
      <c r="BA13" s="3">
        <f t="shared" si="3"/>
        <v>137596921.63424054</v>
      </c>
      <c r="BB13" s="3">
        <f t="shared" si="26"/>
        <v>143296705.8883262</v>
      </c>
      <c r="BC13" s="7" t="s">
        <v>94</v>
      </c>
      <c r="BD13" s="2" t="s">
        <v>22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7" t="s">
        <v>94</v>
      </c>
      <c r="BK13" s="2" t="s">
        <v>22</v>
      </c>
      <c r="BL13" s="3">
        <v>113.80149217321016</v>
      </c>
      <c r="BM13" s="3">
        <v>0</v>
      </c>
      <c r="BN13" s="3">
        <v>0</v>
      </c>
      <c r="BO13" s="3">
        <v>2057.6779068975702</v>
      </c>
      <c r="BP13" s="3">
        <v>2171.4793990707803</v>
      </c>
      <c r="BQ13" s="7" t="s">
        <v>94</v>
      </c>
      <c r="BR13" s="2" t="s">
        <v>22</v>
      </c>
      <c r="BS13" s="3">
        <v>0</v>
      </c>
      <c r="BT13" s="3">
        <v>15167.14385174199</v>
      </c>
      <c r="BU13" s="3">
        <v>617303.37206927105</v>
      </c>
      <c r="BV13" s="3">
        <v>276535449.26377827</v>
      </c>
      <c r="BW13" s="3">
        <v>277167919.77969927</v>
      </c>
      <c r="BX13" s="7" t="s">
        <v>94</v>
      </c>
      <c r="BY13" s="2" t="s">
        <v>22</v>
      </c>
      <c r="BZ13" s="3">
        <v>32460992.849623706</v>
      </c>
      <c r="CA13" s="3">
        <v>315914320.75981218</v>
      </c>
      <c r="CB13" s="3">
        <v>0</v>
      </c>
      <c r="CC13" s="3">
        <v>5555730.3486234387</v>
      </c>
      <c r="CD13" s="3">
        <v>353931043.95805931</v>
      </c>
      <c r="CE13" s="7" t="s">
        <v>94</v>
      </c>
      <c r="CF13" s="2" t="s">
        <v>22</v>
      </c>
      <c r="CG13" s="3">
        <v>1432.7535055434905</v>
      </c>
      <c r="CH13" s="3">
        <v>11317.228487936634</v>
      </c>
      <c r="CI13" s="3">
        <v>0</v>
      </c>
      <c r="CJ13" s="3">
        <v>0</v>
      </c>
      <c r="CK13" s="3">
        <v>12749.981993480125</v>
      </c>
      <c r="CL13" s="7" t="s">
        <v>94</v>
      </c>
      <c r="CM13" s="2" t="s">
        <v>22</v>
      </c>
      <c r="CN13" s="3">
        <v>0</v>
      </c>
      <c r="CO13" s="3">
        <v>0</v>
      </c>
      <c r="CP13" s="3">
        <v>57236400.689858586</v>
      </c>
      <c r="CQ13" s="3">
        <v>87451311.043146729</v>
      </c>
      <c r="CR13" s="3">
        <v>144687711.73300532</v>
      </c>
      <c r="CS13" s="7" t="s">
        <v>94</v>
      </c>
      <c r="CT13" s="2" t="s">
        <v>22</v>
      </c>
      <c r="CU13" s="3">
        <v>364406.28552770615</v>
      </c>
      <c r="CV13" s="3">
        <v>315771.92313040228</v>
      </c>
      <c r="CW13" s="3">
        <v>0</v>
      </c>
      <c r="CX13" s="3">
        <v>0</v>
      </c>
      <c r="CY13" s="3">
        <v>680178.20865810849</v>
      </c>
      <c r="CZ13" s="7" t="s">
        <v>94</v>
      </c>
      <c r="DA13" s="2" t="s">
        <v>22</v>
      </c>
      <c r="DB13" s="3">
        <v>18807.668746152653</v>
      </c>
      <c r="DC13" s="3">
        <v>93597958.22535108</v>
      </c>
      <c r="DD13" s="3">
        <v>125518.35232075177</v>
      </c>
      <c r="DE13" s="3">
        <v>6173033.72069271</v>
      </c>
      <c r="DF13" s="3">
        <v>99915317.967110693</v>
      </c>
      <c r="DG13" s="7" t="s">
        <v>94</v>
      </c>
      <c r="DH13" s="2" t="s">
        <v>22</v>
      </c>
      <c r="DI13" s="3">
        <v>1865.4127287503984</v>
      </c>
      <c r="DJ13" s="3">
        <v>1246.6116139811809</v>
      </c>
      <c r="DK13" s="3">
        <v>3858146.0754329436</v>
      </c>
      <c r="DL13" s="3">
        <v>316712639.23490679</v>
      </c>
      <c r="DM13" s="3">
        <v>320573897.33468246</v>
      </c>
      <c r="DN13" s="7" t="s">
        <v>94</v>
      </c>
      <c r="DO13" s="2" t="s">
        <v>22</v>
      </c>
      <c r="DP13" s="3">
        <v>2553.7484053785852</v>
      </c>
      <c r="DQ13" s="3">
        <v>2060.7853478296488</v>
      </c>
      <c r="DR13" s="3">
        <v>0</v>
      </c>
      <c r="DS13" s="3">
        <v>0</v>
      </c>
      <c r="DT13" s="3">
        <v>4614.533753208234</v>
      </c>
      <c r="DU13" s="7" t="s">
        <v>94</v>
      </c>
      <c r="DV13" s="2" t="s">
        <v>22</v>
      </c>
      <c r="DW13" s="3">
        <v>8488.5806219809001</v>
      </c>
      <c r="DX13" s="3">
        <v>0</v>
      </c>
      <c r="DY13" s="3">
        <v>0</v>
      </c>
      <c r="DZ13" s="3">
        <v>137596921.63424054</v>
      </c>
      <c r="EA13" s="3">
        <v>137605410.21486253</v>
      </c>
      <c r="EB13" s="7" t="s">
        <v>94</v>
      </c>
      <c r="EC13" s="2" t="s">
        <v>22</v>
      </c>
      <c r="ED13" s="3">
        <v>4540549.7014665464</v>
      </c>
      <c r="EE13" s="3">
        <v>1150745.9719971302</v>
      </c>
      <c r="EF13" s="3">
        <v>0</v>
      </c>
      <c r="EG13" s="3">
        <v>0</v>
      </c>
      <c r="EH13" s="3">
        <v>5691295.6734636761</v>
      </c>
    </row>
    <row r="14" spans="1:138" ht="10.199999999999999" customHeight="1" x14ac:dyDescent="0.2">
      <c r="A14" s="7" t="s">
        <v>97</v>
      </c>
      <c r="B14" s="2" t="s">
        <v>25</v>
      </c>
      <c r="C14" s="3">
        <f t="shared" si="4"/>
        <v>0</v>
      </c>
      <c r="D14" s="3">
        <f t="shared" si="5"/>
        <v>24974.002744810736</v>
      </c>
      <c r="E14" s="3">
        <f t="shared" si="6"/>
        <v>0</v>
      </c>
      <c r="F14" s="3">
        <f t="shared" si="7"/>
        <v>14335.696157661181</v>
      </c>
      <c r="G14" s="3">
        <f t="shared" si="8"/>
        <v>0</v>
      </c>
      <c r="H14" s="3">
        <f t="shared" si="9"/>
        <v>0</v>
      </c>
      <c r="I14" s="3">
        <f t="shared" si="10"/>
        <v>12.235548670060002</v>
      </c>
      <c r="J14" s="3">
        <f t="shared" si="11"/>
        <v>0</v>
      </c>
      <c r="K14" s="3">
        <f t="shared" si="12"/>
        <v>0</v>
      </c>
      <c r="L14" s="3">
        <f t="shared" si="13"/>
        <v>16356.974540289937</v>
      </c>
      <c r="M14" s="3">
        <f t="shared" si="14"/>
        <v>193802.69764158671</v>
      </c>
      <c r="N14" s="3">
        <f t="shared" si="15"/>
        <v>50519.346456298714</v>
      </c>
      <c r="O14" s="3">
        <f t="shared" si="16"/>
        <v>300000.95308931731</v>
      </c>
      <c r="P14" s="7" t="s">
        <v>97</v>
      </c>
      <c r="Q14" s="2" t="s">
        <v>25</v>
      </c>
      <c r="R14" s="3">
        <f t="shared" si="17"/>
        <v>0</v>
      </c>
      <c r="S14" s="3">
        <f t="shared" si="17"/>
        <v>24974.002744810736</v>
      </c>
      <c r="T14" s="3">
        <f t="shared" si="17"/>
        <v>0</v>
      </c>
      <c r="U14" s="3">
        <f t="shared" si="17"/>
        <v>14335.696157661181</v>
      </c>
      <c r="V14" s="3">
        <f t="shared" si="17"/>
        <v>0</v>
      </c>
      <c r="W14" s="3">
        <f t="shared" si="17"/>
        <v>0</v>
      </c>
      <c r="X14" s="3">
        <f t="shared" si="17"/>
        <v>12.235548670060002</v>
      </c>
      <c r="Y14" s="3">
        <f t="shared" si="17"/>
        <v>0</v>
      </c>
      <c r="Z14" s="3">
        <f t="shared" si="17"/>
        <v>0</v>
      </c>
      <c r="AA14" s="3">
        <f t="shared" si="17"/>
        <v>16356.974540289937</v>
      </c>
      <c r="AB14" s="3">
        <f t="shared" si="18"/>
        <v>55678.908991431912</v>
      </c>
      <c r="AC14" s="7" t="s">
        <v>97</v>
      </c>
      <c r="AD14" s="2" t="s">
        <v>25</v>
      </c>
      <c r="AE14" s="3">
        <f t="shared" si="19"/>
        <v>193802.69764158671</v>
      </c>
      <c r="AF14" s="3">
        <f t="shared" si="19"/>
        <v>50519.346456298714</v>
      </c>
      <c r="AG14" s="3">
        <f t="shared" si="20"/>
        <v>244322.04409788543</v>
      </c>
      <c r="AH14" s="7" t="s">
        <v>97</v>
      </c>
      <c r="AI14" s="2" t="s">
        <v>25</v>
      </c>
      <c r="AJ14" s="3">
        <f t="shared" si="21"/>
        <v>300000.95308931737</v>
      </c>
      <c r="AK14" s="3">
        <f t="shared" si="1"/>
        <v>0</v>
      </c>
      <c r="AL14" s="3">
        <f t="shared" si="1"/>
        <v>0</v>
      </c>
      <c r="AM14" s="3">
        <f t="shared" si="1"/>
        <v>0</v>
      </c>
      <c r="AN14" s="3">
        <f t="shared" si="22"/>
        <v>300000.95308931737</v>
      </c>
      <c r="AO14" s="7" t="s">
        <v>97</v>
      </c>
      <c r="AP14" s="2" t="s">
        <v>25</v>
      </c>
      <c r="AQ14" s="3">
        <f t="shared" si="23"/>
        <v>55678.908991431912</v>
      </c>
      <c r="AR14" s="3">
        <f t="shared" si="2"/>
        <v>0</v>
      </c>
      <c r="AS14" s="3">
        <f t="shared" si="2"/>
        <v>0</v>
      </c>
      <c r="AT14" s="3">
        <f t="shared" si="2"/>
        <v>0</v>
      </c>
      <c r="AU14" s="3">
        <f t="shared" si="24"/>
        <v>55678.908991431912</v>
      </c>
      <c r="AV14" s="7" t="s">
        <v>97</v>
      </c>
      <c r="AW14" s="2" t="s">
        <v>25</v>
      </c>
      <c r="AX14" s="3">
        <f t="shared" si="25"/>
        <v>244322.04409788543</v>
      </c>
      <c r="AY14" s="3">
        <f t="shared" si="3"/>
        <v>0</v>
      </c>
      <c r="AZ14" s="3">
        <f t="shared" si="3"/>
        <v>0</v>
      </c>
      <c r="BA14" s="3">
        <f t="shared" si="3"/>
        <v>0</v>
      </c>
      <c r="BB14" s="3">
        <f t="shared" si="26"/>
        <v>244322.04409788543</v>
      </c>
      <c r="BC14" s="7" t="s">
        <v>97</v>
      </c>
      <c r="BD14" s="2" t="s">
        <v>25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7" t="s">
        <v>97</v>
      </c>
      <c r="BK14" s="2" t="s">
        <v>25</v>
      </c>
      <c r="BL14" s="3">
        <v>24974.002744810736</v>
      </c>
      <c r="BM14" s="3">
        <v>0</v>
      </c>
      <c r="BN14" s="3">
        <v>0</v>
      </c>
      <c r="BO14" s="3">
        <v>0</v>
      </c>
      <c r="BP14" s="3">
        <v>24974.002744810736</v>
      </c>
      <c r="BQ14" s="7" t="s">
        <v>97</v>
      </c>
      <c r="BR14" s="2" t="s">
        <v>25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7" t="s">
        <v>97</v>
      </c>
      <c r="BY14" s="2" t="s">
        <v>25</v>
      </c>
      <c r="BZ14" s="3">
        <v>14335.696157661181</v>
      </c>
      <c r="CA14" s="3">
        <v>0</v>
      </c>
      <c r="CB14" s="3">
        <v>0</v>
      </c>
      <c r="CC14" s="3">
        <v>0</v>
      </c>
      <c r="CD14" s="3">
        <v>14335.696157661181</v>
      </c>
      <c r="CE14" s="7" t="s">
        <v>97</v>
      </c>
      <c r="CF14" s="2" t="s">
        <v>25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7" t="s">
        <v>97</v>
      </c>
      <c r="CM14" s="2" t="s">
        <v>25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7" t="s">
        <v>97</v>
      </c>
      <c r="CT14" s="2" t="s">
        <v>25</v>
      </c>
      <c r="CU14" s="3">
        <v>12.235548670060002</v>
      </c>
      <c r="CV14" s="3">
        <v>0</v>
      </c>
      <c r="CW14" s="3">
        <v>0</v>
      </c>
      <c r="CX14" s="3">
        <v>0</v>
      </c>
      <c r="CY14" s="3">
        <v>12.235548670060002</v>
      </c>
      <c r="CZ14" s="7" t="s">
        <v>97</v>
      </c>
      <c r="DA14" s="2" t="s">
        <v>25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7" t="s">
        <v>97</v>
      </c>
      <c r="DH14" s="2" t="s">
        <v>25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7" t="s">
        <v>97</v>
      </c>
      <c r="DO14" s="2" t="s">
        <v>25</v>
      </c>
      <c r="DP14" s="3">
        <v>16356.974540289937</v>
      </c>
      <c r="DQ14" s="3">
        <v>0</v>
      </c>
      <c r="DR14" s="3">
        <v>0</v>
      </c>
      <c r="DS14" s="3">
        <v>0</v>
      </c>
      <c r="DT14" s="3">
        <v>16356.974540289937</v>
      </c>
      <c r="DU14" s="7" t="s">
        <v>97</v>
      </c>
      <c r="DV14" s="2" t="s">
        <v>25</v>
      </c>
      <c r="DW14" s="3">
        <v>50519.346456298714</v>
      </c>
      <c r="DX14" s="3">
        <v>0</v>
      </c>
      <c r="DY14" s="3">
        <v>0</v>
      </c>
      <c r="DZ14" s="3">
        <v>0</v>
      </c>
      <c r="EA14" s="3">
        <v>50519.346456298714</v>
      </c>
      <c r="EB14" s="7" t="s">
        <v>97</v>
      </c>
      <c r="EC14" s="2" t="s">
        <v>25</v>
      </c>
      <c r="ED14" s="3">
        <v>193802.69764158671</v>
      </c>
      <c r="EE14" s="3">
        <v>0</v>
      </c>
      <c r="EF14" s="3">
        <v>0</v>
      </c>
      <c r="EG14" s="3">
        <v>0</v>
      </c>
      <c r="EH14" s="3">
        <v>193802.69764158671</v>
      </c>
    </row>
    <row r="15" spans="1:138" ht="10.199999999999999" customHeight="1" x14ac:dyDescent="0.2">
      <c r="A15" s="7" t="s">
        <v>117</v>
      </c>
      <c r="B15" s="2" t="s">
        <v>45</v>
      </c>
      <c r="C15" s="3">
        <f t="shared" si="4"/>
        <v>0</v>
      </c>
      <c r="D15" s="3">
        <f t="shared" si="5"/>
        <v>0</v>
      </c>
      <c r="E15" s="3">
        <f t="shared" si="6"/>
        <v>32692667.457822885</v>
      </c>
      <c r="F15" s="3">
        <f t="shared" si="7"/>
        <v>276227.63500837388</v>
      </c>
      <c r="G15" s="3">
        <f t="shared" si="8"/>
        <v>8134.3378097024433</v>
      </c>
      <c r="H15" s="3">
        <f t="shared" si="9"/>
        <v>0</v>
      </c>
      <c r="I15" s="3">
        <f t="shared" si="10"/>
        <v>0</v>
      </c>
      <c r="J15" s="3">
        <f t="shared" si="11"/>
        <v>1267.0256207342022</v>
      </c>
      <c r="K15" s="3">
        <f t="shared" si="12"/>
        <v>183196.64763225376</v>
      </c>
      <c r="L15" s="3">
        <f t="shared" si="13"/>
        <v>417798.71010267519</v>
      </c>
      <c r="M15" s="3">
        <f t="shared" si="14"/>
        <v>470405.08953089907</v>
      </c>
      <c r="N15" s="3">
        <f t="shared" si="15"/>
        <v>16149883.463816503</v>
      </c>
      <c r="O15" s="3">
        <f t="shared" si="16"/>
        <v>50199580.367344022</v>
      </c>
      <c r="P15" s="7" t="s">
        <v>117</v>
      </c>
      <c r="Q15" s="2" t="s">
        <v>45</v>
      </c>
      <c r="R15" s="3">
        <f t="shared" si="17"/>
        <v>0</v>
      </c>
      <c r="S15" s="3">
        <f t="shared" si="17"/>
        <v>0</v>
      </c>
      <c r="T15" s="3">
        <f t="shared" si="17"/>
        <v>32692667.457822885</v>
      </c>
      <c r="U15" s="3">
        <f t="shared" si="17"/>
        <v>276227.63500837388</v>
      </c>
      <c r="V15" s="3">
        <f t="shared" si="17"/>
        <v>8134.3378097024433</v>
      </c>
      <c r="W15" s="3">
        <f t="shared" si="17"/>
        <v>0</v>
      </c>
      <c r="X15" s="3">
        <f t="shared" si="17"/>
        <v>0</v>
      </c>
      <c r="Y15" s="3">
        <f t="shared" si="17"/>
        <v>1267.0256207342022</v>
      </c>
      <c r="Z15" s="3">
        <f t="shared" si="17"/>
        <v>183196.64763225376</v>
      </c>
      <c r="AA15" s="3">
        <f t="shared" si="17"/>
        <v>417798.71010267519</v>
      </c>
      <c r="AB15" s="3">
        <f t="shared" si="18"/>
        <v>33579291.81399662</v>
      </c>
      <c r="AC15" s="7" t="s">
        <v>117</v>
      </c>
      <c r="AD15" s="2" t="s">
        <v>45</v>
      </c>
      <c r="AE15" s="3">
        <f t="shared" si="19"/>
        <v>470405.08953089907</v>
      </c>
      <c r="AF15" s="3">
        <f t="shared" si="19"/>
        <v>16149883.463816503</v>
      </c>
      <c r="AG15" s="3">
        <f t="shared" si="20"/>
        <v>16620288.553347401</v>
      </c>
      <c r="AH15" s="7" t="s">
        <v>117</v>
      </c>
      <c r="AI15" s="2" t="s">
        <v>45</v>
      </c>
      <c r="AJ15" s="3">
        <f t="shared" si="21"/>
        <v>980843.12677542912</v>
      </c>
      <c r="AK15" s="3">
        <f t="shared" si="1"/>
        <v>5568283.4271083521</v>
      </c>
      <c r="AL15" s="3">
        <f t="shared" si="1"/>
        <v>28782.016072997401</v>
      </c>
      <c r="AM15" s="3">
        <f t="shared" si="1"/>
        <v>43621671.79738725</v>
      </c>
      <c r="AN15" s="3">
        <f t="shared" si="22"/>
        <v>50199580.367344029</v>
      </c>
      <c r="AO15" s="7" t="s">
        <v>117</v>
      </c>
      <c r="AP15" s="2" t="s">
        <v>45</v>
      </c>
      <c r="AQ15" s="3">
        <f t="shared" si="23"/>
        <v>549490.87592230039</v>
      </c>
      <c r="AR15" s="3">
        <f t="shared" si="2"/>
        <v>332450.62123710394</v>
      </c>
      <c r="AS15" s="3">
        <f t="shared" si="2"/>
        <v>4682.8590143350102</v>
      </c>
      <c r="AT15" s="3">
        <f t="shared" si="2"/>
        <v>32692667.457822885</v>
      </c>
      <c r="AU15" s="3">
        <f t="shared" si="24"/>
        <v>33579291.813996628</v>
      </c>
      <c r="AV15" s="7" t="s">
        <v>117</v>
      </c>
      <c r="AW15" s="2" t="s">
        <v>45</v>
      </c>
      <c r="AX15" s="3">
        <f t="shared" si="25"/>
        <v>431352.25085312879</v>
      </c>
      <c r="AY15" s="3">
        <f t="shared" si="3"/>
        <v>5235832.8058712482</v>
      </c>
      <c r="AZ15" s="3">
        <f t="shared" si="3"/>
        <v>24099.157058662393</v>
      </c>
      <c r="BA15" s="3">
        <f t="shared" si="3"/>
        <v>10929004.339564363</v>
      </c>
      <c r="BB15" s="3">
        <f t="shared" si="26"/>
        <v>16620288.553347401</v>
      </c>
      <c r="BC15" s="7" t="s">
        <v>117</v>
      </c>
      <c r="BD15" s="2" t="s">
        <v>45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7" t="s">
        <v>117</v>
      </c>
      <c r="BK15" s="2" t="s">
        <v>45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7" t="s">
        <v>117</v>
      </c>
      <c r="BR15" s="2" t="s">
        <v>45</v>
      </c>
      <c r="BS15" s="3">
        <v>0</v>
      </c>
      <c r="BT15" s="3">
        <v>0</v>
      </c>
      <c r="BU15" s="3">
        <v>0</v>
      </c>
      <c r="BV15" s="3">
        <v>32692667.457822885</v>
      </c>
      <c r="BW15" s="3">
        <v>32692667.457822885</v>
      </c>
      <c r="BX15" s="7" t="s">
        <v>117</v>
      </c>
      <c r="BY15" s="2" t="s">
        <v>45</v>
      </c>
      <c r="BZ15" s="3">
        <v>106300.62312204723</v>
      </c>
      <c r="CA15" s="3">
        <v>169923.12758516151</v>
      </c>
      <c r="CB15" s="3">
        <v>3.8843011650984134</v>
      </c>
      <c r="CC15" s="3">
        <v>0</v>
      </c>
      <c r="CD15" s="3">
        <v>276227.63500837388</v>
      </c>
      <c r="CE15" s="7" t="s">
        <v>117</v>
      </c>
      <c r="CF15" s="2" t="s">
        <v>45</v>
      </c>
      <c r="CG15" s="3">
        <v>4846.9746251364977</v>
      </c>
      <c r="CH15" s="3">
        <v>3287.3631845659456</v>
      </c>
      <c r="CI15" s="3">
        <v>0</v>
      </c>
      <c r="CJ15" s="3">
        <v>0</v>
      </c>
      <c r="CK15" s="3">
        <v>8134.3378097024433</v>
      </c>
      <c r="CL15" s="7" t="s">
        <v>117</v>
      </c>
      <c r="CM15" s="2" t="s">
        <v>45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7" t="s">
        <v>117</v>
      </c>
      <c r="CT15" s="2" t="s">
        <v>45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7" t="s">
        <v>117</v>
      </c>
      <c r="DA15" s="2" t="s">
        <v>45</v>
      </c>
      <c r="DB15" s="3">
        <v>19277.542451707315</v>
      </c>
      <c r="DC15" s="3">
        <v>159240.13046737653</v>
      </c>
      <c r="DD15" s="3">
        <v>4678.9747131699114</v>
      </c>
      <c r="DE15" s="3">
        <v>0</v>
      </c>
      <c r="DF15" s="3">
        <v>183196.64763225376</v>
      </c>
      <c r="DG15" s="7" t="s">
        <v>117</v>
      </c>
      <c r="DH15" s="2" t="s">
        <v>45</v>
      </c>
      <c r="DI15" s="3">
        <v>1267.0256207342022</v>
      </c>
      <c r="DJ15" s="3">
        <v>0</v>
      </c>
      <c r="DK15" s="3">
        <v>0</v>
      </c>
      <c r="DL15" s="3">
        <v>0</v>
      </c>
      <c r="DM15" s="3">
        <v>1267.0256207342022</v>
      </c>
      <c r="DN15" s="7" t="s">
        <v>117</v>
      </c>
      <c r="DO15" s="2" t="s">
        <v>45</v>
      </c>
      <c r="DP15" s="3">
        <v>417798.71010267519</v>
      </c>
      <c r="DQ15" s="3">
        <v>0</v>
      </c>
      <c r="DR15" s="3">
        <v>0</v>
      </c>
      <c r="DS15" s="3">
        <v>0</v>
      </c>
      <c r="DT15" s="3">
        <v>417798.71010267519</v>
      </c>
      <c r="DU15" s="7" t="s">
        <v>117</v>
      </c>
      <c r="DV15" s="2" t="s">
        <v>45</v>
      </c>
      <c r="DW15" s="3">
        <v>37639.829145631062</v>
      </c>
      <c r="DX15" s="3">
        <v>5159140.138047847</v>
      </c>
      <c r="DY15" s="3">
        <v>24099.157058662393</v>
      </c>
      <c r="DZ15" s="3">
        <v>10929004.339564363</v>
      </c>
      <c r="EA15" s="3">
        <v>16149883.463816503</v>
      </c>
      <c r="EB15" s="7" t="s">
        <v>117</v>
      </c>
      <c r="EC15" s="2" t="s">
        <v>45</v>
      </c>
      <c r="ED15" s="3">
        <v>393712.42170749774</v>
      </c>
      <c r="EE15" s="3">
        <v>76692.667823401338</v>
      </c>
      <c r="EF15" s="3">
        <v>0</v>
      </c>
      <c r="EG15" s="3">
        <v>0</v>
      </c>
      <c r="EH15" s="3">
        <v>470405.08953089907</v>
      </c>
    </row>
    <row r="16" spans="1:138" ht="10.199999999999999" customHeight="1" x14ac:dyDescent="0.2">
      <c r="A16" s="7" t="s">
        <v>114</v>
      </c>
      <c r="B16" s="2" t="s">
        <v>42</v>
      </c>
      <c r="C16" s="3">
        <f t="shared" si="4"/>
        <v>2703.4809285714282</v>
      </c>
      <c r="D16" s="3">
        <f t="shared" si="5"/>
        <v>155540.57471454667</v>
      </c>
      <c r="E16" s="3">
        <f t="shared" si="6"/>
        <v>126547.19127420055</v>
      </c>
      <c r="F16" s="3">
        <f t="shared" si="7"/>
        <v>160529.03606513725</v>
      </c>
      <c r="G16" s="3">
        <f t="shared" si="8"/>
        <v>1165.2903495295241</v>
      </c>
      <c r="H16" s="3">
        <f t="shared" si="9"/>
        <v>0</v>
      </c>
      <c r="I16" s="3">
        <f t="shared" si="10"/>
        <v>57371.518134154743</v>
      </c>
      <c r="J16" s="3">
        <f t="shared" si="11"/>
        <v>2491.2472307692228</v>
      </c>
      <c r="K16" s="3">
        <f t="shared" si="12"/>
        <v>141582.59445193189</v>
      </c>
      <c r="L16" s="3">
        <f t="shared" si="13"/>
        <v>225992.90005688297</v>
      </c>
      <c r="M16" s="3">
        <f t="shared" si="14"/>
        <v>682709.08827920479</v>
      </c>
      <c r="N16" s="3">
        <f t="shared" si="15"/>
        <v>5935.5017759061848</v>
      </c>
      <c r="O16" s="3">
        <f t="shared" si="16"/>
        <v>1562568.4232608352</v>
      </c>
      <c r="P16" s="7" t="s">
        <v>114</v>
      </c>
      <c r="Q16" s="2" t="s">
        <v>42</v>
      </c>
      <c r="R16" s="3">
        <f t="shared" si="17"/>
        <v>2703.4809285714282</v>
      </c>
      <c r="S16" s="3">
        <f t="shared" si="17"/>
        <v>155540.57471454667</v>
      </c>
      <c r="T16" s="3">
        <f t="shared" si="17"/>
        <v>126547.19127420055</v>
      </c>
      <c r="U16" s="3">
        <f t="shared" si="17"/>
        <v>160529.03606513725</v>
      </c>
      <c r="V16" s="3">
        <f t="shared" si="17"/>
        <v>1165.2903495295241</v>
      </c>
      <c r="W16" s="3">
        <f t="shared" si="17"/>
        <v>0</v>
      </c>
      <c r="X16" s="3">
        <f t="shared" si="17"/>
        <v>57371.518134154743</v>
      </c>
      <c r="Y16" s="3">
        <f t="shared" si="17"/>
        <v>2491.2472307692228</v>
      </c>
      <c r="Z16" s="3">
        <f t="shared" si="17"/>
        <v>141582.59445193189</v>
      </c>
      <c r="AA16" s="3">
        <f t="shared" si="17"/>
        <v>225992.90005688297</v>
      </c>
      <c r="AB16" s="3">
        <f t="shared" si="18"/>
        <v>873923.83320572437</v>
      </c>
      <c r="AC16" s="7" t="s">
        <v>114</v>
      </c>
      <c r="AD16" s="2" t="s">
        <v>42</v>
      </c>
      <c r="AE16" s="3">
        <f t="shared" si="19"/>
        <v>682709.08827920479</v>
      </c>
      <c r="AF16" s="3">
        <f t="shared" si="19"/>
        <v>5935.5017759061848</v>
      </c>
      <c r="AG16" s="3">
        <f t="shared" si="20"/>
        <v>688644.59005511098</v>
      </c>
      <c r="AH16" s="7" t="s">
        <v>114</v>
      </c>
      <c r="AI16" s="2" t="s">
        <v>42</v>
      </c>
      <c r="AJ16" s="3">
        <f t="shared" si="21"/>
        <v>944994.50419173448</v>
      </c>
      <c r="AK16" s="3">
        <f t="shared" si="1"/>
        <v>376146.1175250244</v>
      </c>
      <c r="AL16" s="3">
        <f t="shared" si="1"/>
        <v>17140.909692241239</v>
      </c>
      <c r="AM16" s="3">
        <f t="shared" si="1"/>
        <v>224286.89185183513</v>
      </c>
      <c r="AN16" s="3">
        <f t="shared" si="22"/>
        <v>1562568.4232608355</v>
      </c>
      <c r="AO16" s="7" t="s">
        <v>114</v>
      </c>
      <c r="AP16" s="2" t="s">
        <v>42</v>
      </c>
      <c r="AQ16" s="3">
        <f t="shared" si="23"/>
        <v>256349.9141366235</v>
      </c>
      <c r="AR16" s="3">
        <f t="shared" si="2"/>
        <v>376146.1175250244</v>
      </c>
      <c r="AS16" s="3">
        <f t="shared" si="2"/>
        <v>17140.909692241239</v>
      </c>
      <c r="AT16" s="3">
        <f t="shared" si="2"/>
        <v>224286.89185183513</v>
      </c>
      <c r="AU16" s="3">
        <f t="shared" si="24"/>
        <v>873923.83320572414</v>
      </c>
      <c r="AV16" s="7" t="s">
        <v>114</v>
      </c>
      <c r="AW16" s="2" t="s">
        <v>42</v>
      </c>
      <c r="AX16" s="3">
        <f t="shared" si="25"/>
        <v>688644.59005511098</v>
      </c>
      <c r="AY16" s="3">
        <f t="shared" si="3"/>
        <v>0</v>
      </c>
      <c r="AZ16" s="3">
        <f t="shared" si="3"/>
        <v>0</v>
      </c>
      <c r="BA16" s="3">
        <f t="shared" si="3"/>
        <v>0</v>
      </c>
      <c r="BB16" s="3">
        <f t="shared" si="26"/>
        <v>688644.59005511098</v>
      </c>
      <c r="BC16" s="7" t="s">
        <v>114</v>
      </c>
      <c r="BD16" s="2" t="s">
        <v>42</v>
      </c>
      <c r="BE16" s="3">
        <v>2703.4809285714282</v>
      </c>
      <c r="BF16" s="3">
        <v>0</v>
      </c>
      <c r="BG16" s="3">
        <v>0</v>
      </c>
      <c r="BH16" s="3">
        <v>0</v>
      </c>
      <c r="BI16" s="3">
        <v>2703.4809285714282</v>
      </c>
      <c r="BJ16" s="7" t="s">
        <v>114</v>
      </c>
      <c r="BK16" s="2" t="s">
        <v>42</v>
      </c>
      <c r="BL16" s="3">
        <v>0</v>
      </c>
      <c r="BM16" s="3">
        <v>155540.57471454667</v>
      </c>
      <c r="BN16" s="3">
        <v>0</v>
      </c>
      <c r="BO16" s="3">
        <v>0</v>
      </c>
      <c r="BP16" s="3">
        <v>155540.57471454667</v>
      </c>
      <c r="BQ16" s="7" t="s">
        <v>114</v>
      </c>
      <c r="BR16" s="2" t="s">
        <v>42</v>
      </c>
      <c r="BS16" s="3">
        <v>0</v>
      </c>
      <c r="BT16" s="3">
        <v>0</v>
      </c>
      <c r="BU16" s="3">
        <v>0</v>
      </c>
      <c r="BV16" s="3">
        <v>126547.19127420055</v>
      </c>
      <c r="BW16" s="3">
        <v>126547.19127420055</v>
      </c>
      <c r="BX16" s="7" t="s">
        <v>114</v>
      </c>
      <c r="BY16" s="2" t="s">
        <v>42</v>
      </c>
      <c r="BZ16" s="3">
        <v>45648.42579526145</v>
      </c>
      <c r="CA16" s="3">
        <v>0</v>
      </c>
      <c r="CB16" s="3">
        <v>17140.909692241239</v>
      </c>
      <c r="CC16" s="3">
        <v>97739.700577634561</v>
      </c>
      <c r="CD16" s="3">
        <v>160529.03606513725</v>
      </c>
      <c r="CE16" s="7" t="s">
        <v>114</v>
      </c>
      <c r="CF16" s="2" t="s">
        <v>42</v>
      </c>
      <c r="CG16" s="3">
        <v>1165.2903495295241</v>
      </c>
      <c r="CH16" s="3">
        <v>0</v>
      </c>
      <c r="CI16" s="3">
        <v>0</v>
      </c>
      <c r="CJ16" s="3">
        <v>0</v>
      </c>
      <c r="CK16" s="3">
        <v>1165.2903495295241</v>
      </c>
      <c r="CL16" s="7" t="s">
        <v>114</v>
      </c>
      <c r="CM16" s="2" t="s">
        <v>42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7" t="s">
        <v>114</v>
      </c>
      <c r="CT16" s="2" t="s">
        <v>42</v>
      </c>
      <c r="CU16" s="3">
        <v>57371.518134154743</v>
      </c>
      <c r="CV16" s="3">
        <v>0</v>
      </c>
      <c r="CW16" s="3">
        <v>0</v>
      </c>
      <c r="CX16" s="3">
        <v>0</v>
      </c>
      <c r="CY16" s="3">
        <v>57371.518134154743</v>
      </c>
      <c r="CZ16" s="7" t="s">
        <v>114</v>
      </c>
      <c r="DA16" s="2" t="s">
        <v>42</v>
      </c>
      <c r="DB16" s="3">
        <v>141582.59445193189</v>
      </c>
      <c r="DC16" s="3">
        <v>0</v>
      </c>
      <c r="DD16" s="3">
        <v>0</v>
      </c>
      <c r="DE16" s="3">
        <v>0</v>
      </c>
      <c r="DF16" s="3">
        <v>141582.59445193189</v>
      </c>
      <c r="DG16" s="7" t="s">
        <v>114</v>
      </c>
      <c r="DH16" s="2" t="s">
        <v>42</v>
      </c>
      <c r="DI16" s="3">
        <v>2491.2472307692228</v>
      </c>
      <c r="DJ16" s="3">
        <v>0</v>
      </c>
      <c r="DK16" s="3">
        <v>0</v>
      </c>
      <c r="DL16" s="3">
        <v>0</v>
      </c>
      <c r="DM16" s="3">
        <v>2491.2472307692228</v>
      </c>
      <c r="DN16" s="7" t="s">
        <v>114</v>
      </c>
      <c r="DO16" s="2" t="s">
        <v>42</v>
      </c>
      <c r="DP16" s="3">
        <v>5387.3572464052286</v>
      </c>
      <c r="DQ16" s="3">
        <v>220605.54281047772</v>
      </c>
      <c r="DR16" s="3">
        <v>0</v>
      </c>
      <c r="DS16" s="3">
        <v>0</v>
      </c>
      <c r="DT16" s="3">
        <v>225992.90005688297</v>
      </c>
      <c r="DU16" s="7" t="s">
        <v>114</v>
      </c>
      <c r="DV16" s="2" t="s">
        <v>42</v>
      </c>
      <c r="DW16" s="3">
        <v>5935.5017759061848</v>
      </c>
      <c r="DX16" s="3">
        <v>0</v>
      </c>
      <c r="DY16" s="3">
        <v>0</v>
      </c>
      <c r="DZ16" s="3">
        <v>0</v>
      </c>
      <c r="EA16" s="3">
        <v>5935.5017759061848</v>
      </c>
      <c r="EB16" s="7" t="s">
        <v>114</v>
      </c>
      <c r="EC16" s="2" t="s">
        <v>42</v>
      </c>
      <c r="ED16" s="3">
        <v>682709.08827920479</v>
      </c>
      <c r="EE16" s="3">
        <v>0</v>
      </c>
      <c r="EF16" s="3">
        <v>0</v>
      </c>
      <c r="EG16" s="3">
        <v>0</v>
      </c>
      <c r="EH16" s="3">
        <v>682709.08827920479</v>
      </c>
    </row>
    <row r="17" spans="1:138" ht="10.199999999999999" customHeight="1" x14ac:dyDescent="0.2">
      <c r="A17" s="7" t="s">
        <v>112</v>
      </c>
      <c r="B17" s="2" t="s">
        <v>40</v>
      </c>
      <c r="C17" s="3">
        <f t="shared" si="4"/>
        <v>0</v>
      </c>
      <c r="D17" s="3">
        <f t="shared" si="5"/>
        <v>0</v>
      </c>
      <c r="E17" s="3">
        <f t="shared" si="6"/>
        <v>50917518.621536754</v>
      </c>
      <c r="F17" s="3">
        <f t="shared" si="7"/>
        <v>356998.1641085287</v>
      </c>
      <c r="G17" s="3">
        <f t="shared" si="8"/>
        <v>37147.728788888882</v>
      </c>
      <c r="H17" s="3">
        <f t="shared" si="9"/>
        <v>1547373.7859869725</v>
      </c>
      <c r="I17" s="3">
        <f t="shared" si="10"/>
        <v>195854.19412317162</v>
      </c>
      <c r="J17" s="3">
        <f t="shared" si="11"/>
        <v>111.8678735548343</v>
      </c>
      <c r="K17" s="3">
        <f t="shared" si="12"/>
        <v>958498.82264976134</v>
      </c>
      <c r="L17" s="3">
        <f t="shared" si="13"/>
        <v>720438.46682101279</v>
      </c>
      <c r="M17" s="3">
        <f t="shared" si="14"/>
        <v>1530461.1704691609</v>
      </c>
      <c r="N17" s="3">
        <f t="shared" si="15"/>
        <v>1122022.7097531562</v>
      </c>
      <c r="O17" s="3">
        <f t="shared" si="16"/>
        <v>57386425.532110967</v>
      </c>
      <c r="P17" s="7" t="s">
        <v>112</v>
      </c>
      <c r="Q17" s="2" t="s">
        <v>40</v>
      </c>
      <c r="R17" s="3">
        <f t="shared" si="17"/>
        <v>0</v>
      </c>
      <c r="S17" s="3">
        <f t="shared" si="17"/>
        <v>0</v>
      </c>
      <c r="T17" s="3">
        <f t="shared" si="17"/>
        <v>50917518.621536754</v>
      </c>
      <c r="U17" s="3">
        <f t="shared" si="17"/>
        <v>356998.1641085287</v>
      </c>
      <c r="V17" s="3">
        <f t="shared" si="17"/>
        <v>37147.728788888882</v>
      </c>
      <c r="W17" s="3">
        <f t="shared" si="17"/>
        <v>1547373.7859869725</v>
      </c>
      <c r="X17" s="3">
        <f t="shared" si="17"/>
        <v>195854.19412317162</v>
      </c>
      <c r="Y17" s="3">
        <f t="shared" si="17"/>
        <v>111.8678735548343</v>
      </c>
      <c r="Z17" s="3">
        <f t="shared" si="17"/>
        <v>958498.82264976134</v>
      </c>
      <c r="AA17" s="3">
        <f t="shared" si="17"/>
        <v>720438.46682101279</v>
      </c>
      <c r="AB17" s="3">
        <f t="shared" si="18"/>
        <v>54733941.651888654</v>
      </c>
      <c r="AC17" s="7" t="s">
        <v>112</v>
      </c>
      <c r="AD17" s="2" t="s">
        <v>40</v>
      </c>
      <c r="AE17" s="3">
        <f t="shared" si="19"/>
        <v>1530461.1704691609</v>
      </c>
      <c r="AF17" s="3">
        <f t="shared" si="19"/>
        <v>1122022.7097531562</v>
      </c>
      <c r="AG17" s="3">
        <f t="shared" si="20"/>
        <v>2652483.8802223168</v>
      </c>
      <c r="AH17" s="7" t="s">
        <v>112</v>
      </c>
      <c r="AI17" s="2" t="s">
        <v>40</v>
      </c>
      <c r="AJ17" s="3">
        <f t="shared" si="21"/>
        <v>4737501.3034534547</v>
      </c>
      <c r="AK17" s="3">
        <f t="shared" si="1"/>
        <v>183805.47656402134</v>
      </c>
      <c r="AL17" s="3">
        <f t="shared" si="1"/>
        <v>0</v>
      </c>
      <c r="AM17" s="3">
        <f t="shared" si="1"/>
        <v>52465118.752093486</v>
      </c>
      <c r="AN17" s="3">
        <f t="shared" si="22"/>
        <v>57386425.532110959</v>
      </c>
      <c r="AO17" s="7" t="s">
        <v>112</v>
      </c>
      <c r="AP17" s="2" t="s">
        <v>40</v>
      </c>
      <c r="AQ17" s="3">
        <f t="shared" si="23"/>
        <v>2085017.4232311381</v>
      </c>
      <c r="AR17" s="3">
        <f t="shared" si="2"/>
        <v>183805.47656402134</v>
      </c>
      <c r="AS17" s="3">
        <f t="shared" si="2"/>
        <v>0</v>
      </c>
      <c r="AT17" s="3">
        <f t="shared" si="2"/>
        <v>52465118.752093486</v>
      </c>
      <c r="AU17" s="3">
        <f t="shared" si="24"/>
        <v>54733941.651888646</v>
      </c>
      <c r="AV17" s="7" t="s">
        <v>112</v>
      </c>
      <c r="AW17" s="2" t="s">
        <v>40</v>
      </c>
      <c r="AX17" s="3">
        <f t="shared" si="25"/>
        <v>2652483.8802223168</v>
      </c>
      <c r="AY17" s="3">
        <f t="shared" si="3"/>
        <v>0</v>
      </c>
      <c r="AZ17" s="3">
        <f t="shared" si="3"/>
        <v>0</v>
      </c>
      <c r="BA17" s="3">
        <f t="shared" si="3"/>
        <v>0</v>
      </c>
      <c r="BB17" s="3">
        <f t="shared" si="26"/>
        <v>2652483.8802223168</v>
      </c>
      <c r="BC17" s="7" t="s">
        <v>112</v>
      </c>
      <c r="BD17" s="2" t="s">
        <v>40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7" t="s">
        <v>112</v>
      </c>
      <c r="BK17" s="2" t="s">
        <v>40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7" t="s">
        <v>112</v>
      </c>
      <c r="BR17" s="2" t="s">
        <v>40</v>
      </c>
      <c r="BS17" s="3">
        <v>0</v>
      </c>
      <c r="BT17" s="3">
        <v>0</v>
      </c>
      <c r="BU17" s="3">
        <v>0</v>
      </c>
      <c r="BV17" s="3">
        <v>50917518.621536754</v>
      </c>
      <c r="BW17" s="3">
        <v>50917518.621536754</v>
      </c>
      <c r="BX17" s="7" t="s">
        <v>112</v>
      </c>
      <c r="BY17" s="2" t="s">
        <v>40</v>
      </c>
      <c r="BZ17" s="3">
        <v>356998.1641085287</v>
      </c>
      <c r="CA17" s="3">
        <v>0</v>
      </c>
      <c r="CB17" s="3">
        <v>0</v>
      </c>
      <c r="CC17" s="3">
        <v>0</v>
      </c>
      <c r="CD17" s="3">
        <v>356998.1641085287</v>
      </c>
      <c r="CE17" s="7" t="s">
        <v>112</v>
      </c>
      <c r="CF17" s="2" t="s">
        <v>40</v>
      </c>
      <c r="CG17" s="3">
        <v>37147.728788888882</v>
      </c>
      <c r="CH17" s="3">
        <v>0</v>
      </c>
      <c r="CI17" s="3">
        <v>0</v>
      </c>
      <c r="CJ17" s="3">
        <v>0</v>
      </c>
      <c r="CK17" s="3">
        <v>37147.728788888882</v>
      </c>
      <c r="CL17" s="7" t="s">
        <v>112</v>
      </c>
      <c r="CM17" s="2" t="s">
        <v>40</v>
      </c>
      <c r="CN17" s="3">
        <v>0</v>
      </c>
      <c r="CO17" s="3">
        <v>0</v>
      </c>
      <c r="CP17" s="3">
        <v>0</v>
      </c>
      <c r="CQ17" s="3">
        <v>1547373.7859869725</v>
      </c>
      <c r="CR17" s="3">
        <v>1547373.7859869725</v>
      </c>
      <c r="CS17" s="7" t="s">
        <v>112</v>
      </c>
      <c r="CT17" s="2" t="s">
        <v>40</v>
      </c>
      <c r="CU17" s="3">
        <v>195854.19412317162</v>
      </c>
      <c r="CV17" s="3">
        <v>0</v>
      </c>
      <c r="CW17" s="3">
        <v>0</v>
      </c>
      <c r="CX17" s="3">
        <v>0</v>
      </c>
      <c r="CY17" s="3">
        <v>195854.19412317162</v>
      </c>
      <c r="CZ17" s="7" t="s">
        <v>112</v>
      </c>
      <c r="DA17" s="2" t="s">
        <v>40</v>
      </c>
      <c r="DB17" s="3">
        <v>774693.34608574002</v>
      </c>
      <c r="DC17" s="3">
        <v>183805.47656402134</v>
      </c>
      <c r="DD17" s="3">
        <v>0</v>
      </c>
      <c r="DE17" s="3">
        <v>0</v>
      </c>
      <c r="DF17" s="3">
        <v>958498.82264976134</v>
      </c>
      <c r="DG17" s="7" t="s">
        <v>112</v>
      </c>
      <c r="DH17" s="2" t="s">
        <v>40</v>
      </c>
      <c r="DI17" s="3">
        <v>111.8678735548343</v>
      </c>
      <c r="DJ17" s="3">
        <v>0</v>
      </c>
      <c r="DK17" s="3">
        <v>0</v>
      </c>
      <c r="DL17" s="3">
        <v>0</v>
      </c>
      <c r="DM17" s="3">
        <v>111.8678735548343</v>
      </c>
      <c r="DN17" s="7" t="s">
        <v>112</v>
      </c>
      <c r="DO17" s="2" t="s">
        <v>40</v>
      </c>
      <c r="DP17" s="3">
        <v>720212.12225125404</v>
      </c>
      <c r="DQ17" s="3">
        <v>0</v>
      </c>
      <c r="DR17" s="3">
        <v>0</v>
      </c>
      <c r="DS17" s="3">
        <v>226.34456975873269</v>
      </c>
      <c r="DT17" s="3">
        <v>720438.46682101279</v>
      </c>
      <c r="DU17" s="7" t="s">
        <v>112</v>
      </c>
      <c r="DV17" s="2" t="s">
        <v>40</v>
      </c>
      <c r="DW17" s="3">
        <v>1122022.7097531562</v>
      </c>
      <c r="DX17" s="3">
        <v>0</v>
      </c>
      <c r="DY17" s="3">
        <v>0</v>
      </c>
      <c r="DZ17" s="3">
        <v>0</v>
      </c>
      <c r="EA17" s="3">
        <v>1122022.7097531562</v>
      </c>
      <c r="EB17" s="7" t="s">
        <v>112</v>
      </c>
      <c r="EC17" s="2" t="s">
        <v>40</v>
      </c>
      <c r="ED17" s="3">
        <v>1530461.1704691609</v>
      </c>
      <c r="EE17" s="3">
        <v>0</v>
      </c>
      <c r="EF17" s="3">
        <v>0</v>
      </c>
      <c r="EG17" s="3">
        <v>0</v>
      </c>
      <c r="EH17" s="3">
        <v>1530461.1704691609</v>
      </c>
    </row>
    <row r="18" spans="1:138" ht="10.199999999999999" customHeight="1" x14ac:dyDescent="0.2">
      <c r="A18" s="7" t="s">
        <v>116</v>
      </c>
      <c r="B18" s="2" t="s">
        <v>44</v>
      </c>
      <c r="C18" s="3">
        <f t="shared" si="4"/>
        <v>54331.878239750178</v>
      </c>
      <c r="D18" s="3">
        <f t="shared" si="5"/>
        <v>1423781.2523358308</v>
      </c>
      <c r="E18" s="3">
        <f t="shared" si="6"/>
        <v>8163815.5034351423</v>
      </c>
      <c r="F18" s="3">
        <f t="shared" si="7"/>
        <v>27524.89518029266</v>
      </c>
      <c r="G18" s="3">
        <f t="shared" si="8"/>
        <v>276532.94491041609</v>
      </c>
      <c r="H18" s="3">
        <f t="shared" si="9"/>
        <v>33437.265987085513</v>
      </c>
      <c r="I18" s="3">
        <f t="shared" si="10"/>
        <v>33068.785053331645</v>
      </c>
      <c r="J18" s="3">
        <f t="shared" si="11"/>
        <v>234030.08467594843</v>
      </c>
      <c r="K18" s="3">
        <f t="shared" si="12"/>
        <v>164606.11101600935</v>
      </c>
      <c r="L18" s="3">
        <f t="shared" si="13"/>
        <v>6784864.3988003051</v>
      </c>
      <c r="M18" s="3">
        <f t="shared" si="14"/>
        <v>360496.89255365328</v>
      </c>
      <c r="N18" s="3">
        <f t="shared" si="15"/>
        <v>82377946.463326842</v>
      </c>
      <c r="O18" s="3">
        <f t="shared" si="16"/>
        <v>99934436.475514606</v>
      </c>
      <c r="P18" s="7" t="s">
        <v>116</v>
      </c>
      <c r="Q18" s="2" t="s">
        <v>44</v>
      </c>
      <c r="R18" s="3">
        <f t="shared" si="17"/>
        <v>54331.878239750178</v>
      </c>
      <c r="S18" s="3">
        <f t="shared" si="17"/>
        <v>1423781.2523358308</v>
      </c>
      <c r="T18" s="3">
        <f t="shared" si="17"/>
        <v>8163815.5034351423</v>
      </c>
      <c r="U18" s="3">
        <f t="shared" si="17"/>
        <v>27524.89518029266</v>
      </c>
      <c r="V18" s="3">
        <f t="shared" si="17"/>
        <v>276532.94491041609</v>
      </c>
      <c r="W18" s="3">
        <f t="shared" si="17"/>
        <v>33437.265987085513</v>
      </c>
      <c r="X18" s="3">
        <f t="shared" si="17"/>
        <v>33068.785053331645</v>
      </c>
      <c r="Y18" s="3">
        <f t="shared" si="17"/>
        <v>234030.08467594843</v>
      </c>
      <c r="Z18" s="3">
        <f t="shared" si="17"/>
        <v>164606.11101600935</v>
      </c>
      <c r="AA18" s="3">
        <f t="shared" si="17"/>
        <v>6784864.3988003051</v>
      </c>
      <c r="AB18" s="3">
        <f t="shared" si="18"/>
        <v>17195993.11963411</v>
      </c>
      <c r="AC18" s="7" t="s">
        <v>116</v>
      </c>
      <c r="AD18" s="2" t="s">
        <v>44</v>
      </c>
      <c r="AE18" s="3">
        <f t="shared" si="19"/>
        <v>360496.89255365328</v>
      </c>
      <c r="AF18" s="3">
        <f t="shared" si="19"/>
        <v>82377946.463326842</v>
      </c>
      <c r="AG18" s="3">
        <f t="shared" si="20"/>
        <v>82738443.355880499</v>
      </c>
      <c r="AH18" s="7" t="s">
        <v>116</v>
      </c>
      <c r="AI18" s="2" t="s">
        <v>44</v>
      </c>
      <c r="AJ18" s="3">
        <f t="shared" si="21"/>
        <v>560398.70582455769</v>
      </c>
      <c r="AK18" s="3">
        <f t="shared" si="1"/>
        <v>8669792.3462644648</v>
      </c>
      <c r="AL18" s="3">
        <f t="shared" si="1"/>
        <v>21023370.01271138</v>
      </c>
      <c r="AM18" s="3">
        <f t="shared" si="1"/>
        <v>69680875.410714209</v>
      </c>
      <c r="AN18" s="3">
        <f t="shared" si="22"/>
        <v>99934436.475514621</v>
      </c>
      <c r="AO18" s="7" t="s">
        <v>116</v>
      </c>
      <c r="AP18" s="2" t="s">
        <v>44</v>
      </c>
      <c r="AQ18" s="3">
        <f t="shared" si="23"/>
        <v>213730.28620188689</v>
      </c>
      <c r="AR18" s="3">
        <f t="shared" si="2"/>
        <v>517184.3807547547</v>
      </c>
      <c r="AS18" s="3">
        <f t="shared" si="2"/>
        <v>6600899.7954756217</v>
      </c>
      <c r="AT18" s="3">
        <f t="shared" si="2"/>
        <v>9864178.6572018471</v>
      </c>
      <c r="AU18" s="3">
        <f t="shared" si="24"/>
        <v>17195993.11963411</v>
      </c>
      <c r="AV18" s="7" t="s">
        <v>116</v>
      </c>
      <c r="AW18" s="2" t="s">
        <v>44</v>
      </c>
      <c r="AX18" s="3">
        <f t="shared" si="25"/>
        <v>346668.4196226708</v>
      </c>
      <c r="AY18" s="3">
        <f t="shared" si="3"/>
        <v>8152607.9655097108</v>
      </c>
      <c r="AZ18" s="3">
        <f t="shared" si="3"/>
        <v>14422470.217235759</v>
      </c>
      <c r="BA18" s="3">
        <f t="shared" si="3"/>
        <v>59816696.75351236</v>
      </c>
      <c r="BB18" s="3">
        <f t="shared" si="26"/>
        <v>82738443.355880499</v>
      </c>
      <c r="BC18" s="7" t="s">
        <v>116</v>
      </c>
      <c r="BD18" s="2" t="s">
        <v>44</v>
      </c>
      <c r="BE18" s="3">
        <v>50039.697185648278</v>
      </c>
      <c r="BF18" s="3">
        <v>4292.1810541018976</v>
      </c>
      <c r="BG18" s="3">
        <v>0</v>
      </c>
      <c r="BH18" s="3">
        <v>0</v>
      </c>
      <c r="BI18" s="3">
        <v>54331.878239750178</v>
      </c>
      <c r="BJ18" s="7" t="s">
        <v>116</v>
      </c>
      <c r="BK18" s="2" t="s">
        <v>44</v>
      </c>
      <c r="BL18" s="3">
        <v>28411.949060108607</v>
      </c>
      <c r="BM18" s="3">
        <v>90801.510302662937</v>
      </c>
      <c r="BN18" s="3">
        <v>1304567.7929730592</v>
      </c>
      <c r="BO18" s="3">
        <v>0</v>
      </c>
      <c r="BP18" s="3">
        <v>1423781.2523358308</v>
      </c>
      <c r="BQ18" s="7" t="s">
        <v>116</v>
      </c>
      <c r="BR18" s="2" t="s">
        <v>44</v>
      </c>
      <c r="BS18" s="3">
        <v>0</v>
      </c>
      <c r="BT18" s="3">
        <v>46918.940578429698</v>
      </c>
      <c r="BU18" s="3">
        <v>4968834.5563150505</v>
      </c>
      <c r="BV18" s="3">
        <v>3148062.0065416615</v>
      </c>
      <c r="BW18" s="3">
        <v>8163815.5034351423</v>
      </c>
      <c r="BX18" s="7" t="s">
        <v>116</v>
      </c>
      <c r="BY18" s="2" t="s">
        <v>44</v>
      </c>
      <c r="BZ18" s="3">
        <v>10347.841824262068</v>
      </c>
      <c r="CA18" s="3">
        <v>15307.135935058821</v>
      </c>
      <c r="CB18" s="3">
        <v>1869.9174209717714</v>
      </c>
      <c r="CC18" s="3">
        <v>0</v>
      </c>
      <c r="CD18" s="3">
        <v>27524.89518029266</v>
      </c>
      <c r="CE18" s="7" t="s">
        <v>116</v>
      </c>
      <c r="CF18" s="2" t="s">
        <v>44</v>
      </c>
      <c r="CG18" s="3">
        <v>63962.899924888443</v>
      </c>
      <c r="CH18" s="3">
        <v>212570.04498552767</v>
      </c>
      <c r="CI18" s="3">
        <v>0</v>
      </c>
      <c r="CJ18" s="3">
        <v>0</v>
      </c>
      <c r="CK18" s="3">
        <v>276532.94491041609</v>
      </c>
      <c r="CL18" s="7" t="s">
        <v>116</v>
      </c>
      <c r="CM18" s="2" t="s">
        <v>44</v>
      </c>
      <c r="CN18" s="3">
        <v>0</v>
      </c>
      <c r="CO18" s="3">
        <v>0</v>
      </c>
      <c r="CP18" s="3">
        <v>33437.265987085513</v>
      </c>
      <c r="CQ18" s="3">
        <v>0</v>
      </c>
      <c r="CR18" s="3">
        <v>33437.265987085513</v>
      </c>
      <c r="CS18" s="7" t="s">
        <v>116</v>
      </c>
      <c r="CT18" s="2" t="s">
        <v>44</v>
      </c>
      <c r="CU18" s="3">
        <v>24485.503711365687</v>
      </c>
      <c r="CV18" s="3">
        <v>8583.2813419659578</v>
      </c>
      <c r="CW18" s="3">
        <v>0</v>
      </c>
      <c r="CX18" s="3">
        <v>0</v>
      </c>
      <c r="CY18" s="3">
        <v>33068.785053331645</v>
      </c>
      <c r="CZ18" s="7" t="s">
        <v>116</v>
      </c>
      <c r="DA18" s="2" t="s">
        <v>44</v>
      </c>
      <c r="DB18" s="3">
        <v>25258.724992975604</v>
      </c>
      <c r="DC18" s="3">
        <v>11771.355795384436</v>
      </c>
      <c r="DD18" s="3">
        <v>127576.03022764933</v>
      </c>
      <c r="DE18" s="3">
        <v>0</v>
      </c>
      <c r="DF18" s="3">
        <v>164606.11101600935</v>
      </c>
      <c r="DG18" s="7" t="s">
        <v>116</v>
      </c>
      <c r="DH18" s="2" t="s">
        <v>44</v>
      </c>
      <c r="DI18" s="3">
        <v>7685.5149172157089</v>
      </c>
      <c r="DJ18" s="3">
        <v>123460.6744138542</v>
      </c>
      <c r="DK18" s="3">
        <v>0</v>
      </c>
      <c r="DL18" s="3">
        <v>102883.8953448785</v>
      </c>
      <c r="DM18" s="3">
        <v>234030.08467594843</v>
      </c>
      <c r="DN18" s="7" t="s">
        <v>116</v>
      </c>
      <c r="DO18" s="2" t="s">
        <v>44</v>
      </c>
      <c r="DP18" s="3">
        <v>3538.154585422521</v>
      </c>
      <c r="DQ18" s="3">
        <v>3479.2563477690351</v>
      </c>
      <c r="DR18" s="3">
        <v>164614.23255180559</v>
      </c>
      <c r="DS18" s="3">
        <v>6613232.7553153075</v>
      </c>
      <c r="DT18" s="3">
        <v>6784864.3988003051</v>
      </c>
      <c r="DU18" s="7" t="s">
        <v>116</v>
      </c>
      <c r="DV18" s="2" t="s">
        <v>44</v>
      </c>
      <c r="DW18" s="3">
        <v>10272.684939320387</v>
      </c>
      <c r="DX18" s="3">
        <v>8128506.8076394079</v>
      </c>
      <c r="DY18" s="3">
        <v>14422470.217235759</v>
      </c>
      <c r="DZ18" s="3">
        <v>59816696.75351236</v>
      </c>
      <c r="EA18" s="3">
        <v>82377946.463326842</v>
      </c>
      <c r="EB18" s="7" t="s">
        <v>116</v>
      </c>
      <c r="EC18" s="2" t="s">
        <v>44</v>
      </c>
      <c r="ED18" s="3">
        <v>336395.73468335043</v>
      </c>
      <c r="EE18" s="3">
        <v>24101.157870302832</v>
      </c>
      <c r="EF18" s="3">
        <v>0</v>
      </c>
      <c r="EG18" s="3">
        <v>0</v>
      </c>
      <c r="EH18" s="3">
        <v>360496.89255365328</v>
      </c>
    </row>
    <row r="19" spans="1:138" ht="10.199999999999999" customHeight="1" x14ac:dyDescent="0.2">
      <c r="A19" s="7" t="s">
        <v>107</v>
      </c>
      <c r="B19" s="2" t="s">
        <v>35</v>
      </c>
      <c r="C19" s="3">
        <f t="shared" si="4"/>
        <v>0</v>
      </c>
      <c r="D19" s="3">
        <f t="shared" si="5"/>
        <v>1219.063623420323</v>
      </c>
      <c r="E19" s="3">
        <f t="shared" si="6"/>
        <v>0</v>
      </c>
      <c r="F19" s="3">
        <f t="shared" si="7"/>
        <v>0</v>
      </c>
      <c r="G19" s="3">
        <f t="shared" si="8"/>
        <v>0</v>
      </c>
      <c r="H19" s="3">
        <f t="shared" si="9"/>
        <v>0</v>
      </c>
      <c r="I19" s="3">
        <f t="shared" si="10"/>
        <v>33365.395765583649</v>
      </c>
      <c r="J19" s="3">
        <f t="shared" si="11"/>
        <v>0</v>
      </c>
      <c r="K19" s="3">
        <f t="shared" si="12"/>
        <v>168.57867056527115</v>
      </c>
      <c r="L19" s="3">
        <f t="shared" si="13"/>
        <v>6405791.3561021611</v>
      </c>
      <c r="M19" s="3">
        <f t="shared" si="14"/>
        <v>1906940.0528417679</v>
      </c>
      <c r="N19" s="3">
        <f t="shared" si="15"/>
        <v>1471490.5730994164</v>
      </c>
      <c r="O19" s="3">
        <f t="shared" si="16"/>
        <v>9818975.0201029144</v>
      </c>
      <c r="P19" s="7" t="s">
        <v>107</v>
      </c>
      <c r="Q19" s="2" t="s">
        <v>35</v>
      </c>
      <c r="R19" s="3">
        <f t="shared" si="17"/>
        <v>0</v>
      </c>
      <c r="S19" s="3">
        <f t="shared" si="17"/>
        <v>1219.063623420323</v>
      </c>
      <c r="T19" s="3">
        <f t="shared" si="17"/>
        <v>0</v>
      </c>
      <c r="U19" s="3">
        <f t="shared" si="17"/>
        <v>0</v>
      </c>
      <c r="V19" s="3">
        <f t="shared" si="17"/>
        <v>0</v>
      </c>
      <c r="W19" s="3">
        <f t="shared" si="17"/>
        <v>0</v>
      </c>
      <c r="X19" s="3">
        <f t="shared" si="17"/>
        <v>33365.395765583649</v>
      </c>
      <c r="Y19" s="3">
        <f t="shared" si="17"/>
        <v>0</v>
      </c>
      <c r="Z19" s="3">
        <f t="shared" si="17"/>
        <v>168.57867056527115</v>
      </c>
      <c r="AA19" s="3">
        <f t="shared" si="17"/>
        <v>6405791.3561021611</v>
      </c>
      <c r="AB19" s="3">
        <f t="shared" si="18"/>
        <v>6440544.3941617301</v>
      </c>
      <c r="AC19" s="7" t="s">
        <v>107</v>
      </c>
      <c r="AD19" s="2" t="s">
        <v>35</v>
      </c>
      <c r="AE19" s="3">
        <f t="shared" si="19"/>
        <v>1906940.0528417679</v>
      </c>
      <c r="AF19" s="3">
        <f t="shared" si="19"/>
        <v>1471490.5730994164</v>
      </c>
      <c r="AG19" s="3">
        <f t="shared" si="20"/>
        <v>3378430.6259411843</v>
      </c>
      <c r="AH19" s="7" t="s">
        <v>107</v>
      </c>
      <c r="AI19" s="2" t="s">
        <v>35</v>
      </c>
      <c r="AJ19" s="3">
        <f t="shared" si="21"/>
        <v>8141998.121244859</v>
      </c>
      <c r="AK19" s="3">
        <f t="shared" si="1"/>
        <v>361482.4889067068</v>
      </c>
      <c r="AL19" s="3">
        <f t="shared" si="1"/>
        <v>3107.4409320787308</v>
      </c>
      <c r="AM19" s="3">
        <f t="shared" si="1"/>
        <v>1312386.9690192703</v>
      </c>
      <c r="AN19" s="3">
        <f t="shared" si="22"/>
        <v>9818975.0201029144</v>
      </c>
      <c r="AO19" s="7" t="s">
        <v>107</v>
      </c>
      <c r="AP19" s="2" t="s">
        <v>35</v>
      </c>
      <c r="AQ19" s="3">
        <f t="shared" si="23"/>
        <v>5047152.3944255998</v>
      </c>
      <c r="AR19" s="3">
        <f t="shared" si="2"/>
        <v>77897.589784781114</v>
      </c>
      <c r="AS19" s="3">
        <f t="shared" si="2"/>
        <v>3107.4409320787308</v>
      </c>
      <c r="AT19" s="3">
        <f t="shared" si="2"/>
        <v>1312386.9690192703</v>
      </c>
      <c r="AU19" s="3">
        <f t="shared" si="24"/>
        <v>6440544.3941617301</v>
      </c>
      <c r="AV19" s="7" t="s">
        <v>107</v>
      </c>
      <c r="AW19" s="2" t="s">
        <v>35</v>
      </c>
      <c r="AX19" s="3">
        <f t="shared" si="25"/>
        <v>3094845.7268192586</v>
      </c>
      <c r="AY19" s="3">
        <f t="shared" si="3"/>
        <v>283584.8991219257</v>
      </c>
      <c r="AZ19" s="3">
        <f t="shared" si="3"/>
        <v>0</v>
      </c>
      <c r="BA19" s="3">
        <f t="shared" si="3"/>
        <v>0</v>
      </c>
      <c r="BB19" s="3">
        <f t="shared" si="26"/>
        <v>3378430.6259411843</v>
      </c>
      <c r="BC19" s="7" t="s">
        <v>107</v>
      </c>
      <c r="BD19" s="2" t="s">
        <v>35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7" t="s">
        <v>107</v>
      </c>
      <c r="BK19" s="2" t="s">
        <v>35</v>
      </c>
      <c r="BL19" s="3">
        <v>1219.063623420323</v>
      </c>
      <c r="BM19" s="3">
        <v>0</v>
      </c>
      <c r="BN19" s="3">
        <v>0</v>
      </c>
      <c r="BO19" s="3">
        <v>0</v>
      </c>
      <c r="BP19" s="3">
        <v>1219.063623420323</v>
      </c>
      <c r="BQ19" s="7" t="s">
        <v>107</v>
      </c>
      <c r="BR19" s="2" t="s">
        <v>35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7" t="s">
        <v>107</v>
      </c>
      <c r="BY19" s="2" t="s">
        <v>35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7" t="s">
        <v>107</v>
      </c>
      <c r="CF19" s="2" t="s">
        <v>35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7" t="s">
        <v>107</v>
      </c>
      <c r="CM19" s="2" t="s">
        <v>35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7" t="s">
        <v>107</v>
      </c>
      <c r="CT19" s="2" t="s">
        <v>35</v>
      </c>
      <c r="CU19" s="3">
        <v>21079.569492873594</v>
      </c>
      <c r="CV19" s="3">
        <v>12285.826272710054</v>
      </c>
      <c r="CW19" s="3">
        <v>0</v>
      </c>
      <c r="CX19" s="3">
        <v>0</v>
      </c>
      <c r="CY19" s="3">
        <v>33365.395765583649</v>
      </c>
      <c r="CZ19" s="7" t="s">
        <v>107</v>
      </c>
      <c r="DA19" s="2" t="s">
        <v>35</v>
      </c>
      <c r="DB19" s="3">
        <v>168.57867056527115</v>
      </c>
      <c r="DC19" s="3">
        <v>0</v>
      </c>
      <c r="DD19" s="3">
        <v>0</v>
      </c>
      <c r="DE19" s="3">
        <v>0</v>
      </c>
      <c r="DF19" s="3">
        <v>168.57867056527115</v>
      </c>
      <c r="DG19" s="7" t="s">
        <v>107</v>
      </c>
      <c r="DH19" s="2" t="s">
        <v>35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7" t="s">
        <v>107</v>
      </c>
      <c r="DO19" s="2" t="s">
        <v>35</v>
      </c>
      <c r="DP19" s="3">
        <v>5024685.1826387411</v>
      </c>
      <c r="DQ19" s="3">
        <v>65611.763512071062</v>
      </c>
      <c r="DR19" s="3">
        <v>3107.4409320787308</v>
      </c>
      <c r="DS19" s="3">
        <v>1312386.9690192703</v>
      </c>
      <c r="DT19" s="3">
        <v>6405791.3561021611</v>
      </c>
      <c r="DU19" s="7" t="s">
        <v>107</v>
      </c>
      <c r="DV19" s="2" t="s">
        <v>35</v>
      </c>
      <c r="DW19" s="3">
        <v>1323935.1541628584</v>
      </c>
      <c r="DX19" s="3">
        <v>147555.41893655798</v>
      </c>
      <c r="DY19" s="3">
        <v>0</v>
      </c>
      <c r="DZ19" s="3">
        <v>0</v>
      </c>
      <c r="EA19" s="3">
        <v>1471490.5730994164</v>
      </c>
      <c r="EB19" s="7" t="s">
        <v>107</v>
      </c>
      <c r="EC19" s="2" t="s">
        <v>35</v>
      </c>
      <c r="ED19" s="3">
        <v>1770910.5726564003</v>
      </c>
      <c r="EE19" s="3">
        <v>136029.48018536772</v>
      </c>
      <c r="EF19" s="3">
        <v>0</v>
      </c>
      <c r="EG19" s="3">
        <v>0</v>
      </c>
      <c r="EH19" s="3">
        <v>1906940.0528417679</v>
      </c>
    </row>
    <row r="20" spans="1:138" ht="10.199999999999999" customHeight="1" x14ac:dyDescent="0.2">
      <c r="A20" s="7" t="s">
        <v>100</v>
      </c>
      <c r="B20" s="2" t="s">
        <v>28</v>
      </c>
      <c r="C20" s="3">
        <f t="shared" si="4"/>
        <v>0</v>
      </c>
      <c r="D20" s="3">
        <f t="shared" si="5"/>
        <v>16024.808516932209</v>
      </c>
      <c r="E20" s="3">
        <f t="shared" si="6"/>
        <v>0</v>
      </c>
      <c r="F20" s="3">
        <f t="shared" si="7"/>
        <v>0</v>
      </c>
      <c r="G20" s="3">
        <f t="shared" si="8"/>
        <v>93102.939343603968</v>
      </c>
      <c r="H20" s="3">
        <f t="shared" si="9"/>
        <v>0</v>
      </c>
      <c r="I20" s="3">
        <f t="shared" si="10"/>
        <v>5066.5831836241778</v>
      </c>
      <c r="J20" s="3">
        <f t="shared" si="11"/>
        <v>0</v>
      </c>
      <c r="K20" s="3">
        <f t="shared" si="12"/>
        <v>3406.2935911876953</v>
      </c>
      <c r="L20" s="3">
        <f t="shared" si="13"/>
        <v>2193.9350048811307</v>
      </c>
      <c r="M20" s="3">
        <f t="shared" si="14"/>
        <v>470523.35185514245</v>
      </c>
      <c r="N20" s="3">
        <f t="shared" si="15"/>
        <v>102438.31206851119</v>
      </c>
      <c r="O20" s="3">
        <f t="shared" si="16"/>
        <v>692756.22356388276</v>
      </c>
      <c r="P20" s="7" t="s">
        <v>100</v>
      </c>
      <c r="Q20" s="2" t="s">
        <v>28</v>
      </c>
      <c r="R20" s="3">
        <f t="shared" si="17"/>
        <v>0</v>
      </c>
      <c r="S20" s="3">
        <f t="shared" si="17"/>
        <v>16024.808516932209</v>
      </c>
      <c r="T20" s="3">
        <f t="shared" si="17"/>
        <v>0</v>
      </c>
      <c r="U20" s="3">
        <f t="shared" si="17"/>
        <v>0</v>
      </c>
      <c r="V20" s="3">
        <f t="shared" si="17"/>
        <v>93102.939343603968</v>
      </c>
      <c r="W20" s="3">
        <f t="shared" si="17"/>
        <v>0</v>
      </c>
      <c r="X20" s="3">
        <f t="shared" si="17"/>
        <v>5066.5831836241778</v>
      </c>
      <c r="Y20" s="3">
        <f t="shared" si="17"/>
        <v>0</v>
      </c>
      <c r="Z20" s="3">
        <f t="shared" si="17"/>
        <v>3406.2935911876953</v>
      </c>
      <c r="AA20" s="3">
        <f t="shared" si="17"/>
        <v>2193.9350048811307</v>
      </c>
      <c r="AB20" s="3">
        <f t="shared" si="18"/>
        <v>119794.55964022918</v>
      </c>
      <c r="AC20" s="7" t="s">
        <v>100</v>
      </c>
      <c r="AD20" s="2" t="s">
        <v>28</v>
      </c>
      <c r="AE20" s="3">
        <f t="shared" si="19"/>
        <v>470523.35185514245</v>
      </c>
      <c r="AF20" s="3">
        <f t="shared" si="19"/>
        <v>102438.31206851119</v>
      </c>
      <c r="AG20" s="3">
        <f t="shared" si="20"/>
        <v>572961.66392365366</v>
      </c>
      <c r="AH20" s="7" t="s">
        <v>100</v>
      </c>
      <c r="AI20" s="2" t="s">
        <v>28</v>
      </c>
      <c r="AJ20" s="3">
        <f t="shared" si="21"/>
        <v>484549.60105884634</v>
      </c>
      <c r="AK20" s="3">
        <f t="shared" si="21"/>
        <v>144289.45629983002</v>
      </c>
      <c r="AL20" s="3">
        <f t="shared" si="21"/>
        <v>63917.166205206391</v>
      </c>
      <c r="AM20" s="3">
        <f t="shared" si="21"/>
        <v>0</v>
      </c>
      <c r="AN20" s="3">
        <f t="shared" si="22"/>
        <v>692756.22356388276</v>
      </c>
      <c r="AO20" s="7" t="s">
        <v>100</v>
      </c>
      <c r="AP20" s="2" t="s">
        <v>28</v>
      </c>
      <c r="AQ20" s="3">
        <f t="shared" si="23"/>
        <v>27970.683044925125</v>
      </c>
      <c r="AR20" s="3">
        <f t="shared" si="23"/>
        <v>91823.876595304057</v>
      </c>
      <c r="AS20" s="3">
        <f t="shared" si="23"/>
        <v>0</v>
      </c>
      <c r="AT20" s="3">
        <f t="shared" si="23"/>
        <v>0</v>
      </c>
      <c r="AU20" s="3">
        <f t="shared" si="24"/>
        <v>119794.55964022918</v>
      </c>
      <c r="AV20" s="7" t="s">
        <v>100</v>
      </c>
      <c r="AW20" s="2" t="s">
        <v>28</v>
      </c>
      <c r="AX20" s="3">
        <f t="shared" si="25"/>
        <v>456578.91801392124</v>
      </c>
      <c r="AY20" s="3">
        <f t="shared" si="25"/>
        <v>52465.579704525968</v>
      </c>
      <c r="AZ20" s="3">
        <f t="shared" si="25"/>
        <v>63917.166205206391</v>
      </c>
      <c r="BA20" s="3">
        <f t="shared" si="25"/>
        <v>0</v>
      </c>
      <c r="BB20" s="3">
        <f t="shared" si="26"/>
        <v>572961.66392365366</v>
      </c>
      <c r="BC20" s="7" t="s">
        <v>100</v>
      </c>
      <c r="BD20" s="2" t="s">
        <v>28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7" t="s">
        <v>100</v>
      </c>
      <c r="BK20" s="2" t="s">
        <v>28</v>
      </c>
      <c r="BL20" s="3">
        <v>16024.808516932209</v>
      </c>
      <c r="BM20" s="3">
        <v>0</v>
      </c>
      <c r="BN20" s="3">
        <v>0</v>
      </c>
      <c r="BO20" s="3">
        <v>0</v>
      </c>
      <c r="BP20" s="3">
        <v>16024.808516932209</v>
      </c>
      <c r="BQ20" s="7" t="s">
        <v>100</v>
      </c>
      <c r="BR20" s="2" t="s">
        <v>28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7" t="s">
        <v>100</v>
      </c>
      <c r="BY20" s="2" t="s">
        <v>28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7" t="s">
        <v>100</v>
      </c>
      <c r="CF20" s="2" t="s">
        <v>28</v>
      </c>
      <c r="CG20" s="3">
        <v>1279.0627482999091</v>
      </c>
      <c r="CH20" s="3">
        <v>91823.876595304057</v>
      </c>
      <c r="CI20" s="3">
        <v>0</v>
      </c>
      <c r="CJ20" s="3">
        <v>0</v>
      </c>
      <c r="CK20" s="3">
        <v>93102.939343603968</v>
      </c>
      <c r="CL20" s="7" t="s">
        <v>100</v>
      </c>
      <c r="CM20" s="2" t="s">
        <v>28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7" t="s">
        <v>100</v>
      </c>
      <c r="CT20" s="2" t="s">
        <v>28</v>
      </c>
      <c r="CU20" s="3">
        <v>5066.5831836241778</v>
      </c>
      <c r="CV20" s="3">
        <v>0</v>
      </c>
      <c r="CW20" s="3">
        <v>0</v>
      </c>
      <c r="CX20" s="3">
        <v>0</v>
      </c>
      <c r="CY20" s="3">
        <v>5066.5831836241778</v>
      </c>
      <c r="CZ20" s="7" t="s">
        <v>100</v>
      </c>
      <c r="DA20" s="2" t="s">
        <v>28</v>
      </c>
      <c r="DB20" s="3">
        <v>3406.2935911876953</v>
      </c>
      <c r="DC20" s="3">
        <v>0</v>
      </c>
      <c r="DD20" s="3">
        <v>0</v>
      </c>
      <c r="DE20" s="3">
        <v>0</v>
      </c>
      <c r="DF20" s="3">
        <v>3406.2935911876953</v>
      </c>
      <c r="DG20" s="7" t="s">
        <v>100</v>
      </c>
      <c r="DH20" s="2" t="s">
        <v>28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7" t="s">
        <v>100</v>
      </c>
      <c r="DO20" s="2" t="s">
        <v>28</v>
      </c>
      <c r="DP20" s="3">
        <v>2193.9350048811307</v>
      </c>
      <c r="DQ20" s="3">
        <v>0</v>
      </c>
      <c r="DR20" s="3">
        <v>0</v>
      </c>
      <c r="DS20" s="3">
        <v>0</v>
      </c>
      <c r="DT20" s="3">
        <v>2193.9350048811307</v>
      </c>
      <c r="DU20" s="7" t="s">
        <v>100</v>
      </c>
      <c r="DV20" s="2" t="s">
        <v>28</v>
      </c>
      <c r="DW20" s="3">
        <v>1034.8321900708168</v>
      </c>
      <c r="DX20" s="3">
        <v>41215.242791728459</v>
      </c>
      <c r="DY20" s="3">
        <v>60188.237086711917</v>
      </c>
      <c r="DZ20" s="3">
        <v>0</v>
      </c>
      <c r="EA20" s="3">
        <v>102438.31206851119</v>
      </c>
      <c r="EB20" s="7" t="s">
        <v>100</v>
      </c>
      <c r="EC20" s="2" t="s">
        <v>28</v>
      </c>
      <c r="ED20" s="3">
        <v>455544.08582385042</v>
      </c>
      <c r="EE20" s="3">
        <v>11250.336912797513</v>
      </c>
      <c r="EF20" s="3">
        <v>3728.9291184944768</v>
      </c>
      <c r="EG20" s="3">
        <v>0</v>
      </c>
      <c r="EH20" s="3">
        <v>470523.35185514245</v>
      </c>
    </row>
    <row r="21" spans="1:138" ht="10.199999999999999" customHeight="1" x14ac:dyDescent="0.2">
      <c r="A21" s="7" t="s">
        <v>108</v>
      </c>
      <c r="B21" s="2" t="s">
        <v>36</v>
      </c>
      <c r="C21" s="3">
        <f t="shared" si="4"/>
        <v>0</v>
      </c>
      <c r="D21" s="3">
        <f t="shared" si="5"/>
        <v>0</v>
      </c>
      <c r="E21" s="3">
        <f t="shared" si="6"/>
        <v>0</v>
      </c>
      <c r="F21" s="3">
        <f t="shared" si="7"/>
        <v>0</v>
      </c>
      <c r="G21" s="3">
        <f t="shared" si="8"/>
        <v>0</v>
      </c>
      <c r="H21" s="3">
        <f t="shared" si="9"/>
        <v>0</v>
      </c>
      <c r="I21" s="3">
        <f t="shared" si="10"/>
        <v>0</v>
      </c>
      <c r="J21" s="3">
        <f t="shared" si="11"/>
        <v>0</v>
      </c>
      <c r="K21" s="3">
        <f t="shared" si="12"/>
        <v>0</v>
      </c>
      <c r="L21" s="3">
        <f t="shared" si="13"/>
        <v>2056.4781458655921</v>
      </c>
      <c r="M21" s="3">
        <f t="shared" si="14"/>
        <v>180096.81471346039</v>
      </c>
      <c r="N21" s="3">
        <f t="shared" si="15"/>
        <v>176376.93472862896</v>
      </c>
      <c r="O21" s="3">
        <f t="shared" si="16"/>
        <v>358530.22758795496</v>
      </c>
      <c r="P21" s="7" t="s">
        <v>108</v>
      </c>
      <c r="Q21" s="2" t="s">
        <v>36</v>
      </c>
      <c r="R21" s="3">
        <f t="shared" si="17"/>
        <v>0</v>
      </c>
      <c r="S21" s="3">
        <f t="shared" si="17"/>
        <v>0</v>
      </c>
      <c r="T21" s="3">
        <f t="shared" si="17"/>
        <v>0</v>
      </c>
      <c r="U21" s="3">
        <f t="shared" si="17"/>
        <v>0</v>
      </c>
      <c r="V21" s="3">
        <f t="shared" si="17"/>
        <v>0</v>
      </c>
      <c r="W21" s="3">
        <f t="shared" si="17"/>
        <v>0</v>
      </c>
      <c r="X21" s="3">
        <f t="shared" si="17"/>
        <v>0</v>
      </c>
      <c r="Y21" s="3">
        <f t="shared" si="17"/>
        <v>0</v>
      </c>
      <c r="Z21" s="3">
        <f t="shared" si="17"/>
        <v>0</v>
      </c>
      <c r="AA21" s="3">
        <f t="shared" si="17"/>
        <v>2056.4781458655921</v>
      </c>
      <c r="AB21" s="3">
        <f t="shared" si="18"/>
        <v>2056.4781458655921</v>
      </c>
      <c r="AC21" s="7" t="s">
        <v>108</v>
      </c>
      <c r="AD21" s="2" t="s">
        <v>36</v>
      </c>
      <c r="AE21" s="3">
        <f t="shared" si="19"/>
        <v>180096.81471346039</v>
      </c>
      <c r="AF21" s="3">
        <f t="shared" si="19"/>
        <v>176376.93472862896</v>
      </c>
      <c r="AG21" s="3">
        <f t="shared" si="20"/>
        <v>356473.74944208935</v>
      </c>
      <c r="AH21" s="7" t="s">
        <v>108</v>
      </c>
      <c r="AI21" s="2" t="s">
        <v>36</v>
      </c>
      <c r="AJ21" s="3">
        <f t="shared" si="21"/>
        <v>194027.73185110631</v>
      </c>
      <c r="AK21" s="3">
        <f t="shared" si="21"/>
        <v>65116.652833695996</v>
      </c>
      <c r="AL21" s="3">
        <f t="shared" si="21"/>
        <v>99385.842903152632</v>
      </c>
      <c r="AM21" s="3">
        <f t="shared" si="21"/>
        <v>0</v>
      </c>
      <c r="AN21" s="3">
        <f t="shared" si="22"/>
        <v>358530.22758795496</v>
      </c>
      <c r="AO21" s="7" t="s">
        <v>108</v>
      </c>
      <c r="AP21" s="2" t="s">
        <v>36</v>
      </c>
      <c r="AQ21" s="3">
        <f t="shared" si="23"/>
        <v>2056.4781458655921</v>
      </c>
      <c r="AR21" s="3">
        <f t="shared" si="23"/>
        <v>0</v>
      </c>
      <c r="AS21" s="3">
        <f t="shared" si="23"/>
        <v>0</v>
      </c>
      <c r="AT21" s="3">
        <f t="shared" si="23"/>
        <v>0</v>
      </c>
      <c r="AU21" s="3">
        <f t="shared" si="24"/>
        <v>2056.4781458655921</v>
      </c>
      <c r="AV21" s="7" t="s">
        <v>108</v>
      </c>
      <c r="AW21" s="2" t="s">
        <v>36</v>
      </c>
      <c r="AX21" s="3">
        <f t="shared" si="25"/>
        <v>191971.25370524073</v>
      </c>
      <c r="AY21" s="3">
        <f t="shared" si="25"/>
        <v>65116.652833695996</v>
      </c>
      <c r="AZ21" s="3">
        <f t="shared" si="25"/>
        <v>99385.842903152632</v>
      </c>
      <c r="BA21" s="3">
        <f t="shared" si="25"/>
        <v>0</v>
      </c>
      <c r="BB21" s="3">
        <f t="shared" si="26"/>
        <v>356473.74944208935</v>
      </c>
      <c r="BC21" s="7" t="s">
        <v>108</v>
      </c>
      <c r="BD21" s="2" t="s">
        <v>36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7" t="s">
        <v>108</v>
      </c>
      <c r="BK21" s="2" t="s">
        <v>36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7" t="s">
        <v>108</v>
      </c>
      <c r="BR21" s="2" t="s">
        <v>36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7" t="s">
        <v>108</v>
      </c>
      <c r="BY21" s="2" t="s">
        <v>36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7" t="s">
        <v>108</v>
      </c>
      <c r="CF21" s="2" t="s">
        <v>36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7" t="s">
        <v>108</v>
      </c>
      <c r="CM21" s="2" t="s">
        <v>36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7" t="s">
        <v>108</v>
      </c>
      <c r="CT21" s="2" t="s">
        <v>36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7" t="s">
        <v>108</v>
      </c>
      <c r="DA21" s="2" t="s">
        <v>36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7" t="s">
        <v>108</v>
      </c>
      <c r="DH21" s="2" t="s">
        <v>36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7" t="s">
        <v>108</v>
      </c>
      <c r="DO21" s="2" t="s">
        <v>36</v>
      </c>
      <c r="DP21" s="3">
        <v>2056.4781458655921</v>
      </c>
      <c r="DQ21" s="3">
        <v>0</v>
      </c>
      <c r="DR21" s="3">
        <v>0</v>
      </c>
      <c r="DS21" s="3">
        <v>0</v>
      </c>
      <c r="DT21" s="3">
        <v>2056.4781458655921</v>
      </c>
      <c r="DU21" s="7" t="s">
        <v>108</v>
      </c>
      <c r="DV21" s="2" t="s">
        <v>36</v>
      </c>
      <c r="DW21" s="3">
        <v>11874.438991780335</v>
      </c>
      <c r="DX21" s="3">
        <v>65116.652833695996</v>
      </c>
      <c r="DY21" s="3">
        <v>99385.842903152632</v>
      </c>
      <c r="DZ21" s="3">
        <v>0</v>
      </c>
      <c r="EA21" s="3">
        <v>176376.93472862896</v>
      </c>
      <c r="EB21" s="7" t="s">
        <v>108</v>
      </c>
      <c r="EC21" s="2" t="s">
        <v>36</v>
      </c>
      <c r="ED21" s="3">
        <v>180096.81471346039</v>
      </c>
      <c r="EE21" s="3">
        <v>0</v>
      </c>
      <c r="EF21" s="3">
        <v>0</v>
      </c>
      <c r="EG21" s="3">
        <v>0</v>
      </c>
      <c r="EH21" s="3">
        <v>180096.81471346039</v>
      </c>
    </row>
    <row r="22" spans="1:138" ht="10.199999999999999" customHeight="1" x14ac:dyDescent="0.2">
      <c r="A22" s="7" t="s">
        <v>104</v>
      </c>
      <c r="B22" s="2" t="s">
        <v>32</v>
      </c>
      <c r="C22" s="3">
        <f t="shared" si="4"/>
        <v>0</v>
      </c>
      <c r="D22" s="3">
        <f t="shared" si="5"/>
        <v>0</v>
      </c>
      <c r="E22" s="3">
        <f t="shared" si="6"/>
        <v>0</v>
      </c>
      <c r="F22" s="3">
        <f t="shared" si="7"/>
        <v>0</v>
      </c>
      <c r="G22" s="3">
        <f t="shared" si="8"/>
        <v>0</v>
      </c>
      <c r="H22" s="3">
        <f t="shared" si="9"/>
        <v>0</v>
      </c>
      <c r="I22" s="3">
        <f t="shared" si="10"/>
        <v>0</v>
      </c>
      <c r="J22" s="3">
        <f t="shared" si="11"/>
        <v>1770.5587457640383</v>
      </c>
      <c r="K22" s="3">
        <f t="shared" si="12"/>
        <v>12.235548670060002</v>
      </c>
      <c r="L22" s="3">
        <f t="shared" si="13"/>
        <v>1385241.6760153498</v>
      </c>
      <c r="M22" s="3">
        <f t="shared" si="14"/>
        <v>507293.54242726089</v>
      </c>
      <c r="N22" s="3">
        <f t="shared" si="15"/>
        <v>3447238.8905698266</v>
      </c>
      <c r="O22" s="3">
        <f t="shared" si="16"/>
        <v>5341556.9033068717</v>
      </c>
      <c r="P22" s="7" t="s">
        <v>104</v>
      </c>
      <c r="Q22" s="2" t="s">
        <v>32</v>
      </c>
      <c r="R22" s="3">
        <f t="shared" si="17"/>
        <v>0</v>
      </c>
      <c r="S22" s="3">
        <f t="shared" si="17"/>
        <v>0</v>
      </c>
      <c r="T22" s="3">
        <f t="shared" si="17"/>
        <v>0</v>
      </c>
      <c r="U22" s="3">
        <f t="shared" si="17"/>
        <v>0</v>
      </c>
      <c r="V22" s="3">
        <f t="shared" si="17"/>
        <v>0</v>
      </c>
      <c r="W22" s="3">
        <f t="shared" si="17"/>
        <v>0</v>
      </c>
      <c r="X22" s="3">
        <f t="shared" si="17"/>
        <v>0</v>
      </c>
      <c r="Y22" s="3">
        <f t="shared" si="17"/>
        <v>1770.5587457640383</v>
      </c>
      <c r="Z22" s="3">
        <f t="shared" si="17"/>
        <v>12.235548670060002</v>
      </c>
      <c r="AA22" s="3">
        <f t="shared" si="17"/>
        <v>1385241.6760153498</v>
      </c>
      <c r="AB22" s="3">
        <f t="shared" si="18"/>
        <v>1387024.4703097839</v>
      </c>
      <c r="AC22" s="7" t="s">
        <v>104</v>
      </c>
      <c r="AD22" s="2" t="s">
        <v>32</v>
      </c>
      <c r="AE22" s="3">
        <f t="shared" si="19"/>
        <v>507293.54242726089</v>
      </c>
      <c r="AF22" s="3">
        <f t="shared" si="19"/>
        <v>3447238.8905698266</v>
      </c>
      <c r="AG22" s="3">
        <f t="shared" si="20"/>
        <v>3954532.4329970875</v>
      </c>
      <c r="AH22" s="7" t="s">
        <v>104</v>
      </c>
      <c r="AI22" s="2" t="s">
        <v>32</v>
      </c>
      <c r="AJ22" s="3">
        <f t="shared" si="21"/>
        <v>947485.71646575572</v>
      </c>
      <c r="AK22" s="3">
        <f t="shared" si="21"/>
        <v>854471.04226760543</v>
      </c>
      <c r="AL22" s="3">
        <f t="shared" si="21"/>
        <v>2181532.7260211138</v>
      </c>
      <c r="AM22" s="3">
        <f t="shared" si="21"/>
        <v>1358067.4185523961</v>
      </c>
      <c r="AN22" s="3">
        <f t="shared" si="22"/>
        <v>5341556.9033068707</v>
      </c>
      <c r="AO22" s="7" t="s">
        <v>104</v>
      </c>
      <c r="AP22" s="2" t="s">
        <v>32</v>
      </c>
      <c r="AQ22" s="3">
        <f t="shared" si="23"/>
        <v>509.14886273926544</v>
      </c>
      <c r="AR22" s="3">
        <f t="shared" si="23"/>
        <v>28447.902894648476</v>
      </c>
      <c r="AS22" s="3">
        <f t="shared" si="23"/>
        <v>0</v>
      </c>
      <c r="AT22" s="3">
        <f t="shared" si="23"/>
        <v>1358067.4185523961</v>
      </c>
      <c r="AU22" s="3">
        <f t="shared" si="24"/>
        <v>1387024.4703097839</v>
      </c>
      <c r="AV22" s="7" t="s">
        <v>104</v>
      </c>
      <c r="AW22" s="2" t="s">
        <v>32</v>
      </c>
      <c r="AX22" s="3">
        <f t="shared" si="25"/>
        <v>946976.56760301651</v>
      </c>
      <c r="AY22" s="3">
        <f t="shared" si="25"/>
        <v>826023.13937295694</v>
      </c>
      <c r="AZ22" s="3">
        <f t="shared" si="25"/>
        <v>2181532.7260211138</v>
      </c>
      <c r="BA22" s="3">
        <f t="shared" si="25"/>
        <v>0</v>
      </c>
      <c r="BB22" s="3">
        <f t="shared" si="26"/>
        <v>3954532.432997087</v>
      </c>
      <c r="BC22" s="7" t="s">
        <v>104</v>
      </c>
      <c r="BD22" s="2" t="s">
        <v>32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7" t="s">
        <v>104</v>
      </c>
      <c r="BK22" s="2" t="s">
        <v>32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7" t="s">
        <v>104</v>
      </c>
      <c r="BR22" s="2" t="s">
        <v>32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7" t="s">
        <v>104</v>
      </c>
      <c r="BY22" s="2" t="s">
        <v>32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7" t="s">
        <v>104</v>
      </c>
      <c r="CF22" s="2" t="s">
        <v>32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7" t="s">
        <v>104</v>
      </c>
      <c r="CM22" s="2" t="s">
        <v>32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7" t="s">
        <v>104</v>
      </c>
      <c r="CT22" s="2" t="s">
        <v>32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7" t="s">
        <v>104</v>
      </c>
      <c r="DA22" s="2" t="s">
        <v>32</v>
      </c>
      <c r="DB22" s="3">
        <v>12.235548670060002</v>
      </c>
      <c r="DC22" s="3">
        <v>0</v>
      </c>
      <c r="DD22" s="3">
        <v>0</v>
      </c>
      <c r="DE22" s="3">
        <v>0</v>
      </c>
      <c r="DF22" s="3">
        <v>12.235548670060002</v>
      </c>
      <c r="DG22" s="7" t="s">
        <v>104</v>
      </c>
      <c r="DH22" s="2" t="s">
        <v>32</v>
      </c>
      <c r="DI22" s="3">
        <v>6.6033119806673035</v>
      </c>
      <c r="DJ22" s="3">
        <v>1763.9554337833711</v>
      </c>
      <c r="DK22" s="3">
        <v>0</v>
      </c>
      <c r="DL22" s="3">
        <v>0</v>
      </c>
      <c r="DM22" s="3">
        <v>1770.5587457640383</v>
      </c>
      <c r="DN22" s="7" t="s">
        <v>104</v>
      </c>
      <c r="DO22" s="2" t="s">
        <v>32</v>
      </c>
      <c r="DP22" s="3">
        <v>490.31000208853811</v>
      </c>
      <c r="DQ22" s="3">
        <v>26683.947460865103</v>
      </c>
      <c r="DR22" s="3">
        <v>0</v>
      </c>
      <c r="DS22" s="3">
        <v>1358067.4185523961</v>
      </c>
      <c r="DT22" s="3">
        <v>1385241.6760153498</v>
      </c>
      <c r="DU22" s="7" t="s">
        <v>104</v>
      </c>
      <c r="DV22" s="2" t="s">
        <v>32</v>
      </c>
      <c r="DW22" s="3">
        <v>467638.84180914582</v>
      </c>
      <c r="DX22" s="3">
        <v>798067.32273956668</v>
      </c>
      <c r="DY22" s="3">
        <v>2181532.7260211138</v>
      </c>
      <c r="DZ22" s="3">
        <v>0</v>
      </c>
      <c r="EA22" s="3">
        <v>3447238.8905698266</v>
      </c>
      <c r="EB22" s="7" t="s">
        <v>104</v>
      </c>
      <c r="EC22" s="2" t="s">
        <v>32</v>
      </c>
      <c r="ED22" s="3">
        <v>479337.72579387063</v>
      </c>
      <c r="EE22" s="3">
        <v>27955.816633390241</v>
      </c>
      <c r="EF22" s="3">
        <v>0</v>
      </c>
      <c r="EG22" s="3">
        <v>0</v>
      </c>
      <c r="EH22" s="3">
        <v>507293.54242726089</v>
      </c>
    </row>
    <row r="23" spans="1:138" ht="10.199999999999999" customHeight="1" x14ac:dyDescent="0.2">
      <c r="A23" s="7" t="s">
        <v>105</v>
      </c>
      <c r="B23" s="2" t="s">
        <v>33</v>
      </c>
      <c r="C23" s="3">
        <f t="shared" si="4"/>
        <v>0</v>
      </c>
      <c r="D23" s="3">
        <f t="shared" si="5"/>
        <v>14514.143924259277</v>
      </c>
      <c r="E23" s="3">
        <f t="shared" si="6"/>
        <v>17.40166921964089</v>
      </c>
      <c r="F23" s="3">
        <f t="shared" si="7"/>
        <v>139.83484194354287</v>
      </c>
      <c r="G23" s="3">
        <f t="shared" si="8"/>
        <v>1538898.1980643794</v>
      </c>
      <c r="H23" s="3">
        <f t="shared" si="9"/>
        <v>0</v>
      </c>
      <c r="I23" s="3">
        <f t="shared" si="10"/>
        <v>151.33237339223419</v>
      </c>
      <c r="J23" s="3">
        <f t="shared" si="11"/>
        <v>0</v>
      </c>
      <c r="K23" s="3">
        <f t="shared" si="12"/>
        <v>0</v>
      </c>
      <c r="L23" s="3">
        <f t="shared" si="13"/>
        <v>11773.817313243979</v>
      </c>
      <c r="M23" s="3">
        <f t="shared" si="14"/>
        <v>1228054.1957327886</v>
      </c>
      <c r="N23" s="3">
        <f t="shared" si="15"/>
        <v>265266.93612306804</v>
      </c>
      <c r="O23" s="3">
        <f t="shared" si="16"/>
        <v>3058815.860042295</v>
      </c>
      <c r="P23" s="7" t="s">
        <v>105</v>
      </c>
      <c r="Q23" s="2" t="s">
        <v>33</v>
      </c>
      <c r="R23" s="3">
        <f t="shared" si="17"/>
        <v>0</v>
      </c>
      <c r="S23" s="3">
        <f t="shared" si="17"/>
        <v>14514.143924259277</v>
      </c>
      <c r="T23" s="3">
        <f t="shared" si="17"/>
        <v>17.40166921964089</v>
      </c>
      <c r="U23" s="3">
        <f t="shared" si="17"/>
        <v>139.83484194354287</v>
      </c>
      <c r="V23" s="3">
        <f t="shared" si="17"/>
        <v>1538898.1980643794</v>
      </c>
      <c r="W23" s="3">
        <f t="shared" si="17"/>
        <v>0</v>
      </c>
      <c r="X23" s="3">
        <f t="shared" si="17"/>
        <v>151.33237339223419</v>
      </c>
      <c r="Y23" s="3">
        <f t="shared" si="17"/>
        <v>0</v>
      </c>
      <c r="Z23" s="3">
        <f t="shared" si="17"/>
        <v>0</v>
      </c>
      <c r="AA23" s="3">
        <f t="shared" si="17"/>
        <v>11773.817313243979</v>
      </c>
      <c r="AB23" s="3">
        <f t="shared" si="18"/>
        <v>1565494.7281864381</v>
      </c>
      <c r="AC23" s="7" t="s">
        <v>105</v>
      </c>
      <c r="AD23" s="2" t="s">
        <v>33</v>
      </c>
      <c r="AE23" s="3">
        <f t="shared" si="19"/>
        <v>1228054.1957327886</v>
      </c>
      <c r="AF23" s="3">
        <f t="shared" si="19"/>
        <v>265266.93612306804</v>
      </c>
      <c r="AG23" s="3">
        <f t="shared" si="20"/>
        <v>1493321.1318558566</v>
      </c>
      <c r="AH23" s="7" t="s">
        <v>105</v>
      </c>
      <c r="AI23" s="2" t="s">
        <v>33</v>
      </c>
      <c r="AJ23" s="3">
        <f t="shared" si="21"/>
        <v>1252375.732332275</v>
      </c>
      <c r="AK23" s="3">
        <f t="shared" si="21"/>
        <v>1806440.1277100195</v>
      </c>
      <c r="AL23" s="3">
        <f t="shared" si="21"/>
        <v>0</v>
      </c>
      <c r="AM23" s="3">
        <f t="shared" si="21"/>
        <v>0</v>
      </c>
      <c r="AN23" s="3">
        <f t="shared" si="22"/>
        <v>3058815.8600422945</v>
      </c>
      <c r="AO23" s="7" t="s">
        <v>105</v>
      </c>
      <c r="AP23" s="2" t="s">
        <v>33</v>
      </c>
      <c r="AQ23" s="3">
        <f t="shared" si="23"/>
        <v>62147.211636013453</v>
      </c>
      <c r="AR23" s="3">
        <f t="shared" si="23"/>
        <v>1503347.5165504245</v>
      </c>
      <c r="AS23" s="3">
        <f t="shared" si="23"/>
        <v>0</v>
      </c>
      <c r="AT23" s="3">
        <f t="shared" si="23"/>
        <v>0</v>
      </c>
      <c r="AU23" s="3">
        <f t="shared" si="24"/>
        <v>1565494.7281864379</v>
      </c>
      <c r="AV23" s="7" t="s">
        <v>105</v>
      </c>
      <c r="AW23" s="2" t="s">
        <v>33</v>
      </c>
      <c r="AX23" s="3">
        <f t="shared" si="25"/>
        <v>1190228.5206962617</v>
      </c>
      <c r="AY23" s="3">
        <f t="shared" si="25"/>
        <v>303092.61115959496</v>
      </c>
      <c r="AZ23" s="3">
        <f t="shared" si="25"/>
        <v>0</v>
      </c>
      <c r="BA23" s="3">
        <f t="shared" si="25"/>
        <v>0</v>
      </c>
      <c r="BB23" s="3">
        <f t="shared" si="26"/>
        <v>1493321.1318558566</v>
      </c>
      <c r="BC23" s="7" t="s">
        <v>105</v>
      </c>
      <c r="BD23" s="2" t="s">
        <v>33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7" t="s">
        <v>105</v>
      </c>
      <c r="BK23" s="2" t="s">
        <v>33</v>
      </c>
      <c r="BL23" s="3">
        <v>13849.284396802646</v>
      </c>
      <c r="BM23" s="3">
        <v>664.85952745662985</v>
      </c>
      <c r="BN23" s="3">
        <v>0</v>
      </c>
      <c r="BO23" s="3">
        <v>0</v>
      </c>
      <c r="BP23" s="3">
        <v>14514.143924259277</v>
      </c>
      <c r="BQ23" s="7" t="s">
        <v>105</v>
      </c>
      <c r="BR23" s="2" t="s">
        <v>33</v>
      </c>
      <c r="BS23" s="3">
        <v>17.40166921964089</v>
      </c>
      <c r="BT23" s="3">
        <v>0</v>
      </c>
      <c r="BU23" s="3">
        <v>0</v>
      </c>
      <c r="BV23" s="3">
        <v>0</v>
      </c>
      <c r="BW23" s="3">
        <v>17.40166921964089</v>
      </c>
      <c r="BX23" s="7" t="s">
        <v>105</v>
      </c>
      <c r="BY23" s="2" t="s">
        <v>33</v>
      </c>
      <c r="BZ23" s="3">
        <v>139.83484194354287</v>
      </c>
      <c r="CA23" s="3">
        <v>0</v>
      </c>
      <c r="CB23" s="3">
        <v>0</v>
      </c>
      <c r="CC23" s="3">
        <v>0</v>
      </c>
      <c r="CD23" s="3">
        <v>139.83484194354287</v>
      </c>
      <c r="CE23" s="7" t="s">
        <v>105</v>
      </c>
      <c r="CF23" s="2" t="s">
        <v>33</v>
      </c>
      <c r="CG23" s="3">
        <v>36714.185687003876</v>
      </c>
      <c r="CH23" s="3">
        <v>1502184.0123773755</v>
      </c>
      <c r="CI23" s="3">
        <v>0</v>
      </c>
      <c r="CJ23" s="3">
        <v>0</v>
      </c>
      <c r="CK23" s="3">
        <v>1538898.1980643794</v>
      </c>
      <c r="CL23" s="7" t="s">
        <v>105</v>
      </c>
      <c r="CM23" s="2" t="s">
        <v>33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7" t="s">
        <v>105</v>
      </c>
      <c r="CT23" s="2" t="s">
        <v>33</v>
      </c>
      <c r="CU23" s="3">
        <v>151.33237339223419</v>
      </c>
      <c r="CV23" s="3">
        <v>0</v>
      </c>
      <c r="CW23" s="3">
        <v>0</v>
      </c>
      <c r="CX23" s="3">
        <v>0</v>
      </c>
      <c r="CY23" s="3">
        <v>151.33237339223419</v>
      </c>
      <c r="CZ23" s="7" t="s">
        <v>105</v>
      </c>
      <c r="DA23" s="2" t="s">
        <v>33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7" t="s">
        <v>105</v>
      </c>
      <c r="DH23" s="2" t="s">
        <v>33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7" t="s">
        <v>105</v>
      </c>
      <c r="DO23" s="2" t="s">
        <v>33</v>
      </c>
      <c r="DP23" s="3">
        <v>11275.172667651506</v>
      </c>
      <c r="DQ23" s="3">
        <v>498.64464559247239</v>
      </c>
      <c r="DR23" s="3">
        <v>0</v>
      </c>
      <c r="DS23" s="3">
        <v>0</v>
      </c>
      <c r="DT23" s="3">
        <v>11773.817313243979</v>
      </c>
      <c r="DU23" s="7" t="s">
        <v>105</v>
      </c>
      <c r="DV23" s="2" t="s">
        <v>33</v>
      </c>
      <c r="DW23" s="3">
        <v>3632.2609871485665</v>
      </c>
      <c r="DX23" s="3">
        <v>261634.67513591947</v>
      </c>
      <c r="DY23" s="3">
        <v>0</v>
      </c>
      <c r="DZ23" s="3">
        <v>0</v>
      </c>
      <c r="EA23" s="3">
        <v>265266.93612306804</v>
      </c>
      <c r="EB23" s="7" t="s">
        <v>105</v>
      </c>
      <c r="EC23" s="2" t="s">
        <v>33</v>
      </c>
      <c r="ED23" s="3">
        <v>1186596.259709113</v>
      </c>
      <c r="EE23" s="3">
        <v>41457.936023675502</v>
      </c>
      <c r="EF23" s="3">
        <v>0</v>
      </c>
      <c r="EG23" s="3">
        <v>0</v>
      </c>
      <c r="EH23" s="3">
        <v>1228054.1957327886</v>
      </c>
    </row>
    <row r="24" spans="1:138" ht="10.199999999999999" customHeight="1" x14ac:dyDescent="0.2">
      <c r="A24" s="7" t="s">
        <v>109</v>
      </c>
      <c r="B24" s="2" t="s">
        <v>37</v>
      </c>
      <c r="C24" s="3">
        <f t="shared" si="4"/>
        <v>0</v>
      </c>
      <c r="D24" s="3">
        <f t="shared" si="5"/>
        <v>0</v>
      </c>
      <c r="E24" s="3">
        <f t="shared" si="6"/>
        <v>0</v>
      </c>
      <c r="F24" s="3">
        <f t="shared" si="7"/>
        <v>154316.52112349102</v>
      </c>
      <c r="G24" s="3">
        <f t="shared" si="8"/>
        <v>131036.31614993489</v>
      </c>
      <c r="H24" s="3">
        <f t="shared" si="9"/>
        <v>0</v>
      </c>
      <c r="I24" s="3">
        <f t="shared" si="10"/>
        <v>12364.674577527761</v>
      </c>
      <c r="J24" s="3">
        <f t="shared" si="11"/>
        <v>0</v>
      </c>
      <c r="K24" s="3">
        <f t="shared" si="12"/>
        <v>15582.645174764762</v>
      </c>
      <c r="L24" s="3">
        <f t="shared" si="13"/>
        <v>5395.832123174363</v>
      </c>
      <c r="M24" s="3">
        <f t="shared" si="14"/>
        <v>986986.3164920113</v>
      </c>
      <c r="N24" s="3">
        <f t="shared" si="15"/>
        <v>62605.102716530841</v>
      </c>
      <c r="O24" s="3">
        <f t="shared" si="16"/>
        <v>1368287.4083574349</v>
      </c>
      <c r="P24" s="7" t="s">
        <v>109</v>
      </c>
      <c r="Q24" s="2" t="s">
        <v>37</v>
      </c>
      <c r="R24" s="3">
        <f t="shared" si="17"/>
        <v>0</v>
      </c>
      <c r="S24" s="3">
        <f t="shared" si="17"/>
        <v>0</v>
      </c>
      <c r="T24" s="3">
        <f t="shared" si="17"/>
        <v>0</v>
      </c>
      <c r="U24" s="3">
        <f t="shared" si="17"/>
        <v>154316.52112349102</v>
      </c>
      <c r="V24" s="3">
        <f t="shared" si="17"/>
        <v>131036.31614993489</v>
      </c>
      <c r="W24" s="3">
        <f t="shared" si="17"/>
        <v>0</v>
      </c>
      <c r="X24" s="3">
        <f t="shared" si="17"/>
        <v>12364.674577527761</v>
      </c>
      <c r="Y24" s="3">
        <f t="shared" si="17"/>
        <v>0</v>
      </c>
      <c r="Z24" s="3">
        <f t="shared" si="17"/>
        <v>15582.645174764762</v>
      </c>
      <c r="AA24" s="3">
        <f t="shared" si="17"/>
        <v>5395.832123174363</v>
      </c>
      <c r="AB24" s="3">
        <f t="shared" si="18"/>
        <v>318695.98914889275</v>
      </c>
      <c r="AC24" s="7" t="s">
        <v>109</v>
      </c>
      <c r="AD24" s="2" t="s">
        <v>37</v>
      </c>
      <c r="AE24" s="3">
        <f t="shared" si="19"/>
        <v>986986.3164920113</v>
      </c>
      <c r="AF24" s="3">
        <f t="shared" si="19"/>
        <v>62605.102716530841</v>
      </c>
      <c r="AG24" s="3">
        <f t="shared" si="20"/>
        <v>1049591.4192085422</v>
      </c>
      <c r="AH24" s="7" t="s">
        <v>109</v>
      </c>
      <c r="AI24" s="2" t="s">
        <v>37</v>
      </c>
      <c r="AJ24" s="3">
        <f t="shared" si="21"/>
        <v>347443.02172573115</v>
      </c>
      <c r="AK24" s="3">
        <f t="shared" si="21"/>
        <v>995912.15435208008</v>
      </c>
      <c r="AL24" s="3">
        <f t="shared" si="21"/>
        <v>24932.232279623619</v>
      </c>
      <c r="AM24" s="3">
        <f t="shared" si="21"/>
        <v>0</v>
      </c>
      <c r="AN24" s="3">
        <f t="shared" si="22"/>
        <v>1368287.4083574349</v>
      </c>
      <c r="AO24" s="7" t="s">
        <v>109</v>
      </c>
      <c r="AP24" s="2" t="s">
        <v>37</v>
      </c>
      <c r="AQ24" s="3">
        <f t="shared" si="23"/>
        <v>27415.343222438438</v>
      </c>
      <c r="AR24" s="3">
        <f t="shared" si="23"/>
        <v>266348.41364683071</v>
      </c>
      <c r="AS24" s="3">
        <f t="shared" si="23"/>
        <v>24932.232279623619</v>
      </c>
      <c r="AT24" s="3">
        <f t="shared" si="23"/>
        <v>0</v>
      </c>
      <c r="AU24" s="3">
        <f t="shared" si="24"/>
        <v>318695.98914889275</v>
      </c>
      <c r="AV24" s="7" t="s">
        <v>109</v>
      </c>
      <c r="AW24" s="2" t="s">
        <v>37</v>
      </c>
      <c r="AX24" s="3">
        <f t="shared" si="25"/>
        <v>320027.67850329273</v>
      </c>
      <c r="AY24" s="3">
        <f t="shared" si="25"/>
        <v>729563.74070524937</v>
      </c>
      <c r="AZ24" s="3">
        <f t="shared" si="25"/>
        <v>0</v>
      </c>
      <c r="BA24" s="3">
        <f t="shared" si="25"/>
        <v>0</v>
      </c>
      <c r="BB24" s="3">
        <f t="shared" si="26"/>
        <v>1049591.419208542</v>
      </c>
      <c r="BC24" s="7" t="s">
        <v>109</v>
      </c>
      <c r="BD24" s="2" t="s">
        <v>37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7" t="s">
        <v>109</v>
      </c>
      <c r="BK24" s="2" t="s">
        <v>37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7" t="s">
        <v>109</v>
      </c>
      <c r="BR24" s="2" t="s">
        <v>37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7" t="s">
        <v>109</v>
      </c>
      <c r="BY24" s="2" t="s">
        <v>37</v>
      </c>
      <c r="BZ24" s="3">
        <v>543.80216311377797</v>
      </c>
      <c r="CA24" s="3">
        <v>153772.71896037724</v>
      </c>
      <c r="CB24" s="3">
        <v>0</v>
      </c>
      <c r="CC24" s="3">
        <v>0</v>
      </c>
      <c r="CD24" s="3">
        <v>154316.52112349102</v>
      </c>
      <c r="CE24" s="7" t="s">
        <v>109</v>
      </c>
      <c r="CF24" s="2" t="s">
        <v>37</v>
      </c>
      <c r="CG24" s="3">
        <v>21563.429148283554</v>
      </c>
      <c r="CH24" s="3">
        <v>84540.654722027713</v>
      </c>
      <c r="CI24" s="3">
        <v>24932.232279623619</v>
      </c>
      <c r="CJ24" s="3">
        <v>0</v>
      </c>
      <c r="CK24" s="3">
        <v>131036.31614993489</v>
      </c>
      <c r="CL24" s="7" t="s">
        <v>109</v>
      </c>
      <c r="CM24" s="2" t="s">
        <v>37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7" t="s">
        <v>109</v>
      </c>
      <c r="CT24" s="2" t="s">
        <v>37</v>
      </c>
      <c r="CU24" s="3">
        <v>1198.328479677722</v>
      </c>
      <c r="CV24" s="3">
        <v>11166.346097850039</v>
      </c>
      <c r="CW24" s="3">
        <v>0</v>
      </c>
      <c r="CX24" s="3">
        <v>0</v>
      </c>
      <c r="CY24" s="3">
        <v>12364.674577527761</v>
      </c>
      <c r="CZ24" s="7" t="s">
        <v>109</v>
      </c>
      <c r="DA24" s="2" t="s">
        <v>37</v>
      </c>
      <c r="DB24" s="3">
        <v>0</v>
      </c>
      <c r="DC24" s="3">
        <v>15582.645174764762</v>
      </c>
      <c r="DD24" s="3">
        <v>0</v>
      </c>
      <c r="DE24" s="3">
        <v>0</v>
      </c>
      <c r="DF24" s="3">
        <v>15582.645174764762</v>
      </c>
      <c r="DG24" s="7" t="s">
        <v>109</v>
      </c>
      <c r="DH24" s="2" t="s">
        <v>37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7" t="s">
        <v>109</v>
      </c>
      <c r="DO24" s="2" t="s">
        <v>37</v>
      </c>
      <c r="DP24" s="3">
        <v>4109.7834313633821</v>
      </c>
      <c r="DQ24" s="3">
        <v>1286.0486918109812</v>
      </c>
      <c r="DR24" s="3">
        <v>0</v>
      </c>
      <c r="DS24" s="3">
        <v>0</v>
      </c>
      <c r="DT24" s="3">
        <v>5395.832123174363</v>
      </c>
      <c r="DU24" s="7" t="s">
        <v>109</v>
      </c>
      <c r="DV24" s="2" t="s">
        <v>37</v>
      </c>
      <c r="DW24" s="3">
        <v>2974.2435609602858</v>
      </c>
      <c r="DX24" s="3">
        <v>59630.859155570557</v>
      </c>
      <c r="DY24" s="3">
        <v>0</v>
      </c>
      <c r="DZ24" s="3">
        <v>0</v>
      </c>
      <c r="EA24" s="3">
        <v>62605.102716530841</v>
      </c>
      <c r="EB24" s="7" t="s">
        <v>109</v>
      </c>
      <c r="EC24" s="2" t="s">
        <v>37</v>
      </c>
      <c r="ED24" s="3">
        <v>317053.43494233245</v>
      </c>
      <c r="EE24" s="3">
        <v>669932.88154967886</v>
      </c>
      <c r="EF24" s="3">
        <v>0</v>
      </c>
      <c r="EG24" s="3">
        <v>0</v>
      </c>
      <c r="EH24" s="3">
        <v>986986.3164920113</v>
      </c>
    </row>
    <row r="25" spans="1:138" ht="10.199999999999999" customHeight="1" x14ac:dyDescent="0.2">
      <c r="A25" s="7" t="s">
        <v>96</v>
      </c>
      <c r="B25" s="2" t="s">
        <v>24</v>
      </c>
      <c r="C25" s="3">
        <f t="shared" si="4"/>
        <v>0</v>
      </c>
      <c r="D25" s="3">
        <f t="shared" si="5"/>
        <v>4093.1658199331555</v>
      </c>
      <c r="E25" s="3">
        <f t="shared" si="6"/>
        <v>0</v>
      </c>
      <c r="F25" s="3">
        <f t="shared" si="7"/>
        <v>32655.067206025567</v>
      </c>
      <c r="G25" s="3">
        <f t="shared" si="8"/>
        <v>53126.98765750583</v>
      </c>
      <c r="H25" s="3">
        <f t="shared" si="9"/>
        <v>0</v>
      </c>
      <c r="I25" s="3">
        <f t="shared" si="10"/>
        <v>995146.35951671004</v>
      </c>
      <c r="J25" s="3">
        <f t="shared" si="11"/>
        <v>0</v>
      </c>
      <c r="K25" s="3">
        <f t="shared" si="12"/>
        <v>6360.4498126903909</v>
      </c>
      <c r="L25" s="3">
        <f t="shared" si="13"/>
        <v>2441.9221412112797</v>
      </c>
      <c r="M25" s="3">
        <f t="shared" si="14"/>
        <v>1276874.5077295171</v>
      </c>
      <c r="N25" s="3">
        <f t="shared" si="15"/>
        <v>664682.0891239976</v>
      </c>
      <c r="O25" s="3">
        <f t="shared" si="16"/>
        <v>3035380.5490075909</v>
      </c>
      <c r="P25" s="7" t="s">
        <v>96</v>
      </c>
      <c r="Q25" s="2" t="s">
        <v>24</v>
      </c>
      <c r="R25" s="3">
        <f t="shared" si="17"/>
        <v>0</v>
      </c>
      <c r="S25" s="3">
        <f t="shared" si="17"/>
        <v>4093.1658199331555</v>
      </c>
      <c r="T25" s="3">
        <f t="shared" si="17"/>
        <v>0</v>
      </c>
      <c r="U25" s="3">
        <f t="shared" si="17"/>
        <v>32655.067206025567</v>
      </c>
      <c r="V25" s="3">
        <f t="shared" si="17"/>
        <v>53126.98765750583</v>
      </c>
      <c r="W25" s="3">
        <f t="shared" si="17"/>
        <v>0</v>
      </c>
      <c r="X25" s="3">
        <f t="shared" si="17"/>
        <v>995146.35951671004</v>
      </c>
      <c r="Y25" s="3">
        <f t="shared" si="17"/>
        <v>0</v>
      </c>
      <c r="Z25" s="3">
        <f t="shared" si="17"/>
        <v>6360.4498126903909</v>
      </c>
      <c r="AA25" s="3">
        <f t="shared" si="17"/>
        <v>2441.9221412112797</v>
      </c>
      <c r="AB25" s="3">
        <f t="shared" si="18"/>
        <v>1093823.9521540764</v>
      </c>
      <c r="AC25" s="7" t="s">
        <v>96</v>
      </c>
      <c r="AD25" s="2" t="s">
        <v>24</v>
      </c>
      <c r="AE25" s="3">
        <f t="shared" si="19"/>
        <v>1276874.5077295171</v>
      </c>
      <c r="AF25" s="3">
        <f t="shared" si="19"/>
        <v>664682.0891239976</v>
      </c>
      <c r="AG25" s="3">
        <f t="shared" si="20"/>
        <v>1941556.5968535147</v>
      </c>
      <c r="AH25" s="7" t="s">
        <v>96</v>
      </c>
      <c r="AI25" s="2" t="s">
        <v>24</v>
      </c>
      <c r="AJ25" s="3">
        <f t="shared" si="21"/>
        <v>2445864.6330236862</v>
      </c>
      <c r="AK25" s="3">
        <f t="shared" si="21"/>
        <v>589515.91598390427</v>
      </c>
      <c r="AL25" s="3">
        <f t="shared" si="21"/>
        <v>0</v>
      </c>
      <c r="AM25" s="3">
        <f t="shared" si="21"/>
        <v>0</v>
      </c>
      <c r="AN25" s="3">
        <f t="shared" si="22"/>
        <v>3035380.5490075904</v>
      </c>
      <c r="AO25" s="7" t="s">
        <v>96</v>
      </c>
      <c r="AP25" s="2" t="s">
        <v>24</v>
      </c>
      <c r="AQ25" s="3">
        <f t="shared" si="23"/>
        <v>544720.41332979314</v>
      </c>
      <c r="AR25" s="3">
        <f t="shared" si="23"/>
        <v>549103.53882428294</v>
      </c>
      <c r="AS25" s="3">
        <f t="shared" si="23"/>
        <v>0</v>
      </c>
      <c r="AT25" s="3">
        <f t="shared" si="23"/>
        <v>0</v>
      </c>
      <c r="AU25" s="3">
        <f t="shared" si="24"/>
        <v>1093823.9521540762</v>
      </c>
      <c r="AV25" s="7" t="s">
        <v>96</v>
      </c>
      <c r="AW25" s="2" t="s">
        <v>24</v>
      </c>
      <c r="AX25" s="3">
        <f t="shared" si="25"/>
        <v>1901144.2196938931</v>
      </c>
      <c r="AY25" s="3">
        <f t="shared" si="25"/>
        <v>40412.377159621385</v>
      </c>
      <c r="AZ25" s="3">
        <f t="shared" si="25"/>
        <v>0</v>
      </c>
      <c r="BA25" s="3">
        <f t="shared" si="25"/>
        <v>0</v>
      </c>
      <c r="BB25" s="3">
        <f t="shared" si="26"/>
        <v>1941556.5968535144</v>
      </c>
      <c r="BC25" s="7" t="s">
        <v>96</v>
      </c>
      <c r="BD25" s="2" t="s">
        <v>24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7" t="s">
        <v>96</v>
      </c>
      <c r="BK25" s="2" t="s">
        <v>24</v>
      </c>
      <c r="BL25" s="3">
        <v>4093.1658199331555</v>
      </c>
      <c r="BM25" s="3">
        <v>0</v>
      </c>
      <c r="BN25" s="3">
        <v>0</v>
      </c>
      <c r="BO25" s="3">
        <v>0</v>
      </c>
      <c r="BP25" s="3">
        <v>4093.1658199331555</v>
      </c>
      <c r="BQ25" s="7" t="s">
        <v>96</v>
      </c>
      <c r="BR25" s="2" t="s">
        <v>24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7" t="s">
        <v>96</v>
      </c>
      <c r="BY25" s="2" t="s">
        <v>24</v>
      </c>
      <c r="BZ25" s="3">
        <v>26008.116619178505</v>
      </c>
      <c r="CA25" s="3">
        <v>6646.9505868470633</v>
      </c>
      <c r="CB25" s="3">
        <v>0</v>
      </c>
      <c r="CC25" s="3">
        <v>0</v>
      </c>
      <c r="CD25" s="3">
        <v>32655.067206025567</v>
      </c>
      <c r="CE25" s="7" t="s">
        <v>96</v>
      </c>
      <c r="CF25" s="2" t="s">
        <v>24</v>
      </c>
      <c r="CG25" s="3">
        <v>11048.738895061728</v>
      </c>
      <c r="CH25" s="3">
        <v>42078.248762444098</v>
      </c>
      <c r="CI25" s="3">
        <v>0</v>
      </c>
      <c r="CJ25" s="3">
        <v>0</v>
      </c>
      <c r="CK25" s="3">
        <v>53126.98765750583</v>
      </c>
      <c r="CL25" s="7" t="s">
        <v>96</v>
      </c>
      <c r="CM25" s="2" t="s">
        <v>24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7" t="s">
        <v>96</v>
      </c>
      <c r="CT25" s="2" t="s">
        <v>24</v>
      </c>
      <c r="CU25" s="3">
        <v>500385.48072754854</v>
      </c>
      <c r="CV25" s="3">
        <v>494760.87878916145</v>
      </c>
      <c r="CW25" s="3">
        <v>0</v>
      </c>
      <c r="CX25" s="3">
        <v>0</v>
      </c>
      <c r="CY25" s="3">
        <v>995146.35951671004</v>
      </c>
      <c r="CZ25" s="7" t="s">
        <v>96</v>
      </c>
      <c r="DA25" s="2" t="s">
        <v>24</v>
      </c>
      <c r="DB25" s="3">
        <v>742.9891268600245</v>
      </c>
      <c r="DC25" s="3">
        <v>5617.4606858303669</v>
      </c>
      <c r="DD25" s="3">
        <v>0</v>
      </c>
      <c r="DE25" s="3">
        <v>0</v>
      </c>
      <c r="DF25" s="3">
        <v>6360.4498126903909</v>
      </c>
      <c r="DG25" s="7" t="s">
        <v>96</v>
      </c>
      <c r="DH25" s="2" t="s">
        <v>24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7" t="s">
        <v>96</v>
      </c>
      <c r="DO25" s="2" t="s">
        <v>24</v>
      </c>
      <c r="DP25" s="3">
        <v>2441.9221412112797</v>
      </c>
      <c r="DQ25" s="3">
        <v>0</v>
      </c>
      <c r="DR25" s="3">
        <v>0</v>
      </c>
      <c r="DS25" s="3">
        <v>0</v>
      </c>
      <c r="DT25" s="3">
        <v>2441.9221412112797</v>
      </c>
      <c r="DU25" s="7" t="s">
        <v>96</v>
      </c>
      <c r="DV25" s="2" t="s">
        <v>24</v>
      </c>
      <c r="DW25" s="3">
        <v>662058.88167623652</v>
      </c>
      <c r="DX25" s="3">
        <v>2623.2074477610313</v>
      </c>
      <c r="DY25" s="3">
        <v>0</v>
      </c>
      <c r="DZ25" s="3">
        <v>0</v>
      </c>
      <c r="EA25" s="3">
        <v>664682.0891239976</v>
      </c>
      <c r="EB25" s="7" t="s">
        <v>96</v>
      </c>
      <c r="EC25" s="2" t="s">
        <v>24</v>
      </c>
      <c r="ED25" s="3">
        <v>1239085.3380176567</v>
      </c>
      <c r="EE25" s="3">
        <v>37789.169711860355</v>
      </c>
      <c r="EF25" s="3">
        <v>0</v>
      </c>
      <c r="EG25" s="3">
        <v>0</v>
      </c>
      <c r="EH25" s="3">
        <v>1276874.5077295171</v>
      </c>
    </row>
    <row r="26" spans="1:138" ht="10.199999999999999" customHeight="1" x14ac:dyDescent="0.2">
      <c r="A26" s="7" t="s">
        <v>120</v>
      </c>
      <c r="B26" s="2" t="s">
        <v>48</v>
      </c>
      <c r="C26" s="3">
        <f t="shared" si="4"/>
        <v>1914.2437285714284</v>
      </c>
      <c r="D26" s="3">
        <f t="shared" si="5"/>
        <v>316.1323028359289</v>
      </c>
      <c r="E26" s="3">
        <f t="shared" si="6"/>
        <v>20840717.750886358</v>
      </c>
      <c r="F26" s="3">
        <f t="shared" si="7"/>
        <v>395925.84103248618</v>
      </c>
      <c r="G26" s="3">
        <f t="shared" si="8"/>
        <v>13224.032685232502</v>
      </c>
      <c r="H26" s="3">
        <f t="shared" si="9"/>
        <v>0</v>
      </c>
      <c r="I26" s="3">
        <f t="shared" si="10"/>
        <v>1035100.8243478057</v>
      </c>
      <c r="J26" s="3">
        <f t="shared" si="11"/>
        <v>75833.049268734452</v>
      </c>
      <c r="K26" s="3">
        <f t="shared" si="12"/>
        <v>1475091.5796741978</v>
      </c>
      <c r="L26" s="3">
        <f t="shared" si="13"/>
        <v>278293.34892183362</v>
      </c>
      <c r="M26" s="3">
        <f t="shared" si="14"/>
        <v>4706490.5410070904</v>
      </c>
      <c r="N26" s="3">
        <f t="shared" si="15"/>
        <v>1791339.7292710505</v>
      </c>
      <c r="O26" s="3">
        <f t="shared" si="16"/>
        <v>30614247.073126197</v>
      </c>
      <c r="P26" s="7" t="s">
        <v>120</v>
      </c>
      <c r="Q26" s="2" t="s">
        <v>48</v>
      </c>
      <c r="R26" s="3">
        <f t="shared" si="17"/>
        <v>1914.2437285714284</v>
      </c>
      <c r="S26" s="3">
        <f t="shared" si="17"/>
        <v>316.1323028359289</v>
      </c>
      <c r="T26" s="3">
        <f t="shared" si="17"/>
        <v>20840717.750886358</v>
      </c>
      <c r="U26" s="3">
        <f t="shared" si="17"/>
        <v>395925.84103248618</v>
      </c>
      <c r="V26" s="3">
        <f t="shared" si="17"/>
        <v>13224.032685232502</v>
      </c>
      <c r="W26" s="3">
        <f t="shared" si="17"/>
        <v>0</v>
      </c>
      <c r="X26" s="3">
        <f t="shared" si="17"/>
        <v>1035100.8243478057</v>
      </c>
      <c r="Y26" s="3">
        <f t="shared" si="17"/>
        <v>75833.049268734452</v>
      </c>
      <c r="Z26" s="3">
        <f t="shared" si="17"/>
        <v>1475091.5796741978</v>
      </c>
      <c r="AA26" s="3">
        <f t="shared" si="17"/>
        <v>278293.34892183362</v>
      </c>
      <c r="AB26" s="3">
        <f t="shared" si="18"/>
        <v>24116416.802848056</v>
      </c>
      <c r="AC26" s="7" t="s">
        <v>120</v>
      </c>
      <c r="AD26" s="2" t="s">
        <v>48</v>
      </c>
      <c r="AE26" s="3">
        <f t="shared" si="19"/>
        <v>4706490.5410070904</v>
      </c>
      <c r="AF26" s="3">
        <f t="shared" si="19"/>
        <v>1791339.7292710505</v>
      </c>
      <c r="AG26" s="3">
        <f t="shared" si="20"/>
        <v>6497830.2702781409</v>
      </c>
      <c r="AH26" s="7" t="s">
        <v>120</v>
      </c>
      <c r="AI26" s="2" t="s">
        <v>48</v>
      </c>
      <c r="AJ26" s="3">
        <f t="shared" si="21"/>
        <v>4895136.9630441517</v>
      </c>
      <c r="AK26" s="3">
        <f t="shared" si="21"/>
        <v>2409601.1476217965</v>
      </c>
      <c r="AL26" s="3">
        <f t="shared" si="21"/>
        <v>5037329.1492098253</v>
      </c>
      <c r="AM26" s="3">
        <f t="shared" si="21"/>
        <v>18272179.813250422</v>
      </c>
      <c r="AN26" s="3">
        <f t="shared" si="22"/>
        <v>30614247.073126197</v>
      </c>
      <c r="AO26" s="7" t="s">
        <v>120</v>
      </c>
      <c r="AP26" s="2" t="s">
        <v>48</v>
      </c>
      <c r="AQ26" s="3">
        <f t="shared" si="23"/>
        <v>1078902.1035584696</v>
      </c>
      <c r="AR26" s="3">
        <f t="shared" si="23"/>
        <v>674915.28237478971</v>
      </c>
      <c r="AS26" s="3">
        <f t="shared" si="23"/>
        <v>4090419.6036643726</v>
      </c>
      <c r="AT26" s="3">
        <f t="shared" si="23"/>
        <v>18272179.813250422</v>
      </c>
      <c r="AU26" s="3">
        <f t="shared" si="24"/>
        <v>24116416.802848056</v>
      </c>
      <c r="AV26" s="7" t="s">
        <v>120</v>
      </c>
      <c r="AW26" s="2" t="s">
        <v>48</v>
      </c>
      <c r="AX26" s="3">
        <f t="shared" si="25"/>
        <v>3816234.8594856826</v>
      </c>
      <c r="AY26" s="3">
        <f t="shared" si="25"/>
        <v>1734685.8652470065</v>
      </c>
      <c r="AZ26" s="3">
        <f t="shared" si="25"/>
        <v>946909.54554545286</v>
      </c>
      <c r="BA26" s="3">
        <f t="shared" si="25"/>
        <v>0</v>
      </c>
      <c r="BB26" s="3">
        <f t="shared" si="26"/>
        <v>6497830.2702781428</v>
      </c>
      <c r="BC26" s="7" t="s">
        <v>120</v>
      </c>
      <c r="BD26" s="2" t="s">
        <v>48</v>
      </c>
      <c r="BE26" s="3">
        <v>1914.2437285714284</v>
      </c>
      <c r="BF26" s="3">
        <v>0</v>
      </c>
      <c r="BG26" s="3">
        <v>0</v>
      </c>
      <c r="BH26" s="3">
        <v>0</v>
      </c>
      <c r="BI26" s="3">
        <v>1914.2437285714284</v>
      </c>
      <c r="BJ26" s="7" t="s">
        <v>120</v>
      </c>
      <c r="BK26" s="2" t="s">
        <v>48</v>
      </c>
      <c r="BL26" s="3">
        <v>316.1323028359289</v>
      </c>
      <c r="BM26" s="3">
        <v>0</v>
      </c>
      <c r="BN26" s="3">
        <v>0</v>
      </c>
      <c r="BO26" s="3">
        <v>0</v>
      </c>
      <c r="BP26" s="3">
        <v>316.1323028359289</v>
      </c>
      <c r="BQ26" s="7" t="s">
        <v>120</v>
      </c>
      <c r="BR26" s="2" t="s">
        <v>48</v>
      </c>
      <c r="BS26" s="3">
        <v>0</v>
      </c>
      <c r="BT26" s="3">
        <v>1234.6067441385419</v>
      </c>
      <c r="BU26" s="3">
        <v>2814224.679719504</v>
      </c>
      <c r="BV26" s="3">
        <v>18025258.464422714</v>
      </c>
      <c r="BW26" s="3">
        <v>20840717.750886358</v>
      </c>
      <c r="BX26" s="7" t="s">
        <v>120</v>
      </c>
      <c r="BY26" s="2" t="s">
        <v>48</v>
      </c>
      <c r="BZ26" s="3">
        <v>328621.12724371249</v>
      </c>
      <c r="CA26" s="3">
        <v>39048.183871866888</v>
      </c>
      <c r="CB26" s="3">
        <v>28256.529916906769</v>
      </c>
      <c r="CC26" s="3">
        <v>0</v>
      </c>
      <c r="CD26" s="3">
        <v>395925.84103248618</v>
      </c>
      <c r="CE26" s="7" t="s">
        <v>120</v>
      </c>
      <c r="CF26" s="2" t="s">
        <v>48</v>
      </c>
      <c r="CG26" s="3">
        <v>1707.8813432098761</v>
      </c>
      <c r="CH26" s="3">
        <v>11516.151342022626</v>
      </c>
      <c r="CI26" s="3">
        <v>0</v>
      </c>
      <c r="CJ26" s="3">
        <v>0</v>
      </c>
      <c r="CK26" s="3">
        <v>13224.032685232502</v>
      </c>
      <c r="CL26" s="7" t="s">
        <v>120</v>
      </c>
      <c r="CM26" s="2" t="s">
        <v>48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7" t="s">
        <v>120</v>
      </c>
      <c r="CT26" s="2" t="s">
        <v>48</v>
      </c>
      <c r="CU26" s="3">
        <v>601123.29227805545</v>
      </c>
      <c r="CV26" s="3">
        <v>204874.25939420098</v>
      </c>
      <c r="CW26" s="3">
        <v>229103.27267554926</v>
      </c>
      <c r="CX26" s="3">
        <v>0</v>
      </c>
      <c r="CY26" s="3">
        <v>1035100.8243478057</v>
      </c>
      <c r="CZ26" s="7" t="s">
        <v>120</v>
      </c>
      <c r="DA26" s="2" t="s">
        <v>48</v>
      </c>
      <c r="DB26" s="3">
        <v>117919.46405225521</v>
      </c>
      <c r="DC26" s="3">
        <v>153201.76334554108</v>
      </c>
      <c r="DD26" s="3">
        <v>957049.0034486932</v>
      </c>
      <c r="DE26" s="3">
        <v>246921.3488277084</v>
      </c>
      <c r="DF26" s="3">
        <v>1475091.5796741978</v>
      </c>
      <c r="DG26" s="7" t="s">
        <v>120</v>
      </c>
      <c r="DH26" s="2" t="s">
        <v>48</v>
      </c>
      <c r="DI26" s="3">
        <v>16830.527224485937</v>
      </c>
      <c r="DJ26" s="3">
        <v>9138.0574850012817</v>
      </c>
      <c r="DK26" s="3">
        <v>49864.464559247237</v>
      </c>
      <c r="DL26" s="3">
        <v>0</v>
      </c>
      <c r="DM26" s="3">
        <v>75833.049268734452</v>
      </c>
      <c r="DN26" s="7" t="s">
        <v>120</v>
      </c>
      <c r="DO26" s="2" t="s">
        <v>48</v>
      </c>
      <c r="DP26" s="3">
        <v>10469.435385343135</v>
      </c>
      <c r="DQ26" s="3">
        <v>255902.26019201826</v>
      </c>
      <c r="DR26" s="3">
        <v>11921.653344472203</v>
      </c>
      <c r="DS26" s="3">
        <v>0</v>
      </c>
      <c r="DT26" s="3">
        <v>278293.34892183362</v>
      </c>
      <c r="DU26" s="7" t="s">
        <v>120</v>
      </c>
      <c r="DV26" s="2" t="s">
        <v>48</v>
      </c>
      <c r="DW26" s="3">
        <v>409080.83758457133</v>
      </c>
      <c r="DX26" s="3">
        <v>732165.74683030113</v>
      </c>
      <c r="DY26" s="3">
        <v>650093.14485617832</v>
      </c>
      <c r="DZ26" s="3">
        <v>0</v>
      </c>
      <c r="EA26" s="3">
        <v>1791339.7292710505</v>
      </c>
      <c r="EB26" s="7" t="s">
        <v>120</v>
      </c>
      <c r="EC26" s="2" t="s">
        <v>48</v>
      </c>
      <c r="ED26" s="3">
        <v>3407154.0219011111</v>
      </c>
      <c r="EE26" s="3">
        <v>1002520.1184167054</v>
      </c>
      <c r="EF26" s="3">
        <v>296816.40068927454</v>
      </c>
      <c r="EG26" s="3">
        <v>0</v>
      </c>
      <c r="EH26" s="3">
        <v>4706490.5410070904</v>
      </c>
    </row>
    <row r="27" spans="1:138" ht="10.199999999999999" customHeight="1" x14ac:dyDescent="0.2">
      <c r="A27" s="7" t="s">
        <v>102</v>
      </c>
      <c r="B27" s="2" t="s">
        <v>30</v>
      </c>
      <c r="C27" s="3">
        <f t="shared" si="4"/>
        <v>1212.5601951360593</v>
      </c>
      <c r="D27" s="3">
        <f t="shared" si="5"/>
        <v>3446875.2301831613</v>
      </c>
      <c r="E27" s="3">
        <f t="shared" si="6"/>
        <v>21837200.145849273</v>
      </c>
      <c r="F27" s="3">
        <f t="shared" si="7"/>
        <v>9760761.5034161881</v>
      </c>
      <c r="G27" s="3">
        <f t="shared" si="8"/>
        <v>190665.87284236087</v>
      </c>
      <c r="H27" s="3">
        <f t="shared" si="9"/>
        <v>10288.389534487849</v>
      </c>
      <c r="I27" s="3">
        <f t="shared" si="10"/>
        <v>595885.58732634119</v>
      </c>
      <c r="J27" s="3">
        <f t="shared" si="11"/>
        <v>6637214.8330372823</v>
      </c>
      <c r="K27" s="3">
        <f t="shared" si="12"/>
        <v>3917050.2521297578</v>
      </c>
      <c r="L27" s="3">
        <f t="shared" si="13"/>
        <v>31002.461910118946</v>
      </c>
      <c r="M27" s="3">
        <f t="shared" si="14"/>
        <v>23158027.100035705</v>
      </c>
      <c r="N27" s="3">
        <f t="shared" si="15"/>
        <v>27895497.1021799</v>
      </c>
      <c r="O27" s="3">
        <f t="shared" si="16"/>
        <v>97481681.038639709</v>
      </c>
      <c r="P27" s="7" t="s">
        <v>102</v>
      </c>
      <c r="Q27" s="2" t="s">
        <v>30</v>
      </c>
      <c r="R27" s="3">
        <f t="shared" si="17"/>
        <v>1212.5601951360593</v>
      </c>
      <c r="S27" s="3">
        <f t="shared" si="17"/>
        <v>3446875.2301831613</v>
      </c>
      <c r="T27" s="3">
        <f t="shared" si="17"/>
        <v>21837200.145849273</v>
      </c>
      <c r="U27" s="3">
        <f t="shared" si="17"/>
        <v>9760761.5034161881</v>
      </c>
      <c r="V27" s="3">
        <f t="shared" si="17"/>
        <v>190665.87284236087</v>
      </c>
      <c r="W27" s="3">
        <f t="shared" si="17"/>
        <v>10288.389534487849</v>
      </c>
      <c r="X27" s="3">
        <f t="shared" si="17"/>
        <v>595885.58732634119</v>
      </c>
      <c r="Y27" s="3">
        <f t="shared" si="17"/>
        <v>6637214.8330372823</v>
      </c>
      <c r="Z27" s="3">
        <f t="shared" si="17"/>
        <v>3917050.2521297578</v>
      </c>
      <c r="AA27" s="3">
        <f t="shared" si="17"/>
        <v>31002.461910118946</v>
      </c>
      <c r="AB27" s="3">
        <f t="shared" si="18"/>
        <v>46428156.836424105</v>
      </c>
      <c r="AC27" s="7" t="s">
        <v>102</v>
      </c>
      <c r="AD27" s="2" t="s">
        <v>30</v>
      </c>
      <c r="AE27" s="3">
        <f t="shared" si="19"/>
        <v>23158027.100035705</v>
      </c>
      <c r="AF27" s="3">
        <f t="shared" si="19"/>
        <v>27895497.1021799</v>
      </c>
      <c r="AG27" s="3">
        <f t="shared" si="20"/>
        <v>51053524.202215604</v>
      </c>
      <c r="AH27" s="7" t="s">
        <v>102</v>
      </c>
      <c r="AI27" s="2" t="s">
        <v>30</v>
      </c>
      <c r="AJ27" s="3">
        <f t="shared" si="21"/>
        <v>16683526.798816482</v>
      </c>
      <c r="AK27" s="3">
        <f t="shared" si="21"/>
        <v>54297446.466249645</v>
      </c>
      <c r="AL27" s="3">
        <f t="shared" si="21"/>
        <v>11098988.640445279</v>
      </c>
      <c r="AM27" s="3">
        <f t="shared" si="21"/>
        <v>15401719.13312831</v>
      </c>
      <c r="AN27" s="3">
        <f t="shared" si="22"/>
        <v>97481681.038639724</v>
      </c>
      <c r="AO27" s="7" t="s">
        <v>102</v>
      </c>
      <c r="AP27" s="2" t="s">
        <v>30</v>
      </c>
      <c r="AQ27" s="3">
        <f t="shared" si="23"/>
        <v>7748133.5283825696</v>
      </c>
      <c r="AR27" s="3">
        <f t="shared" si="23"/>
        <v>19456167.462850992</v>
      </c>
      <c r="AS27" s="3">
        <f t="shared" si="23"/>
        <v>3822136.7120622364</v>
      </c>
      <c r="AT27" s="3">
        <f t="shared" si="23"/>
        <v>15401719.13312831</v>
      </c>
      <c r="AU27" s="3">
        <f t="shared" si="24"/>
        <v>46428156.836424105</v>
      </c>
      <c r="AV27" s="7" t="s">
        <v>102</v>
      </c>
      <c r="AW27" s="2" t="s">
        <v>30</v>
      </c>
      <c r="AX27" s="3">
        <f t="shared" si="25"/>
        <v>8935393.2704339121</v>
      </c>
      <c r="AY27" s="3">
        <f t="shared" si="25"/>
        <v>34841279.003398649</v>
      </c>
      <c r="AZ27" s="3">
        <f t="shared" si="25"/>
        <v>7276851.9283830421</v>
      </c>
      <c r="BA27" s="3">
        <f t="shared" si="25"/>
        <v>0</v>
      </c>
      <c r="BB27" s="3">
        <f t="shared" si="26"/>
        <v>51053524.202215604</v>
      </c>
      <c r="BC27" s="7" t="s">
        <v>102</v>
      </c>
      <c r="BD27" s="2" t="s">
        <v>30</v>
      </c>
      <c r="BE27" s="3">
        <v>1212.5601951360593</v>
      </c>
      <c r="BF27" s="3">
        <v>0</v>
      </c>
      <c r="BG27" s="3">
        <v>0</v>
      </c>
      <c r="BH27" s="3">
        <v>0</v>
      </c>
      <c r="BI27" s="3">
        <v>1212.5601951360593</v>
      </c>
      <c r="BJ27" s="7" t="s">
        <v>102</v>
      </c>
      <c r="BK27" s="2" t="s">
        <v>30</v>
      </c>
      <c r="BL27" s="3">
        <v>29072.226826297778</v>
      </c>
      <c r="BM27" s="3">
        <v>2057.6779068975702</v>
      </c>
      <c r="BN27" s="3">
        <v>0</v>
      </c>
      <c r="BO27" s="3">
        <v>3415745.3254499659</v>
      </c>
      <c r="BP27" s="3">
        <v>3446875.2301831613</v>
      </c>
      <c r="BQ27" s="7" t="s">
        <v>102</v>
      </c>
      <c r="BR27" s="2" t="s">
        <v>30</v>
      </c>
      <c r="BS27" s="3">
        <v>5351708.4091557004</v>
      </c>
      <c r="BT27" s="3">
        <v>10703416.818311401</v>
      </c>
      <c r="BU27" s="3">
        <v>432112.36044848966</v>
      </c>
      <c r="BV27" s="3">
        <v>5349962.5579336816</v>
      </c>
      <c r="BW27" s="3">
        <v>21837200.145849273</v>
      </c>
      <c r="BX27" s="7" t="s">
        <v>102</v>
      </c>
      <c r="BY27" s="2" t="s">
        <v>30</v>
      </c>
      <c r="BZ27" s="3">
        <v>590849.53450774984</v>
      </c>
      <c r="CA27" s="3">
        <v>5790176.0068291798</v>
      </c>
      <c r="CB27" s="3">
        <v>3379735.9620792586</v>
      </c>
      <c r="CC27" s="3">
        <v>0</v>
      </c>
      <c r="CD27" s="3">
        <v>9760761.5034161881</v>
      </c>
      <c r="CE27" s="7" t="s">
        <v>102</v>
      </c>
      <c r="CF27" s="2" t="s">
        <v>30</v>
      </c>
      <c r="CG27" s="3">
        <v>194.21505825492068</v>
      </c>
      <c r="CH27" s="3">
        <v>190471.65778410595</v>
      </c>
      <c r="CI27" s="3">
        <v>0</v>
      </c>
      <c r="CJ27" s="3">
        <v>0</v>
      </c>
      <c r="CK27" s="3">
        <v>190665.87284236087</v>
      </c>
      <c r="CL27" s="7" t="s">
        <v>102</v>
      </c>
      <c r="CM27" s="2" t="s">
        <v>30</v>
      </c>
      <c r="CN27" s="3">
        <v>0</v>
      </c>
      <c r="CO27" s="3">
        <v>0</v>
      </c>
      <c r="CP27" s="3">
        <v>10288.389534487849</v>
      </c>
      <c r="CQ27" s="3">
        <v>0</v>
      </c>
      <c r="CR27" s="3">
        <v>10288.389534487849</v>
      </c>
      <c r="CS27" s="7" t="s">
        <v>102</v>
      </c>
      <c r="CT27" s="2" t="s">
        <v>30</v>
      </c>
      <c r="CU27" s="3">
        <v>559247.91841515829</v>
      </c>
      <c r="CV27" s="3">
        <v>36637.668911182853</v>
      </c>
      <c r="CW27" s="3">
        <v>0</v>
      </c>
      <c r="CX27" s="3">
        <v>0</v>
      </c>
      <c r="CY27" s="3">
        <v>595885.58732634119</v>
      </c>
      <c r="CZ27" s="7" t="s">
        <v>102</v>
      </c>
      <c r="DA27" s="2" t="s">
        <v>30</v>
      </c>
      <c r="DB27" s="3">
        <v>1198120.9254899903</v>
      </c>
      <c r="DC27" s="3">
        <v>2718929.3266397677</v>
      </c>
      <c r="DD27" s="3">
        <v>0</v>
      </c>
      <c r="DE27" s="3">
        <v>0</v>
      </c>
      <c r="DF27" s="3">
        <v>3917050.2521297578</v>
      </c>
      <c r="DG27" s="7" t="s">
        <v>102</v>
      </c>
      <c r="DH27" s="2" t="s">
        <v>30</v>
      </c>
      <c r="DI27" s="3">
        <v>1203.5832926191595</v>
      </c>
      <c r="DJ27" s="3">
        <v>0</v>
      </c>
      <c r="DK27" s="3">
        <v>0</v>
      </c>
      <c r="DL27" s="3">
        <v>6636011.249744663</v>
      </c>
      <c r="DM27" s="3">
        <v>6637214.8330372823</v>
      </c>
      <c r="DN27" s="7" t="s">
        <v>102</v>
      </c>
      <c r="DO27" s="2" t="s">
        <v>30</v>
      </c>
      <c r="DP27" s="3">
        <v>16524.155441662992</v>
      </c>
      <c r="DQ27" s="3">
        <v>14478.306468455952</v>
      </c>
      <c r="DR27" s="3">
        <v>0</v>
      </c>
      <c r="DS27" s="3">
        <v>0</v>
      </c>
      <c r="DT27" s="3">
        <v>31002.461910118946</v>
      </c>
      <c r="DU27" s="7" t="s">
        <v>102</v>
      </c>
      <c r="DV27" s="2" t="s">
        <v>30</v>
      </c>
      <c r="DW27" s="3">
        <v>7073558.7763332659</v>
      </c>
      <c r="DX27" s="3">
        <v>13606816.734670518</v>
      </c>
      <c r="DY27" s="3">
        <v>7215121.591176115</v>
      </c>
      <c r="DZ27" s="3">
        <v>0</v>
      </c>
      <c r="EA27" s="3">
        <v>27895497.1021799</v>
      </c>
      <c r="EB27" s="7" t="s">
        <v>102</v>
      </c>
      <c r="EC27" s="2" t="s">
        <v>30</v>
      </c>
      <c r="ED27" s="3">
        <v>1861834.4941006457</v>
      </c>
      <c r="EE27" s="3">
        <v>21234462.268728133</v>
      </c>
      <c r="EF27" s="3">
        <v>61730.337206927099</v>
      </c>
      <c r="EG27" s="3">
        <v>0</v>
      </c>
      <c r="EH27" s="3">
        <v>23158027.100035705</v>
      </c>
    </row>
    <row r="28" spans="1:138" ht="10.199999999999999" customHeight="1" x14ac:dyDescent="0.2">
      <c r="A28" s="7" t="s">
        <v>98</v>
      </c>
      <c r="B28" s="2" t="s">
        <v>26</v>
      </c>
      <c r="C28" s="3">
        <f t="shared" si="4"/>
        <v>61929.108788533733</v>
      </c>
      <c r="D28" s="3">
        <f t="shared" si="5"/>
        <v>722295.28176313057</v>
      </c>
      <c r="E28" s="3">
        <f t="shared" si="6"/>
        <v>3087545.6992998039</v>
      </c>
      <c r="F28" s="3">
        <f t="shared" si="7"/>
        <v>12149.534083487677</v>
      </c>
      <c r="G28" s="3">
        <f t="shared" si="8"/>
        <v>129289.67646802889</v>
      </c>
      <c r="H28" s="3">
        <f t="shared" si="9"/>
        <v>0</v>
      </c>
      <c r="I28" s="3">
        <f t="shared" si="10"/>
        <v>69575.177333346757</v>
      </c>
      <c r="J28" s="3">
        <f t="shared" si="11"/>
        <v>2137305.1341387103</v>
      </c>
      <c r="K28" s="3">
        <f t="shared" si="12"/>
        <v>1126950.2924031187</v>
      </c>
      <c r="L28" s="3">
        <f t="shared" si="13"/>
        <v>52584474.610832699</v>
      </c>
      <c r="M28" s="3">
        <f t="shared" si="14"/>
        <v>741726.25402673054</v>
      </c>
      <c r="N28" s="3">
        <f t="shared" si="15"/>
        <v>53036431.389029488</v>
      </c>
      <c r="O28" s="3">
        <f t="shared" si="16"/>
        <v>113709672.15816708</v>
      </c>
      <c r="P28" s="7" t="s">
        <v>98</v>
      </c>
      <c r="Q28" s="2" t="s">
        <v>26</v>
      </c>
      <c r="R28" s="3">
        <f t="shared" si="17"/>
        <v>61929.108788533733</v>
      </c>
      <c r="S28" s="3">
        <f t="shared" si="17"/>
        <v>722295.28176313057</v>
      </c>
      <c r="T28" s="3">
        <f t="shared" si="17"/>
        <v>3087545.6992998039</v>
      </c>
      <c r="U28" s="3">
        <f t="shared" si="17"/>
        <v>12149.534083487677</v>
      </c>
      <c r="V28" s="3">
        <f t="shared" si="17"/>
        <v>129289.67646802889</v>
      </c>
      <c r="W28" s="3">
        <f t="shared" si="17"/>
        <v>0</v>
      </c>
      <c r="X28" s="3">
        <f t="shared" si="17"/>
        <v>69575.177333346757</v>
      </c>
      <c r="Y28" s="3">
        <f t="shared" si="17"/>
        <v>2137305.1341387103</v>
      </c>
      <c r="Z28" s="3">
        <f t="shared" si="17"/>
        <v>1126950.2924031187</v>
      </c>
      <c r="AA28" s="3">
        <f t="shared" si="17"/>
        <v>52584474.610832699</v>
      </c>
      <c r="AB28" s="3">
        <f t="shared" si="18"/>
        <v>59931514.515110858</v>
      </c>
      <c r="AC28" s="7" t="s">
        <v>98</v>
      </c>
      <c r="AD28" s="2" t="s">
        <v>26</v>
      </c>
      <c r="AE28" s="3">
        <f t="shared" si="19"/>
        <v>741726.25402673054</v>
      </c>
      <c r="AF28" s="3">
        <f t="shared" si="19"/>
        <v>53036431.389029488</v>
      </c>
      <c r="AG28" s="3">
        <f t="shared" si="20"/>
        <v>53778157.643056221</v>
      </c>
      <c r="AH28" s="7" t="s">
        <v>98</v>
      </c>
      <c r="AI28" s="2" t="s">
        <v>26</v>
      </c>
      <c r="AJ28" s="3">
        <f t="shared" si="21"/>
        <v>1059506.6979467703</v>
      </c>
      <c r="AK28" s="3">
        <f t="shared" si="21"/>
        <v>107011669.74479944</v>
      </c>
      <c r="AL28" s="3">
        <f t="shared" si="21"/>
        <v>2477902.4504262139</v>
      </c>
      <c r="AM28" s="3">
        <f t="shared" si="21"/>
        <v>3160593.2649946674</v>
      </c>
      <c r="AN28" s="3">
        <f t="shared" si="22"/>
        <v>113709672.15816709</v>
      </c>
      <c r="AO28" s="7" t="s">
        <v>98</v>
      </c>
      <c r="AP28" s="2" t="s">
        <v>26</v>
      </c>
      <c r="AQ28" s="3">
        <f t="shared" si="23"/>
        <v>668327.24735537195</v>
      </c>
      <c r="AR28" s="3">
        <f t="shared" si="23"/>
        <v>54711427.753313251</v>
      </c>
      <c r="AS28" s="3">
        <f t="shared" si="23"/>
        <v>1391166.2494475674</v>
      </c>
      <c r="AT28" s="3">
        <f t="shared" si="23"/>
        <v>3160593.2649946674</v>
      </c>
      <c r="AU28" s="3">
        <f t="shared" si="24"/>
        <v>59931514.515110858</v>
      </c>
      <c r="AV28" s="7" t="s">
        <v>98</v>
      </c>
      <c r="AW28" s="2" t="s">
        <v>26</v>
      </c>
      <c r="AX28" s="3">
        <f t="shared" si="25"/>
        <v>391179.4505913984</v>
      </c>
      <c r="AY28" s="3">
        <f t="shared" si="25"/>
        <v>52300241.991486177</v>
      </c>
      <c r="AZ28" s="3">
        <f t="shared" si="25"/>
        <v>1086736.2009786465</v>
      </c>
      <c r="BA28" s="3">
        <f t="shared" si="25"/>
        <v>0</v>
      </c>
      <c r="BB28" s="3">
        <f t="shared" si="26"/>
        <v>53778157.643056221</v>
      </c>
      <c r="BC28" s="7" t="s">
        <v>98</v>
      </c>
      <c r="BD28" s="2" t="s">
        <v>26</v>
      </c>
      <c r="BE28" s="3">
        <v>6765.9128843962844</v>
      </c>
      <c r="BF28" s="3">
        <v>31216.448105356765</v>
      </c>
      <c r="BG28" s="3">
        <v>23946.747798780689</v>
      </c>
      <c r="BH28" s="3">
        <v>0</v>
      </c>
      <c r="BI28" s="3">
        <v>61929.108788533733</v>
      </c>
      <c r="BJ28" s="7" t="s">
        <v>98</v>
      </c>
      <c r="BK28" s="2" t="s">
        <v>26</v>
      </c>
      <c r="BL28" s="3">
        <v>16942.680576033057</v>
      </c>
      <c r="BM28" s="3">
        <v>215265.85125014273</v>
      </c>
      <c r="BN28" s="3">
        <v>416010.34528864227</v>
      </c>
      <c r="BO28" s="3">
        <v>74076.404648312528</v>
      </c>
      <c r="BP28" s="3">
        <v>722295.28176313057</v>
      </c>
      <c r="BQ28" s="7" t="s">
        <v>98</v>
      </c>
      <c r="BR28" s="2" t="s">
        <v>26</v>
      </c>
      <c r="BS28" s="3">
        <v>0</v>
      </c>
      <c r="BT28" s="3">
        <v>1028.8389534487851</v>
      </c>
      <c r="BU28" s="3">
        <v>0</v>
      </c>
      <c r="BV28" s="3">
        <v>3086516.860346355</v>
      </c>
      <c r="BW28" s="3">
        <v>3087545.6992998039</v>
      </c>
      <c r="BX28" s="7" t="s">
        <v>98</v>
      </c>
      <c r="BY28" s="2" t="s">
        <v>26</v>
      </c>
      <c r="BZ28" s="3">
        <v>5673.3690227784027</v>
      </c>
      <c r="CA28" s="3">
        <v>6476.1650607092743</v>
      </c>
      <c r="CB28" s="3">
        <v>0</v>
      </c>
      <c r="CC28" s="3">
        <v>0</v>
      </c>
      <c r="CD28" s="3">
        <v>12149.534083487677</v>
      </c>
      <c r="CE28" s="7" t="s">
        <v>98</v>
      </c>
      <c r="CF28" s="2" t="s">
        <v>26</v>
      </c>
      <c r="CG28" s="3">
        <v>1438.9947719454076</v>
      </c>
      <c r="CH28" s="3">
        <v>113391.19372516999</v>
      </c>
      <c r="CI28" s="3">
        <v>14459.487970913504</v>
      </c>
      <c r="CJ28" s="3">
        <v>0</v>
      </c>
      <c r="CK28" s="3">
        <v>129289.67646802889</v>
      </c>
      <c r="CL28" s="7" t="s">
        <v>98</v>
      </c>
      <c r="CM28" s="2" t="s">
        <v>26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7" t="s">
        <v>98</v>
      </c>
      <c r="CT28" s="2" t="s">
        <v>26</v>
      </c>
      <c r="CU28" s="3">
        <v>21100.451024593433</v>
      </c>
      <c r="CV28" s="3">
        <v>30500.40248444218</v>
      </c>
      <c r="CW28" s="3">
        <v>17974.323824311145</v>
      </c>
      <c r="CX28" s="3">
        <v>0</v>
      </c>
      <c r="CY28" s="3">
        <v>69575.177333346757</v>
      </c>
      <c r="CZ28" s="7" t="s">
        <v>98</v>
      </c>
      <c r="DA28" s="2" t="s">
        <v>26</v>
      </c>
      <c r="DB28" s="3">
        <v>473171.77778690023</v>
      </c>
      <c r="DC28" s="3">
        <v>554209.93271996279</v>
      </c>
      <c r="DD28" s="3">
        <v>99568.581896255695</v>
      </c>
      <c r="DE28" s="3">
        <v>0</v>
      </c>
      <c r="DF28" s="3">
        <v>1126950.2924031187</v>
      </c>
      <c r="DG28" s="7" t="s">
        <v>98</v>
      </c>
      <c r="DH28" s="2" t="s">
        <v>26</v>
      </c>
      <c r="DI28" s="3">
        <v>6335.5015846153783</v>
      </c>
      <c r="DJ28" s="3">
        <v>1381043.2881728879</v>
      </c>
      <c r="DK28" s="3">
        <v>749926.34438120713</v>
      </c>
      <c r="DL28" s="3">
        <v>0</v>
      </c>
      <c r="DM28" s="3">
        <v>2137305.1341387103</v>
      </c>
      <c r="DN28" s="7" t="s">
        <v>98</v>
      </c>
      <c r="DO28" s="2" t="s">
        <v>26</v>
      </c>
      <c r="DP28" s="3">
        <v>136898.55970410979</v>
      </c>
      <c r="DQ28" s="3">
        <v>52378295.632841133</v>
      </c>
      <c r="DR28" s="3">
        <v>69280.41828745704</v>
      </c>
      <c r="DS28" s="3">
        <v>0</v>
      </c>
      <c r="DT28" s="3">
        <v>52584474.610832699</v>
      </c>
      <c r="DU28" s="7" t="s">
        <v>98</v>
      </c>
      <c r="DV28" s="2" t="s">
        <v>26</v>
      </c>
      <c r="DW28" s="3">
        <v>153332.09941575208</v>
      </c>
      <c r="DX28" s="3">
        <v>51910750.772716746</v>
      </c>
      <c r="DY28" s="3">
        <v>972348.51689699048</v>
      </c>
      <c r="DZ28" s="3">
        <v>0</v>
      </c>
      <c r="EA28" s="3">
        <v>53036431.389029488</v>
      </c>
      <c r="EB28" s="7" t="s">
        <v>98</v>
      </c>
      <c r="EC28" s="2" t="s">
        <v>26</v>
      </c>
      <c r="ED28" s="3">
        <v>237847.35117564636</v>
      </c>
      <c r="EE28" s="3">
        <v>389491.21876942832</v>
      </c>
      <c r="EF28" s="3">
        <v>114387.68408165593</v>
      </c>
      <c r="EG28" s="3">
        <v>0</v>
      </c>
      <c r="EH28" s="3">
        <v>741726.25402673054</v>
      </c>
    </row>
    <row r="29" spans="1:138" ht="10.199999999999999" customHeight="1" x14ac:dyDescent="0.2">
      <c r="A29" s="7" t="s">
        <v>93</v>
      </c>
      <c r="B29" s="2" t="s">
        <v>21</v>
      </c>
      <c r="C29" s="3">
        <f t="shared" si="4"/>
        <v>1253.0822174378743</v>
      </c>
      <c r="D29" s="3">
        <f t="shared" si="5"/>
        <v>4766.7795776556604</v>
      </c>
      <c r="E29" s="3">
        <f t="shared" si="6"/>
        <v>0</v>
      </c>
      <c r="F29" s="3">
        <f t="shared" si="7"/>
        <v>14860.580359844655</v>
      </c>
      <c r="G29" s="3">
        <f t="shared" si="8"/>
        <v>0</v>
      </c>
      <c r="H29" s="3">
        <f t="shared" si="9"/>
        <v>0</v>
      </c>
      <c r="I29" s="3">
        <f t="shared" si="10"/>
        <v>4777.2531585609731</v>
      </c>
      <c r="J29" s="3">
        <f t="shared" si="11"/>
        <v>2006.5329169097856</v>
      </c>
      <c r="K29" s="3">
        <f t="shared" si="12"/>
        <v>25264.750796121109</v>
      </c>
      <c r="L29" s="3">
        <f t="shared" si="13"/>
        <v>3290.9642458219614</v>
      </c>
      <c r="M29" s="3">
        <f t="shared" si="14"/>
        <v>2206963.3694576202</v>
      </c>
      <c r="N29" s="3">
        <f t="shared" si="15"/>
        <v>7863.4113062930719</v>
      </c>
      <c r="O29" s="3">
        <f t="shared" si="16"/>
        <v>2271046.7240362656</v>
      </c>
      <c r="P29" s="7" t="s">
        <v>93</v>
      </c>
      <c r="Q29" s="2" t="s">
        <v>21</v>
      </c>
      <c r="R29" s="3">
        <f t="shared" si="17"/>
        <v>1253.0822174378743</v>
      </c>
      <c r="S29" s="3">
        <f t="shared" si="17"/>
        <v>4766.7795776556604</v>
      </c>
      <c r="T29" s="3">
        <f t="shared" si="17"/>
        <v>0</v>
      </c>
      <c r="U29" s="3">
        <f t="shared" si="17"/>
        <v>14860.580359844655</v>
      </c>
      <c r="V29" s="3">
        <f t="shared" si="17"/>
        <v>0</v>
      </c>
      <c r="W29" s="3">
        <f t="shared" si="17"/>
        <v>0</v>
      </c>
      <c r="X29" s="3">
        <f t="shared" si="17"/>
        <v>4777.2531585609731</v>
      </c>
      <c r="Y29" s="3">
        <f t="shared" si="17"/>
        <v>2006.5329169097856</v>
      </c>
      <c r="Z29" s="3">
        <f t="shared" si="17"/>
        <v>25264.750796121109</v>
      </c>
      <c r="AA29" s="3">
        <f t="shared" si="17"/>
        <v>3290.9642458219614</v>
      </c>
      <c r="AB29" s="3">
        <f t="shared" si="18"/>
        <v>56219.943272352015</v>
      </c>
      <c r="AC29" s="7" t="s">
        <v>93</v>
      </c>
      <c r="AD29" s="2" t="s">
        <v>21</v>
      </c>
      <c r="AE29" s="3">
        <f t="shared" si="19"/>
        <v>2206963.3694576202</v>
      </c>
      <c r="AF29" s="3">
        <f t="shared" si="19"/>
        <v>7863.4113062930719</v>
      </c>
      <c r="AG29" s="3">
        <f t="shared" si="20"/>
        <v>2214826.7807639134</v>
      </c>
      <c r="AH29" s="7" t="s">
        <v>93</v>
      </c>
      <c r="AI29" s="2" t="s">
        <v>21</v>
      </c>
      <c r="AJ29" s="3">
        <f t="shared" si="21"/>
        <v>2252181.6204070756</v>
      </c>
      <c r="AK29" s="3">
        <f t="shared" si="21"/>
        <v>17291.961657324897</v>
      </c>
      <c r="AL29" s="3">
        <f t="shared" si="21"/>
        <v>1573.1419718648576</v>
      </c>
      <c r="AM29" s="3">
        <f t="shared" si="21"/>
        <v>0</v>
      </c>
      <c r="AN29" s="3">
        <f t="shared" si="22"/>
        <v>2271046.7240362652</v>
      </c>
      <c r="AO29" s="7" t="s">
        <v>93</v>
      </c>
      <c r="AP29" s="2" t="s">
        <v>21</v>
      </c>
      <c r="AQ29" s="3">
        <f t="shared" si="23"/>
        <v>39391.378744023365</v>
      </c>
      <c r="AR29" s="3">
        <f t="shared" si="23"/>
        <v>16828.564528328658</v>
      </c>
      <c r="AS29" s="3">
        <f t="shared" si="23"/>
        <v>0</v>
      </c>
      <c r="AT29" s="3">
        <f t="shared" si="23"/>
        <v>0</v>
      </c>
      <c r="AU29" s="3">
        <f t="shared" si="24"/>
        <v>56219.943272352022</v>
      </c>
      <c r="AV29" s="7" t="s">
        <v>93</v>
      </c>
      <c r="AW29" s="2" t="s">
        <v>21</v>
      </c>
      <c r="AX29" s="3">
        <f t="shared" si="25"/>
        <v>2212790.2416630522</v>
      </c>
      <c r="AY29" s="3">
        <f t="shared" si="25"/>
        <v>463.39712899624072</v>
      </c>
      <c r="AZ29" s="3">
        <f t="shared" si="25"/>
        <v>1573.1419718648576</v>
      </c>
      <c r="BA29" s="3">
        <f t="shared" si="25"/>
        <v>0</v>
      </c>
      <c r="BB29" s="3">
        <f t="shared" si="26"/>
        <v>2214826.7807639134</v>
      </c>
      <c r="BC29" s="7" t="s">
        <v>93</v>
      </c>
      <c r="BD29" s="2" t="s">
        <v>21</v>
      </c>
      <c r="BE29" s="3">
        <v>0</v>
      </c>
      <c r="BF29" s="3">
        <v>1253.0822174378743</v>
      </c>
      <c r="BG29" s="3">
        <v>0</v>
      </c>
      <c r="BH29" s="3">
        <v>0</v>
      </c>
      <c r="BI29" s="3">
        <v>1253.0822174378743</v>
      </c>
      <c r="BJ29" s="7" t="s">
        <v>93</v>
      </c>
      <c r="BK29" s="2" t="s">
        <v>21</v>
      </c>
      <c r="BL29" s="3">
        <v>3615.4638082644537</v>
      </c>
      <c r="BM29" s="3">
        <v>1151.3157693912069</v>
      </c>
      <c r="BN29" s="3">
        <v>0</v>
      </c>
      <c r="BO29" s="3">
        <v>0</v>
      </c>
      <c r="BP29" s="3">
        <v>4766.7795776556604</v>
      </c>
      <c r="BQ29" s="7" t="s">
        <v>93</v>
      </c>
      <c r="BR29" s="2" t="s">
        <v>21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7" t="s">
        <v>93</v>
      </c>
      <c r="BY29" s="2" t="s">
        <v>21</v>
      </c>
      <c r="BZ29" s="3">
        <v>14723.076098600171</v>
      </c>
      <c r="CA29" s="3">
        <v>137.50426124448381</v>
      </c>
      <c r="CB29" s="3">
        <v>0</v>
      </c>
      <c r="CC29" s="3">
        <v>0</v>
      </c>
      <c r="CD29" s="3">
        <v>14860.580359844655</v>
      </c>
      <c r="CE29" s="7" t="s">
        <v>93</v>
      </c>
      <c r="CF29" s="2" t="s">
        <v>21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7" t="s">
        <v>93</v>
      </c>
      <c r="CM29" s="2" t="s">
        <v>21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7" t="s">
        <v>93</v>
      </c>
      <c r="CT29" s="2" t="s">
        <v>21</v>
      </c>
      <c r="CU29" s="3">
        <v>4649.9257663690469</v>
      </c>
      <c r="CV29" s="3">
        <v>127.32739219192599</v>
      </c>
      <c r="CW29" s="3">
        <v>0</v>
      </c>
      <c r="CX29" s="3">
        <v>0</v>
      </c>
      <c r="CY29" s="3">
        <v>4777.2531585609731</v>
      </c>
      <c r="CZ29" s="7" t="s">
        <v>93</v>
      </c>
      <c r="DA29" s="2" t="s">
        <v>21</v>
      </c>
      <c r="DB29" s="3">
        <v>12685.725455890242</v>
      </c>
      <c r="DC29" s="3">
        <v>12579.025340230866</v>
      </c>
      <c r="DD29" s="3">
        <v>0</v>
      </c>
      <c r="DE29" s="3">
        <v>0</v>
      </c>
      <c r="DF29" s="3">
        <v>25264.750796121109</v>
      </c>
      <c r="DG29" s="7" t="s">
        <v>93</v>
      </c>
      <c r="DH29" s="2" t="s">
        <v>21</v>
      </c>
      <c r="DI29" s="3">
        <v>1878.350978461538</v>
      </c>
      <c r="DJ29" s="3">
        <v>128.18193844824765</v>
      </c>
      <c r="DK29" s="3">
        <v>0</v>
      </c>
      <c r="DL29" s="3">
        <v>0</v>
      </c>
      <c r="DM29" s="3">
        <v>2006.5329169097856</v>
      </c>
      <c r="DN29" s="7" t="s">
        <v>93</v>
      </c>
      <c r="DO29" s="2" t="s">
        <v>21</v>
      </c>
      <c r="DP29" s="3">
        <v>1838.8366364379085</v>
      </c>
      <c r="DQ29" s="3">
        <v>1452.1276093840531</v>
      </c>
      <c r="DR29" s="3">
        <v>0</v>
      </c>
      <c r="DS29" s="3">
        <v>0</v>
      </c>
      <c r="DT29" s="3">
        <v>3290.9642458219614</v>
      </c>
      <c r="DU29" s="7" t="s">
        <v>93</v>
      </c>
      <c r="DV29" s="2" t="s">
        <v>21</v>
      </c>
      <c r="DW29" s="3">
        <v>6814.6499917165002</v>
      </c>
      <c r="DX29" s="3">
        <v>0</v>
      </c>
      <c r="DY29" s="3">
        <v>1048.7613145765717</v>
      </c>
      <c r="DZ29" s="3">
        <v>0</v>
      </c>
      <c r="EA29" s="3">
        <v>7863.4113062930719</v>
      </c>
      <c r="EB29" s="7" t="s">
        <v>93</v>
      </c>
      <c r="EC29" s="2" t="s">
        <v>21</v>
      </c>
      <c r="ED29" s="3">
        <v>2205975.5916713355</v>
      </c>
      <c r="EE29" s="3">
        <v>463.39712899624072</v>
      </c>
      <c r="EF29" s="3">
        <v>524.38065728828587</v>
      </c>
      <c r="EG29" s="3">
        <v>0</v>
      </c>
      <c r="EH29" s="3">
        <v>2206963.3694576202</v>
      </c>
    </row>
    <row r="30" spans="1:138" ht="10.199999999999999" customHeight="1" x14ac:dyDescent="0.2">
      <c r="A30" s="7" t="s">
        <v>115</v>
      </c>
      <c r="B30" s="2" t="s">
        <v>43</v>
      </c>
      <c r="C30" s="3">
        <f t="shared" si="4"/>
        <v>47750.612584417635</v>
      </c>
      <c r="D30" s="3">
        <f t="shared" si="5"/>
        <v>1364.9045864039315</v>
      </c>
      <c r="E30" s="3">
        <f t="shared" si="6"/>
        <v>1253764.3247213499</v>
      </c>
      <c r="F30" s="3">
        <f t="shared" si="7"/>
        <v>2015773.5787405823</v>
      </c>
      <c r="G30" s="3">
        <f t="shared" si="8"/>
        <v>159006.79074835184</v>
      </c>
      <c r="H30" s="3">
        <f t="shared" si="9"/>
        <v>0</v>
      </c>
      <c r="I30" s="3">
        <f t="shared" si="10"/>
        <v>310937.82555414311</v>
      </c>
      <c r="J30" s="3">
        <f t="shared" si="11"/>
        <v>109472.11611374783</v>
      </c>
      <c r="K30" s="3">
        <f t="shared" si="12"/>
        <v>61351.563635370243</v>
      </c>
      <c r="L30" s="3">
        <f t="shared" si="13"/>
        <v>1962726.4689267161</v>
      </c>
      <c r="M30" s="3">
        <f t="shared" si="14"/>
        <v>3953339.4276205692</v>
      </c>
      <c r="N30" s="3">
        <f t="shared" si="15"/>
        <v>35664672.223647639</v>
      </c>
      <c r="O30" s="3">
        <f t="shared" si="16"/>
        <v>45540159.836879291</v>
      </c>
      <c r="P30" s="7" t="s">
        <v>115</v>
      </c>
      <c r="Q30" s="2" t="s">
        <v>43</v>
      </c>
      <c r="R30" s="3">
        <f t="shared" si="17"/>
        <v>47750.612584417635</v>
      </c>
      <c r="S30" s="3">
        <f t="shared" si="17"/>
        <v>1364.9045864039315</v>
      </c>
      <c r="T30" s="3">
        <f t="shared" si="17"/>
        <v>1253764.3247213499</v>
      </c>
      <c r="U30" s="3">
        <f t="shared" si="17"/>
        <v>2015773.5787405823</v>
      </c>
      <c r="V30" s="3">
        <f t="shared" si="17"/>
        <v>159006.79074835184</v>
      </c>
      <c r="W30" s="3">
        <f t="shared" ref="W30:AA41" si="27">H30</f>
        <v>0</v>
      </c>
      <c r="X30" s="3">
        <f t="shared" si="27"/>
        <v>310937.82555414311</v>
      </c>
      <c r="Y30" s="3">
        <f t="shared" si="27"/>
        <v>109472.11611374783</v>
      </c>
      <c r="Z30" s="3">
        <f t="shared" si="27"/>
        <v>61351.563635370243</v>
      </c>
      <c r="AA30" s="3">
        <f t="shared" si="27"/>
        <v>1962726.4689267161</v>
      </c>
      <c r="AB30" s="3">
        <f t="shared" si="18"/>
        <v>5922148.1856110822</v>
      </c>
      <c r="AC30" s="7" t="s">
        <v>115</v>
      </c>
      <c r="AD30" s="2" t="s">
        <v>43</v>
      </c>
      <c r="AE30" s="3">
        <f t="shared" si="19"/>
        <v>3953339.4276205692</v>
      </c>
      <c r="AF30" s="3">
        <f t="shared" si="19"/>
        <v>35664672.223647639</v>
      </c>
      <c r="AG30" s="3">
        <f t="shared" si="20"/>
        <v>39618011.651268207</v>
      </c>
      <c r="AH30" s="7" t="s">
        <v>115</v>
      </c>
      <c r="AI30" s="2" t="s">
        <v>43</v>
      </c>
      <c r="AJ30" s="3">
        <f t="shared" si="21"/>
        <v>560458.63168604765</v>
      </c>
      <c r="AK30" s="3">
        <f t="shared" si="21"/>
        <v>6482006.9732035175</v>
      </c>
      <c r="AL30" s="3">
        <f t="shared" si="21"/>
        <v>38497694.231989719</v>
      </c>
      <c r="AM30" s="3">
        <f t="shared" si="21"/>
        <v>0</v>
      </c>
      <c r="AN30" s="3">
        <f t="shared" si="22"/>
        <v>45540159.836879283</v>
      </c>
      <c r="AO30" s="7" t="s">
        <v>115</v>
      </c>
      <c r="AP30" s="2" t="s">
        <v>43</v>
      </c>
      <c r="AQ30" s="3">
        <f t="shared" si="23"/>
        <v>184945.06559383337</v>
      </c>
      <c r="AR30" s="3">
        <f t="shared" si="23"/>
        <v>3296438.2991706743</v>
      </c>
      <c r="AS30" s="3">
        <f t="shared" si="23"/>
        <v>2440764.8208465753</v>
      </c>
      <c r="AT30" s="3">
        <f t="shared" si="23"/>
        <v>0</v>
      </c>
      <c r="AU30" s="3">
        <f t="shared" si="24"/>
        <v>5922148.1856110832</v>
      </c>
      <c r="AV30" s="7" t="s">
        <v>115</v>
      </c>
      <c r="AW30" s="2" t="s">
        <v>43</v>
      </c>
      <c r="AX30" s="3">
        <f t="shared" si="25"/>
        <v>375513.56609221431</v>
      </c>
      <c r="AY30" s="3">
        <f t="shared" si="25"/>
        <v>3185568.6740328427</v>
      </c>
      <c r="AZ30" s="3">
        <f t="shared" si="25"/>
        <v>36056929.411143146</v>
      </c>
      <c r="BA30" s="3">
        <f t="shared" si="25"/>
        <v>0</v>
      </c>
      <c r="BB30" s="3">
        <f t="shared" si="26"/>
        <v>39618011.651268207</v>
      </c>
      <c r="BC30" s="7" t="s">
        <v>115</v>
      </c>
      <c r="BD30" s="2" t="s">
        <v>43</v>
      </c>
      <c r="BE30" s="3">
        <v>13969.597362983981</v>
      </c>
      <c r="BF30" s="3">
        <v>0</v>
      </c>
      <c r="BG30" s="3">
        <v>33781.015221433656</v>
      </c>
      <c r="BH30" s="3">
        <v>0</v>
      </c>
      <c r="BI30" s="3">
        <v>47750.612584417635</v>
      </c>
      <c r="BJ30" s="7" t="s">
        <v>115</v>
      </c>
      <c r="BK30" s="2" t="s">
        <v>43</v>
      </c>
      <c r="BL30" s="3">
        <v>1364.9045864039315</v>
      </c>
      <c r="BM30" s="3">
        <v>0</v>
      </c>
      <c r="BN30" s="3">
        <v>0</v>
      </c>
      <c r="BO30" s="3">
        <v>0</v>
      </c>
      <c r="BP30" s="3">
        <v>1364.9045864039315</v>
      </c>
      <c r="BQ30" s="7" t="s">
        <v>115</v>
      </c>
      <c r="BR30" s="2" t="s">
        <v>43</v>
      </c>
      <c r="BS30" s="3">
        <v>0</v>
      </c>
      <c r="BT30" s="3">
        <v>0</v>
      </c>
      <c r="BU30" s="3">
        <v>1253764.3247213499</v>
      </c>
      <c r="BV30" s="3">
        <v>0</v>
      </c>
      <c r="BW30" s="3">
        <v>1253764.3247213499</v>
      </c>
      <c r="BX30" s="7" t="s">
        <v>115</v>
      </c>
      <c r="BY30" s="2" t="s">
        <v>43</v>
      </c>
      <c r="BZ30" s="3">
        <v>84733.331131628307</v>
      </c>
      <c r="CA30" s="3">
        <v>1910044.8572289529</v>
      </c>
      <c r="CB30" s="3">
        <v>20995.39038000123</v>
      </c>
      <c r="CC30" s="3">
        <v>0</v>
      </c>
      <c r="CD30" s="3">
        <v>2015773.5787405823</v>
      </c>
      <c r="CE30" s="7" t="s">
        <v>115</v>
      </c>
      <c r="CF30" s="2" t="s">
        <v>43</v>
      </c>
      <c r="CG30" s="3">
        <v>13122.994675032531</v>
      </c>
      <c r="CH30" s="3">
        <v>26592.903368553227</v>
      </c>
      <c r="CI30" s="3">
        <v>119290.89270476607</v>
      </c>
      <c r="CJ30" s="3">
        <v>0</v>
      </c>
      <c r="CK30" s="3">
        <v>159006.79074835184</v>
      </c>
      <c r="CL30" s="7" t="s">
        <v>115</v>
      </c>
      <c r="CM30" s="2" t="s">
        <v>43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7" t="s">
        <v>115</v>
      </c>
      <c r="CT30" s="2" t="s">
        <v>43</v>
      </c>
      <c r="CU30" s="3">
        <v>2314.5804871429223</v>
      </c>
      <c r="CV30" s="3">
        <v>308623.24506700021</v>
      </c>
      <c r="CW30" s="3">
        <v>0</v>
      </c>
      <c r="CX30" s="3">
        <v>0</v>
      </c>
      <c r="CY30" s="3">
        <v>310937.82555414311</v>
      </c>
      <c r="CZ30" s="7" t="s">
        <v>115</v>
      </c>
      <c r="DA30" s="2" t="s">
        <v>43</v>
      </c>
      <c r="DB30" s="3">
        <v>44185.066030014801</v>
      </c>
      <c r="DC30" s="3">
        <v>17088.811582053477</v>
      </c>
      <c r="DD30" s="3">
        <v>77.686023301968262</v>
      </c>
      <c r="DE30" s="3">
        <v>0</v>
      </c>
      <c r="DF30" s="3">
        <v>61351.563635370243</v>
      </c>
      <c r="DG30" s="7" t="s">
        <v>115</v>
      </c>
      <c r="DH30" s="2" t="s">
        <v>43</v>
      </c>
      <c r="DI30" s="3">
        <v>1444.0260016254197</v>
      </c>
      <c r="DJ30" s="3">
        <v>0</v>
      </c>
      <c r="DK30" s="3">
        <v>108028.09011212242</v>
      </c>
      <c r="DL30" s="3">
        <v>0</v>
      </c>
      <c r="DM30" s="3">
        <v>109472.11611374783</v>
      </c>
      <c r="DN30" s="7" t="s">
        <v>115</v>
      </c>
      <c r="DO30" s="2" t="s">
        <v>43</v>
      </c>
      <c r="DP30" s="3">
        <v>23810.565319001445</v>
      </c>
      <c r="DQ30" s="3">
        <v>1034088.4819241144</v>
      </c>
      <c r="DR30" s="3">
        <v>904827.42168360017</v>
      </c>
      <c r="DS30" s="3">
        <v>0</v>
      </c>
      <c r="DT30" s="3">
        <v>1962726.4689267161</v>
      </c>
      <c r="DU30" s="7" t="s">
        <v>115</v>
      </c>
      <c r="DV30" s="2" t="s">
        <v>43</v>
      </c>
      <c r="DW30" s="3">
        <v>41079.142116561175</v>
      </c>
      <c r="DX30" s="3">
        <v>9425.3840538013101</v>
      </c>
      <c r="DY30" s="3">
        <v>35614167.697477274</v>
      </c>
      <c r="DZ30" s="3">
        <v>0</v>
      </c>
      <c r="EA30" s="3">
        <v>35664672.223647639</v>
      </c>
      <c r="EB30" s="7" t="s">
        <v>115</v>
      </c>
      <c r="EC30" s="2" t="s">
        <v>43</v>
      </c>
      <c r="ED30" s="3">
        <v>334434.42397565313</v>
      </c>
      <c r="EE30" s="3">
        <v>3176143.2899790416</v>
      </c>
      <c r="EF30" s="3">
        <v>442761.71366587456</v>
      </c>
      <c r="EG30" s="3">
        <v>0</v>
      </c>
      <c r="EH30" s="3">
        <v>3953339.4276205692</v>
      </c>
    </row>
    <row r="31" spans="1:138" ht="10.199999999999999" customHeight="1" x14ac:dyDescent="0.2">
      <c r="A31" s="7" t="s">
        <v>111</v>
      </c>
      <c r="B31" s="2" t="s">
        <v>39</v>
      </c>
      <c r="C31" s="3">
        <f t="shared" si="4"/>
        <v>20410.802648188375</v>
      </c>
      <c r="D31" s="3">
        <f t="shared" si="5"/>
        <v>10974.337575080997</v>
      </c>
      <c r="E31" s="3">
        <f t="shared" si="6"/>
        <v>111114.60697246877</v>
      </c>
      <c r="F31" s="3">
        <f t="shared" si="7"/>
        <v>863312.05390982574</v>
      </c>
      <c r="G31" s="3">
        <f t="shared" si="8"/>
        <v>872.62812978682666</v>
      </c>
      <c r="H31" s="3">
        <f t="shared" si="9"/>
        <v>0</v>
      </c>
      <c r="I31" s="3">
        <f t="shared" si="10"/>
        <v>11352.995990013796</v>
      </c>
      <c r="J31" s="3">
        <f t="shared" si="11"/>
        <v>513419.40362344543</v>
      </c>
      <c r="K31" s="3">
        <f t="shared" si="12"/>
        <v>4229219.4097470352</v>
      </c>
      <c r="L31" s="3">
        <f t="shared" si="13"/>
        <v>386219.77815389913</v>
      </c>
      <c r="M31" s="3">
        <f t="shared" si="14"/>
        <v>5046087.4480167124</v>
      </c>
      <c r="N31" s="3">
        <f t="shared" si="15"/>
        <v>1364803.887987616</v>
      </c>
      <c r="O31" s="3">
        <f t="shared" si="16"/>
        <v>12557787.352754073</v>
      </c>
      <c r="P31" s="7" t="s">
        <v>111</v>
      </c>
      <c r="Q31" s="2" t="s">
        <v>39</v>
      </c>
      <c r="R31" s="3">
        <f t="shared" ref="R31:V41" si="28">C31</f>
        <v>20410.802648188375</v>
      </c>
      <c r="S31" s="3">
        <f t="shared" si="28"/>
        <v>10974.337575080997</v>
      </c>
      <c r="T31" s="3">
        <f t="shared" si="28"/>
        <v>111114.60697246877</v>
      </c>
      <c r="U31" s="3">
        <f t="shared" si="28"/>
        <v>863312.05390982574</v>
      </c>
      <c r="V31" s="3">
        <f t="shared" si="28"/>
        <v>872.62812978682666</v>
      </c>
      <c r="W31" s="3">
        <f t="shared" si="27"/>
        <v>0</v>
      </c>
      <c r="X31" s="3">
        <f t="shared" si="27"/>
        <v>11352.995990013796</v>
      </c>
      <c r="Y31" s="3">
        <f t="shared" si="27"/>
        <v>513419.40362344543</v>
      </c>
      <c r="Z31" s="3">
        <f t="shared" si="27"/>
        <v>4229219.4097470352</v>
      </c>
      <c r="AA31" s="3">
        <f t="shared" si="27"/>
        <v>386219.77815389913</v>
      </c>
      <c r="AB31" s="3">
        <f t="shared" si="18"/>
        <v>6146896.0167497443</v>
      </c>
      <c r="AC31" s="7" t="s">
        <v>111</v>
      </c>
      <c r="AD31" s="2" t="s">
        <v>39</v>
      </c>
      <c r="AE31" s="3">
        <f t="shared" si="19"/>
        <v>5046087.4480167124</v>
      </c>
      <c r="AF31" s="3">
        <f t="shared" si="19"/>
        <v>1364803.887987616</v>
      </c>
      <c r="AG31" s="3">
        <f t="shared" si="20"/>
        <v>6410891.336004328</v>
      </c>
      <c r="AH31" s="7" t="s">
        <v>111</v>
      </c>
      <c r="AI31" s="2" t="s">
        <v>39</v>
      </c>
      <c r="AJ31" s="3">
        <f t="shared" si="21"/>
        <v>9863861.1728392579</v>
      </c>
      <c r="AK31" s="3">
        <f t="shared" si="21"/>
        <v>1842047.526459221</v>
      </c>
      <c r="AL31" s="3">
        <f t="shared" si="21"/>
        <v>0</v>
      </c>
      <c r="AM31" s="3">
        <f t="shared" si="21"/>
        <v>851878.65345559397</v>
      </c>
      <c r="AN31" s="3">
        <f t="shared" si="22"/>
        <v>12557787.352754073</v>
      </c>
      <c r="AO31" s="7" t="s">
        <v>111</v>
      </c>
      <c r="AP31" s="2" t="s">
        <v>39</v>
      </c>
      <c r="AQ31" s="3">
        <f t="shared" si="23"/>
        <v>4265451.6684044991</v>
      </c>
      <c r="AR31" s="3">
        <f t="shared" si="23"/>
        <v>1770329.741372776</v>
      </c>
      <c r="AS31" s="3">
        <f t="shared" si="23"/>
        <v>0</v>
      </c>
      <c r="AT31" s="3">
        <f t="shared" si="23"/>
        <v>111114.60697246877</v>
      </c>
      <c r="AU31" s="3">
        <f t="shared" si="24"/>
        <v>6146896.0167497443</v>
      </c>
      <c r="AV31" s="7" t="s">
        <v>111</v>
      </c>
      <c r="AW31" s="2" t="s">
        <v>39</v>
      </c>
      <c r="AX31" s="3">
        <f t="shared" si="25"/>
        <v>5598409.5044347588</v>
      </c>
      <c r="AY31" s="3">
        <f t="shared" si="25"/>
        <v>71717.785086445088</v>
      </c>
      <c r="AZ31" s="3">
        <f t="shared" si="25"/>
        <v>0</v>
      </c>
      <c r="BA31" s="3">
        <f t="shared" si="25"/>
        <v>740764.04648312519</v>
      </c>
      <c r="BB31" s="3">
        <f t="shared" si="26"/>
        <v>6410891.3360043298</v>
      </c>
      <c r="BC31" s="7" t="s">
        <v>111</v>
      </c>
      <c r="BD31" s="2" t="s">
        <v>39</v>
      </c>
      <c r="BE31" s="3">
        <v>13896.521173929346</v>
      </c>
      <c r="BF31" s="3">
        <v>6514.2814742590299</v>
      </c>
      <c r="BG31" s="3">
        <v>0</v>
      </c>
      <c r="BH31" s="3">
        <v>0</v>
      </c>
      <c r="BI31" s="3">
        <v>20410.802648188375</v>
      </c>
      <c r="BJ31" s="7" t="s">
        <v>111</v>
      </c>
      <c r="BK31" s="2" t="s">
        <v>39</v>
      </c>
      <c r="BL31" s="3">
        <v>10974.337575080997</v>
      </c>
      <c r="BM31" s="3">
        <v>0</v>
      </c>
      <c r="BN31" s="3">
        <v>0</v>
      </c>
      <c r="BO31" s="3">
        <v>0</v>
      </c>
      <c r="BP31" s="3">
        <v>10974.337575080997</v>
      </c>
      <c r="BQ31" s="7" t="s">
        <v>111</v>
      </c>
      <c r="BR31" s="2" t="s">
        <v>39</v>
      </c>
      <c r="BS31" s="3">
        <v>0</v>
      </c>
      <c r="BT31" s="3">
        <v>0</v>
      </c>
      <c r="BU31" s="3">
        <v>0</v>
      </c>
      <c r="BV31" s="3">
        <v>111114.60697246877</v>
      </c>
      <c r="BW31" s="3">
        <v>111114.60697246877</v>
      </c>
      <c r="BX31" s="7" t="s">
        <v>111</v>
      </c>
      <c r="BY31" s="2" t="s">
        <v>39</v>
      </c>
      <c r="BZ31" s="3">
        <v>844346.18358211243</v>
      </c>
      <c r="CA31" s="3">
        <v>18965.870327713372</v>
      </c>
      <c r="CB31" s="3">
        <v>0</v>
      </c>
      <c r="CC31" s="3">
        <v>0</v>
      </c>
      <c r="CD31" s="3">
        <v>863312.05390982574</v>
      </c>
      <c r="CE31" s="7" t="s">
        <v>111</v>
      </c>
      <c r="CF31" s="2" t="s">
        <v>39</v>
      </c>
      <c r="CG31" s="3">
        <v>872.62812978682666</v>
      </c>
      <c r="CH31" s="3">
        <v>0</v>
      </c>
      <c r="CI31" s="3">
        <v>0</v>
      </c>
      <c r="CJ31" s="3">
        <v>0</v>
      </c>
      <c r="CK31" s="3">
        <v>872.62812978682666</v>
      </c>
      <c r="CL31" s="7" t="s">
        <v>111</v>
      </c>
      <c r="CM31" s="2" t="s">
        <v>39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7" t="s">
        <v>111</v>
      </c>
      <c r="CT31" s="2" t="s">
        <v>39</v>
      </c>
      <c r="CU31" s="3">
        <v>11352.995990013796</v>
      </c>
      <c r="CV31" s="3">
        <v>0</v>
      </c>
      <c r="CW31" s="3">
        <v>0</v>
      </c>
      <c r="CX31" s="3">
        <v>0</v>
      </c>
      <c r="CY31" s="3">
        <v>11352.995990013796</v>
      </c>
      <c r="CZ31" s="7" t="s">
        <v>111</v>
      </c>
      <c r="DA31" s="2" t="s">
        <v>39</v>
      </c>
      <c r="DB31" s="3">
        <v>2603399.418009467</v>
      </c>
      <c r="DC31" s="3">
        <v>1625819.9917375681</v>
      </c>
      <c r="DD31" s="3">
        <v>0</v>
      </c>
      <c r="DE31" s="3">
        <v>0</v>
      </c>
      <c r="DF31" s="3">
        <v>4229219.4097470352</v>
      </c>
      <c r="DG31" s="7" t="s">
        <v>111</v>
      </c>
      <c r="DH31" s="2" t="s">
        <v>39</v>
      </c>
      <c r="DI31" s="3">
        <v>403136.1176850326</v>
      </c>
      <c r="DJ31" s="3">
        <v>110283.28593841281</v>
      </c>
      <c r="DK31" s="3">
        <v>0</v>
      </c>
      <c r="DL31" s="3">
        <v>0</v>
      </c>
      <c r="DM31" s="3">
        <v>513419.40362344543</v>
      </c>
      <c r="DN31" s="7" t="s">
        <v>111</v>
      </c>
      <c r="DO31" s="2" t="s">
        <v>39</v>
      </c>
      <c r="DP31" s="3">
        <v>377473.46625907655</v>
      </c>
      <c r="DQ31" s="3">
        <v>8746.3118948225892</v>
      </c>
      <c r="DR31" s="3">
        <v>0</v>
      </c>
      <c r="DS31" s="3">
        <v>0</v>
      </c>
      <c r="DT31" s="3">
        <v>386219.77815389913</v>
      </c>
      <c r="DU31" s="7" t="s">
        <v>111</v>
      </c>
      <c r="DV31" s="2" t="s">
        <v>39</v>
      </c>
      <c r="DW31" s="3">
        <v>552322.05641804589</v>
      </c>
      <c r="DX31" s="3">
        <v>71717.785086445088</v>
      </c>
      <c r="DY31" s="3">
        <v>0</v>
      </c>
      <c r="DZ31" s="3">
        <v>740764.04648312519</v>
      </c>
      <c r="EA31" s="3">
        <v>1364803.887987616</v>
      </c>
      <c r="EB31" s="7" t="s">
        <v>111</v>
      </c>
      <c r="EC31" s="2" t="s">
        <v>39</v>
      </c>
      <c r="ED31" s="3">
        <v>5046087.4480167124</v>
      </c>
      <c r="EE31" s="3">
        <v>0</v>
      </c>
      <c r="EF31" s="3">
        <v>0</v>
      </c>
      <c r="EG31" s="3">
        <v>0</v>
      </c>
      <c r="EH31" s="3">
        <v>5046087.4480167124</v>
      </c>
    </row>
    <row r="32" spans="1:138" ht="10.199999999999999" customHeight="1" x14ac:dyDescent="0.2">
      <c r="A32" s="7" t="s">
        <v>118</v>
      </c>
      <c r="B32" s="2" t="s">
        <v>46</v>
      </c>
      <c r="C32" s="3">
        <f t="shared" si="4"/>
        <v>4419.2820779955418</v>
      </c>
      <c r="D32" s="3">
        <f t="shared" si="5"/>
        <v>0</v>
      </c>
      <c r="E32" s="3">
        <f t="shared" si="6"/>
        <v>695906.6681127582</v>
      </c>
      <c r="F32" s="3">
        <f t="shared" si="7"/>
        <v>4273.6665556957023</v>
      </c>
      <c r="G32" s="3">
        <f t="shared" si="8"/>
        <v>193.40499001984637</v>
      </c>
      <c r="H32" s="3">
        <f t="shared" si="9"/>
        <v>0</v>
      </c>
      <c r="I32" s="3">
        <f t="shared" si="10"/>
        <v>0</v>
      </c>
      <c r="J32" s="3">
        <f t="shared" si="11"/>
        <v>6433191.6797407474</v>
      </c>
      <c r="K32" s="3">
        <f t="shared" si="12"/>
        <v>1179020.4671161969</v>
      </c>
      <c r="L32" s="3">
        <f t="shared" si="13"/>
        <v>109025.54298956494</v>
      </c>
      <c r="M32" s="3">
        <f t="shared" si="14"/>
        <v>0</v>
      </c>
      <c r="N32" s="3">
        <f t="shared" si="15"/>
        <v>3330.852903056018</v>
      </c>
      <c r="O32" s="3">
        <f t="shared" si="16"/>
        <v>8429361.5644860342</v>
      </c>
      <c r="P32" s="7" t="s">
        <v>118</v>
      </c>
      <c r="Q32" s="2" t="s">
        <v>46</v>
      </c>
      <c r="R32" s="3">
        <f t="shared" si="28"/>
        <v>4419.2820779955418</v>
      </c>
      <c r="S32" s="3">
        <f t="shared" si="28"/>
        <v>0</v>
      </c>
      <c r="T32" s="3">
        <f t="shared" si="28"/>
        <v>695906.6681127582</v>
      </c>
      <c r="U32" s="3">
        <f t="shared" si="28"/>
        <v>4273.6665556957023</v>
      </c>
      <c r="V32" s="3">
        <f t="shared" si="28"/>
        <v>193.40499001984637</v>
      </c>
      <c r="W32" s="3">
        <f t="shared" si="27"/>
        <v>0</v>
      </c>
      <c r="X32" s="3">
        <f t="shared" si="27"/>
        <v>0</v>
      </c>
      <c r="Y32" s="3">
        <f t="shared" si="27"/>
        <v>6433191.6797407474</v>
      </c>
      <c r="Z32" s="3">
        <f t="shared" si="27"/>
        <v>1179020.4671161969</v>
      </c>
      <c r="AA32" s="3">
        <f t="shared" si="27"/>
        <v>109025.54298956494</v>
      </c>
      <c r="AB32" s="3">
        <f t="shared" si="18"/>
        <v>8426030.7115829773</v>
      </c>
      <c r="AC32" s="7" t="s">
        <v>118</v>
      </c>
      <c r="AD32" s="2" t="s">
        <v>46</v>
      </c>
      <c r="AE32" s="3">
        <f t="shared" si="19"/>
        <v>0</v>
      </c>
      <c r="AF32" s="3">
        <f t="shared" si="19"/>
        <v>3330.852903056018</v>
      </c>
      <c r="AG32" s="3">
        <f t="shared" si="20"/>
        <v>3330.852903056018</v>
      </c>
      <c r="AH32" s="7" t="s">
        <v>118</v>
      </c>
      <c r="AI32" s="2" t="s">
        <v>46</v>
      </c>
      <c r="AJ32" s="3">
        <f t="shared" si="21"/>
        <v>6495183.0902158134</v>
      </c>
      <c r="AK32" s="3">
        <f t="shared" si="21"/>
        <v>60067.042285936732</v>
      </c>
      <c r="AL32" s="3">
        <f t="shared" si="21"/>
        <v>485611.98602782656</v>
      </c>
      <c r="AM32" s="3">
        <f t="shared" si="21"/>
        <v>1388499.4459564579</v>
      </c>
      <c r="AN32" s="3">
        <f t="shared" si="22"/>
        <v>8429361.5644860342</v>
      </c>
      <c r="AO32" s="7" t="s">
        <v>118</v>
      </c>
      <c r="AP32" s="2" t="s">
        <v>46</v>
      </c>
      <c r="AQ32" s="3">
        <f t="shared" si="23"/>
        <v>6491854.17946334</v>
      </c>
      <c r="AR32" s="3">
        <f t="shared" si="23"/>
        <v>60065.10013535418</v>
      </c>
      <c r="AS32" s="3">
        <f t="shared" si="23"/>
        <v>485611.98602782656</v>
      </c>
      <c r="AT32" s="3">
        <f t="shared" si="23"/>
        <v>1388499.4459564579</v>
      </c>
      <c r="AU32" s="3">
        <f t="shared" si="24"/>
        <v>8426030.7115829792</v>
      </c>
      <c r="AV32" s="7" t="s">
        <v>118</v>
      </c>
      <c r="AW32" s="2" t="s">
        <v>46</v>
      </c>
      <c r="AX32" s="3">
        <f t="shared" si="25"/>
        <v>3328.9107524734686</v>
      </c>
      <c r="AY32" s="3">
        <f t="shared" si="25"/>
        <v>1.9421505825492067</v>
      </c>
      <c r="AZ32" s="3">
        <f t="shared" si="25"/>
        <v>0</v>
      </c>
      <c r="BA32" s="3">
        <f t="shared" si="25"/>
        <v>0</v>
      </c>
      <c r="BB32" s="3">
        <f t="shared" si="26"/>
        <v>3330.852903056018</v>
      </c>
      <c r="BC32" s="7" t="s">
        <v>118</v>
      </c>
      <c r="BD32" s="2" t="s">
        <v>46</v>
      </c>
      <c r="BE32" s="3">
        <v>2020.9336585601134</v>
      </c>
      <c r="BF32" s="3">
        <v>2398.3484194354287</v>
      </c>
      <c r="BG32" s="3">
        <v>0</v>
      </c>
      <c r="BH32" s="3">
        <v>0</v>
      </c>
      <c r="BI32" s="3">
        <v>4419.2820779955418</v>
      </c>
      <c r="BJ32" s="7" t="s">
        <v>118</v>
      </c>
      <c r="BK32" s="2" t="s">
        <v>46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7" t="s">
        <v>118</v>
      </c>
      <c r="BR32" s="2" t="s">
        <v>46</v>
      </c>
      <c r="BS32" s="3">
        <v>0</v>
      </c>
      <c r="BT32" s="3">
        <v>0</v>
      </c>
      <c r="BU32" s="3">
        <v>0</v>
      </c>
      <c r="BV32" s="3">
        <v>695906.6681127582</v>
      </c>
      <c r="BW32" s="3">
        <v>695906.6681127582</v>
      </c>
      <c r="BX32" s="7" t="s">
        <v>118</v>
      </c>
      <c r="BY32" s="2" t="s">
        <v>46</v>
      </c>
      <c r="BZ32" s="3">
        <v>4273.6665556957023</v>
      </c>
      <c r="CA32" s="3">
        <v>0</v>
      </c>
      <c r="CB32" s="3">
        <v>0</v>
      </c>
      <c r="CC32" s="3">
        <v>0</v>
      </c>
      <c r="CD32" s="3">
        <v>4273.6665556957023</v>
      </c>
      <c r="CE32" s="7" t="s">
        <v>118</v>
      </c>
      <c r="CF32" s="2" t="s">
        <v>46</v>
      </c>
      <c r="CG32" s="3">
        <v>166.21488186415746</v>
      </c>
      <c r="CH32" s="3">
        <v>27.190108155688893</v>
      </c>
      <c r="CI32" s="3">
        <v>0</v>
      </c>
      <c r="CJ32" s="3">
        <v>0</v>
      </c>
      <c r="CK32" s="3">
        <v>193.40499001984637</v>
      </c>
      <c r="CL32" s="7" t="s">
        <v>118</v>
      </c>
      <c r="CM32" s="2" t="s">
        <v>46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7" t="s">
        <v>118</v>
      </c>
      <c r="CT32" s="2" t="s">
        <v>46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7" t="s">
        <v>118</v>
      </c>
      <c r="DA32" s="2" t="s">
        <v>46</v>
      </c>
      <c r="DB32" s="3">
        <v>0</v>
      </c>
      <c r="DC32" s="3">
        <v>815.70324467066689</v>
      </c>
      <c r="DD32" s="3">
        <v>485611.98602782656</v>
      </c>
      <c r="DE32" s="3">
        <v>692592.77784369967</v>
      </c>
      <c r="DF32" s="3">
        <v>1179020.4671161969</v>
      </c>
      <c r="DG32" s="7" t="s">
        <v>118</v>
      </c>
      <c r="DH32" s="2" t="s">
        <v>46</v>
      </c>
      <c r="DI32" s="3">
        <v>6433191.6797407474</v>
      </c>
      <c r="DJ32" s="3">
        <v>0</v>
      </c>
      <c r="DK32" s="3">
        <v>0</v>
      </c>
      <c r="DL32" s="3">
        <v>0</v>
      </c>
      <c r="DM32" s="3">
        <v>6433191.6797407474</v>
      </c>
      <c r="DN32" s="7" t="s">
        <v>118</v>
      </c>
      <c r="DO32" s="2" t="s">
        <v>46</v>
      </c>
      <c r="DP32" s="3">
        <v>52201.684626472539</v>
      </c>
      <c r="DQ32" s="3">
        <v>56823.858363092397</v>
      </c>
      <c r="DR32" s="3">
        <v>0</v>
      </c>
      <c r="DS32" s="3">
        <v>0</v>
      </c>
      <c r="DT32" s="3">
        <v>109025.54298956494</v>
      </c>
      <c r="DU32" s="7" t="s">
        <v>118</v>
      </c>
      <c r="DV32" s="2" t="s">
        <v>46</v>
      </c>
      <c r="DW32" s="3">
        <v>3328.9107524734686</v>
      </c>
      <c r="DX32" s="3">
        <v>1.9421505825492067</v>
      </c>
      <c r="DY32" s="3">
        <v>0</v>
      </c>
      <c r="DZ32" s="3">
        <v>0</v>
      </c>
      <c r="EA32" s="3">
        <v>3330.852903056018</v>
      </c>
      <c r="EB32" s="7" t="s">
        <v>118</v>
      </c>
      <c r="EC32" s="2" t="s">
        <v>46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</row>
    <row r="33" spans="1:138" ht="10.199999999999999" customHeight="1" x14ac:dyDescent="0.2">
      <c r="A33" s="7" t="s">
        <v>124</v>
      </c>
      <c r="B33" s="2" t="s">
        <v>52</v>
      </c>
      <c r="C33" s="3">
        <f t="shared" si="4"/>
        <v>0</v>
      </c>
      <c r="D33" s="3">
        <f t="shared" si="5"/>
        <v>1775.6235454657356</v>
      </c>
      <c r="E33" s="3">
        <f t="shared" si="6"/>
        <v>0</v>
      </c>
      <c r="F33" s="3">
        <f t="shared" si="7"/>
        <v>239724.25733845585</v>
      </c>
      <c r="G33" s="3">
        <f t="shared" si="8"/>
        <v>1610142.3029138427</v>
      </c>
      <c r="H33" s="3">
        <f t="shared" si="9"/>
        <v>15432584.301731775</v>
      </c>
      <c r="I33" s="3">
        <f t="shared" si="10"/>
        <v>18.644645592472386</v>
      </c>
      <c r="J33" s="3">
        <f t="shared" si="11"/>
        <v>180.54231815377426</v>
      </c>
      <c r="K33" s="3">
        <f t="shared" si="12"/>
        <v>0</v>
      </c>
      <c r="L33" s="3">
        <f t="shared" si="13"/>
        <v>1356912.0458935855</v>
      </c>
      <c r="M33" s="3">
        <f t="shared" si="14"/>
        <v>856181.22678442812</v>
      </c>
      <c r="N33" s="3">
        <f t="shared" si="15"/>
        <v>111778.14209321201</v>
      </c>
      <c r="O33" s="3">
        <f t="shared" si="16"/>
        <v>19609297.087264512</v>
      </c>
      <c r="P33" s="7" t="s">
        <v>124</v>
      </c>
      <c r="Q33" s="2" t="s">
        <v>52</v>
      </c>
      <c r="R33" s="3">
        <f t="shared" si="28"/>
        <v>0</v>
      </c>
      <c r="S33" s="3">
        <f t="shared" si="28"/>
        <v>1775.6235454657356</v>
      </c>
      <c r="T33" s="3">
        <f t="shared" si="28"/>
        <v>0</v>
      </c>
      <c r="U33" s="3">
        <f t="shared" si="28"/>
        <v>239724.25733845585</v>
      </c>
      <c r="V33" s="3">
        <f t="shared" si="28"/>
        <v>1610142.3029138427</v>
      </c>
      <c r="W33" s="3">
        <f t="shared" si="27"/>
        <v>15432584.301731775</v>
      </c>
      <c r="X33" s="3">
        <f t="shared" si="27"/>
        <v>18.644645592472386</v>
      </c>
      <c r="Y33" s="3">
        <f t="shared" si="27"/>
        <v>180.54231815377426</v>
      </c>
      <c r="Z33" s="3">
        <f t="shared" si="27"/>
        <v>0</v>
      </c>
      <c r="AA33" s="3">
        <f t="shared" si="27"/>
        <v>1356912.0458935855</v>
      </c>
      <c r="AB33" s="3">
        <f t="shared" si="18"/>
        <v>18641337.718386874</v>
      </c>
      <c r="AC33" s="7" t="s">
        <v>124</v>
      </c>
      <c r="AD33" s="2" t="s">
        <v>52</v>
      </c>
      <c r="AE33" s="3">
        <f t="shared" si="19"/>
        <v>856181.22678442812</v>
      </c>
      <c r="AF33" s="3">
        <f t="shared" si="19"/>
        <v>111778.14209321201</v>
      </c>
      <c r="AG33" s="3">
        <f t="shared" si="20"/>
        <v>967959.36887764011</v>
      </c>
      <c r="AH33" s="7" t="s">
        <v>124</v>
      </c>
      <c r="AI33" s="2" t="s">
        <v>52</v>
      </c>
      <c r="AJ33" s="3">
        <f t="shared" si="21"/>
        <v>3140037.3297586907</v>
      </c>
      <c r="AK33" s="3">
        <f t="shared" si="21"/>
        <v>25769.012640808454</v>
      </c>
      <c r="AL33" s="3">
        <f t="shared" si="21"/>
        <v>15583281.114545392</v>
      </c>
      <c r="AM33" s="3">
        <f t="shared" si="21"/>
        <v>860209.6303196199</v>
      </c>
      <c r="AN33" s="3">
        <f t="shared" si="22"/>
        <v>19609297.087264512</v>
      </c>
      <c r="AO33" s="7" t="s">
        <v>124</v>
      </c>
      <c r="AP33" s="2" t="s">
        <v>52</v>
      </c>
      <c r="AQ33" s="3">
        <f t="shared" si="23"/>
        <v>2319288.8051985078</v>
      </c>
      <c r="AR33" s="3">
        <f t="shared" si="23"/>
        <v>2296.6196329584768</v>
      </c>
      <c r="AS33" s="3">
        <f t="shared" si="23"/>
        <v>15459542.663235785</v>
      </c>
      <c r="AT33" s="3">
        <f t="shared" si="23"/>
        <v>860209.6303196199</v>
      </c>
      <c r="AU33" s="3">
        <f t="shared" si="24"/>
        <v>18641337.718386874</v>
      </c>
      <c r="AV33" s="7" t="s">
        <v>124</v>
      </c>
      <c r="AW33" s="2" t="s">
        <v>52</v>
      </c>
      <c r="AX33" s="3">
        <f t="shared" si="25"/>
        <v>820748.52456018294</v>
      </c>
      <c r="AY33" s="3">
        <f t="shared" si="25"/>
        <v>23472.393007849976</v>
      </c>
      <c r="AZ33" s="3">
        <f t="shared" si="25"/>
        <v>123738.45130960722</v>
      </c>
      <c r="BA33" s="3">
        <f t="shared" si="25"/>
        <v>0</v>
      </c>
      <c r="BB33" s="3">
        <f t="shared" si="26"/>
        <v>967959.36887764011</v>
      </c>
      <c r="BC33" s="7" t="s">
        <v>124</v>
      </c>
      <c r="BD33" s="2" t="s">
        <v>52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7" t="s">
        <v>124</v>
      </c>
      <c r="BK33" s="2" t="s">
        <v>52</v>
      </c>
      <c r="BL33" s="3">
        <v>1744.8598802381562</v>
      </c>
      <c r="BM33" s="3">
        <v>0</v>
      </c>
      <c r="BN33" s="3">
        <v>30.763665227579434</v>
      </c>
      <c r="BO33" s="3">
        <v>0</v>
      </c>
      <c r="BP33" s="3">
        <v>1775.6235454657356</v>
      </c>
      <c r="BQ33" s="7" t="s">
        <v>124</v>
      </c>
      <c r="BR33" s="2" t="s">
        <v>52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7" t="s">
        <v>124</v>
      </c>
      <c r="BY33" s="2" t="s">
        <v>52</v>
      </c>
      <c r="BZ33" s="3">
        <v>238037.24899235764</v>
      </c>
      <c r="CA33" s="3">
        <v>0</v>
      </c>
      <c r="CB33" s="3">
        <v>1687.0083460982046</v>
      </c>
      <c r="CC33" s="3">
        <v>0</v>
      </c>
      <c r="CD33" s="3">
        <v>239724.25733845585</v>
      </c>
      <c r="CE33" s="7" t="s">
        <v>124</v>
      </c>
      <c r="CF33" s="2" t="s">
        <v>52</v>
      </c>
      <c r="CG33" s="3">
        <v>749932.67259422294</v>
      </c>
      <c r="CH33" s="3">
        <v>0</v>
      </c>
      <c r="CI33" s="3">
        <v>0</v>
      </c>
      <c r="CJ33" s="3">
        <v>860209.6303196199</v>
      </c>
      <c r="CK33" s="3">
        <v>1610142.3029138427</v>
      </c>
      <c r="CL33" s="7" t="s">
        <v>124</v>
      </c>
      <c r="CM33" s="2" t="s">
        <v>52</v>
      </c>
      <c r="CN33" s="3">
        <v>0</v>
      </c>
      <c r="CO33" s="3">
        <v>0</v>
      </c>
      <c r="CP33" s="3">
        <v>15432584.301731775</v>
      </c>
      <c r="CQ33" s="3">
        <v>0</v>
      </c>
      <c r="CR33" s="3">
        <v>15432584.301731775</v>
      </c>
      <c r="CS33" s="7" t="s">
        <v>124</v>
      </c>
      <c r="CT33" s="2" t="s">
        <v>52</v>
      </c>
      <c r="CU33" s="3">
        <v>18.644645592472386</v>
      </c>
      <c r="CV33" s="3">
        <v>0</v>
      </c>
      <c r="CW33" s="3">
        <v>0</v>
      </c>
      <c r="CX33" s="3">
        <v>0</v>
      </c>
      <c r="CY33" s="3">
        <v>18.644645592472386</v>
      </c>
      <c r="CZ33" s="7" t="s">
        <v>124</v>
      </c>
      <c r="DA33" s="2" t="s">
        <v>52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7" t="s">
        <v>124</v>
      </c>
      <c r="DH33" s="2" t="s">
        <v>52</v>
      </c>
      <c r="DI33" s="3">
        <v>143.25302696882949</v>
      </c>
      <c r="DJ33" s="3">
        <v>37.289291184944773</v>
      </c>
      <c r="DK33" s="3">
        <v>0</v>
      </c>
      <c r="DL33" s="3">
        <v>0</v>
      </c>
      <c r="DM33" s="3">
        <v>180.54231815377426</v>
      </c>
      <c r="DN33" s="7" t="s">
        <v>124</v>
      </c>
      <c r="DO33" s="2" t="s">
        <v>52</v>
      </c>
      <c r="DP33" s="3">
        <v>1329412.1260591277</v>
      </c>
      <c r="DQ33" s="3">
        <v>2259.3303417735319</v>
      </c>
      <c r="DR33" s="3">
        <v>25240.589492684176</v>
      </c>
      <c r="DS33" s="3">
        <v>0</v>
      </c>
      <c r="DT33" s="3">
        <v>1356912.0458935855</v>
      </c>
      <c r="DU33" s="7" t="s">
        <v>124</v>
      </c>
      <c r="DV33" s="2" t="s">
        <v>52</v>
      </c>
      <c r="DW33" s="3">
        <v>4402.5792597087375</v>
      </c>
      <c r="DX33" s="3">
        <v>0</v>
      </c>
      <c r="DY33" s="3">
        <v>107375.56283350327</v>
      </c>
      <c r="DZ33" s="3">
        <v>0</v>
      </c>
      <c r="EA33" s="3">
        <v>111778.14209321201</v>
      </c>
      <c r="EB33" s="7" t="s">
        <v>124</v>
      </c>
      <c r="EC33" s="2" t="s">
        <v>52</v>
      </c>
      <c r="ED33" s="3">
        <v>816345.94530047418</v>
      </c>
      <c r="EE33" s="3">
        <v>23472.393007849976</v>
      </c>
      <c r="EF33" s="3">
        <v>16362.888476103959</v>
      </c>
      <c r="EG33" s="3">
        <v>0</v>
      </c>
      <c r="EH33" s="3">
        <v>856181.22678442812</v>
      </c>
    </row>
    <row r="34" spans="1:138" ht="10.199999999999999" customHeight="1" x14ac:dyDescent="0.2">
      <c r="A34" s="7" t="s">
        <v>123</v>
      </c>
      <c r="B34" s="2" t="s">
        <v>51</v>
      </c>
      <c r="C34" s="3">
        <f t="shared" si="4"/>
        <v>0</v>
      </c>
      <c r="D34" s="3">
        <f t="shared" si="5"/>
        <v>3794.8439425454781</v>
      </c>
      <c r="E34" s="3">
        <f t="shared" si="6"/>
        <v>0</v>
      </c>
      <c r="F34" s="3">
        <f t="shared" si="7"/>
        <v>2152.0093085913286</v>
      </c>
      <c r="G34" s="3">
        <f t="shared" si="8"/>
        <v>0</v>
      </c>
      <c r="H34" s="3">
        <f t="shared" si="9"/>
        <v>0</v>
      </c>
      <c r="I34" s="3">
        <f t="shared" si="10"/>
        <v>2057.6471482988163</v>
      </c>
      <c r="J34" s="3">
        <f t="shared" si="11"/>
        <v>0</v>
      </c>
      <c r="K34" s="3">
        <f t="shared" si="12"/>
        <v>2953.2492252597663</v>
      </c>
      <c r="L34" s="3">
        <f t="shared" si="13"/>
        <v>85169.960853859171</v>
      </c>
      <c r="M34" s="3">
        <f t="shared" si="14"/>
        <v>350361.30269705685</v>
      </c>
      <c r="N34" s="3">
        <f t="shared" si="15"/>
        <v>9988.3668203208472</v>
      </c>
      <c r="O34" s="3">
        <f t="shared" si="16"/>
        <v>456477.37999593222</v>
      </c>
      <c r="P34" s="7" t="s">
        <v>123</v>
      </c>
      <c r="Q34" s="2" t="s">
        <v>51</v>
      </c>
      <c r="R34" s="3">
        <f t="shared" si="28"/>
        <v>0</v>
      </c>
      <c r="S34" s="3">
        <f t="shared" si="28"/>
        <v>3794.8439425454781</v>
      </c>
      <c r="T34" s="3">
        <f t="shared" si="28"/>
        <v>0</v>
      </c>
      <c r="U34" s="3">
        <f t="shared" si="28"/>
        <v>2152.0093085913286</v>
      </c>
      <c r="V34" s="3">
        <f t="shared" si="28"/>
        <v>0</v>
      </c>
      <c r="W34" s="3">
        <f t="shared" si="27"/>
        <v>0</v>
      </c>
      <c r="X34" s="3">
        <f t="shared" si="27"/>
        <v>2057.6471482988163</v>
      </c>
      <c r="Y34" s="3">
        <f t="shared" si="27"/>
        <v>0</v>
      </c>
      <c r="Z34" s="3">
        <f t="shared" si="27"/>
        <v>2953.2492252597663</v>
      </c>
      <c r="AA34" s="3">
        <f t="shared" si="27"/>
        <v>85169.960853859171</v>
      </c>
      <c r="AB34" s="3">
        <f t="shared" si="18"/>
        <v>96127.710478554567</v>
      </c>
      <c r="AC34" s="7" t="s">
        <v>123</v>
      </c>
      <c r="AD34" s="2" t="s">
        <v>51</v>
      </c>
      <c r="AE34" s="3">
        <f t="shared" si="19"/>
        <v>350361.30269705685</v>
      </c>
      <c r="AF34" s="3">
        <f t="shared" si="19"/>
        <v>9988.3668203208472</v>
      </c>
      <c r="AG34" s="3">
        <f t="shared" si="20"/>
        <v>360349.66951737768</v>
      </c>
      <c r="AH34" s="7" t="s">
        <v>123</v>
      </c>
      <c r="AI34" s="2" t="s">
        <v>51</v>
      </c>
      <c r="AJ34" s="3">
        <f t="shared" si="21"/>
        <v>257772.08470081052</v>
      </c>
      <c r="AK34" s="3">
        <f t="shared" si="21"/>
        <v>198683.54320859723</v>
      </c>
      <c r="AL34" s="3">
        <f t="shared" si="21"/>
        <v>0</v>
      </c>
      <c r="AM34" s="3">
        <f t="shared" si="21"/>
        <v>21.752086524551117</v>
      </c>
      <c r="AN34" s="3">
        <f t="shared" si="22"/>
        <v>456477.37999593228</v>
      </c>
      <c r="AO34" s="7" t="s">
        <v>123</v>
      </c>
      <c r="AP34" s="2" t="s">
        <v>51</v>
      </c>
      <c r="AQ34" s="3">
        <f t="shared" si="23"/>
        <v>23343.245908626435</v>
      </c>
      <c r="AR34" s="3">
        <f t="shared" si="23"/>
        <v>72784.464569928125</v>
      </c>
      <c r="AS34" s="3">
        <f t="shared" si="23"/>
        <v>0</v>
      </c>
      <c r="AT34" s="3">
        <f t="shared" si="23"/>
        <v>0</v>
      </c>
      <c r="AU34" s="3">
        <f t="shared" si="24"/>
        <v>96127.710478554567</v>
      </c>
      <c r="AV34" s="7" t="s">
        <v>123</v>
      </c>
      <c r="AW34" s="2" t="s">
        <v>51</v>
      </c>
      <c r="AX34" s="3">
        <f t="shared" si="25"/>
        <v>234428.83879218408</v>
      </c>
      <c r="AY34" s="3">
        <f t="shared" si="25"/>
        <v>125899.07863866909</v>
      </c>
      <c r="AZ34" s="3">
        <f t="shared" si="25"/>
        <v>0</v>
      </c>
      <c r="BA34" s="3">
        <f t="shared" si="25"/>
        <v>21.752086524551117</v>
      </c>
      <c r="BB34" s="3">
        <f t="shared" si="26"/>
        <v>360349.66951737774</v>
      </c>
      <c r="BC34" s="7" t="s">
        <v>123</v>
      </c>
      <c r="BD34" s="2" t="s">
        <v>51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7" t="s">
        <v>123</v>
      </c>
      <c r="BK34" s="2" t="s">
        <v>51</v>
      </c>
      <c r="BL34" s="3">
        <v>2088.1422844400881</v>
      </c>
      <c r="BM34" s="3">
        <v>1706.7016581053902</v>
      </c>
      <c r="BN34" s="3">
        <v>0</v>
      </c>
      <c r="BO34" s="3">
        <v>0</v>
      </c>
      <c r="BP34" s="3">
        <v>3794.8439425454781</v>
      </c>
      <c r="BQ34" s="7" t="s">
        <v>123</v>
      </c>
      <c r="BR34" s="2" t="s">
        <v>51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7" t="s">
        <v>123</v>
      </c>
      <c r="BY34" s="2" t="s">
        <v>51</v>
      </c>
      <c r="BZ34" s="3">
        <v>26.102503829461341</v>
      </c>
      <c r="CA34" s="3">
        <v>2125.9068047618671</v>
      </c>
      <c r="CB34" s="3">
        <v>0</v>
      </c>
      <c r="CC34" s="3">
        <v>0</v>
      </c>
      <c r="CD34" s="3">
        <v>2152.0093085913286</v>
      </c>
      <c r="CE34" s="7" t="s">
        <v>123</v>
      </c>
      <c r="CF34" s="2" t="s">
        <v>51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7" t="s">
        <v>123</v>
      </c>
      <c r="CM34" s="2" t="s">
        <v>51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7" t="s">
        <v>123</v>
      </c>
      <c r="CT34" s="2" t="s">
        <v>51</v>
      </c>
      <c r="CU34" s="3">
        <v>2057.6471482988163</v>
      </c>
      <c r="CV34" s="3">
        <v>0</v>
      </c>
      <c r="CW34" s="3">
        <v>0</v>
      </c>
      <c r="CX34" s="3">
        <v>0</v>
      </c>
      <c r="CY34" s="3">
        <v>2057.6471482988163</v>
      </c>
      <c r="CZ34" s="7" t="s">
        <v>123</v>
      </c>
      <c r="DA34" s="2" t="s">
        <v>51</v>
      </c>
      <c r="DB34" s="3">
        <v>2953.2492252597663</v>
      </c>
      <c r="DC34" s="3">
        <v>0</v>
      </c>
      <c r="DD34" s="3">
        <v>0</v>
      </c>
      <c r="DE34" s="3">
        <v>0</v>
      </c>
      <c r="DF34" s="3">
        <v>2953.2492252597663</v>
      </c>
      <c r="DG34" s="7" t="s">
        <v>123</v>
      </c>
      <c r="DH34" s="2" t="s">
        <v>51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7" t="s">
        <v>123</v>
      </c>
      <c r="DO34" s="2" t="s">
        <v>51</v>
      </c>
      <c r="DP34" s="3">
        <v>16218.104746798301</v>
      </c>
      <c r="DQ34" s="3">
        <v>68951.85610706087</v>
      </c>
      <c r="DR34" s="3">
        <v>0</v>
      </c>
      <c r="DS34" s="3">
        <v>0</v>
      </c>
      <c r="DT34" s="3">
        <v>85169.960853859171</v>
      </c>
      <c r="DU34" s="7" t="s">
        <v>123</v>
      </c>
      <c r="DV34" s="2" t="s">
        <v>51</v>
      </c>
      <c r="DW34" s="3">
        <v>0</v>
      </c>
      <c r="DX34" s="3">
        <v>9988.3668203208472</v>
      </c>
      <c r="DY34" s="3">
        <v>0</v>
      </c>
      <c r="DZ34" s="3">
        <v>0</v>
      </c>
      <c r="EA34" s="3">
        <v>9988.3668203208472</v>
      </c>
      <c r="EB34" s="7" t="s">
        <v>123</v>
      </c>
      <c r="EC34" s="2" t="s">
        <v>51</v>
      </c>
      <c r="ED34" s="3">
        <v>234428.83879218408</v>
      </c>
      <c r="EE34" s="3">
        <v>115910.71181834824</v>
      </c>
      <c r="EF34" s="3">
        <v>0</v>
      </c>
      <c r="EG34" s="3">
        <v>21.752086524551117</v>
      </c>
      <c r="EH34" s="3">
        <v>350361.30269705685</v>
      </c>
    </row>
    <row r="35" spans="1:138" ht="10.199999999999999" customHeight="1" x14ac:dyDescent="0.2">
      <c r="A35" s="7" t="s">
        <v>126</v>
      </c>
      <c r="B35" s="2" t="s">
        <v>54</v>
      </c>
      <c r="C35" s="3">
        <f t="shared" si="4"/>
        <v>0</v>
      </c>
      <c r="D35" s="3">
        <f t="shared" si="5"/>
        <v>0</v>
      </c>
      <c r="E35" s="3">
        <f t="shared" si="6"/>
        <v>0</v>
      </c>
      <c r="F35" s="3">
        <f t="shared" si="7"/>
        <v>14026.265611441984</v>
      </c>
      <c r="G35" s="3">
        <f t="shared" si="8"/>
        <v>0</v>
      </c>
      <c r="H35" s="3">
        <f t="shared" si="9"/>
        <v>0</v>
      </c>
      <c r="I35" s="3">
        <f t="shared" si="10"/>
        <v>99.177699252609216</v>
      </c>
      <c r="J35" s="3">
        <f t="shared" si="11"/>
        <v>0</v>
      </c>
      <c r="K35" s="3">
        <f t="shared" si="12"/>
        <v>0</v>
      </c>
      <c r="L35" s="3">
        <f t="shared" si="13"/>
        <v>3178.0988263911436</v>
      </c>
      <c r="M35" s="3">
        <f t="shared" si="14"/>
        <v>0</v>
      </c>
      <c r="N35" s="3">
        <f t="shared" si="15"/>
        <v>0</v>
      </c>
      <c r="O35" s="3">
        <f t="shared" si="16"/>
        <v>17303.542137085737</v>
      </c>
      <c r="P35" s="7" t="s">
        <v>126</v>
      </c>
      <c r="Q35" s="2" t="s">
        <v>54</v>
      </c>
      <c r="R35" s="3">
        <f t="shared" si="28"/>
        <v>0</v>
      </c>
      <c r="S35" s="3">
        <f t="shared" si="28"/>
        <v>0</v>
      </c>
      <c r="T35" s="3">
        <f t="shared" si="28"/>
        <v>0</v>
      </c>
      <c r="U35" s="3">
        <f t="shared" si="28"/>
        <v>14026.265611441984</v>
      </c>
      <c r="V35" s="3">
        <f t="shared" si="28"/>
        <v>0</v>
      </c>
      <c r="W35" s="3">
        <f t="shared" si="27"/>
        <v>0</v>
      </c>
      <c r="X35" s="3">
        <f t="shared" si="27"/>
        <v>99.177699252609216</v>
      </c>
      <c r="Y35" s="3">
        <f t="shared" si="27"/>
        <v>0</v>
      </c>
      <c r="Z35" s="3">
        <f t="shared" si="27"/>
        <v>0</v>
      </c>
      <c r="AA35" s="3">
        <f t="shared" si="27"/>
        <v>3178.0988263911436</v>
      </c>
      <c r="AB35" s="3">
        <f t="shared" si="18"/>
        <v>17303.542137085737</v>
      </c>
      <c r="AC35" s="7" t="s">
        <v>126</v>
      </c>
      <c r="AD35" s="2" t="s">
        <v>54</v>
      </c>
      <c r="AE35" s="3">
        <f t="shared" si="19"/>
        <v>0</v>
      </c>
      <c r="AF35" s="3">
        <f t="shared" si="19"/>
        <v>0</v>
      </c>
      <c r="AG35" s="3">
        <f t="shared" si="20"/>
        <v>0</v>
      </c>
      <c r="AH35" s="7" t="s">
        <v>126</v>
      </c>
      <c r="AI35" s="2" t="s">
        <v>54</v>
      </c>
      <c r="AJ35" s="3">
        <f t="shared" si="21"/>
        <v>17215.240481095403</v>
      </c>
      <c r="AK35" s="3">
        <f t="shared" si="21"/>
        <v>88.301655990333657</v>
      </c>
      <c r="AL35" s="3">
        <f t="shared" si="21"/>
        <v>0</v>
      </c>
      <c r="AM35" s="3">
        <f t="shared" si="21"/>
        <v>0</v>
      </c>
      <c r="AN35" s="3">
        <f t="shared" si="22"/>
        <v>17303.542137085737</v>
      </c>
      <c r="AO35" s="7" t="s">
        <v>126</v>
      </c>
      <c r="AP35" s="2" t="s">
        <v>54</v>
      </c>
      <c r="AQ35" s="3">
        <f t="shared" si="23"/>
        <v>17215.240481095403</v>
      </c>
      <c r="AR35" s="3">
        <f t="shared" si="23"/>
        <v>88.301655990333657</v>
      </c>
      <c r="AS35" s="3">
        <f t="shared" si="23"/>
        <v>0</v>
      </c>
      <c r="AT35" s="3">
        <f t="shared" si="23"/>
        <v>0</v>
      </c>
      <c r="AU35" s="3">
        <f t="shared" si="24"/>
        <v>17303.542137085737</v>
      </c>
      <c r="AV35" s="7" t="s">
        <v>126</v>
      </c>
      <c r="AW35" s="2" t="s">
        <v>54</v>
      </c>
      <c r="AX35" s="3">
        <f t="shared" si="25"/>
        <v>0</v>
      </c>
      <c r="AY35" s="3">
        <f t="shared" si="25"/>
        <v>0</v>
      </c>
      <c r="AZ35" s="3">
        <f t="shared" si="25"/>
        <v>0</v>
      </c>
      <c r="BA35" s="3">
        <f t="shared" si="25"/>
        <v>0</v>
      </c>
      <c r="BB35" s="3">
        <f t="shared" si="26"/>
        <v>0</v>
      </c>
      <c r="BC35" s="7" t="s">
        <v>126</v>
      </c>
      <c r="BD35" s="2" t="s">
        <v>54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7" t="s">
        <v>126</v>
      </c>
      <c r="BK35" s="2" t="s">
        <v>54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7" t="s">
        <v>126</v>
      </c>
      <c r="BR35" s="2" t="s">
        <v>54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7" t="s">
        <v>126</v>
      </c>
      <c r="BY35" s="2" t="s">
        <v>54</v>
      </c>
      <c r="BZ35" s="3">
        <v>14026.265611441984</v>
      </c>
      <c r="CA35" s="3">
        <v>0</v>
      </c>
      <c r="CB35" s="3">
        <v>0</v>
      </c>
      <c r="CC35" s="3">
        <v>0</v>
      </c>
      <c r="CD35" s="3">
        <v>14026.265611441984</v>
      </c>
      <c r="CE35" s="7" t="s">
        <v>126</v>
      </c>
      <c r="CF35" s="2" t="s">
        <v>54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7" t="s">
        <v>126</v>
      </c>
      <c r="CM35" s="2" t="s">
        <v>54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7" t="s">
        <v>126</v>
      </c>
      <c r="CT35" s="2" t="s">
        <v>54</v>
      </c>
      <c r="CU35" s="3">
        <v>10.876043262275559</v>
      </c>
      <c r="CV35" s="3">
        <v>88.301655990333657</v>
      </c>
      <c r="CW35" s="3">
        <v>0</v>
      </c>
      <c r="CX35" s="3">
        <v>0</v>
      </c>
      <c r="CY35" s="3">
        <v>99.177699252609216</v>
      </c>
      <c r="CZ35" s="7" t="s">
        <v>126</v>
      </c>
      <c r="DA35" s="2" t="s">
        <v>54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7" t="s">
        <v>126</v>
      </c>
      <c r="DH35" s="2" t="s">
        <v>54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7" t="s">
        <v>126</v>
      </c>
      <c r="DO35" s="2" t="s">
        <v>54</v>
      </c>
      <c r="DP35" s="3">
        <v>3178.0988263911436</v>
      </c>
      <c r="DQ35" s="3">
        <v>0</v>
      </c>
      <c r="DR35" s="3">
        <v>0</v>
      </c>
      <c r="DS35" s="3">
        <v>0</v>
      </c>
      <c r="DT35" s="3">
        <v>3178.0988263911436</v>
      </c>
      <c r="DU35" s="7" t="s">
        <v>126</v>
      </c>
      <c r="DV35" s="2" t="s">
        <v>54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7" t="s">
        <v>126</v>
      </c>
      <c r="EC35" s="2" t="s">
        <v>54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</row>
    <row r="36" spans="1:138" ht="10.199999999999999" customHeight="1" x14ac:dyDescent="0.2">
      <c r="A36" s="7" t="s">
        <v>129</v>
      </c>
      <c r="B36" s="2" t="s">
        <v>57</v>
      </c>
      <c r="C36" s="3">
        <f t="shared" si="4"/>
        <v>19095.995974745529</v>
      </c>
      <c r="D36" s="3">
        <f t="shared" si="5"/>
        <v>1249308.4040685603</v>
      </c>
      <c r="E36" s="3">
        <f t="shared" si="6"/>
        <v>22114632.231841985</v>
      </c>
      <c r="F36" s="3">
        <f t="shared" si="7"/>
        <v>93663.689411113912</v>
      </c>
      <c r="G36" s="3">
        <f t="shared" si="8"/>
        <v>299807.97980550257</v>
      </c>
      <c r="H36" s="3">
        <f t="shared" si="9"/>
        <v>0</v>
      </c>
      <c r="I36" s="3">
        <f t="shared" si="10"/>
        <v>35879.873510895603</v>
      </c>
      <c r="J36" s="3">
        <f t="shared" si="11"/>
        <v>5834.2380492528227</v>
      </c>
      <c r="K36" s="3">
        <f t="shared" si="12"/>
        <v>665252.31838822481</v>
      </c>
      <c r="L36" s="3">
        <f t="shared" si="13"/>
        <v>31562.280668173917</v>
      </c>
      <c r="M36" s="3">
        <f t="shared" si="14"/>
        <v>18523904.26950746</v>
      </c>
      <c r="N36" s="3">
        <f t="shared" si="15"/>
        <v>10735395.766178695</v>
      </c>
      <c r="O36" s="3">
        <f t="shared" si="16"/>
        <v>53774337.047404617</v>
      </c>
      <c r="P36" s="7" t="s">
        <v>129</v>
      </c>
      <c r="Q36" s="2" t="s">
        <v>57</v>
      </c>
      <c r="R36" s="3">
        <f t="shared" si="28"/>
        <v>19095.995974745529</v>
      </c>
      <c r="S36" s="3">
        <f t="shared" si="28"/>
        <v>1249308.4040685603</v>
      </c>
      <c r="T36" s="3">
        <f t="shared" si="28"/>
        <v>22114632.231841985</v>
      </c>
      <c r="U36" s="3">
        <f t="shared" si="28"/>
        <v>93663.689411113912</v>
      </c>
      <c r="V36" s="3">
        <f t="shared" si="28"/>
        <v>299807.97980550257</v>
      </c>
      <c r="W36" s="3">
        <f t="shared" si="27"/>
        <v>0</v>
      </c>
      <c r="X36" s="3">
        <f t="shared" si="27"/>
        <v>35879.873510895603</v>
      </c>
      <c r="Y36" s="3">
        <f t="shared" si="27"/>
        <v>5834.2380492528227</v>
      </c>
      <c r="Z36" s="3">
        <f t="shared" si="27"/>
        <v>665252.31838822481</v>
      </c>
      <c r="AA36" s="3">
        <f t="shared" si="27"/>
        <v>31562.280668173917</v>
      </c>
      <c r="AB36" s="3">
        <f t="shared" si="18"/>
        <v>24515037.011718456</v>
      </c>
      <c r="AC36" s="7" t="s">
        <v>129</v>
      </c>
      <c r="AD36" s="2" t="s">
        <v>57</v>
      </c>
      <c r="AE36" s="3">
        <f t="shared" si="19"/>
        <v>18523904.26950746</v>
      </c>
      <c r="AF36" s="3">
        <f t="shared" si="19"/>
        <v>10735395.766178695</v>
      </c>
      <c r="AG36" s="3">
        <f t="shared" si="20"/>
        <v>29259300.035686158</v>
      </c>
      <c r="AH36" s="7" t="s">
        <v>129</v>
      </c>
      <c r="AI36" s="2" t="s">
        <v>57</v>
      </c>
      <c r="AJ36" s="3">
        <f t="shared" si="21"/>
        <v>25979519.098125227</v>
      </c>
      <c r="AK36" s="3">
        <f t="shared" si="21"/>
        <v>888673.67189865536</v>
      </c>
      <c r="AL36" s="3">
        <f t="shared" si="21"/>
        <v>2087431.3381670881</v>
      </c>
      <c r="AM36" s="3">
        <f t="shared" si="21"/>
        <v>24818712.939213648</v>
      </c>
      <c r="AN36" s="3">
        <f t="shared" si="22"/>
        <v>53774337.047404617</v>
      </c>
      <c r="AO36" s="7" t="s">
        <v>129</v>
      </c>
      <c r="AP36" s="2" t="s">
        <v>57</v>
      </c>
      <c r="AQ36" s="3">
        <f t="shared" si="23"/>
        <v>624631.23772261513</v>
      </c>
      <c r="AR36" s="3">
        <f t="shared" si="23"/>
        <v>478056.73174700688</v>
      </c>
      <c r="AS36" s="3">
        <f t="shared" si="23"/>
        <v>754197.90527763695</v>
      </c>
      <c r="AT36" s="3">
        <f t="shared" si="23"/>
        <v>22658151.136971198</v>
      </c>
      <c r="AU36" s="3">
        <f t="shared" si="24"/>
        <v>24515037.011718456</v>
      </c>
      <c r="AV36" s="7" t="s">
        <v>129</v>
      </c>
      <c r="AW36" s="2" t="s">
        <v>57</v>
      </c>
      <c r="AX36" s="3">
        <f t="shared" si="25"/>
        <v>25354887.86040261</v>
      </c>
      <c r="AY36" s="3">
        <f t="shared" si="25"/>
        <v>410616.94015164842</v>
      </c>
      <c r="AZ36" s="3">
        <f t="shared" si="25"/>
        <v>1333233.432889451</v>
      </c>
      <c r="BA36" s="3">
        <f t="shared" si="25"/>
        <v>2160561.802242449</v>
      </c>
      <c r="BB36" s="3">
        <f t="shared" si="26"/>
        <v>29259300.035686158</v>
      </c>
      <c r="BC36" s="7" t="s">
        <v>129</v>
      </c>
      <c r="BD36" s="2" t="s">
        <v>57</v>
      </c>
      <c r="BE36" s="3">
        <v>17132.971251565246</v>
      </c>
      <c r="BF36" s="3">
        <v>1963.0247231802816</v>
      </c>
      <c r="BG36" s="3">
        <v>0</v>
      </c>
      <c r="BH36" s="3">
        <v>0</v>
      </c>
      <c r="BI36" s="3">
        <v>19095.995974745529</v>
      </c>
      <c r="BJ36" s="7" t="s">
        <v>129</v>
      </c>
      <c r="BK36" s="2" t="s">
        <v>57</v>
      </c>
      <c r="BL36" s="3">
        <v>2499.6299421157019</v>
      </c>
      <c r="BM36" s="3">
        <v>0</v>
      </c>
      <c r="BN36" s="3">
        <v>12202.029987902592</v>
      </c>
      <c r="BO36" s="3">
        <v>1234606.7441385421</v>
      </c>
      <c r="BP36" s="3">
        <v>1249308.4040685603</v>
      </c>
      <c r="BQ36" s="7" t="s">
        <v>129</v>
      </c>
      <c r="BR36" s="2" t="s">
        <v>57</v>
      </c>
      <c r="BS36" s="3">
        <v>0</v>
      </c>
      <c r="BT36" s="3">
        <v>41553.720466039362</v>
      </c>
      <c r="BU36" s="3">
        <v>659822.5080777799</v>
      </c>
      <c r="BV36" s="3">
        <v>21413256.003298167</v>
      </c>
      <c r="BW36" s="3">
        <v>22114632.231841985</v>
      </c>
      <c r="BX36" s="7" t="s">
        <v>129</v>
      </c>
      <c r="BY36" s="2" t="s">
        <v>57</v>
      </c>
      <c r="BZ36" s="3">
        <v>38497.344727190066</v>
      </c>
      <c r="CA36" s="3">
        <v>1152.2996278626392</v>
      </c>
      <c r="CB36" s="3">
        <v>54014.045056061208</v>
      </c>
      <c r="CC36" s="3">
        <v>0</v>
      </c>
      <c r="CD36" s="3">
        <v>93663.689411113912</v>
      </c>
      <c r="CE36" s="7" t="s">
        <v>129</v>
      </c>
      <c r="CF36" s="2" t="s">
        <v>57</v>
      </c>
      <c r="CG36" s="3">
        <v>135957.39084099929</v>
      </c>
      <c r="CH36" s="3">
        <v>151255.54249638328</v>
      </c>
      <c r="CI36" s="3">
        <v>12595.046468120025</v>
      </c>
      <c r="CJ36" s="3">
        <v>0</v>
      </c>
      <c r="CK36" s="3">
        <v>299807.97980550257</v>
      </c>
      <c r="CL36" s="7" t="s">
        <v>129</v>
      </c>
      <c r="CM36" s="2" t="s">
        <v>57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7" t="s">
        <v>129</v>
      </c>
      <c r="CT36" s="2" t="s">
        <v>57</v>
      </c>
      <c r="CU36" s="3">
        <v>24001.927793329382</v>
      </c>
      <c r="CV36" s="3">
        <v>11877.945717566225</v>
      </c>
      <c r="CW36" s="3">
        <v>0</v>
      </c>
      <c r="CX36" s="3">
        <v>0</v>
      </c>
      <c r="CY36" s="3">
        <v>35879.873510895603</v>
      </c>
      <c r="CZ36" s="7" t="s">
        <v>129</v>
      </c>
      <c r="DA36" s="2" t="s">
        <v>57</v>
      </c>
      <c r="DB36" s="3">
        <v>388696.48108237598</v>
      </c>
      <c r="DC36" s="3">
        <v>266267.44777136104</v>
      </c>
      <c r="DD36" s="3">
        <v>0</v>
      </c>
      <c r="DE36" s="3">
        <v>10288.389534487849</v>
      </c>
      <c r="DF36" s="3">
        <v>665252.31838822481</v>
      </c>
      <c r="DG36" s="7" t="s">
        <v>129</v>
      </c>
      <c r="DH36" s="2" t="s">
        <v>57</v>
      </c>
      <c r="DI36" s="3">
        <v>1405.086354655803</v>
      </c>
      <c r="DJ36" s="3">
        <v>2186.2827760786686</v>
      </c>
      <c r="DK36" s="3">
        <v>2242.8689185183512</v>
      </c>
      <c r="DL36" s="3">
        <v>0</v>
      </c>
      <c r="DM36" s="3">
        <v>5834.2380492528227</v>
      </c>
      <c r="DN36" s="7" t="s">
        <v>129</v>
      </c>
      <c r="DO36" s="2" t="s">
        <v>57</v>
      </c>
      <c r="DP36" s="3">
        <v>16440.405730383674</v>
      </c>
      <c r="DQ36" s="3">
        <v>1800.4681685353739</v>
      </c>
      <c r="DR36" s="3">
        <v>13321.406769254869</v>
      </c>
      <c r="DS36" s="3">
        <v>0</v>
      </c>
      <c r="DT36" s="3">
        <v>31562.280668173917</v>
      </c>
      <c r="DU36" s="7" t="s">
        <v>129</v>
      </c>
      <c r="DV36" s="2" t="s">
        <v>57</v>
      </c>
      <c r="DW36" s="3">
        <v>6846601.3662085012</v>
      </c>
      <c r="DX36" s="3">
        <v>394999.16483829584</v>
      </c>
      <c r="DY36" s="3">
        <v>1333233.432889451</v>
      </c>
      <c r="DZ36" s="3">
        <v>2160561.802242449</v>
      </c>
      <c r="EA36" s="3">
        <v>10735395.766178695</v>
      </c>
      <c r="EB36" s="7" t="s">
        <v>129</v>
      </c>
      <c r="EC36" s="2" t="s">
        <v>57</v>
      </c>
      <c r="ED36" s="3">
        <v>18508286.494194109</v>
      </c>
      <c r="EE36" s="3">
        <v>15617.775313352557</v>
      </c>
      <c r="EF36" s="3">
        <v>0</v>
      </c>
      <c r="EG36" s="3">
        <v>0</v>
      </c>
      <c r="EH36" s="3">
        <v>18523904.26950746</v>
      </c>
    </row>
    <row r="37" spans="1:138" ht="10.199999999999999" customHeight="1" x14ac:dyDescent="0.2">
      <c r="A37" s="7" t="s">
        <v>128</v>
      </c>
      <c r="B37" s="2" t="s">
        <v>56</v>
      </c>
      <c r="C37" s="3">
        <f t="shared" si="4"/>
        <v>1280.2869769755539</v>
      </c>
      <c r="D37" s="3">
        <f t="shared" si="5"/>
        <v>3134.6915733413007</v>
      </c>
      <c r="E37" s="3">
        <f t="shared" si="6"/>
        <v>711.47114143781084</v>
      </c>
      <c r="F37" s="3">
        <f t="shared" si="7"/>
        <v>523031.85584361595</v>
      </c>
      <c r="G37" s="3">
        <f t="shared" si="8"/>
        <v>1301.9258361543245</v>
      </c>
      <c r="H37" s="3">
        <f t="shared" si="9"/>
        <v>814840.45113143779</v>
      </c>
      <c r="I37" s="3">
        <f t="shared" si="10"/>
        <v>37693202.352994069</v>
      </c>
      <c r="J37" s="3">
        <f t="shared" si="11"/>
        <v>1451.3197984638336</v>
      </c>
      <c r="K37" s="3">
        <f t="shared" si="12"/>
        <v>4568196.3149829693</v>
      </c>
      <c r="L37" s="3">
        <f t="shared" si="13"/>
        <v>2185602.2849067082</v>
      </c>
      <c r="M37" s="3">
        <f t="shared" si="14"/>
        <v>2196099.6445083125</v>
      </c>
      <c r="N37" s="3">
        <f t="shared" si="15"/>
        <v>30994446.598130692</v>
      </c>
      <c r="O37" s="3">
        <f t="shared" si="16"/>
        <v>78983299.197824165</v>
      </c>
      <c r="P37" s="7" t="s">
        <v>128</v>
      </c>
      <c r="Q37" s="2" t="s">
        <v>56</v>
      </c>
      <c r="R37" s="3">
        <f t="shared" si="28"/>
        <v>1280.2869769755539</v>
      </c>
      <c r="S37" s="3">
        <f t="shared" si="28"/>
        <v>3134.6915733413007</v>
      </c>
      <c r="T37" s="3">
        <f t="shared" si="28"/>
        <v>711.47114143781084</v>
      </c>
      <c r="U37" s="3">
        <f t="shared" si="28"/>
        <v>523031.85584361595</v>
      </c>
      <c r="V37" s="3">
        <f t="shared" si="28"/>
        <v>1301.9258361543245</v>
      </c>
      <c r="W37" s="3">
        <f t="shared" si="27"/>
        <v>814840.45113143779</v>
      </c>
      <c r="X37" s="3">
        <f t="shared" si="27"/>
        <v>37693202.352994069</v>
      </c>
      <c r="Y37" s="3">
        <f t="shared" si="27"/>
        <v>1451.3197984638336</v>
      </c>
      <c r="Z37" s="3">
        <f t="shared" si="27"/>
        <v>4568196.3149829693</v>
      </c>
      <c r="AA37" s="3">
        <f t="shared" si="27"/>
        <v>2185602.2849067082</v>
      </c>
      <c r="AB37" s="3">
        <f t="shared" si="18"/>
        <v>45792752.955185167</v>
      </c>
      <c r="AC37" s="7" t="s">
        <v>128</v>
      </c>
      <c r="AD37" s="2" t="s">
        <v>56</v>
      </c>
      <c r="AE37" s="3">
        <f t="shared" si="19"/>
        <v>2196099.6445083125</v>
      </c>
      <c r="AF37" s="3">
        <f t="shared" si="19"/>
        <v>30994446.598130692</v>
      </c>
      <c r="AG37" s="3">
        <f t="shared" si="20"/>
        <v>33190546.242639005</v>
      </c>
      <c r="AH37" s="7" t="s">
        <v>128</v>
      </c>
      <c r="AI37" s="2" t="s">
        <v>56</v>
      </c>
      <c r="AJ37" s="3">
        <f t="shared" si="21"/>
        <v>38334810.208916709</v>
      </c>
      <c r="AK37" s="3">
        <f t="shared" si="21"/>
        <v>7654389.2870543785</v>
      </c>
      <c r="AL37" s="3">
        <f t="shared" si="21"/>
        <v>32179259.250721652</v>
      </c>
      <c r="AM37" s="3">
        <f t="shared" si="21"/>
        <v>814840.45113143779</v>
      </c>
      <c r="AN37" s="3">
        <f t="shared" si="22"/>
        <v>78983299.197824165</v>
      </c>
      <c r="AO37" s="7" t="s">
        <v>128</v>
      </c>
      <c r="AP37" s="2" t="s">
        <v>56</v>
      </c>
      <c r="AQ37" s="3">
        <f t="shared" si="23"/>
        <v>37620813.649638154</v>
      </c>
      <c r="AR37" s="3">
        <f t="shared" si="23"/>
        <v>5892707.3516063327</v>
      </c>
      <c r="AS37" s="3">
        <f t="shared" si="23"/>
        <v>1464391.5028092512</v>
      </c>
      <c r="AT37" s="3">
        <f t="shared" si="23"/>
        <v>814840.45113143779</v>
      </c>
      <c r="AU37" s="3">
        <f t="shared" si="24"/>
        <v>45792752.955185175</v>
      </c>
      <c r="AV37" s="7" t="s">
        <v>128</v>
      </c>
      <c r="AW37" s="2" t="s">
        <v>56</v>
      </c>
      <c r="AX37" s="3">
        <f t="shared" si="25"/>
        <v>713996.55927855812</v>
      </c>
      <c r="AY37" s="3">
        <f t="shared" si="25"/>
        <v>1761681.9354480463</v>
      </c>
      <c r="AZ37" s="3">
        <f t="shared" si="25"/>
        <v>30714867.747912399</v>
      </c>
      <c r="BA37" s="3">
        <f t="shared" si="25"/>
        <v>0</v>
      </c>
      <c r="BB37" s="3">
        <f t="shared" si="26"/>
        <v>33190546.242639005</v>
      </c>
      <c r="BC37" s="7" t="s">
        <v>128</v>
      </c>
      <c r="BD37" s="2" t="s">
        <v>56</v>
      </c>
      <c r="BE37" s="3">
        <v>1280.2869769755539</v>
      </c>
      <c r="BF37" s="3">
        <v>0</v>
      </c>
      <c r="BG37" s="3">
        <v>0</v>
      </c>
      <c r="BH37" s="3">
        <v>0</v>
      </c>
      <c r="BI37" s="3">
        <v>1280.2869769755539</v>
      </c>
      <c r="BJ37" s="7" t="s">
        <v>128</v>
      </c>
      <c r="BK37" s="2" t="s">
        <v>56</v>
      </c>
      <c r="BL37" s="3">
        <v>3134.6915733413007</v>
      </c>
      <c r="BM37" s="3">
        <v>0</v>
      </c>
      <c r="BN37" s="3">
        <v>0</v>
      </c>
      <c r="BO37" s="3">
        <v>0</v>
      </c>
      <c r="BP37" s="3">
        <v>3134.6915733413007</v>
      </c>
      <c r="BQ37" s="7" t="s">
        <v>128</v>
      </c>
      <c r="BR37" s="2" t="s">
        <v>56</v>
      </c>
      <c r="BS37" s="3">
        <v>711.47114143781084</v>
      </c>
      <c r="BT37" s="3">
        <v>0</v>
      </c>
      <c r="BU37" s="3">
        <v>0</v>
      </c>
      <c r="BV37" s="3">
        <v>0</v>
      </c>
      <c r="BW37" s="3">
        <v>711.47114143781084</v>
      </c>
      <c r="BX37" s="7" t="s">
        <v>128</v>
      </c>
      <c r="BY37" s="2" t="s">
        <v>56</v>
      </c>
      <c r="BZ37" s="3">
        <v>51589.580566765973</v>
      </c>
      <c r="CA37" s="3">
        <v>467519.13110010058</v>
      </c>
      <c r="CB37" s="3">
        <v>3923.144176749398</v>
      </c>
      <c r="CC37" s="3">
        <v>0</v>
      </c>
      <c r="CD37" s="3">
        <v>523031.85584361595</v>
      </c>
      <c r="CE37" s="7" t="s">
        <v>128</v>
      </c>
      <c r="CF37" s="2" t="s">
        <v>56</v>
      </c>
      <c r="CG37" s="3">
        <v>1301.9258361543245</v>
      </c>
      <c r="CH37" s="3">
        <v>0</v>
      </c>
      <c r="CI37" s="3">
        <v>0</v>
      </c>
      <c r="CJ37" s="3">
        <v>0</v>
      </c>
      <c r="CK37" s="3">
        <v>1301.9258361543245</v>
      </c>
      <c r="CL37" s="7" t="s">
        <v>128</v>
      </c>
      <c r="CM37" s="2" t="s">
        <v>56</v>
      </c>
      <c r="CN37" s="3">
        <v>0</v>
      </c>
      <c r="CO37" s="3">
        <v>0</v>
      </c>
      <c r="CP37" s="3">
        <v>0</v>
      </c>
      <c r="CQ37" s="3">
        <v>814840.45113143779</v>
      </c>
      <c r="CR37" s="3">
        <v>814840.45113143779</v>
      </c>
      <c r="CS37" s="7" t="s">
        <v>128</v>
      </c>
      <c r="CT37" s="2" t="s">
        <v>56</v>
      </c>
      <c r="CU37" s="3">
        <v>37151053.856878594</v>
      </c>
      <c r="CV37" s="3">
        <v>542148.49611547578</v>
      </c>
      <c r="CW37" s="3">
        <v>0</v>
      </c>
      <c r="CX37" s="3">
        <v>0</v>
      </c>
      <c r="CY37" s="3">
        <v>37693202.352994069</v>
      </c>
      <c r="CZ37" s="7" t="s">
        <v>128</v>
      </c>
      <c r="DA37" s="2" t="s">
        <v>56</v>
      </c>
      <c r="DB37" s="3">
        <v>189456.34761552897</v>
      </c>
      <c r="DC37" s="3">
        <v>2918271.6087349392</v>
      </c>
      <c r="DD37" s="3">
        <v>1460468.3586325017</v>
      </c>
      <c r="DE37" s="3">
        <v>0</v>
      </c>
      <c r="DF37" s="3">
        <v>4568196.3149829693</v>
      </c>
      <c r="DG37" s="7" t="s">
        <v>128</v>
      </c>
      <c r="DH37" s="2" t="s">
        <v>56</v>
      </c>
      <c r="DI37" s="3">
        <v>1451.3197984638336</v>
      </c>
      <c r="DJ37" s="3">
        <v>0</v>
      </c>
      <c r="DK37" s="3">
        <v>0</v>
      </c>
      <c r="DL37" s="3">
        <v>0</v>
      </c>
      <c r="DM37" s="3">
        <v>1451.3197984638336</v>
      </c>
      <c r="DN37" s="7" t="s">
        <v>128</v>
      </c>
      <c r="DO37" s="2" t="s">
        <v>56</v>
      </c>
      <c r="DP37" s="3">
        <v>220834.16925089096</v>
      </c>
      <c r="DQ37" s="3">
        <v>1964768.1156558173</v>
      </c>
      <c r="DR37" s="3">
        <v>0</v>
      </c>
      <c r="DS37" s="3">
        <v>0</v>
      </c>
      <c r="DT37" s="3">
        <v>2185602.2849067082</v>
      </c>
      <c r="DU37" s="7" t="s">
        <v>128</v>
      </c>
      <c r="DV37" s="2" t="s">
        <v>56</v>
      </c>
      <c r="DW37" s="3">
        <v>9362.767433974057</v>
      </c>
      <c r="DX37" s="3">
        <v>270216.08278431755</v>
      </c>
      <c r="DY37" s="3">
        <v>30714867.747912399</v>
      </c>
      <c r="DZ37" s="3">
        <v>0</v>
      </c>
      <c r="EA37" s="3">
        <v>30994446.598130692</v>
      </c>
      <c r="EB37" s="7" t="s">
        <v>128</v>
      </c>
      <c r="EC37" s="2" t="s">
        <v>56</v>
      </c>
      <c r="ED37" s="3">
        <v>704633.79184458405</v>
      </c>
      <c r="EE37" s="3">
        <v>1491465.8526637286</v>
      </c>
      <c r="EF37" s="3">
        <v>0</v>
      </c>
      <c r="EG37" s="3">
        <v>0</v>
      </c>
      <c r="EH37" s="3">
        <v>2196099.6445083125</v>
      </c>
    </row>
    <row r="38" spans="1:138" ht="10.199999999999999" customHeight="1" x14ac:dyDescent="0.2">
      <c r="A38" s="7" t="s">
        <v>127</v>
      </c>
      <c r="B38" s="2" t="s">
        <v>55</v>
      </c>
      <c r="C38" s="3">
        <f t="shared" si="4"/>
        <v>0</v>
      </c>
      <c r="D38" s="3">
        <f t="shared" si="5"/>
        <v>0</v>
      </c>
      <c r="E38" s="3">
        <f t="shared" si="6"/>
        <v>0</v>
      </c>
      <c r="F38" s="3">
        <f t="shared" si="7"/>
        <v>104953.2847963119</v>
      </c>
      <c r="G38" s="3">
        <f t="shared" si="8"/>
        <v>0</v>
      </c>
      <c r="H38" s="3">
        <f t="shared" si="9"/>
        <v>0</v>
      </c>
      <c r="I38" s="3">
        <f t="shared" si="10"/>
        <v>42851.142411141889</v>
      </c>
      <c r="J38" s="3">
        <f t="shared" si="11"/>
        <v>0</v>
      </c>
      <c r="K38" s="3">
        <f t="shared" si="12"/>
        <v>0</v>
      </c>
      <c r="L38" s="3">
        <f t="shared" si="13"/>
        <v>92400.76749104193</v>
      </c>
      <c r="M38" s="3">
        <f t="shared" si="14"/>
        <v>446361.40723347204</v>
      </c>
      <c r="N38" s="3">
        <f t="shared" si="15"/>
        <v>0</v>
      </c>
      <c r="O38" s="3">
        <f t="shared" si="16"/>
        <v>686566.60193196777</v>
      </c>
      <c r="P38" s="7" t="s">
        <v>127</v>
      </c>
      <c r="Q38" s="2" t="s">
        <v>55</v>
      </c>
      <c r="R38" s="3">
        <f t="shared" si="28"/>
        <v>0</v>
      </c>
      <c r="S38" s="3">
        <f t="shared" si="28"/>
        <v>0</v>
      </c>
      <c r="T38" s="3">
        <f t="shared" si="28"/>
        <v>0</v>
      </c>
      <c r="U38" s="3">
        <f t="shared" si="28"/>
        <v>104953.2847963119</v>
      </c>
      <c r="V38" s="3">
        <f t="shared" si="28"/>
        <v>0</v>
      </c>
      <c r="W38" s="3">
        <f t="shared" si="27"/>
        <v>0</v>
      </c>
      <c r="X38" s="3">
        <f t="shared" si="27"/>
        <v>42851.142411141889</v>
      </c>
      <c r="Y38" s="3">
        <f t="shared" si="27"/>
        <v>0</v>
      </c>
      <c r="Z38" s="3">
        <f t="shared" si="27"/>
        <v>0</v>
      </c>
      <c r="AA38" s="3">
        <f t="shared" si="27"/>
        <v>92400.76749104193</v>
      </c>
      <c r="AB38" s="3">
        <f t="shared" si="18"/>
        <v>240205.19469849573</v>
      </c>
      <c r="AC38" s="7" t="s">
        <v>127</v>
      </c>
      <c r="AD38" s="2" t="s">
        <v>55</v>
      </c>
      <c r="AE38" s="3">
        <f t="shared" si="19"/>
        <v>446361.40723347204</v>
      </c>
      <c r="AF38" s="3">
        <f t="shared" si="19"/>
        <v>0</v>
      </c>
      <c r="AG38" s="3">
        <f t="shared" si="20"/>
        <v>446361.40723347204</v>
      </c>
      <c r="AH38" s="7" t="s">
        <v>127</v>
      </c>
      <c r="AI38" s="2" t="s">
        <v>55</v>
      </c>
      <c r="AJ38" s="3">
        <f t="shared" si="21"/>
        <v>640837.50214596104</v>
      </c>
      <c r="AK38" s="3">
        <f t="shared" si="21"/>
        <v>45729.099786006722</v>
      </c>
      <c r="AL38" s="3">
        <f t="shared" si="21"/>
        <v>0</v>
      </c>
      <c r="AM38" s="3">
        <f t="shared" si="21"/>
        <v>0</v>
      </c>
      <c r="AN38" s="3">
        <f t="shared" si="22"/>
        <v>686566.60193196777</v>
      </c>
      <c r="AO38" s="7" t="s">
        <v>127</v>
      </c>
      <c r="AP38" s="2" t="s">
        <v>55</v>
      </c>
      <c r="AQ38" s="3">
        <f t="shared" si="23"/>
        <v>194476.094912489</v>
      </c>
      <c r="AR38" s="3">
        <f t="shared" si="23"/>
        <v>45729.099786006722</v>
      </c>
      <c r="AS38" s="3">
        <f t="shared" si="23"/>
        <v>0</v>
      </c>
      <c r="AT38" s="3">
        <f t="shared" si="23"/>
        <v>0</v>
      </c>
      <c r="AU38" s="3">
        <f t="shared" si="24"/>
        <v>240205.19469849573</v>
      </c>
      <c r="AV38" s="7" t="s">
        <v>127</v>
      </c>
      <c r="AW38" s="2" t="s">
        <v>55</v>
      </c>
      <c r="AX38" s="3">
        <f t="shared" si="25"/>
        <v>446361.40723347204</v>
      </c>
      <c r="AY38" s="3">
        <f t="shared" si="25"/>
        <v>0</v>
      </c>
      <c r="AZ38" s="3">
        <f t="shared" si="25"/>
        <v>0</v>
      </c>
      <c r="BA38" s="3">
        <f t="shared" si="25"/>
        <v>0</v>
      </c>
      <c r="BB38" s="3">
        <f t="shared" si="26"/>
        <v>446361.40723347204</v>
      </c>
      <c r="BC38" s="7" t="s">
        <v>127</v>
      </c>
      <c r="BD38" s="2" t="s">
        <v>55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7" t="s">
        <v>127</v>
      </c>
      <c r="BK38" s="2" t="s">
        <v>55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7" t="s">
        <v>127</v>
      </c>
      <c r="BR38" s="2" t="s">
        <v>55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7" t="s">
        <v>127</v>
      </c>
      <c r="BY38" s="2" t="s">
        <v>55</v>
      </c>
      <c r="BZ38" s="3">
        <v>104953.2847963119</v>
      </c>
      <c r="CA38" s="3">
        <v>0</v>
      </c>
      <c r="CB38" s="3">
        <v>0</v>
      </c>
      <c r="CC38" s="3">
        <v>0</v>
      </c>
      <c r="CD38" s="3">
        <v>104953.2847963119</v>
      </c>
      <c r="CE38" s="7" t="s">
        <v>127</v>
      </c>
      <c r="CF38" s="2" t="s">
        <v>55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7" t="s">
        <v>127</v>
      </c>
      <c r="CM38" s="2" t="s">
        <v>55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7" t="s">
        <v>127</v>
      </c>
      <c r="CT38" s="2" t="s">
        <v>55</v>
      </c>
      <c r="CU38" s="3">
        <v>0</v>
      </c>
      <c r="CV38" s="3">
        <v>42851.142411141889</v>
      </c>
      <c r="CW38" s="3">
        <v>0</v>
      </c>
      <c r="CX38" s="3">
        <v>0</v>
      </c>
      <c r="CY38" s="3">
        <v>42851.142411141889</v>
      </c>
      <c r="CZ38" s="7" t="s">
        <v>127</v>
      </c>
      <c r="DA38" s="2" t="s">
        <v>55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7" t="s">
        <v>127</v>
      </c>
      <c r="DH38" s="2" t="s">
        <v>55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7" t="s">
        <v>127</v>
      </c>
      <c r="DO38" s="2" t="s">
        <v>55</v>
      </c>
      <c r="DP38" s="3">
        <v>89522.81011617709</v>
      </c>
      <c r="DQ38" s="3">
        <v>2877.9573748648354</v>
      </c>
      <c r="DR38" s="3">
        <v>0</v>
      </c>
      <c r="DS38" s="3">
        <v>0</v>
      </c>
      <c r="DT38" s="3">
        <v>92400.76749104193</v>
      </c>
      <c r="DU38" s="7" t="s">
        <v>127</v>
      </c>
      <c r="DV38" s="2" t="s">
        <v>55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7" t="s">
        <v>127</v>
      </c>
      <c r="EC38" s="2" t="s">
        <v>55</v>
      </c>
      <c r="ED38" s="3">
        <v>446361.40723347204</v>
      </c>
      <c r="EE38" s="3">
        <v>0</v>
      </c>
      <c r="EF38" s="3">
        <v>0</v>
      </c>
      <c r="EG38" s="3">
        <v>0</v>
      </c>
      <c r="EH38" s="3">
        <v>446361.40723347204</v>
      </c>
    </row>
    <row r="39" spans="1:138" ht="10.199999999999999" customHeight="1" x14ac:dyDescent="0.2">
      <c r="A39" s="7" t="s">
        <v>125</v>
      </c>
      <c r="B39" s="2" t="s">
        <v>53</v>
      </c>
      <c r="C39" s="3">
        <f t="shared" si="4"/>
        <v>0</v>
      </c>
      <c r="D39" s="3">
        <f t="shared" si="5"/>
        <v>10163.370113054158</v>
      </c>
      <c r="E39" s="3">
        <f t="shared" si="6"/>
        <v>0</v>
      </c>
      <c r="F39" s="3">
        <f t="shared" si="7"/>
        <v>171108.93877008796</v>
      </c>
      <c r="G39" s="3">
        <f t="shared" si="8"/>
        <v>123674.88980174181</v>
      </c>
      <c r="H39" s="3">
        <f t="shared" si="9"/>
        <v>0</v>
      </c>
      <c r="I39" s="3">
        <f t="shared" si="10"/>
        <v>0</v>
      </c>
      <c r="J39" s="3">
        <f t="shared" si="11"/>
        <v>0</v>
      </c>
      <c r="K39" s="3">
        <f t="shared" si="12"/>
        <v>321.22340435312515</v>
      </c>
      <c r="L39" s="3">
        <f t="shared" si="13"/>
        <v>1371.5389524676289</v>
      </c>
      <c r="M39" s="3">
        <f t="shared" si="14"/>
        <v>1161749.4543077762</v>
      </c>
      <c r="N39" s="3">
        <f t="shared" si="15"/>
        <v>117955.19282401302</v>
      </c>
      <c r="O39" s="3">
        <f t="shared" si="16"/>
        <v>1586344.6081734938</v>
      </c>
      <c r="P39" s="7" t="s">
        <v>125</v>
      </c>
      <c r="Q39" s="2" t="s">
        <v>53</v>
      </c>
      <c r="R39" s="3">
        <f t="shared" si="28"/>
        <v>0</v>
      </c>
      <c r="S39" s="3">
        <f t="shared" si="28"/>
        <v>10163.370113054158</v>
      </c>
      <c r="T39" s="3">
        <f t="shared" si="28"/>
        <v>0</v>
      </c>
      <c r="U39" s="3">
        <f t="shared" si="28"/>
        <v>171108.93877008796</v>
      </c>
      <c r="V39" s="3">
        <f t="shared" si="28"/>
        <v>123674.88980174181</v>
      </c>
      <c r="W39" s="3">
        <f t="shared" si="27"/>
        <v>0</v>
      </c>
      <c r="X39" s="3">
        <f t="shared" si="27"/>
        <v>0</v>
      </c>
      <c r="Y39" s="3">
        <f t="shared" si="27"/>
        <v>0</v>
      </c>
      <c r="Z39" s="3">
        <f t="shared" si="27"/>
        <v>321.22340435312515</v>
      </c>
      <c r="AA39" s="3">
        <f t="shared" si="27"/>
        <v>1371.5389524676289</v>
      </c>
      <c r="AB39" s="3">
        <f t="shared" si="18"/>
        <v>306639.96104170464</v>
      </c>
      <c r="AC39" s="7" t="s">
        <v>125</v>
      </c>
      <c r="AD39" s="2" t="s">
        <v>53</v>
      </c>
      <c r="AE39" s="3">
        <f t="shared" si="19"/>
        <v>1161749.4543077762</v>
      </c>
      <c r="AF39" s="3">
        <f t="shared" si="19"/>
        <v>117955.19282401302</v>
      </c>
      <c r="AG39" s="3">
        <f t="shared" si="20"/>
        <v>1279704.6471317892</v>
      </c>
      <c r="AH39" s="7" t="s">
        <v>125</v>
      </c>
      <c r="AI39" s="2" t="s">
        <v>53</v>
      </c>
      <c r="AJ39" s="3">
        <f t="shared" si="21"/>
        <v>1292239.0531321722</v>
      </c>
      <c r="AK39" s="3">
        <f t="shared" si="21"/>
        <v>294105.55504132155</v>
      </c>
      <c r="AL39" s="3">
        <f t="shared" si="21"/>
        <v>0</v>
      </c>
      <c r="AM39" s="3">
        <f t="shared" si="21"/>
        <v>0</v>
      </c>
      <c r="AN39" s="3">
        <f t="shared" si="22"/>
        <v>1586344.6081734938</v>
      </c>
      <c r="AO39" s="7" t="s">
        <v>125</v>
      </c>
      <c r="AP39" s="2" t="s">
        <v>53</v>
      </c>
      <c r="AQ39" s="3">
        <f t="shared" si="23"/>
        <v>221996.80804541716</v>
      </c>
      <c r="AR39" s="3">
        <f t="shared" si="23"/>
        <v>84643.15299628755</v>
      </c>
      <c r="AS39" s="3">
        <f t="shared" si="23"/>
        <v>0</v>
      </c>
      <c r="AT39" s="3">
        <f t="shared" si="23"/>
        <v>0</v>
      </c>
      <c r="AU39" s="3">
        <f t="shared" si="24"/>
        <v>306639.96104170469</v>
      </c>
      <c r="AV39" s="7" t="s">
        <v>125</v>
      </c>
      <c r="AW39" s="2" t="s">
        <v>53</v>
      </c>
      <c r="AX39" s="3">
        <f t="shared" si="25"/>
        <v>1070242.2450867551</v>
      </c>
      <c r="AY39" s="3">
        <f t="shared" si="25"/>
        <v>209462.40204503399</v>
      </c>
      <c r="AZ39" s="3">
        <f t="shared" si="25"/>
        <v>0</v>
      </c>
      <c r="BA39" s="3">
        <f t="shared" si="25"/>
        <v>0</v>
      </c>
      <c r="BB39" s="3">
        <f t="shared" si="26"/>
        <v>1279704.647131789</v>
      </c>
      <c r="BC39" s="7" t="s">
        <v>125</v>
      </c>
      <c r="BD39" s="2" t="s">
        <v>53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7" t="s">
        <v>125</v>
      </c>
      <c r="BK39" s="2" t="s">
        <v>53</v>
      </c>
      <c r="BL39" s="3">
        <v>10051.502239499323</v>
      </c>
      <c r="BM39" s="3">
        <v>111.8678735548343</v>
      </c>
      <c r="BN39" s="3">
        <v>0</v>
      </c>
      <c r="BO39" s="3">
        <v>0</v>
      </c>
      <c r="BP39" s="3">
        <v>10163.370113054158</v>
      </c>
      <c r="BQ39" s="7" t="s">
        <v>125</v>
      </c>
      <c r="BR39" s="2" t="s">
        <v>53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7" t="s">
        <v>125</v>
      </c>
      <c r="BY39" s="2" t="s">
        <v>53</v>
      </c>
      <c r="BZ39" s="3">
        <v>171108.93877008796</v>
      </c>
      <c r="CA39" s="3">
        <v>0</v>
      </c>
      <c r="CB39" s="3">
        <v>0</v>
      </c>
      <c r="CC39" s="3">
        <v>0</v>
      </c>
      <c r="CD39" s="3">
        <v>171108.93877008796</v>
      </c>
      <c r="CE39" s="7" t="s">
        <v>125</v>
      </c>
      <c r="CF39" s="2" t="s">
        <v>53</v>
      </c>
      <c r="CG39" s="3">
        <v>39143.604679009084</v>
      </c>
      <c r="CH39" s="3">
        <v>84531.285122732719</v>
      </c>
      <c r="CI39" s="3">
        <v>0</v>
      </c>
      <c r="CJ39" s="3">
        <v>0</v>
      </c>
      <c r="CK39" s="3">
        <v>123674.88980174181</v>
      </c>
      <c r="CL39" s="7" t="s">
        <v>125</v>
      </c>
      <c r="CM39" s="2" t="s">
        <v>53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7" t="s">
        <v>125</v>
      </c>
      <c r="CT39" s="2" t="s">
        <v>53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7" t="s">
        <v>125</v>
      </c>
      <c r="DA39" s="2" t="s">
        <v>53</v>
      </c>
      <c r="DB39" s="3">
        <v>321.22340435312515</v>
      </c>
      <c r="DC39" s="3">
        <v>0</v>
      </c>
      <c r="DD39" s="3">
        <v>0</v>
      </c>
      <c r="DE39" s="3">
        <v>0</v>
      </c>
      <c r="DF39" s="3">
        <v>321.22340435312515</v>
      </c>
      <c r="DG39" s="7" t="s">
        <v>125</v>
      </c>
      <c r="DH39" s="2" t="s">
        <v>53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7" t="s">
        <v>125</v>
      </c>
      <c r="DO39" s="2" t="s">
        <v>53</v>
      </c>
      <c r="DP39" s="3">
        <v>1371.5389524676289</v>
      </c>
      <c r="DQ39" s="3">
        <v>0</v>
      </c>
      <c r="DR39" s="3">
        <v>0</v>
      </c>
      <c r="DS39" s="3">
        <v>0</v>
      </c>
      <c r="DT39" s="3">
        <v>1371.5389524676289</v>
      </c>
      <c r="DU39" s="7" t="s">
        <v>125</v>
      </c>
      <c r="DV39" s="2" t="s">
        <v>53</v>
      </c>
      <c r="DW39" s="3">
        <v>5964.2279099736606</v>
      </c>
      <c r="DX39" s="3">
        <v>111990.96491403936</v>
      </c>
      <c r="DY39" s="3">
        <v>0</v>
      </c>
      <c r="DZ39" s="3">
        <v>0</v>
      </c>
      <c r="EA39" s="3">
        <v>117955.19282401302</v>
      </c>
      <c r="EB39" s="7" t="s">
        <v>125</v>
      </c>
      <c r="EC39" s="2" t="s">
        <v>53</v>
      </c>
      <c r="ED39" s="3">
        <v>1064278.0171767815</v>
      </c>
      <c r="EE39" s="3">
        <v>97471.437130994615</v>
      </c>
      <c r="EF39" s="3">
        <v>0</v>
      </c>
      <c r="EG39" s="3">
        <v>0</v>
      </c>
      <c r="EH39" s="3">
        <v>1161749.4543077762</v>
      </c>
    </row>
    <row r="40" spans="1:138" ht="10.199999999999999" customHeight="1" x14ac:dyDescent="0.2">
      <c r="A40" s="7" t="s">
        <v>130</v>
      </c>
      <c r="B40" s="2" t="s">
        <v>58</v>
      </c>
      <c r="C40" s="3">
        <f t="shared" si="4"/>
        <v>0</v>
      </c>
      <c r="D40" s="3">
        <f t="shared" si="5"/>
        <v>320260.05831318675</v>
      </c>
      <c r="E40" s="3">
        <f t="shared" si="6"/>
        <v>6173.0337206927106</v>
      </c>
      <c r="F40" s="3">
        <f t="shared" si="7"/>
        <v>4.6611613981180966</v>
      </c>
      <c r="G40" s="3">
        <f t="shared" si="8"/>
        <v>498.64464559247239</v>
      </c>
      <c r="H40" s="3">
        <f t="shared" si="9"/>
        <v>0</v>
      </c>
      <c r="I40" s="3">
        <f t="shared" si="10"/>
        <v>104764.69161964647</v>
      </c>
      <c r="J40" s="3">
        <f t="shared" si="11"/>
        <v>0</v>
      </c>
      <c r="K40" s="3">
        <f t="shared" si="12"/>
        <v>43361.28655351873</v>
      </c>
      <c r="L40" s="3">
        <f t="shared" si="13"/>
        <v>50748679.377089709</v>
      </c>
      <c r="M40" s="3">
        <f t="shared" si="14"/>
        <v>1730994.4827188901</v>
      </c>
      <c r="N40" s="3">
        <f t="shared" si="15"/>
        <v>103928251.4921183</v>
      </c>
      <c r="O40" s="3">
        <f t="shared" si="16"/>
        <v>156882987.72794095</v>
      </c>
      <c r="P40" s="7" t="s">
        <v>130</v>
      </c>
      <c r="Q40" s="2" t="s">
        <v>58</v>
      </c>
      <c r="R40" s="3">
        <f t="shared" si="28"/>
        <v>0</v>
      </c>
      <c r="S40" s="3">
        <f t="shared" si="28"/>
        <v>320260.05831318675</v>
      </c>
      <c r="T40" s="3">
        <f t="shared" si="28"/>
        <v>6173.0337206927106</v>
      </c>
      <c r="U40" s="3">
        <f t="shared" si="28"/>
        <v>4.6611613981180966</v>
      </c>
      <c r="V40" s="3">
        <f t="shared" si="28"/>
        <v>498.64464559247239</v>
      </c>
      <c r="W40" s="3">
        <f t="shared" si="27"/>
        <v>0</v>
      </c>
      <c r="X40" s="3">
        <f t="shared" si="27"/>
        <v>104764.69161964647</v>
      </c>
      <c r="Y40" s="3">
        <f t="shared" si="27"/>
        <v>0</v>
      </c>
      <c r="Z40" s="3">
        <f t="shared" si="27"/>
        <v>43361.28655351873</v>
      </c>
      <c r="AA40" s="3">
        <f t="shared" si="27"/>
        <v>50748679.377089709</v>
      </c>
      <c r="AB40" s="3">
        <f t="shared" si="18"/>
        <v>51223741.753103748</v>
      </c>
      <c r="AC40" s="7" t="s">
        <v>130</v>
      </c>
      <c r="AD40" s="2" t="s">
        <v>58</v>
      </c>
      <c r="AE40" s="3">
        <f t="shared" si="19"/>
        <v>1730994.4827188901</v>
      </c>
      <c r="AF40" s="3">
        <f t="shared" si="19"/>
        <v>103928251.4921183</v>
      </c>
      <c r="AG40" s="3">
        <f t="shared" si="20"/>
        <v>105659245.97483718</v>
      </c>
      <c r="AH40" s="7" t="s">
        <v>130</v>
      </c>
      <c r="AI40" s="2" t="s">
        <v>58</v>
      </c>
      <c r="AJ40" s="3">
        <f t="shared" si="21"/>
        <v>1563065.6956125002</v>
      </c>
      <c r="AK40" s="3">
        <f t="shared" si="21"/>
        <v>828493.09461411263</v>
      </c>
      <c r="AL40" s="3">
        <f t="shared" si="21"/>
        <v>184105.02155864955</v>
      </c>
      <c r="AM40" s="3">
        <f t="shared" si="21"/>
        <v>154307323.91615567</v>
      </c>
      <c r="AN40" s="3">
        <f t="shared" si="22"/>
        <v>156882987.72794092</v>
      </c>
      <c r="AO40" s="7" t="s">
        <v>130</v>
      </c>
      <c r="AP40" s="2" t="s">
        <v>58</v>
      </c>
      <c r="AQ40" s="3">
        <f t="shared" si="23"/>
        <v>33098.112393346841</v>
      </c>
      <c r="AR40" s="3">
        <f t="shared" si="23"/>
        <v>442133.42289563082</v>
      </c>
      <c r="AS40" s="3">
        <f t="shared" si="23"/>
        <v>0</v>
      </c>
      <c r="AT40" s="3">
        <f t="shared" si="23"/>
        <v>50748510.217814766</v>
      </c>
      <c r="AU40" s="3">
        <f t="shared" si="24"/>
        <v>51223741.753103741</v>
      </c>
      <c r="AV40" s="7" t="s">
        <v>130</v>
      </c>
      <c r="AW40" s="2" t="s">
        <v>58</v>
      </c>
      <c r="AX40" s="3">
        <f t="shared" si="25"/>
        <v>1529967.5832191533</v>
      </c>
      <c r="AY40" s="3">
        <f t="shared" si="25"/>
        <v>386359.67171848181</v>
      </c>
      <c r="AZ40" s="3">
        <f t="shared" si="25"/>
        <v>184105.02155864955</v>
      </c>
      <c r="BA40" s="3">
        <f t="shared" si="25"/>
        <v>103558813.69834091</v>
      </c>
      <c r="BB40" s="3">
        <f t="shared" si="26"/>
        <v>105659245.9748372</v>
      </c>
      <c r="BC40" s="7" t="s">
        <v>130</v>
      </c>
      <c r="BD40" s="2" t="s">
        <v>58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7" t="s">
        <v>130</v>
      </c>
      <c r="BK40" s="2" t="s">
        <v>58</v>
      </c>
      <c r="BL40" s="3">
        <v>290.87604326227557</v>
      </c>
      <c r="BM40" s="3">
        <v>319969.18226992449</v>
      </c>
      <c r="BN40" s="3">
        <v>0</v>
      </c>
      <c r="BO40" s="3">
        <v>0</v>
      </c>
      <c r="BP40" s="3">
        <v>320260.05831318675</v>
      </c>
      <c r="BQ40" s="7" t="s">
        <v>130</v>
      </c>
      <c r="BR40" s="2" t="s">
        <v>58</v>
      </c>
      <c r="BS40" s="3">
        <v>0</v>
      </c>
      <c r="BT40" s="3">
        <v>0</v>
      </c>
      <c r="BU40" s="3">
        <v>0</v>
      </c>
      <c r="BV40" s="3">
        <v>6173.0337206927106</v>
      </c>
      <c r="BW40" s="3">
        <v>6173.0337206927106</v>
      </c>
      <c r="BX40" s="7" t="s">
        <v>130</v>
      </c>
      <c r="BY40" s="2" t="s">
        <v>58</v>
      </c>
      <c r="BZ40" s="3">
        <v>4.6611613981180966</v>
      </c>
      <c r="CA40" s="3">
        <v>0</v>
      </c>
      <c r="CB40" s="3">
        <v>0</v>
      </c>
      <c r="CC40" s="3">
        <v>0</v>
      </c>
      <c r="CD40" s="3">
        <v>4.6611613981180966</v>
      </c>
      <c r="CE40" s="7" t="s">
        <v>130</v>
      </c>
      <c r="CF40" s="2" t="s">
        <v>58</v>
      </c>
      <c r="CG40" s="3">
        <v>498.64464559247239</v>
      </c>
      <c r="CH40" s="3">
        <v>0</v>
      </c>
      <c r="CI40" s="3">
        <v>0</v>
      </c>
      <c r="CJ40" s="3">
        <v>0</v>
      </c>
      <c r="CK40" s="3">
        <v>498.64464559247239</v>
      </c>
      <c r="CL40" s="7" t="s">
        <v>130</v>
      </c>
      <c r="CM40" s="2" t="s">
        <v>58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7" t="s">
        <v>130</v>
      </c>
      <c r="CT40" s="2" t="s">
        <v>58</v>
      </c>
      <c r="CU40" s="3">
        <v>25721.881950514089</v>
      </c>
      <c r="CV40" s="3">
        <v>79042.809669132388</v>
      </c>
      <c r="CW40" s="3">
        <v>0</v>
      </c>
      <c r="CX40" s="3">
        <v>0</v>
      </c>
      <c r="CY40" s="3">
        <v>104764.69161964647</v>
      </c>
      <c r="CZ40" s="7" t="s">
        <v>130</v>
      </c>
      <c r="DA40" s="2" t="s">
        <v>58</v>
      </c>
      <c r="DB40" s="3">
        <v>239.85559694482706</v>
      </c>
      <c r="DC40" s="3">
        <v>43121.430956573902</v>
      </c>
      <c r="DD40" s="3">
        <v>0</v>
      </c>
      <c r="DE40" s="3">
        <v>0</v>
      </c>
      <c r="DF40" s="3">
        <v>43361.28655351873</v>
      </c>
      <c r="DG40" s="7" t="s">
        <v>130</v>
      </c>
      <c r="DH40" s="2" t="s">
        <v>58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7" t="s">
        <v>130</v>
      </c>
      <c r="DO40" s="2" t="s">
        <v>58</v>
      </c>
      <c r="DP40" s="3">
        <v>6342.1929956350605</v>
      </c>
      <c r="DQ40" s="3">
        <v>0</v>
      </c>
      <c r="DR40" s="3">
        <v>0</v>
      </c>
      <c r="DS40" s="3">
        <v>50742337.184094071</v>
      </c>
      <c r="DT40" s="3">
        <v>50748679.377089709</v>
      </c>
      <c r="DU40" s="7" t="s">
        <v>130</v>
      </c>
      <c r="DV40" s="2" t="s">
        <v>58</v>
      </c>
      <c r="DW40" s="3">
        <v>185365.4003485319</v>
      </c>
      <c r="DX40" s="3">
        <v>0</v>
      </c>
      <c r="DY40" s="3">
        <v>184072.39342886271</v>
      </c>
      <c r="DZ40" s="3">
        <v>103558813.69834091</v>
      </c>
      <c r="EA40" s="3">
        <v>103928251.4921183</v>
      </c>
      <c r="EB40" s="7" t="s">
        <v>130</v>
      </c>
      <c r="EC40" s="2" t="s">
        <v>58</v>
      </c>
      <c r="ED40" s="3">
        <v>1344602.1828706216</v>
      </c>
      <c r="EE40" s="3">
        <v>386359.67171848181</v>
      </c>
      <c r="EF40" s="3">
        <v>32.628129786826676</v>
      </c>
      <c r="EG40" s="3">
        <v>0</v>
      </c>
      <c r="EH40" s="3">
        <v>1730994.4827188901</v>
      </c>
    </row>
    <row r="41" spans="1:138" ht="10.199999999999999" customHeight="1" x14ac:dyDescent="0.2">
      <c r="A41" s="7" t="s">
        <v>122</v>
      </c>
      <c r="B41" s="2" t="s">
        <v>50</v>
      </c>
      <c r="C41" s="3">
        <f t="shared" si="4"/>
        <v>0</v>
      </c>
      <c r="D41" s="3">
        <f t="shared" si="5"/>
        <v>1733.6133184789744</v>
      </c>
      <c r="E41" s="3">
        <f t="shared" si="6"/>
        <v>0</v>
      </c>
      <c r="F41" s="3">
        <f t="shared" si="7"/>
        <v>1139.7866509051448</v>
      </c>
      <c r="G41" s="3">
        <f t="shared" si="8"/>
        <v>113.72123767690789</v>
      </c>
      <c r="H41" s="3">
        <f t="shared" si="9"/>
        <v>0</v>
      </c>
      <c r="I41" s="3">
        <f t="shared" si="10"/>
        <v>0</v>
      </c>
      <c r="J41" s="3">
        <f t="shared" si="11"/>
        <v>0</v>
      </c>
      <c r="K41" s="3">
        <f t="shared" si="12"/>
        <v>99.538896860265638</v>
      </c>
      <c r="L41" s="3">
        <f t="shared" si="13"/>
        <v>6186.0990844379621</v>
      </c>
      <c r="M41" s="3">
        <f t="shared" si="14"/>
        <v>1041294.9271033624</v>
      </c>
      <c r="N41" s="3">
        <f t="shared" si="15"/>
        <v>0</v>
      </c>
      <c r="O41" s="3">
        <f t="shared" si="16"/>
        <v>1050567.6862917216</v>
      </c>
      <c r="P41" s="7" t="s">
        <v>122</v>
      </c>
      <c r="Q41" s="2" t="s">
        <v>50</v>
      </c>
      <c r="R41" s="3">
        <f t="shared" si="28"/>
        <v>0</v>
      </c>
      <c r="S41" s="3">
        <f t="shared" si="28"/>
        <v>1733.6133184789744</v>
      </c>
      <c r="T41" s="3">
        <f t="shared" si="28"/>
        <v>0</v>
      </c>
      <c r="U41" s="3">
        <f t="shared" si="28"/>
        <v>1139.7866509051448</v>
      </c>
      <c r="V41" s="3">
        <f t="shared" si="28"/>
        <v>113.72123767690789</v>
      </c>
      <c r="W41" s="3">
        <f t="shared" si="27"/>
        <v>0</v>
      </c>
      <c r="X41" s="3">
        <f t="shared" si="27"/>
        <v>0</v>
      </c>
      <c r="Y41" s="3">
        <f t="shared" si="27"/>
        <v>0</v>
      </c>
      <c r="Z41" s="3">
        <f t="shared" si="27"/>
        <v>99.538896860265638</v>
      </c>
      <c r="AA41" s="3">
        <f t="shared" si="27"/>
        <v>6186.0990844379621</v>
      </c>
      <c r="AB41" s="3">
        <f t="shared" si="18"/>
        <v>9272.759188359254</v>
      </c>
      <c r="AC41" s="7" t="s">
        <v>122</v>
      </c>
      <c r="AD41" s="2" t="s">
        <v>50</v>
      </c>
      <c r="AE41" s="3">
        <f t="shared" si="19"/>
        <v>1041294.9271033624</v>
      </c>
      <c r="AF41" s="3">
        <f t="shared" si="19"/>
        <v>0</v>
      </c>
      <c r="AG41" s="3">
        <f t="shared" si="20"/>
        <v>1041294.9271033624</v>
      </c>
      <c r="AH41" s="7" t="s">
        <v>122</v>
      </c>
      <c r="AI41" s="2" t="s">
        <v>50</v>
      </c>
      <c r="AJ41" s="3">
        <f t="shared" si="21"/>
        <v>47075.311057089806</v>
      </c>
      <c r="AK41" s="3">
        <f t="shared" si="21"/>
        <v>1003492.3752346318</v>
      </c>
      <c r="AL41" s="3">
        <f t="shared" si="21"/>
        <v>0</v>
      </c>
      <c r="AM41" s="3">
        <f t="shared" si="21"/>
        <v>0</v>
      </c>
      <c r="AN41" s="3">
        <f t="shared" si="22"/>
        <v>1050567.6862917216</v>
      </c>
      <c r="AO41" s="7" t="s">
        <v>122</v>
      </c>
      <c r="AP41" s="2" t="s">
        <v>50</v>
      </c>
      <c r="AQ41" s="3">
        <f t="shared" si="23"/>
        <v>9157.9183087697893</v>
      </c>
      <c r="AR41" s="3">
        <f t="shared" si="23"/>
        <v>114.84087958946506</v>
      </c>
      <c r="AS41" s="3">
        <f t="shared" si="23"/>
        <v>0</v>
      </c>
      <c r="AT41" s="3">
        <f t="shared" si="23"/>
        <v>0</v>
      </c>
      <c r="AU41" s="3">
        <f t="shared" si="24"/>
        <v>9272.759188359254</v>
      </c>
      <c r="AV41" s="7" t="s">
        <v>122</v>
      </c>
      <c r="AW41" s="2" t="s">
        <v>50</v>
      </c>
      <c r="AX41" s="3">
        <f t="shared" si="25"/>
        <v>37917.392748320017</v>
      </c>
      <c r="AY41" s="3">
        <f t="shared" si="25"/>
        <v>1003377.5343550424</v>
      </c>
      <c r="AZ41" s="3">
        <f t="shared" si="25"/>
        <v>0</v>
      </c>
      <c r="BA41" s="3">
        <f t="shared" si="25"/>
        <v>0</v>
      </c>
      <c r="BB41" s="3">
        <f t="shared" si="26"/>
        <v>1041294.9271033624</v>
      </c>
      <c r="BC41" s="7" t="s">
        <v>122</v>
      </c>
      <c r="BD41" s="2" t="s">
        <v>50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7" t="s">
        <v>122</v>
      </c>
      <c r="BK41" s="2" t="s">
        <v>50</v>
      </c>
      <c r="BL41" s="3">
        <v>1733.6133184789744</v>
      </c>
      <c r="BM41" s="3">
        <v>0</v>
      </c>
      <c r="BN41" s="3">
        <v>0</v>
      </c>
      <c r="BO41" s="3">
        <v>0</v>
      </c>
      <c r="BP41" s="3">
        <v>1733.6133184789744</v>
      </c>
      <c r="BQ41" s="7" t="s">
        <v>122</v>
      </c>
      <c r="BR41" s="2" t="s">
        <v>50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7" t="s">
        <v>122</v>
      </c>
      <c r="BY41" s="2" t="s">
        <v>50</v>
      </c>
      <c r="BZ41" s="3">
        <v>1139.7866509051448</v>
      </c>
      <c r="CA41" s="3">
        <v>0</v>
      </c>
      <c r="CB41" s="3">
        <v>0</v>
      </c>
      <c r="CC41" s="3">
        <v>0</v>
      </c>
      <c r="CD41" s="3">
        <v>1139.7866509051448</v>
      </c>
      <c r="CE41" s="7" t="s">
        <v>122</v>
      </c>
      <c r="CF41" s="2" t="s">
        <v>50</v>
      </c>
      <c r="CG41" s="3">
        <v>59.341021365530104</v>
      </c>
      <c r="CH41" s="3">
        <v>54.380216311377787</v>
      </c>
      <c r="CI41" s="3">
        <v>0</v>
      </c>
      <c r="CJ41" s="3">
        <v>0</v>
      </c>
      <c r="CK41" s="3">
        <v>113.72123767690789</v>
      </c>
      <c r="CL41" s="7" t="s">
        <v>122</v>
      </c>
      <c r="CM41" s="2" t="s">
        <v>50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7" t="s">
        <v>122</v>
      </c>
      <c r="CT41" s="2" t="s">
        <v>50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7" t="s">
        <v>122</v>
      </c>
      <c r="DA41" s="2" t="s">
        <v>50</v>
      </c>
      <c r="DB41" s="3">
        <v>99.538896860265638</v>
      </c>
      <c r="DC41" s="3">
        <v>0</v>
      </c>
      <c r="DD41" s="3">
        <v>0</v>
      </c>
      <c r="DE41" s="3">
        <v>0</v>
      </c>
      <c r="DF41" s="3">
        <v>99.538896860265638</v>
      </c>
      <c r="DG41" s="7" t="s">
        <v>122</v>
      </c>
      <c r="DH41" s="2" t="s">
        <v>50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7" t="s">
        <v>122</v>
      </c>
      <c r="DO41" s="2" t="s">
        <v>50</v>
      </c>
      <c r="DP41" s="3">
        <v>6125.6384211598752</v>
      </c>
      <c r="DQ41" s="3">
        <v>60.460663278087274</v>
      </c>
      <c r="DR41" s="3">
        <v>0</v>
      </c>
      <c r="DS41" s="3">
        <v>0</v>
      </c>
      <c r="DT41" s="3">
        <v>6186.0990844379621</v>
      </c>
      <c r="DU41" s="7" t="s">
        <v>122</v>
      </c>
      <c r="DV41" s="2" t="s">
        <v>50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7" t="s">
        <v>122</v>
      </c>
      <c r="EC41" s="2" t="s">
        <v>50</v>
      </c>
      <c r="ED41" s="3">
        <v>37917.392748320017</v>
      </c>
      <c r="EE41" s="3">
        <v>1003377.5343550424</v>
      </c>
      <c r="EF41" s="3">
        <v>0</v>
      </c>
      <c r="EG41" s="3">
        <v>0</v>
      </c>
      <c r="EH41" s="3">
        <v>1041294.9271033624</v>
      </c>
    </row>
    <row r="42" spans="1:138" ht="10.199999999999999" customHeight="1" x14ac:dyDescent="0.2">
      <c r="A42" s="8"/>
      <c r="B42" s="4" t="s">
        <v>59</v>
      </c>
      <c r="C42" s="3">
        <f>SUM(C4:C41)</f>
        <v>315133.58911488432</v>
      </c>
      <c r="D42" s="3">
        <f t="shared" ref="D42:O42" si="29">SUM(D4:D41)</f>
        <v>8576655.4746061675</v>
      </c>
      <c r="E42" s="3">
        <f t="shared" si="29"/>
        <v>467155755.52410114</v>
      </c>
      <c r="F42" s="3">
        <f t="shared" si="29"/>
        <v>405277530.56435114</v>
      </c>
      <c r="G42" s="3">
        <f t="shared" si="29"/>
        <v>9680929.8416790105</v>
      </c>
      <c r="H42" s="3">
        <f t="shared" si="29"/>
        <v>162526235.92737705</v>
      </c>
      <c r="I42" s="3">
        <f t="shared" si="29"/>
        <v>52499674.404349573</v>
      </c>
      <c r="J42" s="3">
        <f t="shared" si="29"/>
        <v>356461875.55246049</v>
      </c>
      <c r="K42" s="3">
        <f t="shared" si="29"/>
        <v>120246114.74923648</v>
      </c>
      <c r="L42" s="3">
        <f t="shared" si="29"/>
        <v>127663656.33842355</v>
      </c>
      <c r="M42" s="3">
        <f t="shared" si="29"/>
        <v>116319004.84835036</v>
      </c>
      <c r="N42" s="3">
        <f t="shared" si="29"/>
        <v>528575025.49307632</v>
      </c>
      <c r="O42" s="3">
        <f t="shared" si="29"/>
        <v>2355297592.307126</v>
      </c>
      <c r="P42" s="8"/>
      <c r="Q42" s="4" t="s">
        <v>59</v>
      </c>
      <c r="R42" s="3">
        <f>SUM(R4:R41)</f>
        <v>315133.58911488432</v>
      </c>
      <c r="S42" s="3">
        <f t="shared" ref="S42:AB42" si="30">SUM(S4:S41)</f>
        <v>8576655.4746061675</v>
      </c>
      <c r="T42" s="3">
        <f t="shared" si="30"/>
        <v>467155755.52410114</v>
      </c>
      <c r="U42" s="3">
        <f t="shared" si="30"/>
        <v>405277530.56435114</v>
      </c>
      <c r="V42" s="3">
        <f t="shared" si="30"/>
        <v>9680929.8416790105</v>
      </c>
      <c r="W42" s="3">
        <f t="shared" si="30"/>
        <v>162526235.92737705</v>
      </c>
      <c r="X42" s="3">
        <f t="shared" si="30"/>
        <v>52499674.404349573</v>
      </c>
      <c r="Y42" s="3">
        <f t="shared" si="30"/>
        <v>356461875.55246049</v>
      </c>
      <c r="Z42" s="3">
        <f t="shared" si="30"/>
        <v>120246114.74923648</v>
      </c>
      <c r="AA42" s="3">
        <f t="shared" si="30"/>
        <v>127663656.33842355</v>
      </c>
      <c r="AB42" s="3">
        <f t="shared" si="30"/>
        <v>1710403561.9656992</v>
      </c>
      <c r="AC42" s="8"/>
      <c r="AD42" s="4" t="s">
        <v>59</v>
      </c>
      <c r="AE42" s="3">
        <f>SUM(AE4:AE41)</f>
        <v>116319004.84835036</v>
      </c>
      <c r="AF42" s="3">
        <f t="shared" ref="AF42:AG42" si="31">SUM(AF4:AF41)</f>
        <v>528575025.49307632</v>
      </c>
      <c r="AG42" s="3">
        <f t="shared" si="31"/>
        <v>644894030.34142661</v>
      </c>
      <c r="AH42" s="8"/>
      <c r="AI42" s="4" t="s">
        <v>59</v>
      </c>
      <c r="AJ42" s="3">
        <f>SUM(AJ4:AJ41)</f>
        <v>229144678.63248178</v>
      </c>
      <c r="AK42" s="3">
        <f t="shared" ref="AK42:AN42" si="32">SUM(AK4:AK41)</f>
        <v>651271024.28239441</v>
      </c>
      <c r="AL42" s="3">
        <f t="shared" si="32"/>
        <v>227003494.26304391</v>
      </c>
      <c r="AM42" s="3">
        <f t="shared" si="32"/>
        <v>1247878395.1292057</v>
      </c>
      <c r="AN42" s="3">
        <f t="shared" si="32"/>
        <v>2355297592.3071265</v>
      </c>
      <c r="AO42" s="8"/>
      <c r="AP42" s="4" t="s">
        <v>59</v>
      </c>
      <c r="AQ42" s="3">
        <f>SUM(AQ4:AQ41)</f>
        <v>140368986.19794804</v>
      </c>
      <c r="AR42" s="3">
        <f t="shared" ref="AR42:AU42" si="33">SUM(AR4:AR41)</f>
        <v>522900785.92652172</v>
      </c>
      <c r="AS42" s="3">
        <f t="shared" si="33"/>
        <v>118365020.58262241</v>
      </c>
      <c r="AT42" s="3">
        <f t="shared" si="33"/>
        <v>928768769.25860751</v>
      </c>
      <c r="AU42" s="3">
        <f t="shared" si="33"/>
        <v>1710403561.9656997</v>
      </c>
      <c r="AV42" s="8"/>
      <c r="AW42" s="4" t="s">
        <v>59</v>
      </c>
      <c r="AX42" s="3">
        <f>SUM(AX4:AX41)</f>
        <v>88775692.43453379</v>
      </c>
      <c r="AY42" s="3">
        <f t="shared" ref="AY42:BB42" si="34">SUM(AY4:AY41)</f>
        <v>128370238.35587263</v>
      </c>
      <c r="AZ42" s="3">
        <f t="shared" si="34"/>
        <v>108638473.68042147</v>
      </c>
      <c r="BA42" s="3">
        <f t="shared" si="34"/>
        <v>319109625.87059873</v>
      </c>
      <c r="BB42" s="3">
        <f t="shared" si="34"/>
        <v>644894030.34142661</v>
      </c>
      <c r="BC42" s="8"/>
      <c r="BD42" s="4" t="s">
        <v>59</v>
      </c>
      <c r="BE42" s="3">
        <v>204447.51817220025</v>
      </c>
      <c r="BF42" s="3">
        <v>52958.307922469729</v>
      </c>
      <c r="BG42" s="3">
        <v>57727.763020214348</v>
      </c>
      <c r="BH42" s="3">
        <v>0</v>
      </c>
      <c r="BI42" s="3">
        <v>315133.58911488432</v>
      </c>
      <c r="BJ42" s="8"/>
      <c r="BK42" s="4" t="s">
        <v>59</v>
      </c>
      <c r="BL42" s="3">
        <v>240370.39461841001</v>
      </c>
      <c r="BM42" s="3">
        <v>1231592.1169725265</v>
      </c>
      <c r="BN42" s="3">
        <v>2378206.8108715126</v>
      </c>
      <c r="BO42" s="3">
        <v>4726486.1521437177</v>
      </c>
      <c r="BP42" s="3">
        <v>8576655.4746061675</v>
      </c>
      <c r="BQ42" s="8"/>
      <c r="BR42" s="4" t="s">
        <v>59</v>
      </c>
      <c r="BS42" s="3">
        <v>7472948.4187361542</v>
      </c>
      <c r="BT42" s="3">
        <v>12011594.813216014</v>
      </c>
      <c r="BU42" s="3">
        <v>11112328.468779212</v>
      </c>
      <c r="BV42" s="3">
        <v>436558883.82336974</v>
      </c>
      <c r="BW42" s="3">
        <v>467155755.52410114</v>
      </c>
      <c r="BX42" s="8"/>
      <c r="BY42" s="4" t="s">
        <v>59</v>
      </c>
      <c r="BZ42" s="3">
        <v>39619907.867605686</v>
      </c>
      <c r="CA42" s="3">
        <v>337780240.55560297</v>
      </c>
      <c r="CB42" s="3">
        <v>21915260.405906722</v>
      </c>
      <c r="CC42" s="3">
        <v>5962121.7352357088</v>
      </c>
      <c r="CD42" s="3">
        <v>405277530.56435114</v>
      </c>
      <c r="CE42" s="8"/>
      <c r="CF42" s="4" t="s">
        <v>59</v>
      </c>
      <c r="CG42" s="3">
        <v>5319480.6835549604</v>
      </c>
      <c r="CH42" s="3">
        <v>3329952.5460582082</v>
      </c>
      <c r="CI42" s="3">
        <v>171286.98174621945</v>
      </c>
      <c r="CJ42" s="3">
        <v>860209.6303196199</v>
      </c>
      <c r="CK42" s="3">
        <v>9680929.8416790105</v>
      </c>
      <c r="CL42" s="8"/>
      <c r="CM42" s="4" t="s">
        <v>59</v>
      </c>
      <c r="CN42" s="3">
        <v>0</v>
      </c>
      <c r="CO42" s="3">
        <v>0</v>
      </c>
      <c r="CP42" s="3">
        <v>72712710.647111937</v>
      </c>
      <c r="CQ42" s="3">
        <v>89813525.280265138</v>
      </c>
      <c r="CR42" s="3">
        <v>162526235.92737705</v>
      </c>
      <c r="CS42" s="8"/>
      <c r="CT42" s="4" t="s">
        <v>59</v>
      </c>
      <c r="CU42" s="3">
        <v>44881330.166635886</v>
      </c>
      <c r="CV42" s="3">
        <v>7192786.1574709956</v>
      </c>
      <c r="CW42" s="3">
        <v>425558.08024268318</v>
      </c>
      <c r="CX42" s="3">
        <v>0</v>
      </c>
      <c r="CY42" s="3">
        <v>52499674.404349573</v>
      </c>
      <c r="CZ42" s="8"/>
      <c r="DA42" s="4" t="s">
        <v>59</v>
      </c>
      <c r="DB42" s="3">
        <v>6562738.9654758321</v>
      </c>
      <c r="DC42" s="3">
        <v>103299501.15162511</v>
      </c>
      <c r="DD42" s="3">
        <v>3261038.3952369522</v>
      </c>
      <c r="DE42" s="3">
        <v>7122836.2368986057</v>
      </c>
      <c r="DF42" s="3">
        <v>120246114.74923648</v>
      </c>
      <c r="DG42" s="8"/>
      <c r="DH42" s="4" t="s">
        <v>59</v>
      </c>
      <c r="DI42" s="3">
        <v>26239863.66426475</v>
      </c>
      <c r="DJ42" s="3">
        <v>1631887.641553815</v>
      </c>
      <c r="DK42" s="3">
        <v>5138589.8666456006</v>
      </c>
      <c r="DL42" s="3">
        <v>323451534.3799963</v>
      </c>
      <c r="DM42" s="3">
        <v>356461875.55246049</v>
      </c>
      <c r="DN42" s="8"/>
      <c r="DO42" s="4" t="s">
        <v>59</v>
      </c>
      <c r="DP42" s="3">
        <v>9827898.5188841242</v>
      </c>
      <c r="DQ42" s="3">
        <v>56370272.636099555</v>
      </c>
      <c r="DR42" s="3">
        <v>1192313.1630613529</v>
      </c>
      <c r="DS42" s="3">
        <v>60273172.020378515</v>
      </c>
      <c r="DT42" s="3">
        <v>127663656.33842355</v>
      </c>
      <c r="DU42" s="8"/>
      <c r="DV42" s="4" t="s">
        <v>59</v>
      </c>
      <c r="DW42" s="3">
        <v>20653523.259079032</v>
      </c>
      <c r="DX42" s="3">
        <v>84999572.543698952</v>
      </c>
      <c r="DY42" s="3">
        <v>103812325.57178605</v>
      </c>
      <c r="DZ42" s="3">
        <v>319109604.11851221</v>
      </c>
      <c r="EA42" s="3">
        <v>528575025.49307632</v>
      </c>
      <c r="EB42" s="8"/>
      <c r="EC42" s="4" t="s">
        <v>59</v>
      </c>
      <c r="ED42" s="3">
        <v>68122169.175454736</v>
      </c>
      <c r="EE42" s="3">
        <v>43370665.812173672</v>
      </c>
      <c r="EF42" s="3">
        <v>4826148.10863542</v>
      </c>
      <c r="EG42" s="3">
        <v>21.752086524551117</v>
      </c>
      <c r="EH42" s="3">
        <v>116319004.84835036</v>
      </c>
    </row>
    <row r="43" spans="1:138" ht="10.199999999999999" customHeight="1" x14ac:dyDescent="0.2">
      <c r="O43" s="1">
        <f>AB42+AG42</f>
        <v>2355297592.307126</v>
      </c>
      <c r="AJ43" s="5"/>
      <c r="AK43" s="5"/>
      <c r="AN43" s="1">
        <f>O42</f>
        <v>2355297592.307126</v>
      </c>
      <c r="AQ43" s="5"/>
      <c r="AR43" s="5"/>
      <c r="AU43" s="1">
        <f>AB42</f>
        <v>1710403561.9656992</v>
      </c>
      <c r="AX43" s="5"/>
      <c r="AY43" s="5"/>
      <c r="BB43" s="1">
        <f>AG42</f>
        <v>644894030.34142661</v>
      </c>
      <c r="BE43" s="5"/>
      <c r="BF43" s="5"/>
      <c r="BL43" s="5"/>
      <c r="BM43" s="5"/>
      <c r="BS43" s="5"/>
      <c r="BT43" s="5"/>
      <c r="BZ43" s="5"/>
      <c r="CA43" s="5"/>
      <c r="CG43" s="5"/>
      <c r="CH43" s="5"/>
      <c r="CN43" s="5"/>
      <c r="CO43" s="5"/>
      <c r="CU43" s="5"/>
      <c r="CV43" s="5"/>
      <c r="DB43" s="5"/>
      <c r="DC43" s="5"/>
      <c r="DI43" s="5"/>
      <c r="DJ43" s="5"/>
      <c r="DP43" s="5"/>
      <c r="DQ43" s="5"/>
      <c r="DW43" s="5"/>
      <c r="DX43" s="5"/>
      <c r="ED43" s="5"/>
      <c r="EE43" s="5"/>
    </row>
    <row r="44" spans="1:138" ht="10.199999999999999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E44" s="6"/>
      <c r="AF44" s="6"/>
      <c r="AG44" s="6"/>
    </row>
    <row r="46" spans="1:138" ht="10.199999999999999" customHeight="1" x14ac:dyDescent="0.2">
      <c r="AN46" s="5"/>
      <c r="AU46" s="5"/>
      <c r="BB46" s="5"/>
      <c r="BI46" s="5"/>
      <c r="BP46" s="5"/>
      <c r="BW46" s="5"/>
      <c r="CD46" s="5"/>
      <c r="CK46" s="5"/>
      <c r="CR46" s="5"/>
      <c r="CY46" s="5"/>
      <c r="DF46" s="5"/>
      <c r="DM46" s="5"/>
      <c r="DT46" s="5"/>
      <c r="EA46" s="5"/>
      <c r="EH46" s="5"/>
    </row>
    <row r="47" spans="1:138" ht="10.199999999999999" customHeight="1" x14ac:dyDescent="0.25">
      <c r="B47" s="18" t="str">
        <f>A1</f>
        <v>Tabel 157 Jumlah Pemasaran Produk (Kg) berdasarkan Jenis Kegiatan</v>
      </c>
      <c r="AN47" s="5"/>
      <c r="AU47" s="5"/>
      <c r="BB47" s="5"/>
      <c r="BI47" s="5"/>
      <c r="BP47" s="5"/>
      <c r="BW47" s="5"/>
      <c r="CD47" s="5"/>
      <c r="CK47" s="5"/>
      <c r="CR47" s="5"/>
      <c r="CY47" s="5"/>
      <c r="DF47" s="5"/>
      <c r="DM47" s="5"/>
      <c r="DT47" s="5"/>
      <c r="EA47" s="5"/>
      <c r="EH47" s="5"/>
    </row>
    <row r="48" spans="1:138" ht="10.199999999999999" customHeight="1" x14ac:dyDescent="0.25">
      <c r="B48" s="18" t="str">
        <f>P1</f>
        <v>Tabel 158 Jumlah Pemasaran Produk (Kg) berdasarkan Jenis Kegiatan Pengolahan</v>
      </c>
    </row>
    <row r="49" spans="2:2" ht="10.199999999999999" customHeight="1" x14ac:dyDescent="0.25">
      <c r="B49" s="18" t="str">
        <f>AC1</f>
        <v>Tabel 159 Jumlah Pemasaran Produk (Kg) berdasarkan Jenis Kegiatan Pemasaran</v>
      </c>
    </row>
    <row r="50" spans="2:2" ht="10.199999999999999" customHeight="1" x14ac:dyDescent="0.25">
      <c r="B50" s="18" t="str">
        <f>AH1</f>
        <v xml:space="preserve">Tabel 160 Jumlah Pemasaran Produk (Kg) berdasarkan Skala Usaha </v>
      </c>
    </row>
    <row r="51" spans="2:2" ht="10.199999999999999" customHeight="1" x14ac:dyDescent="0.25">
      <c r="B51" s="18" t="str">
        <f>AO1</f>
        <v>Tabel 161 Jumlah Pemasaran Produk (Kg) berdasarkan Skala Usaha pada Kegiatan Pengolahan</v>
      </c>
    </row>
    <row r="52" spans="2:2" ht="10.199999999999999" customHeight="1" x14ac:dyDescent="0.25">
      <c r="B52" s="18" t="str">
        <f>AV1</f>
        <v>Tabel 162 Jumlah Pemasaran Produk (Kg) berdasarkan Skala Usaha pada Kegiatan Pemasaran</v>
      </c>
    </row>
    <row r="53" spans="2:2" ht="10.199999999999999" customHeight="1" x14ac:dyDescent="0.25">
      <c r="B53" s="18" t="str">
        <f>BC1</f>
        <v xml:space="preserve">Tabel 163 Jumlah Pemasaran Produk (Kg) berdasarkan Skala Usaha pada Jenis Kegiatan Fermentasi </v>
      </c>
    </row>
    <row r="54" spans="2:2" ht="10.199999999999999" customHeight="1" x14ac:dyDescent="0.25">
      <c r="B54" s="18" t="str">
        <f>BJ1</f>
        <v xml:space="preserve">Tabel 164 Jumlah Pemasaran Produk (Kg) berdasarkan Skala Usaha pada Jenis Kegiatan Pelumatan Daging Ikan </v>
      </c>
    </row>
    <row r="55" spans="2:2" ht="10.199999999999999" customHeight="1" x14ac:dyDescent="0.25">
      <c r="B55" s="18" t="str">
        <f>BQ1</f>
        <v xml:space="preserve">Tabel 165 Jumlah Pemasaran Produk (Kg) berdasarkan Skala Usaha pada Jenis Kegiatan Pembekuan </v>
      </c>
    </row>
    <row r="56" spans="2:2" ht="10.199999999999999" customHeight="1" x14ac:dyDescent="0.25">
      <c r="B56" s="18" t="str">
        <f>BX1</f>
        <v xml:space="preserve">Tabel 166 Jumlah Pemasaran Produk (Kg) berdasarkan Skala Usaha pada Jenis Kegiatan Pemindangan </v>
      </c>
    </row>
    <row r="57" spans="2:2" ht="10.199999999999999" customHeight="1" x14ac:dyDescent="0.25">
      <c r="B57" s="18" t="str">
        <f>CE1</f>
        <v xml:space="preserve">Tabel 167 Jumlah Pemasaran Produk (Kg) berdasarkan Skala Usaha pada Jenis Kegiatan Penanganan Produk Segar  </v>
      </c>
    </row>
    <row r="58" spans="2:2" ht="10.199999999999999" customHeight="1" x14ac:dyDescent="0.25">
      <c r="B58" s="18" t="str">
        <f>CL1</f>
        <v xml:space="preserve">Tabel 168 Jumlah Pemasaran Produk (Kg) berdasarkan Skala Usaha pada Jenis Kegiatan Pengalengan </v>
      </c>
    </row>
    <row r="59" spans="2:2" ht="10.199999999999999" customHeight="1" x14ac:dyDescent="0.25">
      <c r="B59" s="18" t="str">
        <f>CS1</f>
        <v xml:space="preserve">Tabel 169 Jumlah Pemasaran Produk (Kg) berdasarkan Skala Usaha pada Jenis Kegiatan Pengasapan / Pemanggangan </v>
      </c>
    </row>
    <row r="60" spans="2:2" ht="10.199999999999999" customHeight="1" x14ac:dyDescent="0.25">
      <c r="B60" s="18" t="str">
        <f>CZ1</f>
        <v xml:space="preserve">Tabel 170 Jumlah Pemasaran Produk (Kg) berdasarkan Skala Usaha pada Jenis Kegiatan Penggaraman / Pengeringan </v>
      </c>
    </row>
    <row r="61" spans="2:2" ht="10.199999999999999" customHeight="1" x14ac:dyDescent="0.25">
      <c r="B61" s="18" t="str">
        <f>DG1</f>
        <v xml:space="preserve">Tabel 171 Jumlah Pemasaran Produk (Kg) berdasarkan Skala Usaha pada Jenis Kegiatan Pereduksian/Ekstraksi </v>
      </c>
    </row>
    <row r="62" spans="2:2" ht="10.199999999999999" customHeight="1" x14ac:dyDescent="0.25">
      <c r="B62" s="18" t="str">
        <f>DN1</f>
        <v xml:space="preserve">Tabel 172 Jumlah Pemasaran Produk (Kg) berdasarkan Skala Usaha pada Jenis Kegiatan Pengolahan Lainnya </v>
      </c>
    </row>
    <row r="63" spans="2:2" ht="10.199999999999999" customHeight="1" x14ac:dyDescent="0.25">
      <c r="B63" s="18" t="str">
        <f>DU1</f>
        <v xml:space="preserve">Tabel 173 Jumlah Pemasaran Produk (Kg) berdasarkan Skala Usaha pada Jenis Kegiatan Pengumpul/Pedagang Besar/Distributor </v>
      </c>
    </row>
    <row r="64" spans="2:2" ht="10.199999999999999" customHeight="1" x14ac:dyDescent="0.25">
      <c r="B64" s="18" t="str">
        <f>EB1</f>
        <v xml:space="preserve">Tabel 174 Jumlah Pemasaran Produk (Kg) berdasarkan Skala Usaha pada Jenis Kegiatan Pengecer </v>
      </c>
    </row>
    <row r="67" spans="1:132" s="21" customFormat="1" ht="12" x14ac:dyDescent="0.25">
      <c r="A67" s="67" t="s">
        <v>0</v>
      </c>
      <c r="B67" s="67" t="s">
        <v>4</v>
      </c>
      <c r="C67" s="33" t="s">
        <v>444</v>
      </c>
    </row>
    <row r="68" spans="1:132" s="18" customFormat="1" ht="12" x14ac:dyDescent="0.25">
      <c r="A68" s="72">
        <v>1</v>
      </c>
      <c r="B68" s="69" t="s">
        <v>9</v>
      </c>
      <c r="C68" s="34">
        <f>C42</f>
        <v>315133.58911488432</v>
      </c>
      <c r="P68" s="21"/>
      <c r="AC68" s="21"/>
      <c r="AH68" s="21"/>
      <c r="AO68" s="21"/>
      <c r="AV68" s="21"/>
      <c r="BC68" s="21"/>
      <c r="BJ68" s="21"/>
      <c r="BQ68" s="21"/>
      <c r="BX68" s="21"/>
      <c r="CE68" s="21"/>
      <c r="CL68" s="21"/>
      <c r="CS68" s="21"/>
      <c r="CZ68" s="21"/>
      <c r="DG68" s="21"/>
      <c r="DN68" s="21"/>
      <c r="DU68" s="21"/>
      <c r="EB68" s="21"/>
    </row>
    <row r="69" spans="1:132" s="18" customFormat="1" ht="12" x14ac:dyDescent="0.25">
      <c r="A69" s="72">
        <v>2</v>
      </c>
      <c r="B69" s="69" t="s">
        <v>10</v>
      </c>
      <c r="C69" s="34">
        <f>D42</f>
        <v>8576655.4746061675</v>
      </c>
      <c r="P69" s="21"/>
      <c r="AC69" s="21"/>
      <c r="AH69" s="21"/>
      <c r="AO69" s="21"/>
      <c r="AV69" s="21"/>
      <c r="BC69" s="21"/>
      <c r="BJ69" s="21"/>
      <c r="BQ69" s="21"/>
      <c r="BX69" s="21"/>
      <c r="CE69" s="21"/>
      <c r="CL69" s="21"/>
      <c r="CS69" s="21"/>
      <c r="CZ69" s="21"/>
      <c r="DG69" s="21"/>
      <c r="DN69" s="21"/>
      <c r="DU69" s="21"/>
      <c r="EB69" s="21"/>
    </row>
    <row r="70" spans="1:132" s="18" customFormat="1" ht="12" x14ac:dyDescent="0.25">
      <c r="A70" s="72">
        <v>3</v>
      </c>
      <c r="B70" s="69" t="s">
        <v>11</v>
      </c>
      <c r="C70" s="34">
        <f>E42</f>
        <v>467155755.52410114</v>
      </c>
      <c r="P70" s="21"/>
      <c r="AC70" s="21"/>
      <c r="AH70" s="21"/>
      <c r="AO70" s="21"/>
      <c r="AV70" s="21"/>
      <c r="BC70" s="21"/>
      <c r="BJ70" s="21"/>
      <c r="BQ70" s="21"/>
      <c r="BX70" s="21"/>
      <c r="CE70" s="21"/>
      <c r="CL70" s="21"/>
      <c r="CS70" s="21"/>
      <c r="CZ70" s="21"/>
      <c r="DG70" s="21"/>
      <c r="DN70" s="21"/>
      <c r="DU70" s="21"/>
      <c r="EB70" s="21"/>
    </row>
    <row r="71" spans="1:132" s="18" customFormat="1" ht="12" x14ac:dyDescent="0.25">
      <c r="A71" s="72">
        <v>4</v>
      </c>
      <c r="B71" s="69" t="s">
        <v>12</v>
      </c>
      <c r="C71" s="34">
        <f>F42</f>
        <v>405277530.56435114</v>
      </c>
      <c r="P71" s="21"/>
      <c r="AC71" s="21"/>
      <c r="AH71" s="21"/>
      <c r="AO71" s="21"/>
      <c r="AV71" s="21"/>
      <c r="BC71" s="21"/>
      <c r="BJ71" s="21"/>
      <c r="BQ71" s="21"/>
      <c r="BX71" s="21"/>
      <c r="CE71" s="21"/>
      <c r="CL71" s="21"/>
      <c r="CS71" s="21"/>
      <c r="CZ71" s="21"/>
      <c r="DG71" s="21"/>
      <c r="DN71" s="21"/>
      <c r="DU71" s="21"/>
      <c r="EB71" s="21"/>
    </row>
    <row r="72" spans="1:132" s="18" customFormat="1" ht="12" x14ac:dyDescent="0.25">
      <c r="A72" s="72">
        <v>5</v>
      </c>
      <c r="B72" s="69" t="s">
        <v>13</v>
      </c>
      <c r="C72" s="34">
        <f>G42</f>
        <v>9680929.8416790105</v>
      </c>
      <c r="P72" s="21"/>
      <c r="AC72" s="21"/>
      <c r="AH72" s="21"/>
      <c r="AO72" s="21"/>
      <c r="AV72" s="21"/>
      <c r="BC72" s="21"/>
      <c r="BJ72" s="21"/>
      <c r="BQ72" s="21"/>
      <c r="BX72" s="21"/>
      <c r="CE72" s="21"/>
      <c r="CL72" s="21"/>
      <c r="CS72" s="21"/>
      <c r="CZ72" s="21"/>
      <c r="DG72" s="21"/>
      <c r="DN72" s="21"/>
      <c r="DU72" s="21"/>
      <c r="EB72" s="21"/>
    </row>
    <row r="73" spans="1:132" s="18" customFormat="1" ht="12" x14ac:dyDescent="0.25">
      <c r="A73" s="72">
        <v>6</v>
      </c>
      <c r="B73" s="69" t="s">
        <v>14</v>
      </c>
      <c r="C73" s="34">
        <f>H42</f>
        <v>162526235.92737705</v>
      </c>
      <c r="P73" s="21"/>
      <c r="AC73" s="21"/>
      <c r="AH73" s="21"/>
      <c r="AO73" s="21"/>
      <c r="AV73" s="21"/>
      <c r="BC73" s="21"/>
      <c r="BJ73" s="21"/>
      <c r="BQ73" s="21"/>
      <c r="BX73" s="21"/>
      <c r="CE73" s="21"/>
      <c r="CL73" s="21"/>
      <c r="CS73" s="21"/>
      <c r="CZ73" s="21"/>
      <c r="DG73" s="21"/>
      <c r="DN73" s="21"/>
      <c r="DU73" s="21"/>
      <c r="EB73" s="21"/>
    </row>
    <row r="74" spans="1:132" s="18" customFormat="1" ht="12" x14ac:dyDescent="0.25">
      <c r="A74" s="72">
        <v>7</v>
      </c>
      <c r="B74" s="69" t="s">
        <v>15</v>
      </c>
      <c r="C74" s="34">
        <f>I42</f>
        <v>52499674.404349573</v>
      </c>
      <c r="P74" s="21"/>
      <c r="AC74" s="21"/>
      <c r="AH74" s="21"/>
      <c r="AO74" s="21"/>
      <c r="AV74" s="21"/>
      <c r="BC74" s="21"/>
      <c r="BJ74" s="21"/>
      <c r="BQ74" s="21"/>
      <c r="BX74" s="21"/>
      <c r="CE74" s="21"/>
      <c r="CL74" s="21"/>
      <c r="CS74" s="21"/>
      <c r="CZ74" s="21"/>
      <c r="DG74" s="21"/>
      <c r="DN74" s="21"/>
      <c r="DU74" s="21"/>
      <c r="EB74" s="21"/>
    </row>
    <row r="75" spans="1:132" s="18" customFormat="1" ht="12" x14ac:dyDescent="0.25">
      <c r="A75" s="72">
        <v>8</v>
      </c>
      <c r="B75" s="69" t="s">
        <v>19</v>
      </c>
      <c r="C75" s="34">
        <f>J42</f>
        <v>356461875.55246049</v>
      </c>
      <c r="P75" s="21"/>
      <c r="AC75" s="21"/>
      <c r="AH75" s="21"/>
      <c r="AO75" s="21"/>
      <c r="AV75" s="21"/>
      <c r="BC75" s="21"/>
      <c r="BJ75" s="21"/>
      <c r="BQ75" s="21"/>
      <c r="BX75" s="21"/>
      <c r="CE75" s="21"/>
      <c r="CL75" s="21"/>
      <c r="CS75" s="21"/>
      <c r="CZ75" s="21"/>
      <c r="DG75" s="21"/>
      <c r="DN75" s="21"/>
      <c r="DU75" s="21"/>
      <c r="EB75" s="21"/>
    </row>
    <row r="76" spans="1:132" s="18" customFormat="1" ht="12" x14ac:dyDescent="0.25">
      <c r="A76" s="72">
        <v>9</v>
      </c>
      <c r="B76" s="69" t="s">
        <v>17</v>
      </c>
      <c r="C76" s="34">
        <f>K42</f>
        <v>120246114.74923648</v>
      </c>
      <c r="P76" s="21"/>
      <c r="AC76" s="21"/>
      <c r="AH76" s="21"/>
      <c r="AO76" s="21"/>
      <c r="AV76" s="21"/>
      <c r="BC76" s="21"/>
      <c r="BJ76" s="21"/>
      <c r="BQ76" s="21"/>
      <c r="BX76" s="21"/>
      <c r="CE76" s="21"/>
      <c r="CL76" s="21"/>
      <c r="CS76" s="21"/>
      <c r="CZ76" s="21"/>
      <c r="DG76" s="21"/>
      <c r="DN76" s="21"/>
      <c r="DU76" s="21"/>
      <c r="EB76" s="21"/>
    </row>
    <row r="77" spans="1:132" s="18" customFormat="1" ht="12" x14ac:dyDescent="0.25">
      <c r="A77" s="72">
        <v>10</v>
      </c>
      <c r="B77" s="69" t="s">
        <v>18</v>
      </c>
      <c r="C77" s="34">
        <f>L42</f>
        <v>127663656.33842355</v>
      </c>
      <c r="P77" s="21"/>
      <c r="AC77" s="21"/>
      <c r="AH77" s="21"/>
      <c r="AO77" s="21"/>
      <c r="AV77" s="21"/>
      <c r="BC77" s="21"/>
      <c r="BJ77" s="21"/>
      <c r="BQ77" s="21"/>
      <c r="BX77" s="21"/>
      <c r="CE77" s="21"/>
      <c r="CL77" s="21"/>
      <c r="CS77" s="21"/>
      <c r="CZ77" s="21"/>
      <c r="DG77" s="21"/>
      <c r="DN77" s="21"/>
      <c r="DU77" s="21"/>
      <c r="EB77" s="21"/>
    </row>
    <row r="78" spans="1:132" s="18" customFormat="1" ht="12" x14ac:dyDescent="0.25">
      <c r="A78" s="72">
        <v>11</v>
      </c>
      <c r="B78" s="69" t="s">
        <v>20</v>
      </c>
      <c r="C78" s="34">
        <f>M42</f>
        <v>116319004.84835036</v>
      </c>
      <c r="P78" s="21"/>
      <c r="AC78" s="21"/>
      <c r="AH78" s="21"/>
      <c r="AO78" s="21"/>
      <c r="AV78" s="21"/>
      <c r="BC78" s="21"/>
      <c r="BJ78" s="21"/>
      <c r="BQ78" s="21"/>
      <c r="BX78" s="21"/>
      <c r="CE78" s="21"/>
      <c r="CL78" s="21"/>
      <c r="CS78" s="21"/>
      <c r="CZ78" s="21"/>
      <c r="DG78" s="21"/>
      <c r="DN78" s="21"/>
      <c r="DU78" s="21"/>
      <c r="EB78" s="21"/>
    </row>
    <row r="79" spans="1:132" s="18" customFormat="1" ht="12" x14ac:dyDescent="0.25">
      <c r="A79" s="72">
        <v>12</v>
      </c>
      <c r="B79" s="69" t="s">
        <v>16</v>
      </c>
      <c r="C79" s="34">
        <f>N42</f>
        <v>528575025.49307632</v>
      </c>
      <c r="P79" s="21"/>
      <c r="AC79" s="21"/>
      <c r="AH79" s="21"/>
      <c r="AO79" s="21"/>
      <c r="AV79" s="21"/>
      <c r="BC79" s="21"/>
      <c r="BJ79" s="21"/>
      <c r="BQ79" s="21"/>
      <c r="BX79" s="21"/>
      <c r="CE79" s="21"/>
      <c r="CL79" s="21"/>
      <c r="CS79" s="21"/>
      <c r="CZ79" s="21"/>
      <c r="DG79" s="21"/>
      <c r="DN79" s="21"/>
      <c r="DU79" s="21"/>
      <c r="EB79" s="21"/>
    </row>
    <row r="80" spans="1:132" s="18" customFormat="1" ht="12" x14ac:dyDescent="0.25">
      <c r="A80" s="72"/>
      <c r="B80" s="69" t="s">
        <v>400</v>
      </c>
      <c r="C80" s="34">
        <f>O42</f>
        <v>2355297592.307126</v>
      </c>
      <c r="D80" s="51">
        <f>SUM(C68:C79)</f>
        <v>2355297592.307126</v>
      </c>
      <c r="P80" s="21"/>
      <c r="AC80" s="21"/>
      <c r="AH80" s="21"/>
      <c r="AO80" s="21"/>
      <c r="AV80" s="21"/>
      <c r="BC80" s="21"/>
      <c r="BJ80" s="21"/>
      <c r="BQ80" s="21"/>
      <c r="BX80" s="21"/>
      <c r="CE80" s="21"/>
      <c r="CL80" s="21"/>
      <c r="CS80" s="21"/>
      <c r="CZ80" s="21"/>
      <c r="DG80" s="21"/>
      <c r="DN80" s="21"/>
      <c r="DU80" s="21"/>
      <c r="EB80" s="21"/>
    </row>
    <row r="81" spans="1:132" s="18" customFormat="1" ht="12" x14ac:dyDescent="0.25">
      <c r="A81" s="71"/>
      <c r="B81" s="66"/>
      <c r="C81" s="36"/>
      <c r="P81" s="21"/>
      <c r="AC81" s="21"/>
      <c r="AH81" s="21"/>
      <c r="AO81" s="21"/>
      <c r="AV81" s="21"/>
      <c r="BC81" s="21"/>
      <c r="BJ81" s="21"/>
      <c r="BQ81" s="21"/>
      <c r="BX81" s="21"/>
      <c r="CE81" s="21"/>
      <c r="CL81" s="21"/>
      <c r="CS81" s="21"/>
      <c r="CZ81" s="21"/>
      <c r="DG81" s="21"/>
      <c r="DN81" s="21"/>
      <c r="DU81" s="21"/>
      <c r="EB81" s="21"/>
    </row>
    <row r="82" spans="1:132" s="18" customFormat="1" ht="12" x14ac:dyDescent="0.25">
      <c r="A82" s="75"/>
      <c r="B82" s="75"/>
      <c r="C82" s="75"/>
      <c r="P82" s="21"/>
      <c r="AC82" s="21"/>
      <c r="AH82" s="21"/>
      <c r="AO82" s="21"/>
      <c r="AV82" s="21"/>
      <c r="BC82" s="21"/>
      <c r="BJ82" s="21"/>
      <c r="BQ82" s="21"/>
      <c r="BX82" s="21"/>
      <c r="CE82" s="21"/>
      <c r="CL82" s="21"/>
      <c r="CS82" s="21"/>
      <c r="CZ82" s="21"/>
      <c r="DG82" s="21"/>
      <c r="DN82" s="21"/>
      <c r="DU82" s="21"/>
      <c r="EB82" s="21"/>
    </row>
    <row r="83" spans="1:132" s="21" customFormat="1" ht="12" x14ac:dyDescent="0.25">
      <c r="A83" s="67" t="s">
        <v>0</v>
      </c>
      <c r="B83" s="67" t="s">
        <v>2</v>
      </c>
      <c r="C83" s="33" t="s">
        <v>444</v>
      </c>
    </row>
    <row r="84" spans="1:132" s="18" customFormat="1" ht="12" x14ac:dyDescent="0.25">
      <c r="A84" s="72">
        <v>1</v>
      </c>
      <c r="B84" s="69" t="s">
        <v>5</v>
      </c>
      <c r="C84" s="34">
        <f>AJ42</f>
        <v>229144678.63248178</v>
      </c>
      <c r="P84" s="21"/>
      <c r="AC84" s="21"/>
      <c r="AH84" s="21"/>
      <c r="AO84" s="21"/>
      <c r="AV84" s="21"/>
      <c r="BC84" s="21"/>
      <c r="BJ84" s="21"/>
      <c r="BQ84" s="21"/>
      <c r="BX84" s="21"/>
      <c r="CE84" s="21"/>
      <c r="CL84" s="21"/>
      <c r="CS84" s="21"/>
      <c r="CZ84" s="21"/>
      <c r="DG84" s="21"/>
      <c r="DN84" s="21"/>
      <c r="DU84" s="21"/>
      <c r="EB84" s="21"/>
    </row>
    <row r="85" spans="1:132" s="18" customFormat="1" ht="12" x14ac:dyDescent="0.25">
      <c r="A85" s="72">
        <v>2</v>
      </c>
      <c r="B85" s="69" t="s">
        <v>6</v>
      </c>
      <c r="C85" s="34">
        <f>AK42</f>
        <v>651271024.28239441</v>
      </c>
      <c r="P85" s="21"/>
      <c r="AC85" s="21"/>
      <c r="AH85" s="21"/>
      <c r="AO85" s="21"/>
      <c r="AV85" s="21"/>
      <c r="BC85" s="21"/>
      <c r="BJ85" s="21"/>
      <c r="BQ85" s="21"/>
      <c r="BX85" s="21"/>
      <c r="CE85" s="21"/>
      <c r="CL85" s="21"/>
      <c r="CS85" s="21"/>
      <c r="CZ85" s="21"/>
      <c r="DG85" s="21"/>
      <c r="DN85" s="21"/>
      <c r="DU85" s="21"/>
      <c r="EB85" s="21"/>
    </row>
    <row r="86" spans="1:132" s="18" customFormat="1" ht="12" x14ac:dyDescent="0.25">
      <c r="A86" s="72">
        <v>3</v>
      </c>
      <c r="B86" s="69" t="s">
        <v>7</v>
      </c>
      <c r="C86" s="34">
        <f>AL42</f>
        <v>227003494.26304391</v>
      </c>
      <c r="P86" s="21"/>
      <c r="AC86" s="21"/>
      <c r="AH86" s="21"/>
      <c r="AO86" s="21"/>
      <c r="AV86" s="21"/>
      <c r="BC86" s="21"/>
      <c r="BJ86" s="21"/>
      <c r="BQ86" s="21"/>
      <c r="BX86" s="21"/>
      <c r="CE86" s="21"/>
      <c r="CL86" s="21"/>
      <c r="CS86" s="21"/>
      <c r="CZ86" s="21"/>
      <c r="DG86" s="21"/>
      <c r="DN86" s="21"/>
      <c r="DU86" s="21"/>
      <c r="EB86" s="21"/>
    </row>
    <row r="87" spans="1:132" s="18" customFormat="1" ht="12" x14ac:dyDescent="0.25">
      <c r="A87" s="72">
        <v>4</v>
      </c>
      <c r="B87" s="69" t="s">
        <v>8</v>
      </c>
      <c r="C87" s="34">
        <f>AM42</f>
        <v>1247878395.1292057</v>
      </c>
      <c r="P87" s="21"/>
      <c r="AC87" s="21"/>
      <c r="AH87" s="21"/>
      <c r="AO87" s="21"/>
      <c r="AV87" s="21"/>
      <c r="BC87" s="21"/>
      <c r="BJ87" s="21"/>
      <c r="BQ87" s="21"/>
      <c r="BX87" s="21"/>
      <c r="CE87" s="21"/>
      <c r="CL87" s="21"/>
      <c r="CS87" s="21"/>
      <c r="CZ87" s="21"/>
      <c r="DG87" s="21"/>
      <c r="DN87" s="21"/>
      <c r="DU87" s="21"/>
      <c r="EB87" s="21"/>
    </row>
    <row r="88" spans="1:132" s="18" customFormat="1" ht="12" x14ac:dyDescent="0.25">
      <c r="A88" s="72"/>
      <c r="B88" s="69" t="s">
        <v>400</v>
      </c>
      <c r="C88" s="34">
        <f>AN42</f>
        <v>2355297592.3071265</v>
      </c>
      <c r="D88" s="51">
        <f>SUM(C84:C87)</f>
        <v>2355297592.307126</v>
      </c>
      <c r="P88" s="21"/>
      <c r="AC88" s="21"/>
      <c r="AH88" s="21"/>
      <c r="AO88" s="21"/>
      <c r="AV88" s="21"/>
      <c r="BC88" s="21"/>
      <c r="BJ88" s="21"/>
      <c r="BQ88" s="21"/>
      <c r="BX88" s="21"/>
      <c r="CE88" s="21"/>
      <c r="CL88" s="21"/>
      <c r="CS88" s="21"/>
      <c r="CZ88" s="21"/>
      <c r="DG88" s="21"/>
      <c r="DN88" s="21"/>
      <c r="DU88" s="21"/>
      <c r="EB88" s="21"/>
    </row>
    <row r="89" spans="1:132" s="18" customFormat="1" ht="12" x14ac:dyDescent="0.25">
      <c r="A89" s="71"/>
      <c r="B89" s="66"/>
      <c r="C89" s="66"/>
      <c r="D89" s="66"/>
      <c r="P89" s="21"/>
      <c r="AC89" s="21"/>
      <c r="AH89" s="21"/>
      <c r="AO89" s="21"/>
      <c r="AV89" s="21"/>
      <c r="BC89" s="21"/>
      <c r="BJ89" s="21"/>
      <c r="BQ89" s="21"/>
      <c r="BX89" s="21"/>
      <c r="CE89" s="21"/>
      <c r="CL89" s="21"/>
      <c r="CS89" s="21"/>
      <c r="CZ89" s="21"/>
      <c r="DG89" s="21"/>
      <c r="DN89" s="21"/>
      <c r="DU89" s="21"/>
      <c r="EB89" s="21"/>
    </row>
    <row r="90" spans="1:132" s="18" customFormat="1" ht="12" x14ac:dyDescent="0.25">
      <c r="A90" s="21"/>
      <c r="P90" s="21"/>
      <c r="AC90" s="21"/>
      <c r="AH90" s="21"/>
      <c r="AO90" s="21"/>
      <c r="AV90" s="21"/>
      <c r="BC90" s="21"/>
      <c r="BJ90" s="21"/>
      <c r="BQ90" s="21"/>
      <c r="BX90" s="21"/>
      <c r="CE90" s="21"/>
      <c r="CL90" s="21"/>
      <c r="CS90" s="21"/>
      <c r="CZ90" s="21"/>
      <c r="DG90" s="21"/>
      <c r="DN90" s="21"/>
      <c r="DU90" s="21"/>
      <c r="EB90" s="21"/>
    </row>
    <row r="91" spans="1:132" s="79" customFormat="1" ht="12" x14ac:dyDescent="0.3">
      <c r="A91" s="84" t="s">
        <v>0</v>
      </c>
      <c r="B91" s="84" t="s">
        <v>60</v>
      </c>
      <c r="C91" s="33" t="s">
        <v>444</v>
      </c>
    </row>
    <row r="92" spans="1:132" s="18" customFormat="1" ht="12" x14ac:dyDescent="0.25">
      <c r="A92" s="72">
        <v>1</v>
      </c>
      <c r="B92" s="69" t="s">
        <v>401</v>
      </c>
      <c r="C92" s="34">
        <f>O4</f>
        <v>6402163.4892710494</v>
      </c>
      <c r="P92" s="21"/>
      <c r="AC92" s="21"/>
      <c r="AH92" s="21"/>
      <c r="AO92" s="21"/>
      <c r="AV92" s="21"/>
      <c r="BC92" s="21"/>
      <c r="BJ92" s="21"/>
      <c r="BQ92" s="21"/>
      <c r="BX92" s="21"/>
      <c r="CE92" s="21"/>
      <c r="CL92" s="21"/>
      <c r="CS92" s="21"/>
      <c r="CZ92" s="21"/>
      <c r="DG92" s="21"/>
      <c r="DN92" s="21"/>
      <c r="DU92" s="21"/>
      <c r="EB92" s="21"/>
    </row>
    <row r="93" spans="1:132" s="18" customFormat="1" ht="12" x14ac:dyDescent="0.25">
      <c r="A93" s="72">
        <v>2</v>
      </c>
      <c r="B93" s="69" t="s">
        <v>402</v>
      </c>
      <c r="C93" s="34">
        <f t="shared" ref="C93:C120" si="35">O5</f>
        <v>2356040.9001110103</v>
      </c>
      <c r="P93" s="21"/>
      <c r="AC93" s="21"/>
      <c r="AH93" s="21"/>
      <c r="AO93" s="21"/>
      <c r="AV93" s="21"/>
      <c r="BC93" s="21"/>
      <c r="BJ93" s="21"/>
      <c r="BQ93" s="21"/>
      <c r="BX93" s="21"/>
      <c r="CE93" s="21"/>
      <c r="CL93" s="21"/>
      <c r="CS93" s="21"/>
      <c r="CZ93" s="21"/>
      <c r="DG93" s="21"/>
      <c r="DN93" s="21"/>
      <c r="DU93" s="21"/>
      <c r="EB93" s="21"/>
    </row>
    <row r="94" spans="1:132" s="18" customFormat="1" ht="12" x14ac:dyDescent="0.25">
      <c r="A94" s="72">
        <v>3</v>
      </c>
      <c r="B94" s="69" t="s">
        <v>403</v>
      </c>
      <c r="C94" s="34">
        <f t="shared" si="35"/>
        <v>31632617.598594092</v>
      </c>
      <c r="P94" s="21"/>
      <c r="AC94" s="21"/>
      <c r="AH94" s="21"/>
      <c r="AO94" s="21"/>
      <c r="AV94" s="21"/>
      <c r="BC94" s="21"/>
      <c r="BJ94" s="21"/>
      <c r="BQ94" s="21"/>
      <c r="BX94" s="21"/>
      <c r="CE94" s="21"/>
      <c r="CL94" s="21"/>
      <c r="CS94" s="21"/>
      <c r="CZ94" s="21"/>
      <c r="DG94" s="21"/>
      <c r="DN94" s="21"/>
      <c r="DU94" s="21"/>
      <c r="EB94" s="21"/>
    </row>
    <row r="95" spans="1:132" s="18" customFormat="1" ht="12" x14ac:dyDescent="0.25">
      <c r="A95" s="72">
        <v>4</v>
      </c>
      <c r="B95" s="69" t="s">
        <v>404</v>
      </c>
      <c r="C95" s="34">
        <f t="shared" si="35"/>
        <v>10916324.51914116</v>
      </c>
      <c r="P95" s="21"/>
      <c r="AC95" s="21"/>
      <c r="AH95" s="21"/>
      <c r="AO95" s="21"/>
      <c r="AV95" s="21"/>
      <c r="BC95" s="21"/>
      <c r="BJ95" s="21"/>
      <c r="BQ95" s="21"/>
      <c r="BX95" s="21"/>
      <c r="CE95" s="21"/>
      <c r="CL95" s="21"/>
      <c r="CS95" s="21"/>
      <c r="CZ95" s="21"/>
      <c r="DG95" s="21"/>
      <c r="DN95" s="21"/>
      <c r="DU95" s="21"/>
      <c r="EB95" s="21"/>
    </row>
    <row r="96" spans="1:132" s="18" customFormat="1" ht="12" x14ac:dyDescent="0.25">
      <c r="A96" s="72">
        <v>5</v>
      </c>
      <c r="B96" s="69" t="s">
        <v>405</v>
      </c>
      <c r="C96" s="34">
        <f t="shared" si="35"/>
        <v>24946489.574110627</v>
      </c>
      <c r="P96" s="21"/>
      <c r="AC96" s="21"/>
      <c r="AH96" s="21"/>
      <c r="AO96" s="21"/>
      <c r="AV96" s="21"/>
      <c r="BC96" s="21"/>
      <c r="BJ96" s="21"/>
      <c r="BQ96" s="21"/>
      <c r="BX96" s="21"/>
      <c r="CE96" s="21"/>
      <c r="CL96" s="21"/>
      <c r="CS96" s="21"/>
      <c r="CZ96" s="21"/>
      <c r="DG96" s="21"/>
      <c r="DN96" s="21"/>
      <c r="DU96" s="21"/>
      <c r="EB96" s="21"/>
    </row>
    <row r="97" spans="1:132" s="18" customFormat="1" ht="12" x14ac:dyDescent="0.25">
      <c r="A97" s="72">
        <v>6</v>
      </c>
      <c r="B97" s="69" t="s">
        <v>406</v>
      </c>
      <c r="C97" s="34">
        <f t="shared" si="35"/>
        <v>2660114.0662118238</v>
      </c>
      <c r="P97" s="21"/>
      <c r="AC97" s="21"/>
      <c r="AH97" s="21"/>
      <c r="AO97" s="21"/>
      <c r="AV97" s="21"/>
      <c r="BC97" s="21"/>
      <c r="BJ97" s="21"/>
      <c r="BQ97" s="21"/>
      <c r="BX97" s="21"/>
      <c r="CE97" s="21"/>
      <c r="CL97" s="21"/>
      <c r="CS97" s="21"/>
      <c r="CZ97" s="21"/>
      <c r="DG97" s="21"/>
      <c r="DN97" s="21"/>
      <c r="DU97" s="21"/>
      <c r="EB97" s="21"/>
    </row>
    <row r="98" spans="1:132" s="18" customFormat="1" ht="12" x14ac:dyDescent="0.25">
      <c r="A98" s="72">
        <v>7</v>
      </c>
      <c r="B98" s="69" t="s">
        <v>407</v>
      </c>
      <c r="C98" s="34">
        <f t="shared" si="35"/>
        <v>27853166.564824216</v>
      </c>
      <c r="P98" s="21"/>
      <c r="AC98" s="21"/>
      <c r="AH98" s="21"/>
      <c r="AO98" s="21"/>
      <c r="AV98" s="21"/>
      <c r="BC98" s="21"/>
      <c r="BJ98" s="21"/>
      <c r="BQ98" s="21"/>
      <c r="BX98" s="21"/>
      <c r="CE98" s="21"/>
      <c r="CL98" s="21"/>
      <c r="CS98" s="21"/>
      <c r="CZ98" s="21"/>
      <c r="DG98" s="21"/>
      <c r="DN98" s="21"/>
      <c r="DU98" s="21"/>
      <c r="EB98" s="21"/>
    </row>
    <row r="99" spans="1:132" s="18" customFormat="1" ht="12" x14ac:dyDescent="0.25">
      <c r="A99" s="72">
        <v>8</v>
      </c>
      <c r="B99" s="69" t="s">
        <v>408</v>
      </c>
      <c r="C99" s="34">
        <f t="shared" si="35"/>
        <v>14731991.972258125</v>
      </c>
      <c r="P99" s="21"/>
      <c r="AC99" s="21"/>
      <c r="AH99" s="21"/>
      <c r="AO99" s="21"/>
      <c r="AV99" s="21"/>
      <c r="BC99" s="21"/>
      <c r="BJ99" s="21"/>
      <c r="BQ99" s="21"/>
      <c r="BX99" s="21"/>
      <c r="CE99" s="21"/>
      <c r="CL99" s="21"/>
      <c r="CS99" s="21"/>
      <c r="CZ99" s="21"/>
      <c r="DG99" s="21"/>
      <c r="DN99" s="21"/>
      <c r="DU99" s="21"/>
      <c r="EB99" s="21"/>
    </row>
    <row r="100" spans="1:132" s="18" customFormat="1" ht="12" x14ac:dyDescent="0.25">
      <c r="A100" s="72">
        <v>9</v>
      </c>
      <c r="B100" s="69" t="s">
        <v>409</v>
      </c>
      <c r="C100" s="34">
        <f t="shared" si="35"/>
        <v>36817922.187575057</v>
      </c>
      <c r="P100" s="21"/>
      <c r="AC100" s="21"/>
      <c r="AH100" s="21"/>
      <c r="AO100" s="21"/>
      <c r="AV100" s="21"/>
      <c r="BC100" s="21"/>
      <c r="BJ100" s="21"/>
      <c r="BQ100" s="21"/>
      <c r="BX100" s="21"/>
      <c r="CE100" s="21"/>
      <c r="CL100" s="21"/>
      <c r="CS100" s="21"/>
      <c r="CZ100" s="21"/>
      <c r="DG100" s="21"/>
      <c r="DN100" s="21"/>
      <c r="DU100" s="21"/>
      <c r="EB100" s="21"/>
    </row>
    <row r="101" spans="1:132" s="18" customFormat="1" ht="12" x14ac:dyDescent="0.25">
      <c r="A101" s="72">
        <v>10</v>
      </c>
      <c r="B101" s="69" t="s">
        <v>410</v>
      </c>
      <c r="C101" s="34">
        <f t="shared" si="35"/>
        <v>1340272310.8646867</v>
      </c>
      <c r="P101" s="21"/>
      <c r="AC101" s="21"/>
      <c r="AH101" s="21"/>
      <c r="AO101" s="21"/>
      <c r="AV101" s="21"/>
      <c r="BC101" s="21"/>
      <c r="BJ101" s="21"/>
      <c r="BQ101" s="21"/>
      <c r="BX101" s="21"/>
      <c r="CE101" s="21"/>
      <c r="CL101" s="21"/>
      <c r="CS101" s="21"/>
      <c r="CZ101" s="21"/>
      <c r="DG101" s="21"/>
      <c r="DN101" s="21"/>
      <c r="DU101" s="21"/>
      <c r="EB101" s="21"/>
    </row>
    <row r="102" spans="1:132" s="18" customFormat="1" ht="12" x14ac:dyDescent="0.25">
      <c r="A102" s="72">
        <v>11</v>
      </c>
      <c r="B102" s="69" t="s">
        <v>411</v>
      </c>
      <c r="C102" s="34">
        <f t="shared" si="35"/>
        <v>300000.95308931731</v>
      </c>
      <c r="P102" s="21"/>
      <c r="AC102" s="21"/>
      <c r="AH102" s="21"/>
      <c r="AO102" s="21"/>
      <c r="AV102" s="21"/>
      <c r="BC102" s="21"/>
      <c r="BJ102" s="21"/>
      <c r="BQ102" s="21"/>
      <c r="BX102" s="21"/>
      <c r="CE102" s="21"/>
      <c r="CL102" s="21"/>
      <c r="CS102" s="21"/>
      <c r="CZ102" s="21"/>
      <c r="DG102" s="21"/>
      <c r="DN102" s="21"/>
      <c r="DU102" s="21"/>
      <c r="EB102" s="21"/>
    </row>
    <row r="103" spans="1:132" s="18" customFormat="1" ht="12" x14ac:dyDescent="0.25">
      <c r="A103" s="72">
        <v>12</v>
      </c>
      <c r="B103" s="69" t="s">
        <v>412</v>
      </c>
      <c r="C103" s="34">
        <f t="shared" si="35"/>
        <v>50199580.367344022</v>
      </c>
      <c r="P103" s="21"/>
      <c r="AC103" s="21"/>
      <c r="AH103" s="21"/>
      <c r="AO103" s="21"/>
      <c r="AV103" s="21"/>
      <c r="BC103" s="21"/>
      <c r="BJ103" s="21"/>
      <c r="BQ103" s="21"/>
      <c r="BX103" s="21"/>
      <c r="CE103" s="21"/>
      <c r="CL103" s="21"/>
      <c r="CS103" s="21"/>
      <c r="CZ103" s="21"/>
      <c r="DG103" s="21"/>
      <c r="DN103" s="21"/>
      <c r="DU103" s="21"/>
      <c r="EB103" s="21"/>
    </row>
    <row r="104" spans="1:132" s="18" customFormat="1" ht="12" x14ac:dyDescent="0.25">
      <c r="A104" s="72">
        <v>13</v>
      </c>
      <c r="B104" s="69" t="s">
        <v>413</v>
      </c>
      <c r="C104" s="34">
        <f t="shared" si="35"/>
        <v>1562568.4232608352</v>
      </c>
      <c r="P104" s="21"/>
      <c r="AC104" s="21"/>
      <c r="AH104" s="21"/>
      <c r="AO104" s="21"/>
      <c r="AV104" s="21"/>
      <c r="BC104" s="21"/>
      <c r="BJ104" s="21"/>
      <c r="BQ104" s="21"/>
      <c r="BX104" s="21"/>
      <c r="CE104" s="21"/>
      <c r="CL104" s="21"/>
      <c r="CS104" s="21"/>
      <c r="CZ104" s="21"/>
      <c r="DG104" s="21"/>
      <c r="DN104" s="21"/>
      <c r="DU104" s="21"/>
      <c r="EB104" s="21"/>
    </row>
    <row r="105" spans="1:132" s="18" customFormat="1" ht="12" x14ac:dyDescent="0.25">
      <c r="A105" s="72">
        <v>14</v>
      </c>
      <c r="B105" s="69" t="s">
        <v>414</v>
      </c>
      <c r="C105" s="34">
        <f t="shared" si="35"/>
        <v>57386425.532110967</v>
      </c>
      <c r="P105" s="21"/>
      <c r="AC105" s="21"/>
      <c r="AH105" s="21"/>
      <c r="AO105" s="21"/>
      <c r="AV105" s="21"/>
      <c r="BC105" s="21"/>
      <c r="BJ105" s="21"/>
      <c r="BQ105" s="21"/>
      <c r="BX105" s="21"/>
      <c r="CE105" s="21"/>
      <c r="CL105" s="21"/>
      <c r="CS105" s="21"/>
      <c r="CZ105" s="21"/>
      <c r="DG105" s="21"/>
      <c r="DN105" s="21"/>
      <c r="DU105" s="21"/>
      <c r="EB105" s="21"/>
    </row>
    <row r="106" spans="1:132" s="18" customFormat="1" ht="12" x14ac:dyDescent="0.25">
      <c r="A106" s="72">
        <v>15</v>
      </c>
      <c r="B106" s="69" t="s">
        <v>415</v>
      </c>
      <c r="C106" s="34">
        <f t="shared" si="35"/>
        <v>99934436.475514606</v>
      </c>
      <c r="P106" s="21"/>
      <c r="AC106" s="21"/>
      <c r="AH106" s="21"/>
      <c r="AO106" s="21"/>
      <c r="AV106" s="21"/>
      <c r="BC106" s="21"/>
      <c r="BJ106" s="21"/>
      <c r="BQ106" s="21"/>
      <c r="BX106" s="21"/>
      <c r="CE106" s="21"/>
      <c r="CL106" s="21"/>
      <c r="CS106" s="21"/>
      <c r="CZ106" s="21"/>
      <c r="DG106" s="21"/>
      <c r="DN106" s="21"/>
      <c r="DU106" s="21"/>
      <c r="EB106" s="21"/>
    </row>
    <row r="107" spans="1:132" s="18" customFormat="1" ht="12" x14ac:dyDescent="0.25">
      <c r="A107" s="72">
        <v>16</v>
      </c>
      <c r="B107" s="69" t="s">
        <v>416</v>
      </c>
      <c r="C107" s="34">
        <f t="shared" si="35"/>
        <v>9818975.0201029144</v>
      </c>
      <c r="P107" s="21"/>
      <c r="AC107" s="21"/>
      <c r="AH107" s="21"/>
      <c r="AO107" s="21"/>
      <c r="AV107" s="21"/>
      <c r="BC107" s="21"/>
      <c r="BJ107" s="21"/>
      <c r="BQ107" s="21"/>
      <c r="BX107" s="21"/>
      <c r="CE107" s="21"/>
      <c r="CL107" s="21"/>
      <c r="CS107" s="21"/>
      <c r="CZ107" s="21"/>
      <c r="DG107" s="21"/>
      <c r="DN107" s="21"/>
      <c r="DU107" s="21"/>
      <c r="EB107" s="21"/>
    </row>
    <row r="108" spans="1:132" s="18" customFormat="1" ht="12" x14ac:dyDescent="0.25">
      <c r="A108" s="72">
        <v>17</v>
      </c>
      <c r="B108" s="69" t="s">
        <v>417</v>
      </c>
      <c r="C108" s="34">
        <f t="shared" si="35"/>
        <v>692756.22356388276</v>
      </c>
      <c r="P108" s="21"/>
      <c r="AC108" s="21"/>
      <c r="AH108" s="21"/>
      <c r="AO108" s="21"/>
      <c r="AV108" s="21"/>
      <c r="BC108" s="21"/>
      <c r="BJ108" s="21"/>
      <c r="BQ108" s="21"/>
      <c r="BX108" s="21"/>
      <c r="CE108" s="21"/>
      <c r="CL108" s="21"/>
      <c r="CS108" s="21"/>
      <c r="CZ108" s="21"/>
      <c r="DG108" s="21"/>
      <c r="DN108" s="21"/>
      <c r="DU108" s="21"/>
      <c r="EB108" s="21"/>
    </row>
    <row r="109" spans="1:132" s="18" customFormat="1" ht="12" x14ac:dyDescent="0.25">
      <c r="A109" s="72">
        <v>18</v>
      </c>
      <c r="B109" s="69" t="s">
        <v>418</v>
      </c>
      <c r="C109" s="34">
        <f t="shared" si="35"/>
        <v>358530.22758795496</v>
      </c>
      <c r="P109" s="21"/>
      <c r="AC109" s="21"/>
      <c r="AH109" s="21"/>
      <c r="AO109" s="21"/>
      <c r="AV109" s="21"/>
      <c r="BC109" s="21"/>
      <c r="BJ109" s="21"/>
      <c r="BQ109" s="21"/>
      <c r="BX109" s="21"/>
      <c r="CE109" s="21"/>
      <c r="CL109" s="21"/>
      <c r="CS109" s="21"/>
      <c r="CZ109" s="21"/>
      <c r="DG109" s="21"/>
      <c r="DN109" s="21"/>
      <c r="DU109" s="21"/>
      <c r="EB109" s="21"/>
    </row>
    <row r="110" spans="1:132" s="18" customFormat="1" ht="12" x14ac:dyDescent="0.25">
      <c r="A110" s="72">
        <v>19</v>
      </c>
      <c r="B110" s="69" t="s">
        <v>419</v>
      </c>
      <c r="C110" s="34">
        <f t="shared" si="35"/>
        <v>5341556.9033068717</v>
      </c>
      <c r="P110" s="21"/>
      <c r="AC110" s="21"/>
      <c r="AH110" s="21"/>
      <c r="AO110" s="21"/>
      <c r="AV110" s="21"/>
      <c r="BC110" s="21"/>
      <c r="BJ110" s="21"/>
      <c r="BQ110" s="21"/>
      <c r="BX110" s="21"/>
      <c r="CE110" s="21"/>
      <c r="CL110" s="21"/>
      <c r="CS110" s="21"/>
      <c r="CZ110" s="21"/>
      <c r="DG110" s="21"/>
      <c r="DN110" s="21"/>
      <c r="DU110" s="21"/>
      <c r="EB110" s="21"/>
    </row>
    <row r="111" spans="1:132" s="18" customFormat="1" ht="12" x14ac:dyDescent="0.25">
      <c r="A111" s="72">
        <v>20</v>
      </c>
      <c r="B111" s="69" t="s">
        <v>420</v>
      </c>
      <c r="C111" s="34">
        <f t="shared" si="35"/>
        <v>3058815.860042295</v>
      </c>
      <c r="P111" s="21"/>
      <c r="AC111" s="21"/>
      <c r="AH111" s="21"/>
      <c r="AO111" s="21"/>
      <c r="AV111" s="21"/>
      <c r="BC111" s="21"/>
      <c r="BJ111" s="21"/>
      <c r="BQ111" s="21"/>
      <c r="BX111" s="21"/>
      <c r="CE111" s="21"/>
      <c r="CL111" s="21"/>
      <c r="CS111" s="21"/>
      <c r="CZ111" s="21"/>
      <c r="DG111" s="21"/>
      <c r="DN111" s="21"/>
      <c r="DU111" s="21"/>
      <c r="EB111" s="21"/>
    </row>
    <row r="112" spans="1:132" s="18" customFormat="1" ht="12" x14ac:dyDescent="0.25">
      <c r="A112" s="72">
        <v>21</v>
      </c>
      <c r="B112" s="69" t="s">
        <v>421</v>
      </c>
      <c r="C112" s="34">
        <f t="shared" si="35"/>
        <v>1368287.4083574349</v>
      </c>
      <c r="P112" s="21"/>
      <c r="AC112" s="21"/>
      <c r="AH112" s="21"/>
      <c r="AO112" s="21"/>
      <c r="AV112" s="21"/>
      <c r="BC112" s="21"/>
      <c r="BJ112" s="21"/>
      <c r="BQ112" s="21"/>
      <c r="BX112" s="21"/>
      <c r="CE112" s="21"/>
      <c r="CL112" s="21"/>
      <c r="CS112" s="21"/>
      <c r="CZ112" s="21"/>
      <c r="DG112" s="21"/>
      <c r="DN112" s="21"/>
      <c r="DU112" s="21"/>
      <c r="EB112" s="21"/>
    </row>
    <row r="113" spans="1:132" s="18" customFormat="1" ht="12" x14ac:dyDescent="0.25">
      <c r="A113" s="72">
        <v>22</v>
      </c>
      <c r="B113" s="69" t="s">
        <v>422</v>
      </c>
      <c r="C113" s="34">
        <f t="shared" si="35"/>
        <v>3035380.5490075909</v>
      </c>
      <c r="P113" s="21"/>
      <c r="AC113" s="21"/>
      <c r="AH113" s="21"/>
      <c r="AO113" s="21"/>
      <c r="AV113" s="21"/>
      <c r="BC113" s="21"/>
      <c r="BJ113" s="21"/>
      <c r="BQ113" s="21"/>
      <c r="BX113" s="21"/>
      <c r="CE113" s="21"/>
      <c r="CL113" s="21"/>
      <c r="CS113" s="21"/>
      <c r="CZ113" s="21"/>
      <c r="DG113" s="21"/>
      <c r="DN113" s="21"/>
      <c r="DU113" s="21"/>
      <c r="EB113" s="21"/>
    </row>
    <row r="114" spans="1:132" s="18" customFormat="1" ht="12" x14ac:dyDescent="0.25">
      <c r="A114" s="72">
        <v>23</v>
      </c>
      <c r="B114" s="69" t="s">
        <v>423</v>
      </c>
      <c r="C114" s="34">
        <f t="shared" si="35"/>
        <v>30614247.073126197</v>
      </c>
      <c r="P114" s="21"/>
      <c r="AC114" s="21"/>
      <c r="AH114" s="21"/>
      <c r="AO114" s="21"/>
      <c r="AV114" s="21"/>
      <c r="BC114" s="21"/>
      <c r="BJ114" s="21"/>
      <c r="BQ114" s="21"/>
      <c r="BX114" s="21"/>
      <c r="CE114" s="21"/>
      <c r="CL114" s="21"/>
      <c r="CS114" s="21"/>
      <c r="CZ114" s="21"/>
      <c r="DG114" s="21"/>
      <c r="DN114" s="21"/>
      <c r="DU114" s="21"/>
      <c r="EB114" s="21"/>
    </row>
    <row r="115" spans="1:132" s="18" customFormat="1" ht="12" x14ac:dyDescent="0.25">
      <c r="A115" s="72">
        <v>24</v>
      </c>
      <c r="B115" s="69" t="s">
        <v>424</v>
      </c>
      <c r="C115" s="34">
        <f t="shared" si="35"/>
        <v>97481681.038639709</v>
      </c>
      <c r="P115" s="21"/>
      <c r="AC115" s="21"/>
      <c r="AH115" s="21"/>
      <c r="AO115" s="21"/>
      <c r="AV115" s="21"/>
      <c r="BC115" s="21"/>
      <c r="BJ115" s="21"/>
      <c r="BQ115" s="21"/>
      <c r="BX115" s="21"/>
      <c r="CE115" s="21"/>
      <c r="CL115" s="21"/>
      <c r="CS115" s="21"/>
      <c r="CZ115" s="21"/>
      <c r="DG115" s="21"/>
      <c r="DN115" s="21"/>
      <c r="DU115" s="21"/>
      <c r="EB115" s="21"/>
    </row>
    <row r="116" spans="1:132" s="18" customFormat="1" ht="12" x14ac:dyDescent="0.25">
      <c r="A116" s="72">
        <v>25</v>
      </c>
      <c r="B116" s="69" t="s">
        <v>425</v>
      </c>
      <c r="C116" s="34">
        <f t="shared" si="35"/>
        <v>113709672.15816708</v>
      </c>
      <c r="P116" s="21"/>
      <c r="AC116" s="21"/>
      <c r="AH116" s="21"/>
      <c r="AO116" s="21"/>
      <c r="AV116" s="21"/>
      <c r="BC116" s="21"/>
      <c r="BJ116" s="21"/>
      <c r="BQ116" s="21"/>
      <c r="BX116" s="21"/>
      <c r="CE116" s="21"/>
      <c r="CL116" s="21"/>
      <c r="CS116" s="21"/>
      <c r="CZ116" s="21"/>
      <c r="DG116" s="21"/>
      <c r="DN116" s="21"/>
      <c r="DU116" s="21"/>
      <c r="EB116" s="21"/>
    </row>
    <row r="117" spans="1:132" s="18" customFormat="1" ht="12" x14ac:dyDescent="0.25">
      <c r="A117" s="72">
        <v>26</v>
      </c>
      <c r="B117" s="69" t="s">
        <v>426</v>
      </c>
      <c r="C117" s="34">
        <f t="shared" si="35"/>
        <v>2271046.7240362656</v>
      </c>
      <c r="P117" s="21"/>
      <c r="AC117" s="21"/>
      <c r="AH117" s="21"/>
      <c r="AO117" s="21"/>
      <c r="AV117" s="21"/>
      <c r="BC117" s="21"/>
      <c r="BJ117" s="21"/>
      <c r="BQ117" s="21"/>
      <c r="BX117" s="21"/>
      <c r="CE117" s="21"/>
      <c r="CL117" s="21"/>
      <c r="CS117" s="21"/>
      <c r="CZ117" s="21"/>
      <c r="DG117" s="21"/>
      <c r="DN117" s="21"/>
      <c r="DU117" s="21"/>
      <c r="EB117" s="21"/>
    </row>
    <row r="118" spans="1:132" s="18" customFormat="1" ht="12" x14ac:dyDescent="0.25">
      <c r="A118" s="72">
        <v>27</v>
      </c>
      <c r="B118" s="69" t="s">
        <v>427</v>
      </c>
      <c r="C118" s="34">
        <f t="shared" si="35"/>
        <v>45540159.836879291</v>
      </c>
      <c r="P118" s="21"/>
      <c r="AC118" s="21"/>
      <c r="AH118" s="21"/>
      <c r="AO118" s="21"/>
      <c r="AV118" s="21"/>
      <c r="BC118" s="21"/>
      <c r="BJ118" s="21"/>
      <c r="BQ118" s="21"/>
      <c r="BX118" s="21"/>
      <c r="CE118" s="21"/>
      <c r="CL118" s="21"/>
      <c r="CS118" s="21"/>
      <c r="CZ118" s="21"/>
      <c r="DG118" s="21"/>
      <c r="DN118" s="21"/>
      <c r="DU118" s="21"/>
      <c r="EB118" s="21"/>
    </row>
    <row r="119" spans="1:132" s="18" customFormat="1" ht="12" x14ac:dyDescent="0.25">
      <c r="A119" s="72">
        <v>28</v>
      </c>
      <c r="B119" s="69" t="s">
        <v>428</v>
      </c>
      <c r="C119" s="34">
        <f t="shared" si="35"/>
        <v>12557787.352754073</v>
      </c>
      <c r="P119" s="21"/>
      <c r="AC119" s="21"/>
      <c r="AH119" s="21"/>
      <c r="AO119" s="21"/>
      <c r="AV119" s="21"/>
      <c r="BC119" s="21"/>
      <c r="BJ119" s="21"/>
      <c r="BQ119" s="21"/>
      <c r="BX119" s="21"/>
      <c r="CE119" s="21"/>
      <c r="CL119" s="21"/>
      <c r="CS119" s="21"/>
      <c r="CZ119" s="21"/>
      <c r="DG119" s="21"/>
      <c r="DN119" s="21"/>
      <c r="DU119" s="21"/>
      <c r="EB119" s="21"/>
    </row>
    <row r="120" spans="1:132" s="18" customFormat="1" ht="12" x14ac:dyDescent="0.25">
      <c r="A120" s="72">
        <v>29</v>
      </c>
      <c r="B120" s="69" t="s">
        <v>429</v>
      </c>
      <c r="C120" s="34">
        <f t="shared" si="35"/>
        <v>8429361.5644860342</v>
      </c>
      <c r="P120" s="21"/>
      <c r="AC120" s="21"/>
      <c r="AH120" s="21"/>
      <c r="AO120" s="21"/>
      <c r="AV120" s="21"/>
      <c r="BC120" s="21"/>
      <c r="BJ120" s="21"/>
      <c r="BQ120" s="21"/>
      <c r="BX120" s="21"/>
      <c r="CE120" s="21"/>
      <c r="CL120" s="21"/>
      <c r="CS120" s="21"/>
      <c r="CZ120" s="21"/>
      <c r="DG120" s="21"/>
      <c r="DN120" s="21"/>
      <c r="DU120" s="21"/>
      <c r="EB120" s="21"/>
    </row>
    <row r="121" spans="1:132" s="18" customFormat="1" ht="12" x14ac:dyDescent="0.25">
      <c r="A121" s="72">
        <v>30</v>
      </c>
      <c r="B121" s="69" t="s">
        <v>430</v>
      </c>
      <c r="C121" s="34">
        <f>O33</f>
        <v>19609297.087264512</v>
      </c>
      <c r="P121" s="21"/>
      <c r="AC121" s="21"/>
      <c r="AH121" s="21"/>
      <c r="AO121" s="21"/>
      <c r="AV121" s="21"/>
      <c r="BC121" s="21"/>
      <c r="BJ121" s="21"/>
      <c r="BQ121" s="21"/>
      <c r="BX121" s="21"/>
      <c r="CE121" s="21"/>
      <c r="CL121" s="21"/>
      <c r="CS121" s="21"/>
      <c r="CZ121" s="21"/>
      <c r="DG121" s="21"/>
      <c r="DN121" s="21"/>
      <c r="DU121" s="21"/>
      <c r="EB121" s="21"/>
    </row>
    <row r="122" spans="1:132" s="18" customFormat="1" ht="12" x14ac:dyDescent="0.25">
      <c r="A122" s="72">
        <v>31</v>
      </c>
      <c r="B122" s="69" t="s">
        <v>431</v>
      </c>
      <c r="C122" s="34">
        <f t="shared" ref="C122:C129" si="36">O34</f>
        <v>456477.37999593222</v>
      </c>
      <c r="P122" s="21"/>
      <c r="AC122" s="21"/>
      <c r="AH122" s="21"/>
      <c r="AO122" s="21"/>
      <c r="AV122" s="21"/>
      <c r="BC122" s="21"/>
      <c r="BJ122" s="21"/>
      <c r="BQ122" s="21"/>
      <c r="BX122" s="21"/>
      <c r="CE122" s="21"/>
      <c r="CL122" s="21"/>
      <c r="CS122" s="21"/>
      <c r="CZ122" s="21"/>
      <c r="DG122" s="21"/>
      <c r="DN122" s="21"/>
      <c r="DU122" s="21"/>
      <c r="EB122" s="21"/>
    </row>
    <row r="123" spans="1:132" s="18" customFormat="1" ht="12" x14ac:dyDescent="0.25">
      <c r="A123" s="72">
        <v>32</v>
      </c>
      <c r="B123" s="69" t="s">
        <v>432</v>
      </c>
      <c r="C123" s="34">
        <f t="shared" si="36"/>
        <v>17303.542137085737</v>
      </c>
      <c r="P123" s="21"/>
      <c r="AC123" s="21"/>
      <c r="AH123" s="21"/>
      <c r="AO123" s="21"/>
      <c r="AV123" s="21"/>
      <c r="BC123" s="21"/>
      <c r="BJ123" s="21"/>
      <c r="BQ123" s="21"/>
      <c r="BX123" s="21"/>
      <c r="CE123" s="21"/>
      <c r="CL123" s="21"/>
      <c r="CS123" s="21"/>
      <c r="CZ123" s="21"/>
      <c r="DG123" s="21"/>
      <c r="DN123" s="21"/>
      <c r="DU123" s="21"/>
      <c r="EB123" s="21"/>
    </row>
    <row r="124" spans="1:132" s="18" customFormat="1" ht="12" x14ac:dyDescent="0.25">
      <c r="A124" s="72">
        <v>33</v>
      </c>
      <c r="B124" s="69" t="s">
        <v>433</v>
      </c>
      <c r="C124" s="34">
        <f t="shared" si="36"/>
        <v>53774337.047404617</v>
      </c>
      <c r="P124" s="21"/>
      <c r="AC124" s="21"/>
      <c r="AH124" s="21"/>
      <c r="AO124" s="21"/>
      <c r="AV124" s="21"/>
      <c r="BC124" s="21"/>
      <c r="BJ124" s="21"/>
      <c r="BQ124" s="21"/>
      <c r="BX124" s="21"/>
      <c r="CE124" s="21"/>
      <c r="CL124" s="21"/>
      <c r="CS124" s="21"/>
      <c r="CZ124" s="21"/>
      <c r="DG124" s="21"/>
      <c r="DN124" s="21"/>
      <c r="DU124" s="21"/>
      <c r="EB124" s="21"/>
    </row>
    <row r="125" spans="1:132" s="18" customFormat="1" ht="12" x14ac:dyDescent="0.25">
      <c r="A125" s="72">
        <v>34</v>
      </c>
      <c r="B125" s="69" t="s">
        <v>434</v>
      </c>
      <c r="C125" s="34">
        <f t="shared" si="36"/>
        <v>78983299.197824165</v>
      </c>
      <c r="P125" s="21"/>
      <c r="AC125" s="21"/>
      <c r="AH125" s="21"/>
      <c r="AO125" s="21"/>
      <c r="AV125" s="21"/>
      <c r="BC125" s="21"/>
      <c r="BJ125" s="21"/>
      <c r="BQ125" s="21"/>
      <c r="BX125" s="21"/>
      <c r="CE125" s="21"/>
      <c r="CL125" s="21"/>
      <c r="CS125" s="21"/>
      <c r="CZ125" s="21"/>
      <c r="DG125" s="21"/>
      <c r="DN125" s="21"/>
      <c r="DU125" s="21"/>
      <c r="EB125" s="21"/>
    </row>
    <row r="126" spans="1:132" s="18" customFormat="1" ht="12" x14ac:dyDescent="0.25">
      <c r="A126" s="72">
        <v>35</v>
      </c>
      <c r="B126" s="69" t="s">
        <v>435</v>
      </c>
      <c r="C126" s="34">
        <f t="shared" si="36"/>
        <v>686566.60193196777</v>
      </c>
      <c r="P126" s="21"/>
      <c r="AC126" s="21"/>
      <c r="AH126" s="21"/>
      <c r="AO126" s="21"/>
      <c r="AV126" s="21"/>
      <c r="BC126" s="21"/>
      <c r="BJ126" s="21"/>
      <c r="BQ126" s="21"/>
      <c r="BX126" s="21"/>
      <c r="CE126" s="21"/>
      <c r="CL126" s="21"/>
      <c r="CS126" s="21"/>
      <c r="CZ126" s="21"/>
      <c r="DG126" s="21"/>
      <c r="DN126" s="21"/>
      <c r="DU126" s="21"/>
      <c r="EB126" s="21"/>
    </row>
    <row r="127" spans="1:132" s="18" customFormat="1" ht="12" x14ac:dyDescent="0.25">
      <c r="A127" s="72">
        <v>36</v>
      </c>
      <c r="B127" s="69" t="s">
        <v>436</v>
      </c>
      <c r="C127" s="34">
        <f t="shared" si="36"/>
        <v>1586344.6081734938</v>
      </c>
      <c r="P127" s="21"/>
      <c r="AC127" s="21"/>
      <c r="AH127" s="21"/>
      <c r="AO127" s="21"/>
      <c r="AV127" s="21"/>
      <c r="BC127" s="21"/>
      <c r="BJ127" s="21"/>
      <c r="BQ127" s="21"/>
      <c r="BX127" s="21"/>
      <c r="CE127" s="21"/>
      <c r="CL127" s="21"/>
      <c r="CS127" s="21"/>
      <c r="CZ127" s="21"/>
      <c r="DG127" s="21"/>
      <c r="DN127" s="21"/>
      <c r="DU127" s="21"/>
      <c r="EB127" s="21"/>
    </row>
    <row r="128" spans="1:132" s="18" customFormat="1" ht="12" x14ac:dyDescent="0.25">
      <c r="A128" s="72">
        <v>37</v>
      </c>
      <c r="B128" s="69" t="s">
        <v>437</v>
      </c>
      <c r="C128" s="34">
        <f t="shared" si="36"/>
        <v>156882987.72794095</v>
      </c>
      <c r="P128" s="21"/>
      <c r="AC128" s="21"/>
      <c r="AH128" s="21"/>
      <c r="AO128" s="21"/>
      <c r="AV128" s="21"/>
      <c r="BC128" s="21"/>
      <c r="BJ128" s="21"/>
      <c r="BQ128" s="21"/>
      <c r="BX128" s="21"/>
      <c r="CE128" s="21"/>
      <c r="CL128" s="21"/>
      <c r="CS128" s="21"/>
      <c r="CZ128" s="21"/>
      <c r="DG128" s="21"/>
      <c r="DN128" s="21"/>
      <c r="DU128" s="21"/>
      <c r="EB128" s="21"/>
    </row>
    <row r="129" spans="1:132" s="18" customFormat="1" ht="12" x14ac:dyDescent="0.25">
      <c r="A129" s="72">
        <v>38</v>
      </c>
      <c r="B129" s="69" t="s">
        <v>438</v>
      </c>
      <c r="C129" s="34">
        <f t="shared" si="36"/>
        <v>1050567.6862917216</v>
      </c>
      <c r="P129" s="21"/>
      <c r="AC129" s="21"/>
      <c r="AH129" s="21"/>
      <c r="AO129" s="21"/>
      <c r="AV129" s="21"/>
      <c r="BC129" s="21"/>
      <c r="BJ129" s="21"/>
      <c r="BQ129" s="21"/>
      <c r="BX129" s="21"/>
      <c r="CE129" s="21"/>
      <c r="CL129" s="21"/>
      <c r="CS129" s="21"/>
      <c r="CZ129" s="21"/>
      <c r="DG129" s="21"/>
      <c r="DN129" s="21"/>
      <c r="DU129" s="21"/>
      <c r="EB129" s="21"/>
    </row>
    <row r="130" spans="1:132" s="18" customFormat="1" ht="12" x14ac:dyDescent="0.25">
      <c r="A130" s="72"/>
      <c r="B130" s="69" t="s">
        <v>400</v>
      </c>
      <c r="C130" s="34">
        <f>SUM(C92:C129)</f>
        <v>2355297592.307126</v>
      </c>
      <c r="P130" s="21"/>
      <c r="AC130" s="21"/>
      <c r="AH130" s="21"/>
      <c r="AO130" s="21"/>
      <c r="AV130" s="21"/>
      <c r="BC130" s="21"/>
      <c r="BJ130" s="21"/>
      <c r="BQ130" s="21"/>
      <c r="BX130" s="21"/>
      <c r="CE130" s="21"/>
      <c r="CL130" s="21"/>
      <c r="CS130" s="21"/>
      <c r="CZ130" s="21"/>
      <c r="DG130" s="21"/>
      <c r="DN130" s="21"/>
      <c r="DU130" s="21"/>
      <c r="EB130" s="21"/>
    </row>
  </sheetData>
  <mergeCells count="90">
    <mergeCell ref="CE1:CK1"/>
    <mergeCell ref="A2:A3"/>
    <mergeCell ref="AC1:AG1"/>
    <mergeCell ref="CS1:CY1"/>
    <mergeCell ref="EB1:EH1"/>
    <mergeCell ref="CZ1:DF1"/>
    <mergeCell ref="DN1:DT1"/>
    <mergeCell ref="DU1:EA1"/>
    <mergeCell ref="DG1:DM1"/>
    <mergeCell ref="AH1:AN1"/>
    <mergeCell ref="AO1:AU1"/>
    <mergeCell ref="AV1:BB1"/>
    <mergeCell ref="CL1:CR1"/>
    <mergeCell ref="BC1:BI1"/>
    <mergeCell ref="BJ1:BP1"/>
    <mergeCell ref="BQ1:BW1"/>
    <mergeCell ref="BX1:CD1"/>
    <mergeCell ref="CN2:CQ2"/>
    <mergeCell ref="A1:O1"/>
    <mergeCell ref="P1:AB1"/>
    <mergeCell ref="BW2:BW3"/>
    <mergeCell ref="BC2:BC3"/>
    <mergeCell ref="BD2:BD3"/>
    <mergeCell ref="BE2:BH2"/>
    <mergeCell ref="BI2:BI3"/>
    <mergeCell ref="BJ2:BJ3"/>
    <mergeCell ref="BK2:BK3"/>
    <mergeCell ref="BL2:BO2"/>
    <mergeCell ref="BP2:BP3"/>
    <mergeCell ref="BQ2:BQ3"/>
    <mergeCell ref="BR2:BR3"/>
    <mergeCell ref="BS2:BV2"/>
    <mergeCell ref="AG2:AG3"/>
    <mergeCell ref="CF2:CF3"/>
    <mergeCell ref="CG2:CJ2"/>
    <mergeCell ref="CK2:CK3"/>
    <mergeCell ref="CL2:CL3"/>
    <mergeCell ref="CM2:CM3"/>
    <mergeCell ref="BX2:BX3"/>
    <mergeCell ref="BY2:BY3"/>
    <mergeCell ref="BZ2:CC2"/>
    <mergeCell ref="CD2:CD3"/>
    <mergeCell ref="CE2:CE3"/>
    <mergeCell ref="CS2:CS3"/>
    <mergeCell ref="CT2:CT3"/>
    <mergeCell ref="CU2:CX2"/>
    <mergeCell ref="CY2:CY3"/>
    <mergeCell ref="CR2:CR3"/>
    <mergeCell ref="EB2:EB3"/>
    <mergeCell ref="EC2:EC3"/>
    <mergeCell ref="ED2:EG2"/>
    <mergeCell ref="EH2:EH3"/>
    <mergeCell ref="CZ2:CZ3"/>
    <mergeCell ref="DA2:DA3"/>
    <mergeCell ref="DB2:DE2"/>
    <mergeCell ref="DM2:DM3"/>
    <mergeCell ref="DN2:DN3"/>
    <mergeCell ref="DO2:DO3"/>
    <mergeCell ref="DP2:DS2"/>
    <mergeCell ref="DT2:DT3"/>
    <mergeCell ref="DU2:DU3"/>
    <mergeCell ref="DV2:DV3"/>
    <mergeCell ref="DW2:DZ2"/>
    <mergeCell ref="EA2:EA3"/>
    <mergeCell ref="DG2:DG3"/>
    <mergeCell ref="DH2:DH3"/>
    <mergeCell ref="DI2:DL2"/>
    <mergeCell ref="BB2:BB3"/>
    <mergeCell ref="AH2:AH3"/>
    <mergeCell ref="AI2:AI3"/>
    <mergeCell ref="AJ2:AM2"/>
    <mergeCell ref="AN2:AN3"/>
    <mergeCell ref="AO2:AO3"/>
    <mergeCell ref="AP2:AP3"/>
    <mergeCell ref="AQ2:AT2"/>
    <mergeCell ref="AU2:AU3"/>
    <mergeCell ref="AV2:AV3"/>
    <mergeCell ref="AW2:AW3"/>
    <mergeCell ref="AX2:BA2"/>
    <mergeCell ref="DF2:DF3"/>
    <mergeCell ref="B2:B3"/>
    <mergeCell ref="C2:N2"/>
    <mergeCell ref="O2:O3"/>
    <mergeCell ref="P2:P3"/>
    <mergeCell ref="Q2:Q3"/>
    <mergeCell ref="R2:AA2"/>
    <mergeCell ref="AB2:AB3"/>
    <mergeCell ref="AC2:AC3"/>
    <mergeCell ref="AD2:AD3"/>
    <mergeCell ref="AE2:AF2"/>
  </mergeCells>
  <pageMargins left="0.31496062992125984" right="0.11811023622047245" top="0.59055118110236227" bottom="0.35433070866141736" header="0.31496062992125984" footer="0.31496062992125984"/>
  <pageSetup paperSize="9" scale="85" firstPageNumber="157" orientation="landscape" useFirstPageNumber="1" r:id="rId1"/>
  <headerFooter>
    <oddFooter>&amp;C&amp;P</oddFooter>
  </headerFooter>
  <colBreaks count="17" manualBreakCount="17">
    <brk id="15" max="1048575" man="1"/>
    <brk id="28" max="1048575" man="1"/>
    <brk id="33" max="1048575" man="1"/>
    <brk id="40" max="1048575" man="1"/>
    <brk id="47" max="1048575" man="1"/>
    <brk id="54" max="1048575" man="1"/>
    <brk id="61" max="1048575" man="1"/>
    <brk id="68" max="1048575" man="1"/>
    <brk id="75" max="1048575" man="1"/>
    <brk id="82" max="1048575" man="1"/>
    <brk id="89" max="1048575" man="1"/>
    <brk id="96" max="1048575" man="1"/>
    <brk id="103" max="1048575" man="1"/>
    <brk id="110" max="1048575" man="1"/>
    <brk id="117" max="1048575" man="1"/>
    <brk id="124" max="1048575" man="1"/>
    <brk id="131" max="41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1840-40ED-4015-B369-9EC603C5482C}">
  <dimension ref="A1:EH268"/>
  <sheetViews>
    <sheetView view="pageBreakPreview" topLeftCell="V1" zoomScale="70" zoomScaleNormal="55" zoomScaleSheetLayoutView="70" workbookViewId="0">
      <selection activeCell="AH46" sqref="AH46:AJ51"/>
    </sheetView>
  </sheetViews>
  <sheetFormatPr defaultRowHeight="10.199999999999999" x14ac:dyDescent="0.2"/>
  <cols>
    <col min="1" max="1" width="4.6640625" style="9" customWidth="1"/>
    <col min="2" max="2" width="16.77734375" style="1" customWidth="1"/>
    <col min="3" max="3" width="9.6640625" style="1" customWidth="1"/>
    <col min="4" max="4" width="10.77734375" style="1" customWidth="1"/>
    <col min="5" max="5" width="10.5546875" style="1" bestFit="1" customWidth="1"/>
    <col min="6" max="7" width="10.77734375" style="1" customWidth="1"/>
    <col min="8" max="8" width="10.88671875" style="1" customWidth="1"/>
    <col min="9" max="9" width="11.77734375" style="1" customWidth="1"/>
    <col min="10" max="12" width="10.77734375" style="1" customWidth="1"/>
    <col min="13" max="13" width="9" style="1" bestFit="1" customWidth="1"/>
    <col min="14" max="14" width="11" style="1" customWidth="1"/>
    <col min="15" max="15" width="10.77734375" style="1" customWidth="1"/>
    <col min="16" max="16" width="4.5546875" style="9" customWidth="1"/>
    <col min="17" max="17" width="16.109375" style="1" customWidth="1"/>
    <col min="18" max="28" width="11.88671875" style="1" customWidth="1"/>
    <col min="29" max="29" width="7.77734375" style="9"/>
    <col min="30" max="30" width="44.21875" style="1" customWidth="1"/>
    <col min="31" max="33" width="14.33203125" style="1" customWidth="1"/>
    <col min="34" max="34" width="4.5546875" style="9" customWidth="1"/>
    <col min="35" max="35" width="40" style="1" customWidth="1"/>
    <col min="36" max="36" width="22.21875" style="1" customWidth="1"/>
    <col min="37" max="40" width="21.77734375" style="1" customWidth="1"/>
    <col min="41" max="41" width="8.33203125" style="9" customWidth="1"/>
    <col min="42" max="42" width="20.44140625" style="1" customWidth="1"/>
    <col min="43" max="47" width="21.77734375" style="1" customWidth="1"/>
    <col min="48" max="48" width="8.33203125" style="9" customWidth="1"/>
    <col min="49" max="49" width="20.44140625" style="1" customWidth="1"/>
    <col min="50" max="54" width="21.77734375" style="1" customWidth="1"/>
    <col min="55" max="55" width="8.33203125" style="9" customWidth="1"/>
    <col min="56" max="56" width="20.44140625" style="1" customWidth="1"/>
    <col min="57" max="61" width="21.77734375" style="1" customWidth="1"/>
    <col min="62" max="62" width="8.33203125" style="9" customWidth="1"/>
    <col min="63" max="63" width="20.44140625" style="1" customWidth="1"/>
    <col min="64" max="68" width="21.77734375" style="1" customWidth="1"/>
    <col min="69" max="69" width="8.33203125" style="9" customWidth="1"/>
    <col min="70" max="70" width="20.44140625" style="1" customWidth="1"/>
    <col min="71" max="75" width="21.77734375" style="1" customWidth="1"/>
    <col min="76" max="76" width="8.33203125" style="9" customWidth="1"/>
    <col min="77" max="77" width="20.44140625" style="1" customWidth="1"/>
    <col min="78" max="82" width="21.77734375" style="1" customWidth="1"/>
    <col min="83" max="83" width="8.33203125" style="9" customWidth="1"/>
    <col min="84" max="84" width="20.44140625" style="1" customWidth="1"/>
    <col min="85" max="89" width="21.77734375" style="1" customWidth="1"/>
    <col min="90" max="90" width="8.33203125" style="9" customWidth="1"/>
    <col min="91" max="91" width="20.44140625" style="1" customWidth="1"/>
    <col min="92" max="96" width="21.77734375" style="1" customWidth="1"/>
    <col min="97" max="97" width="8.33203125" style="9" customWidth="1"/>
    <col min="98" max="98" width="20.44140625" style="1" customWidth="1"/>
    <col min="99" max="103" width="21.77734375" style="1" customWidth="1"/>
    <col min="104" max="104" width="8.33203125" style="9" customWidth="1"/>
    <col min="105" max="105" width="20.44140625" style="1" customWidth="1"/>
    <col min="106" max="110" width="21.77734375" style="1" customWidth="1"/>
    <col min="111" max="111" width="8.33203125" style="9" customWidth="1"/>
    <col min="112" max="112" width="20.44140625" style="1" customWidth="1"/>
    <col min="113" max="117" width="21.77734375" style="1" customWidth="1"/>
    <col min="118" max="118" width="8.33203125" style="9" customWidth="1"/>
    <col min="119" max="119" width="20.44140625" style="1" customWidth="1"/>
    <col min="120" max="124" width="21.77734375" style="1" customWidth="1"/>
    <col min="125" max="125" width="8.33203125" style="9" customWidth="1"/>
    <col min="126" max="126" width="20.44140625" style="1" customWidth="1"/>
    <col min="127" max="131" width="21.77734375" style="1" customWidth="1"/>
    <col min="132" max="132" width="8.33203125" style="9" customWidth="1"/>
    <col min="133" max="133" width="20.44140625" style="1" customWidth="1"/>
    <col min="134" max="138" width="21.77734375" style="1" customWidth="1"/>
    <col min="139" max="16384" width="8.88671875" style="1"/>
  </cols>
  <sheetData>
    <row r="1" spans="1:138" s="53" customFormat="1" ht="10.199999999999999" customHeight="1" x14ac:dyDescent="0.2">
      <c r="A1" s="97" t="s">
        <v>249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 t="s">
        <v>250</v>
      </c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 t="s">
        <v>251</v>
      </c>
      <c r="AD1" s="97"/>
      <c r="AE1" s="97"/>
      <c r="AF1" s="97"/>
      <c r="AG1" s="97"/>
      <c r="AH1" s="101" t="s">
        <v>354</v>
      </c>
      <c r="AI1" s="101"/>
      <c r="AJ1" s="101"/>
      <c r="AK1" s="101"/>
      <c r="AL1" s="101"/>
      <c r="AM1" s="101"/>
      <c r="AN1" s="101"/>
      <c r="AO1" s="101" t="s">
        <v>355</v>
      </c>
      <c r="AP1" s="101"/>
      <c r="AQ1" s="101"/>
      <c r="AR1" s="101"/>
      <c r="AS1" s="101"/>
      <c r="AT1" s="101"/>
      <c r="AU1" s="101"/>
      <c r="AV1" s="101" t="s">
        <v>356</v>
      </c>
      <c r="AW1" s="101"/>
      <c r="AX1" s="101"/>
      <c r="AY1" s="101"/>
      <c r="AZ1" s="101"/>
      <c r="BA1" s="101"/>
      <c r="BB1" s="101"/>
      <c r="BC1" s="101" t="s">
        <v>357</v>
      </c>
      <c r="BD1" s="101"/>
      <c r="BE1" s="101"/>
      <c r="BF1" s="101"/>
      <c r="BG1" s="101"/>
      <c r="BH1" s="101"/>
      <c r="BI1" s="101"/>
      <c r="BJ1" s="101" t="s">
        <v>358</v>
      </c>
      <c r="BK1" s="101"/>
      <c r="BL1" s="101"/>
      <c r="BM1" s="101"/>
      <c r="BN1" s="101"/>
      <c r="BO1" s="101"/>
      <c r="BP1" s="101"/>
      <c r="BQ1" s="101" t="s">
        <v>359</v>
      </c>
      <c r="BR1" s="101"/>
      <c r="BS1" s="101"/>
      <c r="BT1" s="101"/>
      <c r="BU1" s="101"/>
      <c r="BV1" s="101"/>
      <c r="BW1" s="101"/>
      <c r="BX1" s="101" t="s">
        <v>360</v>
      </c>
      <c r="BY1" s="101"/>
      <c r="BZ1" s="101"/>
      <c r="CA1" s="101"/>
      <c r="CB1" s="101"/>
      <c r="CC1" s="101"/>
      <c r="CD1" s="101"/>
      <c r="CE1" s="101" t="s">
        <v>361</v>
      </c>
      <c r="CF1" s="101"/>
      <c r="CG1" s="101"/>
      <c r="CH1" s="101"/>
      <c r="CI1" s="101"/>
      <c r="CJ1" s="101"/>
      <c r="CK1" s="101"/>
      <c r="CL1" s="101" t="s">
        <v>362</v>
      </c>
      <c r="CM1" s="101"/>
      <c r="CN1" s="101"/>
      <c r="CO1" s="101"/>
      <c r="CP1" s="101"/>
      <c r="CQ1" s="101"/>
      <c r="CR1" s="101"/>
      <c r="CS1" s="101" t="s">
        <v>363</v>
      </c>
      <c r="CT1" s="101"/>
      <c r="CU1" s="101"/>
      <c r="CV1" s="101"/>
      <c r="CW1" s="101"/>
      <c r="CX1" s="101"/>
      <c r="CY1" s="101"/>
      <c r="CZ1" s="101" t="s">
        <v>364</v>
      </c>
      <c r="DA1" s="101"/>
      <c r="DB1" s="101"/>
      <c r="DC1" s="101"/>
      <c r="DD1" s="101"/>
      <c r="DE1" s="101"/>
      <c r="DF1" s="101"/>
      <c r="DG1" s="101" t="s">
        <v>365</v>
      </c>
      <c r="DH1" s="101"/>
      <c r="DI1" s="101"/>
      <c r="DJ1" s="101"/>
      <c r="DK1" s="101"/>
      <c r="DL1" s="101"/>
      <c r="DM1" s="101"/>
      <c r="DN1" s="101" t="s">
        <v>366</v>
      </c>
      <c r="DO1" s="101"/>
      <c r="DP1" s="101"/>
      <c r="DQ1" s="101"/>
      <c r="DR1" s="101"/>
      <c r="DS1" s="101"/>
      <c r="DT1" s="101"/>
      <c r="DU1" s="101" t="s">
        <v>367</v>
      </c>
      <c r="DV1" s="101"/>
      <c r="DW1" s="101"/>
      <c r="DX1" s="101"/>
      <c r="DY1" s="101"/>
      <c r="DZ1" s="101"/>
      <c r="EA1" s="101"/>
      <c r="EB1" s="101" t="s">
        <v>368</v>
      </c>
      <c r="EC1" s="101"/>
      <c r="ED1" s="101"/>
      <c r="EE1" s="101"/>
      <c r="EF1" s="101"/>
      <c r="EG1" s="101"/>
      <c r="EH1" s="101"/>
    </row>
    <row r="2" spans="1:138" s="53" customFormat="1" x14ac:dyDescent="0.2">
      <c r="A2" s="98" t="s">
        <v>0</v>
      </c>
      <c r="B2" s="98" t="s">
        <v>1</v>
      </c>
      <c r="C2" s="98" t="s">
        <v>4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 t="s">
        <v>3</v>
      </c>
      <c r="P2" s="98" t="s">
        <v>0</v>
      </c>
      <c r="Q2" s="98" t="s">
        <v>1</v>
      </c>
      <c r="R2" s="98" t="s">
        <v>4</v>
      </c>
      <c r="S2" s="98"/>
      <c r="T2" s="98"/>
      <c r="U2" s="98"/>
      <c r="V2" s="98"/>
      <c r="W2" s="98"/>
      <c r="X2" s="98"/>
      <c r="Y2" s="98"/>
      <c r="Z2" s="98"/>
      <c r="AA2" s="98"/>
      <c r="AB2" s="98" t="s">
        <v>3</v>
      </c>
      <c r="AC2" s="98" t="s">
        <v>0</v>
      </c>
      <c r="AD2" s="98" t="s">
        <v>1</v>
      </c>
      <c r="AE2" s="98" t="s">
        <v>4</v>
      </c>
      <c r="AF2" s="98"/>
      <c r="AG2" s="98" t="s">
        <v>3</v>
      </c>
      <c r="AH2" s="98" t="s">
        <v>0</v>
      </c>
      <c r="AI2" s="98" t="s">
        <v>1</v>
      </c>
      <c r="AJ2" s="98" t="s">
        <v>274</v>
      </c>
      <c r="AK2" s="98"/>
      <c r="AL2" s="98"/>
      <c r="AM2" s="98"/>
      <c r="AN2" s="98" t="s">
        <v>66</v>
      </c>
      <c r="AO2" s="98" t="s">
        <v>0</v>
      </c>
      <c r="AP2" s="98" t="s">
        <v>1</v>
      </c>
      <c r="AQ2" s="98" t="s">
        <v>274</v>
      </c>
      <c r="AR2" s="98"/>
      <c r="AS2" s="98"/>
      <c r="AT2" s="98"/>
      <c r="AU2" s="98" t="s">
        <v>66</v>
      </c>
      <c r="AV2" s="98" t="s">
        <v>0</v>
      </c>
      <c r="AW2" s="98" t="s">
        <v>1</v>
      </c>
      <c r="AX2" s="98" t="s">
        <v>274</v>
      </c>
      <c r="AY2" s="98"/>
      <c r="AZ2" s="98"/>
      <c r="BA2" s="98"/>
      <c r="BB2" s="98" t="s">
        <v>66</v>
      </c>
      <c r="BC2" s="98" t="s">
        <v>0</v>
      </c>
      <c r="BD2" s="98" t="s">
        <v>1</v>
      </c>
      <c r="BE2" s="98" t="s">
        <v>274</v>
      </c>
      <c r="BF2" s="98"/>
      <c r="BG2" s="98"/>
      <c r="BH2" s="98"/>
      <c r="BI2" s="98" t="s">
        <v>66</v>
      </c>
      <c r="BJ2" s="98" t="s">
        <v>0</v>
      </c>
      <c r="BK2" s="98" t="s">
        <v>1</v>
      </c>
      <c r="BL2" s="98" t="s">
        <v>274</v>
      </c>
      <c r="BM2" s="98"/>
      <c r="BN2" s="98"/>
      <c r="BO2" s="98"/>
      <c r="BP2" s="98" t="s">
        <v>66</v>
      </c>
      <c r="BQ2" s="98" t="s">
        <v>0</v>
      </c>
      <c r="BR2" s="98" t="s">
        <v>1</v>
      </c>
      <c r="BS2" s="98" t="s">
        <v>274</v>
      </c>
      <c r="BT2" s="98"/>
      <c r="BU2" s="98"/>
      <c r="BV2" s="98"/>
      <c r="BW2" s="98" t="s">
        <v>66</v>
      </c>
      <c r="BX2" s="98" t="s">
        <v>0</v>
      </c>
      <c r="BY2" s="98" t="s">
        <v>1</v>
      </c>
      <c r="BZ2" s="98" t="s">
        <v>274</v>
      </c>
      <c r="CA2" s="98"/>
      <c r="CB2" s="98"/>
      <c r="CC2" s="98"/>
      <c r="CD2" s="98" t="s">
        <v>66</v>
      </c>
      <c r="CE2" s="98" t="s">
        <v>0</v>
      </c>
      <c r="CF2" s="98" t="s">
        <v>1</v>
      </c>
      <c r="CG2" s="98" t="s">
        <v>274</v>
      </c>
      <c r="CH2" s="98"/>
      <c r="CI2" s="98"/>
      <c r="CJ2" s="98"/>
      <c r="CK2" s="98" t="s">
        <v>66</v>
      </c>
      <c r="CL2" s="98" t="s">
        <v>0</v>
      </c>
      <c r="CM2" s="98" t="s">
        <v>1</v>
      </c>
      <c r="CN2" s="98" t="s">
        <v>274</v>
      </c>
      <c r="CO2" s="98"/>
      <c r="CP2" s="98"/>
      <c r="CQ2" s="98"/>
      <c r="CR2" s="98" t="s">
        <v>66</v>
      </c>
      <c r="CS2" s="98" t="s">
        <v>0</v>
      </c>
      <c r="CT2" s="98" t="s">
        <v>1</v>
      </c>
      <c r="CU2" s="98" t="s">
        <v>274</v>
      </c>
      <c r="CV2" s="98"/>
      <c r="CW2" s="98"/>
      <c r="CX2" s="98"/>
      <c r="CY2" s="98" t="s">
        <v>66</v>
      </c>
      <c r="CZ2" s="98" t="s">
        <v>0</v>
      </c>
      <c r="DA2" s="98" t="s">
        <v>1</v>
      </c>
      <c r="DB2" s="98" t="s">
        <v>274</v>
      </c>
      <c r="DC2" s="98"/>
      <c r="DD2" s="98"/>
      <c r="DE2" s="98"/>
      <c r="DF2" s="98" t="s">
        <v>66</v>
      </c>
      <c r="DG2" s="98" t="s">
        <v>0</v>
      </c>
      <c r="DH2" s="98" t="s">
        <v>1</v>
      </c>
      <c r="DI2" s="98" t="s">
        <v>274</v>
      </c>
      <c r="DJ2" s="98"/>
      <c r="DK2" s="98"/>
      <c r="DL2" s="98"/>
      <c r="DM2" s="98" t="s">
        <v>66</v>
      </c>
      <c r="DN2" s="98" t="s">
        <v>0</v>
      </c>
      <c r="DO2" s="98" t="s">
        <v>1</v>
      </c>
      <c r="DP2" s="98" t="s">
        <v>274</v>
      </c>
      <c r="DQ2" s="98"/>
      <c r="DR2" s="98"/>
      <c r="DS2" s="98"/>
      <c r="DT2" s="98" t="s">
        <v>66</v>
      </c>
      <c r="DU2" s="98" t="s">
        <v>0</v>
      </c>
      <c r="DV2" s="98" t="s">
        <v>1</v>
      </c>
      <c r="DW2" s="98" t="s">
        <v>274</v>
      </c>
      <c r="DX2" s="98"/>
      <c r="DY2" s="98"/>
      <c r="DZ2" s="98"/>
      <c r="EA2" s="98" t="s">
        <v>66</v>
      </c>
      <c r="EB2" s="98" t="s">
        <v>0</v>
      </c>
      <c r="EC2" s="98" t="s">
        <v>1</v>
      </c>
      <c r="ED2" s="98" t="s">
        <v>274</v>
      </c>
      <c r="EE2" s="98"/>
      <c r="EF2" s="98"/>
      <c r="EG2" s="98"/>
      <c r="EH2" s="98" t="s">
        <v>66</v>
      </c>
    </row>
    <row r="3" spans="1:138" ht="30.6" x14ac:dyDescent="0.2">
      <c r="A3" s="98"/>
      <c r="B3" s="98"/>
      <c r="C3" s="11" t="s">
        <v>9</v>
      </c>
      <c r="D3" s="11" t="s">
        <v>10</v>
      </c>
      <c r="E3" s="11" t="s">
        <v>11</v>
      </c>
      <c r="F3" s="11" t="s">
        <v>12</v>
      </c>
      <c r="G3" s="46" t="s">
        <v>13</v>
      </c>
      <c r="H3" s="46" t="s">
        <v>14</v>
      </c>
      <c r="I3" s="46" t="s">
        <v>138</v>
      </c>
      <c r="J3" s="46" t="s">
        <v>132</v>
      </c>
      <c r="K3" s="46" t="s">
        <v>134</v>
      </c>
      <c r="L3" s="46" t="s">
        <v>18</v>
      </c>
      <c r="M3" s="46" t="s">
        <v>19</v>
      </c>
      <c r="N3" s="46" t="s">
        <v>133</v>
      </c>
      <c r="O3" s="98"/>
      <c r="P3" s="98"/>
      <c r="Q3" s="98"/>
      <c r="R3" s="11" t="s">
        <v>9</v>
      </c>
      <c r="S3" s="11" t="s">
        <v>10</v>
      </c>
      <c r="T3" s="11" t="s">
        <v>11</v>
      </c>
      <c r="U3" s="11" t="s">
        <v>12</v>
      </c>
      <c r="V3" s="46" t="s">
        <v>13</v>
      </c>
      <c r="W3" s="46" t="s">
        <v>14</v>
      </c>
      <c r="X3" s="46" t="s">
        <v>131</v>
      </c>
      <c r="Y3" s="46" t="s">
        <v>132</v>
      </c>
      <c r="Z3" s="46" t="s">
        <v>134</v>
      </c>
      <c r="AA3" s="46" t="s">
        <v>18</v>
      </c>
      <c r="AB3" s="98"/>
      <c r="AC3" s="98"/>
      <c r="AD3" s="98"/>
      <c r="AE3" s="46" t="s">
        <v>19</v>
      </c>
      <c r="AF3" s="46" t="s">
        <v>133</v>
      </c>
      <c r="AG3" s="98"/>
      <c r="AH3" s="98"/>
      <c r="AI3" s="98"/>
      <c r="AJ3" s="11" t="s">
        <v>67</v>
      </c>
      <c r="AK3" s="11" t="s">
        <v>68</v>
      </c>
      <c r="AL3" s="11" t="s">
        <v>69</v>
      </c>
      <c r="AM3" s="11" t="s">
        <v>70</v>
      </c>
      <c r="AN3" s="98"/>
      <c r="AO3" s="98"/>
      <c r="AP3" s="98"/>
      <c r="AQ3" s="11" t="s">
        <v>67</v>
      </c>
      <c r="AR3" s="11" t="s">
        <v>68</v>
      </c>
      <c r="AS3" s="11" t="s">
        <v>69</v>
      </c>
      <c r="AT3" s="11" t="s">
        <v>70</v>
      </c>
      <c r="AU3" s="98"/>
      <c r="AV3" s="98"/>
      <c r="AW3" s="98"/>
      <c r="AX3" s="11" t="s">
        <v>67</v>
      </c>
      <c r="AY3" s="11" t="s">
        <v>68</v>
      </c>
      <c r="AZ3" s="11" t="s">
        <v>69</v>
      </c>
      <c r="BA3" s="11" t="s">
        <v>70</v>
      </c>
      <c r="BB3" s="98"/>
      <c r="BC3" s="98"/>
      <c r="BD3" s="98"/>
      <c r="BE3" s="11" t="s">
        <v>67</v>
      </c>
      <c r="BF3" s="11" t="s">
        <v>68</v>
      </c>
      <c r="BG3" s="11" t="s">
        <v>69</v>
      </c>
      <c r="BH3" s="11" t="s">
        <v>70</v>
      </c>
      <c r="BI3" s="98"/>
      <c r="BJ3" s="98"/>
      <c r="BK3" s="98"/>
      <c r="BL3" s="11" t="s">
        <v>67</v>
      </c>
      <c r="BM3" s="11" t="s">
        <v>68</v>
      </c>
      <c r="BN3" s="11" t="s">
        <v>69</v>
      </c>
      <c r="BO3" s="11" t="s">
        <v>70</v>
      </c>
      <c r="BP3" s="98"/>
      <c r="BQ3" s="98"/>
      <c r="BR3" s="98"/>
      <c r="BS3" s="11" t="s">
        <v>67</v>
      </c>
      <c r="BT3" s="11" t="s">
        <v>68</v>
      </c>
      <c r="BU3" s="11" t="s">
        <v>69</v>
      </c>
      <c r="BV3" s="11" t="s">
        <v>70</v>
      </c>
      <c r="BW3" s="98"/>
      <c r="BX3" s="98"/>
      <c r="BY3" s="98"/>
      <c r="BZ3" s="11" t="s">
        <v>67</v>
      </c>
      <c r="CA3" s="11" t="s">
        <v>68</v>
      </c>
      <c r="CB3" s="11" t="s">
        <v>69</v>
      </c>
      <c r="CC3" s="11" t="s">
        <v>70</v>
      </c>
      <c r="CD3" s="98"/>
      <c r="CE3" s="98"/>
      <c r="CF3" s="98"/>
      <c r="CG3" s="11" t="s">
        <v>67</v>
      </c>
      <c r="CH3" s="11" t="s">
        <v>68</v>
      </c>
      <c r="CI3" s="11" t="s">
        <v>69</v>
      </c>
      <c r="CJ3" s="11" t="s">
        <v>70</v>
      </c>
      <c r="CK3" s="98"/>
      <c r="CL3" s="98"/>
      <c r="CM3" s="98"/>
      <c r="CN3" s="11" t="s">
        <v>67</v>
      </c>
      <c r="CO3" s="11" t="s">
        <v>68</v>
      </c>
      <c r="CP3" s="11" t="s">
        <v>69</v>
      </c>
      <c r="CQ3" s="11" t="s">
        <v>70</v>
      </c>
      <c r="CR3" s="98"/>
      <c r="CS3" s="98"/>
      <c r="CT3" s="98"/>
      <c r="CU3" s="11" t="s">
        <v>67</v>
      </c>
      <c r="CV3" s="11" t="s">
        <v>68</v>
      </c>
      <c r="CW3" s="11" t="s">
        <v>69</v>
      </c>
      <c r="CX3" s="11" t="s">
        <v>70</v>
      </c>
      <c r="CY3" s="98"/>
      <c r="CZ3" s="98"/>
      <c r="DA3" s="98"/>
      <c r="DB3" s="11" t="s">
        <v>67</v>
      </c>
      <c r="DC3" s="11" t="s">
        <v>68</v>
      </c>
      <c r="DD3" s="11" t="s">
        <v>69</v>
      </c>
      <c r="DE3" s="11" t="s">
        <v>70</v>
      </c>
      <c r="DF3" s="98"/>
      <c r="DG3" s="98"/>
      <c r="DH3" s="98"/>
      <c r="DI3" s="11" t="s">
        <v>67</v>
      </c>
      <c r="DJ3" s="11" t="s">
        <v>68</v>
      </c>
      <c r="DK3" s="11" t="s">
        <v>69</v>
      </c>
      <c r="DL3" s="11" t="s">
        <v>70</v>
      </c>
      <c r="DM3" s="98"/>
      <c r="DN3" s="98"/>
      <c r="DO3" s="98"/>
      <c r="DP3" s="11" t="s">
        <v>67</v>
      </c>
      <c r="DQ3" s="11" t="s">
        <v>68</v>
      </c>
      <c r="DR3" s="11" t="s">
        <v>69</v>
      </c>
      <c r="DS3" s="11" t="s">
        <v>70</v>
      </c>
      <c r="DT3" s="98"/>
      <c r="DU3" s="98"/>
      <c r="DV3" s="98"/>
      <c r="DW3" s="11" t="s">
        <v>67</v>
      </c>
      <c r="DX3" s="11" t="s">
        <v>68</v>
      </c>
      <c r="DY3" s="11" t="s">
        <v>69</v>
      </c>
      <c r="DZ3" s="11" t="s">
        <v>70</v>
      </c>
      <c r="EA3" s="98"/>
      <c r="EB3" s="98"/>
      <c r="EC3" s="98"/>
      <c r="ED3" s="11" t="s">
        <v>67</v>
      </c>
      <c r="EE3" s="11" t="s">
        <v>68</v>
      </c>
      <c r="EF3" s="11" t="s">
        <v>69</v>
      </c>
      <c r="EG3" s="11" t="s">
        <v>70</v>
      </c>
      <c r="EH3" s="98"/>
    </row>
    <row r="4" spans="1:138" x14ac:dyDescent="0.2">
      <c r="A4" s="7" t="s">
        <v>110</v>
      </c>
      <c r="B4" s="2" t="s">
        <v>38</v>
      </c>
      <c r="C4" s="3">
        <f>BI4</f>
        <v>40130.329950464482</v>
      </c>
      <c r="D4" s="3">
        <f>BP4</f>
        <v>1113952.767740421</v>
      </c>
      <c r="E4" s="3">
        <f>BW4</f>
        <v>192661.50272960524</v>
      </c>
      <c r="F4" s="3">
        <f>CD4</f>
        <v>17122.121728343584</v>
      </c>
      <c r="G4" s="3">
        <f>CK4</f>
        <v>4806208.6579437321</v>
      </c>
      <c r="H4" s="3">
        <f>CR4</f>
        <v>0</v>
      </c>
      <c r="I4" s="3">
        <f>CY4</f>
        <v>11322.844755271817</v>
      </c>
      <c r="J4" s="3">
        <f>DM4</f>
        <v>1327.9936645285081</v>
      </c>
      <c r="K4" s="3">
        <f>DF4</f>
        <v>33464.075476764425</v>
      </c>
      <c r="L4" s="3">
        <f>DT4</f>
        <v>83598.104895293072</v>
      </c>
      <c r="M4" s="3">
        <f>EH4</f>
        <v>97259.634284522122</v>
      </c>
      <c r="N4" s="3">
        <f>EA4</f>
        <v>5115.456102103406</v>
      </c>
      <c r="O4" s="3">
        <f>SUM(C4:N4)</f>
        <v>6402163.4892710494</v>
      </c>
      <c r="P4" s="7" t="s">
        <v>110</v>
      </c>
      <c r="Q4" s="2" t="s">
        <v>38</v>
      </c>
      <c r="R4" s="3">
        <f t="shared" ref="R4:AA4" si="0">C4</f>
        <v>40130.329950464482</v>
      </c>
      <c r="S4" s="3">
        <f t="shared" si="0"/>
        <v>1113952.767740421</v>
      </c>
      <c r="T4" s="3">
        <f t="shared" si="0"/>
        <v>192661.50272960524</v>
      </c>
      <c r="U4" s="3">
        <f t="shared" si="0"/>
        <v>17122.121728343584</v>
      </c>
      <c r="V4" s="3">
        <f t="shared" si="0"/>
        <v>4806208.6579437321</v>
      </c>
      <c r="W4" s="3">
        <f t="shared" si="0"/>
        <v>0</v>
      </c>
      <c r="X4" s="3">
        <f t="shared" si="0"/>
        <v>11322.844755271817</v>
      </c>
      <c r="Y4" s="3">
        <f t="shared" si="0"/>
        <v>1327.9936645285081</v>
      </c>
      <c r="Z4" s="3">
        <f t="shared" si="0"/>
        <v>33464.075476764425</v>
      </c>
      <c r="AA4" s="3">
        <f t="shared" si="0"/>
        <v>83598.104895293072</v>
      </c>
      <c r="AB4" s="3">
        <f>SUM(R4:AA4)</f>
        <v>6299788.398884424</v>
      </c>
      <c r="AC4" s="7" t="s">
        <v>110</v>
      </c>
      <c r="AD4" s="2" t="s">
        <v>38</v>
      </c>
      <c r="AE4" s="3">
        <f>M4</f>
        <v>97259.634284522122</v>
      </c>
      <c r="AF4" s="3">
        <f>N4</f>
        <v>5115.456102103406</v>
      </c>
      <c r="AG4" s="3">
        <f>SUM(AE4:AF4)</f>
        <v>102375.09038662552</v>
      </c>
      <c r="AH4" s="27" t="s">
        <v>110</v>
      </c>
      <c r="AI4" s="2" t="s">
        <v>38</v>
      </c>
      <c r="AJ4" s="28">
        <f>AQ4+AX4</f>
        <v>5480183.5425096126</v>
      </c>
      <c r="AK4" s="28">
        <f t="shared" ref="AK4:AM19" si="1">AR4+AY4</f>
        <v>486304.85716106818</v>
      </c>
      <c r="AL4" s="28">
        <f t="shared" si="1"/>
        <v>435675.08960036817</v>
      </c>
      <c r="AM4" s="28">
        <f t="shared" si="1"/>
        <v>0</v>
      </c>
      <c r="AN4" s="28">
        <f>SUM(AJ4:AM4)</f>
        <v>6402163.4892710494</v>
      </c>
      <c r="AO4" s="27" t="s">
        <v>110</v>
      </c>
      <c r="AP4" s="2" t="s">
        <v>38</v>
      </c>
      <c r="AQ4" s="28">
        <f>BE4+BL4+BS4+BZ4+CG4+CN4+CU4+DB4+DI4+DP4</f>
        <v>5377808.4521229872</v>
      </c>
      <c r="AR4" s="28">
        <f t="shared" ref="AR4:AT19" si="2">BF4+BM4+BT4+CA4+CH4+CO4+CV4+DC4+DJ4+DQ4</f>
        <v>486304.85716106818</v>
      </c>
      <c r="AS4" s="28">
        <f t="shared" si="2"/>
        <v>435675.08960036817</v>
      </c>
      <c r="AT4" s="28">
        <f t="shared" si="2"/>
        <v>0</v>
      </c>
      <c r="AU4" s="28">
        <f>SUM(AQ4:AT4)</f>
        <v>6299788.398884424</v>
      </c>
      <c r="AV4" s="27" t="s">
        <v>110</v>
      </c>
      <c r="AW4" s="2" t="s">
        <v>38</v>
      </c>
      <c r="AX4" s="28">
        <f>DW4+ED4</f>
        <v>102375.09038662552</v>
      </c>
      <c r="AY4" s="28">
        <f t="shared" ref="AY4:BA19" si="3">DX4+EE4</f>
        <v>0</v>
      </c>
      <c r="AZ4" s="28">
        <f t="shared" si="3"/>
        <v>0</v>
      </c>
      <c r="BA4" s="28">
        <f t="shared" si="3"/>
        <v>0</v>
      </c>
      <c r="BB4" s="28">
        <f>SUM(AX4:BA4)</f>
        <v>102375.09038662552</v>
      </c>
      <c r="BC4" s="27" t="s">
        <v>110</v>
      </c>
      <c r="BD4" s="2" t="s">
        <v>38</v>
      </c>
      <c r="BE4" s="28">
        <v>39187.441157284702</v>
      </c>
      <c r="BF4" s="28">
        <v>0</v>
      </c>
      <c r="BG4" s="28">
        <v>942.88879317977683</v>
      </c>
      <c r="BH4" s="28">
        <v>0</v>
      </c>
      <c r="BI4" s="28">
        <v>40130.329950464482</v>
      </c>
      <c r="BJ4" s="27" t="s">
        <v>110</v>
      </c>
      <c r="BK4" s="2" t="s">
        <v>38</v>
      </c>
      <c r="BL4" s="28">
        <v>678720.70147165749</v>
      </c>
      <c r="BM4" s="28">
        <v>499.86546157522406</v>
      </c>
      <c r="BN4" s="28">
        <v>434732.2008071884</v>
      </c>
      <c r="BO4" s="28">
        <v>0</v>
      </c>
      <c r="BP4" s="28">
        <v>1113952.767740421</v>
      </c>
      <c r="BQ4" s="27" t="s">
        <v>110</v>
      </c>
      <c r="BR4" s="2" t="s">
        <v>38</v>
      </c>
      <c r="BS4" s="28">
        <v>0</v>
      </c>
      <c r="BT4" s="28">
        <v>192661.50272960524</v>
      </c>
      <c r="BU4" s="28">
        <v>0</v>
      </c>
      <c r="BV4" s="28">
        <v>0</v>
      </c>
      <c r="BW4" s="28">
        <v>192661.50272960524</v>
      </c>
      <c r="BX4" s="27" t="s">
        <v>110</v>
      </c>
      <c r="BY4" s="2" t="s">
        <v>38</v>
      </c>
      <c r="BZ4" s="28">
        <v>17122.121728343584</v>
      </c>
      <c r="CA4" s="28">
        <v>0</v>
      </c>
      <c r="CB4" s="28">
        <v>0</v>
      </c>
      <c r="CC4" s="28">
        <v>0</v>
      </c>
      <c r="CD4" s="28">
        <v>17122.121728343584</v>
      </c>
      <c r="CE4" s="27" t="s">
        <v>110</v>
      </c>
      <c r="CF4" s="2" t="s">
        <v>38</v>
      </c>
      <c r="CG4" s="28">
        <v>4513065.1689738445</v>
      </c>
      <c r="CH4" s="28">
        <v>293143.48896988772</v>
      </c>
      <c r="CI4" s="28">
        <v>0</v>
      </c>
      <c r="CJ4" s="28">
        <v>0</v>
      </c>
      <c r="CK4" s="28">
        <v>4806208.6579437321</v>
      </c>
      <c r="CL4" s="27" t="s">
        <v>110</v>
      </c>
      <c r="CM4" s="2" t="s">
        <v>38</v>
      </c>
      <c r="CN4" s="28">
        <v>0</v>
      </c>
      <c r="CO4" s="28">
        <v>0</v>
      </c>
      <c r="CP4" s="28">
        <v>0</v>
      </c>
      <c r="CQ4" s="28">
        <v>0</v>
      </c>
      <c r="CR4" s="28">
        <v>0</v>
      </c>
      <c r="CS4" s="27" t="s">
        <v>110</v>
      </c>
      <c r="CT4" s="2" t="s">
        <v>38</v>
      </c>
      <c r="CU4" s="28">
        <v>11322.844755271817</v>
      </c>
      <c r="CV4" s="28">
        <v>0</v>
      </c>
      <c r="CW4" s="28">
        <v>0</v>
      </c>
      <c r="CX4" s="28">
        <v>0</v>
      </c>
      <c r="CY4" s="28">
        <v>11322.844755271817</v>
      </c>
      <c r="CZ4" s="27" t="s">
        <v>110</v>
      </c>
      <c r="DA4" s="2" t="s">
        <v>38</v>
      </c>
      <c r="DB4" s="28">
        <v>33464.075476764425</v>
      </c>
      <c r="DC4" s="28">
        <v>0</v>
      </c>
      <c r="DD4" s="28">
        <v>0</v>
      </c>
      <c r="DE4" s="28">
        <v>0</v>
      </c>
      <c r="DF4" s="28">
        <v>33464.075476764425</v>
      </c>
      <c r="DG4" s="27" t="s">
        <v>110</v>
      </c>
      <c r="DH4" s="2" t="s">
        <v>38</v>
      </c>
      <c r="DI4" s="28">
        <v>1327.9936645285081</v>
      </c>
      <c r="DJ4" s="28">
        <v>0</v>
      </c>
      <c r="DK4" s="28">
        <v>0</v>
      </c>
      <c r="DL4" s="28">
        <v>0</v>
      </c>
      <c r="DM4" s="28">
        <v>1327.9936645285081</v>
      </c>
      <c r="DN4" s="27" t="s">
        <v>110</v>
      </c>
      <c r="DO4" s="2" t="s">
        <v>38</v>
      </c>
      <c r="DP4" s="28">
        <v>83598.104895293072</v>
      </c>
      <c r="DQ4" s="28">
        <v>0</v>
      </c>
      <c r="DR4" s="28">
        <v>0</v>
      </c>
      <c r="DS4" s="28">
        <v>0</v>
      </c>
      <c r="DT4" s="28">
        <v>83598.104895293072</v>
      </c>
      <c r="DU4" s="27" t="s">
        <v>110</v>
      </c>
      <c r="DV4" s="2" t="s">
        <v>38</v>
      </c>
      <c r="DW4" s="28">
        <v>5115.456102103406</v>
      </c>
      <c r="DX4" s="28">
        <v>0</v>
      </c>
      <c r="DY4" s="28">
        <v>0</v>
      </c>
      <c r="DZ4" s="28">
        <v>0</v>
      </c>
      <c r="EA4" s="28">
        <v>5115.456102103406</v>
      </c>
      <c r="EB4" s="27" t="s">
        <v>110</v>
      </c>
      <c r="EC4" s="2" t="s">
        <v>38</v>
      </c>
      <c r="ED4" s="28">
        <v>97259.634284522122</v>
      </c>
      <c r="EE4" s="28">
        <v>0</v>
      </c>
      <c r="EF4" s="28">
        <v>0</v>
      </c>
      <c r="EG4" s="28">
        <v>0</v>
      </c>
      <c r="EH4" s="28">
        <v>97259.634284522122</v>
      </c>
    </row>
    <row r="5" spans="1:138" x14ac:dyDescent="0.2">
      <c r="A5" s="7" t="s">
        <v>113</v>
      </c>
      <c r="B5" s="2" t="s">
        <v>41</v>
      </c>
      <c r="C5" s="3">
        <f t="shared" ref="C5:C41" si="4">BI5</f>
        <v>0</v>
      </c>
      <c r="D5" s="3">
        <f t="shared" ref="D5:D41" si="5">BP5</f>
        <v>10859.742815315476</v>
      </c>
      <c r="E5" s="3">
        <f t="shared" ref="E5:E41" si="6">BW5</f>
        <v>0</v>
      </c>
      <c r="F5" s="3">
        <f t="shared" ref="F5:F41" si="7">CD5</f>
        <v>0</v>
      </c>
      <c r="G5" s="3">
        <f t="shared" ref="G5:G41" si="8">CK5</f>
        <v>4824.89375980556</v>
      </c>
      <c r="H5" s="3">
        <f t="shared" ref="H5:H41" si="9">CR5</f>
        <v>0</v>
      </c>
      <c r="I5" s="3">
        <f t="shared" ref="I5:I41" si="10">CY5</f>
        <v>0</v>
      </c>
      <c r="J5" s="3">
        <f t="shared" ref="J5:J41" si="11">DM5</f>
        <v>0</v>
      </c>
      <c r="K5" s="3">
        <f t="shared" ref="K5:K41" si="12">DF5</f>
        <v>0</v>
      </c>
      <c r="L5" s="3">
        <f t="shared" ref="L5:L41" si="13">DT5</f>
        <v>1142747.0076220685</v>
      </c>
      <c r="M5" s="3">
        <f t="shared" ref="M5:M41" si="14">EH5</f>
        <v>217648.93562613186</v>
      </c>
      <c r="N5" s="3">
        <f t="shared" ref="N5:N41" si="15">EA5</f>
        <v>979960.32028768875</v>
      </c>
      <c r="O5" s="3">
        <f t="shared" ref="O5:O41" si="16">SUM(C5:N5)</f>
        <v>2356040.9001110103</v>
      </c>
      <c r="P5" s="7" t="s">
        <v>113</v>
      </c>
      <c r="Q5" s="2" t="s">
        <v>41</v>
      </c>
      <c r="R5" s="3">
        <f t="shared" ref="R5:AA30" si="17">C5</f>
        <v>0</v>
      </c>
      <c r="S5" s="3">
        <f t="shared" si="17"/>
        <v>10859.742815315476</v>
      </c>
      <c r="T5" s="3">
        <f t="shared" si="17"/>
        <v>0</v>
      </c>
      <c r="U5" s="3">
        <f t="shared" si="17"/>
        <v>0</v>
      </c>
      <c r="V5" s="3">
        <f t="shared" si="17"/>
        <v>4824.89375980556</v>
      </c>
      <c r="W5" s="3">
        <f t="shared" si="17"/>
        <v>0</v>
      </c>
      <c r="X5" s="3">
        <f t="shared" si="17"/>
        <v>0</v>
      </c>
      <c r="Y5" s="3">
        <f t="shared" si="17"/>
        <v>0</v>
      </c>
      <c r="Z5" s="3">
        <f t="shared" si="17"/>
        <v>0</v>
      </c>
      <c r="AA5" s="3">
        <f t="shared" si="17"/>
        <v>1142747.0076220685</v>
      </c>
      <c r="AB5" s="3">
        <f t="shared" ref="AB5:AB41" si="18">SUM(R5:AA5)</f>
        <v>1158431.6441971895</v>
      </c>
      <c r="AC5" s="7" t="s">
        <v>113</v>
      </c>
      <c r="AD5" s="2" t="s">
        <v>41</v>
      </c>
      <c r="AE5" s="3">
        <f t="shared" ref="AE5:AF41" si="19">M5</f>
        <v>217648.93562613186</v>
      </c>
      <c r="AF5" s="3">
        <f t="shared" si="19"/>
        <v>979960.32028768875</v>
      </c>
      <c r="AG5" s="3">
        <f t="shared" ref="AG5:AG41" si="20">SUM(AE5:AF5)</f>
        <v>1197609.2559138206</v>
      </c>
      <c r="AH5" s="27" t="s">
        <v>113</v>
      </c>
      <c r="AI5" s="2" t="s">
        <v>41</v>
      </c>
      <c r="AJ5" s="28">
        <f t="shared" ref="AJ5:AM41" si="21">AQ5+AX5</f>
        <v>2292480.791807197</v>
      </c>
      <c r="AK5" s="28">
        <f t="shared" si="1"/>
        <v>63439.957957978717</v>
      </c>
      <c r="AL5" s="28">
        <f t="shared" si="1"/>
        <v>120.15034583443818</v>
      </c>
      <c r="AM5" s="28">
        <f t="shared" si="1"/>
        <v>0</v>
      </c>
      <c r="AN5" s="28">
        <f t="shared" ref="AN5:AN41" si="22">SUM(AJ5:AM5)</f>
        <v>2356040.9001110103</v>
      </c>
      <c r="AO5" s="27" t="s">
        <v>113</v>
      </c>
      <c r="AP5" s="2" t="s">
        <v>41</v>
      </c>
      <c r="AQ5" s="28">
        <f t="shared" ref="AQ5:AT41" si="23">BE5+BL5+BS5+BZ5+CG5+CN5+CU5+DB5+DI5+DP5</f>
        <v>1158338.182925428</v>
      </c>
      <c r="AR5" s="28">
        <f t="shared" si="2"/>
        <v>93.461271761647822</v>
      </c>
      <c r="AS5" s="28">
        <f t="shared" si="2"/>
        <v>0</v>
      </c>
      <c r="AT5" s="28">
        <f t="shared" si="2"/>
        <v>0</v>
      </c>
      <c r="AU5" s="28">
        <f t="shared" ref="AU5:AU41" si="24">SUM(AQ5:AT5)</f>
        <v>1158431.6441971897</v>
      </c>
      <c r="AV5" s="27" t="s">
        <v>113</v>
      </c>
      <c r="AW5" s="2" t="s">
        <v>41</v>
      </c>
      <c r="AX5" s="28">
        <f t="shared" ref="AX5:BA41" si="25">DW5+ED5</f>
        <v>1134142.608881769</v>
      </c>
      <c r="AY5" s="28">
        <f t="shared" si="3"/>
        <v>63346.49668621707</v>
      </c>
      <c r="AZ5" s="28">
        <f t="shared" si="3"/>
        <v>120.15034583443818</v>
      </c>
      <c r="BA5" s="28">
        <f t="shared" si="3"/>
        <v>0</v>
      </c>
      <c r="BB5" s="28">
        <f t="shared" ref="BB5:BB41" si="26">SUM(AX5:BA5)</f>
        <v>1197609.2559138206</v>
      </c>
      <c r="BC5" s="27" t="s">
        <v>113</v>
      </c>
      <c r="BD5" s="2" t="s">
        <v>41</v>
      </c>
      <c r="BE5" s="28">
        <v>0</v>
      </c>
      <c r="BF5" s="28">
        <v>0</v>
      </c>
      <c r="BG5" s="28">
        <v>0</v>
      </c>
      <c r="BH5" s="28">
        <v>0</v>
      </c>
      <c r="BI5" s="28">
        <v>0</v>
      </c>
      <c r="BJ5" s="27" t="s">
        <v>113</v>
      </c>
      <c r="BK5" s="2" t="s">
        <v>41</v>
      </c>
      <c r="BL5" s="28">
        <v>10776.635374383397</v>
      </c>
      <c r="BM5" s="28">
        <v>83.107440932078731</v>
      </c>
      <c r="BN5" s="28">
        <v>0</v>
      </c>
      <c r="BO5" s="28">
        <v>0</v>
      </c>
      <c r="BP5" s="28">
        <v>10859.742815315476</v>
      </c>
      <c r="BQ5" s="27" t="s">
        <v>113</v>
      </c>
      <c r="BR5" s="2" t="s">
        <v>41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7" t="s">
        <v>113</v>
      </c>
      <c r="BY5" s="2" t="s">
        <v>41</v>
      </c>
      <c r="BZ5" s="28">
        <v>0</v>
      </c>
      <c r="CA5" s="28">
        <v>0</v>
      </c>
      <c r="CB5" s="28">
        <v>0</v>
      </c>
      <c r="CC5" s="28">
        <v>0</v>
      </c>
      <c r="CD5" s="28">
        <v>0</v>
      </c>
      <c r="CE5" s="27" t="s">
        <v>113</v>
      </c>
      <c r="CF5" s="2" t="s">
        <v>41</v>
      </c>
      <c r="CG5" s="28">
        <v>4824.89375980556</v>
      </c>
      <c r="CH5" s="28">
        <v>0</v>
      </c>
      <c r="CI5" s="28">
        <v>0</v>
      </c>
      <c r="CJ5" s="28">
        <v>0</v>
      </c>
      <c r="CK5" s="28">
        <v>4824.89375980556</v>
      </c>
      <c r="CL5" s="27" t="s">
        <v>113</v>
      </c>
      <c r="CM5" s="2" t="s">
        <v>41</v>
      </c>
      <c r="CN5" s="28">
        <v>0</v>
      </c>
      <c r="CO5" s="28">
        <v>0</v>
      </c>
      <c r="CP5" s="28">
        <v>0</v>
      </c>
      <c r="CQ5" s="28">
        <v>0</v>
      </c>
      <c r="CR5" s="28">
        <v>0</v>
      </c>
      <c r="CS5" s="27" t="s">
        <v>113</v>
      </c>
      <c r="CT5" s="2" t="s">
        <v>41</v>
      </c>
      <c r="CU5" s="28">
        <v>0</v>
      </c>
      <c r="CV5" s="28">
        <v>0</v>
      </c>
      <c r="CW5" s="28">
        <v>0</v>
      </c>
      <c r="CX5" s="28">
        <v>0</v>
      </c>
      <c r="CY5" s="28">
        <v>0</v>
      </c>
      <c r="CZ5" s="27" t="s">
        <v>113</v>
      </c>
      <c r="DA5" s="2" t="s">
        <v>41</v>
      </c>
      <c r="DB5" s="28">
        <v>0</v>
      </c>
      <c r="DC5" s="28">
        <v>0</v>
      </c>
      <c r="DD5" s="28">
        <v>0</v>
      </c>
      <c r="DE5" s="28">
        <v>0</v>
      </c>
      <c r="DF5" s="28">
        <v>0</v>
      </c>
      <c r="DG5" s="27" t="s">
        <v>113</v>
      </c>
      <c r="DH5" s="2" t="s">
        <v>41</v>
      </c>
      <c r="DI5" s="28">
        <v>0</v>
      </c>
      <c r="DJ5" s="28">
        <v>0</v>
      </c>
      <c r="DK5" s="28">
        <v>0</v>
      </c>
      <c r="DL5" s="28">
        <v>0</v>
      </c>
      <c r="DM5" s="28">
        <v>0</v>
      </c>
      <c r="DN5" s="27" t="s">
        <v>113</v>
      </c>
      <c r="DO5" s="2" t="s">
        <v>41</v>
      </c>
      <c r="DP5" s="28">
        <v>1142736.653791239</v>
      </c>
      <c r="DQ5" s="28">
        <v>10.353830829569098</v>
      </c>
      <c r="DR5" s="28">
        <v>0</v>
      </c>
      <c r="DS5" s="28">
        <v>0</v>
      </c>
      <c r="DT5" s="28">
        <v>1142747.0076220685</v>
      </c>
      <c r="DU5" s="27" t="s">
        <v>113</v>
      </c>
      <c r="DV5" s="2" t="s">
        <v>41</v>
      </c>
      <c r="DW5" s="28">
        <v>931387.40734648297</v>
      </c>
      <c r="DX5" s="28">
        <v>48572.912941205752</v>
      </c>
      <c r="DY5" s="28">
        <v>0</v>
      </c>
      <c r="DZ5" s="28">
        <v>0</v>
      </c>
      <c r="EA5" s="28">
        <v>979960.32028768875</v>
      </c>
      <c r="EB5" s="27" t="s">
        <v>113</v>
      </c>
      <c r="EC5" s="2" t="s">
        <v>41</v>
      </c>
      <c r="ED5" s="28">
        <v>202755.20153528612</v>
      </c>
      <c r="EE5" s="28">
        <v>14773.583745011314</v>
      </c>
      <c r="EF5" s="28">
        <v>120.15034583443818</v>
      </c>
      <c r="EG5" s="28">
        <v>0</v>
      </c>
      <c r="EH5" s="28">
        <v>217648.93562613186</v>
      </c>
    </row>
    <row r="6" spans="1:138" x14ac:dyDescent="0.2">
      <c r="A6" s="7" t="s">
        <v>119</v>
      </c>
      <c r="B6" s="2" t="s">
        <v>47</v>
      </c>
      <c r="C6" s="3">
        <f t="shared" si="4"/>
        <v>0</v>
      </c>
      <c r="D6" s="3">
        <f t="shared" si="5"/>
        <v>7326.6119956526281</v>
      </c>
      <c r="E6" s="3">
        <f t="shared" si="6"/>
        <v>8395325.8601420857</v>
      </c>
      <c r="F6" s="3">
        <f t="shared" si="7"/>
        <v>11357262.517531034</v>
      </c>
      <c r="G6" s="3">
        <f t="shared" si="8"/>
        <v>0</v>
      </c>
      <c r="H6" s="3">
        <f t="shared" si="9"/>
        <v>0</v>
      </c>
      <c r="I6" s="3">
        <f t="shared" si="10"/>
        <v>1884341.5631510459</v>
      </c>
      <c r="J6" s="3">
        <f t="shared" si="11"/>
        <v>0</v>
      </c>
      <c r="K6" s="3">
        <f t="shared" si="12"/>
        <v>912142.87761167448</v>
      </c>
      <c r="L6" s="3">
        <f t="shared" si="13"/>
        <v>1249.4787901391314</v>
      </c>
      <c r="M6" s="3">
        <f t="shared" si="14"/>
        <v>4747617.8475557175</v>
      </c>
      <c r="N6" s="3">
        <f t="shared" si="15"/>
        <v>4327350.8418167466</v>
      </c>
      <c r="O6" s="3">
        <f t="shared" si="16"/>
        <v>31632617.598594092</v>
      </c>
      <c r="P6" s="7" t="s">
        <v>119</v>
      </c>
      <c r="Q6" s="2" t="s">
        <v>47</v>
      </c>
      <c r="R6" s="3">
        <f t="shared" si="17"/>
        <v>0</v>
      </c>
      <c r="S6" s="3">
        <f t="shared" si="17"/>
        <v>7326.6119956526281</v>
      </c>
      <c r="T6" s="3">
        <f t="shared" si="17"/>
        <v>8395325.8601420857</v>
      </c>
      <c r="U6" s="3">
        <f t="shared" si="17"/>
        <v>11357262.517531034</v>
      </c>
      <c r="V6" s="3">
        <f t="shared" si="17"/>
        <v>0</v>
      </c>
      <c r="W6" s="3">
        <f t="shared" si="17"/>
        <v>0</v>
      </c>
      <c r="X6" s="3">
        <f t="shared" si="17"/>
        <v>1884341.5631510459</v>
      </c>
      <c r="Y6" s="3">
        <f t="shared" si="17"/>
        <v>0</v>
      </c>
      <c r="Z6" s="3">
        <f t="shared" si="17"/>
        <v>912142.87761167448</v>
      </c>
      <c r="AA6" s="3">
        <f t="shared" si="17"/>
        <v>1249.4787901391314</v>
      </c>
      <c r="AB6" s="3">
        <f t="shared" si="18"/>
        <v>22557648.909221631</v>
      </c>
      <c r="AC6" s="7" t="s">
        <v>119</v>
      </c>
      <c r="AD6" s="2" t="s">
        <v>47</v>
      </c>
      <c r="AE6" s="3">
        <f t="shared" si="19"/>
        <v>4747617.8475557175</v>
      </c>
      <c r="AF6" s="3">
        <f t="shared" si="19"/>
        <v>4327350.8418167466</v>
      </c>
      <c r="AG6" s="3">
        <f t="shared" si="20"/>
        <v>9074968.689372465</v>
      </c>
      <c r="AH6" s="27" t="s">
        <v>119</v>
      </c>
      <c r="AI6" s="2" t="s">
        <v>47</v>
      </c>
      <c r="AJ6" s="28">
        <f t="shared" si="21"/>
        <v>12435923.823814541</v>
      </c>
      <c r="AK6" s="28">
        <f t="shared" si="1"/>
        <v>13333925.160242734</v>
      </c>
      <c r="AL6" s="28">
        <f t="shared" si="1"/>
        <v>5862768.61453682</v>
      </c>
      <c r="AM6" s="28">
        <f t="shared" si="1"/>
        <v>0</v>
      </c>
      <c r="AN6" s="28">
        <f t="shared" si="22"/>
        <v>31632617.598594099</v>
      </c>
      <c r="AO6" s="27" t="s">
        <v>119</v>
      </c>
      <c r="AP6" s="2" t="s">
        <v>47</v>
      </c>
      <c r="AQ6" s="28">
        <f t="shared" si="23"/>
        <v>7806133.4337104615</v>
      </c>
      <c r="AR6" s="28">
        <f t="shared" si="2"/>
        <v>12313699.523749154</v>
      </c>
      <c r="AS6" s="28">
        <f t="shared" si="2"/>
        <v>2437815.9517620159</v>
      </c>
      <c r="AT6" s="28">
        <f t="shared" si="2"/>
        <v>0</v>
      </c>
      <c r="AU6" s="28">
        <f t="shared" si="24"/>
        <v>22557648.909221631</v>
      </c>
      <c r="AV6" s="27" t="s">
        <v>119</v>
      </c>
      <c r="AW6" s="2" t="s">
        <v>47</v>
      </c>
      <c r="AX6" s="28">
        <f t="shared" si="25"/>
        <v>4629790.3901040796</v>
      </c>
      <c r="AY6" s="28">
        <f t="shared" si="3"/>
        <v>1020225.6364935804</v>
      </c>
      <c r="AZ6" s="28">
        <f t="shared" si="3"/>
        <v>3424952.662774804</v>
      </c>
      <c r="BA6" s="28">
        <f t="shared" si="3"/>
        <v>0</v>
      </c>
      <c r="BB6" s="28">
        <f t="shared" si="26"/>
        <v>9074968.689372465</v>
      </c>
      <c r="BC6" s="27" t="s">
        <v>119</v>
      </c>
      <c r="BD6" s="2" t="s">
        <v>47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7" t="s">
        <v>119</v>
      </c>
      <c r="BK6" s="2" t="s">
        <v>47</v>
      </c>
      <c r="BL6" s="28">
        <v>7326.6119956526281</v>
      </c>
      <c r="BM6" s="28">
        <v>0</v>
      </c>
      <c r="BN6" s="28">
        <v>0</v>
      </c>
      <c r="BO6" s="28">
        <v>0</v>
      </c>
      <c r="BP6" s="28">
        <v>7326.6119956526281</v>
      </c>
      <c r="BQ6" s="27" t="s">
        <v>119</v>
      </c>
      <c r="BR6" s="2" t="s">
        <v>47</v>
      </c>
      <c r="BS6" s="28">
        <v>5015602.1871090932</v>
      </c>
      <c r="BT6" s="28">
        <v>3369695.8112793583</v>
      </c>
      <c r="BU6" s="28">
        <v>10027.861753633646</v>
      </c>
      <c r="BV6" s="28">
        <v>0</v>
      </c>
      <c r="BW6" s="28">
        <v>8395325.8601420857</v>
      </c>
      <c r="BX6" s="27" t="s">
        <v>119</v>
      </c>
      <c r="BY6" s="2" t="s">
        <v>47</v>
      </c>
      <c r="BZ6" s="28">
        <v>621212.37003792496</v>
      </c>
      <c r="CA6" s="28">
        <v>8646773.9568545166</v>
      </c>
      <c r="CB6" s="28">
        <v>2089276.1906385929</v>
      </c>
      <c r="CC6" s="28">
        <v>0</v>
      </c>
      <c r="CD6" s="28">
        <v>11357262.517531034</v>
      </c>
      <c r="CE6" s="27" t="s">
        <v>119</v>
      </c>
      <c r="CF6" s="2" t="s">
        <v>47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7" t="s">
        <v>119</v>
      </c>
      <c r="CM6" s="2" t="s">
        <v>47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7" t="s">
        <v>119</v>
      </c>
      <c r="CT6" s="2" t="s">
        <v>47</v>
      </c>
      <c r="CU6" s="28">
        <v>1880239.8839048536</v>
      </c>
      <c r="CV6" s="28">
        <v>4101.6792461923733</v>
      </c>
      <c r="CW6" s="28">
        <v>0</v>
      </c>
      <c r="CX6" s="28">
        <v>0</v>
      </c>
      <c r="CY6" s="28">
        <v>1884341.5631510459</v>
      </c>
      <c r="CZ6" s="27" t="s">
        <v>119</v>
      </c>
      <c r="DA6" s="2" t="s">
        <v>47</v>
      </c>
      <c r="DB6" s="28">
        <v>280502.9018727981</v>
      </c>
      <c r="DC6" s="28">
        <v>293128.07636908721</v>
      </c>
      <c r="DD6" s="28">
        <v>338511.89936978917</v>
      </c>
      <c r="DE6" s="28">
        <v>0</v>
      </c>
      <c r="DF6" s="28">
        <v>912142.87761167448</v>
      </c>
      <c r="DG6" s="27" t="s">
        <v>119</v>
      </c>
      <c r="DH6" s="2" t="s">
        <v>47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7" t="s">
        <v>119</v>
      </c>
      <c r="DO6" s="2" t="s">
        <v>47</v>
      </c>
      <c r="DP6" s="28">
        <v>1249.4787901391314</v>
      </c>
      <c r="DQ6" s="28">
        <v>0</v>
      </c>
      <c r="DR6" s="28">
        <v>0</v>
      </c>
      <c r="DS6" s="28">
        <v>0</v>
      </c>
      <c r="DT6" s="28">
        <v>1249.4787901391314</v>
      </c>
      <c r="DU6" s="27" t="s">
        <v>119</v>
      </c>
      <c r="DV6" s="2" t="s">
        <v>47</v>
      </c>
      <c r="DW6" s="28">
        <v>641874.92525314505</v>
      </c>
      <c r="DX6" s="28">
        <v>260523.25378879727</v>
      </c>
      <c r="DY6" s="28">
        <v>3424952.662774804</v>
      </c>
      <c r="DZ6" s="28">
        <v>0</v>
      </c>
      <c r="EA6" s="28">
        <v>4327350.8418167466</v>
      </c>
      <c r="EB6" s="27" t="s">
        <v>119</v>
      </c>
      <c r="EC6" s="2" t="s">
        <v>47</v>
      </c>
      <c r="ED6" s="28">
        <v>3987915.4648509347</v>
      </c>
      <c r="EE6" s="28">
        <v>759702.38270478311</v>
      </c>
      <c r="EF6" s="28">
        <v>0</v>
      </c>
      <c r="EG6" s="28">
        <v>0</v>
      </c>
      <c r="EH6" s="28">
        <v>4747617.8475557175</v>
      </c>
    </row>
    <row r="7" spans="1:138" x14ac:dyDescent="0.2">
      <c r="A7" s="7" t="s">
        <v>121</v>
      </c>
      <c r="B7" s="2" t="s">
        <v>49</v>
      </c>
      <c r="C7" s="3">
        <f t="shared" si="4"/>
        <v>0</v>
      </c>
      <c r="D7" s="3">
        <f t="shared" si="5"/>
        <v>2856.7711700803538</v>
      </c>
      <c r="E7" s="3">
        <f t="shared" si="6"/>
        <v>1562504.1174011643</v>
      </c>
      <c r="F7" s="3">
        <f t="shared" si="7"/>
        <v>161151.21773097335</v>
      </c>
      <c r="G7" s="3">
        <f t="shared" si="8"/>
        <v>24416.254248210193</v>
      </c>
      <c r="H7" s="3">
        <f t="shared" si="9"/>
        <v>0</v>
      </c>
      <c r="I7" s="3">
        <f t="shared" si="10"/>
        <v>6590250.8803117136</v>
      </c>
      <c r="J7" s="3">
        <f t="shared" si="11"/>
        <v>0</v>
      </c>
      <c r="K7" s="3">
        <f t="shared" si="12"/>
        <v>9317.3663114962856</v>
      </c>
      <c r="L7" s="3">
        <f t="shared" si="13"/>
        <v>14894.836431916718</v>
      </c>
      <c r="M7" s="3">
        <f t="shared" si="14"/>
        <v>2359545.4483639374</v>
      </c>
      <c r="N7" s="3">
        <f t="shared" si="15"/>
        <v>191387.62717166528</v>
      </c>
      <c r="O7" s="3">
        <f t="shared" si="16"/>
        <v>10916324.519141158</v>
      </c>
      <c r="P7" s="7" t="s">
        <v>121</v>
      </c>
      <c r="Q7" s="2" t="s">
        <v>49</v>
      </c>
      <c r="R7" s="3">
        <f t="shared" si="17"/>
        <v>0</v>
      </c>
      <c r="S7" s="3">
        <f t="shared" si="17"/>
        <v>2856.7711700803538</v>
      </c>
      <c r="T7" s="3">
        <f t="shared" si="17"/>
        <v>1562504.1174011643</v>
      </c>
      <c r="U7" s="3">
        <f t="shared" si="17"/>
        <v>161151.21773097335</v>
      </c>
      <c r="V7" s="3">
        <f t="shared" si="17"/>
        <v>24416.254248210193</v>
      </c>
      <c r="W7" s="3">
        <f t="shared" si="17"/>
        <v>0</v>
      </c>
      <c r="X7" s="3">
        <f t="shared" si="17"/>
        <v>6590250.8803117136</v>
      </c>
      <c r="Y7" s="3">
        <f t="shared" si="17"/>
        <v>0</v>
      </c>
      <c r="Z7" s="3">
        <f t="shared" si="17"/>
        <v>9317.3663114962856</v>
      </c>
      <c r="AA7" s="3">
        <f t="shared" si="17"/>
        <v>14894.836431916718</v>
      </c>
      <c r="AB7" s="3">
        <f t="shared" si="18"/>
        <v>8365391.4436055552</v>
      </c>
      <c r="AC7" s="7" t="s">
        <v>121</v>
      </c>
      <c r="AD7" s="2" t="s">
        <v>49</v>
      </c>
      <c r="AE7" s="3">
        <f t="shared" si="19"/>
        <v>2359545.4483639374</v>
      </c>
      <c r="AF7" s="3">
        <f t="shared" si="19"/>
        <v>191387.62717166528</v>
      </c>
      <c r="AG7" s="3">
        <f t="shared" si="20"/>
        <v>2550933.0755356029</v>
      </c>
      <c r="AH7" s="27" t="s">
        <v>121</v>
      </c>
      <c r="AI7" s="2" t="s">
        <v>49</v>
      </c>
      <c r="AJ7" s="28">
        <f t="shared" si="21"/>
        <v>9863370.8994446099</v>
      </c>
      <c r="AK7" s="28">
        <f t="shared" si="1"/>
        <v>741395.01601224742</v>
      </c>
      <c r="AL7" s="28">
        <f t="shared" si="1"/>
        <v>311558.60368430032</v>
      </c>
      <c r="AM7" s="28">
        <f t="shared" si="1"/>
        <v>0</v>
      </c>
      <c r="AN7" s="28">
        <f t="shared" si="22"/>
        <v>10916324.519141158</v>
      </c>
      <c r="AO7" s="27" t="s">
        <v>121</v>
      </c>
      <c r="AP7" s="2" t="s">
        <v>49</v>
      </c>
      <c r="AQ7" s="28">
        <f t="shared" si="23"/>
        <v>7630611.7849183362</v>
      </c>
      <c r="AR7" s="28">
        <f t="shared" si="2"/>
        <v>423221.0550029187</v>
      </c>
      <c r="AS7" s="28">
        <f t="shared" si="2"/>
        <v>311558.60368430032</v>
      </c>
      <c r="AT7" s="28">
        <f t="shared" si="2"/>
        <v>0</v>
      </c>
      <c r="AU7" s="28">
        <f t="shared" si="24"/>
        <v>8365391.4436055552</v>
      </c>
      <c r="AV7" s="27" t="s">
        <v>121</v>
      </c>
      <c r="AW7" s="2" t="s">
        <v>49</v>
      </c>
      <c r="AX7" s="28">
        <f t="shared" si="25"/>
        <v>2232759.1145262741</v>
      </c>
      <c r="AY7" s="28">
        <f t="shared" si="3"/>
        <v>318173.96100932866</v>
      </c>
      <c r="AZ7" s="28">
        <f t="shared" si="3"/>
        <v>0</v>
      </c>
      <c r="BA7" s="28">
        <f t="shared" si="3"/>
        <v>0</v>
      </c>
      <c r="BB7" s="28">
        <f t="shared" si="26"/>
        <v>2550933.0755356029</v>
      </c>
      <c r="BC7" s="27" t="s">
        <v>121</v>
      </c>
      <c r="BD7" s="2" t="s">
        <v>49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7" t="s">
        <v>121</v>
      </c>
      <c r="BK7" s="2" t="s">
        <v>49</v>
      </c>
      <c r="BL7" s="28">
        <v>2856.7711700803538</v>
      </c>
      <c r="BM7" s="28">
        <v>0</v>
      </c>
      <c r="BN7" s="28">
        <v>0</v>
      </c>
      <c r="BO7" s="28">
        <v>0</v>
      </c>
      <c r="BP7" s="28">
        <v>2856.7711700803538</v>
      </c>
      <c r="BQ7" s="27" t="s">
        <v>121</v>
      </c>
      <c r="BR7" s="2" t="s">
        <v>49</v>
      </c>
      <c r="BS7" s="28">
        <v>1219789.653348434</v>
      </c>
      <c r="BT7" s="28">
        <v>31155.860368430032</v>
      </c>
      <c r="BU7" s="28">
        <v>311558.60368430032</v>
      </c>
      <c r="BV7" s="28">
        <v>0</v>
      </c>
      <c r="BW7" s="28">
        <v>1562504.1174011643</v>
      </c>
      <c r="BX7" s="27" t="s">
        <v>121</v>
      </c>
      <c r="BY7" s="2" t="s">
        <v>49</v>
      </c>
      <c r="BZ7" s="28">
        <v>152929.13170769793</v>
      </c>
      <c r="CA7" s="28">
        <v>8222.0860232754148</v>
      </c>
      <c r="CB7" s="28">
        <v>0</v>
      </c>
      <c r="CC7" s="28">
        <v>0</v>
      </c>
      <c r="CD7" s="28">
        <v>161151.21773097335</v>
      </c>
      <c r="CE7" s="27" t="s">
        <v>121</v>
      </c>
      <c r="CF7" s="2" t="s">
        <v>49</v>
      </c>
      <c r="CG7" s="28">
        <v>24416.254248210193</v>
      </c>
      <c r="CH7" s="28">
        <v>0</v>
      </c>
      <c r="CI7" s="28">
        <v>0</v>
      </c>
      <c r="CJ7" s="28">
        <v>0</v>
      </c>
      <c r="CK7" s="28">
        <v>24416.254248210193</v>
      </c>
      <c r="CL7" s="27" t="s">
        <v>121</v>
      </c>
      <c r="CM7" s="2" t="s">
        <v>49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7" t="s">
        <v>121</v>
      </c>
      <c r="CT7" s="2" t="s">
        <v>49</v>
      </c>
      <c r="CU7" s="28">
        <v>6220442.0365629215</v>
      </c>
      <c r="CV7" s="28">
        <v>369808.84374879225</v>
      </c>
      <c r="CW7" s="28">
        <v>0</v>
      </c>
      <c r="CX7" s="28">
        <v>0</v>
      </c>
      <c r="CY7" s="28">
        <v>6590250.8803117136</v>
      </c>
      <c r="CZ7" s="27" t="s">
        <v>121</v>
      </c>
      <c r="DA7" s="2" t="s">
        <v>49</v>
      </c>
      <c r="DB7" s="28">
        <v>9317.3663114962856</v>
      </c>
      <c r="DC7" s="28">
        <v>0</v>
      </c>
      <c r="DD7" s="28">
        <v>0</v>
      </c>
      <c r="DE7" s="28">
        <v>0</v>
      </c>
      <c r="DF7" s="28">
        <v>9317.3663114962856</v>
      </c>
      <c r="DG7" s="27" t="s">
        <v>121</v>
      </c>
      <c r="DH7" s="2" t="s">
        <v>49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7" t="s">
        <v>121</v>
      </c>
      <c r="DO7" s="2" t="s">
        <v>49</v>
      </c>
      <c r="DP7" s="28">
        <v>860.57156949571197</v>
      </c>
      <c r="DQ7" s="28">
        <v>14034.264862421005</v>
      </c>
      <c r="DR7" s="28">
        <v>0</v>
      </c>
      <c r="DS7" s="28">
        <v>0</v>
      </c>
      <c r="DT7" s="28">
        <v>14894.836431916718</v>
      </c>
      <c r="DU7" s="27" t="s">
        <v>121</v>
      </c>
      <c r="DV7" s="2" t="s">
        <v>49</v>
      </c>
      <c r="DW7" s="28">
        <v>169353.24689242814</v>
      </c>
      <c r="DX7" s="28">
        <v>22034.380279237153</v>
      </c>
      <c r="DY7" s="28">
        <v>0</v>
      </c>
      <c r="DZ7" s="28">
        <v>0</v>
      </c>
      <c r="EA7" s="28">
        <v>191387.62717166528</v>
      </c>
      <c r="EB7" s="27" t="s">
        <v>121</v>
      </c>
      <c r="EC7" s="2" t="s">
        <v>49</v>
      </c>
      <c r="ED7" s="28">
        <v>2063405.8676338459</v>
      </c>
      <c r="EE7" s="28">
        <v>296139.58073009149</v>
      </c>
      <c r="EF7" s="28">
        <v>0</v>
      </c>
      <c r="EG7" s="28">
        <v>0</v>
      </c>
      <c r="EH7" s="28">
        <v>2359545.4483639374</v>
      </c>
    </row>
    <row r="8" spans="1:138" x14ac:dyDescent="0.2">
      <c r="A8" s="7" t="s">
        <v>95</v>
      </c>
      <c r="B8" s="2" t="s">
        <v>23</v>
      </c>
      <c r="C8" s="3">
        <f t="shared" si="4"/>
        <v>0</v>
      </c>
      <c r="D8" s="3">
        <f t="shared" si="5"/>
        <v>2430.5708187470177</v>
      </c>
      <c r="E8" s="3">
        <f t="shared" si="6"/>
        <v>0</v>
      </c>
      <c r="F8" s="3">
        <f t="shared" si="7"/>
        <v>0</v>
      </c>
      <c r="G8" s="3">
        <f t="shared" si="8"/>
        <v>70954.674947214473</v>
      </c>
      <c r="H8" s="3">
        <f t="shared" si="9"/>
        <v>0</v>
      </c>
      <c r="I8" s="3">
        <f t="shared" si="10"/>
        <v>346001.13833358494</v>
      </c>
      <c r="J8" s="3">
        <f t="shared" si="11"/>
        <v>17487475.386967506</v>
      </c>
      <c r="K8" s="3">
        <f t="shared" si="12"/>
        <v>0</v>
      </c>
      <c r="L8" s="3">
        <f t="shared" si="13"/>
        <v>6720.0544325052615</v>
      </c>
      <c r="M8" s="3">
        <f t="shared" si="14"/>
        <v>5352348.1831609691</v>
      </c>
      <c r="N8" s="3">
        <f t="shared" si="15"/>
        <v>1680559.5654501037</v>
      </c>
      <c r="O8" s="3">
        <f t="shared" si="16"/>
        <v>24946489.574110627</v>
      </c>
      <c r="P8" s="7" t="s">
        <v>95</v>
      </c>
      <c r="Q8" s="2" t="s">
        <v>23</v>
      </c>
      <c r="R8" s="3">
        <f t="shared" si="17"/>
        <v>0</v>
      </c>
      <c r="S8" s="3">
        <f t="shared" si="17"/>
        <v>2430.5708187470177</v>
      </c>
      <c r="T8" s="3">
        <f t="shared" si="17"/>
        <v>0</v>
      </c>
      <c r="U8" s="3">
        <f t="shared" si="17"/>
        <v>0</v>
      </c>
      <c r="V8" s="3">
        <f t="shared" si="17"/>
        <v>70954.674947214473</v>
      </c>
      <c r="W8" s="3">
        <f t="shared" si="17"/>
        <v>0</v>
      </c>
      <c r="X8" s="3">
        <f t="shared" si="17"/>
        <v>346001.13833358494</v>
      </c>
      <c r="Y8" s="3">
        <f t="shared" si="17"/>
        <v>17487475.386967506</v>
      </c>
      <c r="Z8" s="3">
        <f t="shared" si="17"/>
        <v>0</v>
      </c>
      <c r="AA8" s="3">
        <f t="shared" si="17"/>
        <v>6720.0544325052615</v>
      </c>
      <c r="AB8" s="3">
        <f t="shared" si="18"/>
        <v>17913581.825499557</v>
      </c>
      <c r="AC8" s="7" t="s">
        <v>95</v>
      </c>
      <c r="AD8" s="2" t="s">
        <v>23</v>
      </c>
      <c r="AE8" s="3">
        <f t="shared" si="19"/>
        <v>5352348.1831609691</v>
      </c>
      <c r="AF8" s="3">
        <f t="shared" si="19"/>
        <v>1680559.5654501037</v>
      </c>
      <c r="AG8" s="3">
        <f t="shared" si="20"/>
        <v>7032907.748611073</v>
      </c>
      <c r="AH8" s="27" t="s">
        <v>95</v>
      </c>
      <c r="AI8" s="2" t="s">
        <v>23</v>
      </c>
      <c r="AJ8" s="28">
        <f t="shared" si="21"/>
        <v>24213043.028996162</v>
      </c>
      <c r="AK8" s="28">
        <f t="shared" si="1"/>
        <v>727328.51118700299</v>
      </c>
      <c r="AL8" s="28">
        <f t="shared" si="1"/>
        <v>6118.0339274660082</v>
      </c>
      <c r="AM8" s="28">
        <f t="shared" si="1"/>
        <v>0</v>
      </c>
      <c r="AN8" s="28">
        <f t="shared" si="22"/>
        <v>24946489.574110631</v>
      </c>
      <c r="AO8" s="27" t="s">
        <v>95</v>
      </c>
      <c r="AP8" s="2" t="s">
        <v>23</v>
      </c>
      <c r="AQ8" s="28">
        <f t="shared" si="23"/>
        <v>17846195.114106137</v>
      </c>
      <c r="AR8" s="28">
        <f t="shared" si="2"/>
        <v>67386.711393419988</v>
      </c>
      <c r="AS8" s="28">
        <f t="shared" si="2"/>
        <v>0</v>
      </c>
      <c r="AT8" s="28">
        <f t="shared" si="2"/>
        <v>0</v>
      </c>
      <c r="AU8" s="28">
        <f t="shared" si="24"/>
        <v>17913581.825499557</v>
      </c>
      <c r="AV8" s="27" t="s">
        <v>95</v>
      </c>
      <c r="AW8" s="2" t="s">
        <v>23</v>
      </c>
      <c r="AX8" s="28">
        <f t="shared" si="25"/>
        <v>6366847.9148900239</v>
      </c>
      <c r="AY8" s="28">
        <f t="shared" si="3"/>
        <v>659941.79979358299</v>
      </c>
      <c r="AZ8" s="28">
        <f t="shared" si="3"/>
        <v>6118.0339274660082</v>
      </c>
      <c r="BA8" s="28">
        <f t="shared" si="3"/>
        <v>0</v>
      </c>
      <c r="BB8" s="28">
        <f t="shared" si="26"/>
        <v>7032907.748611073</v>
      </c>
      <c r="BC8" s="27" t="s">
        <v>95</v>
      </c>
      <c r="BD8" s="2" t="s">
        <v>23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7" t="s">
        <v>95</v>
      </c>
      <c r="BK8" s="2" t="s">
        <v>23</v>
      </c>
      <c r="BL8" s="28">
        <v>2430.5708187470177</v>
      </c>
      <c r="BM8" s="28">
        <v>0</v>
      </c>
      <c r="BN8" s="28">
        <v>0</v>
      </c>
      <c r="BO8" s="28">
        <v>0</v>
      </c>
      <c r="BP8" s="28">
        <v>2430.5708187470177</v>
      </c>
      <c r="BQ8" s="27" t="s">
        <v>95</v>
      </c>
      <c r="BR8" s="2" t="s">
        <v>23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7" t="s">
        <v>95</v>
      </c>
      <c r="BY8" s="2" t="s">
        <v>23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7" t="s">
        <v>95</v>
      </c>
      <c r="CF8" s="2" t="s">
        <v>23</v>
      </c>
      <c r="CG8" s="28">
        <v>21090.210387967236</v>
      </c>
      <c r="CH8" s="28">
        <v>49864.464559247237</v>
      </c>
      <c r="CI8" s="28">
        <v>0</v>
      </c>
      <c r="CJ8" s="28">
        <v>0</v>
      </c>
      <c r="CK8" s="28">
        <v>70954.674947214473</v>
      </c>
      <c r="CL8" s="27" t="s">
        <v>95</v>
      </c>
      <c r="CM8" s="2" t="s">
        <v>23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7" t="s">
        <v>95</v>
      </c>
      <c r="CT8" s="2" t="s">
        <v>23</v>
      </c>
      <c r="CU8" s="28">
        <v>329427.85486974294</v>
      </c>
      <c r="CV8" s="28">
        <v>16573.283463842014</v>
      </c>
      <c r="CW8" s="28">
        <v>0</v>
      </c>
      <c r="CX8" s="28">
        <v>0</v>
      </c>
      <c r="CY8" s="28">
        <v>346001.13833358494</v>
      </c>
      <c r="CZ8" s="27" t="s">
        <v>95</v>
      </c>
      <c r="DA8" s="2" t="s">
        <v>23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7" t="s">
        <v>95</v>
      </c>
      <c r="DH8" s="2" t="s">
        <v>23</v>
      </c>
      <c r="DI8" s="28">
        <v>17487475.386967506</v>
      </c>
      <c r="DJ8" s="28">
        <v>0</v>
      </c>
      <c r="DK8" s="28">
        <v>0</v>
      </c>
      <c r="DL8" s="28">
        <v>0</v>
      </c>
      <c r="DM8" s="28">
        <v>17487475.386967506</v>
      </c>
      <c r="DN8" s="27" t="s">
        <v>95</v>
      </c>
      <c r="DO8" s="2" t="s">
        <v>23</v>
      </c>
      <c r="DP8" s="28">
        <v>5771.0910621745315</v>
      </c>
      <c r="DQ8" s="28">
        <v>948.96337033073007</v>
      </c>
      <c r="DR8" s="28">
        <v>0</v>
      </c>
      <c r="DS8" s="28">
        <v>0</v>
      </c>
      <c r="DT8" s="28">
        <v>6720.0544325052615</v>
      </c>
      <c r="DU8" s="27" t="s">
        <v>95</v>
      </c>
      <c r="DV8" s="2" t="s">
        <v>23</v>
      </c>
      <c r="DW8" s="28">
        <v>1356005.1451060588</v>
      </c>
      <c r="DX8" s="28">
        <v>318436.38641657896</v>
      </c>
      <c r="DY8" s="28">
        <v>6118.0339274660082</v>
      </c>
      <c r="DZ8" s="28">
        <v>0</v>
      </c>
      <c r="EA8" s="28">
        <v>1680559.5654501037</v>
      </c>
      <c r="EB8" s="27" t="s">
        <v>95</v>
      </c>
      <c r="EC8" s="2" t="s">
        <v>23</v>
      </c>
      <c r="ED8" s="28">
        <v>5010842.7697839653</v>
      </c>
      <c r="EE8" s="28">
        <v>341505.41337700404</v>
      </c>
      <c r="EF8" s="28">
        <v>0</v>
      </c>
      <c r="EG8" s="28">
        <v>0</v>
      </c>
      <c r="EH8" s="28">
        <v>5352348.1831609691</v>
      </c>
    </row>
    <row r="9" spans="1:138" x14ac:dyDescent="0.2">
      <c r="A9" s="7" t="s">
        <v>101</v>
      </c>
      <c r="B9" s="2" t="s">
        <v>29</v>
      </c>
      <c r="C9" s="3">
        <f t="shared" si="4"/>
        <v>0</v>
      </c>
      <c r="D9" s="3">
        <f t="shared" si="5"/>
        <v>15417.597789007608</v>
      </c>
      <c r="E9" s="3">
        <f t="shared" si="6"/>
        <v>0</v>
      </c>
      <c r="F9" s="3">
        <f t="shared" si="7"/>
        <v>0</v>
      </c>
      <c r="G9" s="3">
        <f t="shared" si="8"/>
        <v>20.198366058511752</v>
      </c>
      <c r="H9" s="3">
        <f t="shared" si="9"/>
        <v>0</v>
      </c>
      <c r="I9" s="3">
        <f t="shared" si="10"/>
        <v>2765.8904799209236</v>
      </c>
      <c r="J9" s="3">
        <f t="shared" si="11"/>
        <v>1262.5238506989492</v>
      </c>
      <c r="K9" s="3">
        <f t="shared" si="12"/>
        <v>0</v>
      </c>
      <c r="L9" s="3">
        <f t="shared" si="13"/>
        <v>67651.81129526037</v>
      </c>
      <c r="M9" s="3">
        <f t="shared" si="14"/>
        <v>2456457.5605393439</v>
      </c>
      <c r="N9" s="3">
        <f t="shared" si="15"/>
        <v>116538.48389153356</v>
      </c>
      <c r="O9" s="3">
        <f t="shared" si="16"/>
        <v>2660114.0662118238</v>
      </c>
      <c r="P9" s="7" t="s">
        <v>101</v>
      </c>
      <c r="Q9" s="2" t="s">
        <v>29</v>
      </c>
      <c r="R9" s="3">
        <f t="shared" si="17"/>
        <v>0</v>
      </c>
      <c r="S9" s="3">
        <f t="shared" si="17"/>
        <v>15417.597789007608</v>
      </c>
      <c r="T9" s="3">
        <f t="shared" si="17"/>
        <v>0</v>
      </c>
      <c r="U9" s="3">
        <f t="shared" si="17"/>
        <v>0</v>
      </c>
      <c r="V9" s="3">
        <f t="shared" si="17"/>
        <v>20.198366058511752</v>
      </c>
      <c r="W9" s="3">
        <f t="shared" si="17"/>
        <v>0</v>
      </c>
      <c r="X9" s="3">
        <f t="shared" si="17"/>
        <v>2765.8904799209236</v>
      </c>
      <c r="Y9" s="3">
        <f t="shared" si="17"/>
        <v>1262.5238506989492</v>
      </c>
      <c r="Z9" s="3">
        <f t="shared" si="17"/>
        <v>0</v>
      </c>
      <c r="AA9" s="3">
        <f t="shared" si="17"/>
        <v>67651.81129526037</v>
      </c>
      <c r="AB9" s="3">
        <f t="shared" si="18"/>
        <v>87118.021780946365</v>
      </c>
      <c r="AC9" s="7" t="s">
        <v>101</v>
      </c>
      <c r="AD9" s="2" t="s">
        <v>29</v>
      </c>
      <c r="AE9" s="3">
        <f t="shared" si="19"/>
        <v>2456457.5605393439</v>
      </c>
      <c r="AF9" s="3">
        <f t="shared" si="19"/>
        <v>116538.48389153356</v>
      </c>
      <c r="AG9" s="3">
        <f t="shared" si="20"/>
        <v>2572996.0444308775</v>
      </c>
      <c r="AH9" s="27" t="s">
        <v>101</v>
      </c>
      <c r="AI9" s="2" t="s">
        <v>29</v>
      </c>
      <c r="AJ9" s="28">
        <f t="shared" si="21"/>
        <v>2591895.1084885667</v>
      </c>
      <c r="AK9" s="28">
        <f t="shared" si="1"/>
        <v>58884.143585837279</v>
      </c>
      <c r="AL9" s="28">
        <f t="shared" si="1"/>
        <v>9334.8141374201077</v>
      </c>
      <c r="AM9" s="28">
        <f t="shared" si="1"/>
        <v>0</v>
      </c>
      <c r="AN9" s="28">
        <f t="shared" si="22"/>
        <v>2660114.0662118243</v>
      </c>
      <c r="AO9" s="27" t="s">
        <v>101</v>
      </c>
      <c r="AP9" s="2" t="s">
        <v>29</v>
      </c>
      <c r="AQ9" s="28">
        <f t="shared" si="23"/>
        <v>73310.706420529183</v>
      </c>
      <c r="AR9" s="28">
        <f t="shared" si="2"/>
        <v>13807.315360417175</v>
      </c>
      <c r="AS9" s="28">
        <f t="shared" si="2"/>
        <v>0</v>
      </c>
      <c r="AT9" s="28">
        <f t="shared" si="2"/>
        <v>0</v>
      </c>
      <c r="AU9" s="28">
        <f t="shared" si="24"/>
        <v>87118.02178094635</v>
      </c>
      <c r="AV9" s="27" t="s">
        <v>101</v>
      </c>
      <c r="AW9" s="2" t="s">
        <v>29</v>
      </c>
      <c r="AX9" s="28">
        <f t="shared" si="25"/>
        <v>2518584.4020680375</v>
      </c>
      <c r="AY9" s="28">
        <f t="shared" si="3"/>
        <v>45076.828225420104</v>
      </c>
      <c r="AZ9" s="28">
        <f t="shared" si="3"/>
        <v>9334.8141374201077</v>
      </c>
      <c r="BA9" s="28">
        <f t="shared" si="3"/>
        <v>0</v>
      </c>
      <c r="BB9" s="28">
        <f t="shared" si="26"/>
        <v>2572996.044430878</v>
      </c>
      <c r="BC9" s="27" t="s">
        <v>101</v>
      </c>
      <c r="BD9" s="2" t="s">
        <v>29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7" t="s">
        <v>101</v>
      </c>
      <c r="BK9" s="2" t="s">
        <v>29</v>
      </c>
      <c r="BL9" s="28">
        <v>14911.184541084938</v>
      </c>
      <c r="BM9" s="28">
        <v>506.4132479226692</v>
      </c>
      <c r="BN9" s="28">
        <v>0</v>
      </c>
      <c r="BO9" s="28">
        <v>0</v>
      </c>
      <c r="BP9" s="28">
        <v>15417.597789007608</v>
      </c>
      <c r="BQ9" s="27" t="s">
        <v>101</v>
      </c>
      <c r="BR9" s="2" t="s">
        <v>29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7" t="s">
        <v>101</v>
      </c>
      <c r="BY9" s="2" t="s">
        <v>29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7" t="s">
        <v>101</v>
      </c>
      <c r="CF9" s="2" t="s">
        <v>29</v>
      </c>
      <c r="CG9" s="28">
        <v>20.198366058511752</v>
      </c>
      <c r="CH9" s="28">
        <v>0</v>
      </c>
      <c r="CI9" s="28">
        <v>0</v>
      </c>
      <c r="CJ9" s="28">
        <v>0</v>
      </c>
      <c r="CK9" s="28">
        <v>20.198366058511752</v>
      </c>
      <c r="CL9" s="27" t="s">
        <v>101</v>
      </c>
      <c r="CM9" s="2" t="s">
        <v>29</v>
      </c>
      <c r="CN9" s="28">
        <v>0</v>
      </c>
      <c r="CO9" s="28">
        <v>0</v>
      </c>
      <c r="CP9" s="28">
        <v>0</v>
      </c>
      <c r="CQ9" s="28">
        <v>0</v>
      </c>
      <c r="CR9" s="28">
        <v>0</v>
      </c>
      <c r="CS9" s="27" t="s">
        <v>101</v>
      </c>
      <c r="CT9" s="2" t="s">
        <v>29</v>
      </c>
      <c r="CU9" s="28">
        <v>2750.3532752605297</v>
      </c>
      <c r="CV9" s="28">
        <v>15.537204660393657</v>
      </c>
      <c r="CW9" s="28">
        <v>0</v>
      </c>
      <c r="CX9" s="28">
        <v>0</v>
      </c>
      <c r="CY9" s="28">
        <v>2765.8904799209236</v>
      </c>
      <c r="CZ9" s="27" t="s">
        <v>101</v>
      </c>
      <c r="DA9" s="2" t="s">
        <v>29</v>
      </c>
      <c r="DB9" s="28">
        <v>0</v>
      </c>
      <c r="DC9" s="28">
        <v>0</v>
      </c>
      <c r="DD9" s="28">
        <v>0</v>
      </c>
      <c r="DE9" s="28">
        <v>0</v>
      </c>
      <c r="DF9" s="28">
        <v>0</v>
      </c>
      <c r="DG9" s="27" t="s">
        <v>101</v>
      </c>
      <c r="DH9" s="2" t="s">
        <v>29</v>
      </c>
      <c r="DI9" s="28">
        <v>523.85050046433969</v>
      </c>
      <c r="DJ9" s="28">
        <v>738.67335023460953</v>
      </c>
      <c r="DK9" s="28">
        <v>0</v>
      </c>
      <c r="DL9" s="28">
        <v>0</v>
      </c>
      <c r="DM9" s="28">
        <v>1262.5238506989492</v>
      </c>
      <c r="DN9" s="27" t="s">
        <v>101</v>
      </c>
      <c r="DO9" s="2" t="s">
        <v>29</v>
      </c>
      <c r="DP9" s="28">
        <v>55105.119737660862</v>
      </c>
      <c r="DQ9" s="28">
        <v>12546.691557599503</v>
      </c>
      <c r="DR9" s="28">
        <v>0</v>
      </c>
      <c r="DS9" s="28">
        <v>0</v>
      </c>
      <c r="DT9" s="28">
        <v>67651.81129526037</v>
      </c>
      <c r="DU9" s="27" t="s">
        <v>101</v>
      </c>
      <c r="DV9" s="2" t="s">
        <v>29</v>
      </c>
      <c r="DW9" s="28">
        <v>81855.900269829435</v>
      </c>
      <c r="DX9" s="28">
        <v>25347.769484284014</v>
      </c>
      <c r="DY9" s="28">
        <v>9334.8141374201077</v>
      </c>
      <c r="DZ9" s="28">
        <v>0</v>
      </c>
      <c r="EA9" s="28">
        <v>116538.48389153356</v>
      </c>
      <c r="EB9" s="27" t="s">
        <v>101</v>
      </c>
      <c r="EC9" s="2" t="s">
        <v>29</v>
      </c>
      <c r="ED9" s="28">
        <v>2436728.5017982079</v>
      </c>
      <c r="EE9" s="28">
        <v>19729.058741136094</v>
      </c>
      <c r="EF9" s="28">
        <v>0</v>
      </c>
      <c r="EG9" s="28">
        <v>0</v>
      </c>
      <c r="EH9" s="28">
        <v>2456457.5605393439</v>
      </c>
    </row>
    <row r="10" spans="1:138" x14ac:dyDescent="0.2">
      <c r="A10" s="7" t="s">
        <v>106</v>
      </c>
      <c r="B10" s="2" t="s">
        <v>34</v>
      </c>
      <c r="C10" s="3">
        <f t="shared" si="4"/>
        <v>0</v>
      </c>
      <c r="D10" s="3">
        <f t="shared" si="5"/>
        <v>1829.4627208598313</v>
      </c>
      <c r="E10" s="3">
        <f t="shared" si="6"/>
        <v>17989012.155844711</v>
      </c>
      <c r="F10" s="3">
        <f t="shared" si="7"/>
        <v>2444902.84693198</v>
      </c>
      <c r="G10" s="3">
        <f t="shared" si="8"/>
        <v>3306.5008938727005</v>
      </c>
      <c r="H10" s="3">
        <f t="shared" si="9"/>
        <v>0</v>
      </c>
      <c r="I10" s="3">
        <f t="shared" si="10"/>
        <v>46209.679239001322</v>
      </c>
      <c r="J10" s="3">
        <f t="shared" si="11"/>
        <v>2238389.1321795462</v>
      </c>
      <c r="K10" s="3">
        <f t="shared" si="12"/>
        <v>84032.439737451379</v>
      </c>
      <c r="L10" s="3">
        <f t="shared" si="13"/>
        <v>480731.64982964698</v>
      </c>
      <c r="M10" s="3">
        <f t="shared" si="14"/>
        <v>778795.85700852878</v>
      </c>
      <c r="N10" s="3">
        <f t="shared" si="15"/>
        <v>3785956.8404386188</v>
      </c>
      <c r="O10" s="3">
        <f t="shared" si="16"/>
        <v>27853166.564824216</v>
      </c>
      <c r="P10" s="7" t="s">
        <v>106</v>
      </c>
      <c r="Q10" s="2" t="s">
        <v>34</v>
      </c>
      <c r="R10" s="3">
        <f t="shared" si="17"/>
        <v>0</v>
      </c>
      <c r="S10" s="3">
        <f t="shared" si="17"/>
        <v>1829.4627208598313</v>
      </c>
      <c r="T10" s="3">
        <f t="shared" si="17"/>
        <v>17989012.155844711</v>
      </c>
      <c r="U10" s="3">
        <f t="shared" si="17"/>
        <v>2444902.84693198</v>
      </c>
      <c r="V10" s="3">
        <f t="shared" si="17"/>
        <v>3306.5008938727005</v>
      </c>
      <c r="W10" s="3">
        <f t="shared" si="17"/>
        <v>0</v>
      </c>
      <c r="X10" s="3">
        <f t="shared" si="17"/>
        <v>46209.679239001322</v>
      </c>
      <c r="Y10" s="3">
        <f t="shared" si="17"/>
        <v>2238389.1321795462</v>
      </c>
      <c r="Z10" s="3">
        <f t="shared" si="17"/>
        <v>84032.439737451379</v>
      </c>
      <c r="AA10" s="3">
        <f t="shared" si="17"/>
        <v>480731.64982964698</v>
      </c>
      <c r="AB10" s="3">
        <f t="shared" si="18"/>
        <v>23288413.867377069</v>
      </c>
      <c r="AC10" s="7" t="s">
        <v>106</v>
      </c>
      <c r="AD10" s="2" t="s">
        <v>34</v>
      </c>
      <c r="AE10" s="3">
        <f t="shared" si="19"/>
        <v>778795.85700852878</v>
      </c>
      <c r="AF10" s="3">
        <f t="shared" si="19"/>
        <v>3785956.8404386188</v>
      </c>
      <c r="AG10" s="3">
        <f t="shared" si="20"/>
        <v>4564752.6974471472</v>
      </c>
      <c r="AH10" s="27" t="s">
        <v>106</v>
      </c>
      <c r="AI10" s="2" t="s">
        <v>34</v>
      </c>
      <c r="AJ10" s="28">
        <f t="shared" si="21"/>
        <v>23765643.517700814</v>
      </c>
      <c r="AK10" s="28">
        <f t="shared" si="1"/>
        <v>84507.482348694088</v>
      </c>
      <c r="AL10" s="28">
        <f t="shared" si="1"/>
        <v>243402.98837979379</v>
      </c>
      <c r="AM10" s="28">
        <f t="shared" si="1"/>
        <v>3759612.5763949151</v>
      </c>
      <c r="AN10" s="28">
        <f t="shared" si="22"/>
        <v>27853166.56482422</v>
      </c>
      <c r="AO10" s="27" t="s">
        <v>106</v>
      </c>
      <c r="AP10" s="2" t="s">
        <v>34</v>
      </c>
      <c r="AQ10" s="28">
        <f t="shared" si="23"/>
        <v>22970748.827540409</v>
      </c>
      <c r="AR10" s="28">
        <f t="shared" si="2"/>
        <v>82209.200141961308</v>
      </c>
      <c r="AS10" s="28">
        <f t="shared" si="2"/>
        <v>235455.83969469846</v>
      </c>
      <c r="AT10" s="28">
        <f t="shared" si="2"/>
        <v>0</v>
      </c>
      <c r="AU10" s="28">
        <f t="shared" si="24"/>
        <v>23288413.867377069</v>
      </c>
      <c r="AV10" s="27" t="s">
        <v>106</v>
      </c>
      <c r="AW10" s="2" t="s">
        <v>34</v>
      </c>
      <c r="AX10" s="28">
        <f t="shared" si="25"/>
        <v>794894.69016040431</v>
      </c>
      <c r="AY10" s="28">
        <f t="shared" si="3"/>
        <v>2298.2822067327861</v>
      </c>
      <c r="AZ10" s="28">
        <f t="shared" si="3"/>
        <v>7947.1486850953306</v>
      </c>
      <c r="BA10" s="28">
        <f t="shared" si="3"/>
        <v>3759612.5763949151</v>
      </c>
      <c r="BB10" s="28">
        <f t="shared" si="26"/>
        <v>4564752.6974471472</v>
      </c>
      <c r="BC10" s="27" t="s">
        <v>106</v>
      </c>
      <c r="BD10" s="2" t="s">
        <v>34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7" t="s">
        <v>106</v>
      </c>
      <c r="BK10" s="2" t="s">
        <v>34</v>
      </c>
      <c r="BL10" s="28">
        <v>1829.4627208598313</v>
      </c>
      <c r="BM10" s="28">
        <v>0</v>
      </c>
      <c r="BN10" s="28">
        <v>0</v>
      </c>
      <c r="BO10" s="28">
        <v>0</v>
      </c>
      <c r="BP10" s="28">
        <v>1829.4627208598313</v>
      </c>
      <c r="BQ10" s="27" t="s">
        <v>106</v>
      </c>
      <c r="BR10" s="2" t="s">
        <v>34</v>
      </c>
      <c r="BS10" s="28">
        <v>17989012.155844711</v>
      </c>
      <c r="BT10" s="28">
        <v>0</v>
      </c>
      <c r="BU10" s="28">
        <v>0</v>
      </c>
      <c r="BV10" s="28">
        <v>0</v>
      </c>
      <c r="BW10" s="28">
        <v>17989012.155844711</v>
      </c>
      <c r="BX10" s="27" t="s">
        <v>106</v>
      </c>
      <c r="BY10" s="2" t="s">
        <v>34</v>
      </c>
      <c r="BZ10" s="28">
        <v>2373831.9016472274</v>
      </c>
      <c r="CA10" s="28">
        <v>71070.945284752452</v>
      </c>
      <c r="CB10" s="28">
        <v>0</v>
      </c>
      <c r="CC10" s="28">
        <v>0</v>
      </c>
      <c r="CD10" s="28">
        <v>2444902.84693198</v>
      </c>
      <c r="CE10" s="27" t="s">
        <v>106</v>
      </c>
      <c r="CF10" s="2" t="s">
        <v>34</v>
      </c>
      <c r="CG10" s="28">
        <v>3306.5008938727005</v>
      </c>
      <c r="CH10" s="28">
        <v>0</v>
      </c>
      <c r="CI10" s="28">
        <v>0</v>
      </c>
      <c r="CJ10" s="28">
        <v>0</v>
      </c>
      <c r="CK10" s="28">
        <v>3306.5008938727005</v>
      </c>
      <c r="CL10" s="27" t="s">
        <v>106</v>
      </c>
      <c r="CM10" s="2" t="s">
        <v>34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7" t="s">
        <v>106</v>
      </c>
      <c r="CT10" s="2" t="s">
        <v>34</v>
      </c>
      <c r="CU10" s="28">
        <v>35123.747901724615</v>
      </c>
      <c r="CV10" s="28">
        <v>11085.931337276706</v>
      </c>
      <c r="CW10" s="28">
        <v>0</v>
      </c>
      <c r="CX10" s="28">
        <v>0</v>
      </c>
      <c r="CY10" s="28">
        <v>46209.679239001322</v>
      </c>
      <c r="CZ10" s="27" t="s">
        <v>106</v>
      </c>
      <c r="DA10" s="2" t="s">
        <v>34</v>
      </c>
      <c r="DB10" s="28">
        <v>84032.439737451379</v>
      </c>
      <c r="DC10" s="28">
        <v>0</v>
      </c>
      <c r="DD10" s="28">
        <v>0</v>
      </c>
      <c r="DE10" s="28">
        <v>0</v>
      </c>
      <c r="DF10" s="28">
        <v>84032.439737451379</v>
      </c>
      <c r="DG10" s="27" t="s">
        <v>106</v>
      </c>
      <c r="DH10" s="2" t="s">
        <v>34</v>
      </c>
      <c r="DI10" s="28">
        <v>2238389.1321795462</v>
      </c>
      <c r="DJ10" s="28">
        <v>0</v>
      </c>
      <c r="DK10" s="28">
        <v>0</v>
      </c>
      <c r="DL10" s="28">
        <v>0</v>
      </c>
      <c r="DM10" s="28">
        <v>2238389.1321795462</v>
      </c>
      <c r="DN10" s="27" t="s">
        <v>106</v>
      </c>
      <c r="DO10" s="2" t="s">
        <v>34</v>
      </c>
      <c r="DP10" s="28">
        <v>245223.48661501636</v>
      </c>
      <c r="DQ10" s="28">
        <v>52.323519932155214</v>
      </c>
      <c r="DR10" s="28">
        <v>235455.83969469846</v>
      </c>
      <c r="DS10" s="28">
        <v>0</v>
      </c>
      <c r="DT10" s="28">
        <v>480731.64982964698</v>
      </c>
      <c r="DU10" s="27" t="s">
        <v>106</v>
      </c>
      <c r="DV10" s="2" t="s">
        <v>34</v>
      </c>
      <c r="DW10" s="28">
        <v>17362.967333426968</v>
      </c>
      <c r="DX10" s="28">
        <v>1044.3368267763656</v>
      </c>
      <c r="DY10" s="28">
        <v>7936.9598835003762</v>
      </c>
      <c r="DZ10" s="28">
        <v>3759612.5763949151</v>
      </c>
      <c r="EA10" s="28">
        <v>3785956.8404386188</v>
      </c>
      <c r="EB10" s="27" t="s">
        <v>106</v>
      </c>
      <c r="EC10" s="2" t="s">
        <v>34</v>
      </c>
      <c r="ED10" s="28">
        <v>777531.72282697738</v>
      </c>
      <c r="EE10" s="28">
        <v>1253.9453799564205</v>
      </c>
      <c r="EF10" s="28">
        <v>10.188801594954779</v>
      </c>
      <c r="EG10" s="28">
        <v>0</v>
      </c>
      <c r="EH10" s="28">
        <v>778795.85700852878</v>
      </c>
    </row>
    <row r="11" spans="1:138" x14ac:dyDescent="0.2">
      <c r="A11" s="7" t="s">
        <v>103</v>
      </c>
      <c r="B11" s="2" t="s">
        <v>31</v>
      </c>
      <c r="C11" s="3">
        <f t="shared" si="4"/>
        <v>2538.3993039694619</v>
      </c>
      <c r="D11" s="3">
        <f t="shared" si="5"/>
        <v>2881.1545386695157</v>
      </c>
      <c r="E11" s="3">
        <f t="shared" si="6"/>
        <v>0</v>
      </c>
      <c r="F11" s="3">
        <f t="shared" si="7"/>
        <v>1595482.4231332019</v>
      </c>
      <c r="G11" s="3">
        <f t="shared" si="8"/>
        <v>0</v>
      </c>
      <c r="H11" s="3">
        <f t="shared" si="9"/>
        <v>0</v>
      </c>
      <c r="I11" s="3">
        <f t="shared" si="10"/>
        <v>120270.21295636232</v>
      </c>
      <c r="J11" s="3">
        <f t="shared" si="11"/>
        <v>3813.0354443971128</v>
      </c>
      <c r="K11" s="3">
        <f t="shared" si="12"/>
        <v>0</v>
      </c>
      <c r="L11" s="3">
        <f t="shared" si="13"/>
        <v>8232.863122013714</v>
      </c>
      <c r="M11" s="3">
        <f t="shared" si="14"/>
        <v>11394230.793636141</v>
      </c>
      <c r="N11" s="3">
        <f t="shared" si="15"/>
        <v>1604543.0901233694</v>
      </c>
      <c r="O11" s="3">
        <f t="shared" si="16"/>
        <v>14731991.972258125</v>
      </c>
      <c r="P11" s="7" t="s">
        <v>103</v>
      </c>
      <c r="Q11" s="2" t="s">
        <v>31</v>
      </c>
      <c r="R11" s="3">
        <f t="shared" si="17"/>
        <v>2538.3993039694619</v>
      </c>
      <c r="S11" s="3">
        <f t="shared" si="17"/>
        <v>2881.1545386695157</v>
      </c>
      <c r="T11" s="3">
        <f t="shared" si="17"/>
        <v>0</v>
      </c>
      <c r="U11" s="3">
        <f t="shared" si="17"/>
        <v>1595482.4231332019</v>
      </c>
      <c r="V11" s="3">
        <f t="shared" si="17"/>
        <v>0</v>
      </c>
      <c r="W11" s="3">
        <f t="shared" si="17"/>
        <v>0</v>
      </c>
      <c r="X11" s="3">
        <f t="shared" si="17"/>
        <v>120270.21295636232</v>
      </c>
      <c r="Y11" s="3">
        <f t="shared" si="17"/>
        <v>3813.0354443971128</v>
      </c>
      <c r="Z11" s="3">
        <f t="shared" si="17"/>
        <v>0</v>
      </c>
      <c r="AA11" s="3">
        <f t="shared" si="17"/>
        <v>8232.863122013714</v>
      </c>
      <c r="AB11" s="3">
        <f t="shared" si="18"/>
        <v>1733218.088498614</v>
      </c>
      <c r="AC11" s="7" t="s">
        <v>103</v>
      </c>
      <c r="AD11" s="2" t="s">
        <v>31</v>
      </c>
      <c r="AE11" s="3">
        <f t="shared" si="19"/>
        <v>11394230.793636141</v>
      </c>
      <c r="AF11" s="3">
        <f t="shared" si="19"/>
        <v>1604543.0901233694</v>
      </c>
      <c r="AG11" s="3">
        <f t="shared" si="20"/>
        <v>12998773.88375951</v>
      </c>
      <c r="AH11" s="27" t="s">
        <v>103</v>
      </c>
      <c r="AI11" s="2" t="s">
        <v>31</v>
      </c>
      <c r="AJ11" s="28">
        <f t="shared" si="21"/>
        <v>4282252.6180271795</v>
      </c>
      <c r="AK11" s="28">
        <f t="shared" si="1"/>
        <v>9645106.959188927</v>
      </c>
      <c r="AL11" s="28">
        <f t="shared" si="1"/>
        <v>804632.39504201908</v>
      </c>
      <c r="AM11" s="28">
        <f t="shared" si="1"/>
        <v>0</v>
      </c>
      <c r="AN11" s="28">
        <f t="shared" si="22"/>
        <v>14731991.972258126</v>
      </c>
      <c r="AO11" s="27" t="s">
        <v>103</v>
      </c>
      <c r="AP11" s="2" t="s">
        <v>31</v>
      </c>
      <c r="AQ11" s="28">
        <f t="shared" si="23"/>
        <v>1444991.351077236</v>
      </c>
      <c r="AR11" s="28">
        <f t="shared" si="2"/>
        <v>288226.73742137762</v>
      </c>
      <c r="AS11" s="28">
        <f t="shared" si="2"/>
        <v>0</v>
      </c>
      <c r="AT11" s="28">
        <f t="shared" si="2"/>
        <v>0</v>
      </c>
      <c r="AU11" s="28">
        <f t="shared" si="24"/>
        <v>1733218.0884986136</v>
      </c>
      <c r="AV11" s="27" t="s">
        <v>103</v>
      </c>
      <c r="AW11" s="2" t="s">
        <v>31</v>
      </c>
      <c r="AX11" s="28">
        <f t="shared" si="25"/>
        <v>2837261.2669499433</v>
      </c>
      <c r="AY11" s="28">
        <f t="shared" si="3"/>
        <v>9356880.2217675485</v>
      </c>
      <c r="AZ11" s="28">
        <f t="shared" si="3"/>
        <v>804632.39504201908</v>
      </c>
      <c r="BA11" s="28">
        <f t="shared" si="3"/>
        <v>0</v>
      </c>
      <c r="BB11" s="28">
        <f t="shared" si="26"/>
        <v>12998773.883759512</v>
      </c>
      <c r="BC11" s="27" t="s">
        <v>103</v>
      </c>
      <c r="BD11" s="2" t="s">
        <v>31</v>
      </c>
      <c r="BE11" s="28">
        <v>2538.3993039694619</v>
      </c>
      <c r="BF11" s="28">
        <v>0</v>
      </c>
      <c r="BG11" s="28">
        <v>0</v>
      </c>
      <c r="BH11" s="28">
        <v>0</v>
      </c>
      <c r="BI11" s="28">
        <v>2538.3993039694619</v>
      </c>
      <c r="BJ11" s="27" t="s">
        <v>103</v>
      </c>
      <c r="BK11" s="2" t="s">
        <v>31</v>
      </c>
      <c r="BL11" s="28">
        <v>1322.2165164780452</v>
      </c>
      <c r="BM11" s="28">
        <v>1558.9380221914705</v>
      </c>
      <c r="BN11" s="28">
        <v>0</v>
      </c>
      <c r="BO11" s="28">
        <v>0</v>
      </c>
      <c r="BP11" s="28">
        <v>2881.1545386695157</v>
      </c>
      <c r="BQ11" s="27" t="s">
        <v>103</v>
      </c>
      <c r="BR11" s="2" t="s">
        <v>31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7" t="s">
        <v>103</v>
      </c>
      <c r="BY11" s="2" t="s">
        <v>31</v>
      </c>
      <c r="BZ11" s="28">
        <v>1325692.9732807034</v>
      </c>
      <c r="CA11" s="28">
        <v>269789.44985249836</v>
      </c>
      <c r="CB11" s="28">
        <v>0</v>
      </c>
      <c r="CC11" s="28">
        <v>0</v>
      </c>
      <c r="CD11" s="28">
        <v>1595482.4231332019</v>
      </c>
      <c r="CE11" s="27" t="s">
        <v>103</v>
      </c>
      <c r="CF11" s="2" t="s">
        <v>31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7" t="s">
        <v>103</v>
      </c>
      <c r="CM11" s="2" t="s">
        <v>31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7" t="s">
        <v>103</v>
      </c>
      <c r="CT11" s="2" t="s">
        <v>31</v>
      </c>
      <c r="CU11" s="28">
        <v>104396.69173833528</v>
      </c>
      <c r="CV11" s="28">
        <v>15873.521218027037</v>
      </c>
      <c r="CW11" s="28">
        <v>0</v>
      </c>
      <c r="CX11" s="28">
        <v>0</v>
      </c>
      <c r="CY11" s="28">
        <v>120270.21295636232</v>
      </c>
      <c r="CZ11" s="27" t="s">
        <v>103</v>
      </c>
      <c r="DA11" s="2" t="s">
        <v>31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7" t="s">
        <v>103</v>
      </c>
      <c r="DH11" s="2" t="s">
        <v>31</v>
      </c>
      <c r="DI11" s="28">
        <v>3813.0354443971128</v>
      </c>
      <c r="DJ11" s="28">
        <v>0</v>
      </c>
      <c r="DK11" s="28">
        <v>0</v>
      </c>
      <c r="DL11" s="28">
        <v>0</v>
      </c>
      <c r="DM11" s="28">
        <v>3813.0354443971128</v>
      </c>
      <c r="DN11" s="27" t="s">
        <v>103</v>
      </c>
      <c r="DO11" s="2" t="s">
        <v>31</v>
      </c>
      <c r="DP11" s="28">
        <v>7228.0347933529938</v>
      </c>
      <c r="DQ11" s="28">
        <v>1004.8283286607196</v>
      </c>
      <c r="DR11" s="28">
        <v>0</v>
      </c>
      <c r="DS11" s="28">
        <v>0</v>
      </c>
      <c r="DT11" s="28">
        <v>8232.863122013714</v>
      </c>
      <c r="DU11" s="27" t="s">
        <v>103</v>
      </c>
      <c r="DV11" s="2" t="s">
        <v>31</v>
      </c>
      <c r="DW11" s="28">
        <v>747576.88076967408</v>
      </c>
      <c r="DX11" s="28">
        <v>52333.814311676055</v>
      </c>
      <c r="DY11" s="28">
        <v>804632.39504201908</v>
      </c>
      <c r="DZ11" s="28">
        <v>0</v>
      </c>
      <c r="EA11" s="28">
        <v>1604543.0901233694</v>
      </c>
      <c r="EB11" s="27" t="s">
        <v>103</v>
      </c>
      <c r="EC11" s="2" t="s">
        <v>31</v>
      </c>
      <c r="ED11" s="28">
        <v>2089684.3861802693</v>
      </c>
      <c r="EE11" s="28">
        <v>9304546.4074558727</v>
      </c>
      <c r="EF11" s="28">
        <v>0</v>
      </c>
      <c r="EG11" s="28">
        <v>0</v>
      </c>
      <c r="EH11" s="28">
        <v>11394230.793636141</v>
      </c>
    </row>
    <row r="12" spans="1:138" x14ac:dyDescent="0.2">
      <c r="A12" s="7" t="s">
        <v>99</v>
      </c>
      <c r="B12" s="2" t="s">
        <v>27</v>
      </c>
      <c r="C12" s="3">
        <f t="shared" si="4"/>
        <v>56163.525500127012</v>
      </c>
      <c r="D12" s="3">
        <f t="shared" si="5"/>
        <v>19.033075708982224</v>
      </c>
      <c r="E12" s="3">
        <f t="shared" si="6"/>
        <v>0</v>
      </c>
      <c r="F12" s="3">
        <f t="shared" si="7"/>
        <v>20530977.122554742</v>
      </c>
      <c r="G12" s="3">
        <f t="shared" si="8"/>
        <v>90512.066348382359</v>
      </c>
      <c r="H12" s="3">
        <f t="shared" si="9"/>
        <v>0</v>
      </c>
      <c r="I12" s="3">
        <f t="shared" si="10"/>
        <v>1579429.7144492841</v>
      </c>
      <c r="J12" s="3">
        <f t="shared" si="11"/>
        <v>130.5125191473067</v>
      </c>
      <c r="K12" s="3">
        <f t="shared" si="12"/>
        <v>524293.39748759335</v>
      </c>
      <c r="L12" s="3">
        <f t="shared" si="13"/>
        <v>6773.9013374125971</v>
      </c>
      <c r="M12" s="3">
        <f t="shared" si="14"/>
        <v>7309580.3394197505</v>
      </c>
      <c r="N12" s="3">
        <f t="shared" si="15"/>
        <v>6720042.574882919</v>
      </c>
      <c r="O12" s="3">
        <f t="shared" si="16"/>
        <v>36817922.187575057</v>
      </c>
      <c r="P12" s="7" t="s">
        <v>99</v>
      </c>
      <c r="Q12" s="2" t="s">
        <v>27</v>
      </c>
      <c r="R12" s="3">
        <f t="shared" si="17"/>
        <v>56163.525500127012</v>
      </c>
      <c r="S12" s="3">
        <f t="shared" si="17"/>
        <v>19.033075708982224</v>
      </c>
      <c r="T12" s="3">
        <f t="shared" si="17"/>
        <v>0</v>
      </c>
      <c r="U12" s="3">
        <f t="shared" si="17"/>
        <v>20530977.122554742</v>
      </c>
      <c r="V12" s="3">
        <f t="shared" si="17"/>
        <v>90512.066348382359</v>
      </c>
      <c r="W12" s="3">
        <f t="shared" si="17"/>
        <v>0</v>
      </c>
      <c r="X12" s="3">
        <f t="shared" si="17"/>
        <v>1579429.7144492841</v>
      </c>
      <c r="Y12" s="3">
        <f t="shared" si="17"/>
        <v>130.5125191473067</v>
      </c>
      <c r="Z12" s="3">
        <f t="shared" si="17"/>
        <v>524293.39748759335</v>
      </c>
      <c r="AA12" s="3">
        <f t="shared" si="17"/>
        <v>6773.9013374125971</v>
      </c>
      <c r="AB12" s="3">
        <f t="shared" si="18"/>
        <v>22788299.273272391</v>
      </c>
      <c r="AC12" s="7" t="s">
        <v>99</v>
      </c>
      <c r="AD12" s="2" t="s">
        <v>27</v>
      </c>
      <c r="AE12" s="3">
        <f t="shared" si="19"/>
        <v>7309580.3394197505</v>
      </c>
      <c r="AF12" s="3">
        <f t="shared" si="19"/>
        <v>6720042.574882919</v>
      </c>
      <c r="AG12" s="3">
        <f t="shared" si="20"/>
        <v>14029622.914302669</v>
      </c>
      <c r="AH12" s="27" t="s">
        <v>99</v>
      </c>
      <c r="AI12" s="2" t="s">
        <v>27</v>
      </c>
      <c r="AJ12" s="28">
        <f t="shared" si="21"/>
        <v>16585809.351964861</v>
      </c>
      <c r="AK12" s="28">
        <f t="shared" si="1"/>
        <v>20185216.088023644</v>
      </c>
      <c r="AL12" s="28">
        <f t="shared" si="1"/>
        <v>23517.968051429292</v>
      </c>
      <c r="AM12" s="28">
        <f t="shared" si="1"/>
        <v>23378.779535132773</v>
      </c>
      <c r="AN12" s="28">
        <f t="shared" si="22"/>
        <v>36817922.187575065</v>
      </c>
      <c r="AO12" s="27" t="s">
        <v>99</v>
      </c>
      <c r="AP12" s="2" t="s">
        <v>27</v>
      </c>
      <c r="AQ12" s="28">
        <f t="shared" si="23"/>
        <v>3763895.1425765995</v>
      </c>
      <c r="AR12" s="28">
        <f t="shared" si="2"/>
        <v>19024252.512415774</v>
      </c>
      <c r="AS12" s="28">
        <f t="shared" si="2"/>
        <v>151.61828002483202</v>
      </c>
      <c r="AT12" s="28">
        <f t="shared" si="2"/>
        <v>0</v>
      </c>
      <c r="AU12" s="28">
        <f t="shared" si="24"/>
        <v>22788299.273272395</v>
      </c>
      <c r="AV12" s="27" t="s">
        <v>99</v>
      </c>
      <c r="AW12" s="2" t="s">
        <v>27</v>
      </c>
      <c r="AX12" s="28">
        <f t="shared" si="25"/>
        <v>12821914.209388262</v>
      </c>
      <c r="AY12" s="28">
        <f t="shared" si="3"/>
        <v>1160963.5756078702</v>
      </c>
      <c r="AZ12" s="28">
        <f t="shared" si="3"/>
        <v>23366.349771404461</v>
      </c>
      <c r="BA12" s="28">
        <f t="shared" si="3"/>
        <v>23378.779535132773</v>
      </c>
      <c r="BB12" s="28">
        <f t="shared" si="26"/>
        <v>14029622.914302669</v>
      </c>
      <c r="BC12" s="27" t="s">
        <v>99</v>
      </c>
      <c r="BD12" s="2" t="s">
        <v>27</v>
      </c>
      <c r="BE12" s="28">
        <v>38368.519520751091</v>
      </c>
      <c r="BF12" s="28">
        <v>17795.005979375925</v>
      </c>
      <c r="BG12" s="28">
        <v>0</v>
      </c>
      <c r="BH12" s="28">
        <v>0</v>
      </c>
      <c r="BI12" s="28">
        <v>56163.525500127012</v>
      </c>
      <c r="BJ12" s="27" t="s">
        <v>99</v>
      </c>
      <c r="BK12" s="2" t="s">
        <v>27</v>
      </c>
      <c r="BL12" s="28">
        <v>19.033075708982224</v>
      </c>
      <c r="BM12" s="28">
        <v>0</v>
      </c>
      <c r="BN12" s="28">
        <v>0</v>
      </c>
      <c r="BO12" s="28">
        <v>0</v>
      </c>
      <c r="BP12" s="28">
        <v>19.033075708982224</v>
      </c>
      <c r="BQ12" s="27" t="s">
        <v>99</v>
      </c>
      <c r="BR12" s="2" t="s">
        <v>27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27" t="s">
        <v>99</v>
      </c>
      <c r="BY12" s="2" t="s">
        <v>27</v>
      </c>
      <c r="BZ12" s="28">
        <v>2503965.6694485713</v>
      </c>
      <c r="CA12" s="28">
        <v>18027011.453106169</v>
      </c>
      <c r="CB12" s="28">
        <v>0</v>
      </c>
      <c r="CC12" s="28">
        <v>0</v>
      </c>
      <c r="CD12" s="28">
        <v>20530977.122554742</v>
      </c>
      <c r="CE12" s="27" t="s">
        <v>99</v>
      </c>
      <c r="CF12" s="2" t="s">
        <v>27</v>
      </c>
      <c r="CG12" s="28">
        <v>90512.066348382359</v>
      </c>
      <c r="CH12" s="28">
        <v>0</v>
      </c>
      <c r="CI12" s="28">
        <v>0</v>
      </c>
      <c r="CJ12" s="28">
        <v>0</v>
      </c>
      <c r="CK12" s="28">
        <v>90512.066348382359</v>
      </c>
      <c r="CL12" s="27" t="s">
        <v>99</v>
      </c>
      <c r="CM12" s="2" t="s">
        <v>27</v>
      </c>
      <c r="CN12" s="28">
        <v>0</v>
      </c>
      <c r="CO12" s="28">
        <v>0</v>
      </c>
      <c r="CP12" s="28">
        <v>0</v>
      </c>
      <c r="CQ12" s="28">
        <v>0</v>
      </c>
      <c r="CR12" s="28">
        <v>0</v>
      </c>
      <c r="CS12" s="27" t="s">
        <v>99</v>
      </c>
      <c r="CT12" s="2" t="s">
        <v>27</v>
      </c>
      <c r="CU12" s="28">
        <v>646487.50954648748</v>
      </c>
      <c r="CV12" s="28">
        <v>932942.20490279654</v>
      </c>
      <c r="CW12" s="28">
        <v>0</v>
      </c>
      <c r="CX12" s="28">
        <v>0</v>
      </c>
      <c r="CY12" s="28">
        <v>1579429.7144492841</v>
      </c>
      <c r="CZ12" s="27" t="s">
        <v>99</v>
      </c>
      <c r="DA12" s="2" t="s">
        <v>27</v>
      </c>
      <c r="DB12" s="28">
        <v>478214.39590727142</v>
      </c>
      <c r="DC12" s="28">
        <v>46079.001580321972</v>
      </c>
      <c r="DD12" s="28">
        <v>0</v>
      </c>
      <c r="DE12" s="28">
        <v>0</v>
      </c>
      <c r="DF12" s="28">
        <v>524293.39748759335</v>
      </c>
      <c r="DG12" s="27" t="s">
        <v>99</v>
      </c>
      <c r="DH12" s="2" t="s">
        <v>27</v>
      </c>
      <c r="DI12" s="28">
        <v>130.5125191473067</v>
      </c>
      <c r="DJ12" s="28">
        <v>0</v>
      </c>
      <c r="DK12" s="28">
        <v>0</v>
      </c>
      <c r="DL12" s="28">
        <v>0</v>
      </c>
      <c r="DM12" s="28">
        <v>130.5125191473067</v>
      </c>
      <c r="DN12" s="27" t="s">
        <v>99</v>
      </c>
      <c r="DO12" s="2" t="s">
        <v>27</v>
      </c>
      <c r="DP12" s="28">
        <v>6197.4362102793921</v>
      </c>
      <c r="DQ12" s="28">
        <v>424.84684710837365</v>
      </c>
      <c r="DR12" s="28">
        <v>151.61828002483202</v>
      </c>
      <c r="DS12" s="28">
        <v>0</v>
      </c>
      <c r="DT12" s="28">
        <v>6773.9013374125971</v>
      </c>
      <c r="DU12" s="27" t="s">
        <v>99</v>
      </c>
      <c r="DV12" s="2" t="s">
        <v>27</v>
      </c>
      <c r="DW12" s="28">
        <v>5815904.0915170154</v>
      </c>
      <c r="DX12" s="28">
        <v>857393.35405936651</v>
      </c>
      <c r="DY12" s="28">
        <v>23366.349771404461</v>
      </c>
      <c r="DZ12" s="28">
        <v>23378.779535132773</v>
      </c>
      <c r="EA12" s="28">
        <v>6720042.574882919</v>
      </c>
      <c r="EB12" s="27" t="s">
        <v>99</v>
      </c>
      <c r="EC12" s="2" t="s">
        <v>27</v>
      </c>
      <c r="ED12" s="28">
        <v>7006010.1178712463</v>
      </c>
      <c r="EE12" s="28">
        <v>303570.22154850385</v>
      </c>
      <c r="EF12" s="28">
        <v>0</v>
      </c>
      <c r="EG12" s="28">
        <v>0</v>
      </c>
      <c r="EH12" s="28">
        <v>7309580.3394197505</v>
      </c>
    </row>
    <row r="13" spans="1:138" x14ac:dyDescent="0.2">
      <c r="A13" s="7" t="s">
        <v>94</v>
      </c>
      <c r="B13" s="2" t="s">
        <v>22</v>
      </c>
      <c r="C13" s="3">
        <f t="shared" si="4"/>
        <v>0</v>
      </c>
      <c r="D13" s="3">
        <f t="shared" si="5"/>
        <v>2171.4793990707803</v>
      </c>
      <c r="E13" s="3">
        <f t="shared" si="6"/>
        <v>277167919.77969927</v>
      </c>
      <c r="F13" s="3">
        <f t="shared" si="7"/>
        <v>353931043.95805925</v>
      </c>
      <c r="G13" s="3">
        <f t="shared" si="8"/>
        <v>12749.981993480125</v>
      </c>
      <c r="H13" s="3">
        <f t="shared" si="9"/>
        <v>144687711.73300532</v>
      </c>
      <c r="I13" s="3">
        <f t="shared" si="10"/>
        <v>680178.20865810849</v>
      </c>
      <c r="J13" s="3">
        <f t="shared" si="11"/>
        <v>320573897.3346824</v>
      </c>
      <c r="K13" s="3">
        <f t="shared" si="12"/>
        <v>99915317.967110693</v>
      </c>
      <c r="L13" s="3">
        <f t="shared" si="13"/>
        <v>4614.533753208234</v>
      </c>
      <c r="M13" s="3">
        <f t="shared" si="14"/>
        <v>5691295.6734636761</v>
      </c>
      <c r="N13" s="3">
        <f t="shared" si="15"/>
        <v>137605410.2148625</v>
      </c>
      <c r="O13" s="3">
        <f t="shared" si="16"/>
        <v>1340272310.8646867</v>
      </c>
      <c r="P13" s="7" t="s">
        <v>94</v>
      </c>
      <c r="Q13" s="2" t="s">
        <v>22</v>
      </c>
      <c r="R13" s="3">
        <f t="shared" si="17"/>
        <v>0</v>
      </c>
      <c r="S13" s="3">
        <f t="shared" si="17"/>
        <v>2171.4793990707803</v>
      </c>
      <c r="T13" s="3">
        <f t="shared" si="17"/>
        <v>277167919.77969927</v>
      </c>
      <c r="U13" s="3">
        <f t="shared" si="17"/>
        <v>353931043.95805925</v>
      </c>
      <c r="V13" s="3">
        <f t="shared" si="17"/>
        <v>12749.981993480125</v>
      </c>
      <c r="W13" s="3">
        <f t="shared" si="17"/>
        <v>144687711.73300532</v>
      </c>
      <c r="X13" s="3">
        <f t="shared" si="17"/>
        <v>680178.20865810849</v>
      </c>
      <c r="Y13" s="3">
        <f t="shared" si="17"/>
        <v>320573897.3346824</v>
      </c>
      <c r="Z13" s="3">
        <f t="shared" si="17"/>
        <v>99915317.967110693</v>
      </c>
      <c r="AA13" s="3">
        <f t="shared" si="17"/>
        <v>4614.533753208234</v>
      </c>
      <c r="AB13" s="3">
        <f t="shared" si="18"/>
        <v>1196975604.9763606</v>
      </c>
      <c r="AC13" s="7" t="s">
        <v>94</v>
      </c>
      <c r="AD13" s="2" t="s">
        <v>22</v>
      </c>
      <c r="AE13" s="3">
        <f t="shared" si="19"/>
        <v>5691295.6734636761</v>
      </c>
      <c r="AF13" s="3">
        <f t="shared" si="19"/>
        <v>137605410.2148625</v>
      </c>
      <c r="AG13" s="3">
        <f t="shared" si="20"/>
        <v>143296705.88832617</v>
      </c>
      <c r="AH13" s="27" t="s">
        <v>94</v>
      </c>
      <c r="AI13" s="2" t="s">
        <v>22</v>
      </c>
      <c r="AJ13" s="28">
        <f t="shared" si="21"/>
        <v>598066002.53907585</v>
      </c>
      <c r="AK13" s="28">
        <f t="shared" si="1"/>
        <v>213591404.1790902</v>
      </c>
      <c r="AL13" s="28">
        <f t="shared" si="1"/>
        <v>323654902.66221112</v>
      </c>
      <c r="AM13" s="28">
        <f t="shared" si="1"/>
        <v>204960001.48430991</v>
      </c>
      <c r="AN13" s="28">
        <f t="shared" si="22"/>
        <v>1340272310.8646872</v>
      </c>
      <c r="AO13" s="27" t="s">
        <v>94</v>
      </c>
      <c r="AP13" s="2" t="s">
        <v>22</v>
      </c>
      <c r="AQ13" s="28">
        <f t="shared" si="23"/>
        <v>523883708.60555035</v>
      </c>
      <c r="AR13" s="28">
        <f t="shared" si="2"/>
        <v>144478367.93549562</v>
      </c>
      <c r="AS13" s="28">
        <f t="shared" si="2"/>
        <v>323653526.95100498</v>
      </c>
      <c r="AT13" s="28">
        <f t="shared" si="2"/>
        <v>204960001.48430991</v>
      </c>
      <c r="AU13" s="28">
        <f t="shared" si="24"/>
        <v>1196975604.9763608</v>
      </c>
      <c r="AV13" s="27" t="s">
        <v>94</v>
      </c>
      <c r="AW13" s="2" t="s">
        <v>22</v>
      </c>
      <c r="AX13" s="28">
        <f t="shared" si="25"/>
        <v>74182293.933525458</v>
      </c>
      <c r="AY13" s="28">
        <f t="shared" si="3"/>
        <v>69113036.243594587</v>
      </c>
      <c r="AZ13" s="28">
        <f t="shared" si="3"/>
        <v>1375.711206130497</v>
      </c>
      <c r="BA13" s="28">
        <f t="shared" si="3"/>
        <v>0</v>
      </c>
      <c r="BB13" s="28">
        <f t="shared" si="26"/>
        <v>143296705.88832617</v>
      </c>
      <c r="BC13" s="27" t="s">
        <v>94</v>
      </c>
      <c r="BD13" s="2" t="s">
        <v>22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7" t="s">
        <v>94</v>
      </c>
      <c r="BK13" s="2" t="s">
        <v>22</v>
      </c>
      <c r="BL13" s="28">
        <v>2171.4793990707803</v>
      </c>
      <c r="BM13" s="28">
        <v>0</v>
      </c>
      <c r="BN13" s="28">
        <v>0</v>
      </c>
      <c r="BO13" s="28">
        <v>0</v>
      </c>
      <c r="BP13" s="28">
        <v>2171.4793990707803</v>
      </c>
      <c r="BQ13" s="27" t="s">
        <v>94</v>
      </c>
      <c r="BR13" s="2" t="s">
        <v>22</v>
      </c>
      <c r="BS13" s="28">
        <v>24695606.322217591</v>
      </c>
      <c r="BT13" s="28">
        <v>2671941.8938226947</v>
      </c>
      <c r="BU13" s="28">
        <v>164141057.90875494</v>
      </c>
      <c r="BV13" s="28">
        <v>85659313.654904023</v>
      </c>
      <c r="BW13" s="28">
        <v>277167919.77969927</v>
      </c>
      <c r="BX13" s="27" t="s">
        <v>94</v>
      </c>
      <c r="BY13" s="2" t="s">
        <v>22</v>
      </c>
      <c r="BZ13" s="28">
        <v>348346187.93442494</v>
      </c>
      <c r="CA13" s="28">
        <v>1789922.9439669328</v>
      </c>
      <c r="CB13" s="28">
        <v>2388461.551792399</v>
      </c>
      <c r="CC13" s="28">
        <v>1406471.5278750097</v>
      </c>
      <c r="CD13" s="28">
        <v>353931043.95805925</v>
      </c>
      <c r="CE13" s="27" t="s">
        <v>94</v>
      </c>
      <c r="CF13" s="2" t="s">
        <v>22</v>
      </c>
      <c r="CG13" s="28">
        <v>12749.981993480125</v>
      </c>
      <c r="CH13" s="28">
        <v>0</v>
      </c>
      <c r="CI13" s="28">
        <v>0</v>
      </c>
      <c r="CJ13" s="28">
        <v>0</v>
      </c>
      <c r="CK13" s="28">
        <v>12749.981993480125</v>
      </c>
      <c r="CL13" s="27" t="s">
        <v>94</v>
      </c>
      <c r="CM13" s="2" t="s">
        <v>22</v>
      </c>
      <c r="CN13" s="28">
        <v>0</v>
      </c>
      <c r="CO13" s="28">
        <v>34664764.269365862</v>
      </c>
      <c r="CP13" s="28">
        <v>22607454.95828208</v>
      </c>
      <c r="CQ13" s="28">
        <v>87415492.50535737</v>
      </c>
      <c r="CR13" s="28">
        <v>144687711.73300532</v>
      </c>
      <c r="CS13" s="27" t="s">
        <v>94</v>
      </c>
      <c r="CT13" s="2" t="s">
        <v>22</v>
      </c>
      <c r="CU13" s="28">
        <v>680178.20865810849</v>
      </c>
      <c r="CV13" s="28">
        <v>0</v>
      </c>
      <c r="CW13" s="28">
        <v>0</v>
      </c>
      <c r="CX13" s="28">
        <v>0</v>
      </c>
      <c r="CY13" s="28">
        <v>680178.20865810849</v>
      </c>
      <c r="CZ13" s="27" t="s">
        <v>94</v>
      </c>
      <c r="DA13" s="2" t="s">
        <v>22</v>
      </c>
      <c r="DB13" s="28">
        <v>93942857.42913653</v>
      </c>
      <c r="DC13" s="28">
        <v>5971838.9612536104</v>
      </c>
      <c r="DD13" s="28">
        <v>621.57672054622606</v>
      </c>
      <c r="DE13" s="28">
        <v>0</v>
      </c>
      <c r="DF13" s="28">
        <v>99915317.967110693</v>
      </c>
      <c r="DG13" s="27" t="s">
        <v>94</v>
      </c>
      <c r="DH13" s="2" t="s">
        <v>22</v>
      </c>
      <c r="DI13" s="28">
        <v>56200787.304176435</v>
      </c>
      <c r="DJ13" s="28">
        <v>99379419.138897181</v>
      </c>
      <c r="DK13" s="28">
        <v>134514967.09543529</v>
      </c>
      <c r="DL13" s="28">
        <v>30478723.79617352</v>
      </c>
      <c r="DM13" s="28">
        <v>320573897.3346824</v>
      </c>
      <c r="DN13" s="27" t="s">
        <v>94</v>
      </c>
      <c r="DO13" s="2" t="s">
        <v>22</v>
      </c>
      <c r="DP13" s="28">
        <v>3169.9455441999453</v>
      </c>
      <c r="DQ13" s="28">
        <v>480.72818935383964</v>
      </c>
      <c r="DR13" s="28">
        <v>963.86001965444848</v>
      </c>
      <c r="DS13" s="28">
        <v>0</v>
      </c>
      <c r="DT13" s="28">
        <v>4614.533753208234</v>
      </c>
      <c r="DU13" s="27" t="s">
        <v>94</v>
      </c>
      <c r="DV13" s="2" t="s">
        <v>22</v>
      </c>
      <c r="DW13" s="28">
        <v>68814966.133555874</v>
      </c>
      <c r="DX13" s="28">
        <v>68789068.370100483</v>
      </c>
      <c r="DY13" s="28">
        <v>1375.711206130497</v>
      </c>
      <c r="DZ13" s="28">
        <v>0</v>
      </c>
      <c r="EA13" s="28">
        <v>137605410.2148625</v>
      </c>
      <c r="EB13" s="27" t="s">
        <v>94</v>
      </c>
      <c r="EC13" s="2" t="s">
        <v>22</v>
      </c>
      <c r="ED13" s="28">
        <v>5367327.7999695782</v>
      </c>
      <c r="EE13" s="28">
        <v>323967.87349409796</v>
      </c>
      <c r="EF13" s="28">
        <v>0</v>
      </c>
      <c r="EG13" s="28">
        <v>0</v>
      </c>
      <c r="EH13" s="28">
        <v>5691295.6734636761</v>
      </c>
    </row>
    <row r="14" spans="1:138" x14ac:dyDescent="0.2">
      <c r="A14" s="7" t="s">
        <v>97</v>
      </c>
      <c r="B14" s="2" t="s">
        <v>25</v>
      </c>
      <c r="C14" s="3">
        <f t="shared" si="4"/>
        <v>0</v>
      </c>
      <c r="D14" s="3">
        <f t="shared" si="5"/>
        <v>24974.002744810736</v>
      </c>
      <c r="E14" s="3">
        <f t="shared" si="6"/>
        <v>0</v>
      </c>
      <c r="F14" s="3">
        <f t="shared" si="7"/>
        <v>14335.696157661181</v>
      </c>
      <c r="G14" s="3">
        <f t="shared" si="8"/>
        <v>0</v>
      </c>
      <c r="H14" s="3">
        <f t="shared" si="9"/>
        <v>0</v>
      </c>
      <c r="I14" s="3">
        <f t="shared" si="10"/>
        <v>12.235548670060002</v>
      </c>
      <c r="J14" s="3">
        <f t="shared" si="11"/>
        <v>0</v>
      </c>
      <c r="K14" s="3">
        <f t="shared" si="12"/>
        <v>0</v>
      </c>
      <c r="L14" s="3">
        <f t="shared" si="13"/>
        <v>16356.974540289937</v>
      </c>
      <c r="M14" s="3">
        <f t="shared" si="14"/>
        <v>193802.69764158671</v>
      </c>
      <c r="N14" s="3">
        <f t="shared" si="15"/>
        <v>50519.346456298714</v>
      </c>
      <c r="O14" s="3">
        <f t="shared" si="16"/>
        <v>300000.95308931731</v>
      </c>
      <c r="P14" s="7" t="s">
        <v>97</v>
      </c>
      <c r="Q14" s="2" t="s">
        <v>25</v>
      </c>
      <c r="R14" s="3">
        <f t="shared" si="17"/>
        <v>0</v>
      </c>
      <c r="S14" s="3">
        <f t="shared" si="17"/>
        <v>24974.002744810736</v>
      </c>
      <c r="T14" s="3">
        <f t="shared" si="17"/>
        <v>0</v>
      </c>
      <c r="U14" s="3">
        <f t="shared" si="17"/>
        <v>14335.696157661181</v>
      </c>
      <c r="V14" s="3">
        <f t="shared" si="17"/>
        <v>0</v>
      </c>
      <c r="W14" s="3">
        <f t="shared" si="17"/>
        <v>0</v>
      </c>
      <c r="X14" s="3">
        <f t="shared" si="17"/>
        <v>12.235548670060002</v>
      </c>
      <c r="Y14" s="3">
        <f t="shared" si="17"/>
        <v>0</v>
      </c>
      <c r="Z14" s="3">
        <f t="shared" si="17"/>
        <v>0</v>
      </c>
      <c r="AA14" s="3">
        <f t="shared" si="17"/>
        <v>16356.974540289937</v>
      </c>
      <c r="AB14" s="3">
        <f t="shared" si="18"/>
        <v>55678.908991431912</v>
      </c>
      <c r="AC14" s="7" t="s">
        <v>97</v>
      </c>
      <c r="AD14" s="2" t="s">
        <v>25</v>
      </c>
      <c r="AE14" s="3">
        <f t="shared" si="19"/>
        <v>193802.69764158671</v>
      </c>
      <c r="AF14" s="3">
        <f t="shared" si="19"/>
        <v>50519.346456298714</v>
      </c>
      <c r="AG14" s="3">
        <f t="shared" si="20"/>
        <v>244322.04409788543</v>
      </c>
      <c r="AH14" s="27" t="s">
        <v>97</v>
      </c>
      <c r="AI14" s="2" t="s">
        <v>25</v>
      </c>
      <c r="AJ14" s="28">
        <f t="shared" si="21"/>
        <v>288783.00508323673</v>
      </c>
      <c r="AK14" s="28">
        <f t="shared" si="1"/>
        <v>11217.9480060806</v>
      </c>
      <c r="AL14" s="28">
        <f t="shared" si="1"/>
        <v>0</v>
      </c>
      <c r="AM14" s="28">
        <f t="shared" si="1"/>
        <v>0</v>
      </c>
      <c r="AN14" s="28">
        <f t="shared" si="22"/>
        <v>300000.95308931731</v>
      </c>
      <c r="AO14" s="27" t="s">
        <v>97</v>
      </c>
      <c r="AP14" s="2" t="s">
        <v>25</v>
      </c>
      <c r="AQ14" s="28">
        <f t="shared" si="23"/>
        <v>55075.34120166269</v>
      </c>
      <c r="AR14" s="28">
        <f t="shared" si="2"/>
        <v>603.5677897692218</v>
      </c>
      <c r="AS14" s="28">
        <f t="shared" si="2"/>
        <v>0</v>
      </c>
      <c r="AT14" s="28">
        <f t="shared" si="2"/>
        <v>0</v>
      </c>
      <c r="AU14" s="28">
        <f t="shared" si="24"/>
        <v>55678.908991431912</v>
      </c>
      <c r="AV14" s="27" t="s">
        <v>97</v>
      </c>
      <c r="AW14" s="2" t="s">
        <v>25</v>
      </c>
      <c r="AX14" s="28">
        <f t="shared" si="25"/>
        <v>233707.66388157406</v>
      </c>
      <c r="AY14" s="28">
        <f t="shared" si="3"/>
        <v>10614.380216311378</v>
      </c>
      <c r="AZ14" s="28">
        <f t="shared" si="3"/>
        <v>0</v>
      </c>
      <c r="BA14" s="28">
        <f t="shared" si="3"/>
        <v>0</v>
      </c>
      <c r="BB14" s="28">
        <f t="shared" si="26"/>
        <v>244322.04409788543</v>
      </c>
      <c r="BC14" s="27" t="s">
        <v>97</v>
      </c>
      <c r="BD14" s="2" t="s">
        <v>25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7" t="s">
        <v>97</v>
      </c>
      <c r="BK14" s="2" t="s">
        <v>25</v>
      </c>
      <c r="BL14" s="28">
        <v>24974.002744810736</v>
      </c>
      <c r="BM14" s="28">
        <v>0</v>
      </c>
      <c r="BN14" s="28">
        <v>0</v>
      </c>
      <c r="BO14" s="28">
        <v>0</v>
      </c>
      <c r="BP14" s="28">
        <v>24974.002744810736</v>
      </c>
      <c r="BQ14" s="27" t="s">
        <v>97</v>
      </c>
      <c r="BR14" s="2" t="s">
        <v>25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7" t="s">
        <v>97</v>
      </c>
      <c r="BY14" s="2" t="s">
        <v>25</v>
      </c>
      <c r="BZ14" s="28">
        <v>14335.696157661181</v>
      </c>
      <c r="CA14" s="28">
        <v>0</v>
      </c>
      <c r="CB14" s="28">
        <v>0</v>
      </c>
      <c r="CC14" s="28">
        <v>0</v>
      </c>
      <c r="CD14" s="28">
        <v>14335.696157661181</v>
      </c>
      <c r="CE14" s="27" t="s">
        <v>97</v>
      </c>
      <c r="CF14" s="2" t="s">
        <v>25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7" t="s">
        <v>97</v>
      </c>
      <c r="CM14" s="2" t="s">
        <v>25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7" t="s">
        <v>97</v>
      </c>
      <c r="CT14" s="2" t="s">
        <v>25</v>
      </c>
      <c r="CU14" s="28">
        <v>12.235548670060002</v>
      </c>
      <c r="CV14" s="28">
        <v>0</v>
      </c>
      <c r="CW14" s="28">
        <v>0</v>
      </c>
      <c r="CX14" s="28">
        <v>0</v>
      </c>
      <c r="CY14" s="28">
        <v>12.235548670060002</v>
      </c>
      <c r="CZ14" s="27" t="s">
        <v>97</v>
      </c>
      <c r="DA14" s="2" t="s">
        <v>25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7" t="s">
        <v>97</v>
      </c>
      <c r="DH14" s="2" t="s">
        <v>25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7" t="s">
        <v>97</v>
      </c>
      <c r="DO14" s="2" t="s">
        <v>25</v>
      </c>
      <c r="DP14" s="28">
        <v>15753.406750520715</v>
      </c>
      <c r="DQ14" s="28">
        <v>603.5677897692218</v>
      </c>
      <c r="DR14" s="28">
        <v>0</v>
      </c>
      <c r="DS14" s="28">
        <v>0</v>
      </c>
      <c r="DT14" s="28">
        <v>16356.974540289937</v>
      </c>
      <c r="DU14" s="27" t="s">
        <v>97</v>
      </c>
      <c r="DV14" s="2" t="s">
        <v>25</v>
      </c>
      <c r="DW14" s="28">
        <v>49064.966239987334</v>
      </c>
      <c r="DX14" s="28">
        <v>1454.3802163113778</v>
      </c>
      <c r="DY14" s="28">
        <v>0</v>
      </c>
      <c r="DZ14" s="28">
        <v>0</v>
      </c>
      <c r="EA14" s="28">
        <v>50519.346456298714</v>
      </c>
      <c r="EB14" s="27" t="s">
        <v>97</v>
      </c>
      <c r="EC14" s="2" t="s">
        <v>25</v>
      </c>
      <c r="ED14" s="28">
        <v>184642.69764158671</v>
      </c>
      <c r="EE14" s="28">
        <v>9160</v>
      </c>
      <c r="EF14" s="28">
        <v>0</v>
      </c>
      <c r="EG14" s="28">
        <v>0</v>
      </c>
      <c r="EH14" s="28">
        <v>193802.69764158671</v>
      </c>
    </row>
    <row r="15" spans="1:138" x14ac:dyDescent="0.2">
      <c r="A15" s="7" t="s">
        <v>117</v>
      </c>
      <c r="B15" s="2" t="s">
        <v>45</v>
      </c>
      <c r="C15" s="3">
        <f t="shared" si="4"/>
        <v>0</v>
      </c>
      <c r="D15" s="3">
        <f t="shared" si="5"/>
        <v>0</v>
      </c>
      <c r="E15" s="3">
        <f t="shared" si="6"/>
        <v>32692667.457822885</v>
      </c>
      <c r="F15" s="3">
        <f t="shared" si="7"/>
        <v>276227.63500837382</v>
      </c>
      <c r="G15" s="3">
        <f t="shared" si="8"/>
        <v>8134.3378097024433</v>
      </c>
      <c r="H15" s="3">
        <f t="shared" si="9"/>
        <v>0</v>
      </c>
      <c r="I15" s="3">
        <f t="shared" si="10"/>
        <v>0</v>
      </c>
      <c r="J15" s="3">
        <f t="shared" si="11"/>
        <v>1267.0256207342022</v>
      </c>
      <c r="K15" s="3">
        <f t="shared" si="12"/>
        <v>183196.64763225376</v>
      </c>
      <c r="L15" s="3">
        <f t="shared" si="13"/>
        <v>417798.71010267519</v>
      </c>
      <c r="M15" s="3">
        <f t="shared" si="14"/>
        <v>470405.08953089907</v>
      </c>
      <c r="N15" s="3">
        <f t="shared" si="15"/>
        <v>16149883.463816505</v>
      </c>
      <c r="O15" s="3">
        <f t="shared" si="16"/>
        <v>50199580.367344022</v>
      </c>
      <c r="P15" s="7" t="s">
        <v>117</v>
      </c>
      <c r="Q15" s="2" t="s">
        <v>45</v>
      </c>
      <c r="R15" s="3">
        <f t="shared" si="17"/>
        <v>0</v>
      </c>
      <c r="S15" s="3">
        <f t="shared" si="17"/>
        <v>0</v>
      </c>
      <c r="T15" s="3">
        <f t="shared" si="17"/>
        <v>32692667.457822885</v>
      </c>
      <c r="U15" s="3">
        <f t="shared" si="17"/>
        <v>276227.63500837382</v>
      </c>
      <c r="V15" s="3">
        <f t="shared" si="17"/>
        <v>8134.3378097024433</v>
      </c>
      <c r="W15" s="3">
        <f t="shared" si="17"/>
        <v>0</v>
      </c>
      <c r="X15" s="3">
        <f t="shared" si="17"/>
        <v>0</v>
      </c>
      <c r="Y15" s="3">
        <f t="shared" si="17"/>
        <v>1267.0256207342022</v>
      </c>
      <c r="Z15" s="3">
        <f t="shared" si="17"/>
        <v>183196.64763225376</v>
      </c>
      <c r="AA15" s="3">
        <f t="shared" si="17"/>
        <v>417798.71010267519</v>
      </c>
      <c r="AB15" s="3">
        <f t="shared" si="18"/>
        <v>33579291.81399662</v>
      </c>
      <c r="AC15" s="7" t="s">
        <v>117</v>
      </c>
      <c r="AD15" s="2" t="s">
        <v>45</v>
      </c>
      <c r="AE15" s="3">
        <f t="shared" si="19"/>
        <v>470405.08953089907</v>
      </c>
      <c r="AF15" s="3">
        <f t="shared" si="19"/>
        <v>16149883.463816505</v>
      </c>
      <c r="AG15" s="3">
        <f t="shared" si="20"/>
        <v>16620288.553347403</v>
      </c>
      <c r="AH15" s="27" t="s">
        <v>117</v>
      </c>
      <c r="AI15" s="2" t="s">
        <v>45</v>
      </c>
      <c r="AJ15" s="28">
        <f t="shared" si="21"/>
        <v>1000295.1856076594</v>
      </c>
      <c r="AK15" s="28">
        <f t="shared" si="1"/>
        <v>238137.10740504612</v>
      </c>
      <c r="AL15" s="28">
        <f t="shared" si="1"/>
        <v>32923768.671517238</v>
      </c>
      <c r="AM15" s="28">
        <f t="shared" si="1"/>
        <v>16037379.402814085</v>
      </c>
      <c r="AN15" s="28">
        <f t="shared" si="22"/>
        <v>50199580.367344029</v>
      </c>
      <c r="AO15" s="27" t="s">
        <v>117</v>
      </c>
      <c r="AP15" s="2" t="s">
        <v>45</v>
      </c>
      <c r="AQ15" s="28">
        <f t="shared" si="23"/>
        <v>599364.94421292003</v>
      </c>
      <c r="AR15" s="28">
        <f t="shared" si="2"/>
        <v>134908.63878717812</v>
      </c>
      <c r="AS15" s="28">
        <f t="shared" si="2"/>
        <v>32845018.230996527</v>
      </c>
      <c r="AT15" s="28">
        <f t="shared" si="2"/>
        <v>0</v>
      </c>
      <c r="AU15" s="28">
        <f t="shared" si="24"/>
        <v>33579291.813996628</v>
      </c>
      <c r="AV15" s="27" t="s">
        <v>117</v>
      </c>
      <c r="AW15" s="2" t="s">
        <v>45</v>
      </c>
      <c r="AX15" s="28">
        <f t="shared" si="25"/>
        <v>400930.24139473937</v>
      </c>
      <c r="AY15" s="28">
        <f t="shared" si="3"/>
        <v>103228.468617868</v>
      </c>
      <c r="AZ15" s="28">
        <f t="shared" si="3"/>
        <v>78750.440520712771</v>
      </c>
      <c r="BA15" s="28">
        <f t="shared" si="3"/>
        <v>16037379.402814085</v>
      </c>
      <c r="BB15" s="28">
        <f t="shared" si="26"/>
        <v>16620288.553347405</v>
      </c>
      <c r="BC15" s="27" t="s">
        <v>117</v>
      </c>
      <c r="BD15" s="2" t="s">
        <v>45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7" t="s">
        <v>117</v>
      </c>
      <c r="BK15" s="2" t="s">
        <v>45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7" t="s">
        <v>117</v>
      </c>
      <c r="BR15" s="2" t="s">
        <v>45</v>
      </c>
      <c r="BS15" s="28">
        <v>0</v>
      </c>
      <c r="BT15" s="28">
        <v>0</v>
      </c>
      <c r="BU15" s="28">
        <v>32692667.457822885</v>
      </c>
      <c r="BV15" s="28">
        <v>0</v>
      </c>
      <c r="BW15" s="28">
        <v>32692667.457822885</v>
      </c>
      <c r="BX15" s="27" t="s">
        <v>117</v>
      </c>
      <c r="BY15" s="2" t="s">
        <v>45</v>
      </c>
      <c r="BZ15" s="28">
        <v>144004.82773591127</v>
      </c>
      <c r="CA15" s="28">
        <v>132222.80727246255</v>
      </c>
      <c r="CB15" s="28">
        <v>0</v>
      </c>
      <c r="CC15" s="28">
        <v>0</v>
      </c>
      <c r="CD15" s="28">
        <v>276227.63500837382</v>
      </c>
      <c r="CE15" s="27" t="s">
        <v>117</v>
      </c>
      <c r="CF15" s="2" t="s">
        <v>45</v>
      </c>
      <c r="CG15" s="28">
        <v>8134.3378097024433</v>
      </c>
      <c r="CH15" s="28">
        <v>0</v>
      </c>
      <c r="CI15" s="28">
        <v>0</v>
      </c>
      <c r="CJ15" s="28">
        <v>0</v>
      </c>
      <c r="CK15" s="28">
        <v>8134.3378097024433</v>
      </c>
      <c r="CL15" s="27" t="s">
        <v>117</v>
      </c>
      <c r="CM15" s="2" t="s">
        <v>45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7" t="s">
        <v>117</v>
      </c>
      <c r="CT15" s="2" t="s">
        <v>45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7" t="s">
        <v>117</v>
      </c>
      <c r="DA15" s="2" t="s">
        <v>45</v>
      </c>
      <c r="DB15" s="28">
        <v>29640.48220238971</v>
      </c>
      <c r="DC15" s="28">
        <v>1209.103664802079</v>
      </c>
      <c r="DD15" s="28">
        <v>152347.06176506198</v>
      </c>
      <c r="DE15" s="28">
        <v>0</v>
      </c>
      <c r="DF15" s="28">
        <v>183196.64763225376</v>
      </c>
      <c r="DG15" s="27" t="s">
        <v>117</v>
      </c>
      <c r="DH15" s="2" t="s">
        <v>45</v>
      </c>
      <c r="DI15" s="28">
        <v>1267.0256207342022</v>
      </c>
      <c r="DJ15" s="28">
        <v>0</v>
      </c>
      <c r="DK15" s="28">
        <v>0</v>
      </c>
      <c r="DL15" s="28">
        <v>0</v>
      </c>
      <c r="DM15" s="28">
        <v>1267.0256207342022</v>
      </c>
      <c r="DN15" s="27" t="s">
        <v>117</v>
      </c>
      <c r="DO15" s="2" t="s">
        <v>45</v>
      </c>
      <c r="DP15" s="28">
        <v>416318.27084418241</v>
      </c>
      <c r="DQ15" s="28">
        <v>1476.7278499135055</v>
      </c>
      <c r="DR15" s="28">
        <v>3.7114085792669371</v>
      </c>
      <c r="DS15" s="28">
        <v>0</v>
      </c>
      <c r="DT15" s="28">
        <v>417798.71010267519</v>
      </c>
      <c r="DU15" s="27" t="s">
        <v>117</v>
      </c>
      <c r="DV15" s="2" t="s">
        <v>45</v>
      </c>
      <c r="DW15" s="28">
        <v>17489.934719440291</v>
      </c>
      <c r="DX15" s="28">
        <v>16263.685762267973</v>
      </c>
      <c r="DY15" s="28">
        <v>78750.440520712771</v>
      </c>
      <c r="DZ15" s="28">
        <v>16037379.402814085</v>
      </c>
      <c r="EA15" s="28">
        <v>16149883.463816505</v>
      </c>
      <c r="EB15" s="27" t="s">
        <v>117</v>
      </c>
      <c r="EC15" s="2" t="s">
        <v>45</v>
      </c>
      <c r="ED15" s="28">
        <v>383440.30667529907</v>
      </c>
      <c r="EE15" s="28">
        <v>86964.782855600031</v>
      </c>
      <c r="EF15" s="28">
        <v>0</v>
      </c>
      <c r="EG15" s="28">
        <v>0</v>
      </c>
      <c r="EH15" s="28">
        <v>470405.08953089907</v>
      </c>
    </row>
    <row r="16" spans="1:138" x14ac:dyDescent="0.2">
      <c r="A16" s="7" t="s">
        <v>114</v>
      </c>
      <c r="B16" s="2" t="s">
        <v>42</v>
      </c>
      <c r="C16" s="3">
        <f t="shared" si="4"/>
        <v>2703.4809285714282</v>
      </c>
      <c r="D16" s="3">
        <f t="shared" si="5"/>
        <v>155540.57471454667</v>
      </c>
      <c r="E16" s="3">
        <f t="shared" si="6"/>
        <v>126547.19127420055</v>
      </c>
      <c r="F16" s="3">
        <f t="shared" si="7"/>
        <v>160529.03606513725</v>
      </c>
      <c r="G16" s="3">
        <f t="shared" si="8"/>
        <v>1165.2903495295241</v>
      </c>
      <c r="H16" s="3">
        <f t="shared" si="9"/>
        <v>0</v>
      </c>
      <c r="I16" s="3">
        <f t="shared" si="10"/>
        <v>57371.518134154743</v>
      </c>
      <c r="J16" s="3">
        <f t="shared" si="11"/>
        <v>2491.2472307692228</v>
      </c>
      <c r="K16" s="3">
        <f t="shared" si="12"/>
        <v>141582.59445193189</v>
      </c>
      <c r="L16" s="3">
        <f t="shared" si="13"/>
        <v>225992.90005688297</v>
      </c>
      <c r="M16" s="3">
        <f t="shared" si="14"/>
        <v>682709.08827920468</v>
      </c>
      <c r="N16" s="3">
        <f t="shared" si="15"/>
        <v>5935.5017759061848</v>
      </c>
      <c r="O16" s="3">
        <f t="shared" si="16"/>
        <v>1562568.4232608352</v>
      </c>
      <c r="P16" s="7" t="s">
        <v>114</v>
      </c>
      <c r="Q16" s="2" t="s">
        <v>42</v>
      </c>
      <c r="R16" s="3">
        <f t="shared" si="17"/>
        <v>2703.4809285714282</v>
      </c>
      <c r="S16" s="3">
        <f t="shared" si="17"/>
        <v>155540.57471454667</v>
      </c>
      <c r="T16" s="3">
        <f t="shared" si="17"/>
        <v>126547.19127420055</v>
      </c>
      <c r="U16" s="3">
        <f t="shared" si="17"/>
        <v>160529.03606513725</v>
      </c>
      <c r="V16" s="3">
        <f t="shared" si="17"/>
        <v>1165.2903495295241</v>
      </c>
      <c r="W16" s="3">
        <f t="shared" si="17"/>
        <v>0</v>
      </c>
      <c r="X16" s="3">
        <f t="shared" si="17"/>
        <v>57371.518134154743</v>
      </c>
      <c r="Y16" s="3">
        <f t="shared" si="17"/>
        <v>2491.2472307692228</v>
      </c>
      <c r="Z16" s="3">
        <f t="shared" si="17"/>
        <v>141582.59445193189</v>
      </c>
      <c r="AA16" s="3">
        <f t="shared" si="17"/>
        <v>225992.90005688297</v>
      </c>
      <c r="AB16" s="3">
        <f t="shared" si="18"/>
        <v>873923.83320572437</v>
      </c>
      <c r="AC16" s="7" t="s">
        <v>114</v>
      </c>
      <c r="AD16" s="2" t="s">
        <v>42</v>
      </c>
      <c r="AE16" s="3">
        <f t="shared" si="19"/>
        <v>682709.08827920468</v>
      </c>
      <c r="AF16" s="3">
        <f t="shared" si="19"/>
        <v>5935.5017759061848</v>
      </c>
      <c r="AG16" s="3">
        <f t="shared" si="20"/>
        <v>688644.59005511086</v>
      </c>
      <c r="AH16" s="27" t="s">
        <v>114</v>
      </c>
      <c r="AI16" s="2" t="s">
        <v>42</v>
      </c>
      <c r="AJ16" s="28">
        <f t="shared" si="21"/>
        <v>1085646.9864886615</v>
      </c>
      <c r="AK16" s="28">
        <f t="shared" si="1"/>
        <v>248230.31856507802</v>
      </c>
      <c r="AL16" s="28">
        <f t="shared" si="1"/>
        <v>126547.19127420055</v>
      </c>
      <c r="AM16" s="28">
        <f t="shared" si="1"/>
        <v>102143.92693289512</v>
      </c>
      <c r="AN16" s="28">
        <f t="shared" si="22"/>
        <v>1562568.4232608352</v>
      </c>
      <c r="AO16" s="27" t="s">
        <v>114</v>
      </c>
      <c r="AP16" s="2" t="s">
        <v>42</v>
      </c>
      <c r="AQ16" s="28">
        <f t="shared" si="23"/>
        <v>438597.76250651287</v>
      </c>
      <c r="AR16" s="28">
        <f t="shared" si="2"/>
        <v>206634.95249211573</v>
      </c>
      <c r="AS16" s="28">
        <f t="shared" si="2"/>
        <v>126547.19127420055</v>
      </c>
      <c r="AT16" s="28">
        <f t="shared" si="2"/>
        <v>102143.92693289512</v>
      </c>
      <c r="AU16" s="28">
        <f t="shared" si="24"/>
        <v>873923.83320572425</v>
      </c>
      <c r="AV16" s="27" t="s">
        <v>114</v>
      </c>
      <c r="AW16" s="2" t="s">
        <v>42</v>
      </c>
      <c r="AX16" s="28">
        <f t="shared" si="25"/>
        <v>647049.22398214857</v>
      </c>
      <c r="AY16" s="28">
        <f t="shared" si="3"/>
        <v>41595.366072962293</v>
      </c>
      <c r="AZ16" s="28">
        <f t="shared" si="3"/>
        <v>0</v>
      </c>
      <c r="BA16" s="28">
        <f t="shared" si="3"/>
        <v>0</v>
      </c>
      <c r="BB16" s="28">
        <f t="shared" si="26"/>
        <v>688644.59005511086</v>
      </c>
      <c r="BC16" s="27" t="s">
        <v>114</v>
      </c>
      <c r="BD16" s="2" t="s">
        <v>42</v>
      </c>
      <c r="BE16" s="28">
        <v>2703.4809285714282</v>
      </c>
      <c r="BF16" s="28">
        <v>0</v>
      </c>
      <c r="BG16" s="28">
        <v>0</v>
      </c>
      <c r="BH16" s="28">
        <v>0</v>
      </c>
      <c r="BI16" s="28">
        <v>2703.4809285714282</v>
      </c>
      <c r="BJ16" s="27" t="s">
        <v>114</v>
      </c>
      <c r="BK16" s="2" t="s">
        <v>42</v>
      </c>
      <c r="BL16" s="28">
        <v>0</v>
      </c>
      <c r="BM16" s="28">
        <v>155540.57471454667</v>
      </c>
      <c r="BN16" s="28">
        <v>0</v>
      </c>
      <c r="BO16" s="28">
        <v>0</v>
      </c>
      <c r="BP16" s="28">
        <v>155540.57471454667</v>
      </c>
      <c r="BQ16" s="27" t="s">
        <v>114</v>
      </c>
      <c r="BR16" s="2" t="s">
        <v>42</v>
      </c>
      <c r="BS16" s="28">
        <v>0</v>
      </c>
      <c r="BT16" s="28">
        <v>0</v>
      </c>
      <c r="BU16" s="28">
        <v>126547.19127420055</v>
      </c>
      <c r="BV16" s="28">
        <v>0</v>
      </c>
      <c r="BW16" s="28">
        <v>126547.19127420055</v>
      </c>
      <c r="BX16" s="27" t="s">
        <v>114</v>
      </c>
      <c r="BY16" s="2" t="s">
        <v>42</v>
      </c>
      <c r="BZ16" s="28">
        <v>9419.713905263925</v>
      </c>
      <c r="CA16" s="28">
        <v>48965.395226978217</v>
      </c>
      <c r="CB16" s="28">
        <v>0</v>
      </c>
      <c r="CC16" s="28">
        <v>102143.92693289512</v>
      </c>
      <c r="CD16" s="28">
        <v>160529.03606513725</v>
      </c>
      <c r="CE16" s="27" t="s">
        <v>114</v>
      </c>
      <c r="CF16" s="2" t="s">
        <v>42</v>
      </c>
      <c r="CG16" s="28">
        <v>194.21505825492068</v>
      </c>
      <c r="CH16" s="28">
        <v>971.07529127460339</v>
      </c>
      <c r="CI16" s="28">
        <v>0</v>
      </c>
      <c r="CJ16" s="28">
        <v>0</v>
      </c>
      <c r="CK16" s="28">
        <v>1165.2903495295241</v>
      </c>
      <c r="CL16" s="27" t="s">
        <v>114</v>
      </c>
      <c r="CM16" s="2" t="s">
        <v>42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7" t="s">
        <v>114</v>
      </c>
      <c r="CT16" s="2" t="s">
        <v>42</v>
      </c>
      <c r="CU16" s="28">
        <v>57316.752405726467</v>
      </c>
      <c r="CV16" s="28">
        <v>54.765728428272283</v>
      </c>
      <c r="CW16" s="28">
        <v>0</v>
      </c>
      <c r="CX16" s="28">
        <v>0</v>
      </c>
      <c r="CY16" s="28">
        <v>57371.518134154743</v>
      </c>
      <c r="CZ16" s="27" t="s">
        <v>114</v>
      </c>
      <c r="DA16" s="2" t="s">
        <v>42</v>
      </c>
      <c r="DB16" s="28">
        <v>140479.45292104394</v>
      </c>
      <c r="DC16" s="28">
        <v>1103.1415308879493</v>
      </c>
      <c r="DD16" s="28">
        <v>0</v>
      </c>
      <c r="DE16" s="28">
        <v>0</v>
      </c>
      <c r="DF16" s="28">
        <v>141582.59445193189</v>
      </c>
      <c r="DG16" s="27" t="s">
        <v>114</v>
      </c>
      <c r="DH16" s="2" t="s">
        <v>42</v>
      </c>
      <c r="DI16" s="28">
        <v>2491.2472307692228</v>
      </c>
      <c r="DJ16" s="28">
        <v>0</v>
      </c>
      <c r="DK16" s="28">
        <v>0</v>
      </c>
      <c r="DL16" s="28">
        <v>0</v>
      </c>
      <c r="DM16" s="28">
        <v>2491.2472307692228</v>
      </c>
      <c r="DN16" s="27" t="s">
        <v>114</v>
      </c>
      <c r="DO16" s="2" t="s">
        <v>42</v>
      </c>
      <c r="DP16" s="28">
        <v>225992.90005688297</v>
      </c>
      <c r="DQ16" s="28">
        <v>0</v>
      </c>
      <c r="DR16" s="28">
        <v>0</v>
      </c>
      <c r="DS16" s="28">
        <v>0</v>
      </c>
      <c r="DT16" s="28">
        <v>225992.90005688297</v>
      </c>
      <c r="DU16" s="27" t="s">
        <v>114</v>
      </c>
      <c r="DV16" s="2" t="s">
        <v>42</v>
      </c>
      <c r="DW16" s="28">
        <v>5935.5017759061848</v>
      </c>
      <c r="DX16" s="28">
        <v>0</v>
      </c>
      <c r="DY16" s="28">
        <v>0</v>
      </c>
      <c r="DZ16" s="28">
        <v>0</v>
      </c>
      <c r="EA16" s="28">
        <v>5935.5017759061848</v>
      </c>
      <c r="EB16" s="27" t="s">
        <v>114</v>
      </c>
      <c r="EC16" s="2" t="s">
        <v>42</v>
      </c>
      <c r="ED16" s="28">
        <v>641113.72220624238</v>
      </c>
      <c r="EE16" s="28">
        <v>41595.366072962293</v>
      </c>
      <c r="EF16" s="28">
        <v>0</v>
      </c>
      <c r="EG16" s="28">
        <v>0</v>
      </c>
      <c r="EH16" s="28">
        <v>682709.08827920468</v>
      </c>
    </row>
    <row r="17" spans="1:138" x14ac:dyDescent="0.2">
      <c r="A17" s="7" t="s">
        <v>112</v>
      </c>
      <c r="B17" s="2" t="s">
        <v>40</v>
      </c>
      <c r="C17" s="3">
        <f t="shared" si="4"/>
        <v>0</v>
      </c>
      <c r="D17" s="3">
        <f t="shared" si="5"/>
        <v>0</v>
      </c>
      <c r="E17" s="3">
        <f t="shared" si="6"/>
        <v>50917518.621536754</v>
      </c>
      <c r="F17" s="3">
        <f t="shared" si="7"/>
        <v>356998.1641085287</v>
      </c>
      <c r="G17" s="3">
        <f t="shared" si="8"/>
        <v>37147.728788888882</v>
      </c>
      <c r="H17" s="3">
        <f t="shared" si="9"/>
        <v>1547373.7859869725</v>
      </c>
      <c r="I17" s="3">
        <f t="shared" si="10"/>
        <v>195854.19412317162</v>
      </c>
      <c r="J17" s="3">
        <f t="shared" si="11"/>
        <v>112</v>
      </c>
      <c r="K17" s="3">
        <f t="shared" si="12"/>
        <v>958498.82264976134</v>
      </c>
      <c r="L17" s="3">
        <f t="shared" si="13"/>
        <v>720438.46682101279</v>
      </c>
      <c r="M17" s="3">
        <f t="shared" si="14"/>
        <v>1530461.1704691607</v>
      </c>
      <c r="N17" s="3">
        <f t="shared" si="15"/>
        <v>1122022.7097531562</v>
      </c>
      <c r="O17" s="3">
        <f t="shared" si="16"/>
        <v>57386425.66423741</v>
      </c>
      <c r="P17" s="7" t="s">
        <v>112</v>
      </c>
      <c r="Q17" s="2" t="s">
        <v>40</v>
      </c>
      <c r="R17" s="3">
        <f t="shared" si="17"/>
        <v>0</v>
      </c>
      <c r="S17" s="3">
        <f t="shared" si="17"/>
        <v>0</v>
      </c>
      <c r="T17" s="3">
        <f t="shared" si="17"/>
        <v>50917518.621536754</v>
      </c>
      <c r="U17" s="3">
        <f t="shared" si="17"/>
        <v>356998.1641085287</v>
      </c>
      <c r="V17" s="3">
        <f t="shared" si="17"/>
        <v>37147.728788888882</v>
      </c>
      <c r="W17" s="3">
        <f t="shared" si="17"/>
        <v>1547373.7859869725</v>
      </c>
      <c r="X17" s="3">
        <f t="shared" si="17"/>
        <v>195854.19412317162</v>
      </c>
      <c r="Y17" s="3">
        <f t="shared" si="17"/>
        <v>112</v>
      </c>
      <c r="Z17" s="3">
        <f t="shared" si="17"/>
        <v>958498.82264976134</v>
      </c>
      <c r="AA17" s="3">
        <f t="shared" si="17"/>
        <v>720438.46682101279</v>
      </c>
      <c r="AB17" s="3">
        <f t="shared" si="18"/>
        <v>54733941.784015097</v>
      </c>
      <c r="AC17" s="7" t="s">
        <v>112</v>
      </c>
      <c r="AD17" s="2" t="s">
        <v>40</v>
      </c>
      <c r="AE17" s="3">
        <f t="shared" si="19"/>
        <v>1530461.1704691607</v>
      </c>
      <c r="AF17" s="3">
        <f t="shared" si="19"/>
        <v>1122022.7097531562</v>
      </c>
      <c r="AG17" s="3">
        <f t="shared" si="20"/>
        <v>2652483.8802223168</v>
      </c>
      <c r="AH17" s="27" t="s">
        <v>112</v>
      </c>
      <c r="AI17" s="2" t="s">
        <v>40</v>
      </c>
      <c r="AJ17" s="28">
        <f t="shared" si="21"/>
        <v>707696.45642586809</v>
      </c>
      <c r="AK17" s="28">
        <f t="shared" si="1"/>
        <v>34672202.732953176</v>
      </c>
      <c r="AL17" s="28">
        <f t="shared" si="1"/>
        <v>781925.36393172515</v>
      </c>
      <c r="AM17" s="28">
        <f t="shared" si="1"/>
        <v>21224601.110926632</v>
      </c>
      <c r="AN17" s="28">
        <f t="shared" si="22"/>
        <v>57386425.664237395</v>
      </c>
      <c r="AO17" s="27" t="s">
        <v>112</v>
      </c>
      <c r="AP17" s="2" t="s">
        <v>40</v>
      </c>
      <c r="AQ17" s="28">
        <f t="shared" si="23"/>
        <v>521372.93366006843</v>
      </c>
      <c r="AR17" s="28">
        <f t="shared" si="2"/>
        <v>32206042.375496659</v>
      </c>
      <c r="AS17" s="28">
        <f t="shared" si="2"/>
        <v>781925.36393172515</v>
      </c>
      <c r="AT17" s="28">
        <f t="shared" si="2"/>
        <v>21224601.110926632</v>
      </c>
      <c r="AU17" s="28">
        <f t="shared" si="24"/>
        <v>54733941.784015089</v>
      </c>
      <c r="AV17" s="27" t="s">
        <v>112</v>
      </c>
      <c r="AW17" s="2" t="s">
        <v>40</v>
      </c>
      <c r="AX17" s="28">
        <f t="shared" si="25"/>
        <v>186323.52276579966</v>
      </c>
      <c r="AY17" s="28">
        <f t="shared" si="3"/>
        <v>2466160.3574565174</v>
      </c>
      <c r="AZ17" s="28">
        <f t="shared" si="3"/>
        <v>0</v>
      </c>
      <c r="BA17" s="28">
        <f t="shared" si="3"/>
        <v>0</v>
      </c>
      <c r="BB17" s="28">
        <f t="shared" si="26"/>
        <v>2652483.8802223168</v>
      </c>
      <c r="BC17" s="27" t="s">
        <v>112</v>
      </c>
      <c r="BD17" s="2" t="s">
        <v>40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7" t="s">
        <v>112</v>
      </c>
      <c r="BK17" s="2" t="s">
        <v>40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7" t="s">
        <v>112</v>
      </c>
      <c r="BR17" s="2" t="s">
        <v>40</v>
      </c>
      <c r="BS17" s="28">
        <v>0</v>
      </c>
      <c r="BT17" s="28">
        <v>28910992.146678396</v>
      </c>
      <c r="BU17" s="28">
        <v>781925.36393172515</v>
      </c>
      <c r="BV17" s="28">
        <v>21224601.110926632</v>
      </c>
      <c r="BW17" s="28">
        <v>50917518.621536754</v>
      </c>
      <c r="BX17" s="27" t="s">
        <v>112</v>
      </c>
      <c r="BY17" s="2" t="s">
        <v>40</v>
      </c>
      <c r="BZ17" s="28">
        <v>354795.76534791791</v>
      </c>
      <c r="CA17" s="28">
        <v>2202.3987606108008</v>
      </c>
      <c r="CB17" s="28">
        <v>0</v>
      </c>
      <c r="CC17" s="28">
        <v>0</v>
      </c>
      <c r="CD17" s="28">
        <v>356998.1641085287</v>
      </c>
      <c r="CE17" s="27" t="s">
        <v>112</v>
      </c>
      <c r="CF17" s="2" t="s">
        <v>40</v>
      </c>
      <c r="CG17" s="28">
        <v>37147.728788888882</v>
      </c>
      <c r="CH17" s="28">
        <v>0</v>
      </c>
      <c r="CI17" s="28">
        <v>0</v>
      </c>
      <c r="CJ17" s="28">
        <v>0</v>
      </c>
      <c r="CK17" s="28">
        <v>37147.728788888882</v>
      </c>
      <c r="CL17" s="27" t="s">
        <v>112</v>
      </c>
      <c r="CM17" s="2" t="s">
        <v>40</v>
      </c>
      <c r="CN17" s="28">
        <v>0</v>
      </c>
      <c r="CO17" s="28">
        <v>1547373.7859869725</v>
      </c>
      <c r="CP17" s="28">
        <v>0</v>
      </c>
      <c r="CQ17" s="28">
        <v>0</v>
      </c>
      <c r="CR17" s="28">
        <v>1547373.7859869725</v>
      </c>
      <c r="CS17" s="27" t="s">
        <v>112</v>
      </c>
      <c r="CT17" s="2" t="s">
        <v>40</v>
      </c>
      <c r="CU17" s="28">
        <v>50224.779868129437</v>
      </c>
      <c r="CV17" s="28">
        <v>145629.41425504218</v>
      </c>
      <c r="CW17" s="28">
        <v>0</v>
      </c>
      <c r="CX17" s="28">
        <v>0</v>
      </c>
      <c r="CY17" s="28">
        <v>195854.19412317162</v>
      </c>
      <c r="CZ17" s="27" t="s">
        <v>112</v>
      </c>
      <c r="DA17" s="2" t="s">
        <v>40</v>
      </c>
      <c r="DB17" s="28">
        <v>30504.154822064953</v>
      </c>
      <c r="DC17" s="28">
        <v>927994.66782769642</v>
      </c>
      <c r="DD17" s="28">
        <v>0</v>
      </c>
      <c r="DE17" s="28">
        <v>0</v>
      </c>
      <c r="DF17" s="28">
        <v>958498.82264976134</v>
      </c>
      <c r="DG17" s="27" t="s">
        <v>112</v>
      </c>
      <c r="DH17" s="2" t="s">
        <v>40</v>
      </c>
      <c r="DI17" s="28">
        <v>112</v>
      </c>
      <c r="DJ17" s="28">
        <v>0</v>
      </c>
      <c r="DK17" s="28">
        <v>0</v>
      </c>
      <c r="DL17" s="28">
        <v>0</v>
      </c>
      <c r="DM17" s="28">
        <v>112</v>
      </c>
      <c r="DN17" s="27" t="s">
        <v>112</v>
      </c>
      <c r="DO17" s="2" t="s">
        <v>40</v>
      </c>
      <c r="DP17" s="28">
        <v>48588.504833067273</v>
      </c>
      <c r="DQ17" s="28">
        <v>671849.96198794548</v>
      </c>
      <c r="DR17" s="28">
        <v>0</v>
      </c>
      <c r="DS17" s="28">
        <v>0</v>
      </c>
      <c r="DT17" s="28">
        <v>720438.46682101279</v>
      </c>
      <c r="DU17" s="27" t="s">
        <v>112</v>
      </c>
      <c r="DV17" s="2" t="s">
        <v>40</v>
      </c>
      <c r="DW17" s="28">
        <v>0</v>
      </c>
      <c r="DX17" s="28">
        <v>1122022.7097531562</v>
      </c>
      <c r="DY17" s="28">
        <v>0</v>
      </c>
      <c r="DZ17" s="28">
        <v>0</v>
      </c>
      <c r="EA17" s="28">
        <v>1122022.7097531562</v>
      </c>
      <c r="EB17" s="27" t="s">
        <v>112</v>
      </c>
      <c r="EC17" s="2" t="s">
        <v>40</v>
      </c>
      <c r="ED17" s="28">
        <v>186323.52276579966</v>
      </c>
      <c r="EE17" s="28">
        <v>1344137.647703361</v>
      </c>
      <c r="EF17" s="28">
        <v>0</v>
      </c>
      <c r="EG17" s="28">
        <v>0</v>
      </c>
      <c r="EH17" s="28">
        <v>1530461.1704691607</v>
      </c>
    </row>
    <row r="18" spans="1:138" x14ac:dyDescent="0.2">
      <c r="A18" s="7" t="s">
        <v>116</v>
      </c>
      <c r="B18" s="2" t="s">
        <v>44</v>
      </c>
      <c r="C18" s="3">
        <f t="shared" si="4"/>
        <v>54331.878239750178</v>
      </c>
      <c r="D18" s="3">
        <f t="shared" si="5"/>
        <v>1423781.2523358308</v>
      </c>
      <c r="E18" s="3">
        <f t="shared" si="6"/>
        <v>8163815.5034351423</v>
      </c>
      <c r="F18" s="3">
        <f t="shared" si="7"/>
        <v>27524.895180292664</v>
      </c>
      <c r="G18" s="3">
        <f t="shared" si="8"/>
        <v>276532.94491041609</v>
      </c>
      <c r="H18" s="3">
        <f t="shared" si="9"/>
        <v>33437.265987085513</v>
      </c>
      <c r="I18" s="3">
        <f t="shared" si="10"/>
        <v>33068.785053331645</v>
      </c>
      <c r="J18" s="3">
        <f t="shared" si="11"/>
        <v>234030.0846759484</v>
      </c>
      <c r="K18" s="3">
        <f t="shared" si="12"/>
        <v>164606.11101600935</v>
      </c>
      <c r="L18" s="3">
        <f t="shared" si="13"/>
        <v>6784864.3988003042</v>
      </c>
      <c r="M18" s="3">
        <f t="shared" si="14"/>
        <v>360496.89255365328</v>
      </c>
      <c r="N18" s="3">
        <f t="shared" si="15"/>
        <v>82377946.463326842</v>
      </c>
      <c r="O18" s="3">
        <f t="shared" si="16"/>
        <v>99934436.475514606</v>
      </c>
      <c r="P18" s="7" t="s">
        <v>116</v>
      </c>
      <c r="Q18" s="2" t="s">
        <v>44</v>
      </c>
      <c r="R18" s="3">
        <f t="shared" si="17"/>
        <v>54331.878239750178</v>
      </c>
      <c r="S18" s="3">
        <f t="shared" si="17"/>
        <v>1423781.2523358308</v>
      </c>
      <c r="T18" s="3">
        <f t="shared" si="17"/>
        <v>8163815.5034351423</v>
      </c>
      <c r="U18" s="3">
        <f t="shared" si="17"/>
        <v>27524.895180292664</v>
      </c>
      <c r="V18" s="3">
        <f t="shared" si="17"/>
        <v>276532.94491041609</v>
      </c>
      <c r="W18" s="3">
        <f t="shared" si="17"/>
        <v>33437.265987085513</v>
      </c>
      <c r="X18" s="3">
        <f t="shared" si="17"/>
        <v>33068.785053331645</v>
      </c>
      <c r="Y18" s="3">
        <f t="shared" si="17"/>
        <v>234030.0846759484</v>
      </c>
      <c r="Z18" s="3">
        <f t="shared" si="17"/>
        <v>164606.11101600935</v>
      </c>
      <c r="AA18" s="3">
        <f t="shared" si="17"/>
        <v>6784864.3988003042</v>
      </c>
      <c r="AB18" s="3">
        <f t="shared" si="18"/>
        <v>17195993.11963411</v>
      </c>
      <c r="AC18" s="7" t="s">
        <v>116</v>
      </c>
      <c r="AD18" s="2" t="s">
        <v>44</v>
      </c>
      <c r="AE18" s="3">
        <f t="shared" si="19"/>
        <v>360496.89255365328</v>
      </c>
      <c r="AF18" s="3">
        <f t="shared" si="19"/>
        <v>82377946.463326842</v>
      </c>
      <c r="AG18" s="3">
        <f t="shared" si="20"/>
        <v>82738443.355880499</v>
      </c>
      <c r="AH18" s="27" t="s">
        <v>116</v>
      </c>
      <c r="AI18" s="2" t="s">
        <v>44</v>
      </c>
      <c r="AJ18" s="28">
        <f t="shared" si="21"/>
        <v>10111132.990152564</v>
      </c>
      <c r="AK18" s="28">
        <f t="shared" si="1"/>
        <v>8818551.4594236854</v>
      </c>
      <c r="AL18" s="28">
        <f t="shared" si="1"/>
        <v>2000025.1982492656</v>
      </c>
      <c r="AM18" s="28">
        <f t="shared" si="1"/>
        <v>79004726.827689096</v>
      </c>
      <c r="AN18" s="28">
        <f t="shared" si="22"/>
        <v>99934436.475514621</v>
      </c>
      <c r="AO18" s="27" t="s">
        <v>116</v>
      </c>
      <c r="AP18" s="2" t="s">
        <v>44</v>
      </c>
      <c r="AQ18" s="28">
        <f t="shared" si="23"/>
        <v>2122072.2844602079</v>
      </c>
      <c r="AR18" s="28">
        <f t="shared" si="2"/>
        <v>1492647.6817329042</v>
      </c>
      <c r="AS18" s="28">
        <f t="shared" si="2"/>
        <v>712880.57573699928</v>
      </c>
      <c r="AT18" s="28">
        <f t="shared" si="2"/>
        <v>12868392.577703999</v>
      </c>
      <c r="AU18" s="28">
        <f t="shared" si="24"/>
        <v>17195993.11963411</v>
      </c>
      <c r="AV18" s="27" t="s">
        <v>116</v>
      </c>
      <c r="AW18" s="2" t="s">
        <v>44</v>
      </c>
      <c r="AX18" s="28">
        <f t="shared" si="25"/>
        <v>7989060.7056923565</v>
      </c>
      <c r="AY18" s="28">
        <f t="shared" si="3"/>
        <v>7325903.7776907813</v>
      </c>
      <c r="AZ18" s="28">
        <f t="shared" si="3"/>
        <v>1287144.6225122663</v>
      </c>
      <c r="BA18" s="28">
        <f t="shared" si="3"/>
        <v>66136334.249985091</v>
      </c>
      <c r="BB18" s="28">
        <f t="shared" si="26"/>
        <v>82738443.355880499</v>
      </c>
      <c r="BC18" s="27" t="s">
        <v>116</v>
      </c>
      <c r="BD18" s="2" t="s">
        <v>44</v>
      </c>
      <c r="BE18" s="28">
        <v>54331.878239750178</v>
      </c>
      <c r="BF18" s="28">
        <v>0</v>
      </c>
      <c r="BG18" s="28">
        <v>0</v>
      </c>
      <c r="BH18" s="28">
        <v>0</v>
      </c>
      <c r="BI18" s="28">
        <v>54331.878239750178</v>
      </c>
      <c r="BJ18" s="27" t="s">
        <v>116</v>
      </c>
      <c r="BK18" s="2" t="s">
        <v>44</v>
      </c>
      <c r="BL18" s="28">
        <v>1423781.2523358308</v>
      </c>
      <c r="BM18" s="28">
        <v>0</v>
      </c>
      <c r="BN18" s="28">
        <v>0</v>
      </c>
      <c r="BO18" s="28">
        <v>0</v>
      </c>
      <c r="BP18" s="28">
        <v>1423781.2523358308</v>
      </c>
      <c r="BQ18" s="27" t="s">
        <v>116</v>
      </c>
      <c r="BR18" s="2" t="s">
        <v>44</v>
      </c>
      <c r="BS18" s="28">
        <v>3.8843011650984129</v>
      </c>
      <c r="BT18" s="28">
        <v>1370394.1502183976</v>
      </c>
      <c r="BU18" s="28">
        <v>595710.8585220552</v>
      </c>
      <c r="BV18" s="28">
        <v>6197706.6103935242</v>
      </c>
      <c r="BW18" s="28">
        <v>8163815.5034351423</v>
      </c>
      <c r="BX18" s="27" t="s">
        <v>116</v>
      </c>
      <c r="BY18" s="2" t="s">
        <v>44</v>
      </c>
      <c r="BZ18" s="28">
        <v>26539.086102970323</v>
      </c>
      <c r="CA18" s="28">
        <v>985.80907732234027</v>
      </c>
      <c r="CB18" s="28">
        <v>0</v>
      </c>
      <c r="CC18" s="28">
        <v>0</v>
      </c>
      <c r="CD18" s="28">
        <v>27524.895180292664</v>
      </c>
      <c r="CE18" s="27" t="s">
        <v>116</v>
      </c>
      <c r="CF18" s="2" t="s">
        <v>44</v>
      </c>
      <c r="CG18" s="28">
        <v>204624.09045939188</v>
      </c>
      <c r="CH18" s="28">
        <v>0</v>
      </c>
      <c r="CI18" s="28">
        <v>71908.854451024206</v>
      </c>
      <c r="CJ18" s="28">
        <v>0</v>
      </c>
      <c r="CK18" s="28">
        <v>276532.94491041609</v>
      </c>
      <c r="CL18" s="27" t="s">
        <v>116</v>
      </c>
      <c r="CM18" s="2" t="s">
        <v>44</v>
      </c>
      <c r="CN18" s="28">
        <v>0</v>
      </c>
      <c r="CO18" s="28">
        <v>0</v>
      </c>
      <c r="CP18" s="28">
        <v>0</v>
      </c>
      <c r="CQ18" s="28">
        <v>33437.265987085513</v>
      </c>
      <c r="CR18" s="28">
        <v>33437.265987085513</v>
      </c>
      <c r="CS18" s="27" t="s">
        <v>116</v>
      </c>
      <c r="CT18" s="2" t="s">
        <v>44</v>
      </c>
      <c r="CU18" s="28">
        <v>33068.785053331645</v>
      </c>
      <c r="CV18" s="28">
        <v>0</v>
      </c>
      <c r="CW18" s="28">
        <v>0</v>
      </c>
      <c r="CX18" s="28">
        <v>0</v>
      </c>
      <c r="CY18" s="28">
        <v>33068.785053331645</v>
      </c>
      <c r="CZ18" s="27" t="s">
        <v>116</v>
      </c>
      <c r="DA18" s="2" t="s">
        <v>44</v>
      </c>
      <c r="DB18" s="28">
        <v>138717.46826623793</v>
      </c>
      <c r="DC18" s="28">
        <v>13677.018811199987</v>
      </c>
      <c r="DD18" s="28">
        <v>12211.623938571416</v>
      </c>
      <c r="DE18" s="28">
        <v>0</v>
      </c>
      <c r="DF18" s="28">
        <v>164606.11101600935</v>
      </c>
      <c r="DG18" s="27" t="s">
        <v>116</v>
      </c>
      <c r="DH18" s="2" t="s">
        <v>44</v>
      </c>
      <c r="DI18" s="28">
        <v>234030.0846759484</v>
      </c>
      <c r="DJ18" s="28">
        <v>0</v>
      </c>
      <c r="DK18" s="28">
        <v>0</v>
      </c>
      <c r="DL18" s="28">
        <v>0</v>
      </c>
      <c r="DM18" s="28">
        <v>234030.0846759484</v>
      </c>
      <c r="DN18" s="27" t="s">
        <v>116</v>
      </c>
      <c r="DO18" s="2" t="s">
        <v>44</v>
      </c>
      <c r="DP18" s="28">
        <v>6975.7550255815358</v>
      </c>
      <c r="DQ18" s="28">
        <v>107590.70362598424</v>
      </c>
      <c r="DR18" s="28">
        <v>33049.238825348468</v>
      </c>
      <c r="DS18" s="28">
        <v>6637248.70132339</v>
      </c>
      <c r="DT18" s="28">
        <v>6784864.3988003042</v>
      </c>
      <c r="DU18" s="27" t="s">
        <v>116</v>
      </c>
      <c r="DV18" s="2" t="s">
        <v>44</v>
      </c>
      <c r="DW18" s="28">
        <v>7628563.8131387029</v>
      </c>
      <c r="DX18" s="28">
        <v>7325903.7776907813</v>
      </c>
      <c r="DY18" s="28">
        <v>1287144.6225122663</v>
      </c>
      <c r="DZ18" s="28">
        <v>66136334.249985091</v>
      </c>
      <c r="EA18" s="28">
        <v>82377946.463326842</v>
      </c>
      <c r="EB18" s="27" t="s">
        <v>116</v>
      </c>
      <c r="EC18" s="2" t="s">
        <v>44</v>
      </c>
      <c r="ED18" s="28">
        <v>360496.89255365328</v>
      </c>
      <c r="EE18" s="28">
        <v>0</v>
      </c>
      <c r="EF18" s="28">
        <v>0</v>
      </c>
      <c r="EG18" s="28">
        <v>0</v>
      </c>
      <c r="EH18" s="28">
        <v>360496.89255365328</v>
      </c>
    </row>
    <row r="19" spans="1:138" x14ac:dyDescent="0.2">
      <c r="A19" s="7" t="s">
        <v>107</v>
      </c>
      <c r="B19" s="2" t="s">
        <v>35</v>
      </c>
      <c r="C19" s="3">
        <f t="shared" si="4"/>
        <v>0</v>
      </c>
      <c r="D19" s="3">
        <f t="shared" si="5"/>
        <v>1219.063623420323</v>
      </c>
      <c r="E19" s="3">
        <f t="shared" si="6"/>
        <v>0</v>
      </c>
      <c r="F19" s="3">
        <f t="shared" si="7"/>
        <v>0</v>
      </c>
      <c r="G19" s="3">
        <f t="shared" si="8"/>
        <v>0</v>
      </c>
      <c r="H19" s="3">
        <f t="shared" si="9"/>
        <v>0</v>
      </c>
      <c r="I19" s="3">
        <f t="shared" si="10"/>
        <v>33365.395765583642</v>
      </c>
      <c r="J19" s="3">
        <f t="shared" si="11"/>
        <v>0</v>
      </c>
      <c r="K19" s="3">
        <f t="shared" si="12"/>
        <v>168.57867056527115</v>
      </c>
      <c r="L19" s="3">
        <f t="shared" si="13"/>
        <v>6405791.3561021611</v>
      </c>
      <c r="M19" s="3">
        <f t="shared" si="14"/>
        <v>1906940.0528417677</v>
      </c>
      <c r="N19" s="3">
        <f t="shared" si="15"/>
        <v>1471490.5730994164</v>
      </c>
      <c r="O19" s="3">
        <f t="shared" si="16"/>
        <v>9818975.0201029144</v>
      </c>
      <c r="P19" s="7" t="s">
        <v>107</v>
      </c>
      <c r="Q19" s="2" t="s">
        <v>35</v>
      </c>
      <c r="R19" s="3">
        <f t="shared" si="17"/>
        <v>0</v>
      </c>
      <c r="S19" s="3">
        <f t="shared" si="17"/>
        <v>1219.063623420323</v>
      </c>
      <c r="T19" s="3">
        <f t="shared" si="17"/>
        <v>0</v>
      </c>
      <c r="U19" s="3">
        <f t="shared" si="17"/>
        <v>0</v>
      </c>
      <c r="V19" s="3">
        <f t="shared" si="17"/>
        <v>0</v>
      </c>
      <c r="W19" s="3">
        <f t="shared" si="17"/>
        <v>0</v>
      </c>
      <c r="X19" s="3">
        <f t="shared" si="17"/>
        <v>33365.395765583642</v>
      </c>
      <c r="Y19" s="3">
        <f t="shared" si="17"/>
        <v>0</v>
      </c>
      <c r="Z19" s="3">
        <f t="shared" si="17"/>
        <v>168.57867056527115</v>
      </c>
      <c r="AA19" s="3">
        <f t="shared" si="17"/>
        <v>6405791.3561021611</v>
      </c>
      <c r="AB19" s="3">
        <f t="shared" si="18"/>
        <v>6440544.3941617301</v>
      </c>
      <c r="AC19" s="7" t="s">
        <v>107</v>
      </c>
      <c r="AD19" s="2" t="s">
        <v>35</v>
      </c>
      <c r="AE19" s="3">
        <f t="shared" si="19"/>
        <v>1906940.0528417677</v>
      </c>
      <c r="AF19" s="3">
        <f t="shared" si="19"/>
        <v>1471490.5730994164</v>
      </c>
      <c r="AG19" s="3">
        <f t="shared" si="20"/>
        <v>3378430.6259411843</v>
      </c>
      <c r="AH19" s="27" t="s">
        <v>107</v>
      </c>
      <c r="AI19" s="2" t="s">
        <v>35</v>
      </c>
      <c r="AJ19" s="28">
        <f t="shared" si="21"/>
        <v>3905708.5581877283</v>
      </c>
      <c r="AK19" s="28">
        <f t="shared" si="1"/>
        <v>4863871.0954117682</v>
      </c>
      <c r="AL19" s="28">
        <f t="shared" si="1"/>
        <v>1049395.366503417</v>
      </c>
      <c r="AM19" s="28">
        <f t="shared" si="1"/>
        <v>0</v>
      </c>
      <c r="AN19" s="28">
        <f t="shared" si="22"/>
        <v>9818975.0201029144</v>
      </c>
      <c r="AO19" s="27" t="s">
        <v>107</v>
      </c>
      <c r="AP19" s="2" t="s">
        <v>35</v>
      </c>
      <c r="AQ19" s="28">
        <f t="shared" si="23"/>
        <v>1995341.617189137</v>
      </c>
      <c r="AR19" s="28">
        <f t="shared" si="2"/>
        <v>3395807.4104691758</v>
      </c>
      <c r="AS19" s="28">
        <f t="shared" si="2"/>
        <v>1049395.366503417</v>
      </c>
      <c r="AT19" s="28">
        <f t="shared" si="2"/>
        <v>0</v>
      </c>
      <c r="AU19" s="28">
        <f t="shared" si="24"/>
        <v>6440544.3941617291</v>
      </c>
      <c r="AV19" s="27" t="s">
        <v>107</v>
      </c>
      <c r="AW19" s="2" t="s">
        <v>35</v>
      </c>
      <c r="AX19" s="28">
        <f t="shared" si="25"/>
        <v>1910366.9409985912</v>
      </c>
      <c r="AY19" s="28">
        <f t="shared" si="3"/>
        <v>1468063.6849425929</v>
      </c>
      <c r="AZ19" s="28">
        <f t="shared" si="3"/>
        <v>0</v>
      </c>
      <c r="BA19" s="28">
        <f t="shared" si="3"/>
        <v>0</v>
      </c>
      <c r="BB19" s="28">
        <f t="shared" si="26"/>
        <v>3378430.6259411843</v>
      </c>
      <c r="BC19" s="27" t="s">
        <v>107</v>
      </c>
      <c r="BD19" s="2" t="s">
        <v>35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7" t="s">
        <v>107</v>
      </c>
      <c r="BK19" s="2" t="s">
        <v>35</v>
      </c>
      <c r="BL19" s="28">
        <v>1219.063623420323</v>
      </c>
      <c r="BM19" s="28">
        <v>0</v>
      </c>
      <c r="BN19" s="28">
        <v>0</v>
      </c>
      <c r="BO19" s="28">
        <v>0</v>
      </c>
      <c r="BP19" s="28">
        <v>1219.063623420323</v>
      </c>
      <c r="BQ19" s="27" t="s">
        <v>107</v>
      </c>
      <c r="BR19" s="2" t="s">
        <v>35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7" t="s">
        <v>107</v>
      </c>
      <c r="BY19" s="2" t="s">
        <v>35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7" t="s">
        <v>107</v>
      </c>
      <c r="CF19" s="2" t="s">
        <v>35</v>
      </c>
      <c r="CG19" s="28">
        <v>0</v>
      </c>
      <c r="CH19" s="28">
        <v>0</v>
      </c>
      <c r="CI19" s="28">
        <v>0</v>
      </c>
      <c r="CJ19" s="28">
        <v>0</v>
      </c>
      <c r="CK19" s="28">
        <v>0</v>
      </c>
      <c r="CL19" s="27" t="s">
        <v>107</v>
      </c>
      <c r="CM19" s="2" t="s">
        <v>35</v>
      </c>
      <c r="CN19" s="28">
        <v>0</v>
      </c>
      <c r="CO19" s="28">
        <v>0</v>
      </c>
      <c r="CP19" s="28">
        <v>0</v>
      </c>
      <c r="CQ19" s="28">
        <v>0</v>
      </c>
      <c r="CR19" s="28">
        <v>0</v>
      </c>
      <c r="CS19" s="27" t="s">
        <v>107</v>
      </c>
      <c r="CT19" s="2" t="s">
        <v>35</v>
      </c>
      <c r="CU19" s="28">
        <v>30641.335807249143</v>
      </c>
      <c r="CV19" s="28">
        <v>2724.059958334502</v>
      </c>
      <c r="CW19" s="28">
        <v>0</v>
      </c>
      <c r="CX19" s="28">
        <v>0</v>
      </c>
      <c r="CY19" s="28">
        <v>33365.395765583642</v>
      </c>
      <c r="CZ19" s="27" t="s">
        <v>107</v>
      </c>
      <c r="DA19" s="2" t="s">
        <v>35</v>
      </c>
      <c r="DB19" s="28">
        <v>168.57867056527115</v>
      </c>
      <c r="DC19" s="28">
        <v>0</v>
      </c>
      <c r="DD19" s="28">
        <v>0</v>
      </c>
      <c r="DE19" s="28">
        <v>0</v>
      </c>
      <c r="DF19" s="28">
        <v>168.57867056527115</v>
      </c>
      <c r="DG19" s="27" t="s">
        <v>107</v>
      </c>
      <c r="DH19" s="2" t="s">
        <v>35</v>
      </c>
      <c r="DI19" s="28">
        <v>0</v>
      </c>
      <c r="DJ19" s="28">
        <v>0</v>
      </c>
      <c r="DK19" s="28">
        <v>0</v>
      </c>
      <c r="DL19" s="28">
        <v>0</v>
      </c>
      <c r="DM19" s="28">
        <v>0</v>
      </c>
      <c r="DN19" s="27" t="s">
        <v>107</v>
      </c>
      <c r="DO19" s="2" t="s">
        <v>35</v>
      </c>
      <c r="DP19" s="28">
        <v>1963312.6390879024</v>
      </c>
      <c r="DQ19" s="28">
        <v>3393083.3505108412</v>
      </c>
      <c r="DR19" s="28">
        <v>1049395.366503417</v>
      </c>
      <c r="DS19" s="28">
        <v>0</v>
      </c>
      <c r="DT19" s="28">
        <v>6405791.3561021611</v>
      </c>
      <c r="DU19" s="27" t="s">
        <v>107</v>
      </c>
      <c r="DV19" s="2" t="s">
        <v>35</v>
      </c>
      <c r="DW19" s="28">
        <v>935886.91362213693</v>
      </c>
      <c r="DX19" s="28">
        <v>535603.65947727952</v>
      </c>
      <c r="DY19" s="28">
        <v>0</v>
      </c>
      <c r="DZ19" s="28">
        <v>0</v>
      </c>
      <c r="EA19" s="28">
        <v>1471490.5730994164</v>
      </c>
      <c r="EB19" s="27" t="s">
        <v>107</v>
      </c>
      <c r="EC19" s="2" t="s">
        <v>35</v>
      </c>
      <c r="ED19" s="28">
        <v>974480.02737645432</v>
      </c>
      <c r="EE19" s="28">
        <v>932460.02546531335</v>
      </c>
      <c r="EF19" s="28">
        <v>0</v>
      </c>
      <c r="EG19" s="28">
        <v>0</v>
      </c>
      <c r="EH19" s="28">
        <v>1906940.0528417677</v>
      </c>
    </row>
    <row r="20" spans="1:138" x14ac:dyDescent="0.2">
      <c r="A20" s="7" t="s">
        <v>100</v>
      </c>
      <c r="B20" s="2" t="s">
        <v>28</v>
      </c>
      <c r="C20" s="3">
        <f t="shared" si="4"/>
        <v>0</v>
      </c>
      <c r="D20" s="3">
        <f t="shared" si="5"/>
        <v>16024.808516932209</v>
      </c>
      <c r="E20" s="3">
        <f t="shared" si="6"/>
        <v>0</v>
      </c>
      <c r="F20" s="3">
        <f t="shared" si="7"/>
        <v>0</v>
      </c>
      <c r="G20" s="3">
        <f t="shared" si="8"/>
        <v>93102.939343603968</v>
      </c>
      <c r="H20" s="3">
        <f t="shared" si="9"/>
        <v>0</v>
      </c>
      <c r="I20" s="3">
        <f t="shared" si="10"/>
        <v>5066.5831836241778</v>
      </c>
      <c r="J20" s="3">
        <f t="shared" si="11"/>
        <v>0</v>
      </c>
      <c r="K20" s="3">
        <f t="shared" si="12"/>
        <v>3406.2935911876953</v>
      </c>
      <c r="L20" s="3">
        <f t="shared" si="13"/>
        <v>2193.9350048811307</v>
      </c>
      <c r="M20" s="3">
        <f t="shared" si="14"/>
        <v>470523.35185514245</v>
      </c>
      <c r="N20" s="3">
        <f t="shared" si="15"/>
        <v>102438.31206851119</v>
      </c>
      <c r="O20" s="3">
        <f t="shared" si="16"/>
        <v>692756.22356388276</v>
      </c>
      <c r="P20" s="7" t="s">
        <v>100</v>
      </c>
      <c r="Q20" s="2" t="s">
        <v>28</v>
      </c>
      <c r="R20" s="3">
        <f t="shared" si="17"/>
        <v>0</v>
      </c>
      <c r="S20" s="3">
        <f t="shared" si="17"/>
        <v>16024.808516932209</v>
      </c>
      <c r="T20" s="3">
        <f t="shared" si="17"/>
        <v>0</v>
      </c>
      <c r="U20" s="3">
        <f t="shared" si="17"/>
        <v>0</v>
      </c>
      <c r="V20" s="3">
        <f t="shared" si="17"/>
        <v>93102.939343603968</v>
      </c>
      <c r="W20" s="3">
        <f t="shared" si="17"/>
        <v>0</v>
      </c>
      <c r="X20" s="3">
        <f t="shared" si="17"/>
        <v>5066.5831836241778</v>
      </c>
      <c r="Y20" s="3">
        <f t="shared" si="17"/>
        <v>0</v>
      </c>
      <c r="Z20" s="3">
        <f t="shared" si="17"/>
        <v>3406.2935911876953</v>
      </c>
      <c r="AA20" s="3">
        <f t="shared" si="17"/>
        <v>2193.9350048811307</v>
      </c>
      <c r="AB20" s="3">
        <f t="shared" si="18"/>
        <v>119794.55964022918</v>
      </c>
      <c r="AC20" s="7" t="s">
        <v>100</v>
      </c>
      <c r="AD20" s="2" t="s">
        <v>28</v>
      </c>
      <c r="AE20" s="3">
        <f t="shared" si="19"/>
        <v>470523.35185514245</v>
      </c>
      <c r="AF20" s="3">
        <f t="shared" si="19"/>
        <v>102438.31206851119</v>
      </c>
      <c r="AG20" s="3">
        <f t="shared" si="20"/>
        <v>572961.66392365366</v>
      </c>
      <c r="AH20" s="27" t="s">
        <v>100</v>
      </c>
      <c r="AI20" s="2" t="s">
        <v>28</v>
      </c>
      <c r="AJ20" s="28">
        <f t="shared" si="21"/>
        <v>470458.76262255374</v>
      </c>
      <c r="AK20" s="28">
        <f t="shared" si="21"/>
        <v>222110.65976663493</v>
      </c>
      <c r="AL20" s="28">
        <f t="shared" si="21"/>
        <v>186.80117469420023</v>
      </c>
      <c r="AM20" s="28">
        <f t="shared" si="21"/>
        <v>0</v>
      </c>
      <c r="AN20" s="28">
        <f t="shared" si="22"/>
        <v>692756.22356388287</v>
      </c>
      <c r="AO20" s="27" t="s">
        <v>100</v>
      </c>
      <c r="AP20" s="2" t="s">
        <v>28</v>
      </c>
      <c r="AQ20" s="28">
        <f t="shared" si="23"/>
        <v>22067.868408351704</v>
      </c>
      <c r="AR20" s="28">
        <f t="shared" si="23"/>
        <v>97539.890057183278</v>
      </c>
      <c r="AS20" s="28">
        <f t="shared" si="23"/>
        <v>186.80117469420023</v>
      </c>
      <c r="AT20" s="28">
        <f t="shared" si="23"/>
        <v>0</v>
      </c>
      <c r="AU20" s="28">
        <f t="shared" si="24"/>
        <v>119794.55964022918</v>
      </c>
      <c r="AV20" s="27" t="s">
        <v>100</v>
      </c>
      <c r="AW20" s="2" t="s">
        <v>28</v>
      </c>
      <c r="AX20" s="28">
        <f t="shared" si="25"/>
        <v>448390.89421420201</v>
      </c>
      <c r="AY20" s="28">
        <f t="shared" si="25"/>
        <v>124570.76970945166</v>
      </c>
      <c r="AZ20" s="28">
        <f t="shared" si="25"/>
        <v>0</v>
      </c>
      <c r="BA20" s="28">
        <f t="shared" si="25"/>
        <v>0</v>
      </c>
      <c r="BB20" s="28">
        <f t="shared" si="26"/>
        <v>572961.66392365366</v>
      </c>
      <c r="BC20" s="27" t="s">
        <v>100</v>
      </c>
      <c r="BD20" s="2" t="s">
        <v>28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7" t="s">
        <v>100</v>
      </c>
      <c r="BK20" s="2" t="s">
        <v>28</v>
      </c>
      <c r="BL20" s="28">
        <v>16004.03165669919</v>
      </c>
      <c r="BM20" s="28">
        <v>20.776860233019683</v>
      </c>
      <c r="BN20" s="28">
        <v>0</v>
      </c>
      <c r="BO20" s="28">
        <v>0</v>
      </c>
      <c r="BP20" s="28">
        <v>16024.808516932209</v>
      </c>
      <c r="BQ20" s="27" t="s">
        <v>100</v>
      </c>
      <c r="BR20" s="2" t="s">
        <v>28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7" t="s">
        <v>100</v>
      </c>
      <c r="BY20" s="2" t="s">
        <v>28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7" t="s">
        <v>100</v>
      </c>
      <c r="CF20" s="2" t="s">
        <v>28</v>
      </c>
      <c r="CG20" s="28">
        <v>0</v>
      </c>
      <c r="CH20" s="28">
        <v>93102.939343603968</v>
      </c>
      <c r="CI20" s="28">
        <v>0</v>
      </c>
      <c r="CJ20" s="28">
        <v>0</v>
      </c>
      <c r="CK20" s="28">
        <v>93102.939343603968</v>
      </c>
      <c r="CL20" s="27" t="s">
        <v>100</v>
      </c>
      <c r="CM20" s="2" t="s">
        <v>28</v>
      </c>
      <c r="CN20" s="28">
        <v>0</v>
      </c>
      <c r="CO20" s="28">
        <v>0</v>
      </c>
      <c r="CP20" s="28">
        <v>0</v>
      </c>
      <c r="CQ20" s="28">
        <v>0</v>
      </c>
      <c r="CR20" s="28">
        <v>0</v>
      </c>
      <c r="CS20" s="27" t="s">
        <v>100</v>
      </c>
      <c r="CT20" s="2" t="s">
        <v>28</v>
      </c>
      <c r="CU20" s="28">
        <v>806.07697585638675</v>
      </c>
      <c r="CV20" s="28">
        <v>4260.5062077677912</v>
      </c>
      <c r="CW20" s="28">
        <v>0</v>
      </c>
      <c r="CX20" s="28">
        <v>0</v>
      </c>
      <c r="CY20" s="28">
        <v>5066.5831836241778</v>
      </c>
      <c r="CZ20" s="27" t="s">
        <v>100</v>
      </c>
      <c r="DA20" s="2" t="s">
        <v>28</v>
      </c>
      <c r="DB20" s="28">
        <v>3406.2935911876953</v>
      </c>
      <c r="DC20" s="28">
        <v>0</v>
      </c>
      <c r="DD20" s="28">
        <v>0</v>
      </c>
      <c r="DE20" s="28">
        <v>0</v>
      </c>
      <c r="DF20" s="28">
        <v>3406.2935911876953</v>
      </c>
      <c r="DG20" s="27" t="s">
        <v>100</v>
      </c>
      <c r="DH20" s="2" t="s">
        <v>28</v>
      </c>
      <c r="DI20" s="28">
        <v>0</v>
      </c>
      <c r="DJ20" s="28">
        <v>0</v>
      </c>
      <c r="DK20" s="28">
        <v>0</v>
      </c>
      <c r="DL20" s="28">
        <v>0</v>
      </c>
      <c r="DM20" s="28">
        <v>0</v>
      </c>
      <c r="DN20" s="27" t="s">
        <v>100</v>
      </c>
      <c r="DO20" s="2" t="s">
        <v>28</v>
      </c>
      <c r="DP20" s="28">
        <v>1851.4661846084302</v>
      </c>
      <c r="DQ20" s="28">
        <v>155.66764557850018</v>
      </c>
      <c r="DR20" s="28">
        <v>186.80117469420023</v>
      </c>
      <c r="DS20" s="28">
        <v>0</v>
      </c>
      <c r="DT20" s="28">
        <v>2193.9350048811307</v>
      </c>
      <c r="DU20" s="27" t="s">
        <v>100</v>
      </c>
      <c r="DV20" s="2" t="s">
        <v>28</v>
      </c>
      <c r="DW20" s="28">
        <v>12909.625097940136</v>
      </c>
      <c r="DX20" s="28">
        <v>89528.686970571056</v>
      </c>
      <c r="DY20" s="28">
        <v>0</v>
      </c>
      <c r="DZ20" s="28">
        <v>0</v>
      </c>
      <c r="EA20" s="28">
        <v>102438.31206851119</v>
      </c>
      <c r="EB20" s="27" t="s">
        <v>100</v>
      </c>
      <c r="EC20" s="2" t="s">
        <v>28</v>
      </c>
      <c r="ED20" s="28">
        <v>435481.26911626186</v>
      </c>
      <c r="EE20" s="28">
        <v>35042.082738880606</v>
      </c>
      <c r="EF20" s="28">
        <v>0</v>
      </c>
      <c r="EG20" s="28">
        <v>0</v>
      </c>
      <c r="EH20" s="28">
        <v>470523.35185514245</v>
      </c>
    </row>
    <row r="21" spans="1:138" x14ac:dyDescent="0.2">
      <c r="A21" s="7" t="s">
        <v>108</v>
      </c>
      <c r="B21" s="2" t="s">
        <v>36</v>
      </c>
      <c r="C21" s="3">
        <f t="shared" si="4"/>
        <v>0</v>
      </c>
      <c r="D21" s="3">
        <f t="shared" si="5"/>
        <v>0</v>
      </c>
      <c r="E21" s="3">
        <f t="shared" si="6"/>
        <v>0</v>
      </c>
      <c r="F21" s="3">
        <f t="shared" si="7"/>
        <v>0</v>
      </c>
      <c r="G21" s="3">
        <f t="shared" si="8"/>
        <v>0</v>
      </c>
      <c r="H21" s="3">
        <f t="shared" si="9"/>
        <v>0</v>
      </c>
      <c r="I21" s="3">
        <f t="shared" si="10"/>
        <v>0</v>
      </c>
      <c r="J21" s="3">
        <f t="shared" si="11"/>
        <v>0</v>
      </c>
      <c r="K21" s="3">
        <f t="shared" si="12"/>
        <v>0</v>
      </c>
      <c r="L21" s="3">
        <f t="shared" si="13"/>
        <v>2056.4781458655921</v>
      </c>
      <c r="M21" s="3">
        <f t="shared" si="14"/>
        <v>180096.81471346039</v>
      </c>
      <c r="N21" s="3">
        <f t="shared" si="15"/>
        <v>176376.93472862896</v>
      </c>
      <c r="O21" s="3">
        <f t="shared" si="16"/>
        <v>358530.22758795496</v>
      </c>
      <c r="P21" s="7" t="s">
        <v>108</v>
      </c>
      <c r="Q21" s="2" t="s">
        <v>36</v>
      </c>
      <c r="R21" s="3">
        <f t="shared" si="17"/>
        <v>0</v>
      </c>
      <c r="S21" s="3">
        <f t="shared" si="17"/>
        <v>0</v>
      </c>
      <c r="T21" s="3">
        <f t="shared" si="17"/>
        <v>0</v>
      </c>
      <c r="U21" s="3">
        <f t="shared" si="17"/>
        <v>0</v>
      </c>
      <c r="V21" s="3">
        <f t="shared" si="17"/>
        <v>0</v>
      </c>
      <c r="W21" s="3">
        <f t="shared" si="17"/>
        <v>0</v>
      </c>
      <c r="X21" s="3">
        <f t="shared" si="17"/>
        <v>0</v>
      </c>
      <c r="Y21" s="3">
        <f t="shared" si="17"/>
        <v>0</v>
      </c>
      <c r="Z21" s="3">
        <f t="shared" si="17"/>
        <v>0</v>
      </c>
      <c r="AA21" s="3">
        <f t="shared" si="17"/>
        <v>2056.4781458655921</v>
      </c>
      <c r="AB21" s="3">
        <f t="shared" si="18"/>
        <v>2056.4781458655921</v>
      </c>
      <c r="AC21" s="7" t="s">
        <v>108</v>
      </c>
      <c r="AD21" s="2" t="s">
        <v>36</v>
      </c>
      <c r="AE21" s="3">
        <f t="shared" si="19"/>
        <v>180096.81471346039</v>
      </c>
      <c r="AF21" s="3">
        <f t="shared" si="19"/>
        <v>176376.93472862896</v>
      </c>
      <c r="AG21" s="3">
        <f t="shared" si="20"/>
        <v>356473.74944208935</v>
      </c>
      <c r="AH21" s="27" t="s">
        <v>108</v>
      </c>
      <c r="AI21" s="2" t="s">
        <v>36</v>
      </c>
      <c r="AJ21" s="28">
        <f t="shared" si="21"/>
        <v>358530.22758795496</v>
      </c>
      <c r="AK21" s="28">
        <f t="shared" si="21"/>
        <v>0</v>
      </c>
      <c r="AL21" s="28">
        <f t="shared" si="21"/>
        <v>0</v>
      </c>
      <c r="AM21" s="28">
        <f t="shared" si="21"/>
        <v>0</v>
      </c>
      <c r="AN21" s="28">
        <f t="shared" si="22"/>
        <v>358530.22758795496</v>
      </c>
      <c r="AO21" s="27" t="s">
        <v>108</v>
      </c>
      <c r="AP21" s="2" t="s">
        <v>36</v>
      </c>
      <c r="AQ21" s="28">
        <f t="shared" si="23"/>
        <v>2056.4781458655921</v>
      </c>
      <c r="AR21" s="28">
        <f t="shared" si="23"/>
        <v>0</v>
      </c>
      <c r="AS21" s="28">
        <f t="shared" si="23"/>
        <v>0</v>
      </c>
      <c r="AT21" s="28">
        <f t="shared" si="23"/>
        <v>0</v>
      </c>
      <c r="AU21" s="28">
        <f t="shared" si="24"/>
        <v>2056.4781458655921</v>
      </c>
      <c r="AV21" s="27" t="s">
        <v>108</v>
      </c>
      <c r="AW21" s="2" t="s">
        <v>36</v>
      </c>
      <c r="AX21" s="28">
        <f t="shared" si="25"/>
        <v>356473.74944208935</v>
      </c>
      <c r="AY21" s="28">
        <f t="shared" si="25"/>
        <v>0</v>
      </c>
      <c r="AZ21" s="28">
        <f t="shared" si="25"/>
        <v>0</v>
      </c>
      <c r="BA21" s="28">
        <f t="shared" si="25"/>
        <v>0</v>
      </c>
      <c r="BB21" s="28">
        <f t="shared" si="26"/>
        <v>356473.74944208935</v>
      </c>
      <c r="BC21" s="27" t="s">
        <v>108</v>
      </c>
      <c r="BD21" s="2" t="s">
        <v>36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7" t="s">
        <v>108</v>
      </c>
      <c r="BK21" s="2" t="s">
        <v>36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7" t="s">
        <v>108</v>
      </c>
      <c r="BR21" s="2" t="s">
        <v>36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7" t="s">
        <v>108</v>
      </c>
      <c r="BY21" s="2" t="s">
        <v>36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7" t="s">
        <v>108</v>
      </c>
      <c r="CF21" s="2" t="s">
        <v>36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7" t="s">
        <v>108</v>
      </c>
      <c r="CM21" s="2" t="s">
        <v>36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7" t="s">
        <v>108</v>
      </c>
      <c r="CT21" s="2" t="s">
        <v>36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7" t="s">
        <v>108</v>
      </c>
      <c r="DA21" s="2" t="s">
        <v>36</v>
      </c>
      <c r="DB21" s="28">
        <v>0</v>
      </c>
      <c r="DC21" s="28">
        <v>0</v>
      </c>
      <c r="DD21" s="28">
        <v>0</v>
      </c>
      <c r="DE21" s="28">
        <v>0</v>
      </c>
      <c r="DF21" s="28">
        <v>0</v>
      </c>
      <c r="DG21" s="27" t="s">
        <v>108</v>
      </c>
      <c r="DH21" s="2" t="s">
        <v>36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7" t="s">
        <v>108</v>
      </c>
      <c r="DO21" s="2" t="s">
        <v>36</v>
      </c>
      <c r="DP21" s="28">
        <v>2056.4781458655921</v>
      </c>
      <c r="DQ21" s="28">
        <v>0</v>
      </c>
      <c r="DR21" s="28">
        <v>0</v>
      </c>
      <c r="DS21" s="28">
        <v>0</v>
      </c>
      <c r="DT21" s="28">
        <v>2056.4781458655921</v>
      </c>
      <c r="DU21" s="27" t="s">
        <v>108</v>
      </c>
      <c r="DV21" s="2" t="s">
        <v>36</v>
      </c>
      <c r="DW21" s="28">
        <v>176376.93472862896</v>
      </c>
      <c r="DX21" s="28">
        <v>0</v>
      </c>
      <c r="DY21" s="28">
        <v>0</v>
      </c>
      <c r="DZ21" s="28">
        <v>0</v>
      </c>
      <c r="EA21" s="28">
        <v>176376.93472862896</v>
      </c>
      <c r="EB21" s="27" t="s">
        <v>108</v>
      </c>
      <c r="EC21" s="2" t="s">
        <v>36</v>
      </c>
      <c r="ED21" s="28">
        <v>180096.81471346039</v>
      </c>
      <c r="EE21" s="28">
        <v>0</v>
      </c>
      <c r="EF21" s="28">
        <v>0</v>
      </c>
      <c r="EG21" s="28">
        <v>0</v>
      </c>
      <c r="EH21" s="28">
        <v>180096.81471346039</v>
      </c>
    </row>
    <row r="22" spans="1:138" x14ac:dyDescent="0.2">
      <c r="A22" s="7" t="s">
        <v>104</v>
      </c>
      <c r="B22" s="2" t="s">
        <v>32</v>
      </c>
      <c r="C22" s="3">
        <f t="shared" si="4"/>
        <v>0</v>
      </c>
      <c r="D22" s="3">
        <f t="shared" si="5"/>
        <v>0</v>
      </c>
      <c r="E22" s="3">
        <f t="shared" si="6"/>
        <v>0</v>
      </c>
      <c r="F22" s="3">
        <f t="shared" si="7"/>
        <v>0</v>
      </c>
      <c r="G22" s="3">
        <f t="shared" si="8"/>
        <v>0</v>
      </c>
      <c r="H22" s="3">
        <f t="shared" si="9"/>
        <v>0</v>
      </c>
      <c r="I22" s="3">
        <f t="shared" si="10"/>
        <v>0</v>
      </c>
      <c r="J22" s="3">
        <f t="shared" si="11"/>
        <v>1770.5587457640383</v>
      </c>
      <c r="K22" s="3">
        <f t="shared" si="12"/>
        <v>12.235548670060002</v>
      </c>
      <c r="L22" s="3">
        <f t="shared" si="13"/>
        <v>1385241.6760153496</v>
      </c>
      <c r="M22" s="3">
        <f t="shared" si="14"/>
        <v>507293.54242726089</v>
      </c>
      <c r="N22" s="3">
        <f t="shared" si="15"/>
        <v>3447238.8905698257</v>
      </c>
      <c r="O22" s="3">
        <f t="shared" si="16"/>
        <v>5341556.9033068698</v>
      </c>
      <c r="P22" s="7" t="s">
        <v>104</v>
      </c>
      <c r="Q22" s="2" t="s">
        <v>32</v>
      </c>
      <c r="R22" s="3">
        <f t="shared" si="17"/>
        <v>0</v>
      </c>
      <c r="S22" s="3">
        <f t="shared" si="17"/>
        <v>0</v>
      </c>
      <c r="T22" s="3">
        <f t="shared" si="17"/>
        <v>0</v>
      </c>
      <c r="U22" s="3">
        <f t="shared" si="17"/>
        <v>0</v>
      </c>
      <c r="V22" s="3">
        <f t="shared" si="17"/>
        <v>0</v>
      </c>
      <c r="W22" s="3">
        <f t="shared" si="17"/>
        <v>0</v>
      </c>
      <c r="X22" s="3">
        <f t="shared" si="17"/>
        <v>0</v>
      </c>
      <c r="Y22" s="3">
        <f t="shared" si="17"/>
        <v>1770.5587457640383</v>
      </c>
      <c r="Z22" s="3">
        <f t="shared" si="17"/>
        <v>12.235548670060002</v>
      </c>
      <c r="AA22" s="3">
        <f t="shared" si="17"/>
        <v>1385241.6760153496</v>
      </c>
      <c r="AB22" s="3">
        <f t="shared" si="18"/>
        <v>1387024.4703097837</v>
      </c>
      <c r="AC22" s="7" t="s">
        <v>104</v>
      </c>
      <c r="AD22" s="2" t="s">
        <v>32</v>
      </c>
      <c r="AE22" s="3">
        <f t="shared" si="19"/>
        <v>507293.54242726089</v>
      </c>
      <c r="AF22" s="3">
        <f t="shared" si="19"/>
        <v>3447238.8905698257</v>
      </c>
      <c r="AG22" s="3">
        <f t="shared" si="20"/>
        <v>3954532.4329970866</v>
      </c>
      <c r="AH22" s="27" t="s">
        <v>104</v>
      </c>
      <c r="AI22" s="2" t="s">
        <v>32</v>
      </c>
      <c r="AJ22" s="28">
        <f t="shared" si="21"/>
        <v>1976077.2990886045</v>
      </c>
      <c r="AK22" s="28">
        <f t="shared" si="21"/>
        <v>2398017.676398342</v>
      </c>
      <c r="AL22" s="28">
        <f t="shared" si="21"/>
        <v>207684.24195871223</v>
      </c>
      <c r="AM22" s="28">
        <f t="shared" si="21"/>
        <v>759777.68586121185</v>
      </c>
      <c r="AN22" s="28">
        <f t="shared" si="22"/>
        <v>5341556.9033068707</v>
      </c>
      <c r="AO22" s="27" t="s">
        <v>104</v>
      </c>
      <c r="AP22" s="2" t="s">
        <v>32</v>
      </c>
      <c r="AQ22" s="28">
        <f t="shared" si="23"/>
        <v>4658.3070986764405</v>
      </c>
      <c r="AR22" s="28">
        <f t="shared" si="23"/>
        <v>622588.47734989552</v>
      </c>
      <c r="AS22" s="28">
        <f t="shared" si="23"/>
        <v>0</v>
      </c>
      <c r="AT22" s="28">
        <f t="shared" si="23"/>
        <v>759777.68586121185</v>
      </c>
      <c r="AU22" s="28">
        <f t="shared" si="24"/>
        <v>1387024.4703097837</v>
      </c>
      <c r="AV22" s="27" t="s">
        <v>104</v>
      </c>
      <c r="AW22" s="2" t="s">
        <v>32</v>
      </c>
      <c r="AX22" s="28">
        <f t="shared" si="25"/>
        <v>1971418.9919899281</v>
      </c>
      <c r="AY22" s="28">
        <f t="shared" si="25"/>
        <v>1775429.1990484465</v>
      </c>
      <c r="AZ22" s="28">
        <f t="shared" si="25"/>
        <v>207684.24195871223</v>
      </c>
      <c r="BA22" s="28">
        <f t="shared" si="25"/>
        <v>0</v>
      </c>
      <c r="BB22" s="28">
        <f t="shared" si="26"/>
        <v>3954532.432997087</v>
      </c>
      <c r="BC22" s="27" t="s">
        <v>104</v>
      </c>
      <c r="BD22" s="2" t="s">
        <v>32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7" t="s">
        <v>104</v>
      </c>
      <c r="BK22" s="2" t="s">
        <v>32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7" t="s">
        <v>104</v>
      </c>
      <c r="BR22" s="2" t="s">
        <v>32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7" t="s">
        <v>104</v>
      </c>
      <c r="BY22" s="2" t="s">
        <v>32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7" t="s">
        <v>104</v>
      </c>
      <c r="CF22" s="2" t="s">
        <v>32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7" t="s">
        <v>104</v>
      </c>
      <c r="CM22" s="2" t="s">
        <v>32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7" t="s">
        <v>104</v>
      </c>
      <c r="CT22" s="2" t="s">
        <v>32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7" t="s">
        <v>104</v>
      </c>
      <c r="DA22" s="2" t="s">
        <v>32</v>
      </c>
      <c r="DB22" s="28">
        <v>12.235548670060002</v>
      </c>
      <c r="DC22" s="28">
        <v>0</v>
      </c>
      <c r="DD22" s="28">
        <v>0</v>
      </c>
      <c r="DE22" s="28">
        <v>0</v>
      </c>
      <c r="DF22" s="28">
        <v>12.235548670060002</v>
      </c>
      <c r="DG22" s="27" t="s">
        <v>104</v>
      </c>
      <c r="DH22" s="2" t="s">
        <v>32</v>
      </c>
      <c r="DI22" s="28">
        <v>1770.5587457640383</v>
      </c>
      <c r="DJ22" s="28">
        <v>0</v>
      </c>
      <c r="DK22" s="28">
        <v>0</v>
      </c>
      <c r="DL22" s="28">
        <v>0</v>
      </c>
      <c r="DM22" s="28">
        <v>1770.5587457640383</v>
      </c>
      <c r="DN22" s="27" t="s">
        <v>104</v>
      </c>
      <c r="DO22" s="2" t="s">
        <v>32</v>
      </c>
      <c r="DP22" s="28">
        <v>2875.5128042423421</v>
      </c>
      <c r="DQ22" s="28">
        <v>622588.47734989552</v>
      </c>
      <c r="DR22" s="28">
        <v>0</v>
      </c>
      <c r="DS22" s="28">
        <v>759777.68586121185</v>
      </c>
      <c r="DT22" s="28">
        <v>1385241.6760153496</v>
      </c>
      <c r="DU22" s="27" t="s">
        <v>104</v>
      </c>
      <c r="DV22" s="2" t="s">
        <v>32</v>
      </c>
      <c r="DW22" s="28">
        <v>1479800.1118966024</v>
      </c>
      <c r="DX22" s="28">
        <v>1759754.5367145112</v>
      </c>
      <c r="DY22" s="28">
        <v>207684.24195871223</v>
      </c>
      <c r="DZ22" s="28">
        <v>0</v>
      </c>
      <c r="EA22" s="28">
        <v>3447238.8905698257</v>
      </c>
      <c r="EB22" s="27" t="s">
        <v>104</v>
      </c>
      <c r="EC22" s="2" t="s">
        <v>32</v>
      </c>
      <c r="ED22" s="28">
        <v>491618.88009332563</v>
      </c>
      <c r="EE22" s="28">
        <v>15674.662333935295</v>
      </c>
      <c r="EF22" s="28">
        <v>0</v>
      </c>
      <c r="EG22" s="28">
        <v>0</v>
      </c>
      <c r="EH22" s="28">
        <v>507293.54242726089</v>
      </c>
    </row>
    <row r="23" spans="1:138" x14ac:dyDescent="0.2">
      <c r="A23" s="7" t="s">
        <v>105</v>
      </c>
      <c r="B23" s="2" t="s">
        <v>33</v>
      </c>
      <c r="C23" s="3">
        <f t="shared" si="4"/>
        <v>0</v>
      </c>
      <c r="D23" s="3">
        <f t="shared" si="5"/>
        <v>14514.143924259275</v>
      </c>
      <c r="E23" s="3">
        <f t="shared" si="6"/>
        <v>17.40166921964089</v>
      </c>
      <c r="F23" s="3">
        <f t="shared" si="7"/>
        <v>139.83484194354287</v>
      </c>
      <c r="G23" s="3">
        <f t="shared" si="8"/>
        <v>1538898.1980643794</v>
      </c>
      <c r="H23" s="3">
        <f t="shared" si="9"/>
        <v>0</v>
      </c>
      <c r="I23" s="3">
        <f t="shared" si="10"/>
        <v>151.33237339223419</v>
      </c>
      <c r="J23" s="3">
        <f t="shared" si="11"/>
        <v>0</v>
      </c>
      <c r="K23" s="3">
        <f t="shared" si="12"/>
        <v>0</v>
      </c>
      <c r="L23" s="3">
        <f t="shared" si="13"/>
        <v>11773.817313243979</v>
      </c>
      <c r="M23" s="3">
        <f t="shared" si="14"/>
        <v>1228054.1957327886</v>
      </c>
      <c r="N23" s="3">
        <f t="shared" si="15"/>
        <v>265266.93612306804</v>
      </c>
      <c r="O23" s="3">
        <f t="shared" si="16"/>
        <v>3058815.860042295</v>
      </c>
      <c r="P23" s="7" t="s">
        <v>105</v>
      </c>
      <c r="Q23" s="2" t="s">
        <v>33</v>
      </c>
      <c r="R23" s="3">
        <f t="shared" si="17"/>
        <v>0</v>
      </c>
      <c r="S23" s="3">
        <f t="shared" si="17"/>
        <v>14514.143924259275</v>
      </c>
      <c r="T23" s="3">
        <f t="shared" si="17"/>
        <v>17.40166921964089</v>
      </c>
      <c r="U23" s="3">
        <f t="shared" si="17"/>
        <v>139.83484194354287</v>
      </c>
      <c r="V23" s="3">
        <f t="shared" si="17"/>
        <v>1538898.1980643794</v>
      </c>
      <c r="W23" s="3">
        <f t="shared" si="17"/>
        <v>0</v>
      </c>
      <c r="X23" s="3">
        <f t="shared" si="17"/>
        <v>151.33237339223419</v>
      </c>
      <c r="Y23" s="3">
        <f t="shared" si="17"/>
        <v>0</v>
      </c>
      <c r="Z23" s="3">
        <f t="shared" si="17"/>
        <v>0</v>
      </c>
      <c r="AA23" s="3">
        <f t="shared" si="17"/>
        <v>11773.817313243979</v>
      </c>
      <c r="AB23" s="3">
        <f t="shared" si="18"/>
        <v>1565494.7281864381</v>
      </c>
      <c r="AC23" s="7" t="s">
        <v>105</v>
      </c>
      <c r="AD23" s="2" t="s">
        <v>33</v>
      </c>
      <c r="AE23" s="3">
        <f t="shared" si="19"/>
        <v>1228054.1957327886</v>
      </c>
      <c r="AF23" s="3">
        <f t="shared" si="19"/>
        <v>265266.93612306804</v>
      </c>
      <c r="AG23" s="3">
        <f t="shared" si="20"/>
        <v>1493321.1318558566</v>
      </c>
      <c r="AH23" s="27" t="s">
        <v>105</v>
      </c>
      <c r="AI23" s="2" t="s">
        <v>33</v>
      </c>
      <c r="AJ23" s="28">
        <f t="shared" si="21"/>
        <v>3003716.1926833214</v>
      </c>
      <c r="AK23" s="28">
        <f t="shared" si="21"/>
        <v>55099.667358973136</v>
      </c>
      <c r="AL23" s="28">
        <f t="shared" si="21"/>
        <v>0</v>
      </c>
      <c r="AM23" s="28">
        <f t="shared" si="21"/>
        <v>0</v>
      </c>
      <c r="AN23" s="28">
        <f t="shared" si="22"/>
        <v>3058815.8600422945</v>
      </c>
      <c r="AO23" s="27" t="s">
        <v>105</v>
      </c>
      <c r="AP23" s="2" t="s">
        <v>33</v>
      </c>
      <c r="AQ23" s="28">
        <f t="shared" si="23"/>
        <v>1558015.0585025509</v>
      </c>
      <c r="AR23" s="28">
        <f t="shared" si="23"/>
        <v>7479.6696838870857</v>
      </c>
      <c r="AS23" s="28">
        <f t="shared" si="23"/>
        <v>0</v>
      </c>
      <c r="AT23" s="28">
        <f t="shared" si="23"/>
        <v>0</v>
      </c>
      <c r="AU23" s="28">
        <f t="shared" si="24"/>
        <v>1565494.7281864381</v>
      </c>
      <c r="AV23" s="27" t="s">
        <v>105</v>
      </c>
      <c r="AW23" s="2" t="s">
        <v>33</v>
      </c>
      <c r="AX23" s="28">
        <f t="shared" si="25"/>
        <v>1445701.1341807705</v>
      </c>
      <c r="AY23" s="28">
        <f t="shared" si="25"/>
        <v>47619.997675086051</v>
      </c>
      <c r="AZ23" s="28">
        <f t="shared" si="25"/>
        <v>0</v>
      </c>
      <c r="BA23" s="28">
        <f t="shared" si="25"/>
        <v>0</v>
      </c>
      <c r="BB23" s="28">
        <f t="shared" si="26"/>
        <v>1493321.1318558566</v>
      </c>
      <c r="BC23" s="27" t="s">
        <v>105</v>
      </c>
      <c r="BD23" s="2" t="s">
        <v>33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7" t="s">
        <v>105</v>
      </c>
      <c r="BK23" s="2" t="s">
        <v>33</v>
      </c>
      <c r="BL23" s="28">
        <v>14514.143924259275</v>
      </c>
      <c r="BM23" s="28">
        <v>0</v>
      </c>
      <c r="BN23" s="28">
        <v>0</v>
      </c>
      <c r="BO23" s="28">
        <v>0</v>
      </c>
      <c r="BP23" s="28">
        <v>14514.143924259275</v>
      </c>
      <c r="BQ23" s="27" t="s">
        <v>105</v>
      </c>
      <c r="BR23" s="2" t="s">
        <v>33</v>
      </c>
      <c r="BS23" s="28">
        <v>17.40166921964089</v>
      </c>
      <c r="BT23" s="28">
        <v>0</v>
      </c>
      <c r="BU23" s="28">
        <v>0</v>
      </c>
      <c r="BV23" s="28">
        <v>0</v>
      </c>
      <c r="BW23" s="28">
        <v>17.40166921964089</v>
      </c>
      <c r="BX23" s="27" t="s">
        <v>105</v>
      </c>
      <c r="BY23" s="2" t="s">
        <v>33</v>
      </c>
      <c r="BZ23" s="28">
        <v>139.83484194354287</v>
      </c>
      <c r="CA23" s="28">
        <v>0</v>
      </c>
      <c r="CB23" s="28">
        <v>0</v>
      </c>
      <c r="CC23" s="28">
        <v>0</v>
      </c>
      <c r="CD23" s="28">
        <v>139.83484194354287</v>
      </c>
      <c r="CE23" s="27" t="s">
        <v>105</v>
      </c>
      <c r="CF23" s="2" t="s">
        <v>33</v>
      </c>
      <c r="CG23" s="28">
        <v>1531418.5283804922</v>
      </c>
      <c r="CH23" s="28">
        <v>7479.6696838870857</v>
      </c>
      <c r="CI23" s="28">
        <v>0</v>
      </c>
      <c r="CJ23" s="28">
        <v>0</v>
      </c>
      <c r="CK23" s="28">
        <v>1538898.1980643794</v>
      </c>
      <c r="CL23" s="27" t="s">
        <v>105</v>
      </c>
      <c r="CM23" s="2" t="s">
        <v>33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7" t="s">
        <v>105</v>
      </c>
      <c r="CT23" s="2" t="s">
        <v>33</v>
      </c>
      <c r="CU23" s="28">
        <v>151.33237339223419</v>
      </c>
      <c r="CV23" s="28">
        <v>0</v>
      </c>
      <c r="CW23" s="28">
        <v>0</v>
      </c>
      <c r="CX23" s="28">
        <v>0</v>
      </c>
      <c r="CY23" s="28">
        <v>151.33237339223419</v>
      </c>
      <c r="CZ23" s="27" t="s">
        <v>105</v>
      </c>
      <c r="DA23" s="2" t="s">
        <v>33</v>
      </c>
      <c r="DB23" s="28">
        <v>0</v>
      </c>
      <c r="DC23" s="28">
        <v>0</v>
      </c>
      <c r="DD23" s="28">
        <v>0</v>
      </c>
      <c r="DE23" s="28">
        <v>0</v>
      </c>
      <c r="DF23" s="28">
        <v>0</v>
      </c>
      <c r="DG23" s="27" t="s">
        <v>105</v>
      </c>
      <c r="DH23" s="2" t="s">
        <v>33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7" t="s">
        <v>105</v>
      </c>
      <c r="DO23" s="2" t="s">
        <v>33</v>
      </c>
      <c r="DP23" s="28">
        <v>11773.817313243979</v>
      </c>
      <c r="DQ23" s="28">
        <v>0</v>
      </c>
      <c r="DR23" s="28">
        <v>0</v>
      </c>
      <c r="DS23" s="28">
        <v>0</v>
      </c>
      <c r="DT23" s="28">
        <v>11773.817313243979</v>
      </c>
      <c r="DU23" s="27" t="s">
        <v>105</v>
      </c>
      <c r="DV23" s="2" t="s">
        <v>33</v>
      </c>
      <c r="DW23" s="28">
        <v>265266.93612306804</v>
      </c>
      <c r="DX23" s="28">
        <v>0</v>
      </c>
      <c r="DY23" s="28">
        <v>0</v>
      </c>
      <c r="DZ23" s="28">
        <v>0</v>
      </c>
      <c r="EA23" s="28">
        <v>265266.93612306804</v>
      </c>
      <c r="EB23" s="27" t="s">
        <v>105</v>
      </c>
      <c r="EC23" s="2" t="s">
        <v>33</v>
      </c>
      <c r="ED23" s="28">
        <v>1180434.1980577025</v>
      </c>
      <c r="EE23" s="28">
        <v>47619.997675086051</v>
      </c>
      <c r="EF23" s="28">
        <v>0</v>
      </c>
      <c r="EG23" s="28">
        <v>0</v>
      </c>
      <c r="EH23" s="28">
        <v>1228054.1957327886</v>
      </c>
    </row>
    <row r="24" spans="1:138" x14ac:dyDescent="0.2">
      <c r="A24" s="7" t="s">
        <v>109</v>
      </c>
      <c r="B24" s="2" t="s">
        <v>37</v>
      </c>
      <c r="C24" s="3">
        <f t="shared" si="4"/>
        <v>0</v>
      </c>
      <c r="D24" s="3">
        <f t="shared" si="5"/>
        <v>0</v>
      </c>
      <c r="E24" s="3">
        <f t="shared" si="6"/>
        <v>0</v>
      </c>
      <c r="F24" s="3">
        <f t="shared" si="7"/>
        <v>154316.52112349102</v>
      </c>
      <c r="G24" s="3">
        <f t="shared" si="8"/>
        <v>131036.31614993489</v>
      </c>
      <c r="H24" s="3">
        <f t="shared" si="9"/>
        <v>0</v>
      </c>
      <c r="I24" s="3">
        <f t="shared" si="10"/>
        <v>12364.674577527761</v>
      </c>
      <c r="J24" s="3">
        <f t="shared" si="11"/>
        <v>0</v>
      </c>
      <c r="K24" s="3">
        <f t="shared" si="12"/>
        <v>15582.645174764762</v>
      </c>
      <c r="L24" s="3">
        <f t="shared" si="13"/>
        <v>5395.832123174363</v>
      </c>
      <c r="M24" s="3">
        <f t="shared" si="14"/>
        <v>986986.3164920113</v>
      </c>
      <c r="N24" s="3">
        <f t="shared" si="15"/>
        <v>62605.102716530841</v>
      </c>
      <c r="O24" s="3">
        <f t="shared" si="16"/>
        <v>1368287.4083574349</v>
      </c>
      <c r="P24" s="7" t="s">
        <v>109</v>
      </c>
      <c r="Q24" s="2" t="s">
        <v>37</v>
      </c>
      <c r="R24" s="3">
        <f t="shared" si="17"/>
        <v>0</v>
      </c>
      <c r="S24" s="3">
        <f t="shared" si="17"/>
        <v>0</v>
      </c>
      <c r="T24" s="3">
        <f t="shared" si="17"/>
        <v>0</v>
      </c>
      <c r="U24" s="3">
        <f t="shared" si="17"/>
        <v>154316.52112349102</v>
      </c>
      <c r="V24" s="3">
        <f t="shared" si="17"/>
        <v>131036.31614993489</v>
      </c>
      <c r="W24" s="3">
        <f t="shared" si="17"/>
        <v>0</v>
      </c>
      <c r="X24" s="3">
        <f t="shared" si="17"/>
        <v>12364.674577527761</v>
      </c>
      <c r="Y24" s="3">
        <f t="shared" si="17"/>
        <v>0</v>
      </c>
      <c r="Z24" s="3">
        <f t="shared" si="17"/>
        <v>15582.645174764762</v>
      </c>
      <c r="AA24" s="3">
        <f t="shared" si="17"/>
        <v>5395.832123174363</v>
      </c>
      <c r="AB24" s="3">
        <f t="shared" si="18"/>
        <v>318695.98914889275</v>
      </c>
      <c r="AC24" s="7" t="s">
        <v>109</v>
      </c>
      <c r="AD24" s="2" t="s">
        <v>37</v>
      </c>
      <c r="AE24" s="3">
        <f t="shared" si="19"/>
        <v>986986.3164920113</v>
      </c>
      <c r="AF24" s="3">
        <f t="shared" si="19"/>
        <v>62605.102716530841</v>
      </c>
      <c r="AG24" s="3">
        <f t="shared" si="20"/>
        <v>1049591.4192085422</v>
      </c>
      <c r="AH24" s="27" t="s">
        <v>109</v>
      </c>
      <c r="AI24" s="2" t="s">
        <v>37</v>
      </c>
      <c r="AJ24" s="28">
        <f t="shared" si="21"/>
        <v>1159448.8491275101</v>
      </c>
      <c r="AK24" s="28">
        <f t="shared" si="21"/>
        <v>199729.44993924841</v>
      </c>
      <c r="AL24" s="28">
        <f t="shared" si="21"/>
        <v>9109.1092906765334</v>
      </c>
      <c r="AM24" s="28">
        <f t="shared" si="21"/>
        <v>0</v>
      </c>
      <c r="AN24" s="28">
        <f t="shared" si="22"/>
        <v>1368287.4083574349</v>
      </c>
      <c r="AO24" s="27" t="s">
        <v>109</v>
      </c>
      <c r="AP24" s="2" t="s">
        <v>37</v>
      </c>
      <c r="AQ24" s="28">
        <f t="shared" si="23"/>
        <v>161987.77730920588</v>
      </c>
      <c r="AR24" s="28">
        <f t="shared" si="23"/>
        <v>152187.16914140526</v>
      </c>
      <c r="AS24" s="28">
        <f t="shared" si="23"/>
        <v>4521.0426982816616</v>
      </c>
      <c r="AT24" s="28">
        <f t="shared" si="23"/>
        <v>0</v>
      </c>
      <c r="AU24" s="28">
        <f t="shared" si="24"/>
        <v>318695.98914889275</v>
      </c>
      <c r="AV24" s="27" t="s">
        <v>109</v>
      </c>
      <c r="AW24" s="2" t="s">
        <v>37</v>
      </c>
      <c r="AX24" s="28">
        <f t="shared" si="25"/>
        <v>997461.07181830413</v>
      </c>
      <c r="AY24" s="28">
        <f t="shared" si="25"/>
        <v>47542.280797843159</v>
      </c>
      <c r="AZ24" s="28">
        <f t="shared" si="25"/>
        <v>4588.0665923948718</v>
      </c>
      <c r="BA24" s="28">
        <f t="shared" si="25"/>
        <v>0</v>
      </c>
      <c r="BB24" s="28">
        <f t="shared" si="26"/>
        <v>1049591.4192085422</v>
      </c>
      <c r="BC24" s="27" t="s">
        <v>109</v>
      </c>
      <c r="BD24" s="2" t="s">
        <v>37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7" t="s">
        <v>109</v>
      </c>
      <c r="BK24" s="2" t="s">
        <v>37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7" t="s">
        <v>109</v>
      </c>
      <c r="BR24" s="2" t="s">
        <v>37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7" t="s">
        <v>109</v>
      </c>
      <c r="BY24" s="2" t="s">
        <v>37</v>
      </c>
      <c r="BZ24" s="28">
        <v>9721.5787715166534</v>
      </c>
      <c r="CA24" s="28">
        <v>143360.33560783582</v>
      </c>
      <c r="CB24" s="28">
        <v>1234.6067441385419</v>
      </c>
      <c r="CC24" s="28">
        <v>0</v>
      </c>
      <c r="CD24" s="28">
        <v>154316.52112349102</v>
      </c>
      <c r="CE24" s="27" t="s">
        <v>109</v>
      </c>
      <c r="CF24" s="2" t="s">
        <v>37</v>
      </c>
      <c r="CG24" s="28">
        <v>119023.59889792351</v>
      </c>
      <c r="CH24" s="28">
        <v>8726.2812978682668</v>
      </c>
      <c r="CI24" s="28">
        <v>3286.4359541431199</v>
      </c>
      <c r="CJ24" s="28">
        <v>0</v>
      </c>
      <c r="CK24" s="28">
        <v>131036.31614993489</v>
      </c>
      <c r="CL24" s="27" t="s">
        <v>109</v>
      </c>
      <c r="CM24" s="2" t="s">
        <v>37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7" t="s">
        <v>109</v>
      </c>
      <c r="CT24" s="2" t="s">
        <v>37</v>
      </c>
      <c r="CU24" s="28">
        <v>12364.674577527761</v>
      </c>
      <c r="CV24" s="28">
        <v>0</v>
      </c>
      <c r="CW24" s="28">
        <v>0</v>
      </c>
      <c r="CX24" s="28">
        <v>0</v>
      </c>
      <c r="CY24" s="28">
        <v>12364.674577527761</v>
      </c>
      <c r="CZ24" s="27" t="s">
        <v>109</v>
      </c>
      <c r="DA24" s="2" t="s">
        <v>37</v>
      </c>
      <c r="DB24" s="28">
        <v>15582.645174764762</v>
      </c>
      <c r="DC24" s="28">
        <v>0</v>
      </c>
      <c r="DD24" s="28">
        <v>0</v>
      </c>
      <c r="DE24" s="28">
        <v>0</v>
      </c>
      <c r="DF24" s="28">
        <v>15582.645174764762</v>
      </c>
      <c r="DG24" s="27" t="s">
        <v>109</v>
      </c>
      <c r="DH24" s="2" t="s">
        <v>37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7" t="s">
        <v>109</v>
      </c>
      <c r="DO24" s="2" t="s">
        <v>37</v>
      </c>
      <c r="DP24" s="28">
        <v>5295.279887473187</v>
      </c>
      <c r="DQ24" s="28">
        <v>100.55223570117552</v>
      </c>
      <c r="DR24" s="28">
        <v>0</v>
      </c>
      <c r="DS24" s="28">
        <v>0</v>
      </c>
      <c r="DT24" s="28">
        <v>5395.832123174363</v>
      </c>
      <c r="DU24" s="27" t="s">
        <v>109</v>
      </c>
      <c r="DV24" s="2" t="s">
        <v>37</v>
      </c>
      <c r="DW24" s="28">
        <v>62255.515611671981</v>
      </c>
      <c r="DX24" s="28">
        <v>0</v>
      </c>
      <c r="DY24" s="28">
        <v>349.58710485885717</v>
      </c>
      <c r="DZ24" s="28">
        <v>0</v>
      </c>
      <c r="EA24" s="28">
        <v>62605.102716530841</v>
      </c>
      <c r="EB24" s="27" t="s">
        <v>109</v>
      </c>
      <c r="EC24" s="2" t="s">
        <v>37</v>
      </c>
      <c r="ED24" s="28">
        <v>935205.55620663217</v>
      </c>
      <c r="EE24" s="28">
        <v>47542.280797843159</v>
      </c>
      <c r="EF24" s="28">
        <v>4238.4794875360149</v>
      </c>
      <c r="EG24" s="28">
        <v>0</v>
      </c>
      <c r="EH24" s="28">
        <v>986986.3164920113</v>
      </c>
    </row>
    <row r="25" spans="1:138" x14ac:dyDescent="0.2">
      <c r="A25" s="7" t="s">
        <v>96</v>
      </c>
      <c r="B25" s="2" t="s">
        <v>24</v>
      </c>
      <c r="C25" s="3">
        <f t="shared" si="4"/>
        <v>0</v>
      </c>
      <c r="D25" s="3">
        <f t="shared" si="5"/>
        <v>4093.1658199331555</v>
      </c>
      <c r="E25" s="3">
        <f t="shared" si="6"/>
        <v>0</v>
      </c>
      <c r="F25" s="3">
        <f t="shared" si="7"/>
        <v>32655.067206025575</v>
      </c>
      <c r="G25" s="3">
        <f t="shared" si="8"/>
        <v>53126.98765750583</v>
      </c>
      <c r="H25" s="3">
        <f t="shared" si="9"/>
        <v>0</v>
      </c>
      <c r="I25" s="3">
        <f t="shared" si="10"/>
        <v>995146.35951671004</v>
      </c>
      <c r="J25" s="3">
        <f t="shared" si="11"/>
        <v>0</v>
      </c>
      <c r="K25" s="3">
        <f t="shared" si="12"/>
        <v>6360.4498126903909</v>
      </c>
      <c r="L25" s="3">
        <f t="shared" si="13"/>
        <v>2441.9221412112797</v>
      </c>
      <c r="M25" s="3">
        <f t="shared" si="14"/>
        <v>1276874.5077295171</v>
      </c>
      <c r="N25" s="3">
        <f t="shared" si="15"/>
        <v>664682.08912399749</v>
      </c>
      <c r="O25" s="3">
        <f t="shared" si="16"/>
        <v>3035380.5490075909</v>
      </c>
      <c r="P25" s="7" t="s">
        <v>96</v>
      </c>
      <c r="Q25" s="2" t="s">
        <v>24</v>
      </c>
      <c r="R25" s="3">
        <f t="shared" si="17"/>
        <v>0</v>
      </c>
      <c r="S25" s="3">
        <f t="shared" si="17"/>
        <v>4093.1658199331555</v>
      </c>
      <c r="T25" s="3">
        <f t="shared" si="17"/>
        <v>0</v>
      </c>
      <c r="U25" s="3">
        <f t="shared" si="17"/>
        <v>32655.067206025575</v>
      </c>
      <c r="V25" s="3">
        <f t="shared" si="17"/>
        <v>53126.98765750583</v>
      </c>
      <c r="W25" s="3">
        <f t="shared" si="17"/>
        <v>0</v>
      </c>
      <c r="X25" s="3">
        <f t="shared" si="17"/>
        <v>995146.35951671004</v>
      </c>
      <c r="Y25" s="3">
        <f t="shared" si="17"/>
        <v>0</v>
      </c>
      <c r="Z25" s="3">
        <f t="shared" si="17"/>
        <v>6360.4498126903909</v>
      </c>
      <c r="AA25" s="3">
        <f t="shared" si="17"/>
        <v>2441.9221412112797</v>
      </c>
      <c r="AB25" s="3">
        <f t="shared" si="18"/>
        <v>1093823.9521540764</v>
      </c>
      <c r="AC25" s="7" t="s">
        <v>96</v>
      </c>
      <c r="AD25" s="2" t="s">
        <v>24</v>
      </c>
      <c r="AE25" s="3">
        <f t="shared" si="19"/>
        <v>1276874.5077295171</v>
      </c>
      <c r="AF25" s="3">
        <f t="shared" si="19"/>
        <v>664682.08912399749</v>
      </c>
      <c r="AG25" s="3">
        <f t="shared" si="20"/>
        <v>1941556.5968535147</v>
      </c>
      <c r="AH25" s="27" t="s">
        <v>96</v>
      </c>
      <c r="AI25" s="2" t="s">
        <v>24</v>
      </c>
      <c r="AJ25" s="28">
        <f t="shared" si="21"/>
        <v>2937619.1530859992</v>
      </c>
      <c r="AK25" s="28">
        <f t="shared" si="21"/>
        <v>97371.130849806854</v>
      </c>
      <c r="AL25" s="28">
        <f t="shared" si="21"/>
        <v>390.2650717849067</v>
      </c>
      <c r="AM25" s="28">
        <f t="shared" si="21"/>
        <v>0</v>
      </c>
      <c r="AN25" s="28">
        <f t="shared" si="22"/>
        <v>3035380.5490075913</v>
      </c>
      <c r="AO25" s="27" t="s">
        <v>96</v>
      </c>
      <c r="AP25" s="2" t="s">
        <v>24</v>
      </c>
      <c r="AQ25" s="28">
        <f t="shared" si="23"/>
        <v>1056385.5102916434</v>
      </c>
      <c r="AR25" s="28">
        <f t="shared" si="23"/>
        <v>37438.441862432875</v>
      </c>
      <c r="AS25" s="28">
        <f t="shared" si="23"/>
        <v>0</v>
      </c>
      <c r="AT25" s="28">
        <f t="shared" si="23"/>
        <v>0</v>
      </c>
      <c r="AU25" s="28">
        <f t="shared" si="24"/>
        <v>1093823.9521540764</v>
      </c>
      <c r="AV25" s="27" t="s">
        <v>96</v>
      </c>
      <c r="AW25" s="2" t="s">
        <v>24</v>
      </c>
      <c r="AX25" s="28">
        <f t="shared" si="25"/>
        <v>1881233.6427943558</v>
      </c>
      <c r="AY25" s="28">
        <f t="shared" si="25"/>
        <v>59932.688987373971</v>
      </c>
      <c r="AZ25" s="28">
        <f t="shared" si="25"/>
        <v>390.2650717849067</v>
      </c>
      <c r="BA25" s="28">
        <f t="shared" si="25"/>
        <v>0</v>
      </c>
      <c r="BB25" s="28">
        <f t="shared" si="26"/>
        <v>1941556.5968535147</v>
      </c>
      <c r="BC25" s="27" t="s">
        <v>96</v>
      </c>
      <c r="BD25" s="2" t="s">
        <v>24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7" t="s">
        <v>96</v>
      </c>
      <c r="BK25" s="2" t="s">
        <v>24</v>
      </c>
      <c r="BL25" s="28">
        <v>4093.1658199331555</v>
      </c>
      <c r="BM25" s="28">
        <v>0</v>
      </c>
      <c r="BN25" s="28">
        <v>0</v>
      </c>
      <c r="BO25" s="28">
        <v>0</v>
      </c>
      <c r="BP25" s="28">
        <v>4093.1658199331555</v>
      </c>
      <c r="BQ25" s="27" t="s">
        <v>96</v>
      </c>
      <c r="BR25" s="2" t="s">
        <v>24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7" t="s">
        <v>96</v>
      </c>
      <c r="BY25" s="2" t="s">
        <v>24</v>
      </c>
      <c r="BZ25" s="28">
        <v>13955.892996307857</v>
      </c>
      <c r="CA25" s="28">
        <v>18699.174209717716</v>
      </c>
      <c r="CB25" s="28">
        <v>0</v>
      </c>
      <c r="CC25" s="28">
        <v>0</v>
      </c>
      <c r="CD25" s="28">
        <v>32655.067206025575</v>
      </c>
      <c r="CE25" s="27" t="s">
        <v>96</v>
      </c>
      <c r="CF25" s="2" t="s">
        <v>24</v>
      </c>
      <c r="CG25" s="28">
        <v>34819.878697637476</v>
      </c>
      <c r="CH25" s="28">
        <v>18307.108959868354</v>
      </c>
      <c r="CI25" s="28">
        <v>0</v>
      </c>
      <c r="CJ25" s="28">
        <v>0</v>
      </c>
      <c r="CK25" s="28">
        <v>53126.98765750583</v>
      </c>
      <c r="CL25" s="27" t="s">
        <v>96</v>
      </c>
      <c r="CM25" s="2" t="s">
        <v>24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7" t="s">
        <v>96</v>
      </c>
      <c r="CT25" s="2" t="s">
        <v>24</v>
      </c>
      <c r="CU25" s="28">
        <v>995146.35951671004</v>
      </c>
      <c r="CV25" s="28">
        <v>0</v>
      </c>
      <c r="CW25" s="28">
        <v>0</v>
      </c>
      <c r="CX25" s="28">
        <v>0</v>
      </c>
      <c r="CY25" s="28">
        <v>995146.35951671004</v>
      </c>
      <c r="CZ25" s="27" t="s">
        <v>96</v>
      </c>
      <c r="DA25" s="2" t="s">
        <v>24</v>
      </c>
      <c r="DB25" s="28">
        <v>6360.4498126903909</v>
      </c>
      <c r="DC25" s="28">
        <v>0</v>
      </c>
      <c r="DD25" s="28">
        <v>0</v>
      </c>
      <c r="DE25" s="28">
        <v>0</v>
      </c>
      <c r="DF25" s="28">
        <v>6360.4498126903909</v>
      </c>
      <c r="DG25" s="27" t="s">
        <v>96</v>
      </c>
      <c r="DH25" s="2" t="s">
        <v>24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7" t="s">
        <v>96</v>
      </c>
      <c r="DO25" s="2" t="s">
        <v>24</v>
      </c>
      <c r="DP25" s="28">
        <v>2009.7634483644704</v>
      </c>
      <c r="DQ25" s="28">
        <v>432.1586928468094</v>
      </c>
      <c r="DR25" s="28">
        <v>0</v>
      </c>
      <c r="DS25" s="28">
        <v>0</v>
      </c>
      <c r="DT25" s="28">
        <v>2441.9221412112797</v>
      </c>
      <c r="DU25" s="27" t="s">
        <v>96</v>
      </c>
      <c r="DV25" s="2" t="s">
        <v>24</v>
      </c>
      <c r="DW25" s="28">
        <v>664682.08912399749</v>
      </c>
      <c r="DX25" s="28">
        <v>0</v>
      </c>
      <c r="DY25" s="28">
        <v>0</v>
      </c>
      <c r="DZ25" s="28">
        <v>0</v>
      </c>
      <c r="EA25" s="28">
        <v>664682.08912399749</v>
      </c>
      <c r="EB25" s="27" t="s">
        <v>96</v>
      </c>
      <c r="EC25" s="2" t="s">
        <v>24</v>
      </c>
      <c r="ED25" s="28">
        <v>1216551.5536703581</v>
      </c>
      <c r="EE25" s="28">
        <v>59932.688987373971</v>
      </c>
      <c r="EF25" s="28">
        <v>390.2650717849067</v>
      </c>
      <c r="EG25" s="28">
        <v>0</v>
      </c>
      <c r="EH25" s="28">
        <v>1276874.5077295171</v>
      </c>
    </row>
    <row r="26" spans="1:138" x14ac:dyDescent="0.2">
      <c r="A26" s="7" t="s">
        <v>120</v>
      </c>
      <c r="B26" s="2" t="s">
        <v>48</v>
      </c>
      <c r="C26" s="3">
        <f t="shared" si="4"/>
        <v>1914.2437285714284</v>
      </c>
      <c r="D26" s="3">
        <f t="shared" si="5"/>
        <v>316.1323028359289</v>
      </c>
      <c r="E26" s="3">
        <f t="shared" si="6"/>
        <v>20840717.750886355</v>
      </c>
      <c r="F26" s="3">
        <f t="shared" si="7"/>
        <v>395925.84103248612</v>
      </c>
      <c r="G26" s="3">
        <f t="shared" si="8"/>
        <v>13224.032685232502</v>
      </c>
      <c r="H26" s="3">
        <f t="shared" si="9"/>
        <v>0</v>
      </c>
      <c r="I26" s="3">
        <f t="shared" si="10"/>
        <v>1035100.8243478057</v>
      </c>
      <c r="J26" s="3">
        <f t="shared" si="11"/>
        <v>75833.049268734467</v>
      </c>
      <c r="K26" s="3">
        <f t="shared" si="12"/>
        <v>1475091.5796741978</v>
      </c>
      <c r="L26" s="3">
        <f t="shared" si="13"/>
        <v>278293.34892183356</v>
      </c>
      <c r="M26" s="3">
        <f t="shared" si="14"/>
        <v>4706490.5410070904</v>
      </c>
      <c r="N26" s="3">
        <f t="shared" si="15"/>
        <v>1791339.7292710505</v>
      </c>
      <c r="O26" s="3">
        <f t="shared" si="16"/>
        <v>30614247.073126189</v>
      </c>
      <c r="P26" s="7" t="s">
        <v>120</v>
      </c>
      <c r="Q26" s="2" t="s">
        <v>48</v>
      </c>
      <c r="R26" s="3">
        <f t="shared" si="17"/>
        <v>1914.2437285714284</v>
      </c>
      <c r="S26" s="3">
        <f t="shared" si="17"/>
        <v>316.1323028359289</v>
      </c>
      <c r="T26" s="3">
        <f t="shared" si="17"/>
        <v>20840717.750886355</v>
      </c>
      <c r="U26" s="3">
        <f t="shared" si="17"/>
        <v>395925.84103248612</v>
      </c>
      <c r="V26" s="3">
        <f t="shared" si="17"/>
        <v>13224.032685232502</v>
      </c>
      <c r="W26" s="3">
        <f t="shared" si="17"/>
        <v>0</v>
      </c>
      <c r="X26" s="3">
        <f t="shared" si="17"/>
        <v>1035100.8243478057</v>
      </c>
      <c r="Y26" s="3">
        <f t="shared" si="17"/>
        <v>75833.049268734467</v>
      </c>
      <c r="Z26" s="3">
        <f t="shared" si="17"/>
        <v>1475091.5796741978</v>
      </c>
      <c r="AA26" s="3">
        <f t="shared" si="17"/>
        <v>278293.34892183356</v>
      </c>
      <c r="AB26" s="3">
        <f t="shared" si="18"/>
        <v>24116416.802848049</v>
      </c>
      <c r="AC26" s="7" t="s">
        <v>120</v>
      </c>
      <c r="AD26" s="2" t="s">
        <v>48</v>
      </c>
      <c r="AE26" s="3">
        <f t="shared" si="19"/>
        <v>4706490.5410070904</v>
      </c>
      <c r="AF26" s="3">
        <f t="shared" si="19"/>
        <v>1791339.7292710505</v>
      </c>
      <c r="AG26" s="3">
        <f t="shared" si="20"/>
        <v>6497830.2702781409</v>
      </c>
      <c r="AH26" s="27" t="s">
        <v>120</v>
      </c>
      <c r="AI26" s="2" t="s">
        <v>48</v>
      </c>
      <c r="AJ26" s="28">
        <f t="shared" si="21"/>
        <v>6166939.1170405857</v>
      </c>
      <c r="AK26" s="28">
        <f t="shared" si="21"/>
        <v>3060657.3812533352</v>
      </c>
      <c r="AL26" s="28">
        <f t="shared" si="21"/>
        <v>1010082.2231297616</v>
      </c>
      <c r="AM26" s="28">
        <f t="shared" si="21"/>
        <v>20376568.351702511</v>
      </c>
      <c r="AN26" s="28">
        <f t="shared" si="22"/>
        <v>30614247.073126197</v>
      </c>
      <c r="AO26" s="27" t="s">
        <v>120</v>
      </c>
      <c r="AP26" s="2" t="s">
        <v>48</v>
      </c>
      <c r="AQ26" s="28">
        <f t="shared" si="23"/>
        <v>1972101.0417418436</v>
      </c>
      <c r="AR26" s="28">
        <f t="shared" si="23"/>
        <v>1713795.7866649986</v>
      </c>
      <c r="AS26" s="28">
        <f t="shared" si="23"/>
        <v>53951.62273869916</v>
      </c>
      <c r="AT26" s="28">
        <f t="shared" si="23"/>
        <v>20376568.351702511</v>
      </c>
      <c r="AU26" s="28">
        <f t="shared" si="24"/>
        <v>24116416.802848052</v>
      </c>
      <c r="AV26" s="27" t="s">
        <v>120</v>
      </c>
      <c r="AW26" s="2" t="s">
        <v>48</v>
      </c>
      <c r="AX26" s="28">
        <f t="shared" si="25"/>
        <v>4194838.0752987424</v>
      </c>
      <c r="AY26" s="28">
        <f t="shared" si="25"/>
        <v>1346861.5945883365</v>
      </c>
      <c r="AZ26" s="28">
        <f t="shared" si="25"/>
        <v>956130.60039106244</v>
      </c>
      <c r="BA26" s="28">
        <f t="shared" si="25"/>
        <v>0</v>
      </c>
      <c r="BB26" s="28">
        <f t="shared" si="26"/>
        <v>6497830.2702781409</v>
      </c>
      <c r="BC26" s="27" t="s">
        <v>120</v>
      </c>
      <c r="BD26" s="2" t="s">
        <v>48</v>
      </c>
      <c r="BE26" s="28">
        <v>1914.2437285714284</v>
      </c>
      <c r="BF26" s="28">
        <v>0</v>
      </c>
      <c r="BG26" s="28">
        <v>0</v>
      </c>
      <c r="BH26" s="28">
        <v>0</v>
      </c>
      <c r="BI26" s="28">
        <v>1914.2437285714284</v>
      </c>
      <c r="BJ26" s="27" t="s">
        <v>120</v>
      </c>
      <c r="BK26" s="2" t="s">
        <v>48</v>
      </c>
      <c r="BL26" s="28">
        <v>316.1323028359289</v>
      </c>
      <c r="BM26" s="28">
        <v>0</v>
      </c>
      <c r="BN26" s="28">
        <v>0</v>
      </c>
      <c r="BO26" s="28">
        <v>0</v>
      </c>
      <c r="BP26" s="28">
        <v>316.1323028359289</v>
      </c>
      <c r="BQ26" s="27" t="s">
        <v>120</v>
      </c>
      <c r="BR26" s="2" t="s">
        <v>48</v>
      </c>
      <c r="BS26" s="28">
        <v>38134.567207685104</v>
      </c>
      <c r="BT26" s="28">
        <v>426014.83197615872</v>
      </c>
      <c r="BU26" s="28">
        <v>0</v>
      </c>
      <c r="BV26" s="28">
        <v>20376568.351702511</v>
      </c>
      <c r="BW26" s="28">
        <v>20840717.750886355</v>
      </c>
      <c r="BX26" s="27" t="s">
        <v>120</v>
      </c>
      <c r="BY26" s="2" t="s">
        <v>48</v>
      </c>
      <c r="BZ26" s="28">
        <v>380321.44814819761</v>
      </c>
      <c r="CA26" s="28">
        <v>15604.3928842885</v>
      </c>
      <c r="CB26" s="28">
        <v>0</v>
      </c>
      <c r="CC26" s="28">
        <v>0</v>
      </c>
      <c r="CD26" s="28">
        <v>395925.84103248612</v>
      </c>
      <c r="CE26" s="27" t="s">
        <v>120</v>
      </c>
      <c r="CF26" s="2" t="s">
        <v>48</v>
      </c>
      <c r="CG26" s="28">
        <v>13224.032685232502</v>
      </c>
      <c r="CH26" s="28">
        <v>0</v>
      </c>
      <c r="CI26" s="28">
        <v>0</v>
      </c>
      <c r="CJ26" s="28">
        <v>0</v>
      </c>
      <c r="CK26" s="28">
        <v>13224.032685232502</v>
      </c>
      <c r="CL26" s="27" t="s">
        <v>120</v>
      </c>
      <c r="CM26" s="2" t="s">
        <v>48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7" t="s">
        <v>120</v>
      </c>
      <c r="CT26" s="2" t="s">
        <v>48</v>
      </c>
      <c r="CU26" s="28">
        <v>1027132.4052901136</v>
      </c>
      <c r="CV26" s="28">
        <v>6120.2541117609217</v>
      </c>
      <c r="CW26" s="28">
        <v>1848.1649459311252</v>
      </c>
      <c r="CX26" s="28">
        <v>0</v>
      </c>
      <c r="CY26" s="28">
        <v>1035100.8243478057</v>
      </c>
      <c r="CZ26" s="27" t="s">
        <v>120</v>
      </c>
      <c r="DA26" s="2" t="s">
        <v>48</v>
      </c>
      <c r="DB26" s="28">
        <v>206796.27874788668</v>
      </c>
      <c r="DC26" s="28">
        <v>1266056.3076927904</v>
      </c>
      <c r="DD26" s="28">
        <v>2238.9932335207986</v>
      </c>
      <c r="DE26" s="28">
        <v>0</v>
      </c>
      <c r="DF26" s="28">
        <v>1475091.5796741978</v>
      </c>
      <c r="DG26" s="27" t="s">
        <v>120</v>
      </c>
      <c r="DH26" s="2" t="s">
        <v>48</v>
      </c>
      <c r="DI26" s="28">
        <v>25968.584709487222</v>
      </c>
      <c r="DJ26" s="28">
        <v>0</v>
      </c>
      <c r="DK26" s="28">
        <v>49864.464559247237</v>
      </c>
      <c r="DL26" s="28">
        <v>0</v>
      </c>
      <c r="DM26" s="28">
        <v>75833.049268734467</v>
      </c>
      <c r="DN26" s="27" t="s">
        <v>120</v>
      </c>
      <c r="DO26" s="2" t="s">
        <v>48</v>
      </c>
      <c r="DP26" s="28">
        <v>278293.34892183356</v>
      </c>
      <c r="DQ26" s="28">
        <v>0</v>
      </c>
      <c r="DR26" s="28">
        <v>0</v>
      </c>
      <c r="DS26" s="28">
        <v>0</v>
      </c>
      <c r="DT26" s="28">
        <v>278293.34892183356</v>
      </c>
      <c r="DU26" s="27" t="s">
        <v>120</v>
      </c>
      <c r="DV26" s="2" t="s">
        <v>48</v>
      </c>
      <c r="DW26" s="28">
        <v>467603.46405617439</v>
      </c>
      <c r="DX26" s="28">
        <v>367605.66482381377</v>
      </c>
      <c r="DY26" s="28">
        <v>956130.60039106244</v>
      </c>
      <c r="DZ26" s="28">
        <v>0</v>
      </c>
      <c r="EA26" s="28">
        <v>1791339.7292710505</v>
      </c>
      <c r="EB26" s="27" t="s">
        <v>120</v>
      </c>
      <c r="EC26" s="2" t="s">
        <v>48</v>
      </c>
      <c r="ED26" s="28">
        <v>3727234.6112425681</v>
      </c>
      <c r="EE26" s="28">
        <v>979255.92976452271</v>
      </c>
      <c r="EF26" s="28">
        <v>0</v>
      </c>
      <c r="EG26" s="28">
        <v>0</v>
      </c>
      <c r="EH26" s="28">
        <v>4706490.5410070904</v>
      </c>
    </row>
    <row r="27" spans="1:138" x14ac:dyDescent="0.2">
      <c r="A27" s="7" t="s">
        <v>102</v>
      </c>
      <c r="B27" s="2" t="s">
        <v>30</v>
      </c>
      <c r="C27" s="3">
        <f t="shared" si="4"/>
        <v>1212.5601951360593</v>
      </c>
      <c r="D27" s="3">
        <f t="shared" si="5"/>
        <v>3446875.2301831613</v>
      </c>
      <c r="E27" s="3">
        <f t="shared" si="6"/>
        <v>21837200.145849273</v>
      </c>
      <c r="F27" s="3">
        <f t="shared" si="7"/>
        <v>9760761.5034161881</v>
      </c>
      <c r="G27" s="3">
        <f t="shared" si="8"/>
        <v>190665.87284236087</v>
      </c>
      <c r="H27" s="3">
        <f t="shared" si="9"/>
        <v>10288.389534487849</v>
      </c>
      <c r="I27" s="3">
        <f t="shared" si="10"/>
        <v>595885.58732634108</v>
      </c>
      <c r="J27" s="3">
        <f t="shared" si="11"/>
        <v>6637214.8330372833</v>
      </c>
      <c r="K27" s="3">
        <f t="shared" si="12"/>
        <v>3917050.2521297578</v>
      </c>
      <c r="L27" s="3">
        <f t="shared" si="13"/>
        <v>31002.461910118949</v>
      </c>
      <c r="M27" s="3">
        <f t="shared" si="14"/>
        <v>23158027.100035705</v>
      </c>
      <c r="N27" s="3">
        <f t="shared" si="15"/>
        <v>27895497.1021799</v>
      </c>
      <c r="O27" s="3">
        <f t="shared" si="16"/>
        <v>97481681.038639709</v>
      </c>
      <c r="P27" s="7" t="s">
        <v>102</v>
      </c>
      <c r="Q27" s="2" t="s">
        <v>30</v>
      </c>
      <c r="R27" s="3">
        <f t="shared" si="17"/>
        <v>1212.5601951360593</v>
      </c>
      <c r="S27" s="3">
        <f t="shared" si="17"/>
        <v>3446875.2301831613</v>
      </c>
      <c r="T27" s="3">
        <f t="shared" si="17"/>
        <v>21837200.145849273</v>
      </c>
      <c r="U27" s="3">
        <f t="shared" si="17"/>
        <v>9760761.5034161881</v>
      </c>
      <c r="V27" s="3">
        <f t="shared" si="17"/>
        <v>190665.87284236087</v>
      </c>
      <c r="W27" s="3">
        <f t="shared" si="17"/>
        <v>10288.389534487849</v>
      </c>
      <c r="X27" s="3">
        <f t="shared" si="17"/>
        <v>595885.58732634108</v>
      </c>
      <c r="Y27" s="3">
        <f t="shared" si="17"/>
        <v>6637214.8330372833</v>
      </c>
      <c r="Z27" s="3">
        <f t="shared" si="17"/>
        <v>3917050.2521297578</v>
      </c>
      <c r="AA27" s="3">
        <f t="shared" si="17"/>
        <v>31002.461910118949</v>
      </c>
      <c r="AB27" s="3">
        <f t="shared" si="18"/>
        <v>46428156.836424112</v>
      </c>
      <c r="AC27" s="7" t="s">
        <v>102</v>
      </c>
      <c r="AD27" s="2" t="s">
        <v>30</v>
      </c>
      <c r="AE27" s="3">
        <f t="shared" si="19"/>
        <v>23158027.100035705</v>
      </c>
      <c r="AF27" s="3">
        <f t="shared" si="19"/>
        <v>27895497.1021799</v>
      </c>
      <c r="AG27" s="3">
        <f t="shared" si="20"/>
        <v>51053524.202215604</v>
      </c>
      <c r="AH27" s="27" t="s">
        <v>102</v>
      </c>
      <c r="AI27" s="2" t="s">
        <v>30</v>
      </c>
      <c r="AJ27" s="28">
        <f t="shared" si="21"/>
        <v>24268193.128299534</v>
      </c>
      <c r="AK27" s="28">
        <f t="shared" si="21"/>
        <v>51740914.671300612</v>
      </c>
      <c r="AL27" s="28">
        <f t="shared" si="21"/>
        <v>17844792.248555817</v>
      </c>
      <c r="AM27" s="28">
        <f t="shared" si="21"/>
        <v>3627780.9904837492</v>
      </c>
      <c r="AN27" s="28">
        <f t="shared" si="22"/>
        <v>97481681.038639709</v>
      </c>
      <c r="AO27" s="27" t="s">
        <v>102</v>
      </c>
      <c r="AP27" s="2" t="s">
        <v>30</v>
      </c>
      <c r="AQ27" s="28">
        <f t="shared" si="23"/>
        <v>12111398.736161344</v>
      </c>
      <c r="AR27" s="28">
        <f t="shared" si="23"/>
        <v>21183477.090893403</v>
      </c>
      <c r="AS27" s="28">
        <f t="shared" si="23"/>
        <v>9505500.0188856125</v>
      </c>
      <c r="AT27" s="28">
        <f t="shared" si="23"/>
        <v>3627780.9904837492</v>
      </c>
      <c r="AU27" s="28">
        <f t="shared" si="24"/>
        <v>46428156.836424105</v>
      </c>
      <c r="AV27" s="27" t="s">
        <v>102</v>
      </c>
      <c r="AW27" s="2" t="s">
        <v>30</v>
      </c>
      <c r="AX27" s="28">
        <f t="shared" si="25"/>
        <v>12156794.392138191</v>
      </c>
      <c r="AY27" s="28">
        <f t="shared" si="25"/>
        <v>30557437.58040721</v>
      </c>
      <c r="AZ27" s="28">
        <f t="shared" si="25"/>
        <v>8339292.2296702024</v>
      </c>
      <c r="BA27" s="28">
        <f t="shared" si="25"/>
        <v>0</v>
      </c>
      <c r="BB27" s="28">
        <f t="shared" si="26"/>
        <v>51053524.202215604</v>
      </c>
      <c r="BC27" s="27" t="s">
        <v>102</v>
      </c>
      <c r="BD27" s="2" t="s">
        <v>30</v>
      </c>
      <c r="BE27" s="28">
        <v>126.84739569446668</v>
      </c>
      <c r="BF27" s="28">
        <v>0</v>
      </c>
      <c r="BG27" s="28">
        <v>1085.7127994415926</v>
      </c>
      <c r="BH27" s="28">
        <v>0</v>
      </c>
      <c r="BI27" s="28">
        <v>1212.5601951360593</v>
      </c>
      <c r="BJ27" s="27" t="s">
        <v>102</v>
      </c>
      <c r="BK27" s="2" t="s">
        <v>30</v>
      </c>
      <c r="BL27" s="28">
        <v>3446875.2301831613</v>
      </c>
      <c r="BM27" s="28">
        <v>0</v>
      </c>
      <c r="BN27" s="28">
        <v>0</v>
      </c>
      <c r="BO27" s="28">
        <v>0</v>
      </c>
      <c r="BP27" s="28">
        <v>3446875.2301831613</v>
      </c>
      <c r="BQ27" s="27" t="s">
        <v>102</v>
      </c>
      <c r="BR27" s="2" t="s">
        <v>30</v>
      </c>
      <c r="BS27" s="28">
        <v>5641276.7043443955</v>
      </c>
      <c r="BT27" s="28">
        <v>13648250.091155795</v>
      </c>
      <c r="BU27" s="28">
        <v>2547673.3503490821</v>
      </c>
      <c r="BV27" s="28">
        <v>0</v>
      </c>
      <c r="BW27" s="28">
        <v>21837200.145849273</v>
      </c>
      <c r="BX27" s="27" t="s">
        <v>102</v>
      </c>
      <c r="BY27" s="2" t="s">
        <v>30</v>
      </c>
      <c r="BZ27" s="28">
        <v>37528.76927920177</v>
      </c>
      <c r="CA27" s="28">
        <v>3858817.1942008073</v>
      </c>
      <c r="CB27" s="28">
        <v>5864415.5399361784</v>
      </c>
      <c r="CC27" s="28">
        <v>0</v>
      </c>
      <c r="CD27" s="28">
        <v>9760761.5034161881</v>
      </c>
      <c r="CE27" s="27" t="s">
        <v>102</v>
      </c>
      <c r="CF27" s="2" t="s">
        <v>30</v>
      </c>
      <c r="CG27" s="28">
        <v>1359.5054077844447</v>
      </c>
      <c r="CH27" s="28">
        <v>189306.36743457642</v>
      </c>
      <c r="CI27" s="28">
        <v>0</v>
      </c>
      <c r="CJ27" s="28">
        <v>0</v>
      </c>
      <c r="CK27" s="28">
        <v>190665.87284236087</v>
      </c>
      <c r="CL27" s="27" t="s">
        <v>102</v>
      </c>
      <c r="CM27" s="2" t="s">
        <v>30</v>
      </c>
      <c r="CN27" s="28">
        <v>0</v>
      </c>
      <c r="CO27" s="28">
        <v>10288.389534487849</v>
      </c>
      <c r="CP27" s="28">
        <v>0</v>
      </c>
      <c r="CQ27" s="28">
        <v>0</v>
      </c>
      <c r="CR27" s="28">
        <v>10288.389534487849</v>
      </c>
      <c r="CS27" s="27" t="s">
        <v>102</v>
      </c>
      <c r="CT27" s="2" t="s">
        <v>30</v>
      </c>
      <c r="CU27" s="28">
        <v>570122.22431762656</v>
      </c>
      <c r="CV27" s="28">
        <v>25763.363008714456</v>
      </c>
      <c r="CW27" s="28">
        <v>0</v>
      </c>
      <c r="CX27" s="28">
        <v>0</v>
      </c>
      <c r="CY27" s="28">
        <v>595885.58732634108</v>
      </c>
      <c r="CZ27" s="27" t="s">
        <v>102</v>
      </c>
      <c r="DA27" s="2" t="s">
        <v>30</v>
      </c>
      <c r="DB27" s="28">
        <v>2383238.5276715187</v>
      </c>
      <c r="DC27" s="28">
        <v>441719.36672723433</v>
      </c>
      <c r="DD27" s="28">
        <v>1092092.3577310049</v>
      </c>
      <c r="DE27" s="28">
        <v>0</v>
      </c>
      <c r="DF27" s="28">
        <v>3917050.2521297578</v>
      </c>
      <c r="DG27" s="27" t="s">
        <v>102</v>
      </c>
      <c r="DH27" s="2" t="s">
        <v>30</v>
      </c>
      <c r="DI27" s="28">
        <v>101.52372174861237</v>
      </c>
      <c r="DJ27" s="28">
        <v>3009332.3188317851</v>
      </c>
      <c r="DK27" s="28">
        <v>0</v>
      </c>
      <c r="DL27" s="28">
        <v>3627780.9904837492</v>
      </c>
      <c r="DM27" s="28">
        <v>6637214.8330372833</v>
      </c>
      <c r="DN27" s="27" t="s">
        <v>102</v>
      </c>
      <c r="DO27" s="2" t="s">
        <v>30</v>
      </c>
      <c r="DP27" s="28">
        <v>30769.403840213043</v>
      </c>
      <c r="DQ27" s="28">
        <v>0</v>
      </c>
      <c r="DR27" s="28">
        <v>233.05806990590483</v>
      </c>
      <c r="DS27" s="28">
        <v>0</v>
      </c>
      <c r="DT27" s="28">
        <v>31002.461910118949</v>
      </c>
      <c r="DU27" s="27" t="s">
        <v>102</v>
      </c>
      <c r="DV27" s="2" t="s">
        <v>30</v>
      </c>
      <c r="DW27" s="28">
        <v>9927823.1011172608</v>
      </c>
      <c r="DX27" s="28">
        <v>9690906.8661763668</v>
      </c>
      <c r="DY27" s="28">
        <v>8276767.1348862704</v>
      </c>
      <c r="DZ27" s="28">
        <v>0</v>
      </c>
      <c r="EA27" s="28">
        <v>27895497.1021799</v>
      </c>
      <c r="EB27" s="27" t="s">
        <v>102</v>
      </c>
      <c r="EC27" s="2" t="s">
        <v>30</v>
      </c>
      <c r="ED27" s="28">
        <v>2228971.2910209289</v>
      </c>
      <c r="EE27" s="28">
        <v>20866530.714230843</v>
      </c>
      <c r="EF27" s="28">
        <v>62525.094783932247</v>
      </c>
      <c r="EG27" s="28">
        <v>0</v>
      </c>
      <c r="EH27" s="28">
        <v>23158027.100035705</v>
      </c>
    </row>
    <row r="28" spans="1:138" x14ac:dyDescent="0.2">
      <c r="A28" s="7" t="s">
        <v>98</v>
      </c>
      <c r="B28" s="2" t="s">
        <v>26</v>
      </c>
      <c r="C28" s="3">
        <f t="shared" si="4"/>
        <v>61929.108788533733</v>
      </c>
      <c r="D28" s="3">
        <f t="shared" si="5"/>
        <v>722295.28176313068</v>
      </c>
      <c r="E28" s="3">
        <f t="shared" si="6"/>
        <v>3087545.6992998039</v>
      </c>
      <c r="F28" s="3">
        <f t="shared" si="7"/>
        <v>12149.534083487677</v>
      </c>
      <c r="G28" s="3">
        <f t="shared" si="8"/>
        <v>129289.67646802889</v>
      </c>
      <c r="H28" s="3">
        <f t="shared" si="9"/>
        <v>0</v>
      </c>
      <c r="I28" s="3">
        <f t="shared" si="10"/>
        <v>69575.177333346757</v>
      </c>
      <c r="J28" s="3">
        <f t="shared" si="11"/>
        <v>2137305.1341387103</v>
      </c>
      <c r="K28" s="3">
        <f t="shared" si="12"/>
        <v>1126950.2924031187</v>
      </c>
      <c r="L28" s="3">
        <f t="shared" si="13"/>
        <v>52584474.610832691</v>
      </c>
      <c r="M28" s="3">
        <f t="shared" si="14"/>
        <v>741726.25402673066</v>
      </c>
      <c r="N28" s="3">
        <f t="shared" si="15"/>
        <v>53036431.389029495</v>
      </c>
      <c r="O28" s="3">
        <f t="shared" si="16"/>
        <v>113709672.15816708</v>
      </c>
      <c r="P28" s="7" t="s">
        <v>98</v>
      </c>
      <c r="Q28" s="2" t="s">
        <v>26</v>
      </c>
      <c r="R28" s="3">
        <f t="shared" si="17"/>
        <v>61929.108788533733</v>
      </c>
      <c r="S28" s="3">
        <f t="shared" si="17"/>
        <v>722295.28176313068</v>
      </c>
      <c r="T28" s="3">
        <f t="shared" si="17"/>
        <v>3087545.6992998039</v>
      </c>
      <c r="U28" s="3">
        <f t="shared" si="17"/>
        <v>12149.534083487677</v>
      </c>
      <c r="V28" s="3">
        <f t="shared" si="17"/>
        <v>129289.67646802889</v>
      </c>
      <c r="W28" s="3">
        <f t="shared" si="17"/>
        <v>0</v>
      </c>
      <c r="X28" s="3">
        <f t="shared" si="17"/>
        <v>69575.177333346757</v>
      </c>
      <c r="Y28" s="3">
        <f t="shared" si="17"/>
        <v>2137305.1341387103</v>
      </c>
      <c r="Z28" s="3">
        <f t="shared" si="17"/>
        <v>1126950.2924031187</v>
      </c>
      <c r="AA28" s="3">
        <f t="shared" si="17"/>
        <v>52584474.610832691</v>
      </c>
      <c r="AB28" s="3">
        <f t="shared" si="18"/>
        <v>59931514.51511085</v>
      </c>
      <c r="AC28" s="7" t="s">
        <v>98</v>
      </c>
      <c r="AD28" s="2" t="s">
        <v>26</v>
      </c>
      <c r="AE28" s="3">
        <f t="shared" si="19"/>
        <v>741726.25402673066</v>
      </c>
      <c r="AF28" s="3">
        <f t="shared" si="19"/>
        <v>53036431.389029495</v>
      </c>
      <c r="AG28" s="3">
        <f t="shared" si="20"/>
        <v>53778157.643056229</v>
      </c>
      <c r="AH28" s="27" t="s">
        <v>98</v>
      </c>
      <c r="AI28" s="2" t="s">
        <v>26</v>
      </c>
      <c r="AJ28" s="28">
        <f t="shared" si="21"/>
        <v>54204207.13135843</v>
      </c>
      <c r="AK28" s="28">
        <f t="shared" si="21"/>
        <v>58752501.783797808</v>
      </c>
      <c r="AL28" s="28">
        <f t="shared" si="21"/>
        <v>600455.16475836316</v>
      </c>
      <c r="AM28" s="28">
        <f t="shared" si="21"/>
        <v>152508.07825247847</v>
      </c>
      <c r="AN28" s="28">
        <f t="shared" si="22"/>
        <v>113709672.15816709</v>
      </c>
      <c r="AO28" s="27" t="s">
        <v>98</v>
      </c>
      <c r="AP28" s="2" t="s">
        <v>26</v>
      </c>
      <c r="AQ28" s="28">
        <f t="shared" si="23"/>
        <v>1521092.3668422522</v>
      </c>
      <c r="AR28" s="28">
        <f t="shared" si="23"/>
        <v>58206460.845363803</v>
      </c>
      <c r="AS28" s="28">
        <f t="shared" si="23"/>
        <v>51453.224652318517</v>
      </c>
      <c r="AT28" s="28">
        <f t="shared" si="23"/>
        <v>152508.07825247847</v>
      </c>
      <c r="AU28" s="28">
        <f t="shared" si="24"/>
        <v>59931514.515110858</v>
      </c>
      <c r="AV28" s="27" t="s">
        <v>98</v>
      </c>
      <c r="AW28" s="2" t="s">
        <v>26</v>
      </c>
      <c r="AX28" s="28">
        <f t="shared" si="25"/>
        <v>52683114.764516175</v>
      </c>
      <c r="AY28" s="28">
        <f t="shared" si="25"/>
        <v>546040.93843400746</v>
      </c>
      <c r="AZ28" s="28">
        <f t="shared" si="25"/>
        <v>549001.94010604464</v>
      </c>
      <c r="BA28" s="28">
        <f t="shared" si="25"/>
        <v>0</v>
      </c>
      <c r="BB28" s="28">
        <f t="shared" si="26"/>
        <v>53778157.643056221</v>
      </c>
      <c r="BC28" s="27" t="s">
        <v>98</v>
      </c>
      <c r="BD28" s="2" t="s">
        <v>26</v>
      </c>
      <c r="BE28" s="28">
        <v>33261.51072931783</v>
      </c>
      <c r="BF28" s="28">
        <v>28667.598059215899</v>
      </c>
      <c r="BG28" s="28">
        <v>0</v>
      </c>
      <c r="BH28" s="28">
        <v>0</v>
      </c>
      <c r="BI28" s="28">
        <v>61929.108788533733</v>
      </c>
      <c r="BJ28" s="27" t="s">
        <v>98</v>
      </c>
      <c r="BK28" s="2" t="s">
        <v>26</v>
      </c>
      <c r="BL28" s="28">
        <v>391210.61767266074</v>
      </c>
      <c r="BM28" s="28">
        <v>284454.10284974833</v>
      </c>
      <c r="BN28" s="28">
        <v>46630.561240721589</v>
      </c>
      <c r="BO28" s="28">
        <v>0</v>
      </c>
      <c r="BP28" s="28">
        <v>722295.28176313068</v>
      </c>
      <c r="BQ28" s="27" t="s">
        <v>98</v>
      </c>
      <c r="BR28" s="2" t="s">
        <v>26</v>
      </c>
      <c r="BS28" s="28">
        <v>0</v>
      </c>
      <c r="BT28" s="28">
        <v>3085077.6371900518</v>
      </c>
      <c r="BU28" s="28">
        <v>2468.0621097520411</v>
      </c>
      <c r="BV28" s="28">
        <v>0</v>
      </c>
      <c r="BW28" s="28">
        <v>3087545.6992998039</v>
      </c>
      <c r="BX28" s="27" t="s">
        <v>98</v>
      </c>
      <c r="BY28" s="2" t="s">
        <v>26</v>
      </c>
      <c r="BZ28" s="28">
        <v>4130.9820840582488</v>
      </c>
      <c r="CA28" s="28">
        <v>5663.9506975845397</v>
      </c>
      <c r="CB28" s="28">
        <v>2354.6013018448884</v>
      </c>
      <c r="CC28" s="28">
        <v>0</v>
      </c>
      <c r="CD28" s="28">
        <v>12149.534083487677</v>
      </c>
      <c r="CE28" s="27" t="s">
        <v>98</v>
      </c>
      <c r="CF28" s="2" t="s">
        <v>26</v>
      </c>
      <c r="CG28" s="28">
        <v>129289.67646802889</v>
      </c>
      <c r="CH28" s="28">
        <v>0</v>
      </c>
      <c r="CI28" s="28">
        <v>0</v>
      </c>
      <c r="CJ28" s="28">
        <v>0</v>
      </c>
      <c r="CK28" s="28">
        <v>129289.67646802889</v>
      </c>
      <c r="CL28" s="27" t="s">
        <v>98</v>
      </c>
      <c r="CM28" s="2" t="s">
        <v>26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7" t="s">
        <v>98</v>
      </c>
      <c r="CT28" s="2" t="s">
        <v>26</v>
      </c>
      <c r="CU28" s="28">
        <v>67913.028514705176</v>
      </c>
      <c r="CV28" s="28">
        <v>1662.1488186415745</v>
      </c>
      <c r="CW28" s="28">
        <v>0</v>
      </c>
      <c r="CX28" s="28">
        <v>0</v>
      </c>
      <c r="CY28" s="28">
        <v>69575.177333346757</v>
      </c>
      <c r="CZ28" s="27" t="s">
        <v>98</v>
      </c>
      <c r="DA28" s="2" t="s">
        <v>26</v>
      </c>
      <c r="DB28" s="28">
        <v>446266.30389225448</v>
      </c>
      <c r="DC28" s="28">
        <v>528175.9102583857</v>
      </c>
      <c r="DD28" s="28">
        <v>0</v>
      </c>
      <c r="DE28" s="28">
        <v>152508.07825247847</v>
      </c>
      <c r="DF28" s="28">
        <v>1126950.2924031187</v>
      </c>
      <c r="DG28" s="27" t="s">
        <v>98</v>
      </c>
      <c r="DH28" s="2" t="s">
        <v>26</v>
      </c>
      <c r="DI28" s="28">
        <v>246206.45134243311</v>
      </c>
      <c r="DJ28" s="28">
        <v>1891098.6827962773</v>
      </c>
      <c r="DK28" s="28">
        <v>0</v>
      </c>
      <c r="DL28" s="28">
        <v>0</v>
      </c>
      <c r="DM28" s="28">
        <v>2137305.1341387103</v>
      </c>
      <c r="DN28" s="27" t="s">
        <v>98</v>
      </c>
      <c r="DO28" s="2" t="s">
        <v>26</v>
      </c>
      <c r="DP28" s="28">
        <v>202813.79613879378</v>
      </c>
      <c r="DQ28" s="28">
        <v>52381660.814693898</v>
      </c>
      <c r="DR28" s="28">
        <v>0</v>
      </c>
      <c r="DS28" s="28">
        <v>0</v>
      </c>
      <c r="DT28" s="28">
        <v>52584474.610832691</v>
      </c>
      <c r="DU28" s="27" t="s">
        <v>98</v>
      </c>
      <c r="DV28" s="2" t="s">
        <v>26</v>
      </c>
      <c r="DW28" s="28">
        <v>52017099.939323418</v>
      </c>
      <c r="DX28" s="28">
        <v>470329.5096000355</v>
      </c>
      <c r="DY28" s="28">
        <v>549001.94010604464</v>
      </c>
      <c r="DZ28" s="28">
        <v>0</v>
      </c>
      <c r="EA28" s="28">
        <v>53036431.389029495</v>
      </c>
      <c r="EB28" s="27" t="s">
        <v>98</v>
      </c>
      <c r="EC28" s="2" t="s">
        <v>26</v>
      </c>
      <c r="ED28" s="28">
        <v>666014.8251927587</v>
      </c>
      <c r="EE28" s="28">
        <v>75711.428833972008</v>
      </c>
      <c r="EF28" s="28">
        <v>0</v>
      </c>
      <c r="EG28" s="28">
        <v>0</v>
      </c>
      <c r="EH28" s="28">
        <v>741726.25402673066</v>
      </c>
    </row>
    <row r="29" spans="1:138" x14ac:dyDescent="0.2">
      <c r="A29" s="7" t="s">
        <v>93</v>
      </c>
      <c r="B29" s="2" t="s">
        <v>21</v>
      </c>
      <c r="C29" s="3">
        <f t="shared" si="4"/>
        <v>1253.0822174378743</v>
      </c>
      <c r="D29" s="3">
        <f t="shared" si="5"/>
        <v>4766.7795776556613</v>
      </c>
      <c r="E29" s="3">
        <f t="shared" si="6"/>
        <v>0</v>
      </c>
      <c r="F29" s="3">
        <f t="shared" si="7"/>
        <v>14860.580359844655</v>
      </c>
      <c r="G29" s="3">
        <f t="shared" si="8"/>
        <v>0</v>
      </c>
      <c r="H29" s="3">
        <f t="shared" si="9"/>
        <v>0</v>
      </c>
      <c r="I29" s="3">
        <f t="shared" si="10"/>
        <v>4777.2531585609731</v>
      </c>
      <c r="J29" s="3">
        <f t="shared" si="11"/>
        <v>2006.5329169097856</v>
      </c>
      <c r="K29" s="3">
        <f t="shared" si="12"/>
        <v>25264.750796121109</v>
      </c>
      <c r="L29" s="3">
        <f t="shared" si="13"/>
        <v>3290.9642458219619</v>
      </c>
      <c r="M29" s="3">
        <f t="shared" si="14"/>
        <v>2206963.3694576202</v>
      </c>
      <c r="N29" s="3">
        <f t="shared" si="15"/>
        <v>7863.4113062930719</v>
      </c>
      <c r="O29" s="3">
        <f t="shared" si="16"/>
        <v>2271046.7240362656</v>
      </c>
      <c r="P29" s="7" t="s">
        <v>93</v>
      </c>
      <c r="Q29" s="2" t="s">
        <v>21</v>
      </c>
      <c r="R29" s="3">
        <f t="shared" si="17"/>
        <v>1253.0822174378743</v>
      </c>
      <c r="S29" s="3">
        <f t="shared" si="17"/>
        <v>4766.7795776556613</v>
      </c>
      <c r="T29" s="3">
        <f t="shared" si="17"/>
        <v>0</v>
      </c>
      <c r="U29" s="3">
        <f t="shared" si="17"/>
        <v>14860.580359844655</v>
      </c>
      <c r="V29" s="3">
        <f t="shared" si="17"/>
        <v>0</v>
      </c>
      <c r="W29" s="3">
        <f t="shared" si="17"/>
        <v>0</v>
      </c>
      <c r="X29" s="3">
        <f t="shared" si="17"/>
        <v>4777.2531585609731</v>
      </c>
      <c r="Y29" s="3">
        <f t="shared" si="17"/>
        <v>2006.5329169097856</v>
      </c>
      <c r="Z29" s="3">
        <f t="shared" si="17"/>
        <v>25264.750796121109</v>
      </c>
      <c r="AA29" s="3">
        <f t="shared" si="17"/>
        <v>3290.9642458219619</v>
      </c>
      <c r="AB29" s="3">
        <f t="shared" si="18"/>
        <v>56219.943272352015</v>
      </c>
      <c r="AC29" s="7" t="s">
        <v>93</v>
      </c>
      <c r="AD29" s="2" t="s">
        <v>21</v>
      </c>
      <c r="AE29" s="3">
        <f t="shared" si="19"/>
        <v>2206963.3694576202</v>
      </c>
      <c r="AF29" s="3">
        <f t="shared" si="19"/>
        <v>7863.4113062930719</v>
      </c>
      <c r="AG29" s="3">
        <f t="shared" si="20"/>
        <v>2214826.7807639134</v>
      </c>
      <c r="AH29" s="27" t="s">
        <v>93</v>
      </c>
      <c r="AI29" s="2" t="s">
        <v>21</v>
      </c>
      <c r="AJ29" s="28">
        <f t="shared" si="21"/>
        <v>2265579.926558156</v>
      </c>
      <c r="AK29" s="28">
        <f t="shared" si="21"/>
        <v>5466.7974781094172</v>
      </c>
      <c r="AL29" s="28">
        <f t="shared" si="21"/>
        <v>0</v>
      </c>
      <c r="AM29" s="28">
        <f t="shared" si="21"/>
        <v>0</v>
      </c>
      <c r="AN29" s="28">
        <f t="shared" si="22"/>
        <v>2271046.7240362656</v>
      </c>
      <c r="AO29" s="27" t="s">
        <v>93</v>
      </c>
      <c r="AP29" s="2" t="s">
        <v>21</v>
      </c>
      <c r="AQ29" s="28">
        <f t="shared" si="23"/>
        <v>50753.145794242599</v>
      </c>
      <c r="AR29" s="28">
        <f t="shared" si="23"/>
        <v>5466.7974781094172</v>
      </c>
      <c r="AS29" s="28">
        <f t="shared" si="23"/>
        <v>0</v>
      </c>
      <c r="AT29" s="28">
        <f t="shared" si="23"/>
        <v>0</v>
      </c>
      <c r="AU29" s="28">
        <f t="shared" si="24"/>
        <v>56219.943272352015</v>
      </c>
      <c r="AV29" s="27" t="s">
        <v>93</v>
      </c>
      <c r="AW29" s="2" t="s">
        <v>21</v>
      </c>
      <c r="AX29" s="28">
        <f t="shared" si="25"/>
        <v>2214826.7807639134</v>
      </c>
      <c r="AY29" s="28">
        <f t="shared" si="25"/>
        <v>0</v>
      </c>
      <c r="AZ29" s="28">
        <f t="shared" si="25"/>
        <v>0</v>
      </c>
      <c r="BA29" s="28">
        <f t="shared" si="25"/>
        <v>0</v>
      </c>
      <c r="BB29" s="28">
        <f t="shared" si="26"/>
        <v>2214826.7807639134</v>
      </c>
      <c r="BC29" s="27" t="s">
        <v>93</v>
      </c>
      <c r="BD29" s="2" t="s">
        <v>21</v>
      </c>
      <c r="BE29" s="28">
        <v>1253.0822174378743</v>
      </c>
      <c r="BF29" s="28">
        <v>0</v>
      </c>
      <c r="BG29" s="28">
        <v>0</v>
      </c>
      <c r="BH29" s="28">
        <v>0</v>
      </c>
      <c r="BI29" s="28">
        <v>1253.0822174378743</v>
      </c>
      <c r="BJ29" s="27" t="s">
        <v>93</v>
      </c>
      <c r="BK29" s="2" t="s">
        <v>21</v>
      </c>
      <c r="BL29" s="28">
        <v>4766.7795776556613</v>
      </c>
      <c r="BM29" s="28">
        <v>0</v>
      </c>
      <c r="BN29" s="28">
        <v>0</v>
      </c>
      <c r="BO29" s="28">
        <v>0</v>
      </c>
      <c r="BP29" s="28">
        <v>4766.7795776556613</v>
      </c>
      <c r="BQ29" s="27" t="s">
        <v>93</v>
      </c>
      <c r="BR29" s="2" t="s">
        <v>21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7" t="s">
        <v>93</v>
      </c>
      <c r="BY29" s="2" t="s">
        <v>21</v>
      </c>
      <c r="BZ29" s="28">
        <v>10214.925605408545</v>
      </c>
      <c r="CA29" s="28">
        <v>4645.6547544361101</v>
      </c>
      <c r="CB29" s="28">
        <v>0</v>
      </c>
      <c r="CC29" s="28">
        <v>0</v>
      </c>
      <c r="CD29" s="28">
        <v>14860.580359844655</v>
      </c>
      <c r="CE29" s="27" t="s">
        <v>93</v>
      </c>
      <c r="CF29" s="2" t="s">
        <v>21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7" t="s">
        <v>93</v>
      </c>
      <c r="CM29" s="2" t="s">
        <v>21</v>
      </c>
      <c r="CN29" s="28">
        <v>0</v>
      </c>
      <c r="CO29" s="28">
        <v>0</v>
      </c>
      <c r="CP29" s="28">
        <v>0</v>
      </c>
      <c r="CQ29" s="28">
        <v>0</v>
      </c>
      <c r="CR29" s="28">
        <v>0</v>
      </c>
      <c r="CS29" s="27" t="s">
        <v>93</v>
      </c>
      <c r="CT29" s="2" t="s">
        <v>21</v>
      </c>
      <c r="CU29" s="28">
        <v>4777.2531585609731</v>
      </c>
      <c r="CV29" s="28">
        <v>0</v>
      </c>
      <c r="CW29" s="28">
        <v>0</v>
      </c>
      <c r="CX29" s="28">
        <v>0</v>
      </c>
      <c r="CY29" s="28">
        <v>4777.2531585609731</v>
      </c>
      <c r="CZ29" s="27" t="s">
        <v>93</v>
      </c>
      <c r="DA29" s="2" t="s">
        <v>21</v>
      </c>
      <c r="DB29" s="28">
        <v>25264.750796121109</v>
      </c>
      <c r="DC29" s="28">
        <v>0</v>
      </c>
      <c r="DD29" s="28">
        <v>0</v>
      </c>
      <c r="DE29" s="28">
        <v>0</v>
      </c>
      <c r="DF29" s="28">
        <v>25264.750796121109</v>
      </c>
      <c r="DG29" s="27" t="s">
        <v>93</v>
      </c>
      <c r="DH29" s="2" t="s">
        <v>21</v>
      </c>
      <c r="DI29" s="28">
        <v>2006.5329169097856</v>
      </c>
      <c r="DJ29" s="28">
        <v>0</v>
      </c>
      <c r="DK29" s="28">
        <v>0</v>
      </c>
      <c r="DL29" s="28">
        <v>0</v>
      </c>
      <c r="DM29" s="28">
        <v>2006.5329169097856</v>
      </c>
      <c r="DN29" s="27" t="s">
        <v>93</v>
      </c>
      <c r="DO29" s="2" t="s">
        <v>21</v>
      </c>
      <c r="DP29" s="28">
        <v>2469.8215221486548</v>
      </c>
      <c r="DQ29" s="28">
        <v>821.14272367330693</v>
      </c>
      <c r="DR29" s="28">
        <v>0</v>
      </c>
      <c r="DS29" s="28">
        <v>0</v>
      </c>
      <c r="DT29" s="28">
        <v>3290.9642458219619</v>
      </c>
      <c r="DU29" s="27" t="s">
        <v>93</v>
      </c>
      <c r="DV29" s="2" t="s">
        <v>21</v>
      </c>
      <c r="DW29" s="28">
        <v>7863.4113062930719</v>
      </c>
      <c r="DX29" s="28">
        <v>0</v>
      </c>
      <c r="DY29" s="28">
        <v>0</v>
      </c>
      <c r="DZ29" s="28">
        <v>0</v>
      </c>
      <c r="EA29" s="28">
        <v>7863.4113062930719</v>
      </c>
      <c r="EB29" s="27" t="s">
        <v>93</v>
      </c>
      <c r="EC29" s="2" t="s">
        <v>21</v>
      </c>
      <c r="ED29" s="28">
        <v>2206963.3694576202</v>
      </c>
      <c r="EE29" s="28">
        <v>0</v>
      </c>
      <c r="EF29" s="28">
        <v>0</v>
      </c>
      <c r="EG29" s="28">
        <v>0</v>
      </c>
      <c r="EH29" s="28">
        <v>2206963.3694576202</v>
      </c>
    </row>
    <row r="30" spans="1:138" x14ac:dyDescent="0.2">
      <c r="A30" s="7" t="s">
        <v>115</v>
      </c>
      <c r="B30" s="2" t="s">
        <v>43</v>
      </c>
      <c r="C30" s="3">
        <f t="shared" si="4"/>
        <v>47750.612584417642</v>
      </c>
      <c r="D30" s="3">
        <f t="shared" si="5"/>
        <v>1364.9045864039315</v>
      </c>
      <c r="E30" s="3">
        <f t="shared" si="6"/>
        <v>1253764.3247213499</v>
      </c>
      <c r="F30" s="3">
        <f t="shared" si="7"/>
        <v>2015773.5787405823</v>
      </c>
      <c r="G30" s="3">
        <f t="shared" si="8"/>
        <v>159006.79074835181</v>
      </c>
      <c r="H30" s="3">
        <f t="shared" si="9"/>
        <v>0</v>
      </c>
      <c r="I30" s="3">
        <f t="shared" si="10"/>
        <v>310937.82555414311</v>
      </c>
      <c r="J30" s="3">
        <f t="shared" si="11"/>
        <v>109472.11611374785</v>
      </c>
      <c r="K30" s="3">
        <f t="shared" si="12"/>
        <v>61351.563635370243</v>
      </c>
      <c r="L30" s="3">
        <f t="shared" si="13"/>
        <v>1962726.4689267159</v>
      </c>
      <c r="M30" s="3">
        <f t="shared" si="14"/>
        <v>3953339.4276205688</v>
      </c>
      <c r="N30" s="3">
        <f t="shared" si="15"/>
        <v>35664672.223647639</v>
      </c>
      <c r="O30" s="3">
        <f t="shared" si="16"/>
        <v>45540159.836879291</v>
      </c>
      <c r="P30" s="7" t="s">
        <v>115</v>
      </c>
      <c r="Q30" s="2" t="s">
        <v>43</v>
      </c>
      <c r="R30" s="3">
        <f t="shared" si="17"/>
        <v>47750.612584417642</v>
      </c>
      <c r="S30" s="3">
        <f t="shared" si="17"/>
        <v>1364.9045864039315</v>
      </c>
      <c r="T30" s="3">
        <f t="shared" si="17"/>
        <v>1253764.3247213499</v>
      </c>
      <c r="U30" s="3">
        <f t="shared" si="17"/>
        <v>2015773.5787405823</v>
      </c>
      <c r="V30" s="3">
        <f t="shared" si="17"/>
        <v>159006.79074835181</v>
      </c>
      <c r="W30" s="3">
        <f t="shared" ref="W30:AA41" si="27">H30</f>
        <v>0</v>
      </c>
      <c r="X30" s="3">
        <f t="shared" si="27"/>
        <v>310937.82555414311</v>
      </c>
      <c r="Y30" s="3">
        <f t="shared" si="27"/>
        <v>109472.11611374785</v>
      </c>
      <c r="Z30" s="3">
        <f t="shared" si="27"/>
        <v>61351.563635370243</v>
      </c>
      <c r="AA30" s="3">
        <f t="shared" si="27"/>
        <v>1962726.4689267159</v>
      </c>
      <c r="AB30" s="3">
        <f t="shared" si="18"/>
        <v>5922148.1856110822</v>
      </c>
      <c r="AC30" s="7" t="s">
        <v>115</v>
      </c>
      <c r="AD30" s="2" t="s">
        <v>43</v>
      </c>
      <c r="AE30" s="3">
        <f t="shared" si="19"/>
        <v>3953339.4276205688</v>
      </c>
      <c r="AF30" s="3">
        <f t="shared" si="19"/>
        <v>35664672.223647639</v>
      </c>
      <c r="AG30" s="3">
        <f t="shared" si="20"/>
        <v>39618011.651268207</v>
      </c>
      <c r="AH30" s="27" t="s">
        <v>115</v>
      </c>
      <c r="AI30" s="2" t="s">
        <v>43</v>
      </c>
      <c r="AJ30" s="28">
        <f t="shared" si="21"/>
        <v>9941463.4658513796</v>
      </c>
      <c r="AK30" s="28">
        <f t="shared" si="21"/>
        <v>35358091.233893193</v>
      </c>
      <c r="AL30" s="28">
        <f t="shared" si="21"/>
        <v>240605.13713471935</v>
      </c>
      <c r="AM30" s="28">
        <f t="shared" si="21"/>
        <v>0</v>
      </c>
      <c r="AN30" s="28">
        <f t="shared" si="22"/>
        <v>45540159.836879291</v>
      </c>
      <c r="AO30" s="27" t="s">
        <v>115</v>
      </c>
      <c r="AP30" s="2" t="s">
        <v>43</v>
      </c>
      <c r="AQ30" s="28">
        <f t="shared" si="23"/>
        <v>2652770.0073768576</v>
      </c>
      <c r="AR30" s="28">
        <f t="shared" si="23"/>
        <v>3269378.1782342251</v>
      </c>
      <c r="AS30" s="28">
        <f t="shared" si="23"/>
        <v>0</v>
      </c>
      <c r="AT30" s="28">
        <f t="shared" si="23"/>
        <v>0</v>
      </c>
      <c r="AU30" s="28">
        <f t="shared" si="24"/>
        <v>5922148.1856110822</v>
      </c>
      <c r="AV30" s="27" t="s">
        <v>115</v>
      </c>
      <c r="AW30" s="2" t="s">
        <v>43</v>
      </c>
      <c r="AX30" s="28">
        <f t="shared" si="25"/>
        <v>7288693.4584745215</v>
      </c>
      <c r="AY30" s="28">
        <f t="shared" si="25"/>
        <v>32088713.055658966</v>
      </c>
      <c r="AZ30" s="28">
        <f t="shared" si="25"/>
        <v>240605.13713471935</v>
      </c>
      <c r="BA30" s="28">
        <f t="shared" si="25"/>
        <v>0</v>
      </c>
      <c r="BB30" s="28">
        <f t="shared" si="26"/>
        <v>39618011.651268207</v>
      </c>
      <c r="BC30" s="27" t="s">
        <v>115</v>
      </c>
      <c r="BD30" s="2" t="s">
        <v>43</v>
      </c>
      <c r="BE30" s="28">
        <v>25407.846618615866</v>
      </c>
      <c r="BF30" s="28">
        <v>22342.765965801776</v>
      </c>
      <c r="BG30" s="28">
        <v>0</v>
      </c>
      <c r="BH30" s="28">
        <v>0</v>
      </c>
      <c r="BI30" s="28">
        <v>47750.612584417642</v>
      </c>
      <c r="BJ30" s="27" t="s">
        <v>115</v>
      </c>
      <c r="BK30" s="2" t="s">
        <v>43</v>
      </c>
      <c r="BL30" s="28">
        <v>1056.1026437786077</v>
      </c>
      <c r="BM30" s="28">
        <v>308.80194262532387</v>
      </c>
      <c r="BN30" s="28">
        <v>0</v>
      </c>
      <c r="BO30" s="28">
        <v>0</v>
      </c>
      <c r="BP30" s="28">
        <v>1364.9045864039315</v>
      </c>
      <c r="BQ30" s="27" t="s">
        <v>115</v>
      </c>
      <c r="BR30" s="2" t="s">
        <v>43</v>
      </c>
      <c r="BS30" s="28">
        <v>760862.31796021364</v>
      </c>
      <c r="BT30" s="28">
        <v>492902.00676113629</v>
      </c>
      <c r="BU30" s="28">
        <v>0</v>
      </c>
      <c r="BV30" s="28">
        <v>0</v>
      </c>
      <c r="BW30" s="28">
        <v>1253764.3247213499</v>
      </c>
      <c r="BX30" s="27" t="s">
        <v>115</v>
      </c>
      <c r="BY30" s="2" t="s">
        <v>43</v>
      </c>
      <c r="BZ30" s="28">
        <v>1372466.5909106361</v>
      </c>
      <c r="CA30" s="28">
        <v>643306.9878299461</v>
      </c>
      <c r="CB30" s="28">
        <v>0</v>
      </c>
      <c r="CC30" s="28">
        <v>0</v>
      </c>
      <c r="CD30" s="28">
        <v>2015773.5787405823</v>
      </c>
      <c r="CE30" s="27" t="s">
        <v>115</v>
      </c>
      <c r="CF30" s="2" t="s">
        <v>43</v>
      </c>
      <c r="CG30" s="28">
        <v>152056.41811442841</v>
      </c>
      <c r="CH30" s="28">
        <v>6950.3726339234017</v>
      </c>
      <c r="CI30" s="28">
        <v>0</v>
      </c>
      <c r="CJ30" s="28">
        <v>0</v>
      </c>
      <c r="CK30" s="28">
        <v>159006.79074835181</v>
      </c>
      <c r="CL30" s="27" t="s">
        <v>115</v>
      </c>
      <c r="CM30" s="2" t="s">
        <v>43</v>
      </c>
      <c r="CN30" s="28">
        <v>0</v>
      </c>
      <c r="CO30" s="28">
        <v>0</v>
      </c>
      <c r="CP30" s="28">
        <v>0</v>
      </c>
      <c r="CQ30" s="28">
        <v>0</v>
      </c>
      <c r="CR30" s="28">
        <v>0</v>
      </c>
      <c r="CS30" s="27" t="s">
        <v>115</v>
      </c>
      <c r="CT30" s="2" t="s">
        <v>43</v>
      </c>
      <c r="CU30" s="28">
        <v>247595.80443241695</v>
      </c>
      <c r="CV30" s="28">
        <v>63342.021121726168</v>
      </c>
      <c r="CW30" s="28">
        <v>0</v>
      </c>
      <c r="CX30" s="28">
        <v>0</v>
      </c>
      <c r="CY30" s="28">
        <v>310937.82555414311</v>
      </c>
      <c r="CZ30" s="27" t="s">
        <v>115</v>
      </c>
      <c r="DA30" s="2" t="s">
        <v>43</v>
      </c>
      <c r="DB30" s="28">
        <v>14202.720179653079</v>
      </c>
      <c r="DC30" s="28">
        <v>47148.843455717164</v>
      </c>
      <c r="DD30" s="28">
        <v>0</v>
      </c>
      <c r="DE30" s="28">
        <v>0</v>
      </c>
      <c r="DF30" s="28">
        <v>61351.563635370243</v>
      </c>
      <c r="DG30" s="27" t="s">
        <v>115</v>
      </c>
      <c r="DH30" s="2" t="s">
        <v>43</v>
      </c>
      <c r="DI30" s="28">
        <v>76849.8318148572</v>
      </c>
      <c r="DJ30" s="28">
        <v>32622.284298890641</v>
      </c>
      <c r="DK30" s="28">
        <v>0</v>
      </c>
      <c r="DL30" s="28">
        <v>0</v>
      </c>
      <c r="DM30" s="28">
        <v>109472.11611374785</v>
      </c>
      <c r="DN30" s="27" t="s">
        <v>115</v>
      </c>
      <c r="DO30" s="2" t="s">
        <v>43</v>
      </c>
      <c r="DP30" s="28">
        <v>2272.3747022574885</v>
      </c>
      <c r="DQ30" s="28">
        <v>1960454.0942244583</v>
      </c>
      <c r="DR30" s="28">
        <v>0</v>
      </c>
      <c r="DS30" s="28">
        <v>0</v>
      </c>
      <c r="DT30" s="28">
        <v>1962726.4689267159</v>
      </c>
      <c r="DU30" s="27" t="s">
        <v>115</v>
      </c>
      <c r="DV30" s="2" t="s">
        <v>43</v>
      </c>
      <c r="DW30" s="28">
        <v>5355934.0931375409</v>
      </c>
      <c r="DX30" s="28">
        <v>30308738.130510099</v>
      </c>
      <c r="DY30" s="28">
        <v>0</v>
      </c>
      <c r="DZ30" s="28">
        <v>0</v>
      </c>
      <c r="EA30" s="28">
        <v>35664672.223647639</v>
      </c>
      <c r="EB30" s="27" t="s">
        <v>115</v>
      </c>
      <c r="EC30" s="2" t="s">
        <v>43</v>
      </c>
      <c r="ED30" s="28">
        <v>1932759.3653369807</v>
      </c>
      <c r="EE30" s="28">
        <v>1779974.9251488689</v>
      </c>
      <c r="EF30" s="28">
        <v>240605.13713471935</v>
      </c>
      <c r="EG30" s="28">
        <v>0</v>
      </c>
      <c r="EH30" s="28">
        <v>3953339.4276205688</v>
      </c>
    </row>
    <row r="31" spans="1:138" x14ac:dyDescent="0.2">
      <c r="A31" s="7" t="s">
        <v>111</v>
      </c>
      <c r="B31" s="2" t="s">
        <v>39</v>
      </c>
      <c r="C31" s="3">
        <f t="shared" si="4"/>
        <v>20410.802648188375</v>
      </c>
      <c r="D31" s="3">
        <f t="shared" si="5"/>
        <v>10974.337575080997</v>
      </c>
      <c r="E31" s="3">
        <f t="shared" si="6"/>
        <v>111114.60697246877</v>
      </c>
      <c r="F31" s="3">
        <f t="shared" si="7"/>
        <v>863312.05390982574</v>
      </c>
      <c r="G31" s="3">
        <f t="shared" si="8"/>
        <v>872.62812978682666</v>
      </c>
      <c r="H31" s="3">
        <f t="shared" si="9"/>
        <v>0</v>
      </c>
      <c r="I31" s="3">
        <f t="shared" si="10"/>
        <v>11352.995990013796</v>
      </c>
      <c r="J31" s="3">
        <f t="shared" si="11"/>
        <v>513419.40362344543</v>
      </c>
      <c r="K31" s="3">
        <f t="shared" si="12"/>
        <v>4229219.4097470352</v>
      </c>
      <c r="L31" s="3">
        <f t="shared" si="13"/>
        <v>386219.77815389913</v>
      </c>
      <c r="M31" s="3">
        <f t="shared" si="14"/>
        <v>5046087.4480167124</v>
      </c>
      <c r="N31" s="3">
        <f t="shared" si="15"/>
        <v>1364803.8879876162</v>
      </c>
      <c r="O31" s="3">
        <f t="shared" si="16"/>
        <v>12557787.352754073</v>
      </c>
      <c r="P31" s="7" t="s">
        <v>111</v>
      </c>
      <c r="Q31" s="2" t="s">
        <v>39</v>
      </c>
      <c r="R31" s="3">
        <f t="shared" ref="R31:V41" si="28">C31</f>
        <v>20410.802648188375</v>
      </c>
      <c r="S31" s="3">
        <f t="shared" si="28"/>
        <v>10974.337575080997</v>
      </c>
      <c r="T31" s="3">
        <f t="shared" si="28"/>
        <v>111114.60697246877</v>
      </c>
      <c r="U31" s="3">
        <f t="shared" si="28"/>
        <v>863312.05390982574</v>
      </c>
      <c r="V31" s="3">
        <f t="shared" si="28"/>
        <v>872.62812978682666</v>
      </c>
      <c r="W31" s="3">
        <f t="shared" si="27"/>
        <v>0</v>
      </c>
      <c r="X31" s="3">
        <f t="shared" si="27"/>
        <v>11352.995990013796</v>
      </c>
      <c r="Y31" s="3">
        <f t="shared" si="27"/>
        <v>513419.40362344543</v>
      </c>
      <c r="Z31" s="3">
        <f t="shared" si="27"/>
        <v>4229219.4097470352</v>
      </c>
      <c r="AA31" s="3">
        <f t="shared" si="27"/>
        <v>386219.77815389913</v>
      </c>
      <c r="AB31" s="3">
        <f t="shared" si="18"/>
        <v>6146896.0167497443</v>
      </c>
      <c r="AC31" s="7" t="s">
        <v>111</v>
      </c>
      <c r="AD31" s="2" t="s">
        <v>39</v>
      </c>
      <c r="AE31" s="3">
        <f t="shared" si="19"/>
        <v>5046087.4480167124</v>
      </c>
      <c r="AF31" s="3">
        <f t="shared" si="19"/>
        <v>1364803.8879876162</v>
      </c>
      <c r="AG31" s="3">
        <f t="shared" si="20"/>
        <v>6410891.3360043289</v>
      </c>
      <c r="AH31" s="27" t="s">
        <v>111</v>
      </c>
      <c r="AI31" s="2" t="s">
        <v>39</v>
      </c>
      <c r="AJ31" s="28">
        <f t="shared" si="21"/>
        <v>12092692.096183453</v>
      </c>
      <c r="AK31" s="28">
        <f t="shared" si="21"/>
        <v>332452.0242175826</v>
      </c>
      <c r="AL31" s="28">
        <f t="shared" si="21"/>
        <v>132643.23235303847</v>
      </c>
      <c r="AM31" s="28">
        <f t="shared" si="21"/>
        <v>0</v>
      </c>
      <c r="AN31" s="28">
        <f t="shared" si="22"/>
        <v>12557787.352754075</v>
      </c>
      <c r="AO31" s="27" t="s">
        <v>111</v>
      </c>
      <c r="AP31" s="2" t="s">
        <v>39</v>
      </c>
      <c r="AQ31" s="28">
        <f t="shared" si="23"/>
        <v>5689826.2377347434</v>
      </c>
      <c r="AR31" s="28">
        <f t="shared" si="23"/>
        <v>326988.2884234417</v>
      </c>
      <c r="AS31" s="28">
        <f t="shared" si="23"/>
        <v>130081.49059155896</v>
      </c>
      <c r="AT31" s="28">
        <f t="shared" si="23"/>
        <v>0</v>
      </c>
      <c r="AU31" s="28">
        <f t="shared" si="24"/>
        <v>6146896.0167497434</v>
      </c>
      <c r="AV31" s="27" t="s">
        <v>111</v>
      </c>
      <c r="AW31" s="2" t="s">
        <v>39</v>
      </c>
      <c r="AX31" s="28">
        <f t="shared" si="25"/>
        <v>6402865.8584487084</v>
      </c>
      <c r="AY31" s="28">
        <f t="shared" si="25"/>
        <v>5463.7357941409255</v>
      </c>
      <c r="AZ31" s="28">
        <f t="shared" si="25"/>
        <v>2561.7417614795118</v>
      </c>
      <c r="BA31" s="28">
        <f t="shared" si="25"/>
        <v>0</v>
      </c>
      <c r="BB31" s="28">
        <f t="shared" si="26"/>
        <v>6410891.3360043289</v>
      </c>
      <c r="BC31" s="27" t="s">
        <v>111</v>
      </c>
      <c r="BD31" s="2" t="s">
        <v>39</v>
      </c>
      <c r="BE31" s="28">
        <v>20410.802648188375</v>
      </c>
      <c r="BF31" s="28">
        <v>0</v>
      </c>
      <c r="BG31" s="28">
        <v>0</v>
      </c>
      <c r="BH31" s="28">
        <v>0</v>
      </c>
      <c r="BI31" s="28">
        <v>20410.802648188375</v>
      </c>
      <c r="BJ31" s="27" t="s">
        <v>111</v>
      </c>
      <c r="BK31" s="2" t="s">
        <v>39</v>
      </c>
      <c r="BL31" s="28">
        <v>10974.337575080997</v>
      </c>
      <c r="BM31" s="28">
        <v>0</v>
      </c>
      <c r="BN31" s="28">
        <v>0</v>
      </c>
      <c r="BO31" s="28">
        <v>0</v>
      </c>
      <c r="BP31" s="28">
        <v>10974.337575080997</v>
      </c>
      <c r="BQ31" s="27" t="s">
        <v>111</v>
      </c>
      <c r="BR31" s="2" t="s">
        <v>39</v>
      </c>
      <c r="BS31" s="28">
        <v>0</v>
      </c>
      <c r="BT31" s="28">
        <v>0</v>
      </c>
      <c r="BU31" s="28">
        <v>111114.60697246877</v>
      </c>
      <c r="BV31" s="28">
        <v>0</v>
      </c>
      <c r="BW31" s="28">
        <v>111114.60697246877</v>
      </c>
      <c r="BX31" s="27" t="s">
        <v>111</v>
      </c>
      <c r="BY31" s="2" t="s">
        <v>39</v>
      </c>
      <c r="BZ31" s="28">
        <v>863312.05390982574</v>
      </c>
      <c r="CA31" s="28">
        <v>0</v>
      </c>
      <c r="CB31" s="28">
        <v>0</v>
      </c>
      <c r="CC31" s="28">
        <v>0</v>
      </c>
      <c r="CD31" s="28">
        <v>863312.05390982574</v>
      </c>
      <c r="CE31" s="27" t="s">
        <v>111</v>
      </c>
      <c r="CF31" s="2" t="s">
        <v>39</v>
      </c>
      <c r="CG31" s="28">
        <v>872.62812978682666</v>
      </c>
      <c r="CH31" s="28">
        <v>0</v>
      </c>
      <c r="CI31" s="28">
        <v>0</v>
      </c>
      <c r="CJ31" s="28">
        <v>0</v>
      </c>
      <c r="CK31" s="28">
        <v>872.62812978682666</v>
      </c>
      <c r="CL31" s="27" t="s">
        <v>111</v>
      </c>
      <c r="CM31" s="2" t="s">
        <v>39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7" t="s">
        <v>111</v>
      </c>
      <c r="CT31" s="2" t="s">
        <v>39</v>
      </c>
      <c r="CU31" s="28">
        <v>11352.995990013796</v>
      </c>
      <c r="CV31" s="28">
        <v>0</v>
      </c>
      <c r="CW31" s="28">
        <v>0</v>
      </c>
      <c r="CX31" s="28">
        <v>0</v>
      </c>
      <c r="CY31" s="28">
        <v>11352.995990013796</v>
      </c>
      <c r="CZ31" s="27" t="s">
        <v>111</v>
      </c>
      <c r="DA31" s="2" t="s">
        <v>39</v>
      </c>
      <c r="DB31" s="28">
        <v>3894758.407446966</v>
      </c>
      <c r="DC31" s="28">
        <v>321473.02557447704</v>
      </c>
      <c r="DD31" s="28">
        <v>12987.976725591829</v>
      </c>
      <c r="DE31" s="28">
        <v>0</v>
      </c>
      <c r="DF31" s="28">
        <v>4229219.4097470352</v>
      </c>
      <c r="DG31" s="27" t="s">
        <v>111</v>
      </c>
      <c r="DH31" s="2" t="s">
        <v>39</v>
      </c>
      <c r="DI31" s="28">
        <v>513419.40362344543</v>
      </c>
      <c r="DJ31" s="28">
        <v>0</v>
      </c>
      <c r="DK31" s="28">
        <v>0</v>
      </c>
      <c r="DL31" s="28">
        <v>0</v>
      </c>
      <c r="DM31" s="28">
        <v>513419.40362344543</v>
      </c>
      <c r="DN31" s="27" t="s">
        <v>111</v>
      </c>
      <c r="DO31" s="2" t="s">
        <v>39</v>
      </c>
      <c r="DP31" s="28">
        <v>374725.60841143609</v>
      </c>
      <c r="DQ31" s="28">
        <v>5515.2628489646677</v>
      </c>
      <c r="DR31" s="28">
        <v>5978.9068934983698</v>
      </c>
      <c r="DS31" s="28">
        <v>0</v>
      </c>
      <c r="DT31" s="28">
        <v>386219.77815389913</v>
      </c>
      <c r="DU31" s="27" t="s">
        <v>111</v>
      </c>
      <c r="DV31" s="2" t="s">
        <v>39</v>
      </c>
      <c r="DW31" s="28">
        <v>1361900.5806579394</v>
      </c>
      <c r="DX31" s="28">
        <v>341.56556819726825</v>
      </c>
      <c r="DY31" s="28">
        <v>2561.7417614795118</v>
      </c>
      <c r="DZ31" s="28">
        <v>0</v>
      </c>
      <c r="EA31" s="28">
        <v>1364803.8879876162</v>
      </c>
      <c r="EB31" s="27" t="s">
        <v>111</v>
      </c>
      <c r="EC31" s="2" t="s">
        <v>39</v>
      </c>
      <c r="ED31" s="28">
        <v>5040965.277790769</v>
      </c>
      <c r="EE31" s="28">
        <v>5122.170225943657</v>
      </c>
      <c r="EF31" s="28">
        <v>0</v>
      </c>
      <c r="EG31" s="28">
        <v>0</v>
      </c>
      <c r="EH31" s="28">
        <v>5046087.4480167124</v>
      </c>
    </row>
    <row r="32" spans="1:138" x14ac:dyDescent="0.2">
      <c r="A32" s="7" t="s">
        <v>118</v>
      </c>
      <c r="B32" s="2" t="s">
        <v>46</v>
      </c>
      <c r="C32" s="3">
        <f t="shared" si="4"/>
        <v>4419.2820779955418</v>
      </c>
      <c r="D32" s="3">
        <f t="shared" si="5"/>
        <v>0</v>
      </c>
      <c r="E32" s="3">
        <f t="shared" si="6"/>
        <v>695906.6681127582</v>
      </c>
      <c r="F32" s="3">
        <f t="shared" si="7"/>
        <v>4273.6665556957023</v>
      </c>
      <c r="G32" s="3">
        <f t="shared" si="8"/>
        <v>193.40499001984637</v>
      </c>
      <c r="H32" s="3">
        <f t="shared" si="9"/>
        <v>0</v>
      </c>
      <c r="I32" s="3">
        <f t="shared" si="10"/>
        <v>0</v>
      </c>
      <c r="J32" s="3">
        <f t="shared" si="11"/>
        <v>6433191.6797407474</v>
      </c>
      <c r="K32" s="3">
        <f t="shared" si="12"/>
        <v>1179020.4671161969</v>
      </c>
      <c r="L32" s="3">
        <f t="shared" si="13"/>
        <v>109025.54298956493</v>
      </c>
      <c r="M32" s="3">
        <f t="shared" si="14"/>
        <v>0</v>
      </c>
      <c r="N32" s="3">
        <f t="shared" si="15"/>
        <v>3330.8529030560176</v>
      </c>
      <c r="O32" s="3">
        <f t="shared" si="16"/>
        <v>8429361.5644860342</v>
      </c>
      <c r="P32" s="7" t="s">
        <v>118</v>
      </c>
      <c r="Q32" s="2" t="s">
        <v>46</v>
      </c>
      <c r="R32" s="3">
        <f t="shared" si="28"/>
        <v>4419.2820779955418</v>
      </c>
      <c r="S32" s="3">
        <f t="shared" si="28"/>
        <v>0</v>
      </c>
      <c r="T32" s="3">
        <f t="shared" si="28"/>
        <v>695906.6681127582</v>
      </c>
      <c r="U32" s="3">
        <f t="shared" si="28"/>
        <v>4273.6665556957023</v>
      </c>
      <c r="V32" s="3">
        <f t="shared" si="28"/>
        <v>193.40499001984637</v>
      </c>
      <c r="W32" s="3">
        <f t="shared" si="27"/>
        <v>0</v>
      </c>
      <c r="X32" s="3">
        <f t="shared" si="27"/>
        <v>0</v>
      </c>
      <c r="Y32" s="3">
        <f t="shared" si="27"/>
        <v>6433191.6797407474</v>
      </c>
      <c r="Z32" s="3">
        <f t="shared" si="27"/>
        <v>1179020.4671161969</v>
      </c>
      <c r="AA32" s="3">
        <f t="shared" si="27"/>
        <v>109025.54298956493</v>
      </c>
      <c r="AB32" s="3">
        <f t="shared" si="18"/>
        <v>8426030.7115829773</v>
      </c>
      <c r="AC32" s="7" t="s">
        <v>118</v>
      </c>
      <c r="AD32" s="2" t="s">
        <v>46</v>
      </c>
      <c r="AE32" s="3">
        <f t="shared" si="19"/>
        <v>0</v>
      </c>
      <c r="AF32" s="3">
        <f t="shared" si="19"/>
        <v>3330.8529030560176</v>
      </c>
      <c r="AG32" s="3">
        <f t="shared" si="20"/>
        <v>3330.8529030560176</v>
      </c>
      <c r="AH32" s="27" t="s">
        <v>118</v>
      </c>
      <c r="AI32" s="2" t="s">
        <v>46</v>
      </c>
      <c r="AJ32" s="28">
        <f t="shared" si="21"/>
        <v>6548325.0697411187</v>
      </c>
      <c r="AK32" s="28">
        <f t="shared" si="21"/>
        <v>699183.63671464915</v>
      </c>
      <c r="AL32" s="28">
        <f t="shared" si="21"/>
        <v>3648.0941587406155</v>
      </c>
      <c r="AM32" s="28">
        <f t="shared" si="21"/>
        <v>1178204.7638715261</v>
      </c>
      <c r="AN32" s="28">
        <f t="shared" si="22"/>
        <v>8429361.5644860342</v>
      </c>
      <c r="AO32" s="27" t="s">
        <v>118</v>
      </c>
      <c r="AP32" s="2" t="s">
        <v>46</v>
      </c>
      <c r="AQ32" s="28">
        <f t="shared" si="23"/>
        <v>6548271.1854399536</v>
      </c>
      <c r="AR32" s="28">
        <f t="shared" si="23"/>
        <v>695906.6681127582</v>
      </c>
      <c r="AS32" s="28">
        <f t="shared" si="23"/>
        <v>3648.0941587406155</v>
      </c>
      <c r="AT32" s="28">
        <f t="shared" si="23"/>
        <v>1178204.7638715261</v>
      </c>
      <c r="AU32" s="28">
        <f t="shared" si="24"/>
        <v>8426030.7115829792</v>
      </c>
      <c r="AV32" s="27" t="s">
        <v>118</v>
      </c>
      <c r="AW32" s="2" t="s">
        <v>46</v>
      </c>
      <c r="AX32" s="28">
        <f t="shared" si="25"/>
        <v>53.884301165098414</v>
      </c>
      <c r="AY32" s="28">
        <f t="shared" si="25"/>
        <v>3276.9686018909192</v>
      </c>
      <c r="AZ32" s="28">
        <f t="shared" si="25"/>
        <v>0</v>
      </c>
      <c r="BA32" s="28">
        <f t="shared" si="25"/>
        <v>0</v>
      </c>
      <c r="BB32" s="28">
        <f t="shared" si="26"/>
        <v>3330.8529030560176</v>
      </c>
      <c r="BC32" s="27" t="s">
        <v>118</v>
      </c>
      <c r="BD32" s="2" t="s">
        <v>46</v>
      </c>
      <c r="BE32" s="28">
        <v>4419.2820779955418</v>
      </c>
      <c r="BF32" s="28">
        <v>0</v>
      </c>
      <c r="BG32" s="28">
        <v>0</v>
      </c>
      <c r="BH32" s="28">
        <v>0</v>
      </c>
      <c r="BI32" s="28">
        <v>4419.2820779955418</v>
      </c>
      <c r="BJ32" s="27" t="s">
        <v>118</v>
      </c>
      <c r="BK32" s="2" t="s">
        <v>46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7" t="s">
        <v>118</v>
      </c>
      <c r="BR32" s="2" t="s">
        <v>46</v>
      </c>
      <c r="BS32" s="28">
        <v>0</v>
      </c>
      <c r="BT32" s="28">
        <v>695906.6681127582</v>
      </c>
      <c r="BU32" s="28">
        <v>0</v>
      </c>
      <c r="BV32" s="28">
        <v>0</v>
      </c>
      <c r="BW32" s="28">
        <v>695906.6681127582</v>
      </c>
      <c r="BX32" s="27" t="s">
        <v>118</v>
      </c>
      <c r="BY32" s="2" t="s">
        <v>46</v>
      </c>
      <c r="BZ32" s="28">
        <v>4273.6665556957023</v>
      </c>
      <c r="CA32" s="28">
        <v>0</v>
      </c>
      <c r="CB32" s="28">
        <v>0</v>
      </c>
      <c r="CC32" s="28">
        <v>0</v>
      </c>
      <c r="CD32" s="28">
        <v>4273.6665556957023</v>
      </c>
      <c r="CE32" s="27" t="s">
        <v>118</v>
      </c>
      <c r="CF32" s="2" t="s">
        <v>46</v>
      </c>
      <c r="CG32" s="28">
        <v>193.40499001984637</v>
      </c>
      <c r="CH32" s="28">
        <v>0</v>
      </c>
      <c r="CI32" s="28">
        <v>0</v>
      </c>
      <c r="CJ32" s="28">
        <v>0</v>
      </c>
      <c r="CK32" s="28">
        <v>193.40499001984637</v>
      </c>
      <c r="CL32" s="27" t="s">
        <v>118</v>
      </c>
      <c r="CM32" s="2" t="s">
        <v>46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7" t="s">
        <v>118</v>
      </c>
      <c r="CT32" s="2" t="s">
        <v>46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7" t="s">
        <v>118</v>
      </c>
      <c r="DA32" s="2" t="s">
        <v>46</v>
      </c>
      <c r="DB32" s="28">
        <v>815.703244670667</v>
      </c>
      <c r="DC32" s="28">
        <v>0</v>
      </c>
      <c r="DD32" s="28">
        <v>0</v>
      </c>
      <c r="DE32" s="28">
        <v>1178204.7638715261</v>
      </c>
      <c r="DF32" s="28">
        <v>1179020.4671161969</v>
      </c>
      <c r="DG32" s="27" t="s">
        <v>118</v>
      </c>
      <c r="DH32" s="2" t="s">
        <v>46</v>
      </c>
      <c r="DI32" s="28">
        <v>6433191.6797407474</v>
      </c>
      <c r="DJ32" s="28">
        <v>0</v>
      </c>
      <c r="DK32" s="28">
        <v>0</v>
      </c>
      <c r="DL32" s="28">
        <v>0</v>
      </c>
      <c r="DM32" s="28">
        <v>6433191.6797407474</v>
      </c>
      <c r="DN32" s="27" t="s">
        <v>118</v>
      </c>
      <c r="DO32" s="2" t="s">
        <v>46</v>
      </c>
      <c r="DP32" s="28">
        <v>105377.44883082432</v>
      </c>
      <c r="DQ32" s="28">
        <v>0</v>
      </c>
      <c r="DR32" s="28">
        <v>3648.0941587406155</v>
      </c>
      <c r="DS32" s="28">
        <v>0</v>
      </c>
      <c r="DT32" s="28">
        <v>109025.54298956493</v>
      </c>
      <c r="DU32" s="27" t="s">
        <v>118</v>
      </c>
      <c r="DV32" s="2" t="s">
        <v>46</v>
      </c>
      <c r="DW32" s="28">
        <v>53.884301165098414</v>
      </c>
      <c r="DX32" s="28">
        <v>3276.9686018909192</v>
      </c>
      <c r="DY32" s="28">
        <v>0</v>
      </c>
      <c r="DZ32" s="28">
        <v>0</v>
      </c>
      <c r="EA32" s="28">
        <v>3330.8529030560176</v>
      </c>
      <c r="EB32" s="27" t="s">
        <v>118</v>
      </c>
      <c r="EC32" s="2" t="s">
        <v>46</v>
      </c>
      <c r="ED32" s="28">
        <v>0</v>
      </c>
      <c r="EE32" s="28">
        <v>0</v>
      </c>
      <c r="EF32" s="28">
        <v>0</v>
      </c>
      <c r="EG32" s="28">
        <v>0</v>
      </c>
      <c r="EH32" s="28">
        <v>0</v>
      </c>
    </row>
    <row r="33" spans="1:138" x14ac:dyDescent="0.2">
      <c r="A33" s="7" t="s">
        <v>124</v>
      </c>
      <c r="B33" s="2" t="s">
        <v>52</v>
      </c>
      <c r="C33" s="3">
        <f t="shared" si="4"/>
        <v>0</v>
      </c>
      <c r="D33" s="3">
        <f t="shared" si="5"/>
        <v>1775.6235454657358</v>
      </c>
      <c r="E33" s="3">
        <f t="shared" si="6"/>
        <v>0</v>
      </c>
      <c r="F33" s="3">
        <f t="shared" si="7"/>
        <v>239724.25733845585</v>
      </c>
      <c r="G33" s="3">
        <f t="shared" si="8"/>
        <v>1610142.302913843</v>
      </c>
      <c r="H33" s="3">
        <f t="shared" si="9"/>
        <v>15432584.301731775</v>
      </c>
      <c r="I33" s="3">
        <f t="shared" si="10"/>
        <v>18.644645592472386</v>
      </c>
      <c r="J33" s="3">
        <f t="shared" si="11"/>
        <v>180.54231815377426</v>
      </c>
      <c r="K33" s="3">
        <f t="shared" si="12"/>
        <v>0</v>
      </c>
      <c r="L33" s="3">
        <f t="shared" si="13"/>
        <v>1356912.0458935853</v>
      </c>
      <c r="M33" s="3">
        <f t="shared" si="14"/>
        <v>856181.226784428</v>
      </c>
      <c r="N33" s="3">
        <f t="shared" si="15"/>
        <v>111778.14209321201</v>
      </c>
      <c r="O33" s="3">
        <f t="shared" si="16"/>
        <v>19609297.087264512</v>
      </c>
      <c r="P33" s="7" t="s">
        <v>124</v>
      </c>
      <c r="Q33" s="2" t="s">
        <v>52</v>
      </c>
      <c r="R33" s="3">
        <f t="shared" si="28"/>
        <v>0</v>
      </c>
      <c r="S33" s="3">
        <f t="shared" si="28"/>
        <v>1775.6235454657358</v>
      </c>
      <c r="T33" s="3">
        <f t="shared" si="28"/>
        <v>0</v>
      </c>
      <c r="U33" s="3">
        <f t="shared" si="28"/>
        <v>239724.25733845585</v>
      </c>
      <c r="V33" s="3">
        <f t="shared" si="28"/>
        <v>1610142.302913843</v>
      </c>
      <c r="W33" s="3">
        <f t="shared" si="27"/>
        <v>15432584.301731775</v>
      </c>
      <c r="X33" s="3">
        <f t="shared" si="27"/>
        <v>18.644645592472386</v>
      </c>
      <c r="Y33" s="3">
        <f t="shared" si="27"/>
        <v>180.54231815377426</v>
      </c>
      <c r="Z33" s="3">
        <f t="shared" si="27"/>
        <v>0</v>
      </c>
      <c r="AA33" s="3">
        <f t="shared" si="27"/>
        <v>1356912.0458935853</v>
      </c>
      <c r="AB33" s="3">
        <f t="shared" si="18"/>
        <v>18641337.718386874</v>
      </c>
      <c r="AC33" s="7" t="s">
        <v>124</v>
      </c>
      <c r="AD33" s="2" t="s">
        <v>52</v>
      </c>
      <c r="AE33" s="3">
        <f t="shared" si="19"/>
        <v>856181.226784428</v>
      </c>
      <c r="AF33" s="3">
        <f t="shared" si="19"/>
        <v>111778.14209321201</v>
      </c>
      <c r="AG33" s="3">
        <f t="shared" si="20"/>
        <v>967959.36887763999</v>
      </c>
      <c r="AH33" s="27" t="s">
        <v>124</v>
      </c>
      <c r="AI33" s="2" t="s">
        <v>52</v>
      </c>
      <c r="AJ33" s="28">
        <f t="shared" si="21"/>
        <v>4103031.5972076766</v>
      </c>
      <c r="AK33" s="28">
        <f t="shared" si="21"/>
        <v>46084.894277545711</v>
      </c>
      <c r="AL33" s="28">
        <f t="shared" si="21"/>
        <v>15460180.595779289</v>
      </c>
      <c r="AM33" s="28">
        <f t="shared" si="21"/>
        <v>0</v>
      </c>
      <c r="AN33" s="28">
        <f t="shared" si="22"/>
        <v>19609297.087264512</v>
      </c>
      <c r="AO33" s="27" t="s">
        <v>124</v>
      </c>
      <c r="AP33" s="2" t="s">
        <v>52</v>
      </c>
      <c r="AQ33" s="28">
        <f t="shared" si="23"/>
        <v>3176103.3599097771</v>
      </c>
      <c r="AR33" s="28">
        <f t="shared" si="23"/>
        <v>20741.655932481084</v>
      </c>
      <c r="AS33" s="28">
        <f t="shared" si="23"/>
        <v>15444492.702544613</v>
      </c>
      <c r="AT33" s="28">
        <f t="shared" si="23"/>
        <v>0</v>
      </c>
      <c r="AU33" s="28">
        <f t="shared" si="24"/>
        <v>18641337.71838687</v>
      </c>
      <c r="AV33" s="27" t="s">
        <v>124</v>
      </c>
      <c r="AW33" s="2" t="s">
        <v>52</v>
      </c>
      <c r="AX33" s="28">
        <f t="shared" si="25"/>
        <v>926928.23729789932</v>
      </c>
      <c r="AY33" s="28">
        <f t="shared" si="25"/>
        <v>25343.238345064623</v>
      </c>
      <c r="AZ33" s="28">
        <f t="shared" si="25"/>
        <v>15687.893234676152</v>
      </c>
      <c r="BA33" s="28">
        <f t="shared" si="25"/>
        <v>0</v>
      </c>
      <c r="BB33" s="28">
        <f t="shared" si="26"/>
        <v>967959.36887763999</v>
      </c>
      <c r="BC33" s="27" t="s">
        <v>124</v>
      </c>
      <c r="BD33" s="2" t="s">
        <v>52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7" t="s">
        <v>124</v>
      </c>
      <c r="BK33" s="2" t="s">
        <v>52</v>
      </c>
      <c r="BL33" s="28">
        <v>1768.1656872287467</v>
      </c>
      <c r="BM33" s="28">
        <v>7.4578582369889546</v>
      </c>
      <c r="BN33" s="28">
        <v>0</v>
      </c>
      <c r="BO33" s="28">
        <v>0</v>
      </c>
      <c r="BP33" s="28">
        <v>1775.6235454657358</v>
      </c>
      <c r="BQ33" s="27" t="s">
        <v>124</v>
      </c>
      <c r="BR33" s="2" t="s">
        <v>52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7" t="s">
        <v>124</v>
      </c>
      <c r="BY33" s="2" t="s">
        <v>52</v>
      </c>
      <c r="BZ33" s="28">
        <v>235735.10017371608</v>
      </c>
      <c r="CA33" s="28">
        <v>3989.1571647397791</v>
      </c>
      <c r="CB33" s="28">
        <v>0</v>
      </c>
      <c r="CC33" s="28">
        <v>0</v>
      </c>
      <c r="CD33" s="28">
        <v>239724.25733845585</v>
      </c>
      <c r="CE33" s="27" t="s">
        <v>124</v>
      </c>
      <c r="CF33" s="2" t="s">
        <v>52</v>
      </c>
      <c r="CG33" s="28">
        <v>1602828.8481118199</v>
      </c>
      <c r="CH33" s="28">
        <v>7313.4548020229286</v>
      </c>
      <c r="CI33" s="28">
        <v>0</v>
      </c>
      <c r="CJ33" s="28">
        <v>0</v>
      </c>
      <c r="CK33" s="28">
        <v>1610142.302913843</v>
      </c>
      <c r="CL33" s="27" t="s">
        <v>124</v>
      </c>
      <c r="CM33" s="2" t="s">
        <v>52</v>
      </c>
      <c r="CN33" s="28">
        <v>0</v>
      </c>
      <c r="CO33" s="28">
        <v>0</v>
      </c>
      <c r="CP33" s="28">
        <v>15432584.301731775</v>
      </c>
      <c r="CQ33" s="28">
        <v>0</v>
      </c>
      <c r="CR33" s="28">
        <v>15432584.301731775</v>
      </c>
      <c r="CS33" s="27" t="s">
        <v>124</v>
      </c>
      <c r="CT33" s="2" t="s">
        <v>52</v>
      </c>
      <c r="CU33" s="28">
        <v>18.644645592472386</v>
      </c>
      <c r="CV33" s="28">
        <v>0</v>
      </c>
      <c r="CW33" s="28">
        <v>0</v>
      </c>
      <c r="CX33" s="28">
        <v>0</v>
      </c>
      <c r="CY33" s="28">
        <v>18.644645592472386</v>
      </c>
      <c r="CZ33" s="27" t="s">
        <v>124</v>
      </c>
      <c r="DA33" s="2" t="s">
        <v>52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7" t="s">
        <v>124</v>
      </c>
      <c r="DH33" s="2" t="s">
        <v>52</v>
      </c>
      <c r="DI33" s="28">
        <v>180.54231815377426</v>
      </c>
      <c r="DJ33" s="28">
        <v>0</v>
      </c>
      <c r="DK33" s="28">
        <v>0</v>
      </c>
      <c r="DL33" s="28">
        <v>0</v>
      </c>
      <c r="DM33" s="28">
        <v>180.54231815377426</v>
      </c>
      <c r="DN33" s="27" t="s">
        <v>124</v>
      </c>
      <c r="DO33" s="2" t="s">
        <v>52</v>
      </c>
      <c r="DP33" s="28">
        <v>1335572.0589732663</v>
      </c>
      <c r="DQ33" s="28">
        <v>9431.5861074813874</v>
      </c>
      <c r="DR33" s="28">
        <v>11908.400812837752</v>
      </c>
      <c r="DS33" s="28">
        <v>0</v>
      </c>
      <c r="DT33" s="28">
        <v>1356912.0458935853</v>
      </c>
      <c r="DU33" s="27" t="s">
        <v>124</v>
      </c>
      <c r="DV33" s="2" t="s">
        <v>52</v>
      </c>
      <c r="DW33" s="28">
        <v>111778.14209321201</v>
      </c>
      <c r="DX33" s="28">
        <v>0</v>
      </c>
      <c r="DY33" s="28">
        <v>0</v>
      </c>
      <c r="DZ33" s="28">
        <v>0</v>
      </c>
      <c r="EA33" s="28">
        <v>111778.14209321201</v>
      </c>
      <c r="EB33" s="27" t="s">
        <v>124</v>
      </c>
      <c r="EC33" s="2" t="s">
        <v>52</v>
      </c>
      <c r="ED33" s="28">
        <v>815150.09520468733</v>
      </c>
      <c r="EE33" s="28">
        <v>25343.238345064623</v>
      </c>
      <c r="EF33" s="28">
        <v>15687.893234676152</v>
      </c>
      <c r="EG33" s="28">
        <v>0</v>
      </c>
      <c r="EH33" s="28">
        <v>856181.226784428</v>
      </c>
    </row>
    <row r="34" spans="1:138" x14ac:dyDescent="0.2">
      <c r="A34" s="7" t="s">
        <v>123</v>
      </c>
      <c r="B34" s="2" t="s">
        <v>51</v>
      </c>
      <c r="C34" s="3">
        <f t="shared" si="4"/>
        <v>0</v>
      </c>
      <c r="D34" s="3">
        <f t="shared" si="5"/>
        <v>3794.8439425454781</v>
      </c>
      <c r="E34" s="3">
        <f t="shared" si="6"/>
        <v>0</v>
      </c>
      <c r="F34" s="3">
        <f t="shared" si="7"/>
        <v>2152.0093085913281</v>
      </c>
      <c r="G34" s="3">
        <f t="shared" si="8"/>
        <v>0</v>
      </c>
      <c r="H34" s="3">
        <f t="shared" si="9"/>
        <v>0</v>
      </c>
      <c r="I34" s="3">
        <f t="shared" si="10"/>
        <v>2057.6471482988163</v>
      </c>
      <c r="J34" s="3">
        <f t="shared" si="11"/>
        <v>0</v>
      </c>
      <c r="K34" s="3">
        <f t="shared" si="12"/>
        <v>2953.2492252597667</v>
      </c>
      <c r="L34" s="3">
        <f t="shared" si="13"/>
        <v>85169.960853859171</v>
      </c>
      <c r="M34" s="3">
        <f t="shared" si="14"/>
        <v>350361.3026970569</v>
      </c>
      <c r="N34" s="3">
        <f t="shared" si="15"/>
        <v>9988.3668203208472</v>
      </c>
      <c r="O34" s="3">
        <f t="shared" si="16"/>
        <v>456477.37999593234</v>
      </c>
      <c r="P34" s="7" t="s">
        <v>123</v>
      </c>
      <c r="Q34" s="2" t="s">
        <v>51</v>
      </c>
      <c r="R34" s="3">
        <f t="shared" si="28"/>
        <v>0</v>
      </c>
      <c r="S34" s="3">
        <f t="shared" si="28"/>
        <v>3794.8439425454781</v>
      </c>
      <c r="T34" s="3">
        <f t="shared" si="28"/>
        <v>0</v>
      </c>
      <c r="U34" s="3">
        <f t="shared" si="28"/>
        <v>2152.0093085913281</v>
      </c>
      <c r="V34" s="3">
        <f t="shared" si="28"/>
        <v>0</v>
      </c>
      <c r="W34" s="3">
        <f t="shared" si="27"/>
        <v>0</v>
      </c>
      <c r="X34" s="3">
        <f t="shared" si="27"/>
        <v>2057.6471482988163</v>
      </c>
      <c r="Y34" s="3">
        <f t="shared" si="27"/>
        <v>0</v>
      </c>
      <c r="Z34" s="3">
        <f t="shared" si="27"/>
        <v>2953.2492252597667</v>
      </c>
      <c r="AA34" s="3">
        <f t="shared" si="27"/>
        <v>85169.960853859171</v>
      </c>
      <c r="AB34" s="3">
        <f t="shared" si="18"/>
        <v>96127.710478554567</v>
      </c>
      <c r="AC34" s="7" t="s">
        <v>123</v>
      </c>
      <c r="AD34" s="2" t="s">
        <v>51</v>
      </c>
      <c r="AE34" s="3">
        <f t="shared" si="19"/>
        <v>350361.3026970569</v>
      </c>
      <c r="AF34" s="3">
        <f t="shared" si="19"/>
        <v>9988.3668203208472</v>
      </c>
      <c r="AG34" s="3">
        <f t="shared" si="20"/>
        <v>360349.66951737774</v>
      </c>
      <c r="AH34" s="27" t="s">
        <v>123</v>
      </c>
      <c r="AI34" s="2" t="s">
        <v>51</v>
      </c>
      <c r="AJ34" s="28">
        <f t="shared" si="21"/>
        <v>215853.18373027164</v>
      </c>
      <c r="AK34" s="28">
        <f t="shared" si="21"/>
        <v>240624.19626566069</v>
      </c>
      <c r="AL34" s="28">
        <f t="shared" si="21"/>
        <v>0</v>
      </c>
      <c r="AM34" s="28">
        <f t="shared" si="21"/>
        <v>0</v>
      </c>
      <c r="AN34" s="28">
        <f t="shared" si="22"/>
        <v>456477.37999593234</v>
      </c>
      <c r="AO34" s="27" t="s">
        <v>123</v>
      </c>
      <c r="AP34" s="2" t="s">
        <v>51</v>
      </c>
      <c r="AQ34" s="28">
        <f t="shared" si="23"/>
        <v>42418.712641152131</v>
      </c>
      <c r="AR34" s="28">
        <f t="shared" si="23"/>
        <v>53708.997837402436</v>
      </c>
      <c r="AS34" s="28">
        <f t="shared" si="23"/>
        <v>0</v>
      </c>
      <c r="AT34" s="28">
        <f t="shared" si="23"/>
        <v>0</v>
      </c>
      <c r="AU34" s="28">
        <f t="shared" si="24"/>
        <v>96127.710478554567</v>
      </c>
      <c r="AV34" s="27" t="s">
        <v>123</v>
      </c>
      <c r="AW34" s="2" t="s">
        <v>51</v>
      </c>
      <c r="AX34" s="28">
        <f t="shared" si="25"/>
        <v>173434.4710891195</v>
      </c>
      <c r="AY34" s="28">
        <f t="shared" si="25"/>
        <v>186915.19842825824</v>
      </c>
      <c r="AZ34" s="28">
        <f t="shared" si="25"/>
        <v>0</v>
      </c>
      <c r="BA34" s="28">
        <f t="shared" si="25"/>
        <v>0</v>
      </c>
      <c r="BB34" s="28">
        <f t="shared" si="26"/>
        <v>360349.66951737774</v>
      </c>
      <c r="BC34" s="27" t="s">
        <v>123</v>
      </c>
      <c r="BD34" s="2" t="s">
        <v>51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7" t="s">
        <v>123</v>
      </c>
      <c r="BK34" s="2" t="s">
        <v>51</v>
      </c>
      <c r="BL34" s="28">
        <v>2021.9902787086096</v>
      </c>
      <c r="BM34" s="28">
        <v>1772.8536638368687</v>
      </c>
      <c r="BN34" s="28">
        <v>0</v>
      </c>
      <c r="BO34" s="28">
        <v>0</v>
      </c>
      <c r="BP34" s="28">
        <v>3794.8439425454781</v>
      </c>
      <c r="BQ34" s="27" t="s">
        <v>123</v>
      </c>
      <c r="BR34" s="2" t="s">
        <v>51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7" t="s">
        <v>123</v>
      </c>
      <c r="BY34" s="2" t="s">
        <v>51</v>
      </c>
      <c r="BZ34" s="28">
        <v>157.4307262214387</v>
      </c>
      <c r="CA34" s="28">
        <v>1994.5785823698895</v>
      </c>
      <c r="CB34" s="28">
        <v>0</v>
      </c>
      <c r="CC34" s="28">
        <v>0</v>
      </c>
      <c r="CD34" s="28">
        <v>2152.0093085913281</v>
      </c>
      <c r="CE34" s="27" t="s">
        <v>123</v>
      </c>
      <c r="CF34" s="2" t="s">
        <v>51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7" t="s">
        <v>123</v>
      </c>
      <c r="CM34" s="2" t="s">
        <v>51</v>
      </c>
      <c r="CN34" s="28">
        <v>0</v>
      </c>
      <c r="CO34" s="28">
        <v>0</v>
      </c>
      <c r="CP34" s="28">
        <v>0</v>
      </c>
      <c r="CQ34" s="28">
        <v>0</v>
      </c>
      <c r="CR34" s="28">
        <v>0</v>
      </c>
      <c r="CS34" s="27" t="s">
        <v>123</v>
      </c>
      <c r="CT34" s="2" t="s">
        <v>51</v>
      </c>
      <c r="CU34" s="28">
        <v>937.8962436907392</v>
      </c>
      <c r="CV34" s="28">
        <v>1119.7509046080772</v>
      </c>
      <c r="CW34" s="28">
        <v>0</v>
      </c>
      <c r="CX34" s="28">
        <v>0</v>
      </c>
      <c r="CY34" s="28">
        <v>2057.6471482988163</v>
      </c>
      <c r="CZ34" s="27" t="s">
        <v>123</v>
      </c>
      <c r="DA34" s="2" t="s">
        <v>51</v>
      </c>
      <c r="DB34" s="28">
        <v>651.66120549580887</v>
      </c>
      <c r="DC34" s="28">
        <v>2301.5880197639576</v>
      </c>
      <c r="DD34" s="28">
        <v>0</v>
      </c>
      <c r="DE34" s="28">
        <v>0</v>
      </c>
      <c r="DF34" s="28">
        <v>2953.2492252597667</v>
      </c>
      <c r="DG34" s="27" t="s">
        <v>123</v>
      </c>
      <c r="DH34" s="2" t="s">
        <v>51</v>
      </c>
      <c r="DI34" s="28">
        <v>0</v>
      </c>
      <c r="DJ34" s="28">
        <v>0</v>
      </c>
      <c r="DK34" s="28">
        <v>0</v>
      </c>
      <c r="DL34" s="28">
        <v>0</v>
      </c>
      <c r="DM34" s="28">
        <v>0</v>
      </c>
      <c r="DN34" s="27" t="s">
        <v>123</v>
      </c>
      <c r="DO34" s="2" t="s">
        <v>51</v>
      </c>
      <c r="DP34" s="28">
        <v>38649.734187035538</v>
      </c>
      <c r="DQ34" s="28">
        <v>46520.226666823641</v>
      </c>
      <c r="DR34" s="28">
        <v>0</v>
      </c>
      <c r="DS34" s="28">
        <v>0</v>
      </c>
      <c r="DT34" s="28">
        <v>85169.960853859171</v>
      </c>
      <c r="DU34" s="27" t="s">
        <v>123</v>
      </c>
      <c r="DV34" s="2" t="s">
        <v>51</v>
      </c>
      <c r="DW34" s="28">
        <v>5750.877866245336</v>
      </c>
      <c r="DX34" s="28">
        <v>4237.4889540755103</v>
      </c>
      <c r="DY34" s="28">
        <v>0</v>
      </c>
      <c r="DZ34" s="28">
        <v>0</v>
      </c>
      <c r="EA34" s="28">
        <v>9988.3668203208472</v>
      </c>
      <c r="EB34" s="27" t="s">
        <v>123</v>
      </c>
      <c r="EC34" s="2" t="s">
        <v>51</v>
      </c>
      <c r="ED34" s="28">
        <v>167683.59322287416</v>
      </c>
      <c r="EE34" s="28">
        <v>182677.70947418272</v>
      </c>
      <c r="EF34" s="28">
        <v>0</v>
      </c>
      <c r="EG34" s="28">
        <v>0</v>
      </c>
      <c r="EH34" s="28">
        <v>350361.3026970569</v>
      </c>
    </row>
    <row r="35" spans="1:138" x14ac:dyDescent="0.2">
      <c r="A35" s="7" t="s">
        <v>126</v>
      </c>
      <c r="B35" s="2" t="s">
        <v>54</v>
      </c>
      <c r="C35" s="3">
        <f t="shared" si="4"/>
        <v>0</v>
      </c>
      <c r="D35" s="3">
        <f t="shared" si="5"/>
        <v>0</v>
      </c>
      <c r="E35" s="3">
        <f t="shared" si="6"/>
        <v>0</v>
      </c>
      <c r="F35" s="3">
        <f t="shared" si="7"/>
        <v>14026.265611441984</v>
      </c>
      <c r="G35" s="3">
        <f t="shared" si="8"/>
        <v>0</v>
      </c>
      <c r="H35" s="3">
        <f t="shared" si="9"/>
        <v>0</v>
      </c>
      <c r="I35" s="3">
        <f t="shared" si="10"/>
        <v>99.177699252609216</v>
      </c>
      <c r="J35" s="3">
        <f t="shared" si="11"/>
        <v>0</v>
      </c>
      <c r="K35" s="3">
        <f t="shared" si="12"/>
        <v>0</v>
      </c>
      <c r="L35" s="3">
        <f t="shared" si="13"/>
        <v>3178.0988263911436</v>
      </c>
      <c r="M35" s="3">
        <f t="shared" si="14"/>
        <v>0</v>
      </c>
      <c r="N35" s="3">
        <f t="shared" si="15"/>
        <v>0</v>
      </c>
      <c r="O35" s="3">
        <f t="shared" si="16"/>
        <v>17303.542137085737</v>
      </c>
      <c r="P35" s="7" t="s">
        <v>126</v>
      </c>
      <c r="Q35" s="2" t="s">
        <v>54</v>
      </c>
      <c r="R35" s="3">
        <f t="shared" si="28"/>
        <v>0</v>
      </c>
      <c r="S35" s="3">
        <f t="shared" si="28"/>
        <v>0</v>
      </c>
      <c r="T35" s="3">
        <f t="shared" si="28"/>
        <v>0</v>
      </c>
      <c r="U35" s="3">
        <f t="shared" si="28"/>
        <v>14026.265611441984</v>
      </c>
      <c r="V35" s="3">
        <f t="shared" si="28"/>
        <v>0</v>
      </c>
      <c r="W35" s="3">
        <f t="shared" si="27"/>
        <v>0</v>
      </c>
      <c r="X35" s="3">
        <f t="shared" si="27"/>
        <v>99.177699252609216</v>
      </c>
      <c r="Y35" s="3">
        <f t="shared" si="27"/>
        <v>0</v>
      </c>
      <c r="Z35" s="3">
        <f t="shared" si="27"/>
        <v>0</v>
      </c>
      <c r="AA35" s="3">
        <f t="shared" si="27"/>
        <v>3178.0988263911436</v>
      </c>
      <c r="AB35" s="3">
        <f t="shared" si="18"/>
        <v>17303.542137085737</v>
      </c>
      <c r="AC35" s="7" t="s">
        <v>126</v>
      </c>
      <c r="AD35" s="2" t="s">
        <v>54</v>
      </c>
      <c r="AE35" s="3">
        <f t="shared" si="19"/>
        <v>0</v>
      </c>
      <c r="AF35" s="3">
        <f t="shared" si="19"/>
        <v>0</v>
      </c>
      <c r="AG35" s="3">
        <f t="shared" si="20"/>
        <v>0</v>
      </c>
      <c r="AH35" s="27" t="s">
        <v>126</v>
      </c>
      <c r="AI35" s="2" t="s">
        <v>54</v>
      </c>
      <c r="AJ35" s="28">
        <f t="shared" si="21"/>
        <v>17215.240481095403</v>
      </c>
      <c r="AK35" s="28">
        <f t="shared" si="21"/>
        <v>88.301655990333657</v>
      </c>
      <c r="AL35" s="28">
        <f t="shared" si="21"/>
        <v>0</v>
      </c>
      <c r="AM35" s="28">
        <f t="shared" si="21"/>
        <v>0</v>
      </c>
      <c r="AN35" s="28">
        <f t="shared" si="22"/>
        <v>17303.542137085737</v>
      </c>
      <c r="AO35" s="27" t="s">
        <v>126</v>
      </c>
      <c r="AP35" s="2" t="s">
        <v>54</v>
      </c>
      <c r="AQ35" s="28">
        <f t="shared" si="23"/>
        <v>17215.240481095403</v>
      </c>
      <c r="AR35" s="28">
        <f t="shared" si="23"/>
        <v>88.301655990333657</v>
      </c>
      <c r="AS35" s="28">
        <f t="shared" si="23"/>
        <v>0</v>
      </c>
      <c r="AT35" s="28">
        <f t="shared" si="23"/>
        <v>0</v>
      </c>
      <c r="AU35" s="28">
        <f t="shared" si="24"/>
        <v>17303.542137085737</v>
      </c>
      <c r="AV35" s="27" t="s">
        <v>126</v>
      </c>
      <c r="AW35" s="2" t="s">
        <v>54</v>
      </c>
      <c r="AX35" s="28">
        <f t="shared" si="25"/>
        <v>0</v>
      </c>
      <c r="AY35" s="28">
        <f t="shared" si="25"/>
        <v>0</v>
      </c>
      <c r="AZ35" s="28">
        <f t="shared" si="25"/>
        <v>0</v>
      </c>
      <c r="BA35" s="28">
        <f t="shared" si="25"/>
        <v>0</v>
      </c>
      <c r="BB35" s="28">
        <f t="shared" si="26"/>
        <v>0</v>
      </c>
      <c r="BC35" s="27" t="s">
        <v>126</v>
      </c>
      <c r="BD35" s="2" t="s">
        <v>54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7" t="s">
        <v>126</v>
      </c>
      <c r="BK35" s="2" t="s">
        <v>54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7" t="s">
        <v>126</v>
      </c>
      <c r="BR35" s="2" t="s">
        <v>54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7" t="s">
        <v>126</v>
      </c>
      <c r="BY35" s="2" t="s">
        <v>54</v>
      </c>
      <c r="BZ35" s="28">
        <v>14026.265611441984</v>
      </c>
      <c r="CA35" s="28">
        <v>0</v>
      </c>
      <c r="CB35" s="28">
        <v>0</v>
      </c>
      <c r="CC35" s="28">
        <v>0</v>
      </c>
      <c r="CD35" s="28">
        <v>14026.265611441984</v>
      </c>
      <c r="CE35" s="27" t="s">
        <v>126</v>
      </c>
      <c r="CF35" s="2" t="s">
        <v>54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7" t="s">
        <v>126</v>
      </c>
      <c r="CM35" s="2" t="s">
        <v>54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7" t="s">
        <v>126</v>
      </c>
      <c r="CT35" s="2" t="s">
        <v>54</v>
      </c>
      <c r="CU35" s="28">
        <v>10.876043262275559</v>
      </c>
      <c r="CV35" s="28">
        <v>88.301655990333657</v>
      </c>
      <c r="CW35" s="28">
        <v>0</v>
      </c>
      <c r="CX35" s="28">
        <v>0</v>
      </c>
      <c r="CY35" s="28">
        <v>99.177699252609216</v>
      </c>
      <c r="CZ35" s="27" t="s">
        <v>126</v>
      </c>
      <c r="DA35" s="2" t="s">
        <v>54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7" t="s">
        <v>126</v>
      </c>
      <c r="DH35" s="2" t="s">
        <v>54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7" t="s">
        <v>126</v>
      </c>
      <c r="DO35" s="2" t="s">
        <v>54</v>
      </c>
      <c r="DP35" s="28">
        <v>3178.0988263911436</v>
      </c>
      <c r="DQ35" s="28">
        <v>0</v>
      </c>
      <c r="DR35" s="28">
        <v>0</v>
      </c>
      <c r="DS35" s="28">
        <v>0</v>
      </c>
      <c r="DT35" s="28">
        <v>3178.0988263911436</v>
      </c>
      <c r="DU35" s="27" t="s">
        <v>126</v>
      </c>
      <c r="DV35" s="2" t="s">
        <v>54</v>
      </c>
      <c r="DW35" s="28">
        <v>0</v>
      </c>
      <c r="DX35" s="28">
        <v>0</v>
      </c>
      <c r="DY35" s="28">
        <v>0</v>
      </c>
      <c r="DZ35" s="28">
        <v>0</v>
      </c>
      <c r="EA35" s="28">
        <v>0</v>
      </c>
      <c r="EB35" s="27" t="s">
        <v>126</v>
      </c>
      <c r="EC35" s="2" t="s">
        <v>54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</row>
    <row r="36" spans="1:138" x14ac:dyDescent="0.2">
      <c r="A36" s="7" t="s">
        <v>129</v>
      </c>
      <c r="B36" s="2" t="s">
        <v>57</v>
      </c>
      <c r="C36" s="3">
        <f t="shared" si="4"/>
        <v>19095.995974745525</v>
      </c>
      <c r="D36" s="3">
        <f t="shared" si="5"/>
        <v>1249308.4040685606</v>
      </c>
      <c r="E36" s="3">
        <f t="shared" si="6"/>
        <v>22114632.231841985</v>
      </c>
      <c r="F36" s="3">
        <f t="shared" si="7"/>
        <v>93663.689411113912</v>
      </c>
      <c r="G36" s="3">
        <f t="shared" si="8"/>
        <v>299807.97980550257</v>
      </c>
      <c r="H36" s="3">
        <f t="shared" si="9"/>
        <v>0</v>
      </c>
      <c r="I36" s="3">
        <f t="shared" si="10"/>
        <v>35879.87351089561</v>
      </c>
      <c r="J36" s="3">
        <f t="shared" si="11"/>
        <v>5834.2380492528227</v>
      </c>
      <c r="K36" s="3">
        <f t="shared" si="12"/>
        <v>665252.31838822505</v>
      </c>
      <c r="L36" s="3">
        <f t="shared" si="13"/>
        <v>31562.280668173917</v>
      </c>
      <c r="M36" s="3">
        <f t="shared" si="14"/>
        <v>18523904.269507464</v>
      </c>
      <c r="N36" s="3">
        <f t="shared" si="15"/>
        <v>10735395.766178694</v>
      </c>
      <c r="O36" s="3">
        <f t="shared" si="16"/>
        <v>53774337.047404617</v>
      </c>
      <c r="P36" s="7" t="s">
        <v>129</v>
      </c>
      <c r="Q36" s="2" t="s">
        <v>57</v>
      </c>
      <c r="R36" s="3">
        <f t="shared" si="28"/>
        <v>19095.995974745525</v>
      </c>
      <c r="S36" s="3">
        <f t="shared" si="28"/>
        <v>1249308.4040685606</v>
      </c>
      <c r="T36" s="3">
        <f t="shared" si="28"/>
        <v>22114632.231841985</v>
      </c>
      <c r="U36" s="3">
        <f t="shared" si="28"/>
        <v>93663.689411113912</v>
      </c>
      <c r="V36" s="3">
        <f t="shared" si="28"/>
        <v>299807.97980550257</v>
      </c>
      <c r="W36" s="3">
        <f t="shared" si="27"/>
        <v>0</v>
      </c>
      <c r="X36" s="3">
        <f t="shared" si="27"/>
        <v>35879.87351089561</v>
      </c>
      <c r="Y36" s="3">
        <f t="shared" si="27"/>
        <v>5834.2380492528227</v>
      </c>
      <c r="Z36" s="3">
        <f t="shared" si="27"/>
        <v>665252.31838822505</v>
      </c>
      <c r="AA36" s="3">
        <f t="shared" si="27"/>
        <v>31562.280668173917</v>
      </c>
      <c r="AB36" s="3">
        <f t="shared" si="18"/>
        <v>24515037.011718456</v>
      </c>
      <c r="AC36" s="7" t="s">
        <v>129</v>
      </c>
      <c r="AD36" s="2" t="s">
        <v>57</v>
      </c>
      <c r="AE36" s="3">
        <f t="shared" si="19"/>
        <v>18523904.269507464</v>
      </c>
      <c r="AF36" s="3">
        <f t="shared" si="19"/>
        <v>10735395.766178694</v>
      </c>
      <c r="AG36" s="3">
        <f t="shared" si="20"/>
        <v>29259300.035686158</v>
      </c>
      <c r="AH36" s="27" t="s">
        <v>129</v>
      </c>
      <c r="AI36" s="2" t="s">
        <v>57</v>
      </c>
      <c r="AJ36" s="28">
        <f t="shared" si="21"/>
        <v>25469094.588988602</v>
      </c>
      <c r="AK36" s="28">
        <f t="shared" si="21"/>
        <v>6259613.6139637753</v>
      </c>
      <c r="AL36" s="28">
        <f t="shared" si="21"/>
        <v>16034410.504170207</v>
      </c>
      <c r="AM36" s="28">
        <f t="shared" si="21"/>
        <v>6011218.3402820239</v>
      </c>
      <c r="AN36" s="28">
        <f t="shared" si="22"/>
        <v>53774337.04740461</v>
      </c>
      <c r="AO36" s="27" t="s">
        <v>129</v>
      </c>
      <c r="AP36" s="2" t="s">
        <v>57</v>
      </c>
      <c r="AQ36" s="28">
        <f t="shared" si="23"/>
        <v>2291656.670667164</v>
      </c>
      <c r="AR36" s="28">
        <f t="shared" si="23"/>
        <v>2291446.7242629887</v>
      </c>
      <c r="AS36" s="28">
        <f t="shared" si="23"/>
        <v>15456258.869848689</v>
      </c>
      <c r="AT36" s="28">
        <f t="shared" si="23"/>
        <v>4475674.7469396107</v>
      </c>
      <c r="AU36" s="28">
        <f t="shared" si="24"/>
        <v>24515037.011718452</v>
      </c>
      <c r="AV36" s="27" t="s">
        <v>129</v>
      </c>
      <c r="AW36" s="2" t="s">
        <v>57</v>
      </c>
      <c r="AX36" s="28">
        <f t="shared" si="25"/>
        <v>23177437.918321438</v>
      </c>
      <c r="AY36" s="28">
        <f t="shared" si="25"/>
        <v>3968166.8897007867</v>
      </c>
      <c r="AZ36" s="28">
        <f t="shared" si="25"/>
        <v>578151.63432151743</v>
      </c>
      <c r="BA36" s="28">
        <f t="shared" si="25"/>
        <v>1535543.593342413</v>
      </c>
      <c r="BB36" s="28">
        <f t="shared" si="26"/>
        <v>29259300.035686154</v>
      </c>
      <c r="BC36" s="27" t="s">
        <v>129</v>
      </c>
      <c r="BD36" s="2" t="s">
        <v>57</v>
      </c>
      <c r="BE36" s="28">
        <v>13274.240371052947</v>
      </c>
      <c r="BF36" s="28">
        <v>5732.6505581348556</v>
      </c>
      <c r="BG36" s="28">
        <v>89.105045557724651</v>
      </c>
      <c r="BH36" s="28">
        <v>0</v>
      </c>
      <c r="BI36" s="28">
        <v>19095.995974745525</v>
      </c>
      <c r="BJ36" s="27" t="s">
        <v>129</v>
      </c>
      <c r="BK36" s="2" t="s">
        <v>57</v>
      </c>
      <c r="BL36" s="28">
        <v>1760.5661108114509</v>
      </c>
      <c r="BM36" s="28">
        <v>72.769379000427008</v>
      </c>
      <c r="BN36" s="28">
        <v>311868.76714468712</v>
      </c>
      <c r="BO36" s="28">
        <v>935606.30143406149</v>
      </c>
      <c r="BP36" s="28">
        <v>1249308.4040685606</v>
      </c>
      <c r="BQ36" s="27" t="s">
        <v>129</v>
      </c>
      <c r="BR36" s="2" t="s">
        <v>57</v>
      </c>
      <c r="BS36" s="28">
        <v>1809251.1954831926</v>
      </c>
      <c r="BT36" s="28">
        <v>1792420.5166257848</v>
      </c>
      <c r="BU36" s="28">
        <v>14972892.074227458</v>
      </c>
      <c r="BV36" s="28">
        <v>3540068.4455055492</v>
      </c>
      <c r="BW36" s="28">
        <v>22114632.231841985</v>
      </c>
      <c r="BX36" s="27" t="s">
        <v>129</v>
      </c>
      <c r="BY36" s="2" t="s">
        <v>57</v>
      </c>
      <c r="BZ36" s="28">
        <v>18476.662972944665</v>
      </c>
      <c r="CA36" s="28">
        <v>75187.02643816924</v>
      </c>
      <c r="CB36" s="28">
        <v>0</v>
      </c>
      <c r="CC36" s="28">
        <v>0</v>
      </c>
      <c r="CD36" s="28">
        <v>93663.689411113912</v>
      </c>
      <c r="CE36" s="27" t="s">
        <v>129</v>
      </c>
      <c r="CF36" s="2" t="s">
        <v>57</v>
      </c>
      <c r="CG36" s="28">
        <v>27548.003312012675</v>
      </c>
      <c r="CH36" s="28">
        <v>121004.43399710664</v>
      </c>
      <c r="CI36" s="28">
        <v>151255.54249638328</v>
      </c>
      <c r="CJ36" s="28">
        <v>0</v>
      </c>
      <c r="CK36" s="28">
        <v>299807.97980550257</v>
      </c>
      <c r="CL36" s="27" t="s">
        <v>129</v>
      </c>
      <c r="CM36" s="2" t="s">
        <v>57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7" t="s">
        <v>129</v>
      </c>
      <c r="CT36" s="2" t="s">
        <v>57</v>
      </c>
      <c r="CU36" s="28">
        <v>34263.932142250946</v>
      </c>
      <c r="CV36" s="28">
        <v>1615.9413686446608</v>
      </c>
      <c r="CW36" s="28">
        <v>0</v>
      </c>
      <c r="CX36" s="28">
        <v>0</v>
      </c>
      <c r="CY36" s="28">
        <v>35879.87351089561</v>
      </c>
      <c r="CZ36" s="27" t="s">
        <v>129</v>
      </c>
      <c r="DA36" s="2" t="s">
        <v>57</v>
      </c>
      <c r="DB36" s="28">
        <v>361210.70839201729</v>
      </c>
      <c r="DC36" s="28">
        <v>285391.87337532494</v>
      </c>
      <c r="DD36" s="28">
        <v>18649.736620882748</v>
      </c>
      <c r="DE36" s="28">
        <v>0</v>
      </c>
      <c r="DF36" s="28">
        <v>665252.31838822505</v>
      </c>
      <c r="DG36" s="27" t="s">
        <v>129</v>
      </c>
      <c r="DH36" s="2" t="s">
        <v>57</v>
      </c>
      <c r="DI36" s="28">
        <v>5834.2380492528227</v>
      </c>
      <c r="DJ36" s="28">
        <v>0</v>
      </c>
      <c r="DK36" s="28">
        <v>0</v>
      </c>
      <c r="DL36" s="28">
        <v>0</v>
      </c>
      <c r="DM36" s="28">
        <v>5834.2380492528227</v>
      </c>
      <c r="DN36" s="27" t="s">
        <v>129</v>
      </c>
      <c r="DO36" s="2" t="s">
        <v>57</v>
      </c>
      <c r="DP36" s="28">
        <v>20037.123833628881</v>
      </c>
      <c r="DQ36" s="28">
        <v>10021.512520823238</v>
      </c>
      <c r="DR36" s="28">
        <v>1503.6443137217989</v>
      </c>
      <c r="DS36" s="28">
        <v>0</v>
      </c>
      <c r="DT36" s="28">
        <v>31562.280668173917</v>
      </c>
      <c r="DU36" s="27" t="s">
        <v>129</v>
      </c>
      <c r="DV36" s="2" t="s">
        <v>57</v>
      </c>
      <c r="DW36" s="28">
        <v>4795391.4362149071</v>
      </c>
      <c r="DX36" s="28">
        <v>3826309.1022998565</v>
      </c>
      <c r="DY36" s="28">
        <v>578151.63432151743</v>
      </c>
      <c r="DZ36" s="28">
        <v>1535543.593342413</v>
      </c>
      <c r="EA36" s="28">
        <v>10735395.766178694</v>
      </c>
      <c r="EB36" s="27" t="s">
        <v>129</v>
      </c>
      <c r="EC36" s="2" t="s">
        <v>57</v>
      </c>
      <c r="ED36" s="28">
        <v>18382046.482106533</v>
      </c>
      <c r="EE36" s="28">
        <v>141857.78740093028</v>
      </c>
      <c r="EF36" s="28">
        <v>0</v>
      </c>
      <c r="EG36" s="28">
        <v>0</v>
      </c>
      <c r="EH36" s="28">
        <v>18523904.269507464</v>
      </c>
    </row>
    <row r="37" spans="1:138" x14ac:dyDescent="0.2">
      <c r="A37" s="7" t="s">
        <v>128</v>
      </c>
      <c r="B37" s="2" t="s">
        <v>56</v>
      </c>
      <c r="C37" s="3">
        <f t="shared" si="4"/>
        <v>1280.2869769755539</v>
      </c>
      <c r="D37" s="3">
        <f t="shared" si="5"/>
        <v>3134.6915733413007</v>
      </c>
      <c r="E37" s="3">
        <f t="shared" si="6"/>
        <v>711.47114143781084</v>
      </c>
      <c r="F37" s="3">
        <f t="shared" si="7"/>
        <v>523031.85584361589</v>
      </c>
      <c r="G37" s="3">
        <f t="shared" si="8"/>
        <v>1301.9258361543245</v>
      </c>
      <c r="H37" s="3">
        <f t="shared" si="9"/>
        <v>814840.45113143779</v>
      </c>
      <c r="I37" s="3">
        <f t="shared" si="10"/>
        <v>37693202.352994077</v>
      </c>
      <c r="J37" s="3">
        <f t="shared" si="11"/>
        <v>1451.3197984638336</v>
      </c>
      <c r="K37" s="3">
        <f t="shared" si="12"/>
        <v>4568196.3149829693</v>
      </c>
      <c r="L37" s="3">
        <f t="shared" si="13"/>
        <v>2185602.2849067077</v>
      </c>
      <c r="M37" s="3">
        <f t="shared" si="14"/>
        <v>2196099.6445083129</v>
      </c>
      <c r="N37" s="3">
        <f t="shared" si="15"/>
        <v>30994446.598130692</v>
      </c>
      <c r="O37" s="3">
        <f t="shared" si="16"/>
        <v>78983299.19782418</v>
      </c>
      <c r="P37" s="7" t="s">
        <v>128</v>
      </c>
      <c r="Q37" s="2" t="s">
        <v>56</v>
      </c>
      <c r="R37" s="3">
        <f t="shared" si="28"/>
        <v>1280.2869769755539</v>
      </c>
      <c r="S37" s="3">
        <f t="shared" si="28"/>
        <v>3134.6915733413007</v>
      </c>
      <c r="T37" s="3">
        <f t="shared" si="28"/>
        <v>711.47114143781084</v>
      </c>
      <c r="U37" s="3">
        <f t="shared" si="28"/>
        <v>523031.85584361589</v>
      </c>
      <c r="V37" s="3">
        <f t="shared" si="28"/>
        <v>1301.9258361543245</v>
      </c>
      <c r="W37" s="3">
        <f t="shared" si="27"/>
        <v>814840.45113143779</v>
      </c>
      <c r="X37" s="3">
        <f t="shared" si="27"/>
        <v>37693202.352994077</v>
      </c>
      <c r="Y37" s="3">
        <f t="shared" si="27"/>
        <v>1451.3197984638336</v>
      </c>
      <c r="Z37" s="3">
        <f t="shared" si="27"/>
        <v>4568196.3149829693</v>
      </c>
      <c r="AA37" s="3">
        <f t="shared" si="27"/>
        <v>2185602.2849067077</v>
      </c>
      <c r="AB37" s="3">
        <f t="shared" si="18"/>
        <v>45792752.955185182</v>
      </c>
      <c r="AC37" s="7" t="s">
        <v>128</v>
      </c>
      <c r="AD37" s="2" t="s">
        <v>56</v>
      </c>
      <c r="AE37" s="3">
        <f t="shared" si="19"/>
        <v>2196099.6445083129</v>
      </c>
      <c r="AF37" s="3">
        <f t="shared" si="19"/>
        <v>30994446.598130692</v>
      </c>
      <c r="AG37" s="3">
        <f t="shared" si="20"/>
        <v>33190546.242639005</v>
      </c>
      <c r="AH37" s="27" t="s">
        <v>128</v>
      </c>
      <c r="AI37" s="2" t="s">
        <v>56</v>
      </c>
      <c r="AJ37" s="28">
        <f t="shared" si="21"/>
        <v>68523913.771389231</v>
      </c>
      <c r="AK37" s="28">
        <f t="shared" si="21"/>
        <v>7087338.8216803987</v>
      </c>
      <c r="AL37" s="28">
        <f t="shared" si="21"/>
        <v>2557206.1536231157</v>
      </c>
      <c r="AM37" s="28">
        <f t="shared" si="21"/>
        <v>814840.45113143779</v>
      </c>
      <c r="AN37" s="28">
        <f t="shared" si="22"/>
        <v>78983299.19782418</v>
      </c>
      <c r="AO37" s="27" t="s">
        <v>128</v>
      </c>
      <c r="AP37" s="2" t="s">
        <v>56</v>
      </c>
      <c r="AQ37" s="28">
        <f t="shared" si="23"/>
        <v>39218360.150510207</v>
      </c>
      <c r="AR37" s="28">
        <f t="shared" si="23"/>
        <v>3202346.1999204187</v>
      </c>
      <c r="AS37" s="28">
        <f t="shared" si="23"/>
        <v>2557206.1536231157</v>
      </c>
      <c r="AT37" s="28">
        <f t="shared" si="23"/>
        <v>814840.45113143779</v>
      </c>
      <c r="AU37" s="28">
        <f t="shared" si="24"/>
        <v>45792752.955185182</v>
      </c>
      <c r="AV37" s="27" t="s">
        <v>128</v>
      </c>
      <c r="AW37" s="2" t="s">
        <v>56</v>
      </c>
      <c r="AX37" s="28">
        <f t="shared" si="25"/>
        <v>29305553.620879024</v>
      </c>
      <c r="AY37" s="28">
        <f t="shared" si="25"/>
        <v>3884992.62175998</v>
      </c>
      <c r="AZ37" s="28">
        <f t="shared" si="25"/>
        <v>0</v>
      </c>
      <c r="BA37" s="28">
        <f t="shared" si="25"/>
        <v>0</v>
      </c>
      <c r="BB37" s="28">
        <f t="shared" si="26"/>
        <v>33190546.242639005</v>
      </c>
      <c r="BC37" s="27" t="s">
        <v>128</v>
      </c>
      <c r="BD37" s="2" t="s">
        <v>56</v>
      </c>
      <c r="BE37" s="28">
        <v>1140.452135032011</v>
      </c>
      <c r="BF37" s="28">
        <v>139.8348419435429</v>
      </c>
      <c r="BG37" s="28">
        <v>0</v>
      </c>
      <c r="BH37" s="28">
        <v>0</v>
      </c>
      <c r="BI37" s="28">
        <v>1280.2869769755539</v>
      </c>
      <c r="BJ37" s="27" t="s">
        <v>128</v>
      </c>
      <c r="BK37" s="2" t="s">
        <v>56</v>
      </c>
      <c r="BL37" s="28">
        <v>2968.476691477143</v>
      </c>
      <c r="BM37" s="28">
        <v>166.21488186415746</v>
      </c>
      <c r="BN37" s="28">
        <v>0</v>
      </c>
      <c r="BO37" s="28">
        <v>0</v>
      </c>
      <c r="BP37" s="28">
        <v>3134.6915733413007</v>
      </c>
      <c r="BQ37" s="27" t="s">
        <v>128</v>
      </c>
      <c r="BR37" s="2" t="s">
        <v>56</v>
      </c>
      <c r="BS37" s="28">
        <v>711.47114143781084</v>
      </c>
      <c r="BT37" s="28">
        <v>0</v>
      </c>
      <c r="BU37" s="28">
        <v>0</v>
      </c>
      <c r="BV37" s="28">
        <v>0</v>
      </c>
      <c r="BW37" s="28">
        <v>711.47114143781084</v>
      </c>
      <c r="BX37" s="27" t="s">
        <v>128</v>
      </c>
      <c r="BY37" s="2" t="s">
        <v>56</v>
      </c>
      <c r="BZ37" s="28">
        <v>359902.81526012794</v>
      </c>
      <c r="CA37" s="28">
        <v>48691.283791379625</v>
      </c>
      <c r="CB37" s="28">
        <v>114437.75679210835</v>
      </c>
      <c r="CC37" s="28">
        <v>0</v>
      </c>
      <c r="CD37" s="28">
        <v>523031.85584361589</v>
      </c>
      <c r="CE37" s="27" t="s">
        <v>128</v>
      </c>
      <c r="CF37" s="2" t="s">
        <v>56</v>
      </c>
      <c r="CG37" s="28">
        <v>1301.9258361543245</v>
      </c>
      <c r="CH37" s="28">
        <v>0</v>
      </c>
      <c r="CI37" s="28">
        <v>0</v>
      </c>
      <c r="CJ37" s="28">
        <v>0</v>
      </c>
      <c r="CK37" s="28">
        <v>1301.9258361543245</v>
      </c>
      <c r="CL37" s="27" t="s">
        <v>128</v>
      </c>
      <c r="CM37" s="2" t="s">
        <v>56</v>
      </c>
      <c r="CN37" s="28">
        <v>0</v>
      </c>
      <c r="CO37" s="28">
        <v>0</v>
      </c>
      <c r="CP37" s="28">
        <v>0</v>
      </c>
      <c r="CQ37" s="28">
        <v>814840.45113143779</v>
      </c>
      <c r="CR37" s="28">
        <v>814840.45113143779</v>
      </c>
      <c r="CS37" s="27" t="s">
        <v>128</v>
      </c>
      <c r="CT37" s="2" t="s">
        <v>56</v>
      </c>
      <c r="CU37" s="28">
        <v>37686410.014627978</v>
      </c>
      <c r="CV37" s="28">
        <v>6792.3383660977015</v>
      </c>
      <c r="CW37" s="28">
        <v>0</v>
      </c>
      <c r="CX37" s="28">
        <v>0</v>
      </c>
      <c r="CY37" s="28">
        <v>37693202.352994077</v>
      </c>
      <c r="CZ37" s="27" t="s">
        <v>128</v>
      </c>
      <c r="DA37" s="2" t="s">
        <v>56</v>
      </c>
      <c r="DB37" s="28">
        <v>974378.50848815544</v>
      </c>
      <c r="DC37" s="28">
        <v>1594154.7398511304</v>
      </c>
      <c r="DD37" s="28">
        <v>1999663.0666436837</v>
      </c>
      <c r="DE37" s="28">
        <v>0</v>
      </c>
      <c r="DF37" s="28">
        <v>4568196.3149829693</v>
      </c>
      <c r="DG37" s="27" t="s">
        <v>128</v>
      </c>
      <c r="DH37" s="2" t="s">
        <v>56</v>
      </c>
      <c r="DI37" s="28">
        <v>0.16080964149583682</v>
      </c>
      <c r="DJ37" s="28">
        <v>1451.1589888223377</v>
      </c>
      <c r="DK37" s="28">
        <v>0</v>
      </c>
      <c r="DL37" s="28">
        <v>0</v>
      </c>
      <c r="DM37" s="28">
        <v>1451.3197984638336</v>
      </c>
      <c r="DN37" s="27" t="s">
        <v>128</v>
      </c>
      <c r="DO37" s="2" t="s">
        <v>56</v>
      </c>
      <c r="DP37" s="28">
        <v>191546.32552020307</v>
      </c>
      <c r="DQ37" s="28">
        <v>1550950.6291991812</v>
      </c>
      <c r="DR37" s="28">
        <v>443105.33018732368</v>
      </c>
      <c r="DS37" s="28">
        <v>0</v>
      </c>
      <c r="DT37" s="28">
        <v>2185602.2849067077</v>
      </c>
      <c r="DU37" s="27" t="s">
        <v>128</v>
      </c>
      <c r="DV37" s="2" t="s">
        <v>56</v>
      </c>
      <c r="DW37" s="28">
        <v>27159178.0340744</v>
      </c>
      <c r="DX37" s="28">
        <v>3835268.5640562931</v>
      </c>
      <c r="DY37" s="28">
        <v>0</v>
      </c>
      <c r="DZ37" s="28">
        <v>0</v>
      </c>
      <c r="EA37" s="28">
        <v>30994446.598130692</v>
      </c>
      <c r="EB37" s="27" t="s">
        <v>128</v>
      </c>
      <c r="EC37" s="2" t="s">
        <v>56</v>
      </c>
      <c r="ED37" s="28">
        <v>2146375.586804626</v>
      </c>
      <c r="EE37" s="28">
        <v>49724.057703686718</v>
      </c>
      <c r="EF37" s="28">
        <v>0</v>
      </c>
      <c r="EG37" s="28">
        <v>0</v>
      </c>
      <c r="EH37" s="28">
        <v>2196099.6445083129</v>
      </c>
    </row>
    <row r="38" spans="1:138" x14ac:dyDescent="0.2">
      <c r="A38" s="7" t="s">
        <v>127</v>
      </c>
      <c r="B38" s="2" t="s">
        <v>55</v>
      </c>
      <c r="C38" s="3">
        <f t="shared" si="4"/>
        <v>0</v>
      </c>
      <c r="D38" s="3">
        <f t="shared" si="5"/>
        <v>0</v>
      </c>
      <c r="E38" s="3">
        <f t="shared" si="6"/>
        <v>0</v>
      </c>
      <c r="F38" s="3">
        <f t="shared" si="7"/>
        <v>104953.2847963119</v>
      </c>
      <c r="G38" s="3">
        <f t="shared" si="8"/>
        <v>0</v>
      </c>
      <c r="H38" s="3">
        <f t="shared" si="9"/>
        <v>0</v>
      </c>
      <c r="I38" s="3">
        <f t="shared" si="10"/>
        <v>42851.142411141889</v>
      </c>
      <c r="J38" s="3">
        <f t="shared" si="11"/>
        <v>0</v>
      </c>
      <c r="K38" s="3">
        <f t="shared" si="12"/>
        <v>0</v>
      </c>
      <c r="L38" s="3">
        <f t="shared" si="13"/>
        <v>92400.767491041901</v>
      </c>
      <c r="M38" s="3">
        <f t="shared" si="14"/>
        <v>446361.40723347204</v>
      </c>
      <c r="N38" s="3">
        <f t="shared" si="15"/>
        <v>0</v>
      </c>
      <c r="O38" s="3">
        <f t="shared" si="16"/>
        <v>686566.60193196777</v>
      </c>
      <c r="P38" s="7" t="s">
        <v>127</v>
      </c>
      <c r="Q38" s="2" t="s">
        <v>55</v>
      </c>
      <c r="R38" s="3">
        <f t="shared" si="28"/>
        <v>0</v>
      </c>
      <c r="S38" s="3">
        <f t="shared" si="28"/>
        <v>0</v>
      </c>
      <c r="T38" s="3">
        <f t="shared" si="28"/>
        <v>0</v>
      </c>
      <c r="U38" s="3">
        <f t="shared" si="28"/>
        <v>104953.2847963119</v>
      </c>
      <c r="V38" s="3">
        <f t="shared" si="28"/>
        <v>0</v>
      </c>
      <c r="W38" s="3">
        <f t="shared" si="27"/>
        <v>0</v>
      </c>
      <c r="X38" s="3">
        <f t="shared" si="27"/>
        <v>42851.142411141889</v>
      </c>
      <c r="Y38" s="3">
        <f t="shared" si="27"/>
        <v>0</v>
      </c>
      <c r="Z38" s="3">
        <f t="shared" si="27"/>
        <v>0</v>
      </c>
      <c r="AA38" s="3">
        <f t="shared" si="27"/>
        <v>92400.767491041901</v>
      </c>
      <c r="AB38" s="3">
        <f t="shared" si="18"/>
        <v>240205.19469849567</v>
      </c>
      <c r="AC38" s="7" t="s">
        <v>127</v>
      </c>
      <c r="AD38" s="2" t="s">
        <v>55</v>
      </c>
      <c r="AE38" s="3">
        <f t="shared" si="19"/>
        <v>446361.40723347204</v>
      </c>
      <c r="AF38" s="3">
        <f t="shared" si="19"/>
        <v>0</v>
      </c>
      <c r="AG38" s="3">
        <f t="shared" si="20"/>
        <v>446361.40723347204</v>
      </c>
      <c r="AH38" s="27" t="s">
        <v>127</v>
      </c>
      <c r="AI38" s="2" t="s">
        <v>55</v>
      </c>
      <c r="AJ38" s="28">
        <f t="shared" si="21"/>
        <v>586863.48078120255</v>
      </c>
      <c r="AK38" s="28">
        <f t="shared" si="21"/>
        <v>9415.852877074376</v>
      </c>
      <c r="AL38" s="28">
        <f t="shared" si="21"/>
        <v>90287.268273690774</v>
      </c>
      <c r="AM38" s="28">
        <f t="shared" si="21"/>
        <v>0</v>
      </c>
      <c r="AN38" s="28">
        <f t="shared" si="22"/>
        <v>686566.60193196777</v>
      </c>
      <c r="AO38" s="27" t="s">
        <v>127</v>
      </c>
      <c r="AP38" s="2" t="s">
        <v>55</v>
      </c>
      <c r="AQ38" s="28">
        <f t="shared" si="23"/>
        <v>149716.02650972657</v>
      </c>
      <c r="AR38" s="28">
        <f t="shared" si="23"/>
        <v>201.89991507834517</v>
      </c>
      <c r="AS38" s="28">
        <f t="shared" si="23"/>
        <v>90287.268273690774</v>
      </c>
      <c r="AT38" s="28">
        <f t="shared" si="23"/>
        <v>0</v>
      </c>
      <c r="AU38" s="28">
        <f t="shared" si="24"/>
        <v>240205.19469849567</v>
      </c>
      <c r="AV38" s="27" t="s">
        <v>127</v>
      </c>
      <c r="AW38" s="2" t="s">
        <v>55</v>
      </c>
      <c r="AX38" s="28">
        <f t="shared" si="25"/>
        <v>437147.45427147602</v>
      </c>
      <c r="AY38" s="28">
        <f t="shared" si="25"/>
        <v>9213.9529619960304</v>
      </c>
      <c r="AZ38" s="28">
        <f t="shared" si="25"/>
        <v>0</v>
      </c>
      <c r="BA38" s="28">
        <f t="shared" si="25"/>
        <v>0</v>
      </c>
      <c r="BB38" s="28">
        <f t="shared" si="26"/>
        <v>446361.40723347204</v>
      </c>
      <c r="BC38" s="27" t="s">
        <v>127</v>
      </c>
      <c r="BD38" s="2" t="s">
        <v>55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7" t="s">
        <v>127</v>
      </c>
      <c r="BK38" s="2" t="s">
        <v>55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7" t="s">
        <v>127</v>
      </c>
      <c r="BR38" s="2" t="s">
        <v>55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7" t="s">
        <v>127</v>
      </c>
      <c r="BY38" s="2" t="s">
        <v>55</v>
      </c>
      <c r="BZ38" s="28">
        <v>104953.2847963119</v>
      </c>
      <c r="CA38" s="28">
        <v>0</v>
      </c>
      <c r="CB38" s="28">
        <v>0</v>
      </c>
      <c r="CC38" s="28">
        <v>0</v>
      </c>
      <c r="CD38" s="28">
        <v>104953.2847963119</v>
      </c>
      <c r="CE38" s="27" t="s">
        <v>127</v>
      </c>
      <c r="CF38" s="2" t="s">
        <v>55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7" t="s">
        <v>127</v>
      </c>
      <c r="CM38" s="2" t="s">
        <v>55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7" t="s">
        <v>127</v>
      </c>
      <c r="CT38" s="2" t="s">
        <v>55</v>
      </c>
      <c r="CU38" s="28">
        <v>42851.142411141889</v>
      </c>
      <c r="CV38" s="28">
        <v>0</v>
      </c>
      <c r="CW38" s="28">
        <v>0</v>
      </c>
      <c r="CX38" s="28">
        <v>0</v>
      </c>
      <c r="CY38" s="28">
        <v>42851.142411141889</v>
      </c>
      <c r="CZ38" s="27" t="s">
        <v>127</v>
      </c>
      <c r="DA38" s="2" t="s">
        <v>55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7" t="s">
        <v>127</v>
      </c>
      <c r="DH38" s="2" t="s">
        <v>55</v>
      </c>
      <c r="DI38" s="28">
        <v>0</v>
      </c>
      <c r="DJ38" s="28">
        <v>0</v>
      </c>
      <c r="DK38" s="28">
        <v>0</v>
      </c>
      <c r="DL38" s="28">
        <v>0</v>
      </c>
      <c r="DM38" s="28">
        <v>0</v>
      </c>
      <c r="DN38" s="27" t="s">
        <v>127</v>
      </c>
      <c r="DO38" s="2" t="s">
        <v>55</v>
      </c>
      <c r="DP38" s="28">
        <v>1911.5993022727841</v>
      </c>
      <c r="DQ38" s="28">
        <v>201.89991507834517</v>
      </c>
      <c r="DR38" s="28">
        <v>90287.268273690774</v>
      </c>
      <c r="DS38" s="28">
        <v>0</v>
      </c>
      <c r="DT38" s="28">
        <v>92400.767491041901</v>
      </c>
      <c r="DU38" s="27" t="s">
        <v>127</v>
      </c>
      <c r="DV38" s="2" t="s">
        <v>55</v>
      </c>
      <c r="DW38" s="28">
        <v>0</v>
      </c>
      <c r="DX38" s="28">
        <v>0</v>
      </c>
      <c r="DY38" s="28">
        <v>0</v>
      </c>
      <c r="DZ38" s="28">
        <v>0</v>
      </c>
      <c r="EA38" s="28">
        <v>0</v>
      </c>
      <c r="EB38" s="27" t="s">
        <v>127</v>
      </c>
      <c r="EC38" s="2" t="s">
        <v>55</v>
      </c>
      <c r="ED38" s="28">
        <v>437147.45427147602</v>
      </c>
      <c r="EE38" s="28">
        <v>9213.9529619960304</v>
      </c>
      <c r="EF38" s="28">
        <v>0</v>
      </c>
      <c r="EG38" s="28">
        <v>0</v>
      </c>
      <c r="EH38" s="28">
        <v>446361.40723347204</v>
      </c>
    </row>
    <row r="39" spans="1:138" x14ac:dyDescent="0.2">
      <c r="A39" s="7" t="s">
        <v>125</v>
      </c>
      <c r="B39" s="2" t="s">
        <v>53</v>
      </c>
      <c r="C39" s="3">
        <f t="shared" si="4"/>
        <v>0</v>
      </c>
      <c r="D39" s="3">
        <f t="shared" si="5"/>
        <v>10163.370113054158</v>
      </c>
      <c r="E39" s="3">
        <f t="shared" si="6"/>
        <v>0</v>
      </c>
      <c r="F39" s="3">
        <f t="shared" si="7"/>
        <v>171108.93877008796</v>
      </c>
      <c r="G39" s="3">
        <f t="shared" si="8"/>
        <v>123674.8898017418</v>
      </c>
      <c r="H39" s="3">
        <f t="shared" si="9"/>
        <v>0</v>
      </c>
      <c r="I39" s="3">
        <f t="shared" si="10"/>
        <v>0</v>
      </c>
      <c r="J39" s="3">
        <f t="shared" si="11"/>
        <v>0</v>
      </c>
      <c r="K39" s="3">
        <f t="shared" si="12"/>
        <v>321.22340435312515</v>
      </c>
      <c r="L39" s="3">
        <f t="shared" si="13"/>
        <v>1371.5389524676289</v>
      </c>
      <c r="M39" s="3">
        <f t="shared" si="14"/>
        <v>1161749.4543077759</v>
      </c>
      <c r="N39" s="3">
        <f t="shared" si="15"/>
        <v>117955.19282401301</v>
      </c>
      <c r="O39" s="3">
        <f t="shared" si="16"/>
        <v>1586344.6081734938</v>
      </c>
      <c r="P39" s="7" t="s">
        <v>125</v>
      </c>
      <c r="Q39" s="2" t="s">
        <v>53</v>
      </c>
      <c r="R39" s="3">
        <f t="shared" si="28"/>
        <v>0</v>
      </c>
      <c r="S39" s="3">
        <f t="shared" si="28"/>
        <v>10163.370113054158</v>
      </c>
      <c r="T39" s="3">
        <f t="shared" si="28"/>
        <v>0</v>
      </c>
      <c r="U39" s="3">
        <f t="shared" si="28"/>
        <v>171108.93877008796</v>
      </c>
      <c r="V39" s="3">
        <f t="shared" si="28"/>
        <v>123674.8898017418</v>
      </c>
      <c r="W39" s="3">
        <f t="shared" si="27"/>
        <v>0</v>
      </c>
      <c r="X39" s="3">
        <f t="shared" si="27"/>
        <v>0</v>
      </c>
      <c r="Y39" s="3">
        <f t="shared" si="27"/>
        <v>0</v>
      </c>
      <c r="Z39" s="3">
        <f t="shared" si="27"/>
        <v>321.22340435312515</v>
      </c>
      <c r="AA39" s="3">
        <f t="shared" si="27"/>
        <v>1371.5389524676289</v>
      </c>
      <c r="AB39" s="3">
        <f t="shared" si="18"/>
        <v>306639.96104170464</v>
      </c>
      <c r="AC39" s="7" t="s">
        <v>125</v>
      </c>
      <c r="AD39" s="2" t="s">
        <v>53</v>
      </c>
      <c r="AE39" s="3">
        <f t="shared" si="19"/>
        <v>1161749.4543077759</v>
      </c>
      <c r="AF39" s="3">
        <f t="shared" si="19"/>
        <v>117955.19282401301</v>
      </c>
      <c r="AG39" s="3">
        <f t="shared" si="20"/>
        <v>1279704.647131789</v>
      </c>
      <c r="AH39" s="27" t="s">
        <v>125</v>
      </c>
      <c r="AI39" s="2" t="s">
        <v>53</v>
      </c>
      <c r="AJ39" s="28">
        <f t="shared" si="21"/>
        <v>1176836.5544828607</v>
      </c>
      <c r="AK39" s="28">
        <f t="shared" si="21"/>
        <v>252497.32090970327</v>
      </c>
      <c r="AL39" s="28">
        <f t="shared" si="21"/>
        <v>157010.73278092974</v>
      </c>
      <c r="AM39" s="28">
        <f t="shared" si="21"/>
        <v>0</v>
      </c>
      <c r="AN39" s="28">
        <f t="shared" si="22"/>
        <v>1586344.6081734938</v>
      </c>
      <c r="AO39" s="27" t="s">
        <v>125</v>
      </c>
      <c r="AP39" s="2" t="s">
        <v>53</v>
      </c>
      <c r="AQ39" s="28">
        <f t="shared" si="23"/>
        <v>60090.775586747623</v>
      </c>
      <c r="AR39" s="28">
        <f t="shared" si="23"/>
        <v>89538.452674027285</v>
      </c>
      <c r="AS39" s="28">
        <f t="shared" si="23"/>
        <v>157010.73278092974</v>
      </c>
      <c r="AT39" s="28">
        <f t="shared" si="23"/>
        <v>0</v>
      </c>
      <c r="AU39" s="28">
        <f t="shared" si="24"/>
        <v>306639.96104170464</v>
      </c>
      <c r="AV39" s="27" t="s">
        <v>125</v>
      </c>
      <c r="AW39" s="2" t="s">
        <v>53</v>
      </c>
      <c r="AX39" s="28">
        <f t="shared" si="25"/>
        <v>1116745.7788961132</v>
      </c>
      <c r="AY39" s="28">
        <f t="shared" si="25"/>
        <v>162958.86823567597</v>
      </c>
      <c r="AZ39" s="28">
        <f t="shared" si="25"/>
        <v>0</v>
      </c>
      <c r="BA39" s="28">
        <f t="shared" si="25"/>
        <v>0</v>
      </c>
      <c r="BB39" s="28">
        <f t="shared" si="26"/>
        <v>1279704.647131789</v>
      </c>
      <c r="BC39" s="27" t="s">
        <v>125</v>
      </c>
      <c r="BD39" s="2" t="s">
        <v>53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7" t="s">
        <v>125</v>
      </c>
      <c r="BK39" s="2" t="s">
        <v>53</v>
      </c>
      <c r="BL39" s="28">
        <v>1272.4645952167227</v>
      </c>
      <c r="BM39" s="28">
        <v>8890.9055178374347</v>
      </c>
      <c r="BN39" s="28">
        <v>0</v>
      </c>
      <c r="BO39" s="28">
        <v>0</v>
      </c>
      <c r="BP39" s="28">
        <v>10163.370113054158</v>
      </c>
      <c r="BQ39" s="27" t="s">
        <v>125</v>
      </c>
      <c r="BR39" s="2" t="s">
        <v>53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7" t="s">
        <v>125</v>
      </c>
      <c r="BY39" s="2" t="s">
        <v>53</v>
      </c>
      <c r="BZ39" s="28">
        <v>9327.7524039562268</v>
      </c>
      <c r="CA39" s="28">
        <v>5518.4205535906831</v>
      </c>
      <c r="CB39" s="28">
        <v>156262.76581254104</v>
      </c>
      <c r="CC39" s="28">
        <v>0</v>
      </c>
      <c r="CD39" s="28">
        <v>171108.93877008796</v>
      </c>
      <c r="CE39" s="27" t="s">
        <v>125</v>
      </c>
      <c r="CF39" s="2" t="s">
        <v>53</v>
      </c>
      <c r="CG39" s="28">
        <v>47839.349951219963</v>
      </c>
      <c r="CH39" s="28">
        <v>75087.572882133129</v>
      </c>
      <c r="CI39" s="28">
        <v>747.96696838870855</v>
      </c>
      <c r="CJ39" s="28">
        <v>0</v>
      </c>
      <c r="CK39" s="28">
        <v>123674.8898017418</v>
      </c>
      <c r="CL39" s="27" t="s">
        <v>125</v>
      </c>
      <c r="CM39" s="2" t="s">
        <v>53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7" t="s">
        <v>125</v>
      </c>
      <c r="CT39" s="2" t="s">
        <v>53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7" t="s">
        <v>125</v>
      </c>
      <c r="DA39" s="2" t="s">
        <v>53</v>
      </c>
      <c r="DB39" s="28">
        <v>279.6696838870858</v>
      </c>
      <c r="DC39" s="28">
        <v>41.553720466039366</v>
      </c>
      <c r="DD39" s="28">
        <v>0</v>
      </c>
      <c r="DE39" s="28">
        <v>0</v>
      </c>
      <c r="DF39" s="28">
        <v>321.22340435312515</v>
      </c>
      <c r="DG39" s="27" t="s">
        <v>125</v>
      </c>
      <c r="DH39" s="2" t="s">
        <v>53</v>
      </c>
      <c r="DI39" s="28">
        <v>0</v>
      </c>
      <c r="DJ39" s="28">
        <v>0</v>
      </c>
      <c r="DK39" s="28">
        <v>0</v>
      </c>
      <c r="DL39" s="28">
        <v>0</v>
      </c>
      <c r="DM39" s="28">
        <v>0</v>
      </c>
      <c r="DN39" s="27" t="s">
        <v>125</v>
      </c>
      <c r="DO39" s="2" t="s">
        <v>53</v>
      </c>
      <c r="DP39" s="28">
        <v>1371.5389524676289</v>
      </c>
      <c r="DQ39" s="28">
        <v>0</v>
      </c>
      <c r="DR39" s="28">
        <v>0</v>
      </c>
      <c r="DS39" s="28">
        <v>0</v>
      </c>
      <c r="DT39" s="28">
        <v>1371.5389524676289</v>
      </c>
      <c r="DU39" s="27" t="s">
        <v>125</v>
      </c>
      <c r="DV39" s="2" t="s">
        <v>53</v>
      </c>
      <c r="DW39" s="28">
        <v>91884.003401494076</v>
      </c>
      <c r="DX39" s="28">
        <v>26071.189422518932</v>
      </c>
      <c r="DY39" s="28">
        <v>0</v>
      </c>
      <c r="DZ39" s="28">
        <v>0</v>
      </c>
      <c r="EA39" s="28">
        <v>117955.19282401301</v>
      </c>
      <c r="EB39" s="27" t="s">
        <v>125</v>
      </c>
      <c r="EC39" s="2" t="s">
        <v>53</v>
      </c>
      <c r="ED39" s="28">
        <v>1024861.775494619</v>
      </c>
      <c r="EE39" s="28">
        <v>136887.67881315702</v>
      </c>
      <c r="EF39" s="28">
        <v>0</v>
      </c>
      <c r="EG39" s="28">
        <v>0</v>
      </c>
      <c r="EH39" s="28">
        <v>1161749.4543077759</v>
      </c>
    </row>
    <row r="40" spans="1:138" x14ac:dyDescent="0.2">
      <c r="A40" s="7" t="s">
        <v>130</v>
      </c>
      <c r="B40" s="2" t="s">
        <v>58</v>
      </c>
      <c r="C40" s="3">
        <f t="shared" si="4"/>
        <v>0</v>
      </c>
      <c r="D40" s="3">
        <f t="shared" si="5"/>
        <v>320260.05831318675</v>
      </c>
      <c r="E40" s="3">
        <f t="shared" si="6"/>
        <v>6173.0337206927106</v>
      </c>
      <c r="F40" s="3">
        <f t="shared" si="7"/>
        <v>4.6611613981180966</v>
      </c>
      <c r="G40" s="3">
        <f t="shared" si="8"/>
        <v>498.64464559247239</v>
      </c>
      <c r="H40" s="3">
        <f t="shared" si="9"/>
        <v>0</v>
      </c>
      <c r="I40" s="3">
        <f t="shared" si="10"/>
        <v>104764.69161964647</v>
      </c>
      <c r="J40" s="3">
        <f t="shared" si="11"/>
        <v>0</v>
      </c>
      <c r="K40" s="3">
        <f t="shared" si="12"/>
        <v>43361.286553518723</v>
      </c>
      <c r="L40" s="3">
        <f t="shared" si="13"/>
        <v>50748679.377089709</v>
      </c>
      <c r="M40" s="3">
        <f t="shared" si="14"/>
        <v>1730994.4827188903</v>
      </c>
      <c r="N40" s="3">
        <f t="shared" si="15"/>
        <v>103928251.4921183</v>
      </c>
      <c r="O40" s="3">
        <f t="shared" si="16"/>
        <v>156882987.72794095</v>
      </c>
      <c r="P40" s="7" t="s">
        <v>130</v>
      </c>
      <c r="Q40" s="2" t="s">
        <v>58</v>
      </c>
      <c r="R40" s="3">
        <f t="shared" si="28"/>
        <v>0</v>
      </c>
      <c r="S40" s="3">
        <f t="shared" si="28"/>
        <v>320260.05831318675</v>
      </c>
      <c r="T40" s="3">
        <f t="shared" si="28"/>
        <v>6173.0337206927106</v>
      </c>
      <c r="U40" s="3">
        <f t="shared" si="28"/>
        <v>4.6611613981180966</v>
      </c>
      <c r="V40" s="3">
        <f t="shared" si="28"/>
        <v>498.64464559247239</v>
      </c>
      <c r="W40" s="3">
        <f t="shared" si="27"/>
        <v>0</v>
      </c>
      <c r="X40" s="3">
        <f t="shared" si="27"/>
        <v>104764.69161964647</v>
      </c>
      <c r="Y40" s="3">
        <f t="shared" si="27"/>
        <v>0</v>
      </c>
      <c r="Z40" s="3">
        <f t="shared" si="27"/>
        <v>43361.286553518723</v>
      </c>
      <c r="AA40" s="3">
        <f t="shared" si="27"/>
        <v>50748679.377089709</v>
      </c>
      <c r="AB40" s="3">
        <f t="shared" si="18"/>
        <v>51223741.753103748</v>
      </c>
      <c r="AC40" s="7" t="s">
        <v>130</v>
      </c>
      <c r="AD40" s="2" t="s">
        <v>58</v>
      </c>
      <c r="AE40" s="3">
        <f t="shared" si="19"/>
        <v>1730994.4827188903</v>
      </c>
      <c r="AF40" s="3">
        <f t="shared" si="19"/>
        <v>103928251.4921183</v>
      </c>
      <c r="AG40" s="3">
        <f t="shared" si="20"/>
        <v>105659245.97483718</v>
      </c>
      <c r="AH40" s="27" t="s">
        <v>130</v>
      </c>
      <c r="AI40" s="2" t="s">
        <v>58</v>
      </c>
      <c r="AJ40" s="28">
        <f t="shared" si="21"/>
        <v>2114392.6398326098</v>
      </c>
      <c r="AK40" s="28">
        <f t="shared" si="21"/>
        <v>707030.35787983995</v>
      </c>
      <c r="AL40" s="28">
        <f t="shared" si="21"/>
        <v>6173.0337206927106</v>
      </c>
      <c r="AM40" s="28">
        <f t="shared" si="21"/>
        <v>154055391.69650778</v>
      </c>
      <c r="AN40" s="28">
        <f t="shared" si="22"/>
        <v>156882987.72794092</v>
      </c>
      <c r="AO40" s="27" t="s">
        <v>130</v>
      </c>
      <c r="AP40" s="2" t="s">
        <v>58</v>
      </c>
      <c r="AQ40" s="28">
        <f t="shared" si="23"/>
        <v>470852.81199486874</v>
      </c>
      <c r="AR40" s="28">
        <f t="shared" si="23"/>
        <v>4378.7232941088978</v>
      </c>
      <c r="AS40" s="28">
        <f t="shared" si="23"/>
        <v>6173.0337206927106</v>
      </c>
      <c r="AT40" s="28">
        <f t="shared" si="23"/>
        <v>50742337.184094071</v>
      </c>
      <c r="AU40" s="28">
        <f t="shared" si="24"/>
        <v>51223741.753103741</v>
      </c>
      <c r="AV40" s="27" t="s">
        <v>130</v>
      </c>
      <c r="AW40" s="2" t="s">
        <v>58</v>
      </c>
      <c r="AX40" s="28">
        <f t="shared" si="25"/>
        <v>1643539.827837741</v>
      </c>
      <c r="AY40" s="28">
        <f t="shared" si="25"/>
        <v>702651.63458573108</v>
      </c>
      <c r="AZ40" s="28">
        <f t="shared" si="25"/>
        <v>0</v>
      </c>
      <c r="BA40" s="28">
        <f t="shared" si="25"/>
        <v>103313054.51241371</v>
      </c>
      <c r="BB40" s="28">
        <f t="shared" si="26"/>
        <v>105659245.97483718</v>
      </c>
      <c r="BC40" s="27" t="s">
        <v>130</v>
      </c>
      <c r="BD40" s="2" t="s">
        <v>58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7" t="s">
        <v>130</v>
      </c>
      <c r="BK40" s="2" t="s">
        <v>58</v>
      </c>
      <c r="BL40" s="28">
        <v>319969.18226992449</v>
      </c>
      <c r="BM40" s="28">
        <v>290.87604326227557</v>
      </c>
      <c r="BN40" s="28">
        <v>0</v>
      </c>
      <c r="BO40" s="28">
        <v>0</v>
      </c>
      <c r="BP40" s="28">
        <v>320260.05831318675</v>
      </c>
      <c r="BQ40" s="27" t="s">
        <v>130</v>
      </c>
      <c r="BR40" s="2" t="s">
        <v>58</v>
      </c>
      <c r="BS40" s="28">
        <v>0</v>
      </c>
      <c r="BT40" s="28">
        <v>0</v>
      </c>
      <c r="BU40" s="28">
        <v>6173.0337206927106</v>
      </c>
      <c r="BV40" s="28">
        <v>0</v>
      </c>
      <c r="BW40" s="28">
        <v>6173.0337206927106</v>
      </c>
      <c r="BX40" s="27" t="s">
        <v>130</v>
      </c>
      <c r="BY40" s="2" t="s">
        <v>58</v>
      </c>
      <c r="BZ40" s="28">
        <v>4.6611613981180966</v>
      </c>
      <c r="CA40" s="28">
        <v>0</v>
      </c>
      <c r="CB40" s="28">
        <v>0</v>
      </c>
      <c r="CC40" s="28">
        <v>0</v>
      </c>
      <c r="CD40" s="28">
        <v>4.6611613981180966</v>
      </c>
      <c r="CE40" s="27" t="s">
        <v>130</v>
      </c>
      <c r="CF40" s="2" t="s">
        <v>58</v>
      </c>
      <c r="CG40" s="28">
        <v>0</v>
      </c>
      <c r="CH40" s="28">
        <v>498.64464559247239</v>
      </c>
      <c r="CI40" s="28">
        <v>0</v>
      </c>
      <c r="CJ40" s="28">
        <v>0</v>
      </c>
      <c r="CK40" s="28">
        <v>498.64464559247239</v>
      </c>
      <c r="CL40" s="27" t="s">
        <v>130</v>
      </c>
      <c r="CM40" s="2" t="s">
        <v>58</v>
      </c>
      <c r="CN40" s="28">
        <v>0</v>
      </c>
      <c r="CO40" s="28">
        <v>0</v>
      </c>
      <c r="CP40" s="28">
        <v>0</v>
      </c>
      <c r="CQ40" s="28">
        <v>0</v>
      </c>
      <c r="CR40" s="28">
        <v>0</v>
      </c>
      <c r="CS40" s="27" t="s">
        <v>130</v>
      </c>
      <c r="CT40" s="2" t="s">
        <v>58</v>
      </c>
      <c r="CU40" s="28">
        <v>104764.69161964647</v>
      </c>
      <c r="CV40" s="28">
        <v>0</v>
      </c>
      <c r="CW40" s="28">
        <v>0</v>
      </c>
      <c r="CX40" s="28">
        <v>0</v>
      </c>
      <c r="CY40" s="28">
        <v>104764.69161964647</v>
      </c>
      <c r="CZ40" s="27" t="s">
        <v>130</v>
      </c>
      <c r="DA40" s="2" t="s">
        <v>58</v>
      </c>
      <c r="DB40" s="28">
        <v>43361.286553518723</v>
      </c>
      <c r="DC40" s="28">
        <v>0</v>
      </c>
      <c r="DD40" s="28">
        <v>0</v>
      </c>
      <c r="DE40" s="28">
        <v>0</v>
      </c>
      <c r="DF40" s="28">
        <v>43361.286553518723</v>
      </c>
      <c r="DG40" s="27" t="s">
        <v>130</v>
      </c>
      <c r="DH40" s="2" t="s">
        <v>58</v>
      </c>
      <c r="DI40" s="28">
        <v>0</v>
      </c>
      <c r="DJ40" s="28">
        <v>0</v>
      </c>
      <c r="DK40" s="28">
        <v>0</v>
      </c>
      <c r="DL40" s="28">
        <v>0</v>
      </c>
      <c r="DM40" s="28">
        <v>0</v>
      </c>
      <c r="DN40" s="27" t="s">
        <v>130</v>
      </c>
      <c r="DO40" s="2" t="s">
        <v>58</v>
      </c>
      <c r="DP40" s="28">
        <v>2752.99039038091</v>
      </c>
      <c r="DQ40" s="28">
        <v>3589.2026052541501</v>
      </c>
      <c r="DR40" s="28">
        <v>0</v>
      </c>
      <c r="DS40" s="28">
        <v>50742337.184094071</v>
      </c>
      <c r="DT40" s="28">
        <v>50748679.377089709</v>
      </c>
      <c r="DU40" s="27" t="s">
        <v>130</v>
      </c>
      <c r="DV40" s="2" t="s">
        <v>58</v>
      </c>
      <c r="DW40" s="28">
        <v>380787.19488243543</v>
      </c>
      <c r="DX40" s="28">
        <v>234409.78482214638</v>
      </c>
      <c r="DY40" s="28">
        <v>0</v>
      </c>
      <c r="DZ40" s="28">
        <v>103313054.51241371</v>
      </c>
      <c r="EA40" s="28">
        <v>103928251.4921183</v>
      </c>
      <c r="EB40" s="27" t="s">
        <v>130</v>
      </c>
      <c r="EC40" s="2" t="s">
        <v>58</v>
      </c>
      <c r="ED40" s="28">
        <v>1262752.6329553055</v>
      </c>
      <c r="EE40" s="28">
        <v>468241.84976358473</v>
      </c>
      <c r="EF40" s="28">
        <v>0</v>
      </c>
      <c r="EG40" s="28">
        <v>0</v>
      </c>
      <c r="EH40" s="28">
        <v>1730994.4827188903</v>
      </c>
    </row>
    <row r="41" spans="1:138" x14ac:dyDescent="0.2">
      <c r="A41" s="7" t="s">
        <v>122</v>
      </c>
      <c r="B41" s="2" t="s">
        <v>50</v>
      </c>
      <c r="C41" s="3">
        <f t="shared" si="4"/>
        <v>0</v>
      </c>
      <c r="D41" s="3">
        <f t="shared" si="5"/>
        <v>1733.6133184789744</v>
      </c>
      <c r="E41" s="3">
        <f t="shared" si="6"/>
        <v>0</v>
      </c>
      <c r="F41" s="3">
        <f t="shared" si="7"/>
        <v>1139.7866509051448</v>
      </c>
      <c r="G41" s="3">
        <f t="shared" si="8"/>
        <v>113.72123767690789</v>
      </c>
      <c r="H41" s="3">
        <f t="shared" si="9"/>
        <v>0</v>
      </c>
      <c r="I41" s="3">
        <f t="shared" si="10"/>
        <v>0</v>
      </c>
      <c r="J41" s="3">
        <f t="shared" si="11"/>
        <v>0</v>
      </c>
      <c r="K41" s="3">
        <f t="shared" si="12"/>
        <v>99.538896860265638</v>
      </c>
      <c r="L41" s="3">
        <f t="shared" si="13"/>
        <v>6186.0990844379612</v>
      </c>
      <c r="M41" s="3">
        <f t="shared" si="14"/>
        <v>1041294.9271033624</v>
      </c>
      <c r="N41" s="3">
        <f t="shared" si="15"/>
        <v>0</v>
      </c>
      <c r="O41" s="3">
        <f t="shared" si="16"/>
        <v>1050567.6862917216</v>
      </c>
      <c r="P41" s="7" t="s">
        <v>122</v>
      </c>
      <c r="Q41" s="2" t="s">
        <v>50</v>
      </c>
      <c r="R41" s="3">
        <f t="shared" si="28"/>
        <v>0</v>
      </c>
      <c r="S41" s="3">
        <f t="shared" si="28"/>
        <v>1733.6133184789744</v>
      </c>
      <c r="T41" s="3">
        <f t="shared" si="28"/>
        <v>0</v>
      </c>
      <c r="U41" s="3">
        <f t="shared" si="28"/>
        <v>1139.7866509051448</v>
      </c>
      <c r="V41" s="3">
        <f t="shared" si="28"/>
        <v>113.72123767690789</v>
      </c>
      <c r="W41" s="3">
        <f t="shared" si="27"/>
        <v>0</v>
      </c>
      <c r="X41" s="3">
        <f t="shared" si="27"/>
        <v>0</v>
      </c>
      <c r="Y41" s="3">
        <f t="shared" si="27"/>
        <v>0</v>
      </c>
      <c r="Z41" s="3">
        <f t="shared" si="27"/>
        <v>99.538896860265638</v>
      </c>
      <c r="AA41" s="3">
        <f t="shared" si="27"/>
        <v>6186.0990844379612</v>
      </c>
      <c r="AB41" s="3">
        <f t="shared" si="18"/>
        <v>9272.759188359254</v>
      </c>
      <c r="AC41" s="7" t="s">
        <v>122</v>
      </c>
      <c r="AD41" s="2" t="s">
        <v>50</v>
      </c>
      <c r="AE41" s="3">
        <f t="shared" si="19"/>
        <v>1041294.9271033624</v>
      </c>
      <c r="AF41" s="3">
        <f t="shared" si="19"/>
        <v>0</v>
      </c>
      <c r="AG41" s="3">
        <f t="shared" si="20"/>
        <v>1041294.9271033624</v>
      </c>
      <c r="AH41" s="27" t="s">
        <v>122</v>
      </c>
      <c r="AI41" s="2" t="s">
        <v>50</v>
      </c>
      <c r="AJ41" s="28">
        <f t="shared" si="21"/>
        <v>1015636.6601018637</v>
      </c>
      <c r="AK41" s="28">
        <f t="shared" si="21"/>
        <v>34876.645973546627</v>
      </c>
      <c r="AL41" s="28">
        <f t="shared" si="21"/>
        <v>54.380216311377787</v>
      </c>
      <c r="AM41" s="28">
        <f t="shared" si="21"/>
        <v>0</v>
      </c>
      <c r="AN41" s="28">
        <f t="shared" si="22"/>
        <v>1050567.6862917216</v>
      </c>
      <c r="AO41" s="27" t="s">
        <v>122</v>
      </c>
      <c r="AP41" s="2" t="s">
        <v>50</v>
      </c>
      <c r="AQ41" s="28">
        <f t="shared" si="23"/>
        <v>6279.3619800476263</v>
      </c>
      <c r="AR41" s="28">
        <f t="shared" si="23"/>
        <v>2939.0169920002509</v>
      </c>
      <c r="AS41" s="28">
        <f t="shared" si="23"/>
        <v>54.380216311377787</v>
      </c>
      <c r="AT41" s="28">
        <f t="shared" si="23"/>
        <v>0</v>
      </c>
      <c r="AU41" s="28">
        <f t="shared" si="24"/>
        <v>9272.7591883592559</v>
      </c>
      <c r="AV41" s="27" t="s">
        <v>122</v>
      </c>
      <c r="AW41" s="2" t="s">
        <v>50</v>
      </c>
      <c r="AX41" s="28">
        <f t="shared" si="25"/>
        <v>1009357.298121816</v>
      </c>
      <c r="AY41" s="28">
        <f t="shared" si="25"/>
        <v>31937.628981546375</v>
      </c>
      <c r="AZ41" s="28">
        <f t="shared" si="25"/>
        <v>0</v>
      </c>
      <c r="BA41" s="28">
        <f t="shared" si="25"/>
        <v>0</v>
      </c>
      <c r="BB41" s="28">
        <f t="shared" si="26"/>
        <v>1041294.9271033624</v>
      </c>
      <c r="BC41" s="27" t="s">
        <v>122</v>
      </c>
      <c r="BD41" s="2" t="s">
        <v>50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7" t="s">
        <v>122</v>
      </c>
      <c r="BK41" s="2" t="s">
        <v>50</v>
      </c>
      <c r="BL41" s="28">
        <v>1415.7818855310186</v>
      </c>
      <c r="BM41" s="28">
        <v>317.83143294795582</v>
      </c>
      <c r="BN41" s="28">
        <v>0</v>
      </c>
      <c r="BO41" s="28">
        <v>0</v>
      </c>
      <c r="BP41" s="28">
        <v>1733.6133184789744</v>
      </c>
      <c r="BQ41" s="27" t="s">
        <v>122</v>
      </c>
      <c r="BR41" s="2" t="s">
        <v>50</v>
      </c>
      <c r="BS41" s="28">
        <v>0</v>
      </c>
      <c r="BT41" s="28">
        <v>0</v>
      </c>
      <c r="BU41" s="28">
        <v>0</v>
      </c>
      <c r="BV41" s="28">
        <v>0</v>
      </c>
      <c r="BW41" s="28">
        <v>0</v>
      </c>
      <c r="BX41" s="27" t="s">
        <v>122</v>
      </c>
      <c r="BY41" s="2" t="s">
        <v>50</v>
      </c>
      <c r="BZ41" s="28">
        <v>1139.7866509051448</v>
      </c>
      <c r="CA41" s="28">
        <v>0</v>
      </c>
      <c r="CB41" s="28">
        <v>0</v>
      </c>
      <c r="CC41" s="28">
        <v>0</v>
      </c>
      <c r="CD41" s="28">
        <v>1139.7866509051448</v>
      </c>
      <c r="CE41" s="27" t="s">
        <v>122</v>
      </c>
      <c r="CF41" s="2" t="s">
        <v>50</v>
      </c>
      <c r="CG41" s="28">
        <v>59.341021365530104</v>
      </c>
      <c r="CH41" s="28">
        <v>0</v>
      </c>
      <c r="CI41" s="28">
        <v>54.380216311377787</v>
      </c>
      <c r="CJ41" s="28">
        <v>0</v>
      </c>
      <c r="CK41" s="28">
        <v>113.72123767690789</v>
      </c>
      <c r="CL41" s="27" t="s">
        <v>122</v>
      </c>
      <c r="CM41" s="2" t="s">
        <v>50</v>
      </c>
      <c r="CN41" s="28">
        <v>0</v>
      </c>
      <c r="CO41" s="28">
        <v>0</v>
      </c>
      <c r="CP41" s="28">
        <v>0</v>
      </c>
      <c r="CQ41" s="28">
        <v>0</v>
      </c>
      <c r="CR41" s="28">
        <v>0</v>
      </c>
      <c r="CS41" s="27" t="s">
        <v>122</v>
      </c>
      <c r="CT41" s="2" t="s">
        <v>50</v>
      </c>
      <c r="CU41" s="28">
        <v>0</v>
      </c>
      <c r="CV41" s="28">
        <v>0</v>
      </c>
      <c r="CW41" s="28">
        <v>0</v>
      </c>
      <c r="CX41" s="28">
        <v>0</v>
      </c>
      <c r="CY41" s="28">
        <v>0</v>
      </c>
      <c r="CZ41" s="27" t="s">
        <v>122</v>
      </c>
      <c r="DA41" s="2" t="s">
        <v>50</v>
      </c>
      <c r="DB41" s="28">
        <v>99.538896860265638</v>
      </c>
      <c r="DC41" s="28">
        <v>0</v>
      </c>
      <c r="DD41" s="28">
        <v>0</v>
      </c>
      <c r="DE41" s="28">
        <v>0</v>
      </c>
      <c r="DF41" s="28">
        <v>99.538896860265638</v>
      </c>
      <c r="DG41" s="27" t="s">
        <v>122</v>
      </c>
      <c r="DH41" s="2" t="s">
        <v>50</v>
      </c>
      <c r="DI41" s="28">
        <v>0</v>
      </c>
      <c r="DJ41" s="28">
        <v>0</v>
      </c>
      <c r="DK41" s="28">
        <v>0</v>
      </c>
      <c r="DL41" s="28">
        <v>0</v>
      </c>
      <c r="DM41" s="28">
        <v>0</v>
      </c>
      <c r="DN41" s="27" t="s">
        <v>122</v>
      </c>
      <c r="DO41" s="2" t="s">
        <v>50</v>
      </c>
      <c r="DP41" s="28">
        <v>3564.9135253856666</v>
      </c>
      <c r="DQ41" s="28">
        <v>2621.185559052295</v>
      </c>
      <c r="DR41" s="28">
        <v>0</v>
      </c>
      <c r="DS41" s="28">
        <v>0</v>
      </c>
      <c r="DT41" s="28">
        <v>6186.0990844379612</v>
      </c>
      <c r="DU41" s="27" t="s">
        <v>122</v>
      </c>
      <c r="DV41" s="2" t="s">
        <v>50</v>
      </c>
      <c r="DW41" s="28">
        <v>0</v>
      </c>
      <c r="DX41" s="28">
        <v>0</v>
      </c>
      <c r="DY41" s="28">
        <v>0</v>
      </c>
      <c r="DZ41" s="28">
        <v>0</v>
      </c>
      <c r="EA41" s="28">
        <v>0</v>
      </c>
      <c r="EB41" s="27" t="s">
        <v>122</v>
      </c>
      <c r="EC41" s="2" t="s">
        <v>50</v>
      </c>
      <c r="ED41" s="28">
        <v>1009357.298121816</v>
      </c>
      <c r="EE41" s="28">
        <v>31937.628981546375</v>
      </c>
      <c r="EF41" s="28">
        <v>0</v>
      </c>
      <c r="EG41" s="28">
        <v>0</v>
      </c>
      <c r="EH41" s="28">
        <v>1041294.9271033624</v>
      </c>
    </row>
    <row r="42" spans="1:138" x14ac:dyDescent="0.2">
      <c r="A42" s="8"/>
      <c r="B42" s="4" t="s">
        <v>59</v>
      </c>
      <c r="C42" s="3">
        <f>SUM(C4:C41)</f>
        <v>315133.58911488432</v>
      </c>
      <c r="D42" s="3">
        <f t="shared" ref="D42:O42" si="29">SUM(D4:D41)</f>
        <v>8576655.4746061675</v>
      </c>
      <c r="E42" s="3">
        <f t="shared" si="29"/>
        <v>467155755.52410114</v>
      </c>
      <c r="F42" s="3">
        <f t="shared" si="29"/>
        <v>405277530.56435102</v>
      </c>
      <c r="G42" s="3">
        <f t="shared" si="29"/>
        <v>9680929.8416790124</v>
      </c>
      <c r="H42" s="3">
        <f t="shared" si="29"/>
        <v>162526235.92737705</v>
      </c>
      <c r="I42" s="3">
        <f t="shared" si="29"/>
        <v>52499674.40434958</v>
      </c>
      <c r="J42" s="3">
        <f t="shared" si="29"/>
        <v>356461875.68458688</v>
      </c>
      <c r="K42" s="3">
        <f t="shared" si="29"/>
        <v>120246114.74923648</v>
      </c>
      <c r="L42" s="3">
        <f t="shared" si="29"/>
        <v>127663656.33842352</v>
      </c>
      <c r="M42" s="3">
        <f t="shared" si="29"/>
        <v>116319004.84835038</v>
      </c>
      <c r="N42" s="3">
        <f t="shared" si="29"/>
        <v>528575025.49307632</v>
      </c>
      <c r="O42" s="3">
        <f t="shared" si="29"/>
        <v>2355297592.4392524</v>
      </c>
      <c r="P42" s="8"/>
      <c r="Q42" s="4" t="s">
        <v>59</v>
      </c>
      <c r="R42" s="3">
        <f>SUM(R4:R41)</f>
        <v>315133.58911488432</v>
      </c>
      <c r="S42" s="3">
        <f t="shared" ref="S42:AB42" si="30">SUM(S4:S41)</f>
        <v>8576655.4746061675</v>
      </c>
      <c r="T42" s="3">
        <f t="shared" si="30"/>
        <v>467155755.52410114</v>
      </c>
      <c r="U42" s="3">
        <f t="shared" si="30"/>
        <v>405277530.56435102</v>
      </c>
      <c r="V42" s="3">
        <f t="shared" si="30"/>
        <v>9680929.8416790124</v>
      </c>
      <c r="W42" s="3">
        <f t="shared" si="30"/>
        <v>162526235.92737705</v>
      </c>
      <c r="X42" s="3">
        <f t="shared" si="30"/>
        <v>52499674.40434958</v>
      </c>
      <c r="Y42" s="3">
        <f t="shared" si="30"/>
        <v>356461875.68458688</v>
      </c>
      <c r="Z42" s="3">
        <f t="shared" si="30"/>
        <v>120246114.74923648</v>
      </c>
      <c r="AA42" s="3">
        <f t="shared" si="30"/>
        <v>127663656.33842352</v>
      </c>
      <c r="AB42" s="3">
        <f t="shared" si="30"/>
        <v>1710403562.0978255</v>
      </c>
      <c r="AC42" s="8"/>
      <c r="AD42" s="4" t="s">
        <v>59</v>
      </c>
      <c r="AE42" s="3">
        <f>SUM(AE4:AE41)</f>
        <v>116319004.84835038</v>
      </c>
      <c r="AF42" s="3">
        <f t="shared" ref="AF42:AG42" si="31">SUM(AF4:AF41)</f>
        <v>528575025.49307632</v>
      </c>
      <c r="AG42" s="3">
        <f t="shared" si="31"/>
        <v>644894030.34142661</v>
      </c>
      <c r="AH42" s="8"/>
      <c r="AI42" s="4" t="s">
        <v>59</v>
      </c>
      <c r="AJ42" s="28">
        <f>SUM(AJ4:AJ41)</f>
        <v>945291956.53999913</v>
      </c>
      <c r="AK42" s="28">
        <f t="shared" ref="AK42:AN42" si="32">SUM(AK4:AK41)</f>
        <v>475328889.13501495</v>
      </c>
      <c r="AL42" s="28">
        <f t="shared" si="32"/>
        <v>422588612.29754305</v>
      </c>
      <c r="AM42" s="28">
        <f t="shared" si="32"/>
        <v>512088134.46669555</v>
      </c>
      <c r="AN42" s="28">
        <f t="shared" si="32"/>
        <v>2355297592.4392533</v>
      </c>
      <c r="AO42" s="8"/>
      <c r="AP42" s="4" t="s">
        <v>59</v>
      </c>
      <c r="AQ42" s="28">
        <f>SUM(AQ4:AQ41)</f>
        <v>676471643.31530738</v>
      </c>
      <c r="AR42" s="28">
        <f t="shared" ref="AR42:AU42" si="33">SUM(AR4:AR41)</f>
        <v>306598311.21193123</v>
      </c>
      <c r="AS42" s="28">
        <f t="shared" si="33"/>
        <v>406050776.21837723</v>
      </c>
      <c r="AT42" s="28">
        <f t="shared" si="33"/>
        <v>321282831.35221004</v>
      </c>
      <c r="AU42" s="28">
        <f t="shared" si="33"/>
        <v>1710403562.097826</v>
      </c>
      <c r="AV42" s="8"/>
      <c r="AW42" s="4" t="s">
        <v>59</v>
      </c>
      <c r="AX42" s="28">
        <f>SUM(AX4:AX41)</f>
        <v>268820313.22469175</v>
      </c>
      <c r="AY42" s="28">
        <f t="shared" ref="AY42:BB42" si="34">SUM(AY4:AY41)</f>
        <v>168730577.92308369</v>
      </c>
      <c r="AZ42" s="28">
        <f t="shared" si="34"/>
        <v>16537836.079165749</v>
      </c>
      <c r="BA42" s="28">
        <f t="shared" si="34"/>
        <v>190805303.11448532</v>
      </c>
      <c r="BB42" s="28">
        <f t="shared" si="34"/>
        <v>644894030.34142661</v>
      </c>
      <c r="BC42" s="8"/>
      <c r="BD42" s="4" t="s">
        <v>59</v>
      </c>
      <c r="BE42" s="28">
        <v>238338.02707223318</v>
      </c>
      <c r="BF42" s="28">
        <v>74677.855404472008</v>
      </c>
      <c r="BG42" s="28">
        <v>2117.7066381790942</v>
      </c>
      <c r="BH42" s="28">
        <v>0</v>
      </c>
      <c r="BI42" s="28">
        <v>315133.58911488432</v>
      </c>
      <c r="BJ42" s="8"/>
      <c r="BK42" s="4" t="s">
        <v>59</v>
      </c>
      <c r="BL42" s="28">
        <v>6393326.1546627469</v>
      </c>
      <c r="BM42" s="28">
        <v>454491.48931676085</v>
      </c>
      <c r="BN42" s="28">
        <v>793231.52919259714</v>
      </c>
      <c r="BO42" s="28">
        <v>935606.30143406149</v>
      </c>
      <c r="BP42" s="28">
        <v>8576655.4746061675</v>
      </c>
      <c r="BQ42" s="8"/>
      <c r="BR42" s="4" t="s">
        <v>59</v>
      </c>
      <c r="BS42" s="28">
        <v>57170267.86062713</v>
      </c>
      <c r="BT42" s="28">
        <v>56687413.116918564</v>
      </c>
      <c r="BU42" s="28">
        <v>216299816.37312317</v>
      </c>
      <c r="BV42" s="28">
        <v>136998258.17343223</v>
      </c>
      <c r="BW42" s="28">
        <v>467155755.52410114</v>
      </c>
      <c r="BX42" s="8"/>
      <c r="BY42" s="4" t="s">
        <v>59</v>
      </c>
      <c r="BZ42" s="28">
        <v>359329826.69438493</v>
      </c>
      <c r="CA42" s="28">
        <v>33822645.402140372</v>
      </c>
      <c r="CB42" s="28">
        <v>10616443.013017803</v>
      </c>
      <c r="CC42" s="28">
        <v>1508615.4548079048</v>
      </c>
      <c r="CD42" s="28">
        <v>405277530.56435102</v>
      </c>
      <c r="CE42" s="8"/>
      <c r="CF42" s="4" t="s">
        <v>59</v>
      </c>
      <c r="CG42" s="28">
        <v>8581920.7870917674</v>
      </c>
      <c r="CH42" s="28">
        <v>871755.87450099224</v>
      </c>
      <c r="CI42" s="28">
        <v>227253.18008625068</v>
      </c>
      <c r="CJ42" s="28">
        <v>0</v>
      </c>
      <c r="CK42" s="28">
        <v>9680929.8416790124</v>
      </c>
      <c r="CL42" s="8"/>
      <c r="CM42" s="4" t="s">
        <v>59</v>
      </c>
      <c r="CN42" s="28">
        <v>0</v>
      </c>
      <c r="CO42" s="28">
        <v>36222426.444887325</v>
      </c>
      <c r="CP42" s="28">
        <v>38040039.260013856</v>
      </c>
      <c r="CQ42" s="28">
        <v>88263770.222475886</v>
      </c>
      <c r="CR42" s="28">
        <v>162526235.92737705</v>
      </c>
      <c r="CS42" s="8"/>
      <c r="CT42" s="4" t="s">
        <v>59</v>
      </c>
      <c r="CU42" s="28">
        <v>50888252.3727763</v>
      </c>
      <c r="CV42" s="28">
        <v>1609573.8666273442</v>
      </c>
      <c r="CW42" s="28">
        <v>1848.1649459311252</v>
      </c>
      <c r="CX42" s="28">
        <v>0</v>
      </c>
      <c r="CY42" s="28">
        <v>52499674.40434958</v>
      </c>
      <c r="CZ42" s="8"/>
      <c r="DA42" s="4" t="s">
        <v>59</v>
      </c>
      <c r="DB42" s="28">
        <v>103544584.43465094</v>
      </c>
      <c r="DC42" s="28">
        <v>11741493.179712897</v>
      </c>
      <c r="DD42" s="28">
        <v>3629324.2927486529</v>
      </c>
      <c r="DE42" s="28">
        <v>1330712.8421240046</v>
      </c>
      <c r="DF42" s="28">
        <v>120246114.74923648</v>
      </c>
      <c r="DG42" s="8"/>
      <c r="DH42" s="4" t="s">
        <v>59</v>
      </c>
      <c r="DI42" s="28">
        <v>83475877.080771893</v>
      </c>
      <c r="DJ42" s="28">
        <v>104314662.2571632</v>
      </c>
      <c r="DK42" s="28">
        <v>134564831.55999455</v>
      </c>
      <c r="DL42" s="28">
        <v>34106504.786657266</v>
      </c>
      <c r="DM42" s="28">
        <v>356461875.68458688</v>
      </c>
      <c r="DN42" s="8"/>
      <c r="DO42" s="4" t="s">
        <v>59</v>
      </c>
      <c r="DP42" s="28">
        <v>6849249.9032693263</v>
      </c>
      <c r="DQ42" s="28">
        <v>60799171.725259401</v>
      </c>
      <c r="DR42" s="28">
        <v>1875871.1386161356</v>
      </c>
      <c r="DS42" s="28">
        <v>58139363.571278676</v>
      </c>
      <c r="DT42" s="28">
        <v>127663656.33842352</v>
      </c>
      <c r="DU42" s="8"/>
      <c r="DV42" s="4" t="s">
        <v>59</v>
      </c>
      <c r="DW42" s="28">
        <v>191562682.65865657</v>
      </c>
      <c r="DX42" s="28">
        <v>129992780.8496286</v>
      </c>
      <c r="DY42" s="28">
        <v>16214258.87030567</v>
      </c>
      <c r="DZ42" s="28">
        <v>190805303.11448532</v>
      </c>
      <c r="EA42" s="28">
        <v>528575025.49307632</v>
      </c>
      <c r="EB42" s="8"/>
      <c r="EC42" s="4" t="s">
        <v>59</v>
      </c>
      <c r="ED42" s="28">
        <v>77257630.566035166</v>
      </c>
      <c r="EE42" s="28">
        <v>38737797.07345511</v>
      </c>
      <c r="EF42" s="28">
        <v>323577.20886007807</v>
      </c>
      <c r="EG42" s="28">
        <v>0</v>
      </c>
      <c r="EH42" s="28">
        <v>116319004.84835038</v>
      </c>
    </row>
    <row r="43" spans="1:138" x14ac:dyDescent="0.2">
      <c r="O43" s="1">
        <f>AB42+AG42</f>
        <v>2355297592.4392519</v>
      </c>
      <c r="AN43" s="55">
        <f>O42</f>
        <v>2355297592.4392524</v>
      </c>
      <c r="AU43" s="1">
        <f>AB42</f>
        <v>1710403562.0978255</v>
      </c>
      <c r="BB43" s="1">
        <f>AG42</f>
        <v>644894030.34142661</v>
      </c>
    </row>
    <row r="44" spans="1:138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E44" s="6"/>
      <c r="AF44" s="6"/>
      <c r="AG44" s="6"/>
    </row>
    <row r="45" spans="1:138" x14ac:dyDescent="0.2">
      <c r="AH45" s="1"/>
      <c r="AO45" s="1"/>
      <c r="AV45" s="1"/>
      <c r="BC45" s="1"/>
      <c r="BJ45" s="1"/>
      <c r="BQ45" s="1"/>
      <c r="BX45" s="1"/>
      <c r="CE45" s="1"/>
      <c r="CL45" s="1"/>
      <c r="CS45" s="1"/>
      <c r="CZ45" s="1"/>
      <c r="DG45" s="1"/>
      <c r="DN45" s="1"/>
      <c r="DU45" s="1"/>
      <c r="EB45" s="1"/>
    </row>
    <row r="46" spans="1:138" ht="12" x14ac:dyDescent="0.25">
      <c r="AH46" s="67" t="s">
        <v>0</v>
      </c>
      <c r="AI46" s="67" t="s">
        <v>441</v>
      </c>
      <c r="AJ46" s="33" t="s">
        <v>400</v>
      </c>
      <c r="AK46" s="21"/>
      <c r="AO46" s="1"/>
      <c r="AV46" s="1"/>
      <c r="BC46" s="1"/>
      <c r="BJ46" s="1"/>
      <c r="BQ46" s="1"/>
      <c r="BX46" s="1"/>
      <c r="CE46" s="1"/>
      <c r="CL46" s="1"/>
      <c r="CS46" s="1"/>
      <c r="CZ46" s="1"/>
      <c r="DG46" s="1"/>
      <c r="DN46" s="1"/>
      <c r="DU46" s="1"/>
      <c r="EB46" s="1"/>
    </row>
    <row r="47" spans="1:138" ht="12" x14ac:dyDescent="0.25">
      <c r="A47" s="54">
        <v>1</v>
      </c>
      <c r="B47" s="54" t="str">
        <f>AH1</f>
        <v>Tabel 175 Jumlah Kuantitas Pemasaran Produk (Kg) berdasarkan Tujuan Pasar</v>
      </c>
      <c r="AH47" s="72">
        <v>1</v>
      </c>
      <c r="AI47" s="69" t="s">
        <v>439</v>
      </c>
      <c r="AJ47" s="34">
        <f>AJ42</f>
        <v>945291956.53999913</v>
      </c>
      <c r="AK47" s="18"/>
      <c r="AO47" s="54"/>
      <c r="AP47" s="54"/>
      <c r="AV47" s="54"/>
      <c r="AW47" s="54"/>
      <c r="BC47" s="54"/>
      <c r="BD47" s="54"/>
      <c r="BJ47" s="54"/>
      <c r="BK47" s="54"/>
      <c r="BQ47" s="54"/>
      <c r="BR47" s="54"/>
      <c r="BX47" s="54"/>
      <c r="BY47" s="54"/>
      <c r="CE47" s="54"/>
      <c r="CF47" s="54"/>
      <c r="CL47" s="54"/>
      <c r="CM47" s="54"/>
      <c r="CS47" s="54"/>
      <c r="CT47" s="54"/>
      <c r="CZ47" s="54"/>
      <c r="DA47" s="54"/>
      <c r="DG47" s="54"/>
      <c r="DH47" s="54"/>
      <c r="DN47" s="54"/>
      <c r="DO47" s="54"/>
      <c r="DU47" s="54"/>
      <c r="DV47" s="54"/>
      <c r="EB47" s="54"/>
      <c r="EC47" s="54"/>
    </row>
    <row r="48" spans="1:138" ht="12" x14ac:dyDescent="0.25">
      <c r="A48" s="54">
        <v>2</v>
      </c>
      <c r="B48" s="54" t="str">
        <f>AO1</f>
        <v>Tabel 176 Jumlah Kuantitas Pemasaran Produk (Kg) berdasarkan Tujuan Pasar pada Jenis Kegiatan Pengolahan</v>
      </c>
      <c r="AH48" s="72">
        <v>2</v>
      </c>
      <c r="AI48" s="69" t="s">
        <v>440</v>
      </c>
      <c r="AJ48" s="34">
        <f>AK42</f>
        <v>475328889.13501495</v>
      </c>
      <c r="AK48" s="18"/>
      <c r="AO48" s="54"/>
      <c r="AP48" s="54"/>
      <c r="AV48" s="54"/>
      <c r="AW48" s="54"/>
      <c r="BC48" s="54"/>
      <c r="BD48" s="54"/>
      <c r="BJ48" s="54"/>
      <c r="BK48" s="54"/>
      <c r="BQ48" s="54"/>
      <c r="BR48" s="54"/>
      <c r="BX48" s="54"/>
      <c r="BY48" s="54"/>
      <c r="CE48" s="54"/>
      <c r="CF48" s="54"/>
      <c r="CL48" s="54"/>
      <c r="CM48" s="54"/>
      <c r="CS48" s="54"/>
      <c r="CT48" s="54"/>
      <c r="CZ48" s="54"/>
      <c r="DA48" s="54"/>
      <c r="DG48" s="54"/>
      <c r="DH48" s="54"/>
      <c r="DN48" s="54"/>
      <c r="DO48" s="54"/>
      <c r="DU48" s="54"/>
      <c r="DV48" s="54"/>
      <c r="EB48" s="54"/>
      <c r="EC48" s="54"/>
    </row>
    <row r="49" spans="1:132" ht="12" x14ac:dyDescent="0.25">
      <c r="A49" s="1">
        <v>3</v>
      </c>
      <c r="B49" s="1" t="str">
        <f>AV1</f>
        <v>Tabel 177 Jumlah Kuantitas Pemasaran Produk (Kg) berdasarkan Tujuan Pasar pada Jenis Kegiatan Pemasaran</v>
      </c>
      <c r="AH49" s="72">
        <v>3</v>
      </c>
      <c r="AI49" s="69" t="s">
        <v>69</v>
      </c>
      <c r="AJ49" s="34">
        <f>AL42</f>
        <v>422588612.29754305</v>
      </c>
      <c r="AK49" s="18"/>
      <c r="AO49" s="1"/>
      <c r="AV49" s="1"/>
      <c r="BC49" s="1"/>
      <c r="BJ49" s="1"/>
      <c r="BQ49" s="1"/>
      <c r="BX49" s="1"/>
      <c r="CE49" s="1"/>
      <c r="CL49" s="1"/>
      <c r="CS49" s="1"/>
      <c r="CZ49" s="1"/>
      <c r="DG49" s="1"/>
      <c r="DN49" s="1"/>
      <c r="DU49" s="1"/>
      <c r="EB49" s="1"/>
    </row>
    <row r="50" spans="1:132" ht="12" x14ac:dyDescent="0.25">
      <c r="A50" s="1">
        <v>4</v>
      </c>
      <c r="B50" s="1" t="str">
        <f>BC1</f>
        <v>Tabel 178 Jumlah Kuantitas Pemasaran Produk (Kg) berdasarkan Tujuan Pasar pada Jenis Kegiatan Fermentasi</v>
      </c>
      <c r="AH50" s="72">
        <v>4</v>
      </c>
      <c r="AI50" s="69" t="s">
        <v>70</v>
      </c>
      <c r="AJ50" s="34">
        <f>AM42</f>
        <v>512088134.46669555</v>
      </c>
      <c r="AK50" s="18"/>
      <c r="AO50" s="1"/>
      <c r="AV50" s="1"/>
      <c r="BC50" s="1"/>
      <c r="BJ50" s="1"/>
      <c r="BQ50" s="1"/>
      <c r="BX50" s="1"/>
      <c r="CE50" s="1"/>
      <c r="CL50" s="1"/>
      <c r="CS50" s="1"/>
      <c r="CZ50" s="1"/>
      <c r="DG50" s="1"/>
      <c r="DN50" s="1"/>
      <c r="DU50" s="1"/>
      <c r="EB50" s="1"/>
    </row>
    <row r="51" spans="1:132" ht="12" x14ac:dyDescent="0.25">
      <c r="A51" s="1">
        <v>5</v>
      </c>
      <c r="B51" s="1" t="str">
        <f>BJ1</f>
        <v>Tabel 179 Jumlah Kuantitas Pemasaran Produk (Kg) berdasarkan Tujuan Pasar pada Jenis Kegiatan Pelumatan Daging Ikan</v>
      </c>
      <c r="AH51" s="72"/>
      <c r="AI51" s="69" t="s">
        <v>400</v>
      </c>
      <c r="AJ51" s="34">
        <f>AN42</f>
        <v>2355297592.4392533</v>
      </c>
      <c r="AK51" s="51">
        <f>SUM(AJ47:AJ50)</f>
        <v>2355297592.4392529</v>
      </c>
      <c r="AO51" s="1"/>
      <c r="AV51" s="1"/>
      <c r="BC51" s="1"/>
      <c r="BJ51" s="1"/>
      <c r="BQ51" s="1"/>
      <c r="BX51" s="1"/>
      <c r="CE51" s="1"/>
      <c r="CL51" s="1"/>
      <c r="CS51" s="1"/>
      <c r="CZ51" s="1"/>
      <c r="DG51" s="1"/>
      <c r="DN51" s="1"/>
      <c r="DU51" s="1"/>
      <c r="EB51" s="1"/>
    </row>
    <row r="52" spans="1:132" x14ac:dyDescent="0.2">
      <c r="A52" s="1">
        <v>6</v>
      </c>
      <c r="B52" s="1" t="str">
        <f>BQ1</f>
        <v>Tabel 180 Jumlah Kuantitas Pemasaran Produk (Kg) berdasarkan Tujuan Pasar pada Jenis Kegiatan Pembekuan</v>
      </c>
      <c r="AH52" s="1"/>
      <c r="AO52" s="1"/>
      <c r="AV52" s="1"/>
      <c r="BC52" s="1"/>
      <c r="BJ52" s="1"/>
      <c r="BQ52" s="1"/>
      <c r="BX52" s="1"/>
      <c r="CE52" s="1"/>
      <c r="CL52" s="1"/>
      <c r="CS52" s="1"/>
      <c r="CZ52" s="1"/>
      <c r="DG52" s="1"/>
      <c r="DN52" s="1"/>
      <c r="DU52" s="1"/>
      <c r="EB52" s="1"/>
    </row>
    <row r="53" spans="1:132" x14ac:dyDescent="0.2">
      <c r="A53" s="1">
        <v>7</v>
      </c>
      <c r="B53" s="1" t="str">
        <f>BX1</f>
        <v>Tabel 181 Jumlah Kuantitas Pemasaran Produk (Kg) berdasarkan Tujuan Pasar pada Jenis Kegiatan Pemindangan</v>
      </c>
      <c r="AH53" s="1"/>
      <c r="AO53" s="1"/>
      <c r="AV53" s="1"/>
      <c r="BC53" s="1"/>
      <c r="BJ53" s="1"/>
      <c r="BQ53" s="1"/>
      <c r="BX53" s="1"/>
      <c r="CE53" s="1"/>
      <c r="CL53" s="1"/>
      <c r="CS53" s="1"/>
      <c r="CZ53" s="1"/>
      <c r="DG53" s="1"/>
      <c r="DN53" s="1"/>
      <c r="DU53" s="1"/>
      <c r="EB53" s="1"/>
    </row>
    <row r="54" spans="1:132" x14ac:dyDescent="0.2">
      <c r="A54" s="1">
        <v>8</v>
      </c>
      <c r="B54" s="1" t="str">
        <f>CE1</f>
        <v>Tabel 182 Jumlah Kuantitas Pemasaran Produk (Kg) berdasarkan Tujuan Pasar pada Jenis Kegiatan Penanganan Produk Segar</v>
      </c>
      <c r="AH54" s="1"/>
      <c r="AO54" s="1"/>
      <c r="AV54" s="1"/>
      <c r="BC54" s="1"/>
      <c r="BJ54" s="1"/>
      <c r="BQ54" s="1"/>
      <c r="BX54" s="1"/>
      <c r="CE54" s="1"/>
      <c r="CL54" s="1"/>
      <c r="CS54" s="1"/>
      <c r="CZ54" s="1"/>
      <c r="DG54" s="1"/>
      <c r="DN54" s="1"/>
      <c r="DU54" s="1"/>
      <c r="EB54" s="1"/>
    </row>
    <row r="55" spans="1:132" x14ac:dyDescent="0.2">
      <c r="A55" s="1">
        <v>9</v>
      </c>
      <c r="B55" s="1" t="str">
        <f>CL1</f>
        <v>Tabel 183 Jumlah Kuantitas Pemasaran Produk (Kg) berdasarkan Tujuan Pasar pada Jenis Kegiatan Pengalengan</v>
      </c>
      <c r="AH55" s="1"/>
      <c r="AO55" s="1"/>
      <c r="AV55" s="1"/>
      <c r="BC55" s="1"/>
      <c r="BJ55" s="1"/>
      <c r="BQ55" s="1"/>
      <c r="BX55" s="1"/>
      <c r="CE55" s="1"/>
      <c r="CL55" s="1"/>
      <c r="CS55" s="1"/>
      <c r="CZ55" s="1"/>
      <c r="DG55" s="1"/>
      <c r="DN55" s="1"/>
      <c r="DU55" s="1"/>
      <c r="EB55" s="1"/>
    </row>
    <row r="56" spans="1:132" x14ac:dyDescent="0.2">
      <c r="A56" s="1">
        <v>10</v>
      </c>
      <c r="B56" s="1" t="str">
        <f>CS1</f>
        <v>Tabel 184 Jumlah Kuantitas Pemasaran Produk (Kg) berdasarkan Tujuan Pasar pada Jenis Kegiatan Pengasapan/Pemanggangan</v>
      </c>
      <c r="AH56" s="1"/>
      <c r="AO56" s="1"/>
      <c r="AV56" s="1"/>
      <c r="BC56" s="1"/>
      <c r="BJ56" s="1"/>
      <c r="BQ56" s="1"/>
      <c r="BX56" s="1"/>
      <c r="CE56" s="1"/>
      <c r="CL56" s="1"/>
      <c r="CS56" s="1"/>
      <c r="CZ56" s="1"/>
      <c r="DG56" s="1"/>
      <c r="DN56" s="1"/>
      <c r="DU56" s="1"/>
      <c r="EB56" s="1"/>
    </row>
    <row r="57" spans="1:132" x14ac:dyDescent="0.2">
      <c r="A57" s="1">
        <v>11</v>
      </c>
      <c r="B57" s="1" t="str">
        <f>CZ1</f>
        <v>Tabel 185 Jumlah Kuantitas Pemasaran Produk (Kg) berdasarkan Tujuan Pasar Jenis Kegiatan Penggaraman/Pengeringan</v>
      </c>
      <c r="AH57" s="1"/>
      <c r="AO57" s="1"/>
      <c r="AV57" s="1"/>
      <c r="BC57" s="1"/>
      <c r="BJ57" s="1"/>
      <c r="BQ57" s="1"/>
      <c r="BX57" s="1"/>
      <c r="CE57" s="1"/>
      <c r="CL57" s="1"/>
      <c r="CS57" s="1"/>
      <c r="CZ57" s="1"/>
      <c r="DG57" s="1"/>
      <c r="DN57" s="1"/>
      <c r="DU57" s="1"/>
      <c r="EB57" s="1"/>
    </row>
    <row r="58" spans="1:132" x14ac:dyDescent="0.2">
      <c r="A58" s="1">
        <v>12</v>
      </c>
      <c r="B58" s="1" t="str">
        <f>DG1</f>
        <v>Tabel 186 Jumlah Kuantitas Pemasaran Produk (Kg) berdasarkan Tujuan Pasar pada Jenis Kegiatan Pereduksian/Ekstraksi</v>
      </c>
      <c r="AH58" s="1"/>
      <c r="AO58" s="1"/>
      <c r="AV58" s="1"/>
      <c r="BC58" s="1"/>
      <c r="BJ58" s="1"/>
      <c r="BQ58" s="1"/>
      <c r="BX58" s="1"/>
      <c r="CE58" s="1"/>
      <c r="CL58" s="1"/>
      <c r="CS58" s="1"/>
      <c r="CZ58" s="1"/>
      <c r="DG58" s="1"/>
      <c r="DN58" s="1"/>
      <c r="DU58" s="1"/>
      <c r="EB58" s="1"/>
    </row>
    <row r="59" spans="1:132" x14ac:dyDescent="0.2">
      <c r="A59" s="1">
        <v>13</v>
      </c>
      <c r="B59" s="1" t="str">
        <f>DN1</f>
        <v>Tabel 187 Jumlah Kuantitas Pemasaran Produk (Kg) berdasarkan Tujuan Pasar pada Jenis Kegiatan Pengolahan Lainnya</v>
      </c>
      <c r="AH59" s="1"/>
      <c r="AO59" s="1"/>
      <c r="AV59" s="1"/>
      <c r="BC59" s="1"/>
      <c r="BJ59" s="1"/>
      <c r="BQ59" s="1"/>
      <c r="BX59" s="1"/>
      <c r="CE59" s="1"/>
      <c r="CL59" s="1"/>
      <c r="CS59" s="1"/>
      <c r="CZ59" s="1"/>
      <c r="DG59" s="1"/>
      <c r="DN59" s="1"/>
      <c r="DU59" s="1"/>
      <c r="EB59" s="1"/>
    </row>
    <row r="60" spans="1:132" x14ac:dyDescent="0.2">
      <c r="A60" s="1">
        <v>14</v>
      </c>
      <c r="B60" s="1" t="str">
        <f>DU1</f>
        <v>Tabel 188 Jumlah Kuantitas Pemasaran Produk (Kg) berdasarkan Tujuan Pasar pada Jenis Kegiatan Pengumpul/Pedagang Besar/Distributor</v>
      </c>
      <c r="AH60" s="1"/>
      <c r="AO60" s="1"/>
      <c r="AV60" s="1"/>
      <c r="BC60" s="1"/>
      <c r="BJ60" s="1"/>
      <c r="BQ60" s="1"/>
      <c r="BX60" s="1"/>
      <c r="CE60" s="1"/>
      <c r="CL60" s="1"/>
      <c r="CS60" s="1"/>
      <c r="CZ60" s="1"/>
      <c r="DG60" s="1"/>
      <c r="DN60" s="1"/>
      <c r="DU60" s="1"/>
      <c r="EB60" s="1"/>
    </row>
    <row r="61" spans="1:132" x14ac:dyDescent="0.2">
      <c r="A61" s="1">
        <v>15</v>
      </c>
      <c r="B61" s="1" t="str">
        <f>EB1</f>
        <v>Tabel 189 Jumlah Kuantitas Pemasaran Produk (Kg) berdasarkan Tujuan Pasar pada Jenis Kegiatan Pengecer</v>
      </c>
      <c r="AH61" s="1"/>
      <c r="AO61" s="1"/>
      <c r="AV61" s="1"/>
      <c r="BC61" s="1"/>
      <c r="BJ61" s="1"/>
      <c r="BQ61" s="1"/>
      <c r="BX61" s="1"/>
      <c r="CE61" s="1"/>
      <c r="CL61" s="1"/>
      <c r="CS61" s="1"/>
      <c r="CZ61" s="1"/>
      <c r="DG61" s="1"/>
      <c r="DN61" s="1"/>
      <c r="DU61" s="1"/>
      <c r="EB61" s="1"/>
    </row>
    <row r="62" spans="1:132" ht="12" x14ac:dyDescent="0.25">
      <c r="B62" s="18"/>
      <c r="AH62" s="1"/>
      <c r="AO62" s="1"/>
      <c r="AV62" s="1"/>
      <c r="BC62" s="1"/>
      <c r="BJ62" s="1"/>
      <c r="BQ62" s="1"/>
      <c r="BX62" s="1"/>
      <c r="CE62" s="1"/>
      <c r="CL62" s="1"/>
      <c r="CS62" s="1"/>
      <c r="CZ62" s="1"/>
      <c r="DG62" s="1"/>
      <c r="DN62" s="1"/>
      <c r="DU62" s="1"/>
      <c r="EB62" s="1"/>
    </row>
    <row r="63" spans="1:132" ht="12" x14ac:dyDescent="0.25">
      <c r="B63" s="18"/>
      <c r="AH63" s="1"/>
      <c r="AO63" s="1"/>
      <c r="AV63" s="1"/>
      <c r="BC63" s="1"/>
      <c r="BJ63" s="1"/>
      <c r="BQ63" s="1"/>
      <c r="BX63" s="1"/>
      <c r="CE63" s="1"/>
      <c r="CL63" s="1"/>
      <c r="CS63" s="1"/>
      <c r="CZ63" s="1"/>
      <c r="DG63" s="1"/>
      <c r="DN63" s="1"/>
      <c r="DU63" s="1"/>
      <c r="EB63" s="1"/>
    </row>
    <row r="64" spans="1:132" ht="12" x14ac:dyDescent="0.25">
      <c r="B64" s="18"/>
      <c r="AH64" s="1"/>
      <c r="AO64" s="1"/>
      <c r="AV64" s="1"/>
      <c r="BC64" s="1"/>
      <c r="BJ64" s="1"/>
      <c r="BQ64" s="1"/>
      <c r="BX64" s="1"/>
      <c r="CE64" s="1"/>
      <c r="CL64" s="1"/>
      <c r="CS64" s="1"/>
      <c r="CZ64" s="1"/>
      <c r="DG64" s="1"/>
      <c r="DN64" s="1"/>
      <c r="DU64" s="1"/>
      <c r="EB64" s="1"/>
    </row>
    <row r="65" spans="34:132" x14ac:dyDescent="0.2">
      <c r="AH65" s="1"/>
      <c r="AO65" s="1"/>
      <c r="AV65" s="1"/>
      <c r="BC65" s="1"/>
      <c r="BJ65" s="1"/>
      <c r="BQ65" s="1"/>
      <c r="BX65" s="1"/>
      <c r="CE65" s="1"/>
      <c r="CL65" s="1"/>
      <c r="CS65" s="1"/>
      <c r="CZ65" s="1"/>
      <c r="DG65" s="1"/>
      <c r="DN65" s="1"/>
      <c r="DU65" s="1"/>
      <c r="EB65" s="1"/>
    </row>
    <row r="66" spans="34:132" x14ac:dyDescent="0.2">
      <c r="AH66" s="1"/>
      <c r="AO66" s="1"/>
      <c r="AV66" s="1"/>
      <c r="BC66" s="1"/>
      <c r="BJ66" s="1"/>
      <c r="BQ66" s="1"/>
      <c r="BX66" s="1"/>
      <c r="CE66" s="1"/>
      <c r="CL66" s="1"/>
      <c r="CS66" s="1"/>
      <c r="CZ66" s="1"/>
      <c r="DG66" s="1"/>
      <c r="DN66" s="1"/>
      <c r="DU66" s="1"/>
      <c r="EB66" s="1"/>
    </row>
    <row r="67" spans="34:132" x14ac:dyDescent="0.2">
      <c r="AH67" s="1"/>
      <c r="AO67" s="1"/>
      <c r="AV67" s="1"/>
      <c r="BC67" s="1"/>
      <c r="BJ67" s="1"/>
      <c r="BQ67" s="1"/>
      <c r="BX67" s="1"/>
      <c r="CE67" s="1"/>
      <c r="CL67" s="1"/>
      <c r="CS67" s="1"/>
      <c r="CZ67" s="1"/>
      <c r="DG67" s="1"/>
      <c r="DN67" s="1"/>
      <c r="DU67" s="1"/>
      <c r="EB67" s="1"/>
    </row>
    <row r="68" spans="34:132" x14ac:dyDescent="0.2">
      <c r="AH68" s="1"/>
      <c r="AO68" s="1"/>
      <c r="AV68" s="1"/>
      <c r="BC68" s="1"/>
      <c r="BJ68" s="1"/>
      <c r="BQ68" s="1"/>
      <c r="BX68" s="1"/>
      <c r="CE68" s="1"/>
      <c r="CL68" s="1"/>
      <c r="CS68" s="1"/>
      <c r="CZ68" s="1"/>
      <c r="DG68" s="1"/>
      <c r="DN68" s="1"/>
      <c r="DU68" s="1"/>
      <c r="EB68" s="1"/>
    </row>
    <row r="69" spans="34:132" x14ac:dyDescent="0.2">
      <c r="AH69" s="1"/>
      <c r="AO69" s="1"/>
      <c r="AV69" s="1"/>
      <c r="BC69" s="1"/>
      <c r="BJ69" s="1"/>
      <c r="BQ69" s="1"/>
      <c r="BX69" s="1"/>
      <c r="CE69" s="1"/>
      <c r="CL69" s="1"/>
      <c r="CS69" s="1"/>
      <c r="CZ69" s="1"/>
      <c r="DG69" s="1"/>
      <c r="DN69" s="1"/>
      <c r="DU69" s="1"/>
      <c r="EB69" s="1"/>
    </row>
    <row r="70" spans="34:132" x14ac:dyDescent="0.2">
      <c r="AH70" s="1"/>
      <c r="AO70" s="1"/>
      <c r="AV70" s="1"/>
      <c r="BC70" s="1"/>
      <c r="BJ70" s="1"/>
      <c r="BQ70" s="1"/>
      <c r="BX70" s="1"/>
      <c r="CE70" s="1"/>
      <c r="CL70" s="1"/>
      <c r="CS70" s="1"/>
      <c r="CZ70" s="1"/>
      <c r="DG70" s="1"/>
      <c r="DN70" s="1"/>
      <c r="DU70" s="1"/>
      <c r="EB70" s="1"/>
    </row>
    <row r="71" spans="34:132" x14ac:dyDescent="0.2">
      <c r="AH71" s="1"/>
      <c r="AO71" s="1"/>
      <c r="AV71" s="1"/>
      <c r="BC71" s="1"/>
      <c r="BJ71" s="1"/>
      <c r="BQ71" s="1"/>
      <c r="BX71" s="1"/>
      <c r="CE71" s="1"/>
      <c r="CL71" s="1"/>
      <c r="CS71" s="1"/>
      <c r="CZ71" s="1"/>
      <c r="DG71" s="1"/>
      <c r="DN71" s="1"/>
      <c r="DU71" s="1"/>
      <c r="EB71" s="1"/>
    </row>
    <row r="72" spans="34:132" x14ac:dyDescent="0.2">
      <c r="AH72" s="1"/>
      <c r="AO72" s="1"/>
      <c r="AV72" s="1"/>
      <c r="BC72" s="1"/>
      <c r="BJ72" s="1"/>
      <c r="BQ72" s="1"/>
      <c r="BX72" s="1"/>
      <c r="CE72" s="1"/>
      <c r="CL72" s="1"/>
      <c r="CS72" s="1"/>
      <c r="CZ72" s="1"/>
      <c r="DG72" s="1"/>
      <c r="DN72" s="1"/>
      <c r="DU72" s="1"/>
      <c r="EB72" s="1"/>
    </row>
    <row r="73" spans="34:132" x14ac:dyDescent="0.2">
      <c r="AH73" s="1"/>
      <c r="AO73" s="1"/>
      <c r="AV73" s="1"/>
      <c r="BC73" s="1"/>
      <c r="BJ73" s="1"/>
      <c r="BQ73" s="1"/>
      <c r="BX73" s="1"/>
      <c r="CE73" s="1"/>
      <c r="CL73" s="1"/>
      <c r="CS73" s="1"/>
      <c r="CZ73" s="1"/>
      <c r="DG73" s="1"/>
      <c r="DN73" s="1"/>
      <c r="DU73" s="1"/>
      <c r="EB73" s="1"/>
    </row>
    <row r="74" spans="34:132" x14ac:dyDescent="0.2">
      <c r="AH74" s="1"/>
      <c r="AO74" s="1"/>
      <c r="AV74" s="1"/>
      <c r="BC74" s="1"/>
      <c r="BJ74" s="1"/>
      <c r="BQ74" s="1"/>
      <c r="BX74" s="1"/>
      <c r="CE74" s="1"/>
      <c r="CL74" s="1"/>
      <c r="CS74" s="1"/>
      <c r="CZ74" s="1"/>
      <c r="DG74" s="1"/>
      <c r="DN74" s="1"/>
      <c r="DU74" s="1"/>
      <c r="EB74" s="1"/>
    </row>
    <row r="75" spans="34:132" x14ac:dyDescent="0.2">
      <c r="AH75" s="1"/>
      <c r="AO75" s="1"/>
      <c r="AV75" s="1"/>
      <c r="BC75" s="1"/>
      <c r="BJ75" s="1"/>
      <c r="BQ75" s="1"/>
      <c r="BX75" s="1"/>
      <c r="CE75" s="1"/>
      <c r="CL75" s="1"/>
      <c r="CS75" s="1"/>
      <c r="CZ75" s="1"/>
      <c r="DG75" s="1"/>
      <c r="DN75" s="1"/>
      <c r="DU75" s="1"/>
      <c r="EB75" s="1"/>
    </row>
    <row r="76" spans="34:132" x14ac:dyDescent="0.2">
      <c r="AH76" s="1"/>
      <c r="AO76" s="1"/>
      <c r="AV76" s="1"/>
      <c r="BC76" s="1"/>
      <c r="BJ76" s="1"/>
      <c r="BQ76" s="1"/>
      <c r="BX76" s="1"/>
      <c r="CE76" s="1"/>
      <c r="CL76" s="1"/>
      <c r="CS76" s="1"/>
      <c r="CZ76" s="1"/>
      <c r="DG76" s="1"/>
      <c r="DN76" s="1"/>
      <c r="DU76" s="1"/>
      <c r="EB76" s="1"/>
    </row>
    <row r="77" spans="34:132" x14ac:dyDescent="0.2">
      <c r="AH77" s="1"/>
      <c r="AO77" s="1"/>
      <c r="AV77" s="1"/>
      <c r="BC77" s="1"/>
      <c r="BJ77" s="1"/>
      <c r="BQ77" s="1"/>
      <c r="BX77" s="1"/>
      <c r="CE77" s="1"/>
      <c r="CL77" s="1"/>
      <c r="CS77" s="1"/>
      <c r="CZ77" s="1"/>
      <c r="DG77" s="1"/>
      <c r="DN77" s="1"/>
      <c r="DU77" s="1"/>
      <c r="EB77" s="1"/>
    </row>
    <row r="78" spans="34:132" x14ac:dyDescent="0.2">
      <c r="AH78" s="1"/>
      <c r="AO78" s="1"/>
      <c r="AV78" s="1"/>
      <c r="BC78" s="1"/>
      <c r="BJ78" s="1"/>
      <c r="BQ78" s="1"/>
      <c r="BX78" s="1"/>
      <c r="CE78" s="1"/>
      <c r="CL78" s="1"/>
      <c r="CS78" s="1"/>
      <c r="CZ78" s="1"/>
      <c r="DG78" s="1"/>
      <c r="DN78" s="1"/>
      <c r="DU78" s="1"/>
      <c r="EB78" s="1"/>
    </row>
    <row r="79" spans="34:132" x14ac:dyDescent="0.2">
      <c r="AH79" s="1"/>
      <c r="AO79" s="1"/>
      <c r="AV79" s="1"/>
      <c r="BC79" s="1"/>
      <c r="BJ79" s="1"/>
      <c r="BQ79" s="1"/>
      <c r="BX79" s="1"/>
      <c r="CE79" s="1"/>
      <c r="CL79" s="1"/>
      <c r="CS79" s="1"/>
      <c r="CZ79" s="1"/>
      <c r="DG79" s="1"/>
      <c r="DN79" s="1"/>
      <c r="DU79" s="1"/>
      <c r="EB79" s="1"/>
    </row>
    <row r="80" spans="34:132" x14ac:dyDescent="0.2">
      <c r="AH80" s="1"/>
      <c r="AO80" s="1"/>
      <c r="AV80" s="1"/>
      <c r="BC80" s="1"/>
      <c r="BJ80" s="1"/>
      <c r="BQ80" s="1"/>
      <c r="BX80" s="1"/>
      <c r="CE80" s="1"/>
      <c r="CL80" s="1"/>
      <c r="CS80" s="1"/>
      <c r="CZ80" s="1"/>
      <c r="DG80" s="1"/>
      <c r="DN80" s="1"/>
      <c r="DU80" s="1"/>
      <c r="EB80" s="1"/>
    </row>
    <row r="81" spans="34:132" x14ac:dyDescent="0.2">
      <c r="AH81" s="1"/>
      <c r="AO81" s="1"/>
      <c r="AV81" s="1"/>
      <c r="BC81" s="1"/>
      <c r="BJ81" s="1"/>
      <c r="BQ81" s="1"/>
      <c r="BX81" s="1"/>
      <c r="CE81" s="1"/>
      <c r="CL81" s="1"/>
      <c r="CS81" s="1"/>
      <c r="CZ81" s="1"/>
      <c r="DG81" s="1"/>
      <c r="DN81" s="1"/>
      <c r="DU81" s="1"/>
      <c r="EB81" s="1"/>
    </row>
    <row r="82" spans="34:132" x14ac:dyDescent="0.2">
      <c r="AH82" s="1"/>
      <c r="AO82" s="1"/>
      <c r="AV82" s="1"/>
      <c r="BC82" s="1"/>
      <c r="BJ82" s="1"/>
      <c r="BQ82" s="1"/>
      <c r="BX82" s="1"/>
      <c r="CE82" s="1"/>
      <c r="CL82" s="1"/>
      <c r="CS82" s="1"/>
      <c r="CZ82" s="1"/>
      <c r="DG82" s="1"/>
      <c r="DN82" s="1"/>
      <c r="DU82" s="1"/>
      <c r="EB82" s="1"/>
    </row>
    <row r="83" spans="34:132" x14ac:dyDescent="0.2">
      <c r="AH83" s="1"/>
      <c r="AO83" s="1"/>
      <c r="AV83" s="1"/>
      <c r="BC83" s="1"/>
      <c r="BJ83" s="1"/>
      <c r="BQ83" s="1"/>
      <c r="BX83" s="1"/>
      <c r="CE83" s="1"/>
      <c r="CL83" s="1"/>
      <c r="CS83" s="1"/>
      <c r="CZ83" s="1"/>
      <c r="DG83" s="1"/>
      <c r="DN83" s="1"/>
      <c r="DU83" s="1"/>
      <c r="EB83" s="1"/>
    </row>
    <row r="84" spans="34:132" x14ac:dyDescent="0.2">
      <c r="AH84" s="1"/>
      <c r="AO84" s="1"/>
      <c r="AV84" s="1"/>
      <c r="BC84" s="1"/>
      <c r="BJ84" s="1"/>
      <c r="BQ84" s="1"/>
      <c r="BX84" s="1"/>
      <c r="CE84" s="1"/>
      <c r="CL84" s="1"/>
      <c r="CS84" s="1"/>
      <c r="CZ84" s="1"/>
      <c r="DG84" s="1"/>
      <c r="DN84" s="1"/>
      <c r="DU84" s="1"/>
      <c r="EB84" s="1"/>
    </row>
    <row r="85" spans="34:132" x14ac:dyDescent="0.2">
      <c r="AH85" s="1"/>
      <c r="AO85" s="1"/>
      <c r="AV85" s="1"/>
      <c r="BC85" s="1"/>
      <c r="BJ85" s="1"/>
      <c r="BQ85" s="1"/>
      <c r="BX85" s="1"/>
      <c r="CE85" s="1"/>
      <c r="CL85" s="1"/>
      <c r="CS85" s="1"/>
      <c r="CZ85" s="1"/>
      <c r="DG85" s="1"/>
      <c r="DN85" s="1"/>
      <c r="DU85" s="1"/>
      <c r="EB85" s="1"/>
    </row>
    <row r="86" spans="34:132" x14ac:dyDescent="0.2">
      <c r="AH86" s="1"/>
      <c r="AO86" s="1"/>
      <c r="AV86" s="1"/>
      <c r="BC86" s="1"/>
      <c r="BJ86" s="1"/>
      <c r="BQ86" s="1"/>
      <c r="BX86" s="1"/>
      <c r="CE86" s="1"/>
      <c r="CL86" s="1"/>
      <c r="CS86" s="1"/>
      <c r="CZ86" s="1"/>
      <c r="DG86" s="1"/>
      <c r="DN86" s="1"/>
      <c r="DU86" s="1"/>
      <c r="EB86" s="1"/>
    </row>
    <row r="87" spans="34:132" x14ac:dyDescent="0.2">
      <c r="AH87" s="1"/>
      <c r="AO87" s="1"/>
      <c r="AV87" s="1"/>
      <c r="BC87" s="1"/>
      <c r="BJ87" s="1"/>
      <c r="BQ87" s="1"/>
      <c r="BX87" s="1"/>
      <c r="CE87" s="1"/>
      <c r="CL87" s="1"/>
      <c r="CS87" s="1"/>
      <c r="CZ87" s="1"/>
      <c r="DG87" s="1"/>
      <c r="DN87" s="1"/>
      <c r="DU87" s="1"/>
      <c r="EB87" s="1"/>
    </row>
    <row r="88" spans="34:132" x14ac:dyDescent="0.2">
      <c r="AH88" s="1"/>
      <c r="AO88" s="1"/>
      <c r="AV88" s="1"/>
      <c r="BC88" s="1"/>
      <c r="BJ88" s="1"/>
      <c r="BQ88" s="1"/>
      <c r="BX88" s="1"/>
      <c r="CE88" s="1"/>
      <c r="CL88" s="1"/>
      <c r="CS88" s="1"/>
      <c r="CZ88" s="1"/>
      <c r="DG88" s="1"/>
      <c r="DN88" s="1"/>
      <c r="DU88" s="1"/>
      <c r="EB88" s="1"/>
    </row>
    <row r="89" spans="34:132" x14ac:dyDescent="0.2">
      <c r="AH89" s="1"/>
      <c r="AO89" s="1"/>
      <c r="AV89" s="1"/>
      <c r="BC89" s="1"/>
      <c r="BJ89" s="1"/>
      <c r="BQ89" s="1"/>
      <c r="BX89" s="1"/>
      <c r="CE89" s="1"/>
      <c r="CL89" s="1"/>
      <c r="CS89" s="1"/>
      <c r="CZ89" s="1"/>
      <c r="DG89" s="1"/>
      <c r="DN89" s="1"/>
      <c r="DU89" s="1"/>
      <c r="EB89" s="1"/>
    </row>
    <row r="90" spans="34:132" x14ac:dyDescent="0.2">
      <c r="AH90" s="1"/>
      <c r="AO90" s="1"/>
      <c r="AV90" s="1"/>
      <c r="BC90" s="1"/>
      <c r="BJ90" s="1"/>
      <c r="BQ90" s="1"/>
      <c r="BX90" s="1"/>
      <c r="CE90" s="1"/>
      <c r="CL90" s="1"/>
      <c r="CS90" s="1"/>
      <c r="CZ90" s="1"/>
      <c r="DG90" s="1"/>
      <c r="DN90" s="1"/>
      <c r="DU90" s="1"/>
      <c r="EB90" s="1"/>
    </row>
    <row r="91" spans="34:132" x14ac:dyDescent="0.2">
      <c r="AH91" s="1"/>
      <c r="AO91" s="1"/>
      <c r="AV91" s="1"/>
      <c r="BC91" s="1"/>
      <c r="BJ91" s="1"/>
      <c r="BQ91" s="1"/>
      <c r="BX91" s="1"/>
      <c r="CE91" s="1"/>
      <c r="CL91" s="1"/>
      <c r="CS91" s="1"/>
      <c r="CZ91" s="1"/>
      <c r="DG91" s="1"/>
      <c r="DN91" s="1"/>
      <c r="DU91" s="1"/>
      <c r="EB91" s="1"/>
    </row>
    <row r="92" spans="34:132" x14ac:dyDescent="0.2">
      <c r="AH92" s="1"/>
      <c r="AO92" s="1"/>
      <c r="AV92" s="1"/>
      <c r="BC92" s="1"/>
      <c r="BJ92" s="1"/>
      <c r="BQ92" s="1"/>
      <c r="BX92" s="1"/>
      <c r="CE92" s="1"/>
      <c r="CL92" s="1"/>
      <c r="CS92" s="1"/>
      <c r="CZ92" s="1"/>
      <c r="DG92" s="1"/>
      <c r="DN92" s="1"/>
      <c r="DU92" s="1"/>
      <c r="EB92" s="1"/>
    </row>
    <row r="93" spans="34:132" x14ac:dyDescent="0.2">
      <c r="AH93" s="1"/>
      <c r="AO93" s="1"/>
      <c r="AV93" s="1"/>
      <c r="BC93" s="1"/>
      <c r="BJ93" s="1"/>
      <c r="BQ93" s="1"/>
      <c r="BX93" s="1"/>
      <c r="CE93" s="1"/>
      <c r="CL93" s="1"/>
      <c r="CS93" s="1"/>
      <c r="CZ93" s="1"/>
      <c r="DG93" s="1"/>
      <c r="DN93" s="1"/>
      <c r="DU93" s="1"/>
      <c r="EB93" s="1"/>
    </row>
    <row r="94" spans="34:132" x14ac:dyDescent="0.2">
      <c r="AH94" s="1"/>
      <c r="AO94" s="1"/>
      <c r="AV94" s="1"/>
      <c r="BC94" s="1"/>
      <c r="BJ94" s="1"/>
      <c r="BQ94" s="1"/>
      <c r="BX94" s="1"/>
      <c r="CE94" s="1"/>
      <c r="CL94" s="1"/>
      <c r="CS94" s="1"/>
      <c r="CZ94" s="1"/>
      <c r="DG94" s="1"/>
      <c r="DN94" s="1"/>
      <c r="DU94" s="1"/>
      <c r="EB94" s="1"/>
    </row>
    <row r="95" spans="34:132" x14ac:dyDescent="0.2">
      <c r="AH95" s="1"/>
      <c r="AO95" s="1"/>
      <c r="AV95" s="1"/>
      <c r="BC95" s="1"/>
      <c r="BJ95" s="1"/>
      <c r="BQ95" s="1"/>
      <c r="BX95" s="1"/>
      <c r="CE95" s="1"/>
      <c r="CL95" s="1"/>
      <c r="CS95" s="1"/>
      <c r="CZ95" s="1"/>
      <c r="DG95" s="1"/>
      <c r="DN95" s="1"/>
      <c r="DU95" s="1"/>
      <c r="EB95" s="1"/>
    </row>
    <row r="96" spans="34:132" x14ac:dyDescent="0.2">
      <c r="AH96" s="1"/>
      <c r="AO96" s="1"/>
      <c r="AV96" s="1"/>
      <c r="BC96" s="1"/>
      <c r="BJ96" s="1"/>
      <c r="BQ96" s="1"/>
      <c r="BX96" s="1"/>
      <c r="CE96" s="1"/>
      <c r="CL96" s="1"/>
      <c r="CS96" s="1"/>
      <c r="CZ96" s="1"/>
      <c r="DG96" s="1"/>
      <c r="DN96" s="1"/>
      <c r="DU96" s="1"/>
      <c r="EB96" s="1"/>
    </row>
    <row r="97" spans="34:132" x14ac:dyDescent="0.2">
      <c r="AH97" s="1"/>
      <c r="AO97" s="1"/>
      <c r="AV97" s="1"/>
      <c r="BC97" s="1"/>
      <c r="BJ97" s="1"/>
      <c r="BQ97" s="1"/>
      <c r="BX97" s="1"/>
      <c r="CE97" s="1"/>
      <c r="CL97" s="1"/>
      <c r="CS97" s="1"/>
      <c r="CZ97" s="1"/>
      <c r="DG97" s="1"/>
      <c r="DN97" s="1"/>
      <c r="DU97" s="1"/>
      <c r="EB97" s="1"/>
    </row>
    <row r="98" spans="34:132" x14ac:dyDescent="0.2">
      <c r="AH98" s="1"/>
      <c r="AO98" s="1"/>
      <c r="AV98" s="1"/>
      <c r="BC98" s="1"/>
      <c r="BJ98" s="1"/>
      <c r="BQ98" s="1"/>
      <c r="BX98" s="1"/>
      <c r="CE98" s="1"/>
      <c r="CL98" s="1"/>
      <c r="CS98" s="1"/>
      <c r="CZ98" s="1"/>
      <c r="DG98" s="1"/>
      <c r="DN98" s="1"/>
      <c r="DU98" s="1"/>
      <c r="EB98" s="1"/>
    </row>
    <row r="99" spans="34:132" x14ac:dyDescent="0.2">
      <c r="AH99" s="1"/>
      <c r="AO99" s="1"/>
      <c r="AV99" s="1"/>
      <c r="BC99" s="1"/>
      <c r="BJ99" s="1"/>
      <c r="BQ99" s="1"/>
      <c r="BX99" s="1"/>
      <c r="CE99" s="1"/>
      <c r="CL99" s="1"/>
      <c r="CS99" s="1"/>
      <c r="CZ99" s="1"/>
      <c r="DG99" s="1"/>
      <c r="DN99" s="1"/>
      <c r="DU99" s="1"/>
      <c r="EB99" s="1"/>
    </row>
    <row r="100" spans="34:132" x14ac:dyDescent="0.2">
      <c r="AH100" s="1"/>
      <c r="AO100" s="1"/>
      <c r="AV100" s="1"/>
      <c r="BC100" s="1"/>
      <c r="BJ100" s="1"/>
      <c r="BQ100" s="1"/>
      <c r="BX100" s="1"/>
      <c r="CE100" s="1"/>
      <c r="CL100" s="1"/>
      <c r="CS100" s="1"/>
      <c r="CZ100" s="1"/>
      <c r="DG100" s="1"/>
      <c r="DN100" s="1"/>
      <c r="DU100" s="1"/>
      <c r="EB100" s="1"/>
    </row>
    <row r="101" spans="34:132" x14ac:dyDescent="0.2">
      <c r="AH101" s="1"/>
      <c r="AO101" s="1"/>
      <c r="AV101" s="1"/>
      <c r="BC101" s="1"/>
      <c r="BJ101" s="1"/>
      <c r="BQ101" s="1"/>
      <c r="BX101" s="1"/>
      <c r="CE101" s="1"/>
      <c r="CL101" s="1"/>
      <c r="CS101" s="1"/>
      <c r="CZ101" s="1"/>
      <c r="DG101" s="1"/>
      <c r="DN101" s="1"/>
      <c r="DU101" s="1"/>
      <c r="EB101" s="1"/>
    </row>
    <row r="102" spans="34:132" x14ac:dyDescent="0.2">
      <c r="AH102" s="1"/>
      <c r="AO102" s="1"/>
      <c r="AV102" s="1"/>
      <c r="BC102" s="1"/>
      <c r="BJ102" s="1"/>
      <c r="BQ102" s="1"/>
      <c r="BX102" s="1"/>
      <c r="CE102" s="1"/>
      <c r="CL102" s="1"/>
      <c r="CS102" s="1"/>
      <c r="CZ102" s="1"/>
      <c r="DG102" s="1"/>
      <c r="DN102" s="1"/>
      <c r="DU102" s="1"/>
      <c r="EB102" s="1"/>
    </row>
    <row r="103" spans="34:132" x14ac:dyDescent="0.2">
      <c r="AH103" s="1"/>
      <c r="AO103" s="1"/>
      <c r="AV103" s="1"/>
      <c r="BC103" s="1"/>
      <c r="BJ103" s="1"/>
      <c r="BQ103" s="1"/>
      <c r="BX103" s="1"/>
      <c r="CE103" s="1"/>
      <c r="CL103" s="1"/>
      <c r="CS103" s="1"/>
      <c r="CZ103" s="1"/>
      <c r="DG103" s="1"/>
      <c r="DN103" s="1"/>
      <c r="DU103" s="1"/>
      <c r="EB103" s="1"/>
    </row>
    <row r="104" spans="34:132" x14ac:dyDescent="0.2">
      <c r="AH104" s="1"/>
      <c r="AO104" s="1"/>
      <c r="AV104" s="1"/>
      <c r="BC104" s="1"/>
      <c r="BJ104" s="1"/>
      <c r="BQ104" s="1"/>
      <c r="BX104" s="1"/>
      <c r="CE104" s="1"/>
      <c r="CL104" s="1"/>
      <c r="CS104" s="1"/>
      <c r="CZ104" s="1"/>
      <c r="DG104" s="1"/>
      <c r="DN104" s="1"/>
      <c r="DU104" s="1"/>
      <c r="EB104" s="1"/>
    </row>
    <row r="105" spans="34:132" x14ac:dyDescent="0.2">
      <c r="AH105" s="1"/>
      <c r="AO105" s="1"/>
      <c r="AV105" s="1"/>
      <c r="BC105" s="1"/>
      <c r="BJ105" s="1"/>
      <c r="BQ105" s="1"/>
      <c r="BX105" s="1"/>
      <c r="CE105" s="1"/>
      <c r="CL105" s="1"/>
      <c r="CS105" s="1"/>
      <c r="CZ105" s="1"/>
      <c r="DG105" s="1"/>
      <c r="DN105" s="1"/>
      <c r="DU105" s="1"/>
      <c r="EB105" s="1"/>
    </row>
    <row r="106" spans="34:132" x14ac:dyDescent="0.2">
      <c r="AH106" s="1"/>
      <c r="AO106" s="1"/>
      <c r="AV106" s="1"/>
      <c r="BC106" s="1"/>
      <c r="BJ106" s="1"/>
      <c r="BQ106" s="1"/>
      <c r="BX106" s="1"/>
      <c r="CE106" s="1"/>
      <c r="CL106" s="1"/>
      <c r="CS106" s="1"/>
      <c r="CZ106" s="1"/>
      <c r="DG106" s="1"/>
      <c r="DN106" s="1"/>
      <c r="DU106" s="1"/>
      <c r="EB106" s="1"/>
    </row>
    <row r="107" spans="34:132" x14ac:dyDescent="0.2">
      <c r="AH107" s="1"/>
      <c r="AO107" s="1"/>
      <c r="AV107" s="1"/>
      <c r="BC107" s="1"/>
      <c r="BJ107" s="1"/>
      <c r="BQ107" s="1"/>
      <c r="BX107" s="1"/>
      <c r="CE107" s="1"/>
      <c r="CL107" s="1"/>
      <c r="CS107" s="1"/>
      <c r="CZ107" s="1"/>
      <c r="DG107" s="1"/>
      <c r="DN107" s="1"/>
      <c r="DU107" s="1"/>
      <c r="EB107" s="1"/>
    </row>
    <row r="108" spans="34:132" x14ac:dyDescent="0.2">
      <c r="AH108" s="1"/>
      <c r="AO108" s="1"/>
      <c r="AV108" s="1"/>
      <c r="BC108" s="1"/>
      <c r="BJ108" s="1"/>
      <c r="BQ108" s="1"/>
      <c r="BX108" s="1"/>
      <c r="CE108" s="1"/>
      <c r="CL108" s="1"/>
      <c r="CS108" s="1"/>
      <c r="CZ108" s="1"/>
      <c r="DG108" s="1"/>
      <c r="DN108" s="1"/>
      <c r="DU108" s="1"/>
      <c r="EB108" s="1"/>
    </row>
    <row r="109" spans="34:132" x14ac:dyDescent="0.2">
      <c r="AH109" s="1"/>
      <c r="AO109" s="1"/>
      <c r="AV109" s="1"/>
      <c r="BC109" s="1"/>
      <c r="BJ109" s="1"/>
      <c r="BQ109" s="1"/>
      <c r="BX109" s="1"/>
      <c r="CE109" s="1"/>
      <c r="CL109" s="1"/>
      <c r="CS109" s="1"/>
      <c r="CZ109" s="1"/>
      <c r="DG109" s="1"/>
      <c r="DN109" s="1"/>
      <c r="DU109" s="1"/>
      <c r="EB109" s="1"/>
    </row>
    <row r="110" spans="34:132" x14ac:dyDescent="0.2">
      <c r="AH110" s="1"/>
      <c r="AO110" s="1"/>
      <c r="AV110" s="1"/>
      <c r="BC110" s="1"/>
      <c r="BJ110" s="1"/>
      <c r="BQ110" s="1"/>
      <c r="BX110" s="1"/>
      <c r="CE110" s="1"/>
      <c r="CL110" s="1"/>
      <c r="CS110" s="1"/>
      <c r="CZ110" s="1"/>
      <c r="DG110" s="1"/>
      <c r="DN110" s="1"/>
      <c r="DU110" s="1"/>
      <c r="EB110" s="1"/>
    </row>
    <row r="111" spans="34:132" x14ac:dyDescent="0.2">
      <c r="AH111" s="1"/>
      <c r="AO111" s="1"/>
      <c r="AV111" s="1"/>
      <c r="BC111" s="1"/>
      <c r="BJ111" s="1"/>
      <c r="BQ111" s="1"/>
      <c r="BX111" s="1"/>
      <c r="CE111" s="1"/>
      <c r="CL111" s="1"/>
      <c r="CS111" s="1"/>
      <c r="CZ111" s="1"/>
      <c r="DG111" s="1"/>
      <c r="DN111" s="1"/>
      <c r="DU111" s="1"/>
      <c r="EB111" s="1"/>
    </row>
    <row r="112" spans="34:132" x14ac:dyDescent="0.2">
      <c r="AH112" s="1"/>
      <c r="AO112" s="1"/>
      <c r="AV112" s="1"/>
      <c r="BC112" s="1"/>
      <c r="BJ112" s="1"/>
      <c r="BQ112" s="1"/>
      <c r="BX112" s="1"/>
      <c r="CE112" s="1"/>
      <c r="CL112" s="1"/>
      <c r="CS112" s="1"/>
      <c r="CZ112" s="1"/>
      <c r="DG112" s="1"/>
      <c r="DN112" s="1"/>
      <c r="DU112" s="1"/>
      <c r="EB112" s="1"/>
    </row>
    <row r="113" spans="34:132" x14ac:dyDescent="0.2">
      <c r="AH113" s="1"/>
      <c r="AO113" s="1"/>
      <c r="AV113" s="1"/>
      <c r="BC113" s="1"/>
      <c r="BJ113" s="1"/>
      <c r="BQ113" s="1"/>
      <c r="BX113" s="1"/>
      <c r="CE113" s="1"/>
      <c r="CL113" s="1"/>
      <c r="CS113" s="1"/>
      <c r="CZ113" s="1"/>
      <c r="DG113" s="1"/>
      <c r="DN113" s="1"/>
      <c r="DU113" s="1"/>
      <c r="EB113" s="1"/>
    </row>
    <row r="114" spans="34:132" x14ac:dyDescent="0.2">
      <c r="AH114" s="1"/>
      <c r="AO114" s="1"/>
      <c r="AV114" s="1"/>
      <c r="BC114" s="1"/>
      <c r="BJ114" s="1"/>
      <c r="BQ114" s="1"/>
      <c r="BX114" s="1"/>
      <c r="CE114" s="1"/>
      <c r="CL114" s="1"/>
      <c r="CS114" s="1"/>
      <c r="CZ114" s="1"/>
      <c r="DG114" s="1"/>
      <c r="DN114" s="1"/>
      <c r="DU114" s="1"/>
      <c r="EB114" s="1"/>
    </row>
    <row r="115" spans="34:132" x14ac:dyDescent="0.2">
      <c r="AH115" s="1"/>
      <c r="AO115" s="1"/>
      <c r="AV115" s="1"/>
      <c r="BC115" s="1"/>
      <c r="BJ115" s="1"/>
      <c r="BQ115" s="1"/>
      <c r="BX115" s="1"/>
      <c r="CE115" s="1"/>
      <c r="CL115" s="1"/>
      <c r="CS115" s="1"/>
      <c r="CZ115" s="1"/>
      <c r="DG115" s="1"/>
      <c r="DN115" s="1"/>
      <c r="DU115" s="1"/>
      <c r="EB115" s="1"/>
    </row>
    <row r="116" spans="34:132" x14ac:dyDescent="0.2">
      <c r="AH116" s="1"/>
      <c r="AO116" s="1"/>
      <c r="AV116" s="1"/>
      <c r="BC116" s="1"/>
      <c r="BJ116" s="1"/>
      <c r="BQ116" s="1"/>
      <c r="BX116" s="1"/>
      <c r="CE116" s="1"/>
      <c r="CL116" s="1"/>
      <c r="CS116" s="1"/>
      <c r="CZ116" s="1"/>
      <c r="DG116" s="1"/>
      <c r="DN116" s="1"/>
      <c r="DU116" s="1"/>
      <c r="EB116" s="1"/>
    </row>
    <row r="117" spans="34:132" x14ac:dyDescent="0.2">
      <c r="AH117" s="1"/>
      <c r="AO117" s="1"/>
      <c r="AV117" s="1"/>
      <c r="BC117" s="1"/>
      <c r="BJ117" s="1"/>
      <c r="BQ117" s="1"/>
      <c r="BX117" s="1"/>
      <c r="CE117" s="1"/>
      <c r="CL117" s="1"/>
      <c r="CS117" s="1"/>
      <c r="CZ117" s="1"/>
      <c r="DG117" s="1"/>
      <c r="DN117" s="1"/>
      <c r="DU117" s="1"/>
      <c r="EB117" s="1"/>
    </row>
    <row r="118" spans="34:132" x14ac:dyDescent="0.2">
      <c r="AH118" s="1"/>
      <c r="AO118" s="1"/>
      <c r="AV118" s="1"/>
      <c r="BC118" s="1"/>
      <c r="BJ118" s="1"/>
      <c r="BQ118" s="1"/>
      <c r="BX118" s="1"/>
      <c r="CE118" s="1"/>
      <c r="CL118" s="1"/>
      <c r="CS118" s="1"/>
      <c r="CZ118" s="1"/>
      <c r="DG118" s="1"/>
      <c r="DN118" s="1"/>
      <c r="DU118" s="1"/>
      <c r="EB118" s="1"/>
    </row>
    <row r="119" spans="34:132" x14ac:dyDescent="0.2">
      <c r="AH119" s="1"/>
      <c r="AO119" s="1"/>
      <c r="AV119" s="1"/>
      <c r="BC119" s="1"/>
      <c r="BJ119" s="1"/>
      <c r="BQ119" s="1"/>
      <c r="BX119" s="1"/>
      <c r="CE119" s="1"/>
      <c r="CL119" s="1"/>
      <c r="CS119" s="1"/>
      <c r="CZ119" s="1"/>
      <c r="DG119" s="1"/>
      <c r="DN119" s="1"/>
      <c r="DU119" s="1"/>
      <c r="EB119" s="1"/>
    </row>
    <row r="120" spans="34:132" x14ac:dyDescent="0.2">
      <c r="AH120" s="1"/>
      <c r="AO120" s="1"/>
      <c r="AV120" s="1"/>
      <c r="BC120" s="1"/>
      <c r="BJ120" s="1"/>
      <c r="BQ120" s="1"/>
      <c r="BX120" s="1"/>
      <c r="CE120" s="1"/>
      <c r="CL120" s="1"/>
      <c r="CS120" s="1"/>
      <c r="CZ120" s="1"/>
      <c r="DG120" s="1"/>
      <c r="DN120" s="1"/>
      <c r="DU120" s="1"/>
      <c r="EB120" s="1"/>
    </row>
    <row r="121" spans="34:132" x14ac:dyDescent="0.2">
      <c r="AH121" s="1"/>
      <c r="AO121" s="1"/>
      <c r="AV121" s="1"/>
      <c r="BC121" s="1"/>
      <c r="BJ121" s="1"/>
      <c r="BQ121" s="1"/>
      <c r="BX121" s="1"/>
      <c r="CE121" s="1"/>
      <c r="CL121" s="1"/>
      <c r="CS121" s="1"/>
      <c r="CZ121" s="1"/>
      <c r="DG121" s="1"/>
      <c r="DN121" s="1"/>
      <c r="DU121" s="1"/>
      <c r="EB121" s="1"/>
    </row>
    <row r="122" spans="34:132" x14ac:dyDescent="0.2">
      <c r="AH122" s="1"/>
      <c r="AO122" s="1"/>
      <c r="AV122" s="1"/>
      <c r="BC122" s="1"/>
      <c r="BJ122" s="1"/>
      <c r="BQ122" s="1"/>
      <c r="BX122" s="1"/>
      <c r="CE122" s="1"/>
      <c r="CL122" s="1"/>
      <c r="CS122" s="1"/>
      <c r="CZ122" s="1"/>
      <c r="DG122" s="1"/>
      <c r="DN122" s="1"/>
      <c r="DU122" s="1"/>
      <c r="EB122" s="1"/>
    </row>
    <row r="123" spans="34:132" x14ac:dyDescent="0.2">
      <c r="AH123" s="1"/>
      <c r="AO123" s="1"/>
      <c r="AV123" s="1"/>
      <c r="BC123" s="1"/>
      <c r="BJ123" s="1"/>
      <c r="BQ123" s="1"/>
      <c r="BX123" s="1"/>
      <c r="CE123" s="1"/>
      <c r="CL123" s="1"/>
      <c r="CS123" s="1"/>
      <c r="CZ123" s="1"/>
      <c r="DG123" s="1"/>
      <c r="DN123" s="1"/>
      <c r="DU123" s="1"/>
      <c r="EB123" s="1"/>
    </row>
    <row r="124" spans="34:132" x14ac:dyDescent="0.2">
      <c r="AH124" s="1"/>
      <c r="AO124" s="1"/>
      <c r="AV124" s="1"/>
      <c r="BC124" s="1"/>
      <c r="BJ124" s="1"/>
      <c r="BQ124" s="1"/>
      <c r="BX124" s="1"/>
      <c r="CE124" s="1"/>
      <c r="CL124" s="1"/>
      <c r="CS124" s="1"/>
      <c r="CZ124" s="1"/>
      <c r="DG124" s="1"/>
      <c r="DN124" s="1"/>
      <c r="DU124" s="1"/>
      <c r="EB124" s="1"/>
    </row>
    <row r="125" spans="34:132" x14ac:dyDescent="0.2">
      <c r="AH125" s="1"/>
      <c r="AO125" s="1"/>
      <c r="AV125" s="1"/>
      <c r="BC125" s="1"/>
      <c r="BJ125" s="1"/>
      <c r="BQ125" s="1"/>
      <c r="BX125" s="1"/>
      <c r="CE125" s="1"/>
      <c r="CL125" s="1"/>
      <c r="CS125" s="1"/>
      <c r="CZ125" s="1"/>
      <c r="DG125" s="1"/>
      <c r="DN125" s="1"/>
      <c r="DU125" s="1"/>
      <c r="EB125" s="1"/>
    </row>
    <row r="126" spans="34:132" x14ac:dyDescent="0.2">
      <c r="AH126" s="1"/>
      <c r="AO126" s="1"/>
      <c r="AV126" s="1"/>
      <c r="BC126" s="1"/>
      <c r="BJ126" s="1"/>
      <c r="BQ126" s="1"/>
      <c r="BX126" s="1"/>
      <c r="CE126" s="1"/>
      <c r="CL126" s="1"/>
      <c r="CS126" s="1"/>
      <c r="CZ126" s="1"/>
      <c r="DG126" s="1"/>
      <c r="DN126" s="1"/>
      <c r="DU126" s="1"/>
      <c r="EB126" s="1"/>
    </row>
    <row r="127" spans="34:132" x14ac:dyDescent="0.2">
      <c r="AH127" s="1"/>
      <c r="AO127" s="1"/>
      <c r="AV127" s="1"/>
      <c r="BC127" s="1"/>
      <c r="BJ127" s="1"/>
      <c r="BQ127" s="1"/>
      <c r="BX127" s="1"/>
      <c r="CE127" s="1"/>
      <c r="CL127" s="1"/>
      <c r="CS127" s="1"/>
      <c r="CZ127" s="1"/>
      <c r="DG127" s="1"/>
      <c r="DN127" s="1"/>
      <c r="DU127" s="1"/>
      <c r="EB127" s="1"/>
    </row>
    <row r="128" spans="34:132" x14ac:dyDescent="0.2">
      <c r="AH128" s="1"/>
      <c r="AO128" s="1"/>
      <c r="AV128" s="1"/>
      <c r="BC128" s="1"/>
      <c r="BJ128" s="1"/>
      <c r="BQ128" s="1"/>
      <c r="BX128" s="1"/>
      <c r="CE128" s="1"/>
      <c r="CL128" s="1"/>
      <c r="CS128" s="1"/>
      <c r="CZ128" s="1"/>
      <c r="DG128" s="1"/>
      <c r="DN128" s="1"/>
      <c r="DU128" s="1"/>
      <c r="EB128" s="1"/>
    </row>
    <row r="129" spans="34:132" x14ac:dyDescent="0.2">
      <c r="AH129" s="1"/>
      <c r="AO129" s="1"/>
      <c r="AV129" s="1"/>
      <c r="BC129" s="1"/>
      <c r="BJ129" s="1"/>
      <c r="BQ129" s="1"/>
      <c r="BX129" s="1"/>
      <c r="CE129" s="1"/>
      <c r="CL129" s="1"/>
      <c r="CS129" s="1"/>
      <c r="CZ129" s="1"/>
      <c r="DG129" s="1"/>
      <c r="DN129" s="1"/>
      <c r="DU129" s="1"/>
      <c r="EB129" s="1"/>
    </row>
    <row r="130" spans="34:132" x14ac:dyDescent="0.2">
      <c r="AH130" s="1"/>
      <c r="AO130" s="1"/>
      <c r="AV130" s="1"/>
      <c r="BC130" s="1"/>
      <c r="BJ130" s="1"/>
      <c r="BQ130" s="1"/>
      <c r="BX130" s="1"/>
      <c r="CE130" s="1"/>
      <c r="CL130" s="1"/>
      <c r="CS130" s="1"/>
      <c r="CZ130" s="1"/>
      <c r="DG130" s="1"/>
      <c r="DN130" s="1"/>
      <c r="DU130" s="1"/>
      <c r="EB130" s="1"/>
    </row>
    <row r="131" spans="34:132" x14ac:dyDescent="0.2">
      <c r="AH131" s="1"/>
      <c r="AO131" s="1"/>
      <c r="AV131" s="1"/>
      <c r="BC131" s="1"/>
      <c r="BJ131" s="1"/>
      <c r="BQ131" s="1"/>
      <c r="BX131" s="1"/>
      <c r="CE131" s="1"/>
      <c r="CL131" s="1"/>
      <c r="CS131" s="1"/>
      <c r="CZ131" s="1"/>
      <c r="DG131" s="1"/>
      <c r="DN131" s="1"/>
      <c r="DU131" s="1"/>
      <c r="EB131" s="1"/>
    </row>
    <row r="132" spans="34:132" x14ac:dyDescent="0.2">
      <c r="AH132" s="1"/>
      <c r="AO132" s="1"/>
      <c r="AV132" s="1"/>
      <c r="BC132" s="1"/>
      <c r="BJ132" s="1"/>
      <c r="BQ132" s="1"/>
      <c r="BX132" s="1"/>
      <c r="CE132" s="1"/>
      <c r="CL132" s="1"/>
      <c r="CS132" s="1"/>
      <c r="CZ132" s="1"/>
      <c r="DG132" s="1"/>
      <c r="DN132" s="1"/>
      <c r="DU132" s="1"/>
      <c r="EB132" s="1"/>
    </row>
    <row r="133" spans="34:132" x14ac:dyDescent="0.2">
      <c r="AH133" s="1"/>
      <c r="AO133" s="1"/>
      <c r="AV133" s="1"/>
      <c r="BC133" s="1"/>
      <c r="BJ133" s="1"/>
      <c r="BQ133" s="1"/>
      <c r="BX133" s="1"/>
      <c r="CE133" s="1"/>
      <c r="CL133" s="1"/>
      <c r="CS133" s="1"/>
      <c r="CZ133" s="1"/>
      <c r="DG133" s="1"/>
      <c r="DN133" s="1"/>
      <c r="DU133" s="1"/>
      <c r="EB133" s="1"/>
    </row>
    <row r="134" spans="34:132" x14ac:dyDescent="0.2">
      <c r="AH134" s="1"/>
      <c r="AO134" s="1"/>
      <c r="AV134" s="1"/>
      <c r="BC134" s="1"/>
      <c r="BJ134" s="1"/>
      <c r="BQ134" s="1"/>
      <c r="BX134" s="1"/>
      <c r="CE134" s="1"/>
      <c r="CL134" s="1"/>
      <c r="CS134" s="1"/>
      <c r="CZ134" s="1"/>
      <c r="DG134" s="1"/>
      <c r="DN134" s="1"/>
      <c r="DU134" s="1"/>
      <c r="EB134" s="1"/>
    </row>
    <row r="135" spans="34:132" x14ac:dyDescent="0.2">
      <c r="AH135" s="1"/>
      <c r="AO135" s="1"/>
      <c r="AV135" s="1"/>
      <c r="BC135" s="1"/>
      <c r="BJ135" s="1"/>
      <c r="BQ135" s="1"/>
      <c r="BX135" s="1"/>
      <c r="CE135" s="1"/>
      <c r="CL135" s="1"/>
      <c r="CS135" s="1"/>
      <c r="CZ135" s="1"/>
      <c r="DG135" s="1"/>
      <c r="DN135" s="1"/>
      <c r="DU135" s="1"/>
      <c r="EB135" s="1"/>
    </row>
    <row r="136" spans="34:132" x14ac:dyDescent="0.2">
      <c r="AH136" s="1"/>
      <c r="AO136" s="1"/>
      <c r="AV136" s="1"/>
      <c r="BC136" s="1"/>
      <c r="BJ136" s="1"/>
      <c r="BQ136" s="1"/>
      <c r="BX136" s="1"/>
      <c r="CE136" s="1"/>
      <c r="CL136" s="1"/>
      <c r="CS136" s="1"/>
      <c r="CZ136" s="1"/>
      <c r="DG136" s="1"/>
      <c r="DN136" s="1"/>
      <c r="DU136" s="1"/>
      <c r="EB136" s="1"/>
    </row>
    <row r="137" spans="34:132" x14ac:dyDescent="0.2">
      <c r="AH137" s="1"/>
      <c r="AO137" s="1"/>
      <c r="AV137" s="1"/>
      <c r="BC137" s="1"/>
      <c r="BJ137" s="1"/>
      <c r="BQ137" s="1"/>
      <c r="BX137" s="1"/>
      <c r="CE137" s="1"/>
      <c r="CL137" s="1"/>
      <c r="CS137" s="1"/>
      <c r="CZ137" s="1"/>
      <c r="DG137" s="1"/>
      <c r="DN137" s="1"/>
      <c r="DU137" s="1"/>
      <c r="EB137" s="1"/>
    </row>
    <row r="138" spans="34:132" x14ac:dyDescent="0.2">
      <c r="AH138" s="1"/>
      <c r="AO138" s="1"/>
      <c r="AV138" s="1"/>
      <c r="BC138" s="1"/>
      <c r="BJ138" s="1"/>
      <c r="BQ138" s="1"/>
      <c r="BX138" s="1"/>
      <c r="CE138" s="1"/>
      <c r="CL138" s="1"/>
      <c r="CS138" s="1"/>
      <c r="CZ138" s="1"/>
      <c r="DG138" s="1"/>
      <c r="DN138" s="1"/>
      <c r="DU138" s="1"/>
      <c r="EB138" s="1"/>
    </row>
    <row r="139" spans="34:132" x14ac:dyDescent="0.2">
      <c r="AH139" s="1"/>
      <c r="AO139" s="1"/>
      <c r="AV139" s="1"/>
      <c r="BC139" s="1"/>
      <c r="BJ139" s="1"/>
      <c r="BQ139" s="1"/>
      <c r="BX139" s="1"/>
      <c r="CE139" s="1"/>
      <c r="CL139" s="1"/>
      <c r="CS139" s="1"/>
      <c r="CZ139" s="1"/>
      <c r="DG139" s="1"/>
      <c r="DN139" s="1"/>
      <c r="DU139" s="1"/>
      <c r="EB139" s="1"/>
    </row>
    <row r="140" spans="34:132" x14ac:dyDescent="0.2">
      <c r="AH140" s="1"/>
      <c r="AO140" s="1"/>
      <c r="AV140" s="1"/>
      <c r="BC140" s="1"/>
      <c r="BJ140" s="1"/>
      <c r="BQ140" s="1"/>
      <c r="BX140" s="1"/>
      <c r="CE140" s="1"/>
      <c r="CL140" s="1"/>
      <c r="CS140" s="1"/>
      <c r="CZ140" s="1"/>
      <c r="DG140" s="1"/>
      <c r="DN140" s="1"/>
      <c r="DU140" s="1"/>
      <c r="EB140" s="1"/>
    </row>
    <row r="141" spans="34:132" x14ac:dyDescent="0.2">
      <c r="AH141" s="1"/>
      <c r="AO141" s="1"/>
      <c r="AV141" s="1"/>
      <c r="BC141" s="1"/>
      <c r="BJ141" s="1"/>
      <c r="BQ141" s="1"/>
      <c r="BX141" s="1"/>
      <c r="CE141" s="1"/>
      <c r="CL141" s="1"/>
      <c r="CS141" s="1"/>
      <c r="CZ141" s="1"/>
      <c r="DG141" s="1"/>
      <c r="DN141" s="1"/>
      <c r="DU141" s="1"/>
      <c r="EB141" s="1"/>
    </row>
    <row r="142" spans="34:132" x14ac:dyDescent="0.2">
      <c r="AH142" s="1"/>
      <c r="AO142" s="1"/>
      <c r="AV142" s="1"/>
      <c r="BC142" s="1"/>
      <c r="BJ142" s="1"/>
      <c r="BQ142" s="1"/>
      <c r="BX142" s="1"/>
      <c r="CE142" s="1"/>
      <c r="CL142" s="1"/>
      <c r="CS142" s="1"/>
      <c r="CZ142" s="1"/>
      <c r="DG142" s="1"/>
      <c r="DN142" s="1"/>
      <c r="DU142" s="1"/>
      <c r="EB142" s="1"/>
    </row>
    <row r="143" spans="34:132" x14ac:dyDescent="0.2">
      <c r="AH143" s="1"/>
      <c r="AO143" s="1"/>
      <c r="AV143" s="1"/>
      <c r="BC143" s="1"/>
      <c r="BJ143" s="1"/>
      <c r="BQ143" s="1"/>
      <c r="BX143" s="1"/>
      <c r="CE143" s="1"/>
      <c r="CL143" s="1"/>
      <c r="CS143" s="1"/>
      <c r="CZ143" s="1"/>
      <c r="DG143" s="1"/>
      <c r="DN143" s="1"/>
      <c r="DU143" s="1"/>
      <c r="EB143" s="1"/>
    </row>
    <row r="144" spans="34:132" x14ac:dyDescent="0.2">
      <c r="AH144" s="1"/>
      <c r="AO144" s="1"/>
      <c r="AV144" s="1"/>
      <c r="BC144" s="1"/>
      <c r="BJ144" s="1"/>
      <c r="BQ144" s="1"/>
      <c r="BX144" s="1"/>
      <c r="CE144" s="1"/>
      <c r="CL144" s="1"/>
      <c r="CS144" s="1"/>
      <c r="CZ144" s="1"/>
      <c r="DG144" s="1"/>
      <c r="DN144" s="1"/>
      <c r="DU144" s="1"/>
      <c r="EB144" s="1"/>
    </row>
    <row r="145" spans="34:132" x14ac:dyDescent="0.2">
      <c r="AH145" s="1"/>
      <c r="AO145" s="1"/>
      <c r="AV145" s="1"/>
      <c r="BC145" s="1"/>
      <c r="BJ145" s="1"/>
      <c r="BQ145" s="1"/>
      <c r="BX145" s="1"/>
      <c r="CE145" s="1"/>
      <c r="CL145" s="1"/>
      <c r="CS145" s="1"/>
      <c r="CZ145" s="1"/>
      <c r="DG145" s="1"/>
      <c r="DN145" s="1"/>
      <c r="DU145" s="1"/>
      <c r="EB145" s="1"/>
    </row>
    <row r="146" spans="34:132" x14ac:dyDescent="0.2">
      <c r="AH146" s="1"/>
      <c r="AO146" s="1"/>
      <c r="AV146" s="1"/>
      <c r="BC146" s="1"/>
      <c r="BJ146" s="1"/>
      <c r="BQ146" s="1"/>
      <c r="BX146" s="1"/>
      <c r="CE146" s="1"/>
      <c r="CL146" s="1"/>
      <c r="CS146" s="1"/>
      <c r="CZ146" s="1"/>
      <c r="DG146" s="1"/>
      <c r="DN146" s="1"/>
      <c r="DU146" s="1"/>
      <c r="EB146" s="1"/>
    </row>
    <row r="147" spans="34:132" x14ac:dyDescent="0.2">
      <c r="AH147" s="1"/>
      <c r="AO147" s="1"/>
      <c r="AV147" s="1"/>
      <c r="BC147" s="1"/>
      <c r="BJ147" s="1"/>
      <c r="BQ147" s="1"/>
      <c r="BX147" s="1"/>
      <c r="CE147" s="1"/>
      <c r="CL147" s="1"/>
      <c r="CS147" s="1"/>
      <c r="CZ147" s="1"/>
      <c r="DG147" s="1"/>
      <c r="DN147" s="1"/>
      <c r="DU147" s="1"/>
      <c r="EB147" s="1"/>
    </row>
    <row r="148" spans="34:132" x14ac:dyDescent="0.2">
      <c r="AH148" s="1"/>
      <c r="AO148" s="1"/>
      <c r="AV148" s="1"/>
      <c r="BC148" s="1"/>
      <c r="BJ148" s="1"/>
      <c r="BQ148" s="1"/>
      <c r="BX148" s="1"/>
      <c r="CE148" s="1"/>
      <c r="CL148" s="1"/>
      <c r="CS148" s="1"/>
      <c r="CZ148" s="1"/>
      <c r="DG148" s="1"/>
      <c r="DN148" s="1"/>
      <c r="DU148" s="1"/>
      <c r="EB148" s="1"/>
    </row>
    <row r="149" spans="34:132" x14ac:dyDescent="0.2">
      <c r="AH149" s="1"/>
      <c r="AO149" s="1"/>
      <c r="AV149" s="1"/>
      <c r="BC149" s="1"/>
      <c r="BJ149" s="1"/>
      <c r="BQ149" s="1"/>
      <c r="BX149" s="1"/>
      <c r="CE149" s="1"/>
      <c r="CL149" s="1"/>
      <c r="CS149" s="1"/>
      <c r="CZ149" s="1"/>
      <c r="DG149" s="1"/>
      <c r="DN149" s="1"/>
      <c r="DU149" s="1"/>
      <c r="EB149" s="1"/>
    </row>
    <row r="150" spans="34:132" x14ac:dyDescent="0.2">
      <c r="AH150" s="1"/>
      <c r="AO150" s="1"/>
      <c r="AV150" s="1"/>
      <c r="BC150" s="1"/>
      <c r="BJ150" s="1"/>
      <c r="BQ150" s="1"/>
      <c r="BX150" s="1"/>
      <c r="CE150" s="1"/>
      <c r="CL150" s="1"/>
      <c r="CS150" s="1"/>
      <c r="CZ150" s="1"/>
      <c r="DG150" s="1"/>
      <c r="DN150" s="1"/>
      <c r="DU150" s="1"/>
      <c r="EB150" s="1"/>
    </row>
    <row r="151" spans="34:132" x14ac:dyDescent="0.2">
      <c r="AH151" s="1"/>
      <c r="AO151" s="1"/>
      <c r="AV151" s="1"/>
      <c r="BC151" s="1"/>
      <c r="BJ151" s="1"/>
      <c r="BQ151" s="1"/>
      <c r="BX151" s="1"/>
      <c r="CE151" s="1"/>
      <c r="CL151" s="1"/>
      <c r="CS151" s="1"/>
      <c r="CZ151" s="1"/>
      <c r="DG151" s="1"/>
      <c r="DN151" s="1"/>
      <c r="DU151" s="1"/>
      <c r="EB151" s="1"/>
    </row>
    <row r="152" spans="34:132" x14ac:dyDescent="0.2">
      <c r="AH152" s="1"/>
      <c r="AO152" s="1"/>
      <c r="AV152" s="1"/>
      <c r="BC152" s="1"/>
      <c r="BJ152" s="1"/>
      <c r="BQ152" s="1"/>
      <c r="BX152" s="1"/>
      <c r="CE152" s="1"/>
      <c r="CL152" s="1"/>
      <c r="CS152" s="1"/>
      <c r="CZ152" s="1"/>
      <c r="DG152" s="1"/>
      <c r="DN152" s="1"/>
      <c r="DU152" s="1"/>
      <c r="EB152" s="1"/>
    </row>
    <row r="153" spans="34:132" x14ac:dyDescent="0.2">
      <c r="AH153" s="1"/>
      <c r="AO153" s="1"/>
      <c r="AV153" s="1"/>
      <c r="BC153" s="1"/>
      <c r="BJ153" s="1"/>
      <c r="BQ153" s="1"/>
      <c r="BX153" s="1"/>
      <c r="CE153" s="1"/>
      <c r="CL153" s="1"/>
      <c r="CS153" s="1"/>
      <c r="CZ153" s="1"/>
      <c r="DG153" s="1"/>
      <c r="DN153" s="1"/>
      <c r="DU153" s="1"/>
      <c r="EB153" s="1"/>
    </row>
    <row r="154" spans="34:132" x14ac:dyDescent="0.2">
      <c r="AH154" s="1"/>
      <c r="AO154" s="1"/>
      <c r="AV154" s="1"/>
      <c r="BC154" s="1"/>
      <c r="BJ154" s="1"/>
      <c r="BQ154" s="1"/>
      <c r="BX154" s="1"/>
      <c r="CE154" s="1"/>
      <c r="CL154" s="1"/>
      <c r="CS154" s="1"/>
      <c r="CZ154" s="1"/>
      <c r="DG154" s="1"/>
      <c r="DN154" s="1"/>
      <c r="DU154" s="1"/>
      <c r="EB154" s="1"/>
    </row>
    <row r="155" spans="34:132" x14ac:dyDescent="0.2">
      <c r="AH155" s="1"/>
      <c r="AO155" s="1"/>
      <c r="AV155" s="1"/>
      <c r="BC155" s="1"/>
      <c r="BJ155" s="1"/>
      <c r="BQ155" s="1"/>
      <c r="BX155" s="1"/>
      <c r="CE155" s="1"/>
      <c r="CL155" s="1"/>
      <c r="CS155" s="1"/>
      <c r="CZ155" s="1"/>
      <c r="DG155" s="1"/>
      <c r="DN155" s="1"/>
      <c r="DU155" s="1"/>
      <c r="EB155" s="1"/>
    </row>
    <row r="156" spans="34:132" x14ac:dyDescent="0.2">
      <c r="AH156" s="1"/>
      <c r="AO156" s="1"/>
      <c r="AV156" s="1"/>
      <c r="BC156" s="1"/>
      <c r="BJ156" s="1"/>
      <c r="BQ156" s="1"/>
      <c r="BX156" s="1"/>
      <c r="CE156" s="1"/>
      <c r="CL156" s="1"/>
      <c r="CS156" s="1"/>
      <c r="CZ156" s="1"/>
      <c r="DG156" s="1"/>
      <c r="DN156" s="1"/>
      <c r="DU156" s="1"/>
      <c r="EB156" s="1"/>
    </row>
    <row r="157" spans="34:132" x14ac:dyDescent="0.2">
      <c r="AH157" s="1"/>
      <c r="AO157" s="1"/>
      <c r="AV157" s="1"/>
      <c r="BC157" s="1"/>
      <c r="BJ157" s="1"/>
      <c r="BQ157" s="1"/>
      <c r="BX157" s="1"/>
      <c r="CE157" s="1"/>
      <c r="CL157" s="1"/>
      <c r="CS157" s="1"/>
      <c r="CZ157" s="1"/>
      <c r="DG157" s="1"/>
      <c r="DN157" s="1"/>
      <c r="DU157" s="1"/>
      <c r="EB157" s="1"/>
    </row>
    <row r="158" spans="34:132" x14ac:dyDescent="0.2">
      <c r="AH158" s="1"/>
      <c r="AO158" s="1"/>
      <c r="AV158" s="1"/>
      <c r="BC158" s="1"/>
      <c r="BJ158" s="1"/>
      <c r="BQ158" s="1"/>
      <c r="BX158" s="1"/>
      <c r="CE158" s="1"/>
      <c r="CL158" s="1"/>
      <c r="CS158" s="1"/>
      <c r="CZ158" s="1"/>
      <c r="DG158" s="1"/>
      <c r="DN158" s="1"/>
      <c r="DU158" s="1"/>
      <c r="EB158" s="1"/>
    </row>
    <row r="159" spans="34:132" x14ac:dyDescent="0.2">
      <c r="AH159" s="1"/>
      <c r="AO159" s="1"/>
      <c r="AV159" s="1"/>
      <c r="BC159" s="1"/>
      <c r="BJ159" s="1"/>
      <c r="BQ159" s="1"/>
      <c r="BX159" s="1"/>
      <c r="CE159" s="1"/>
      <c r="CL159" s="1"/>
      <c r="CS159" s="1"/>
      <c r="CZ159" s="1"/>
      <c r="DG159" s="1"/>
      <c r="DN159" s="1"/>
      <c r="DU159" s="1"/>
      <c r="EB159" s="1"/>
    </row>
    <row r="160" spans="34:132" x14ac:dyDescent="0.2">
      <c r="AH160" s="1"/>
      <c r="AO160" s="1"/>
      <c r="AV160" s="1"/>
      <c r="BC160" s="1"/>
      <c r="BJ160" s="1"/>
      <c r="BQ160" s="1"/>
      <c r="BX160" s="1"/>
      <c r="CE160" s="1"/>
      <c r="CL160" s="1"/>
      <c r="CS160" s="1"/>
      <c r="CZ160" s="1"/>
      <c r="DG160" s="1"/>
      <c r="DN160" s="1"/>
      <c r="DU160" s="1"/>
      <c r="EB160" s="1"/>
    </row>
    <row r="161" spans="34:132" x14ac:dyDescent="0.2">
      <c r="AH161" s="1"/>
      <c r="AO161" s="1"/>
      <c r="AV161" s="1"/>
      <c r="BC161" s="1"/>
      <c r="BJ161" s="1"/>
      <c r="BQ161" s="1"/>
      <c r="BX161" s="1"/>
      <c r="CE161" s="1"/>
      <c r="CL161" s="1"/>
      <c r="CS161" s="1"/>
      <c r="CZ161" s="1"/>
      <c r="DG161" s="1"/>
      <c r="DN161" s="1"/>
      <c r="DU161" s="1"/>
      <c r="EB161" s="1"/>
    </row>
    <row r="162" spans="34:132" x14ac:dyDescent="0.2">
      <c r="AH162" s="1"/>
      <c r="AO162" s="1"/>
      <c r="AV162" s="1"/>
      <c r="BC162" s="1"/>
      <c r="BJ162" s="1"/>
      <c r="BQ162" s="1"/>
      <c r="BX162" s="1"/>
      <c r="CE162" s="1"/>
      <c r="CL162" s="1"/>
      <c r="CS162" s="1"/>
      <c r="CZ162" s="1"/>
      <c r="DG162" s="1"/>
      <c r="DN162" s="1"/>
      <c r="DU162" s="1"/>
      <c r="EB162" s="1"/>
    </row>
    <row r="163" spans="34:132" x14ac:dyDescent="0.2">
      <c r="AH163" s="1"/>
      <c r="AO163" s="1"/>
      <c r="AV163" s="1"/>
      <c r="BC163" s="1"/>
      <c r="BJ163" s="1"/>
      <c r="BQ163" s="1"/>
      <c r="BX163" s="1"/>
      <c r="CE163" s="1"/>
      <c r="CL163" s="1"/>
      <c r="CS163" s="1"/>
      <c r="CZ163" s="1"/>
      <c r="DG163" s="1"/>
      <c r="DN163" s="1"/>
      <c r="DU163" s="1"/>
      <c r="EB163" s="1"/>
    </row>
    <row r="164" spans="34:132" x14ac:dyDescent="0.2">
      <c r="AH164" s="1"/>
      <c r="AO164" s="1"/>
      <c r="AV164" s="1"/>
      <c r="BC164" s="1"/>
      <c r="BJ164" s="1"/>
      <c r="BQ164" s="1"/>
      <c r="BX164" s="1"/>
      <c r="CE164" s="1"/>
      <c r="CL164" s="1"/>
      <c r="CS164" s="1"/>
      <c r="CZ164" s="1"/>
      <c r="DG164" s="1"/>
      <c r="DN164" s="1"/>
      <c r="DU164" s="1"/>
      <c r="EB164" s="1"/>
    </row>
    <row r="165" spans="34:132" x14ac:dyDescent="0.2">
      <c r="AH165" s="1"/>
      <c r="AO165" s="1"/>
      <c r="AV165" s="1"/>
      <c r="BC165" s="1"/>
      <c r="BJ165" s="1"/>
      <c r="BQ165" s="1"/>
      <c r="BX165" s="1"/>
      <c r="CE165" s="1"/>
      <c r="CL165" s="1"/>
      <c r="CS165" s="1"/>
      <c r="CZ165" s="1"/>
      <c r="DG165" s="1"/>
      <c r="DN165" s="1"/>
      <c r="DU165" s="1"/>
      <c r="EB165" s="1"/>
    </row>
    <row r="166" spans="34:132" x14ac:dyDescent="0.2">
      <c r="AH166" s="1"/>
      <c r="AO166" s="1"/>
      <c r="AV166" s="1"/>
      <c r="BC166" s="1"/>
      <c r="BJ166" s="1"/>
      <c r="BQ166" s="1"/>
      <c r="BX166" s="1"/>
      <c r="CE166" s="1"/>
      <c r="CL166" s="1"/>
      <c r="CS166" s="1"/>
      <c r="CZ166" s="1"/>
      <c r="DG166" s="1"/>
      <c r="DN166" s="1"/>
      <c r="DU166" s="1"/>
      <c r="EB166" s="1"/>
    </row>
    <row r="167" spans="34:132" x14ac:dyDescent="0.2">
      <c r="AH167" s="1"/>
      <c r="AO167" s="1"/>
      <c r="AV167" s="1"/>
      <c r="BC167" s="1"/>
      <c r="BJ167" s="1"/>
      <c r="BQ167" s="1"/>
      <c r="BX167" s="1"/>
      <c r="CE167" s="1"/>
      <c r="CL167" s="1"/>
      <c r="CS167" s="1"/>
      <c r="CZ167" s="1"/>
      <c r="DG167" s="1"/>
      <c r="DN167" s="1"/>
      <c r="DU167" s="1"/>
      <c r="EB167" s="1"/>
    </row>
    <row r="168" spans="34:132" x14ac:dyDescent="0.2">
      <c r="AH168" s="1"/>
      <c r="AO168" s="1"/>
      <c r="AV168" s="1"/>
      <c r="BC168" s="1"/>
      <c r="BJ168" s="1"/>
      <c r="BQ168" s="1"/>
      <c r="BX168" s="1"/>
      <c r="CE168" s="1"/>
      <c r="CL168" s="1"/>
      <c r="CS168" s="1"/>
      <c r="CZ168" s="1"/>
      <c r="DG168" s="1"/>
      <c r="DN168" s="1"/>
      <c r="DU168" s="1"/>
      <c r="EB168" s="1"/>
    </row>
    <row r="169" spans="34:132" x14ac:dyDescent="0.2">
      <c r="AH169" s="1"/>
      <c r="AO169" s="1"/>
      <c r="AV169" s="1"/>
      <c r="BC169" s="1"/>
      <c r="BJ169" s="1"/>
      <c r="BQ169" s="1"/>
      <c r="BX169" s="1"/>
      <c r="CE169" s="1"/>
      <c r="CL169" s="1"/>
      <c r="CS169" s="1"/>
      <c r="CZ169" s="1"/>
      <c r="DG169" s="1"/>
      <c r="DN169" s="1"/>
      <c r="DU169" s="1"/>
      <c r="EB169" s="1"/>
    </row>
    <row r="170" spans="34:132" x14ac:dyDescent="0.2">
      <c r="AH170" s="1"/>
      <c r="AO170" s="1"/>
      <c r="AV170" s="1"/>
      <c r="BC170" s="1"/>
      <c r="BJ170" s="1"/>
      <c r="BQ170" s="1"/>
      <c r="BX170" s="1"/>
      <c r="CE170" s="1"/>
      <c r="CL170" s="1"/>
      <c r="CS170" s="1"/>
      <c r="CZ170" s="1"/>
      <c r="DG170" s="1"/>
      <c r="DN170" s="1"/>
      <c r="DU170" s="1"/>
      <c r="EB170" s="1"/>
    </row>
    <row r="171" spans="34:132" x14ac:dyDescent="0.2">
      <c r="AH171" s="1"/>
      <c r="AO171" s="1"/>
      <c r="AV171" s="1"/>
      <c r="BC171" s="1"/>
      <c r="BJ171" s="1"/>
      <c r="BQ171" s="1"/>
      <c r="BX171" s="1"/>
      <c r="CE171" s="1"/>
      <c r="CL171" s="1"/>
      <c r="CS171" s="1"/>
      <c r="CZ171" s="1"/>
      <c r="DG171" s="1"/>
      <c r="DN171" s="1"/>
      <c r="DU171" s="1"/>
      <c r="EB171" s="1"/>
    </row>
    <row r="172" spans="34:132" x14ac:dyDescent="0.2">
      <c r="AH172" s="1"/>
      <c r="AO172" s="1"/>
      <c r="AV172" s="1"/>
      <c r="BC172" s="1"/>
      <c r="BJ172" s="1"/>
      <c r="BQ172" s="1"/>
      <c r="BX172" s="1"/>
      <c r="CE172" s="1"/>
      <c r="CL172" s="1"/>
      <c r="CS172" s="1"/>
      <c r="CZ172" s="1"/>
      <c r="DG172" s="1"/>
      <c r="DN172" s="1"/>
      <c r="DU172" s="1"/>
      <c r="EB172" s="1"/>
    </row>
    <row r="173" spans="34:132" x14ac:dyDescent="0.2">
      <c r="AH173" s="1"/>
      <c r="AO173" s="1"/>
      <c r="AV173" s="1"/>
      <c r="BC173" s="1"/>
      <c r="BJ173" s="1"/>
      <c r="BQ173" s="1"/>
      <c r="BX173" s="1"/>
      <c r="CE173" s="1"/>
      <c r="CL173" s="1"/>
      <c r="CS173" s="1"/>
      <c r="CZ173" s="1"/>
      <c r="DG173" s="1"/>
      <c r="DN173" s="1"/>
      <c r="DU173" s="1"/>
      <c r="EB173" s="1"/>
    </row>
    <row r="174" spans="34:132" x14ac:dyDescent="0.2">
      <c r="AH174" s="1"/>
      <c r="AO174" s="1"/>
      <c r="AV174" s="1"/>
      <c r="BC174" s="1"/>
      <c r="BJ174" s="1"/>
      <c r="BQ174" s="1"/>
      <c r="BX174" s="1"/>
      <c r="CE174" s="1"/>
      <c r="CL174" s="1"/>
      <c r="CS174" s="1"/>
      <c r="CZ174" s="1"/>
      <c r="DG174" s="1"/>
      <c r="DN174" s="1"/>
      <c r="DU174" s="1"/>
      <c r="EB174" s="1"/>
    </row>
    <row r="175" spans="34:132" x14ac:dyDescent="0.2">
      <c r="AH175" s="1"/>
      <c r="AO175" s="1"/>
      <c r="AV175" s="1"/>
      <c r="BC175" s="1"/>
      <c r="BJ175" s="1"/>
      <c r="BQ175" s="1"/>
      <c r="BX175" s="1"/>
      <c r="CE175" s="1"/>
      <c r="CL175" s="1"/>
      <c r="CS175" s="1"/>
      <c r="CZ175" s="1"/>
      <c r="DG175" s="1"/>
      <c r="DN175" s="1"/>
      <c r="DU175" s="1"/>
      <c r="EB175" s="1"/>
    </row>
    <row r="176" spans="34:132" x14ac:dyDescent="0.2">
      <c r="AH176" s="1"/>
      <c r="AO176" s="1"/>
      <c r="AV176" s="1"/>
      <c r="BC176" s="1"/>
      <c r="BJ176" s="1"/>
      <c r="BQ176" s="1"/>
      <c r="BX176" s="1"/>
      <c r="CE176" s="1"/>
      <c r="CL176" s="1"/>
      <c r="CS176" s="1"/>
      <c r="CZ176" s="1"/>
      <c r="DG176" s="1"/>
      <c r="DN176" s="1"/>
      <c r="DU176" s="1"/>
      <c r="EB176" s="1"/>
    </row>
    <row r="177" spans="34:132" x14ac:dyDescent="0.2">
      <c r="AH177" s="1"/>
      <c r="AO177" s="1"/>
      <c r="AV177" s="1"/>
      <c r="BC177" s="1"/>
      <c r="BJ177" s="1"/>
      <c r="BQ177" s="1"/>
      <c r="BX177" s="1"/>
      <c r="CE177" s="1"/>
      <c r="CL177" s="1"/>
      <c r="CS177" s="1"/>
      <c r="CZ177" s="1"/>
      <c r="DG177" s="1"/>
      <c r="DN177" s="1"/>
      <c r="DU177" s="1"/>
      <c r="EB177" s="1"/>
    </row>
    <row r="178" spans="34:132" x14ac:dyDescent="0.2">
      <c r="AH178" s="1"/>
      <c r="AO178" s="1"/>
      <c r="AV178" s="1"/>
      <c r="BC178" s="1"/>
      <c r="BJ178" s="1"/>
      <c r="BQ178" s="1"/>
      <c r="BX178" s="1"/>
      <c r="CE178" s="1"/>
      <c r="CL178" s="1"/>
      <c r="CS178" s="1"/>
      <c r="CZ178" s="1"/>
      <c r="DG178" s="1"/>
      <c r="DN178" s="1"/>
      <c r="DU178" s="1"/>
      <c r="EB178" s="1"/>
    </row>
    <row r="179" spans="34:132" x14ac:dyDescent="0.2">
      <c r="AH179" s="1"/>
      <c r="AO179" s="1"/>
      <c r="AV179" s="1"/>
      <c r="BC179" s="1"/>
      <c r="BJ179" s="1"/>
      <c r="BQ179" s="1"/>
      <c r="BX179" s="1"/>
      <c r="CE179" s="1"/>
      <c r="CL179" s="1"/>
      <c r="CS179" s="1"/>
      <c r="CZ179" s="1"/>
      <c r="DG179" s="1"/>
      <c r="DN179" s="1"/>
      <c r="DU179" s="1"/>
      <c r="EB179" s="1"/>
    </row>
    <row r="180" spans="34:132" ht="10.199999999999999" customHeight="1" x14ac:dyDescent="0.2">
      <c r="AH180" s="1"/>
      <c r="AO180" s="1"/>
      <c r="AV180" s="1"/>
      <c r="BC180" s="1"/>
      <c r="BJ180" s="1"/>
      <c r="BQ180" s="1"/>
      <c r="BX180" s="1"/>
      <c r="CE180" s="1"/>
      <c r="CL180" s="1"/>
      <c r="CS180" s="1"/>
      <c r="CZ180" s="1"/>
      <c r="DG180" s="1"/>
      <c r="DN180" s="1"/>
      <c r="DU180" s="1"/>
      <c r="EB180" s="1"/>
    </row>
    <row r="181" spans="34:132" x14ac:dyDescent="0.2">
      <c r="AH181" s="1"/>
      <c r="AO181" s="1"/>
      <c r="AV181" s="1"/>
      <c r="BC181" s="1"/>
      <c r="BJ181" s="1"/>
      <c r="BQ181" s="1"/>
      <c r="BX181" s="1"/>
      <c r="CE181" s="1"/>
      <c r="CL181" s="1"/>
      <c r="CS181" s="1"/>
      <c r="CZ181" s="1"/>
      <c r="DG181" s="1"/>
      <c r="DN181" s="1"/>
      <c r="DU181" s="1"/>
      <c r="EB181" s="1"/>
    </row>
    <row r="182" spans="34:132" x14ac:dyDescent="0.2">
      <c r="AH182" s="1"/>
      <c r="AO182" s="1"/>
      <c r="AV182" s="1"/>
      <c r="BC182" s="1"/>
      <c r="BJ182" s="1"/>
      <c r="BQ182" s="1"/>
      <c r="BX182" s="1"/>
      <c r="CE182" s="1"/>
      <c r="CL182" s="1"/>
      <c r="CS182" s="1"/>
      <c r="CZ182" s="1"/>
      <c r="DG182" s="1"/>
      <c r="DN182" s="1"/>
      <c r="DU182" s="1"/>
      <c r="EB182" s="1"/>
    </row>
    <row r="183" spans="34:132" x14ac:dyDescent="0.2">
      <c r="AH183" s="1"/>
      <c r="AO183" s="1"/>
      <c r="AV183" s="1"/>
      <c r="BC183" s="1"/>
      <c r="BJ183" s="1"/>
      <c r="BQ183" s="1"/>
      <c r="BX183" s="1"/>
      <c r="CE183" s="1"/>
      <c r="CL183" s="1"/>
      <c r="CS183" s="1"/>
      <c r="CZ183" s="1"/>
      <c r="DG183" s="1"/>
      <c r="DN183" s="1"/>
      <c r="DU183" s="1"/>
      <c r="EB183" s="1"/>
    </row>
    <row r="184" spans="34:132" x14ac:dyDescent="0.2">
      <c r="AH184" s="1"/>
      <c r="AO184" s="1"/>
      <c r="AV184" s="1"/>
      <c r="BC184" s="1"/>
      <c r="BJ184" s="1"/>
      <c r="BQ184" s="1"/>
      <c r="BX184" s="1"/>
      <c r="CE184" s="1"/>
      <c r="CL184" s="1"/>
      <c r="CS184" s="1"/>
      <c r="CZ184" s="1"/>
      <c r="DG184" s="1"/>
      <c r="DN184" s="1"/>
      <c r="DU184" s="1"/>
      <c r="EB184" s="1"/>
    </row>
    <row r="185" spans="34:132" x14ac:dyDescent="0.2">
      <c r="AH185" s="1"/>
      <c r="AO185" s="1"/>
      <c r="AV185" s="1"/>
      <c r="BC185" s="1"/>
      <c r="BJ185" s="1"/>
      <c r="BQ185" s="1"/>
      <c r="BX185" s="1"/>
      <c r="CE185" s="1"/>
      <c r="CL185" s="1"/>
      <c r="CS185" s="1"/>
      <c r="CZ185" s="1"/>
      <c r="DG185" s="1"/>
      <c r="DN185" s="1"/>
      <c r="DU185" s="1"/>
      <c r="EB185" s="1"/>
    </row>
    <row r="186" spans="34:132" x14ac:dyDescent="0.2">
      <c r="AH186" s="1"/>
      <c r="AO186" s="1"/>
      <c r="AV186" s="1"/>
      <c r="BC186" s="1"/>
      <c r="BJ186" s="1"/>
      <c r="BQ186" s="1"/>
      <c r="BX186" s="1"/>
      <c r="CE186" s="1"/>
      <c r="CL186" s="1"/>
      <c r="CS186" s="1"/>
      <c r="CZ186" s="1"/>
      <c r="DG186" s="1"/>
      <c r="DN186" s="1"/>
      <c r="DU186" s="1"/>
      <c r="EB186" s="1"/>
    </row>
    <row r="187" spans="34:132" x14ac:dyDescent="0.2">
      <c r="AH187" s="1"/>
      <c r="AO187" s="1"/>
      <c r="AV187" s="1"/>
      <c r="BC187" s="1"/>
      <c r="BJ187" s="1"/>
      <c r="BQ187" s="1"/>
      <c r="BX187" s="1"/>
      <c r="CE187" s="1"/>
      <c r="CL187" s="1"/>
      <c r="CS187" s="1"/>
      <c r="CZ187" s="1"/>
      <c r="DG187" s="1"/>
      <c r="DN187" s="1"/>
      <c r="DU187" s="1"/>
      <c r="EB187" s="1"/>
    </row>
    <row r="188" spans="34:132" x14ac:dyDescent="0.2">
      <c r="AH188" s="1"/>
      <c r="AO188" s="1"/>
      <c r="AV188" s="1"/>
      <c r="BC188" s="1"/>
      <c r="BJ188" s="1"/>
      <c r="BQ188" s="1"/>
      <c r="BX188" s="1"/>
      <c r="CE188" s="1"/>
      <c r="CL188" s="1"/>
      <c r="CS188" s="1"/>
      <c r="CZ188" s="1"/>
      <c r="DG188" s="1"/>
      <c r="DN188" s="1"/>
      <c r="DU188" s="1"/>
      <c r="EB188" s="1"/>
    </row>
    <row r="189" spans="34:132" x14ac:dyDescent="0.2">
      <c r="AH189" s="1"/>
      <c r="AO189" s="1"/>
      <c r="AV189" s="1"/>
      <c r="BC189" s="1"/>
      <c r="BJ189" s="1"/>
      <c r="BQ189" s="1"/>
      <c r="BX189" s="1"/>
      <c r="CE189" s="1"/>
      <c r="CL189" s="1"/>
      <c r="CS189" s="1"/>
      <c r="CZ189" s="1"/>
      <c r="DG189" s="1"/>
      <c r="DN189" s="1"/>
      <c r="DU189" s="1"/>
      <c r="EB189" s="1"/>
    </row>
    <row r="190" spans="34:132" x14ac:dyDescent="0.2">
      <c r="AH190" s="1"/>
      <c r="AO190" s="1"/>
      <c r="AV190" s="1"/>
      <c r="BC190" s="1"/>
      <c r="BJ190" s="1"/>
      <c r="BQ190" s="1"/>
      <c r="BX190" s="1"/>
      <c r="CE190" s="1"/>
      <c r="CL190" s="1"/>
      <c r="CS190" s="1"/>
      <c r="CZ190" s="1"/>
      <c r="DG190" s="1"/>
      <c r="DN190" s="1"/>
      <c r="DU190" s="1"/>
      <c r="EB190" s="1"/>
    </row>
    <row r="191" spans="34:132" x14ac:dyDescent="0.2">
      <c r="AH191" s="1"/>
      <c r="AO191" s="1"/>
      <c r="AV191" s="1"/>
      <c r="BC191" s="1"/>
      <c r="BJ191" s="1"/>
      <c r="BQ191" s="1"/>
      <c r="BX191" s="1"/>
      <c r="CE191" s="1"/>
      <c r="CL191" s="1"/>
      <c r="CS191" s="1"/>
      <c r="CZ191" s="1"/>
      <c r="DG191" s="1"/>
      <c r="DN191" s="1"/>
      <c r="DU191" s="1"/>
      <c r="EB191" s="1"/>
    </row>
    <row r="192" spans="34:132" x14ac:dyDescent="0.2">
      <c r="AH192" s="1"/>
      <c r="AO192" s="1"/>
      <c r="AV192" s="1"/>
      <c r="BC192" s="1"/>
      <c r="BJ192" s="1"/>
      <c r="BQ192" s="1"/>
      <c r="BX192" s="1"/>
      <c r="CE192" s="1"/>
      <c r="CL192" s="1"/>
      <c r="CS192" s="1"/>
      <c r="CZ192" s="1"/>
      <c r="DG192" s="1"/>
      <c r="DN192" s="1"/>
      <c r="DU192" s="1"/>
      <c r="EB192" s="1"/>
    </row>
    <row r="193" spans="34:132" x14ac:dyDescent="0.2">
      <c r="AH193" s="1"/>
      <c r="AO193" s="1"/>
      <c r="AV193" s="1"/>
      <c r="BC193" s="1"/>
      <c r="BJ193" s="1"/>
      <c r="BQ193" s="1"/>
      <c r="BX193" s="1"/>
      <c r="CE193" s="1"/>
      <c r="CL193" s="1"/>
      <c r="CS193" s="1"/>
      <c r="CZ193" s="1"/>
      <c r="DG193" s="1"/>
      <c r="DN193" s="1"/>
      <c r="DU193" s="1"/>
      <c r="EB193" s="1"/>
    </row>
    <row r="194" spans="34:132" x14ac:dyDescent="0.2">
      <c r="AH194" s="1"/>
      <c r="AO194" s="1"/>
      <c r="AV194" s="1"/>
      <c r="BC194" s="1"/>
      <c r="BJ194" s="1"/>
      <c r="BQ194" s="1"/>
      <c r="BX194" s="1"/>
      <c r="CE194" s="1"/>
      <c r="CL194" s="1"/>
      <c r="CS194" s="1"/>
      <c r="CZ194" s="1"/>
      <c r="DG194" s="1"/>
      <c r="DN194" s="1"/>
      <c r="DU194" s="1"/>
      <c r="EB194" s="1"/>
    </row>
    <row r="195" spans="34:132" x14ac:dyDescent="0.2">
      <c r="AH195" s="1"/>
      <c r="AO195" s="1"/>
      <c r="AV195" s="1"/>
      <c r="BC195" s="1"/>
      <c r="BJ195" s="1"/>
      <c r="BQ195" s="1"/>
      <c r="BX195" s="1"/>
      <c r="CE195" s="1"/>
      <c r="CL195" s="1"/>
      <c r="CS195" s="1"/>
      <c r="CZ195" s="1"/>
      <c r="DG195" s="1"/>
      <c r="DN195" s="1"/>
      <c r="DU195" s="1"/>
      <c r="EB195" s="1"/>
    </row>
    <row r="196" spans="34:132" x14ac:dyDescent="0.2">
      <c r="AH196" s="1"/>
      <c r="AO196" s="1"/>
      <c r="AV196" s="1"/>
      <c r="BC196" s="1"/>
      <c r="BJ196" s="1"/>
      <c r="BQ196" s="1"/>
      <c r="BX196" s="1"/>
      <c r="CE196" s="1"/>
      <c r="CL196" s="1"/>
      <c r="CS196" s="1"/>
      <c r="CZ196" s="1"/>
      <c r="DG196" s="1"/>
      <c r="DN196" s="1"/>
      <c r="DU196" s="1"/>
      <c r="EB196" s="1"/>
    </row>
    <row r="197" spans="34:132" x14ac:dyDescent="0.2">
      <c r="AH197" s="1"/>
      <c r="AO197" s="1"/>
      <c r="AV197" s="1"/>
      <c r="BC197" s="1"/>
      <c r="BJ197" s="1"/>
      <c r="BQ197" s="1"/>
      <c r="BX197" s="1"/>
      <c r="CE197" s="1"/>
      <c r="CL197" s="1"/>
      <c r="CS197" s="1"/>
      <c r="CZ197" s="1"/>
      <c r="DG197" s="1"/>
      <c r="DN197" s="1"/>
      <c r="DU197" s="1"/>
      <c r="EB197" s="1"/>
    </row>
    <row r="198" spans="34:132" x14ac:dyDescent="0.2">
      <c r="AH198" s="1"/>
      <c r="AO198" s="1"/>
      <c r="AV198" s="1"/>
      <c r="BC198" s="1"/>
      <c r="BJ198" s="1"/>
      <c r="BQ198" s="1"/>
      <c r="BX198" s="1"/>
      <c r="CE198" s="1"/>
      <c r="CL198" s="1"/>
      <c r="CS198" s="1"/>
      <c r="CZ198" s="1"/>
      <c r="DG198" s="1"/>
      <c r="DN198" s="1"/>
      <c r="DU198" s="1"/>
      <c r="EB198" s="1"/>
    </row>
    <row r="199" spans="34:132" x14ac:dyDescent="0.2">
      <c r="AH199" s="1"/>
      <c r="AO199" s="1"/>
      <c r="AV199" s="1"/>
      <c r="BC199" s="1"/>
      <c r="BJ199" s="1"/>
      <c r="BQ199" s="1"/>
      <c r="BX199" s="1"/>
      <c r="CE199" s="1"/>
      <c r="CL199" s="1"/>
      <c r="CS199" s="1"/>
      <c r="CZ199" s="1"/>
      <c r="DG199" s="1"/>
      <c r="DN199" s="1"/>
      <c r="DU199" s="1"/>
      <c r="EB199" s="1"/>
    </row>
    <row r="200" spans="34:132" x14ac:dyDescent="0.2">
      <c r="AH200" s="1"/>
      <c r="AO200" s="1"/>
      <c r="AV200" s="1"/>
      <c r="BC200" s="1"/>
      <c r="BJ200" s="1"/>
      <c r="BQ200" s="1"/>
      <c r="BX200" s="1"/>
      <c r="CE200" s="1"/>
      <c r="CL200" s="1"/>
      <c r="CS200" s="1"/>
      <c r="CZ200" s="1"/>
      <c r="DG200" s="1"/>
      <c r="DN200" s="1"/>
      <c r="DU200" s="1"/>
      <c r="EB200" s="1"/>
    </row>
    <row r="201" spans="34:132" x14ac:dyDescent="0.2">
      <c r="AH201" s="1"/>
      <c r="AO201" s="1"/>
      <c r="AV201" s="1"/>
      <c r="BC201" s="1"/>
      <c r="BJ201" s="1"/>
      <c r="BQ201" s="1"/>
      <c r="BX201" s="1"/>
      <c r="CE201" s="1"/>
      <c r="CL201" s="1"/>
      <c r="CS201" s="1"/>
      <c r="CZ201" s="1"/>
      <c r="DG201" s="1"/>
      <c r="DN201" s="1"/>
      <c r="DU201" s="1"/>
      <c r="EB201" s="1"/>
    </row>
    <row r="202" spans="34:132" x14ac:dyDescent="0.2">
      <c r="AH202" s="1"/>
      <c r="AO202" s="1"/>
      <c r="AV202" s="1"/>
      <c r="BC202" s="1"/>
      <c r="BJ202" s="1"/>
      <c r="BQ202" s="1"/>
      <c r="BX202" s="1"/>
      <c r="CE202" s="1"/>
      <c r="CL202" s="1"/>
      <c r="CS202" s="1"/>
      <c r="CZ202" s="1"/>
      <c r="DG202" s="1"/>
      <c r="DN202" s="1"/>
      <c r="DU202" s="1"/>
      <c r="EB202" s="1"/>
    </row>
    <row r="203" spans="34:132" x14ac:dyDescent="0.2">
      <c r="AH203" s="1"/>
      <c r="AO203" s="1"/>
      <c r="AV203" s="1"/>
      <c r="BC203" s="1"/>
      <c r="BJ203" s="1"/>
      <c r="BQ203" s="1"/>
      <c r="BX203" s="1"/>
      <c r="CE203" s="1"/>
      <c r="CL203" s="1"/>
      <c r="CS203" s="1"/>
      <c r="CZ203" s="1"/>
      <c r="DG203" s="1"/>
      <c r="DN203" s="1"/>
      <c r="DU203" s="1"/>
      <c r="EB203" s="1"/>
    </row>
    <row r="204" spans="34:132" x14ac:dyDescent="0.2">
      <c r="AH204" s="1"/>
      <c r="AO204" s="1"/>
      <c r="AV204" s="1"/>
      <c r="BC204" s="1"/>
      <c r="BJ204" s="1"/>
      <c r="BQ204" s="1"/>
      <c r="BX204" s="1"/>
      <c r="CE204" s="1"/>
      <c r="CL204" s="1"/>
      <c r="CS204" s="1"/>
      <c r="CZ204" s="1"/>
      <c r="DG204" s="1"/>
      <c r="DN204" s="1"/>
      <c r="DU204" s="1"/>
      <c r="EB204" s="1"/>
    </row>
    <row r="205" spans="34:132" x14ac:dyDescent="0.2">
      <c r="AH205" s="1"/>
      <c r="AO205" s="1"/>
      <c r="AV205" s="1"/>
      <c r="BC205" s="1"/>
      <c r="BJ205" s="1"/>
      <c r="BQ205" s="1"/>
      <c r="BX205" s="1"/>
      <c r="CE205" s="1"/>
      <c r="CL205" s="1"/>
      <c r="CS205" s="1"/>
      <c r="CZ205" s="1"/>
      <c r="DG205" s="1"/>
      <c r="DN205" s="1"/>
      <c r="DU205" s="1"/>
      <c r="EB205" s="1"/>
    </row>
    <row r="206" spans="34:132" x14ac:dyDescent="0.2">
      <c r="AH206" s="1"/>
      <c r="AO206" s="1"/>
      <c r="AV206" s="1"/>
      <c r="BC206" s="1"/>
      <c r="BJ206" s="1"/>
      <c r="BQ206" s="1"/>
      <c r="BX206" s="1"/>
      <c r="CE206" s="1"/>
      <c r="CL206" s="1"/>
      <c r="CS206" s="1"/>
      <c r="CZ206" s="1"/>
      <c r="DG206" s="1"/>
      <c r="DN206" s="1"/>
      <c r="DU206" s="1"/>
      <c r="EB206" s="1"/>
    </row>
    <row r="207" spans="34:132" x14ac:dyDescent="0.2">
      <c r="AH207" s="1"/>
      <c r="AO207" s="1"/>
      <c r="AV207" s="1"/>
      <c r="BC207" s="1"/>
      <c r="BJ207" s="1"/>
      <c r="BQ207" s="1"/>
      <c r="BX207" s="1"/>
      <c r="CE207" s="1"/>
      <c r="CL207" s="1"/>
      <c r="CS207" s="1"/>
      <c r="CZ207" s="1"/>
      <c r="DG207" s="1"/>
      <c r="DN207" s="1"/>
      <c r="DU207" s="1"/>
      <c r="EB207" s="1"/>
    </row>
    <row r="208" spans="34:132" x14ac:dyDescent="0.2">
      <c r="AH208" s="1"/>
      <c r="AO208" s="1"/>
      <c r="AV208" s="1"/>
      <c r="BC208" s="1"/>
      <c r="BJ208" s="1"/>
      <c r="BQ208" s="1"/>
      <c r="BX208" s="1"/>
      <c r="CE208" s="1"/>
      <c r="CL208" s="1"/>
      <c r="CS208" s="1"/>
      <c r="CZ208" s="1"/>
      <c r="DG208" s="1"/>
      <c r="DN208" s="1"/>
      <c r="DU208" s="1"/>
      <c r="EB208" s="1"/>
    </row>
    <row r="209" spans="34:132" x14ac:dyDescent="0.2">
      <c r="AH209" s="1"/>
      <c r="AO209" s="1"/>
      <c r="AV209" s="1"/>
      <c r="BC209" s="1"/>
      <c r="BJ209" s="1"/>
      <c r="BQ209" s="1"/>
      <c r="BX209" s="1"/>
      <c r="CE209" s="1"/>
      <c r="CL209" s="1"/>
      <c r="CS209" s="1"/>
      <c r="CZ209" s="1"/>
      <c r="DG209" s="1"/>
      <c r="DN209" s="1"/>
      <c r="DU209" s="1"/>
      <c r="EB209" s="1"/>
    </row>
    <row r="210" spans="34:132" x14ac:dyDescent="0.2">
      <c r="AH210" s="1"/>
      <c r="AO210" s="1"/>
      <c r="AV210" s="1"/>
      <c r="BC210" s="1"/>
      <c r="BJ210" s="1"/>
      <c r="BQ210" s="1"/>
      <c r="BX210" s="1"/>
      <c r="CE210" s="1"/>
      <c r="CL210" s="1"/>
      <c r="CS210" s="1"/>
      <c r="CZ210" s="1"/>
      <c r="DG210" s="1"/>
      <c r="DN210" s="1"/>
      <c r="DU210" s="1"/>
      <c r="EB210" s="1"/>
    </row>
    <row r="211" spans="34:132" x14ac:dyDescent="0.2">
      <c r="AH211" s="1"/>
      <c r="AO211" s="1"/>
      <c r="AV211" s="1"/>
      <c r="BC211" s="1"/>
      <c r="BJ211" s="1"/>
      <c r="BQ211" s="1"/>
      <c r="BX211" s="1"/>
      <c r="CE211" s="1"/>
      <c r="CL211" s="1"/>
      <c r="CS211" s="1"/>
      <c r="CZ211" s="1"/>
      <c r="DG211" s="1"/>
      <c r="DN211" s="1"/>
      <c r="DU211" s="1"/>
      <c r="EB211" s="1"/>
    </row>
    <row r="212" spans="34:132" x14ac:dyDescent="0.2">
      <c r="AH212" s="1"/>
      <c r="AO212" s="1"/>
      <c r="AV212" s="1"/>
      <c r="BC212" s="1"/>
      <c r="BJ212" s="1"/>
      <c r="BQ212" s="1"/>
      <c r="BX212" s="1"/>
      <c r="CE212" s="1"/>
      <c r="CL212" s="1"/>
      <c r="CS212" s="1"/>
      <c r="CZ212" s="1"/>
      <c r="DG212" s="1"/>
      <c r="DN212" s="1"/>
      <c r="DU212" s="1"/>
      <c r="EB212" s="1"/>
    </row>
    <row r="213" spans="34:132" x14ac:dyDescent="0.2">
      <c r="AH213" s="1"/>
      <c r="AO213" s="1"/>
      <c r="AV213" s="1"/>
      <c r="BC213" s="1"/>
      <c r="BJ213" s="1"/>
      <c r="BQ213" s="1"/>
      <c r="BX213" s="1"/>
      <c r="CE213" s="1"/>
      <c r="CL213" s="1"/>
      <c r="CS213" s="1"/>
      <c r="CZ213" s="1"/>
      <c r="DG213" s="1"/>
      <c r="DN213" s="1"/>
      <c r="DU213" s="1"/>
      <c r="EB213" s="1"/>
    </row>
    <row r="214" spans="34:132" x14ac:dyDescent="0.2">
      <c r="AH214" s="1"/>
      <c r="AO214" s="1"/>
      <c r="AV214" s="1"/>
      <c r="BC214" s="1"/>
      <c r="BJ214" s="1"/>
      <c r="BQ214" s="1"/>
      <c r="BX214" s="1"/>
      <c r="CE214" s="1"/>
      <c r="CL214" s="1"/>
      <c r="CS214" s="1"/>
      <c r="CZ214" s="1"/>
      <c r="DG214" s="1"/>
      <c r="DN214" s="1"/>
      <c r="DU214" s="1"/>
      <c r="EB214" s="1"/>
    </row>
    <row r="215" spans="34:132" x14ac:dyDescent="0.2">
      <c r="AH215" s="1"/>
      <c r="AO215" s="1"/>
      <c r="AV215" s="1"/>
      <c r="BC215" s="1"/>
      <c r="BJ215" s="1"/>
      <c r="BQ215" s="1"/>
      <c r="BX215" s="1"/>
      <c r="CE215" s="1"/>
      <c r="CL215" s="1"/>
      <c r="CS215" s="1"/>
      <c r="CZ215" s="1"/>
      <c r="DG215" s="1"/>
      <c r="DN215" s="1"/>
      <c r="DU215" s="1"/>
      <c r="EB215" s="1"/>
    </row>
    <row r="216" spans="34:132" x14ac:dyDescent="0.2">
      <c r="AH216" s="1"/>
      <c r="AO216" s="1"/>
      <c r="AV216" s="1"/>
      <c r="BC216" s="1"/>
      <c r="BJ216" s="1"/>
      <c r="BQ216" s="1"/>
      <c r="BX216" s="1"/>
      <c r="CE216" s="1"/>
      <c r="CL216" s="1"/>
      <c r="CS216" s="1"/>
      <c r="CZ216" s="1"/>
      <c r="DG216" s="1"/>
      <c r="DN216" s="1"/>
      <c r="DU216" s="1"/>
      <c r="EB216" s="1"/>
    </row>
    <row r="217" spans="34:132" x14ac:dyDescent="0.2">
      <c r="AH217" s="1"/>
      <c r="AO217" s="1"/>
      <c r="AV217" s="1"/>
      <c r="BC217" s="1"/>
      <c r="BJ217" s="1"/>
      <c r="BQ217" s="1"/>
      <c r="BX217" s="1"/>
      <c r="CE217" s="1"/>
      <c r="CL217" s="1"/>
      <c r="CS217" s="1"/>
      <c r="CZ217" s="1"/>
      <c r="DG217" s="1"/>
      <c r="DN217" s="1"/>
      <c r="DU217" s="1"/>
      <c r="EB217" s="1"/>
    </row>
    <row r="218" spans="34:132" x14ac:dyDescent="0.2">
      <c r="AH218" s="1"/>
      <c r="AO218" s="1"/>
      <c r="AV218" s="1"/>
      <c r="BC218" s="1"/>
      <c r="BJ218" s="1"/>
      <c r="BQ218" s="1"/>
      <c r="BX218" s="1"/>
      <c r="CE218" s="1"/>
      <c r="CL218" s="1"/>
      <c r="CS218" s="1"/>
      <c r="CZ218" s="1"/>
      <c r="DG218" s="1"/>
      <c r="DN218" s="1"/>
      <c r="DU218" s="1"/>
      <c r="EB218" s="1"/>
    </row>
    <row r="219" spans="34:132" x14ac:dyDescent="0.2">
      <c r="AH219" s="1"/>
      <c r="AO219" s="1"/>
      <c r="AV219" s="1"/>
      <c r="BC219" s="1"/>
      <c r="BJ219" s="1"/>
      <c r="BQ219" s="1"/>
      <c r="BX219" s="1"/>
      <c r="CE219" s="1"/>
      <c r="CL219" s="1"/>
      <c r="CS219" s="1"/>
      <c r="CZ219" s="1"/>
      <c r="DG219" s="1"/>
      <c r="DN219" s="1"/>
      <c r="DU219" s="1"/>
      <c r="EB219" s="1"/>
    </row>
    <row r="220" spans="34:132" x14ac:dyDescent="0.2">
      <c r="AH220" s="1"/>
      <c r="AO220" s="1"/>
      <c r="AV220" s="1"/>
      <c r="BC220" s="1"/>
      <c r="BJ220" s="1"/>
      <c r="BQ220" s="1"/>
      <c r="BX220" s="1"/>
      <c r="CE220" s="1"/>
      <c r="CL220" s="1"/>
      <c r="CS220" s="1"/>
      <c r="CZ220" s="1"/>
      <c r="DG220" s="1"/>
      <c r="DN220" s="1"/>
      <c r="DU220" s="1"/>
      <c r="EB220" s="1"/>
    </row>
    <row r="221" spans="34:132" x14ac:dyDescent="0.2">
      <c r="AH221" s="1"/>
      <c r="AO221" s="1"/>
      <c r="AV221" s="1"/>
      <c r="BC221" s="1"/>
      <c r="BJ221" s="1"/>
      <c r="BQ221" s="1"/>
      <c r="BX221" s="1"/>
      <c r="CE221" s="1"/>
      <c r="CL221" s="1"/>
      <c r="CS221" s="1"/>
      <c r="CZ221" s="1"/>
      <c r="DG221" s="1"/>
      <c r="DN221" s="1"/>
      <c r="DU221" s="1"/>
      <c r="EB221" s="1"/>
    </row>
    <row r="222" spans="34:132" x14ac:dyDescent="0.2">
      <c r="AH222" s="1"/>
      <c r="AO222" s="1"/>
      <c r="AV222" s="1"/>
      <c r="BC222" s="1"/>
      <c r="BJ222" s="1"/>
      <c r="BQ222" s="1"/>
      <c r="BX222" s="1"/>
      <c r="CE222" s="1"/>
      <c r="CL222" s="1"/>
      <c r="CS222" s="1"/>
      <c r="CZ222" s="1"/>
      <c r="DG222" s="1"/>
      <c r="DN222" s="1"/>
      <c r="DU222" s="1"/>
      <c r="EB222" s="1"/>
    </row>
    <row r="223" spans="34:132" x14ac:dyDescent="0.2">
      <c r="AH223" s="1"/>
      <c r="AO223" s="1"/>
      <c r="AV223" s="1"/>
      <c r="BC223" s="1"/>
      <c r="BJ223" s="1"/>
      <c r="BQ223" s="1"/>
      <c r="BX223" s="1"/>
      <c r="CE223" s="1"/>
      <c r="CL223" s="1"/>
      <c r="CS223" s="1"/>
      <c r="CZ223" s="1"/>
      <c r="DG223" s="1"/>
      <c r="DN223" s="1"/>
      <c r="DU223" s="1"/>
      <c r="EB223" s="1"/>
    </row>
    <row r="224" spans="34:132" x14ac:dyDescent="0.2">
      <c r="AH224" s="1"/>
      <c r="AO224" s="1"/>
      <c r="AV224" s="1"/>
      <c r="BC224" s="1"/>
      <c r="BJ224" s="1"/>
      <c r="BQ224" s="1"/>
      <c r="BX224" s="1"/>
      <c r="CE224" s="1"/>
      <c r="CL224" s="1"/>
      <c r="CS224" s="1"/>
      <c r="CZ224" s="1"/>
      <c r="DG224" s="1"/>
      <c r="DN224" s="1"/>
      <c r="DU224" s="1"/>
      <c r="EB224" s="1"/>
    </row>
    <row r="225" spans="34:132" x14ac:dyDescent="0.2">
      <c r="AH225" s="1"/>
      <c r="AO225" s="1"/>
      <c r="AV225" s="1"/>
      <c r="BC225" s="1"/>
      <c r="BJ225" s="1"/>
      <c r="BQ225" s="1"/>
      <c r="BX225" s="1"/>
      <c r="CE225" s="1"/>
      <c r="CL225" s="1"/>
      <c r="CS225" s="1"/>
      <c r="CZ225" s="1"/>
      <c r="DG225" s="1"/>
      <c r="DN225" s="1"/>
      <c r="DU225" s="1"/>
      <c r="EB225" s="1"/>
    </row>
    <row r="226" spans="34:132" x14ac:dyDescent="0.2">
      <c r="AH226" s="1"/>
      <c r="AO226" s="1"/>
      <c r="AV226" s="1"/>
      <c r="BC226" s="1"/>
      <c r="BJ226" s="1"/>
      <c r="BQ226" s="1"/>
      <c r="BX226" s="1"/>
      <c r="CE226" s="1"/>
      <c r="CL226" s="1"/>
      <c r="CS226" s="1"/>
      <c r="CZ226" s="1"/>
      <c r="DG226" s="1"/>
      <c r="DN226" s="1"/>
      <c r="DU226" s="1"/>
      <c r="EB226" s="1"/>
    </row>
    <row r="227" spans="34:132" x14ac:dyDescent="0.2">
      <c r="AH227" s="1"/>
      <c r="AO227" s="1"/>
      <c r="AV227" s="1"/>
      <c r="BC227" s="1"/>
      <c r="BJ227" s="1"/>
      <c r="BQ227" s="1"/>
      <c r="BX227" s="1"/>
      <c r="CE227" s="1"/>
      <c r="CL227" s="1"/>
      <c r="CS227" s="1"/>
      <c r="CZ227" s="1"/>
      <c r="DG227" s="1"/>
      <c r="DN227" s="1"/>
      <c r="DU227" s="1"/>
      <c r="EB227" s="1"/>
    </row>
    <row r="228" spans="34:132" x14ac:dyDescent="0.2">
      <c r="AH228" s="1"/>
      <c r="AO228" s="1"/>
      <c r="AV228" s="1"/>
      <c r="BC228" s="1"/>
      <c r="BJ228" s="1"/>
      <c r="BQ228" s="1"/>
      <c r="BX228" s="1"/>
      <c r="CE228" s="1"/>
      <c r="CL228" s="1"/>
      <c r="CS228" s="1"/>
      <c r="CZ228" s="1"/>
      <c r="DG228" s="1"/>
      <c r="DN228" s="1"/>
      <c r="DU228" s="1"/>
      <c r="EB228" s="1"/>
    </row>
    <row r="229" spans="34:132" x14ac:dyDescent="0.2">
      <c r="AH229" s="1"/>
      <c r="AO229" s="1"/>
      <c r="AV229" s="1"/>
      <c r="BC229" s="1"/>
      <c r="BJ229" s="1"/>
      <c r="BQ229" s="1"/>
      <c r="BX229" s="1"/>
      <c r="CE229" s="1"/>
      <c r="CL229" s="1"/>
      <c r="CS229" s="1"/>
      <c r="CZ229" s="1"/>
      <c r="DG229" s="1"/>
      <c r="DN229" s="1"/>
      <c r="DU229" s="1"/>
      <c r="EB229" s="1"/>
    </row>
    <row r="230" spans="34:132" x14ac:dyDescent="0.2">
      <c r="AH230" s="1"/>
      <c r="AO230" s="1"/>
      <c r="AV230" s="1"/>
      <c r="BC230" s="1"/>
      <c r="BJ230" s="1"/>
      <c r="BQ230" s="1"/>
      <c r="BX230" s="1"/>
      <c r="CE230" s="1"/>
      <c r="CL230" s="1"/>
      <c r="CS230" s="1"/>
      <c r="CZ230" s="1"/>
      <c r="DG230" s="1"/>
      <c r="DN230" s="1"/>
      <c r="DU230" s="1"/>
      <c r="EB230" s="1"/>
    </row>
    <row r="231" spans="34:132" x14ac:dyDescent="0.2">
      <c r="AH231" s="1"/>
      <c r="AO231" s="1"/>
      <c r="AV231" s="1"/>
      <c r="BC231" s="1"/>
      <c r="BJ231" s="1"/>
      <c r="BQ231" s="1"/>
      <c r="BX231" s="1"/>
      <c r="CE231" s="1"/>
      <c r="CL231" s="1"/>
      <c r="CS231" s="1"/>
      <c r="CZ231" s="1"/>
      <c r="DG231" s="1"/>
      <c r="DN231" s="1"/>
      <c r="DU231" s="1"/>
      <c r="EB231" s="1"/>
    </row>
    <row r="232" spans="34:132" x14ac:dyDescent="0.2">
      <c r="AH232" s="1"/>
      <c r="AO232" s="1"/>
      <c r="AV232" s="1"/>
      <c r="BC232" s="1"/>
      <c r="BJ232" s="1"/>
      <c r="BQ232" s="1"/>
      <c r="BX232" s="1"/>
      <c r="CE232" s="1"/>
      <c r="CL232" s="1"/>
      <c r="CS232" s="1"/>
      <c r="CZ232" s="1"/>
      <c r="DG232" s="1"/>
      <c r="DN232" s="1"/>
      <c r="DU232" s="1"/>
      <c r="EB232" s="1"/>
    </row>
    <row r="233" spans="34:132" x14ac:dyDescent="0.2">
      <c r="AH233" s="1"/>
      <c r="AO233" s="1"/>
      <c r="AV233" s="1"/>
      <c r="BC233" s="1"/>
      <c r="BJ233" s="1"/>
      <c r="BQ233" s="1"/>
      <c r="BX233" s="1"/>
      <c r="CE233" s="1"/>
      <c r="CL233" s="1"/>
      <c r="CS233" s="1"/>
      <c r="CZ233" s="1"/>
      <c r="DG233" s="1"/>
      <c r="DN233" s="1"/>
      <c r="DU233" s="1"/>
      <c r="EB233" s="1"/>
    </row>
    <row r="234" spans="34:132" x14ac:dyDescent="0.2">
      <c r="AH234" s="1"/>
      <c r="AO234" s="1"/>
      <c r="AV234" s="1"/>
      <c r="BC234" s="1"/>
      <c r="BJ234" s="1"/>
      <c r="BQ234" s="1"/>
      <c r="BX234" s="1"/>
      <c r="CE234" s="1"/>
      <c r="CL234" s="1"/>
      <c r="CS234" s="1"/>
      <c r="CZ234" s="1"/>
      <c r="DG234" s="1"/>
      <c r="DN234" s="1"/>
      <c r="DU234" s="1"/>
      <c r="EB234" s="1"/>
    </row>
    <row r="235" spans="34:132" x14ac:dyDescent="0.2">
      <c r="AH235" s="1"/>
      <c r="AO235" s="1"/>
      <c r="AV235" s="1"/>
      <c r="BC235" s="1"/>
      <c r="BJ235" s="1"/>
      <c r="BQ235" s="1"/>
      <c r="BX235" s="1"/>
      <c r="CE235" s="1"/>
      <c r="CL235" s="1"/>
      <c r="CS235" s="1"/>
      <c r="CZ235" s="1"/>
      <c r="DG235" s="1"/>
      <c r="DN235" s="1"/>
      <c r="DU235" s="1"/>
      <c r="EB235" s="1"/>
    </row>
    <row r="236" spans="34:132" x14ac:dyDescent="0.2">
      <c r="AH236" s="1"/>
      <c r="AO236" s="1"/>
      <c r="AV236" s="1"/>
      <c r="BC236" s="1"/>
      <c r="BJ236" s="1"/>
      <c r="BQ236" s="1"/>
      <c r="BX236" s="1"/>
      <c r="CE236" s="1"/>
      <c r="CL236" s="1"/>
      <c r="CS236" s="1"/>
      <c r="CZ236" s="1"/>
      <c r="DG236" s="1"/>
      <c r="DN236" s="1"/>
      <c r="DU236" s="1"/>
      <c r="EB236" s="1"/>
    </row>
    <row r="237" spans="34:132" x14ac:dyDescent="0.2">
      <c r="AH237" s="1"/>
      <c r="AO237" s="1"/>
      <c r="AV237" s="1"/>
      <c r="BC237" s="1"/>
      <c r="BJ237" s="1"/>
      <c r="BQ237" s="1"/>
      <c r="BX237" s="1"/>
      <c r="CE237" s="1"/>
      <c r="CL237" s="1"/>
      <c r="CS237" s="1"/>
      <c r="CZ237" s="1"/>
      <c r="DG237" s="1"/>
      <c r="DN237" s="1"/>
      <c r="DU237" s="1"/>
      <c r="EB237" s="1"/>
    </row>
    <row r="238" spans="34:132" x14ac:dyDescent="0.2">
      <c r="AH238" s="1"/>
      <c r="AO238" s="1"/>
      <c r="AV238" s="1"/>
      <c r="BC238" s="1"/>
      <c r="BJ238" s="1"/>
      <c r="BQ238" s="1"/>
      <c r="BX238" s="1"/>
      <c r="CE238" s="1"/>
      <c r="CL238" s="1"/>
      <c r="CS238" s="1"/>
      <c r="CZ238" s="1"/>
      <c r="DG238" s="1"/>
      <c r="DN238" s="1"/>
      <c r="DU238" s="1"/>
      <c r="EB238" s="1"/>
    </row>
    <row r="239" spans="34:132" x14ac:dyDescent="0.2">
      <c r="AH239" s="1"/>
      <c r="AO239" s="1"/>
      <c r="AV239" s="1"/>
      <c r="BC239" s="1"/>
      <c r="BJ239" s="1"/>
      <c r="BQ239" s="1"/>
      <c r="BX239" s="1"/>
      <c r="CE239" s="1"/>
      <c r="CL239" s="1"/>
      <c r="CS239" s="1"/>
      <c r="CZ239" s="1"/>
      <c r="DG239" s="1"/>
      <c r="DN239" s="1"/>
      <c r="DU239" s="1"/>
      <c r="EB239" s="1"/>
    </row>
    <row r="240" spans="34:132" x14ac:dyDescent="0.2">
      <c r="AH240" s="1"/>
      <c r="AO240" s="1"/>
      <c r="AV240" s="1"/>
      <c r="BC240" s="1"/>
      <c r="BJ240" s="1"/>
      <c r="BQ240" s="1"/>
      <c r="BX240" s="1"/>
      <c r="CE240" s="1"/>
      <c r="CL240" s="1"/>
      <c r="CS240" s="1"/>
      <c r="CZ240" s="1"/>
      <c r="DG240" s="1"/>
      <c r="DN240" s="1"/>
      <c r="DU240" s="1"/>
      <c r="EB240" s="1"/>
    </row>
    <row r="241" spans="34:132" x14ac:dyDescent="0.2">
      <c r="AH241" s="1"/>
      <c r="AO241" s="1"/>
      <c r="AV241" s="1"/>
      <c r="BC241" s="1"/>
      <c r="BJ241" s="1"/>
      <c r="BQ241" s="1"/>
      <c r="BX241" s="1"/>
      <c r="CE241" s="1"/>
      <c r="CL241" s="1"/>
      <c r="CS241" s="1"/>
      <c r="CZ241" s="1"/>
      <c r="DG241" s="1"/>
      <c r="DN241" s="1"/>
      <c r="DU241" s="1"/>
      <c r="EB241" s="1"/>
    </row>
    <row r="242" spans="34:132" x14ac:dyDescent="0.2">
      <c r="AH242" s="1"/>
      <c r="AO242" s="1"/>
      <c r="AV242" s="1"/>
      <c r="BC242" s="1"/>
      <c r="BJ242" s="1"/>
      <c r="BQ242" s="1"/>
      <c r="BX242" s="1"/>
      <c r="CE242" s="1"/>
      <c r="CL242" s="1"/>
      <c r="CS242" s="1"/>
      <c r="CZ242" s="1"/>
      <c r="DG242" s="1"/>
      <c r="DN242" s="1"/>
      <c r="DU242" s="1"/>
      <c r="EB242" s="1"/>
    </row>
    <row r="243" spans="34:132" x14ac:dyDescent="0.2">
      <c r="AH243" s="1"/>
      <c r="AO243" s="1"/>
      <c r="AV243" s="1"/>
      <c r="BC243" s="1"/>
      <c r="BJ243" s="1"/>
      <c r="BQ243" s="1"/>
      <c r="BX243" s="1"/>
      <c r="CE243" s="1"/>
      <c r="CL243" s="1"/>
      <c r="CS243" s="1"/>
      <c r="CZ243" s="1"/>
      <c r="DG243" s="1"/>
      <c r="DN243" s="1"/>
      <c r="DU243" s="1"/>
      <c r="EB243" s="1"/>
    </row>
    <row r="244" spans="34:132" x14ac:dyDescent="0.2">
      <c r="AH244" s="1"/>
      <c r="AO244" s="1"/>
      <c r="AV244" s="1"/>
      <c r="BC244" s="1"/>
      <c r="BJ244" s="1"/>
      <c r="BQ244" s="1"/>
      <c r="BX244" s="1"/>
      <c r="CE244" s="1"/>
      <c r="CL244" s="1"/>
      <c r="CS244" s="1"/>
      <c r="CZ244" s="1"/>
      <c r="DG244" s="1"/>
      <c r="DN244" s="1"/>
      <c r="DU244" s="1"/>
      <c r="EB244" s="1"/>
    </row>
    <row r="245" spans="34:132" x14ac:dyDescent="0.2">
      <c r="AH245" s="1"/>
      <c r="AO245" s="1"/>
      <c r="AV245" s="1"/>
      <c r="BC245" s="1"/>
      <c r="BJ245" s="1"/>
      <c r="BQ245" s="1"/>
      <c r="BX245" s="1"/>
      <c r="CE245" s="1"/>
      <c r="CL245" s="1"/>
      <c r="CS245" s="1"/>
      <c r="CZ245" s="1"/>
      <c r="DG245" s="1"/>
      <c r="DN245" s="1"/>
      <c r="DU245" s="1"/>
      <c r="EB245" s="1"/>
    </row>
    <row r="246" spans="34:132" x14ac:dyDescent="0.2">
      <c r="AH246" s="1"/>
      <c r="AO246" s="1"/>
      <c r="AV246" s="1"/>
      <c r="BC246" s="1"/>
      <c r="BJ246" s="1"/>
      <c r="BQ246" s="1"/>
      <c r="BX246" s="1"/>
      <c r="CE246" s="1"/>
      <c r="CL246" s="1"/>
      <c r="CS246" s="1"/>
      <c r="CZ246" s="1"/>
      <c r="DG246" s="1"/>
      <c r="DN246" s="1"/>
      <c r="DU246" s="1"/>
      <c r="EB246" s="1"/>
    </row>
    <row r="247" spans="34:132" x14ac:dyDescent="0.2">
      <c r="AH247" s="1"/>
      <c r="AO247" s="1"/>
      <c r="AV247" s="1"/>
      <c r="BC247" s="1"/>
      <c r="BJ247" s="1"/>
      <c r="BQ247" s="1"/>
      <c r="BX247" s="1"/>
      <c r="CE247" s="1"/>
      <c r="CL247" s="1"/>
      <c r="CS247" s="1"/>
      <c r="CZ247" s="1"/>
      <c r="DG247" s="1"/>
      <c r="DN247" s="1"/>
      <c r="DU247" s="1"/>
      <c r="EB247" s="1"/>
    </row>
    <row r="248" spans="34:132" x14ac:dyDescent="0.2">
      <c r="AH248" s="1"/>
      <c r="AO248" s="1"/>
      <c r="AV248" s="1"/>
      <c r="BC248" s="1"/>
      <c r="BJ248" s="1"/>
      <c r="BQ248" s="1"/>
      <c r="BX248" s="1"/>
      <c r="CE248" s="1"/>
      <c r="CL248" s="1"/>
      <c r="CS248" s="1"/>
      <c r="CZ248" s="1"/>
      <c r="DG248" s="1"/>
      <c r="DN248" s="1"/>
      <c r="DU248" s="1"/>
      <c r="EB248" s="1"/>
    </row>
    <row r="249" spans="34:132" x14ac:dyDescent="0.2">
      <c r="AH249" s="1"/>
      <c r="AO249" s="1"/>
      <c r="AV249" s="1"/>
      <c r="BC249" s="1"/>
      <c r="BJ249" s="1"/>
      <c r="BQ249" s="1"/>
      <c r="BX249" s="1"/>
      <c r="CE249" s="1"/>
      <c r="CL249" s="1"/>
      <c r="CS249" s="1"/>
      <c r="CZ249" s="1"/>
      <c r="DG249" s="1"/>
      <c r="DN249" s="1"/>
      <c r="DU249" s="1"/>
      <c r="EB249" s="1"/>
    </row>
    <row r="250" spans="34:132" x14ac:dyDescent="0.2">
      <c r="AH250" s="1"/>
      <c r="AO250" s="1"/>
      <c r="AV250" s="1"/>
      <c r="BC250" s="1"/>
      <c r="BJ250" s="1"/>
      <c r="BQ250" s="1"/>
      <c r="BX250" s="1"/>
      <c r="CE250" s="1"/>
      <c r="CL250" s="1"/>
      <c r="CS250" s="1"/>
      <c r="CZ250" s="1"/>
      <c r="DG250" s="1"/>
      <c r="DN250" s="1"/>
      <c r="DU250" s="1"/>
      <c r="EB250" s="1"/>
    </row>
    <row r="251" spans="34:132" x14ac:dyDescent="0.2">
      <c r="AH251" s="1"/>
      <c r="AO251" s="1"/>
      <c r="AV251" s="1"/>
      <c r="BC251" s="1"/>
      <c r="BJ251" s="1"/>
      <c r="BQ251" s="1"/>
      <c r="BX251" s="1"/>
      <c r="CE251" s="1"/>
      <c r="CL251" s="1"/>
      <c r="CS251" s="1"/>
      <c r="CZ251" s="1"/>
      <c r="DG251" s="1"/>
      <c r="DN251" s="1"/>
      <c r="DU251" s="1"/>
      <c r="EB251" s="1"/>
    </row>
    <row r="252" spans="34:132" x14ac:dyDescent="0.2">
      <c r="AH252" s="1"/>
      <c r="AO252" s="1"/>
      <c r="AV252" s="1"/>
      <c r="BC252" s="1"/>
      <c r="BJ252" s="1"/>
      <c r="BQ252" s="1"/>
      <c r="BX252" s="1"/>
      <c r="CE252" s="1"/>
      <c r="CL252" s="1"/>
      <c r="CS252" s="1"/>
      <c r="CZ252" s="1"/>
      <c r="DG252" s="1"/>
      <c r="DN252" s="1"/>
      <c r="DU252" s="1"/>
      <c r="EB252" s="1"/>
    </row>
    <row r="253" spans="34:132" x14ac:dyDescent="0.2">
      <c r="AH253" s="1"/>
      <c r="AO253" s="1"/>
      <c r="AV253" s="1"/>
      <c r="BC253" s="1"/>
      <c r="BJ253" s="1"/>
      <c r="BQ253" s="1"/>
      <c r="BX253" s="1"/>
      <c r="CE253" s="1"/>
      <c r="CL253" s="1"/>
      <c r="CS253" s="1"/>
      <c r="CZ253" s="1"/>
      <c r="DG253" s="1"/>
      <c r="DN253" s="1"/>
      <c r="DU253" s="1"/>
      <c r="EB253" s="1"/>
    </row>
    <row r="254" spans="34:132" x14ac:dyDescent="0.2">
      <c r="AH254" s="1"/>
      <c r="AO254" s="1"/>
      <c r="AV254" s="1"/>
      <c r="BC254" s="1"/>
      <c r="BJ254" s="1"/>
      <c r="BQ254" s="1"/>
      <c r="BX254" s="1"/>
      <c r="CE254" s="1"/>
      <c r="CL254" s="1"/>
      <c r="CS254" s="1"/>
      <c r="CZ254" s="1"/>
      <c r="DG254" s="1"/>
      <c r="DN254" s="1"/>
      <c r="DU254" s="1"/>
      <c r="EB254" s="1"/>
    </row>
    <row r="255" spans="34:132" x14ac:dyDescent="0.2">
      <c r="AH255" s="1"/>
      <c r="AO255" s="1"/>
      <c r="AV255" s="1"/>
      <c r="BC255" s="1"/>
      <c r="BJ255" s="1"/>
      <c r="BQ255" s="1"/>
      <c r="BX255" s="1"/>
      <c r="CE255" s="1"/>
      <c r="CL255" s="1"/>
      <c r="CS255" s="1"/>
      <c r="CZ255" s="1"/>
      <c r="DG255" s="1"/>
      <c r="DN255" s="1"/>
      <c r="DU255" s="1"/>
      <c r="EB255" s="1"/>
    </row>
    <row r="256" spans="34:132" x14ac:dyDescent="0.2">
      <c r="AH256" s="1"/>
      <c r="AO256" s="1"/>
      <c r="AV256" s="1"/>
      <c r="BC256" s="1"/>
      <c r="BJ256" s="1"/>
      <c r="BQ256" s="1"/>
      <c r="BX256" s="1"/>
      <c r="CE256" s="1"/>
      <c r="CL256" s="1"/>
      <c r="CS256" s="1"/>
      <c r="CZ256" s="1"/>
      <c r="DG256" s="1"/>
      <c r="DN256" s="1"/>
      <c r="DU256" s="1"/>
      <c r="EB256" s="1"/>
    </row>
    <row r="257" spans="34:132" x14ac:dyDescent="0.2">
      <c r="AH257" s="1"/>
      <c r="AO257" s="1"/>
      <c r="AV257" s="1"/>
      <c r="BC257" s="1"/>
      <c r="BJ257" s="1"/>
      <c r="BQ257" s="1"/>
      <c r="BX257" s="1"/>
      <c r="CE257" s="1"/>
      <c r="CL257" s="1"/>
      <c r="CS257" s="1"/>
      <c r="CZ257" s="1"/>
      <c r="DG257" s="1"/>
      <c r="DN257" s="1"/>
      <c r="DU257" s="1"/>
      <c r="EB257" s="1"/>
    </row>
    <row r="258" spans="34:132" x14ac:dyDescent="0.2">
      <c r="AH258" s="1"/>
      <c r="AO258" s="1"/>
      <c r="AV258" s="1"/>
      <c r="BC258" s="1"/>
      <c r="BJ258" s="1"/>
      <c r="BQ258" s="1"/>
      <c r="BX258" s="1"/>
      <c r="CE258" s="1"/>
      <c r="CL258" s="1"/>
      <c r="CS258" s="1"/>
      <c r="CZ258" s="1"/>
      <c r="DG258" s="1"/>
      <c r="DN258" s="1"/>
      <c r="DU258" s="1"/>
      <c r="EB258" s="1"/>
    </row>
    <row r="259" spans="34:132" x14ac:dyDescent="0.2">
      <c r="AH259" s="1"/>
      <c r="AO259" s="1"/>
      <c r="AV259" s="1"/>
      <c r="BC259" s="1"/>
      <c r="BJ259" s="1"/>
      <c r="BQ259" s="1"/>
      <c r="BX259" s="1"/>
      <c r="CE259" s="1"/>
      <c r="CL259" s="1"/>
      <c r="CS259" s="1"/>
      <c r="CZ259" s="1"/>
      <c r="DG259" s="1"/>
      <c r="DN259" s="1"/>
      <c r="DU259" s="1"/>
      <c r="EB259" s="1"/>
    </row>
    <row r="260" spans="34:132" x14ac:dyDescent="0.2">
      <c r="AH260" s="1"/>
      <c r="AO260" s="1"/>
      <c r="AV260" s="1"/>
      <c r="BC260" s="1"/>
      <c r="BJ260" s="1"/>
      <c r="BQ260" s="1"/>
      <c r="BX260" s="1"/>
      <c r="CE260" s="1"/>
      <c r="CL260" s="1"/>
      <c r="CS260" s="1"/>
      <c r="CZ260" s="1"/>
      <c r="DG260" s="1"/>
      <c r="DN260" s="1"/>
      <c r="DU260" s="1"/>
      <c r="EB260" s="1"/>
    </row>
    <row r="261" spans="34:132" x14ac:dyDescent="0.2">
      <c r="AH261" s="1"/>
      <c r="AO261" s="1"/>
      <c r="AV261" s="1"/>
      <c r="BC261" s="1"/>
      <c r="BJ261" s="1"/>
      <c r="BQ261" s="1"/>
      <c r="BX261" s="1"/>
      <c r="CE261" s="1"/>
      <c r="CL261" s="1"/>
      <c r="CS261" s="1"/>
      <c r="CZ261" s="1"/>
      <c r="DG261" s="1"/>
      <c r="DN261" s="1"/>
      <c r="DU261" s="1"/>
      <c r="EB261" s="1"/>
    </row>
    <row r="262" spans="34:132" x14ac:dyDescent="0.2">
      <c r="AH262" s="1"/>
      <c r="AO262" s="1"/>
      <c r="AV262" s="1"/>
      <c r="BC262" s="1"/>
      <c r="BJ262" s="1"/>
      <c r="BQ262" s="1"/>
      <c r="BX262" s="1"/>
      <c r="CE262" s="1"/>
      <c r="CL262" s="1"/>
      <c r="CS262" s="1"/>
      <c r="CZ262" s="1"/>
      <c r="DG262" s="1"/>
      <c r="DN262" s="1"/>
      <c r="DU262" s="1"/>
      <c r="EB262" s="1"/>
    </row>
    <row r="263" spans="34:132" x14ac:dyDescent="0.2">
      <c r="AH263" s="1"/>
      <c r="AO263" s="1"/>
      <c r="AV263" s="1"/>
      <c r="BC263" s="1"/>
      <c r="BJ263" s="1"/>
      <c r="BQ263" s="1"/>
      <c r="BX263" s="1"/>
      <c r="CE263" s="1"/>
      <c r="CL263" s="1"/>
      <c r="CS263" s="1"/>
      <c r="CZ263" s="1"/>
      <c r="DG263" s="1"/>
      <c r="DN263" s="1"/>
      <c r="DU263" s="1"/>
      <c r="EB263" s="1"/>
    </row>
    <row r="264" spans="34:132" x14ac:dyDescent="0.2">
      <c r="AH264" s="1"/>
      <c r="AO264" s="1"/>
      <c r="AV264" s="1"/>
      <c r="BC264" s="1"/>
      <c r="BJ264" s="1"/>
      <c r="BQ264" s="1"/>
      <c r="BX264" s="1"/>
      <c r="CE264" s="1"/>
      <c r="CL264" s="1"/>
      <c r="CS264" s="1"/>
      <c r="CZ264" s="1"/>
      <c r="DG264" s="1"/>
      <c r="DN264" s="1"/>
      <c r="DU264" s="1"/>
      <c r="EB264" s="1"/>
    </row>
    <row r="265" spans="34:132" x14ac:dyDescent="0.2">
      <c r="AH265" s="1"/>
      <c r="AO265" s="1"/>
      <c r="AV265" s="1"/>
      <c r="BC265" s="1"/>
      <c r="BJ265" s="1"/>
      <c r="BQ265" s="1"/>
      <c r="BX265" s="1"/>
      <c r="CE265" s="1"/>
      <c r="CL265" s="1"/>
      <c r="CS265" s="1"/>
      <c r="CZ265" s="1"/>
      <c r="DG265" s="1"/>
      <c r="DN265" s="1"/>
      <c r="DU265" s="1"/>
      <c r="EB265" s="1"/>
    </row>
    <row r="266" spans="34:132" x14ac:dyDescent="0.2">
      <c r="AH266" s="1"/>
      <c r="AO266" s="1"/>
      <c r="AV266" s="1"/>
      <c r="BC266" s="1"/>
      <c r="BJ266" s="1"/>
      <c r="BQ266" s="1"/>
      <c r="BX266" s="1"/>
      <c r="CE266" s="1"/>
      <c r="CL266" s="1"/>
      <c r="CS266" s="1"/>
      <c r="CZ266" s="1"/>
      <c r="DG266" s="1"/>
      <c r="DN266" s="1"/>
      <c r="DU266" s="1"/>
      <c r="EB266" s="1"/>
    </row>
    <row r="267" spans="34:132" x14ac:dyDescent="0.2">
      <c r="AH267" s="1"/>
      <c r="AO267" s="1"/>
      <c r="AV267" s="1"/>
      <c r="BC267" s="1"/>
      <c r="BJ267" s="1"/>
      <c r="BQ267" s="1"/>
      <c r="BX267" s="1"/>
      <c r="CE267" s="1"/>
      <c r="CL267" s="1"/>
      <c r="CS267" s="1"/>
      <c r="CZ267" s="1"/>
      <c r="DG267" s="1"/>
      <c r="DN267" s="1"/>
      <c r="DU267" s="1"/>
      <c r="EB267" s="1"/>
    </row>
    <row r="268" spans="34:132" x14ac:dyDescent="0.2">
      <c r="AH268" s="1"/>
      <c r="AO268" s="1"/>
      <c r="AV268" s="1"/>
      <c r="BC268" s="1"/>
      <c r="BJ268" s="1"/>
      <c r="BQ268" s="1"/>
      <c r="BX268" s="1"/>
      <c r="CE268" s="1"/>
      <c r="CL268" s="1"/>
      <c r="CS268" s="1"/>
      <c r="CZ268" s="1"/>
      <c r="DG268" s="1"/>
      <c r="DN268" s="1"/>
      <c r="DU268" s="1"/>
      <c r="EB268" s="1"/>
    </row>
  </sheetData>
  <mergeCells count="90">
    <mergeCell ref="CT2:CT3"/>
    <mergeCell ref="CU2:CX2"/>
    <mergeCell ref="EB2:EB3"/>
    <mergeCell ref="EC2:EC3"/>
    <mergeCell ref="ED2:EG2"/>
    <mergeCell ref="CY2:CY3"/>
    <mergeCell ref="CZ2:CZ3"/>
    <mergeCell ref="DA2:DA3"/>
    <mergeCell ref="DB2:DE2"/>
    <mergeCell ref="DF2:DF3"/>
    <mergeCell ref="CL2:CL3"/>
    <mergeCell ref="CM2:CM3"/>
    <mergeCell ref="CN2:CQ2"/>
    <mergeCell ref="CR2:CR3"/>
    <mergeCell ref="CS2:CS3"/>
    <mergeCell ref="CS1:CY1"/>
    <mergeCell ref="CZ1:DF1"/>
    <mergeCell ref="DG1:DM1"/>
    <mergeCell ref="DN1:DT1"/>
    <mergeCell ref="DU1:EA1"/>
    <mergeCell ref="A1:O1"/>
    <mergeCell ref="P1:AB1"/>
    <mergeCell ref="AC1:AG1"/>
    <mergeCell ref="A2:A3"/>
    <mergeCell ref="B2:B3"/>
    <mergeCell ref="C2:N2"/>
    <mergeCell ref="O2:O3"/>
    <mergeCell ref="P2:P3"/>
    <mergeCell ref="Q2:Q3"/>
    <mergeCell ref="R2:AA2"/>
    <mergeCell ref="AB2:AB3"/>
    <mergeCell ref="AC2:AC3"/>
    <mergeCell ref="AD2:AD3"/>
    <mergeCell ref="AE2:AF2"/>
    <mergeCell ref="AG2:AG3"/>
    <mergeCell ref="EB1:EH1"/>
    <mergeCell ref="DG2:DG3"/>
    <mergeCell ref="DH2:DH3"/>
    <mergeCell ref="DI2:DL2"/>
    <mergeCell ref="DM2:DM3"/>
    <mergeCell ref="DN2:DN3"/>
    <mergeCell ref="DO2:DO3"/>
    <mergeCell ref="DP2:DS2"/>
    <mergeCell ref="DT2:DT3"/>
    <mergeCell ref="DU2:DU3"/>
    <mergeCell ref="DV2:DV3"/>
    <mergeCell ref="DW2:DZ2"/>
    <mergeCell ref="EA2:EA3"/>
    <mergeCell ref="EH2:EH3"/>
    <mergeCell ref="BQ1:BW1"/>
    <mergeCell ref="BX1:CD1"/>
    <mergeCell ref="CE1:CK1"/>
    <mergeCell ref="CL1:CR1"/>
    <mergeCell ref="BQ2:BQ3"/>
    <mergeCell ref="BR2:BR3"/>
    <mergeCell ref="BS2:BV2"/>
    <mergeCell ref="BW2:BW3"/>
    <mergeCell ref="BX2:BX3"/>
    <mergeCell ref="BY2:BY3"/>
    <mergeCell ref="BZ2:CC2"/>
    <mergeCell ref="CD2:CD3"/>
    <mergeCell ref="CE2:CE3"/>
    <mergeCell ref="CF2:CF3"/>
    <mergeCell ref="CG2:CJ2"/>
    <mergeCell ref="CK2:CK3"/>
    <mergeCell ref="BC1:BI1"/>
    <mergeCell ref="BJ1:BP1"/>
    <mergeCell ref="BD2:BD3"/>
    <mergeCell ref="BE2:BH2"/>
    <mergeCell ref="BI2:BI3"/>
    <mergeCell ref="BJ2:BJ3"/>
    <mergeCell ref="BK2:BK3"/>
    <mergeCell ref="BL2:BO2"/>
    <mergeCell ref="BP2:BP3"/>
    <mergeCell ref="BC2:BC3"/>
    <mergeCell ref="AO1:AU1"/>
    <mergeCell ref="AV1:BB1"/>
    <mergeCell ref="AO2:AO3"/>
    <mergeCell ref="AP2:AP3"/>
    <mergeCell ref="AQ2:AT2"/>
    <mergeCell ref="AU2:AU3"/>
    <mergeCell ref="AV2:AV3"/>
    <mergeCell ref="AW2:AW3"/>
    <mergeCell ref="AX2:BA2"/>
    <mergeCell ref="BB2:BB3"/>
    <mergeCell ref="AH1:AN1"/>
    <mergeCell ref="AH2:AH3"/>
    <mergeCell ref="AI2:AI3"/>
    <mergeCell ref="AJ2:AM2"/>
    <mergeCell ref="AN2:AN3"/>
  </mergeCells>
  <pageMargins left="0.31496062992125984" right="0" top="0.59055118110236227" bottom="0.35433070866141736" header="0.31496062992125984" footer="0.31496062992125984"/>
  <pageSetup paperSize="9" scale="90" firstPageNumber="175" orientation="landscape" useFirstPageNumber="1" r:id="rId1"/>
  <headerFooter>
    <oddFooter>&amp;C&amp;P</oddFooter>
  </headerFooter>
  <rowBreaks count="4" manualBreakCount="4">
    <brk id="89" max="16383" man="1"/>
    <brk id="134" max="16383" man="1"/>
    <brk id="179" max="16383" man="1"/>
    <brk id="224" max="16383" man="1"/>
  </rowBreaks>
  <colBreaks count="15" manualBreakCount="15">
    <brk id="33" max="41" man="1"/>
    <brk id="40" max="41" man="1"/>
    <brk id="47" max="41" man="1"/>
    <brk id="54" max="41" man="1"/>
    <brk id="61" max="41" man="1"/>
    <brk id="68" max="41" man="1"/>
    <brk id="75" max="41" man="1"/>
    <brk id="82" max="41" man="1"/>
    <brk id="89" max="41" man="1"/>
    <brk id="96" max="41" man="1"/>
    <brk id="103" max="41" man="1"/>
    <brk id="110" max="41" man="1"/>
    <brk id="117" max="41" man="1"/>
    <brk id="124" max="41" man="1"/>
    <brk id="131" max="41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E17E-02B4-49D8-8291-B793F2F3AEA1}">
  <dimension ref="A1:V144"/>
  <sheetViews>
    <sheetView view="pageBreakPreview" zoomScale="55" zoomScaleNormal="55" zoomScaleSheetLayoutView="55" workbookViewId="0">
      <selection activeCell="I57" sqref="I57"/>
    </sheetView>
  </sheetViews>
  <sheetFormatPr defaultColWidth="19.21875" defaultRowHeight="11.4" customHeight="1" x14ac:dyDescent="0.2"/>
  <cols>
    <col min="1" max="1" width="4.5546875" style="64" customWidth="1"/>
    <col min="2" max="2" width="16.44140625" style="63" customWidth="1"/>
    <col min="3" max="15" width="12.6640625" style="63" customWidth="1"/>
    <col min="16" max="16" width="6" style="64" bestFit="1" customWidth="1"/>
    <col min="17" max="17" width="44.44140625" style="63" customWidth="1"/>
    <col min="18" max="22" width="14" style="63" customWidth="1"/>
    <col min="23" max="16384" width="19.21875" style="63"/>
  </cols>
  <sheetData>
    <row r="1" spans="1:22" s="58" customFormat="1" ht="23.4" customHeight="1" x14ac:dyDescent="0.2">
      <c r="A1" s="102" t="s">
        <v>369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 t="s">
        <v>372</v>
      </c>
      <c r="Q1" s="102"/>
      <c r="R1" s="102"/>
      <c r="S1" s="102"/>
      <c r="T1" s="102"/>
      <c r="U1" s="102"/>
      <c r="V1" s="102"/>
    </row>
    <row r="2" spans="1:22" s="59" customFormat="1" ht="11.4" customHeight="1" x14ac:dyDescent="0.3">
      <c r="A2" s="103" t="s">
        <v>0</v>
      </c>
      <c r="B2" s="105" t="s">
        <v>1</v>
      </c>
      <c r="C2" s="107" t="s">
        <v>4</v>
      </c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05" t="s">
        <v>3</v>
      </c>
      <c r="P2" s="103" t="s">
        <v>0</v>
      </c>
      <c r="Q2" s="103" t="s">
        <v>1</v>
      </c>
      <c r="R2" s="110" t="s">
        <v>2</v>
      </c>
      <c r="S2" s="111"/>
      <c r="T2" s="111"/>
      <c r="U2" s="112"/>
      <c r="V2" s="103" t="s">
        <v>66</v>
      </c>
    </row>
    <row r="3" spans="1:22" s="59" customFormat="1" ht="43.8" customHeight="1" x14ac:dyDescent="0.3">
      <c r="A3" s="104"/>
      <c r="B3" s="106"/>
      <c r="C3" s="60" t="s">
        <v>9</v>
      </c>
      <c r="D3" s="60" t="s">
        <v>10</v>
      </c>
      <c r="E3" s="60" t="s">
        <v>11</v>
      </c>
      <c r="F3" s="60" t="s">
        <v>12</v>
      </c>
      <c r="G3" s="61" t="s">
        <v>13</v>
      </c>
      <c r="H3" s="61" t="s">
        <v>14</v>
      </c>
      <c r="I3" s="61" t="s">
        <v>131</v>
      </c>
      <c r="J3" s="61" t="s">
        <v>135</v>
      </c>
      <c r="K3" s="61" t="s">
        <v>17</v>
      </c>
      <c r="L3" s="61" t="s">
        <v>18</v>
      </c>
      <c r="M3" s="61" t="s">
        <v>19</v>
      </c>
      <c r="N3" s="61" t="s">
        <v>133</v>
      </c>
      <c r="O3" s="106"/>
      <c r="P3" s="104"/>
      <c r="Q3" s="104"/>
      <c r="R3" s="62" t="s">
        <v>5</v>
      </c>
      <c r="S3" s="62" t="s">
        <v>6</v>
      </c>
      <c r="T3" s="62" t="s">
        <v>7</v>
      </c>
      <c r="U3" s="62" t="s">
        <v>8</v>
      </c>
      <c r="V3" s="104"/>
    </row>
    <row r="4" spans="1:22" ht="11.4" customHeight="1" x14ac:dyDescent="0.2">
      <c r="A4" s="27" t="s">
        <v>110</v>
      </c>
      <c r="B4" s="28" t="s">
        <v>38</v>
      </c>
      <c r="C4" s="28">
        <v>925045020.04864609</v>
      </c>
      <c r="D4" s="28">
        <v>1890725799.243505</v>
      </c>
      <c r="E4" s="28">
        <v>52177115.028772637</v>
      </c>
      <c r="F4" s="28">
        <v>138761315.06683242</v>
      </c>
      <c r="G4" s="28">
        <v>4517435531.0192451</v>
      </c>
      <c r="H4" s="28">
        <v>0</v>
      </c>
      <c r="I4" s="28">
        <v>772279446.80847645</v>
      </c>
      <c r="J4" s="28">
        <v>2262040637.2755876</v>
      </c>
      <c r="K4" s="28">
        <v>1411285628.2485747</v>
      </c>
      <c r="L4" s="28">
        <v>3012357626.4497619</v>
      </c>
      <c r="M4" s="28">
        <v>604700723.87232339</v>
      </c>
      <c r="N4" s="28">
        <v>4884619790.0949974</v>
      </c>
      <c r="O4" s="28">
        <v>20471428633.156723</v>
      </c>
      <c r="P4" s="27" t="s">
        <v>110</v>
      </c>
      <c r="Q4" s="28" t="s">
        <v>38</v>
      </c>
      <c r="R4" s="28">
        <v>15312822718.041271</v>
      </c>
      <c r="S4" s="28">
        <v>5158605915.1154528</v>
      </c>
      <c r="T4" s="28">
        <v>0</v>
      </c>
      <c r="U4" s="28">
        <v>0</v>
      </c>
      <c r="V4" s="28">
        <v>20471428633.156723</v>
      </c>
    </row>
    <row r="5" spans="1:22" ht="11.4" customHeight="1" x14ac:dyDescent="0.2">
      <c r="A5" s="27" t="s">
        <v>113</v>
      </c>
      <c r="B5" s="28" t="s">
        <v>41</v>
      </c>
      <c r="C5" s="28">
        <v>0</v>
      </c>
      <c r="D5" s="28">
        <v>3403048649.8803654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13561410930.525225</v>
      </c>
      <c r="N5" s="28">
        <v>0</v>
      </c>
      <c r="O5" s="28">
        <v>16964459580.40559</v>
      </c>
      <c r="P5" s="27" t="s">
        <v>113</v>
      </c>
      <c r="Q5" s="28" t="s">
        <v>41</v>
      </c>
      <c r="R5" s="28">
        <v>0</v>
      </c>
      <c r="S5" s="28">
        <v>7784064856.5068769</v>
      </c>
      <c r="T5" s="28">
        <v>9180394723.8987141</v>
      </c>
      <c r="U5" s="28">
        <v>0</v>
      </c>
      <c r="V5" s="28">
        <v>16964459580.40559</v>
      </c>
    </row>
    <row r="6" spans="1:22" ht="11.4" customHeight="1" x14ac:dyDescent="0.2">
      <c r="A6" s="27" t="s">
        <v>119</v>
      </c>
      <c r="B6" s="28" t="s">
        <v>47</v>
      </c>
      <c r="C6" s="28">
        <v>0</v>
      </c>
      <c r="D6" s="28">
        <v>4645327272.0441046</v>
      </c>
      <c r="E6" s="28">
        <v>11297837443.428392</v>
      </c>
      <c r="F6" s="28">
        <v>7338245875.1450748</v>
      </c>
      <c r="G6" s="28">
        <v>0</v>
      </c>
      <c r="H6" s="28">
        <v>0</v>
      </c>
      <c r="I6" s="28">
        <v>6427298909.7978764</v>
      </c>
      <c r="J6" s="28">
        <v>0</v>
      </c>
      <c r="K6" s="28">
        <v>0</v>
      </c>
      <c r="L6" s="28">
        <v>0</v>
      </c>
      <c r="M6" s="28">
        <v>2554064453.8110175</v>
      </c>
      <c r="N6" s="28">
        <v>0</v>
      </c>
      <c r="O6" s="28">
        <v>32262773954.22646</v>
      </c>
      <c r="P6" s="27" t="s">
        <v>119</v>
      </c>
      <c r="Q6" s="28" t="s">
        <v>47</v>
      </c>
      <c r="R6" s="28">
        <v>2313132260.5449681</v>
      </c>
      <c r="S6" s="28">
        <v>6142711137.9722939</v>
      </c>
      <c r="T6" s="28">
        <v>10820974384.858063</v>
      </c>
      <c r="U6" s="28">
        <v>12985956170.851133</v>
      </c>
      <c r="V6" s="28">
        <v>32262773954.226456</v>
      </c>
    </row>
    <row r="7" spans="1:22" ht="11.4" customHeight="1" x14ac:dyDescent="0.2">
      <c r="A7" s="27" t="s">
        <v>121</v>
      </c>
      <c r="B7" s="28" t="s">
        <v>49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2577016702.2918506</v>
      </c>
      <c r="O7" s="28">
        <v>2577016702.2918506</v>
      </c>
      <c r="P7" s="27" t="s">
        <v>121</v>
      </c>
      <c r="Q7" s="28" t="s">
        <v>49</v>
      </c>
      <c r="R7" s="28">
        <v>0</v>
      </c>
      <c r="S7" s="28">
        <v>2577016702.2918506</v>
      </c>
      <c r="T7" s="28">
        <v>0</v>
      </c>
      <c r="U7" s="28">
        <v>0</v>
      </c>
      <c r="V7" s="28">
        <v>2577016702.2918506</v>
      </c>
    </row>
    <row r="8" spans="1:22" ht="11.4" customHeight="1" x14ac:dyDescent="0.2">
      <c r="A8" s="27" t="s">
        <v>95</v>
      </c>
      <c r="B8" s="28" t="s">
        <v>23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13646859335.406097</v>
      </c>
      <c r="L8" s="28">
        <v>0</v>
      </c>
      <c r="M8" s="28">
        <v>0</v>
      </c>
      <c r="N8" s="28">
        <v>0</v>
      </c>
      <c r="O8" s="28">
        <v>13646859335.406097</v>
      </c>
      <c r="P8" s="27" t="s">
        <v>95</v>
      </c>
      <c r="Q8" s="28" t="s">
        <v>23</v>
      </c>
      <c r="R8" s="28">
        <v>0</v>
      </c>
      <c r="S8" s="28">
        <v>0</v>
      </c>
      <c r="T8" s="28">
        <v>13646859335.406097</v>
      </c>
      <c r="U8" s="28">
        <v>0</v>
      </c>
      <c r="V8" s="28">
        <v>13646859335.406097</v>
      </c>
    </row>
    <row r="9" spans="1:22" ht="11.4" customHeight="1" x14ac:dyDescent="0.2">
      <c r="A9" s="27" t="s">
        <v>101</v>
      </c>
      <c r="B9" s="28" t="s">
        <v>29</v>
      </c>
      <c r="C9" s="28">
        <v>0</v>
      </c>
      <c r="D9" s="28">
        <v>100000000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242811545.42555025</v>
      </c>
      <c r="L9" s="28">
        <v>2806687477.024899</v>
      </c>
      <c r="M9" s="28">
        <v>591218623.56736505</v>
      </c>
      <c r="N9" s="28">
        <v>0</v>
      </c>
      <c r="O9" s="28">
        <v>3740717646.0178142</v>
      </c>
      <c r="P9" s="27" t="s">
        <v>101</v>
      </c>
      <c r="Q9" s="28" t="s">
        <v>29</v>
      </c>
      <c r="R9" s="28">
        <v>0</v>
      </c>
      <c r="S9" s="28">
        <v>3740717646.0178142</v>
      </c>
      <c r="T9" s="28">
        <v>0</v>
      </c>
      <c r="U9" s="28">
        <v>0</v>
      </c>
      <c r="V9" s="28">
        <v>3740717646.0178142</v>
      </c>
    </row>
    <row r="10" spans="1:22" ht="11.4" customHeight="1" x14ac:dyDescent="0.2">
      <c r="A10" s="27" t="s">
        <v>106</v>
      </c>
      <c r="B10" s="28" t="s">
        <v>34</v>
      </c>
      <c r="C10" s="28">
        <v>0</v>
      </c>
      <c r="D10" s="28">
        <v>0</v>
      </c>
      <c r="E10" s="28">
        <v>0</v>
      </c>
      <c r="F10" s="28">
        <v>200000000</v>
      </c>
      <c r="G10" s="28">
        <v>0</v>
      </c>
      <c r="H10" s="28">
        <v>0</v>
      </c>
      <c r="I10" s="28">
        <v>0</v>
      </c>
      <c r="J10" s="28">
        <v>9609382402.4791203</v>
      </c>
      <c r="K10" s="28">
        <v>0</v>
      </c>
      <c r="L10" s="28">
        <v>41455490669.715942</v>
      </c>
      <c r="M10" s="28">
        <v>0</v>
      </c>
      <c r="N10" s="28">
        <v>22094670925.002159</v>
      </c>
      <c r="O10" s="28">
        <v>73359543997.19722</v>
      </c>
      <c r="P10" s="27" t="s">
        <v>106</v>
      </c>
      <c r="Q10" s="28" t="s">
        <v>34</v>
      </c>
      <c r="R10" s="28">
        <v>29481085113.192413</v>
      </c>
      <c r="S10" s="28">
        <v>200000000</v>
      </c>
      <c r="T10" s="28">
        <v>0</v>
      </c>
      <c r="U10" s="28">
        <v>43678458884.004807</v>
      </c>
      <c r="V10" s="28">
        <v>73359543997.19722</v>
      </c>
    </row>
    <row r="11" spans="1:22" ht="11.4" customHeight="1" x14ac:dyDescent="0.2">
      <c r="A11" s="27" t="s">
        <v>103</v>
      </c>
      <c r="B11" s="28" t="s">
        <v>31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2183416184.801435</v>
      </c>
      <c r="M11" s="28">
        <v>0</v>
      </c>
      <c r="N11" s="28">
        <v>30482037803.620583</v>
      </c>
      <c r="O11" s="28">
        <v>32665453988.422016</v>
      </c>
      <c r="P11" s="27" t="s">
        <v>103</v>
      </c>
      <c r="Q11" s="28" t="s">
        <v>31</v>
      </c>
      <c r="R11" s="28">
        <v>29863077970.522861</v>
      </c>
      <c r="S11" s="28">
        <v>2802376017.899157</v>
      </c>
      <c r="T11" s="28">
        <v>0</v>
      </c>
      <c r="U11" s="28">
        <v>0</v>
      </c>
      <c r="V11" s="28">
        <v>32665453988.42202</v>
      </c>
    </row>
    <row r="12" spans="1:22" ht="11.4" customHeight="1" x14ac:dyDescent="0.2">
      <c r="A12" s="27" t="s">
        <v>99</v>
      </c>
      <c r="B12" s="28" t="s">
        <v>27</v>
      </c>
      <c r="C12" s="28">
        <v>2059290870.1559124</v>
      </c>
      <c r="D12" s="28">
        <v>190000000</v>
      </c>
      <c r="E12" s="28">
        <v>0</v>
      </c>
      <c r="F12" s="28">
        <v>4728086609.4521465</v>
      </c>
      <c r="G12" s="28">
        <v>0</v>
      </c>
      <c r="H12" s="28">
        <v>0</v>
      </c>
      <c r="I12" s="28">
        <v>6156761397.6658916</v>
      </c>
      <c r="J12" s="28">
        <v>12782079182.404129</v>
      </c>
      <c r="K12" s="28">
        <v>0</v>
      </c>
      <c r="L12" s="28">
        <v>9402402627.766346</v>
      </c>
      <c r="M12" s="28">
        <v>46476375361.149803</v>
      </c>
      <c r="N12" s="28">
        <v>3552524434.8918767</v>
      </c>
      <c r="O12" s="28">
        <v>85347520483.486115</v>
      </c>
      <c r="P12" s="27" t="s">
        <v>99</v>
      </c>
      <c r="Q12" s="28" t="s">
        <v>27</v>
      </c>
      <c r="R12" s="28">
        <v>10930369824.126661</v>
      </c>
      <c r="S12" s="28">
        <v>15405301480.196922</v>
      </c>
      <c r="T12" s="28">
        <v>58011849179.162521</v>
      </c>
      <c r="U12" s="28">
        <v>1000000000</v>
      </c>
      <c r="V12" s="28">
        <v>85347520483.486115</v>
      </c>
    </row>
    <row r="13" spans="1:22" ht="11.4" customHeight="1" x14ac:dyDescent="0.2">
      <c r="A13" s="27" t="s">
        <v>94</v>
      </c>
      <c r="B13" s="28" t="s">
        <v>22</v>
      </c>
      <c r="C13" s="28">
        <v>0</v>
      </c>
      <c r="D13" s="28">
        <v>2203355182.612349</v>
      </c>
      <c r="E13" s="28">
        <v>152797760536.34018</v>
      </c>
      <c r="F13" s="28">
        <v>93921572230.212387</v>
      </c>
      <c r="G13" s="28">
        <v>0</v>
      </c>
      <c r="H13" s="28">
        <v>1821066661.9901979</v>
      </c>
      <c r="I13" s="28">
        <v>1431028062.0097442</v>
      </c>
      <c r="J13" s="28">
        <v>2537779320.3647075</v>
      </c>
      <c r="K13" s="28">
        <v>235175523298.58185</v>
      </c>
      <c r="L13" s="28">
        <v>2890059467.8262453</v>
      </c>
      <c r="M13" s="28">
        <v>492542240.71969527</v>
      </c>
      <c r="N13" s="28">
        <v>6183251281.5241222</v>
      </c>
      <c r="O13" s="28">
        <v>499453938282.18146</v>
      </c>
      <c r="P13" s="27" t="s">
        <v>94</v>
      </c>
      <c r="Q13" s="28" t="s">
        <v>22</v>
      </c>
      <c r="R13" s="28">
        <v>9847381719.6599026</v>
      </c>
      <c r="S13" s="28">
        <v>0</v>
      </c>
      <c r="T13" s="28">
        <v>16583755076.036621</v>
      </c>
      <c r="U13" s="28">
        <v>473022801486.48492</v>
      </c>
      <c r="V13" s="28">
        <v>499453938282.18146</v>
      </c>
    </row>
    <row r="14" spans="1:22" ht="11.4" customHeight="1" x14ac:dyDescent="0.2">
      <c r="A14" s="27" t="s">
        <v>97</v>
      </c>
      <c r="B14" s="28" t="s">
        <v>25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7" t="s">
        <v>97</v>
      </c>
      <c r="Q14" s="28" t="s">
        <v>25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</row>
    <row r="15" spans="1:22" ht="11.4" customHeight="1" x14ac:dyDescent="0.2">
      <c r="A15" s="27" t="s">
        <v>117</v>
      </c>
      <c r="B15" s="28" t="s">
        <v>45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42908504707.360321</v>
      </c>
      <c r="N15" s="28">
        <v>0</v>
      </c>
      <c r="O15" s="28">
        <v>42908504707.360321</v>
      </c>
      <c r="P15" s="27" t="s">
        <v>117</v>
      </c>
      <c r="Q15" s="28" t="s">
        <v>45</v>
      </c>
      <c r="R15" s="28">
        <v>0</v>
      </c>
      <c r="S15" s="28">
        <v>0</v>
      </c>
      <c r="T15" s="28">
        <v>0</v>
      </c>
      <c r="U15" s="28">
        <v>42908504707.360321</v>
      </c>
      <c r="V15" s="28">
        <v>42908504707.360321</v>
      </c>
    </row>
    <row r="16" spans="1:22" ht="11.4" customHeight="1" x14ac:dyDescent="0.2">
      <c r="A16" s="27" t="s">
        <v>114</v>
      </c>
      <c r="B16" s="28" t="s">
        <v>42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25000000</v>
      </c>
      <c r="K16" s="28">
        <v>0</v>
      </c>
      <c r="L16" s="28">
        <v>0</v>
      </c>
      <c r="M16" s="28">
        <v>0</v>
      </c>
      <c r="N16" s="28">
        <v>0</v>
      </c>
      <c r="O16" s="28">
        <v>25000000</v>
      </c>
      <c r="P16" s="27" t="s">
        <v>114</v>
      </c>
      <c r="Q16" s="28" t="s">
        <v>42</v>
      </c>
      <c r="R16" s="28">
        <v>25000000</v>
      </c>
      <c r="S16" s="28">
        <v>0</v>
      </c>
      <c r="T16" s="28">
        <v>0</v>
      </c>
      <c r="U16" s="28">
        <v>0</v>
      </c>
      <c r="V16" s="28">
        <v>25000000</v>
      </c>
    </row>
    <row r="17" spans="1:22" ht="11.4" customHeight="1" x14ac:dyDescent="0.2">
      <c r="A17" s="27" t="s">
        <v>112</v>
      </c>
      <c r="B17" s="28" t="s">
        <v>40</v>
      </c>
      <c r="C17" s="28">
        <v>0</v>
      </c>
      <c r="D17" s="28">
        <v>0</v>
      </c>
      <c r="E17" s="28">
        <v>306537671700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3600052615.6311932</v>
      </c>
      <c r="M17" s="28">
        <v>0</v>
      </c>
      <c r="N17" s="28">
        <v>0</v>
      </c>
      <c r="O17" s="28">
        <v>310137724315.63116</v>
      </c>
      <c r="P17" s="27" t="s">
        <v>112</v>
      </c>
      <c r="Q17" s="28" t="s">
        <v>40</v>
      </c>
      <c r="R17" s="28">
        <v>3193106820.616302</v>
      </c>
      <c r="S17" s="28">
        <v>0</v>
      </c>
      <c r="T17" s="28">
        <v>0</v>
      </c>
      <c r="U17" s="28">
        <v>306944617495.01483</v>
      </c>
      <c r="V17" s="28">
        <v>310137724315.6311</v>
      </c>
    </row>
    <row r="18" spans="1:22" ht="11.4" customHeight="1" x14ac:dyDescent="0.2">
      <c r="A18" s="27" t="s">
        <v>116</v>
      </c>
      <c r="B18" s="28" t="s">
        <v>44</v>
      </c>
      <c r="C18" s="28">
        <v>0</v>
      </c>
      <c r="D18" s="28">
        <v>0</v>
      </c>
      <c r="E18" s="28">
        <v>1429247737382.0969</v>
      </c>
      <c r="F18" s="28">
        <v>60775537000.706924</v>
      </c>
      <c r="G18" s="28">
        <v>0</v>
      </c>
      <c r="H18" s="28">
        <v>0</v>
      </c>
      <c r="I18" s="28">
        <v>0</v>
      </c>
      <c r="J18" s="28">
        <v>12823550971.111811</v>
      </c>
      <c r="K18" s="28">
        <v>0</v>
      </c>
      <c r="L18" s="28">
        <v>753786231407.05103</v>
      </c>
      <c r="M18" s="28">
        <v>15285821468.478907</v>
      </c>
      <c r="N18" s="28">
        <v>0</v>
      </c>
      <c r="O18" s="28">
        <v>2271918878229.4458</v>
      </c>
      <c r="P18" s="27" t="s">
        <v>116</v>
      </c>
      <c r="Q18" s="28" t="s">
        <v>44</v>
      </c>
      <c r="R18" s="28">
        <v>2510558917.8473673</v>
      </c>
      <c r="S18" s="28">
        <v>4994013020.9712324</v>
      </c>
      <c r="T18" s="28">
        <v>61938951339.26741</v>
      </c>
      <c r="U18" s="28">
        <v>2202475354951.3599</v>
      </c>
      <c r="V18" s="28">
        <v>2271918878229.4458</v>
      </c>
    </row>
    <row r="19" spans="1:22" ht="11.4" customHeight="1" x14ac:dyDescent="0.2">
      <c r="A19" s="27" t="s">
        <v>107</v>
      </c>
      <c r="B19" s="28" t="s">
        <v>35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37810223954.225426</v>
      </c>
      <c r="M19" s="28">
        <v>0</v>
      </c>
      <c r="N19" s="28">
        <v>0</v>
      </c>
      <c r="O19" s="28">
        <v>37810223954.225426</v>
      </c>
      <c r="P19" s="27" t="s">
        <v>107</v>
      </c>
      <c r="Q19" s="28" t="s">
        <v>35</v>
      </c>
      <c r="R19" s="28">
        <v>0</v>
      </c>
      <c r="S19" s="28">
        <v>0</v>
      </c>
      <c r="T19" s="28">
        <v>0</v>
      </c>
      <c r="U19" s="28">
        <v>37810223954.225426</v>
      </c>
      <c r="V19" s="28">
        <v>37810223954.225426</v>
      </c>
    </row>
    <row r="20" spans="1:22" ht="11.4" customHeight="1" x14ac:dyDescent="0.2">
      <c r="A20" s="27" t="s">
        <v>100</v>
      </c>
      <c r="B20" s="28" t="s">
        <v>28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3054677975.8446722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3054677975.8446722</v>
      </c>
      <c r="P20" s="27" t="s">
        <v>100</v>
      </c>
      <c r="Q20" s="28" t="s">
        <v>28</v>
      </c>
      <c r="R20" s="28">
        <v>3054677975.8446722</v>
      </c>
      <c r="S20" s="28">
        <v>0</v>
      </c>
      <c r="T20" s="28">
        <v>0</v>
      </c>
      <c r="U20" s="28">
        <v>0</v>
      </c>
      <c r="V20" s="28">
        <v>3054677975.8446722</v>
      </c>
    </row>
    <row r="21" spans="1:22" ht="11.4" customHeight="1" x14ac:dyDescent="0.2">
      <c r="A21" s="27" t="s">
        <v>108</v>
      </c>
      <c r="B21" s="28" t="s">
        <v>36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7" t="s">
        <v>108</v>
      </c>
      <c r="Q21" s="28" t="s">
        <v>36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</row>
    <row r="22" spans="1:22" ht="11.4" customHeight="1" x14ac:dyDescent="0.2">
      <c r="A22" s="27" t="s">
        <v>104</v>
      </c>
      <c r="B22" s="28" t="s">
        <v>32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41715000000</v>
      </c>
      <c r="M22" s="28">
        <v>29310326291.461948</v>
      </c>
      <c r="N22" s="28">
        <v>0</v>
      </c>
      <c r="O22" s="28">
        <v>71025326291.461945</v>
      </c>
      <c r="P22" s="27" t="s">
        <v>104</v>
      </c>
      <c r="Q22" s="28" t="s">
        <v>32</v>
      </c>
      <c r="R22" s="28">
        <v>0</v>
      </c>
      <c r="S22" s="28">
        <v>4568694430.216012</v>
      </c>
      <c r="T22" s="28">
        <v>20711414750.31258</v>
      </c>
      <c r="U22" s="28">
        <v>45745217110.93335</v>
      </c>
      <c r="V22" s="28">
        <v>71025326291.461945</v>
      </c>
    </row>
    <row r="23" spans="1:22" ht="11.4" customHeight="1" x14ac:dyDescent="0.2">
      <c r="A23" s="27" t="s">
        <v>105</v>
      </c>
      <c r="B23" s="28" t="s">
        <v>33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7" t="s">
        <v>105</v>
      </c>
      <c r="Q23" s="28" t="s">
        <v>33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</row>
    <row r="24" spans="1:22" ht="11.4" customHeight="1" x14ac:dyDescent="0.2">
      <c r="A24" s="27" t="s">
        <v>109</v>
      </c>
      <c r="B24" s="28" t="s">
        <v>37</v>
      </c>
      <c r="C24" s="28">
        <v>0</v>
      </c>
      <c r="D24" s="28">
        <v>0</v>
      </c>
      <c r="E24" s="28">
        <v>0</v>
      </c>
      <c r="F24" s="28">
        <v>9706001486.2868996</v>
      </c>
      <c r="G24" s="28">
        <v>2757824821.8042021</v>
      </c>
      <c r="H24" s="28">
        <v>0</v>
      </c>
      <c r="I24" s="28">
        <v>2186363723.7766905</v>
      </c>
      <c r="J24" s="28">
        <v>450000000</v>
      </c>
      <c r="K24" s="28">
        <v>0</v>
      </c>
      <c r="L24" s="28">
        <v>3862127935.3877888</v>
      </c>
      <c r="M24" s="28">
        <v>5107002525.7423735</v>
      </c>
      <c r="N24" s="28">
        <v>52233924543.81459</v>
      </c>
      <c r="O24" s="28">
        <v>76303245036.812546</v>
      </c>
      <c r="P24" s="27" t="s">
        <v>109</v>
      </c>
      <c r="Q24" s="28" t="s">
        <v>37</v>
      </c>
      <c r="R24" s="28">
        <v>28982416518.247562</v>
      </c>
      <c r="S24" s="28">
        <v>46970828518.56498</v>
      </c>
      <c r="T24" s="28">
        <v>349999999.99999994</v>
      </c>
      <c r="U24" s="28">
        <v>0</v>
      </c>
      <c r="V24" s="28">
        <v>76303245036.812546</v>
      </c>
    </row>
    <row r="25" spans="1:22" ht="11.4" customHeight="1" x14ac:dyDescent="0.2">
      <c r="A25" s="27" t="s">
        <v>96</v>
      </c>
      <c r="B25" s="28" t="s">
        <v>24</v>
      </c>
      <c r="C25" s="28">
        <v>0</v>
      </c>
      <c r="D25" s="28">
        <v>0</v>
      </c>
      <c r="E25" s="28">
        <v>0</v>
      </c>
      <c r="F25" s="28">
        <v>3891262350.3325944</v>
      </c>
      <c r="G25" s="28">
        <v>0</v>
      </c>
      <c r="H25" s="28">
        <v>0</v>
      </c>
      <c r="I25" s="28">
        <v>3941496126.4429927</v>
      </c>
      <c r="J25" s="28">
        <v>9880520641.4473686</v>
      </c>
      <c r="K25" s="28">
        <v>0</v>
      </c>
      <c r="L25" s="28">
        <v>0</v>
      </c>
      <c r="M25" s="28">
        <v>6126241159.3837748</v>
      </c>
      <c r="N25" s="28">
        <v>2544087711.5253882</v>
      </c>
      <c r="O25" s="28">
        <v>26383607989.132114</v>
      </c>
      <c r="P25" s="27" t="s">
        <v>96</v>
      </c>
      <c r="Q25" s="28" t="s">
        <v>24</v>
      </c>
      <c r="R25" s="28">
        <v>4446252760.9104757</v>
      </c>
      <c r="S25" s="28">
        <v>21937355228.221638</v>
      </c>
      <c r="T25" s="28">
        <v>0</v>
      </c>
      <c r="U25" s="28">
        <v>0</v>
      </c>
      <c r="V25" s="28">
        <v>26383607989.132114</v>
      </c>
    </row>
    <row r="26" spans="1:22" ht="11.4" customHeight="1" x14ac:dyDescent="0.2">
      <c r="A26" s="27" t="s">
        <v>120</v>
      </c>
      <c r="B26" s="28" t="s">
        <v>48</v>
      </c>
      <c r="C26" s="28">
        <v>7234741211.1881037</v>
      </c>
      <c r="D26" s="28">
        <v>0</v>
      </c>
      <c r="E26" s="28">
        <v>92761445434.843658</v>
      </c>
      <c r="F26" s="28">
        <v>1518618202.9708922</v>
      </c>
      <c r="G26" s="28">
        <v>1860050349.2736557</v>
      </c>
      <c r="H26" s="28">
        <v>0</v>
      </c>
      <c r="I26" s="28">
        <v>9450415051.4617062</v>
      </c>
      <c r="J26" s="28">
        <v>38433874256.408562</v>
      </c>
      <c r="K26" s="28">
        <v>0</v>
      </c>
      <c r="L26" s="28">
        <v>4599615826.6477699</v>
      </c>
      <c r="M26" s="28">
        <v>7782134230.6683912</v>
      </c>
      <c r="N26" s="28">
        <v>11060844865.992744</v>
      </c>
      <c r="O26" s="28">
        <v>174701739429.45547</v>
      </c>
      <c r="P26" s="27" t="s">
        <v>120</v>
      </c>
      <c r="Q26" s="28" t="s">
        <v>48</v>
      </c>
      <c r="R26" s="28">
        <v>40211989496.00415</v>
      </c>
      <c r="S26" s="28">
        <v>31684218652.258625</v>
      </c>
      <c r="T26" s="28">
        <v>88540491801.072586</v>
      </c>
      <c r="U26" s="28">
        <v>14265039480.120115</v>
      </c>
      <c r="V26" s="28">
        <v>174701739429.45547</v>
      </c>
    </row>
    <row r="27" spans="1:22" ht="11.4" customHeight="1" x14ac:dyDescent="0.2">
      <c r="A27" s="27" t="s">
        <v>102</v>
      </c>
      <c r="B27" s="28" t="s">
        <v>30</v>
      </c>
      <c r="C27" s="28">
        <v>0</v>
      </c>
      <c r="D27" s="28">
        <v>0</v>
      </c>
      <c r="E27" s="28">
        <v>2218631923.8959503</v>
      </c>
      <c r="F27" s="28">
        <v>3152669237.0872536</v>
      </c>
      <c r="G27" s="28">
        <v>0</v>
      </c>
      <c r="H27" s="28">
        <v>8501349986.7105951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13872651147.693798</v>
      </c>
      <c r="P27" s="27" t="s">
        <v>102</v>
      </c>
      <c r="Q27" s="28" t="s">
        <v>30</v>
      </c>
      <c r="R27" s="28">
        <v>0</v>
      </c>
      <c r="S27" s="28">
        <v>0</v>
      </c>
      <c r="T27" s="28">
        <v>13872651147.693798</v>
      </c>
      <c r="U27" s="28">
        <v>0</v>
      </c>
      <c r="V27" s="28">
        <v>13872651147.693798</v>
      </c>
    </row>
    <row r="28" spans="1:22" ht="11.4" customHeight="1" x14ac:dyDescent="0.2">
      <c r="A28" s="27" t="s">
        <v>98</v>
      </c>
      <c r="B28" s="28" t="s">
        <v>26</v>
      </c>
      <c r="C28" s="28">
        <v>10176459505.714207</v>
      </c>
      <c r="D28" s="28">
        <v>8458074829.5617895</v>
      </c>
      <c r="E28" s="28">
        <v>31832933156.18063</v>
      </c>
      <c r="F28" s="28">
        <v>0</v>
      </c>
      <c r="G28" s="28">
        <v>10027252206.915257</v>
      </c>
      <c r="H28" s="28">
        <v>0</v>
      </c>
      <c r="I28" s="28">
        <v>1762918985.7419746</v>
      </c>
      <c r="J28" s="28">
        <v>11147053420.886847</v>
      </c>
      <c r="K28" s="28">
        <v>0</v>
      </c>
      <c r="L28" s="28">
        <v>0</v>
      </c>
      <c r="M28" s="28">
        <v>34472688268.704781</v>
      </c>
      <c r="N28" s="28">
        <v>0</v>
      </c>
      <c r="O28" s="28">
        <v>107877380373.70547</v>
      </c>
      <c r="P28" s="27" t="s">
        <v>98</v>
      </c>
      <c r="Q28" s="28" t="s">
        <v>26</v>
      </c>
      <c r="R28" s="28">
        <v>8123437225.9037285</v>
      </c>
      <c r="S28" s="28">
        <v>16648217858.195536</v>
      </c>
      <c r="T28" s="28">
        <v>45950915856.200821</v>
      </c>
      <c r="U28" s="28">
        <v>37154809433.405396</v>
      </c>
      <c r="V28" s="28">
        <v>107877380373.70547</v>
      </c>
    </row>
    <row r="29" spans="1:22" ht="11.4" customHeight="1" x14ac:dyDescent="0.2">
      <c r="A29" s="27" t="s">
        <v>93</v>
      </c>
      <c r="B29" s="28" t="s">
        <v>21</v>
      </c>
      <c r="C29" s="28">
        <v>0</v>
      </c>
      <c r="D29" s="28">
        <v>0</v>
      </c>
      <c r="E29" s="28">
        <v>0</v>
      </c>
      <c r="F29" s="28">
        <v>1382416212.8603051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1382416212.8603051</v>
      </c>
      <c r="P29" s="27" t="s">
        <v>93</v>
      </c>
      <c r="Q29" s="28" t="s">
        <v>21</v>
      </c>
      <c r="R29" s="28">
        <v>1382416212.8603051</v>
      </c>
      <c r="S29" s="28">
        <v>0</v>
      </c>
      <c r="T29" s="28">
        <v>0</v>
      </c>
      <c r="U29" s="28">
        <v>0</v>
      </c>
      <c r="V29" s="28">
        <v>1382416212.8603051</v>
      </c>
    </row>
    <row r="30" spans="1:22" ht="11.4" customHeight="1" x14ac:dyDescent="0.2">
      <c r="A30" s="27" t="s">
        <v>115</v>
      </c>
      <c r="B30" s="28" t="s">
        <v>43</v>
      </c>
      <c r="C30" s="28">
        <v>3131353071.0837936</v>
      </c>
      <c r="D30" s="28">
        <v>252000000</v>
      </c>
      <c r="E30" s="28">
        <v>8736553747.3676872</v>
      </c>
      <c r="F30" s="28">
        <v>4949222323.4729671</v>
      </c>
      <c r="G30" s="28">
        <v>2843028926.8301682</v>
      </c>
      <c r="H30" s="28">
        <v>0</v>
      </c>
      <c r="I30" s="28">
        <v>4305369439.0073128</v>
      </c>
      <c r="J30" s="28">
        <v>3125400382.0750132</v>
      </c>
      <c r="K30" s="28">
        <v>3561422884.6604605</v>
      </c>
      <c r="L30" s="28">
        <v>496000000</v>
      </c>
      <c r="M30" s="28">
        <v>45778780959.079941</v>
      </c>
      <c r="N30" s="28">
        <v>1266305695.794739</v>
      </c>
      <c r="O30" s="28">
        <v>78445437429.372086</v>
      </c>
      <c r="P30" s="27" t="s">
        <v>115</v>
      </c>
      <c r="Q30" s="28" t="s">
        <v>43</v>
      </c>
      <c r="R30" s="28">
        <v>4302017706.5741959</v>
      </c>
      <c r="S30" s="28">
        <v>6187969407.7091064</v>
      </c>
      <c r="T30" s="28">
        <v>67955450315.088791</v>
      </c>
      <c r="U30" s="28">
        <v>0</v>
      </c>
      <c r="V30" s="28">
        <v>78445437429.372101</v>
      </c>
    </row>
    <row r="31" spans="1:22" ht="11.4" customHeight="1" x14ac:dyDescent="0.2">
      <c r="A31" s="27" t="s">
        <v>111</v>
      </c>
      <c r="B31" s="28" t="s">
        <v>39</v>
      </c>
      <c r="C31" s="28">
        <v>131000000</v>
      </c>
      <c r="D31" s="28">
        <v>195000000</v>
      </c>
      <c r="E31" s="28">
        <v>0</v>
      </c>
      <c r="F31" s="28">
        <v>1257482797.6486301</v>
      </c>
      <c r="G31" s="28">
        <v>30000000</v>
      </c>
      <c r="H31" s="28">
        <v>0</v>
      </c>
      <c r="I31" s="28">
        <v>994447675.24315417</v>
      </c>
      <c r="J31" s="28">
        <v>7685188332.8862839</v>
      </c>
      <c r="K31" s="28">
        <v>2177003018.8005295</v>
      </c>
      <c r="L31" s="28">
        <v>1848762025.0777271</v>
      </c>
      <c r="M31" s="28">
        <v>1351807533.7387426</v>
      </c>
      <c r="N31" s="28">
        <v>2592571637.5818291</v>
      </c>
      <c r="O31" s="28">
        <v>18263263020.976898</v>
      </c>
      <c r="P31" s="27" t="s">
        <v>111</v>
      </c>
      <c r="Q31" s="28" t="s">
        <v>39</v>
      </c>
      <c r="R31" s="28">
        <v>3805131969.55299</v>
      </c>
      <c r="S31" s="28">
        <v>4308361055.5905809</v>
      </c>
      <c r="T31" s="28">
        <v>0</v>
      </c>
      <c r="U31" s="28">
        <v>10149769995.833328</v>
      </c>
      <c r="V31" s="28">
        <v>18263263020.976898</v>
      </c>
    </row>
    <row r="32" spans="1:22" ht="11.4" customHeight="1" x14ac:dyDescent="0.2">
      <c r="A32" s="27" t="s">
        <v>118</v>
      </c>
      <c r="B32" s="28" t="s">
        <v>46</v>
      </c>
      <c r="C32" s="28">
        <v>96000000</v>
      </c>
      <c r="D32" s="28">
        <v>0</v>
      </c>
      <c r="E32" s="28">
        <v>0</v>
      </c>
      <c r="F32" s="28">
        <v>0</v>
      </c>
      <c r="G32" s="28">
        <v>400000000</v>
      </c>
      <c r="H32" s="28">
        <v>0</v>
      </c>
      <c r="I32" s="28">
        <v>0</v>
      </c>
      <c r="J32" s="28">
        <v>22154865231.642456</v>
      </c>
      <c r="K32" s="28">
        <v>0</v>
      </c>
      <c r="L32" s="28">
        <v>40000000</v>
      </c>
      <c r="M32" s="28">
        <v>1581086207.7644737</v>
      </c>
      <c r="N32" s="28">
        <v>0</v>
      </c>
      <c r="O32" s="28">
        <v>24271951439.406929</v>
      </c>
      <c r="P32" s="27" t="s">
        <v>118</v>
      </c>
      <c r="Q32" s="28" t="s">
        <v>46</v>
      </c>
      <c r="R32" s="28">
        <v>1770973838.8815694</v>
      </c>
      <c r="S32" s="28">
        <v>96000000</v>
      </c>
      <c r="T32" s="28">
        <v>0</v>
      </c>
      <c r="U32" s="28">
        <v>22404977600.52536</v>
      </c>
      <c r="V32" s="28">
        <v>24271951439.406929</v>
      </c>
    </row>
    <row r="33" spans="1:22" ht="11.4" customHeight="1" x14ac:dyDescent="0.2">
      <c r="A33" s="27" t="s">
        <v>124</v>
      </c>
      <c r="B33" s="28" t="s">
        <v>52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2038778260.7284286</v>
      </c>
      <c r="I33" s="28">
        <v>0</v>
      </c>
      <c r="J33" s="28">
        <v>0</v>
      </c>
      <c r="K33" s="28">
        <v>0</v>
      </c>
      <c r="L33" s="28">
        <v>29894498373.528297</v>
      </c>
      <c r="M33" s="28">
        <v>16934074322.001015</v>
      </c>
      <c r="N33" s="28">
        <v>2174357261.9488258</v>
      </c>
      <c r="O33" s="28">
        <v>51041708218.206558</v>
      </c>
      <c r="P33" s="27" t="s">
        <v>124</v>
      </c>
      <c r="Q33" s="28" t="s">
        <v>52</v>
      </c>
      <c r="R33" s="28">
        <v>4326548996.9744368</v>
      </c>
      <c r="S33" s="28">
        <v>13121784657.669579</v>
      </c>
      <c r="T33" s="28">
        <v>33593374563.562546</v>
      </c>
      <c r="U33" s="28">
        <v>0</v>
      </c>
      <c r="V33" s="28">
        <v>51041708218.206558</v>
      </c>
    </row>
    <row r="34" spans="1:22" ht="11.4" customHeight="1" x14ac:dyDescent="0.2">
      <c r="A34" s="27" t="s">
        <v>123</v>
      </c>
      <c r="B34" s="28" t="s">
        <v>51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7" t="s">
        <v>123</v>
      </c>
      <c r="Q34" s="28" t="s">
        <v>51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</row>
    <row r="35" spans="1:22" ht="11.4" customHeight="1" x14ac:dyDescent="0.2">
      <c r="A35" s="27" t="s">
        <v>126</v>
      </c>
      <c r="B35" s="28" t="s">
        <v>54</v>
      </c>
      <c r="C35" s="28">
        <v>0</v>
      </c>
      <c r="D35" s="28">
        <v>4800000000</v>
      </c>
      <c r="E35" s="28">
        <v>0</v>
      </c>
      <c r="F35" s="28">
        <v>2086370436.1822777</v>
      </c>
      <c r="G35" s="28">
        <v>0</v>
      </c>
      <c r="H35" s="28">
        <v>0</v>
      </c>
      <c r="I35" s="28">
        <v>500000000</v>
      </c>
      <c r="J35" s="28">
        <v>0</v>
      </c>
      <c r="K35" s="28">
        <v>0</v>
      </c>
      <c r="L35" s="28">
        <v>1720000000</v>
      </c>
      <c r="M35" s="28">
        <v>500000000</v>
      </c>
      <c r="N35" s="28">
        <v>950000000</v>
      </c>
      <c r="O35" s="28">
        <v>10556370436.182278</v>
      </c>
      <c r="P35" s="27" t="s">
        <v>126</v>
      </c>
      <c r="Q35" s="28" t="s">
        <v>54</v>
      </c>
      <c r="R35" s="28">
        <v>10556370436.182278</v>
      </c>
      <c r="S35" s="28">
        <v>0</v>
      </c>
      <c r="T35" s="28">
        <v>0</v>
      </c>
      <c r="U35" s="28">
        <v>0</v>
      </c>
      <c r="V35" s="28">
        <v>10556370436.182278</v>
      </c>
    </row>
    <row r="36" spans="1:22" ht="11.4" customHeight="1" x14ac:dyDescent="0.2">
      <c r="A36" s="27" t="s">
        <v>129</v>
      </c>
      <c r="B36" s="28" t="s">
        <v>57</v>
      </c>
      <c r="C36" s="28">
        <v>1858798632.2887204</v>
      </c>
      <c r="D36" s="28">
        <v>3729130154.2253613</v>
      </c>
      <c r="E36" s="28">
        <v>1858370165.6296544</v>
      </c>
      <c r="F36" s="28">
        <v>1596579858.2307167</v>
      </c>
      <c r="G36" s="28">
        <v>2967959993.4275322</v>
      </c>
      <c r="H36" s="28">
        <v>0</v>
      </c>
      <c r="I36" s="28">
        <v>13040016418.847336</v>
      </c>
      <c r="J36" s="28">
        <v>8614896900.4770317</v>
      </c>
      <c r="K36" s="28">
        <v>4688775506.4521055</v>
      </c>
      <c r="L36" s="28">
        <v>17962335860.406929</v>
      </c>
      <c r="M36" s="28">
        <v>125110841320.6306</v>
      </c>
      <c r="N36" s="28">
        <v>1084766776.4435146</v>
      </c>
      <c r="O36" s="28">
        <v>182512471587.05951</v>
      </c>
      <c r="P36" s="27" t="s">
        <v>129</v>
      </c>
      <c r="Q36" s="28" t="s">
        <v>57</v>
      </c>
      <c r="R36" s="28">
        <v>8399783145.2292299</v>
      </c>
      <c r="S36" s="28">
        <v>27502875921.376324</v>
      </c>
      <c r="T36" s="28">
        <v>19817738882.458591</v>
      </c>
      <c r="U36" s="28">
        <v>126792073637.99538</v>
      </c>
      <c r="V36" s="28">
        <v>182512471587.05951</v>
      </c>
    </row>
    <row r="37" spans="1:22" ht="11.4" customHeight="1" x14ac:dyDescent="0.2">
      <c r="A37" s="27" t="s">
        <v>128</v>
      </c>
      <c r="B37" s="28" t="s">
        <v>56</v>
      </c>
      <c r="C37" s="28">
        <v>0</v>
      </c>
      <c r="D37" s="28">
        <v>2078169482.13096</v>
      </c>
      <c r="E37" s="28">
        <v>0</v>
      </c>
      <c r="F37" s="28">
        <v>12286125720.404854</v>
      </c>
      <c r="G37" s="28">
        <v>3394085282.9124651</v>
      </c>
      <c r="H37" s="28">
        <v>2854532507.9785748</v>
      </c>
      <c r="I37" s="28">
        <v>2869040080.8810401</v>
      </c>
      <c r="J37" s="28">
        <v>29593340553.462376</v>
      </c>
      <c r="K37" s="28">
        <v>2384284986.5266418</v>
      </c>
      <c r="L37" s="28">
        <v>5881654336.0015383</v>
      </c>
      <c r="M37" s="28">
        <v>1978662194.9507213</v>
      </c>
      <c r="N37" s="28">
        <v>1649852755.9145</v>
      </c>
      <c r="O37" s="28">
        <v>64969747901.163673</v>
      </c>
      <c r="P37" s="27" t="s">
        <v>128</v>
      </c>
      <c r="Q37" s="28" t="s">
        <v>56</v>
      </c>
      <c r="R37" s="28">
        <v>13499426807.320229</v>
      </c>
      <c r="S37" s="28">
        <v>19916575990.006592</v>
      </c>
      <c r="T37" s="28">
        <v>20696975130.828232</v>
      </c>
      <c r="U37" s="28">
        <v>10856769973.008619</v>
      </c>
      <c r="V37" s="28">
        <v>64969747901.163673</v>
      </c>
    </row>
    <row r="38" spans="1:22" ht="11.4" customHeight="1" x14ac:dyDescent="0.2">
      <c r="A38" s="27" t="s">
        <v>127</v>
      </c>
      <c r="B38" s="28" t="s">
        <v>55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9018413647.6583614</v>
      </c>
      <c r="J38" s="28">
        <v>0</v>
      </c>
      <c r="K38" s="28">
        <v>0</v>
      </c>
      <c r="L38" s="28">
        <v>10417555790.973087</v>
      </c>
      <c r="M38" s="28">
        <v>0</v>
      </c>
      <c r="N38" s="28">
        <v>0</v>
      </c>
      <c r="O38" s="28">
        <v>19435969438.631447</v>
      </c>
      <c r="P38" s="27" t="s">
        <v>127</v>
      </c>
      <c r="Q38" s="28" t="s">
        <v>55</v>
      </c>
      <c r="R38" s="28">
        <v>6983998087.1072826</v>
      </c>
      <c r="S38" s="28">
        <v>12451971351.524162</v>
      </c>
      <c r="T38" s="28">
        <v>0</v>
      </c>
      <c r="U38" s="28">
        <v>0</v>
      </c>
      <c r="V38" s="28">
        <v>19435969438.631447</v>
      </c>
    </row>
    <row r="39" spans="1:22" ht="11.4" customHeight="1" x14ac:dyDescent="0.2">
      <c r="A39" s="27" t="s">
        <v>125</v>
      </c>
      <c r="B39" s="28" t="s">
        <v>53</v>
      </c>
      <c r="C39" s="28">
        <v>0</v>
      </c>
      <c r="D39" s="28">
        <v>4049149970.7132382</v>
      </c>
      <c r="E39" s="28">
        <v>0</v>
      </c>
      <c r="F39" s="28">
        <v>1724794381.2365248</v>
      </c>
      <c r="G39" s="28">
        <v>1776000000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406000000</v>
      </c>
      <c r="N39" s="28">
        <v>8143184962.7313032</v>
      </c>
      <c r="O39" s="28">
        <v>16099129314.681067</v>
      </c>
      <c r="P39" s="27" t="s">
        <v>125</v>
      </c>
      <c r="Q39" s="28" t="s">
        <v>53</v>
      </c>
      <c r="R39" s="28">
        <v>13917129314.681067</v>
      </c>
      <c r="S39" s="28">
        <v>2182000000</v>
      </c>
      <c r="T39" s="28">
        <v>0</v>
      </c>
      <c r="U39" s="28">
        <v>0</v>
      </c>
      <c r="V39" s="28">
        <v>16099129314.681067</v>
      </c>
    </row>
    <row r="40" spans="1:22" ht="11.4" customHeight="1" x14ac:dyDescent="0.2">
      <c r="A40" s="27" t="s">
        <v>130</v>
      </c>
      <c r="B40" s="28" t="s">
        <v>58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24610006197</v>
      </c>
      <c r="M40" s="28">
        <v>36567183049.704971</v>
      </c>
      <c r="N40" s="28">
        <v>0</v>
      </c>
      <c r="O40" s="28">
        <v>61177189246.704971</v>
      </c>
      <c r="P40" s="27" t="s">
        <v>130</v>
      </c>
      <c r="Q40" s="28" t="s">
        <v>58</v>
      </c>
      <c r="R40" s="28">
        <v>0</v>
      </c>
      <c r="S40" s="28">
        <v>955500000</v>
      </c>
      <c r="T40" s="28">
        <v>26997466495.200386</v>
      </c>
      <c r="U40" s="28">
        <v>33224222751.504585</v>
      </c>
      <c r="V40" s="28">
        <v>61177189246.704971</v>
      </c>
    </row>
    <row r="41" spans="1:22" ht="11.4" customHeight="1" x14ac:dyDescent="0.2">
      <c r="A41" s="27" t="s">
        <v>122</v>
      </c>
      <c r="B41" s="28" t="s">
        <v>50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8186946773.6652098</v>
      </c>
      <c r="M41" s="28">
        <v>0</v>
      </c>
      <c r="N41" s="28">
        <v>0</v>
      </c>
      <c r="O41" s="28">
        <v>8186946773.6652098</v>
      </c>
      <c r="P41" s="27" t="s">
        <v>122</v>
      </c>
      <c r="Q41" s="28" t="s">
        <v>50</v>
      </c>
      <c r="R41" s="28">
        <v>4458056922.4677753</v>
      </c>
      <c r="S41" s="28">
        <v>3728889851.1974339</v>
      </c>
      <c r="T41" s="28">
        <v>0</v>
      </c>
      <c r="U41" s="28">
        <v>0</v>
      </c>
      <c r="V41" s="28">
        <v>8186946773.6652088</v>
      </c>
    </row>
    <row r="42" spans="1:22" ht="11.4" customHeight="1" x14ac:dyDescent="0.2">
      <c r="A42" s="31"/>
      <c r="B42" s="32" t="s">
        <v>59</v>
      </c>
      <c r="C42" s="28">
        <v>25612688310.479382</v>
      </c>
      <c r="D42" s="28">
        <v>35993981340.411674</v>
      </c>
      <c r="E42" s="28">
        <v>2037341118604.812</v>
      </c>
      <c r="F42" s="28">
        <v>210653746037.29721</v>
      </c>
      <c r="G42" s="28">
        <v>30573637112.182526</v>
      </c>
      <c r="H42" s="28">
        <v>15215727417.407795</v>
      </c>
      <c r="I42" s="28">
        <v>65910526941.187241</v>
      </c>
      <c r="J42" s="28">
        <v>171124972232.92126</v>
      </c>
      <c r="K42" s="28">
        <v>263287966204.10184</v>
      </c>
      <c r="L42" s="28">
        <v>1008181425149.1809</v>
      </c>
      <c r="M42" s="28">
        <v>435481466573.31641</v>
      </c>
      <c r="N42" s="28">
        <v>153474017149.17297</v>
      </c>
      <c r="O42" s="28">
        <v>4452851273072.4707</v>
      </c>
      <c r="P42" s="31"/>
      <c r="Q42" s="32" t="s">
        <v>59</v>
      </c>
      <c r="R42" s="28">
        <v>261697162759.29358</v>
      </c>
      <c r="S42" s="28">
        <v>261066049699.50217</v>
      </c>
      <c r="T42" s="28">
        <v>508669262981.04779</v>
      </c>
      <c r="U42" s="28">
        <v>3421418797632.6284</v>
      </c>
      <c r="V42" s="28">
        <v>4452851273072.4707</v>
      </c>
    </row>
    <row r="43" spans="1:22" ht="11.4" customHeight="1" x14ac:dyDescent="0.2">
      <c r="O43" s="65">
        <v>4400302223072.4717</v>
      </c>
    </row>
    <row r="47" spans="1:22" ht="11.4" customHeight="1" x14ac:dyDescent="0.2">
      <c r="B47" s="63" t="s">
        <v>369</v>
      </c>
    </row>
    <row r="48" spans="1:22" ht="11.4" customHeight="1" x14ac:dyDescent="0.2">
      <c r="B48" s="63" t="s">
        <v>372</v>
      </c>
    </row>
    <row r="51" spans="1:4" ht="11.4" customHeight="1" x14ac:dyDescent="0.25">
      <c r="A51" s="67" t="s">
        <v>0</v>
      </c>
      <c r="B51" s="67" t="s">
        <v>4</v>
      </c>
      <c r="C51" s="33" t="s">
        <v>400</v>
      </c>
      <c r="D51" s="21"/>
    </row>
    <row r="52" spans="1:4" ht="11.4" customHeight="1" x14ac:dyDescent="0.25">
      <c r="A52" s="72">
        <v>1</v>
      </c>
      <c r="B52" s="69" t="s">
        <v>9</v>
      </c>
      <c r="C52" s="34">
        <f>C42</f>
        <v>25612688310.479382</v>
      </c>
      <c r="D52" s="18"/>
    </row>
    <row r="53" spans="1:4" ht="11.4" customHeight="1" x14ac:dyDescent="0.25">
      <c r="A53" s="72">
        <v>2</v>
      </c>
      <c r="B53" s="69" t="s">
        <v>10</v>
      </c>
      <c r="C53" s="34">
        <f>D42</f>
        <v>35993981340.411674</v>
      </c>
      <c r="D53" s="18"/>
    </row>
    <row r="54" spans="1:4" ht="11.4" customHeight="1" x14ac:dyDescent="0.25">
      <c r="A54" s="72">
        <v>3</v>
      </c>
      <c r="B54" s="69" t="s">
        <v>11</v>
      </c>
      <c r="C54" s="34">
        <f>E42</f>
        <v>2037341118604.812</v>
      </c>
      <c r="D54" s="18"/>
    </row>
    <row r="55" spans="1:4" ht="11.4" customHeight="1" x14ac:dyDescent="0.25">
      <c r="A55" s="72">
        <v>4</v>
      </c>
      <c r="B55" s="69" t="s">
        <v>12</v>
      </c>
      <c r="C55" s="34">
        <f>F42</f>
        <v>210653746037.29721</v>
      </c>
      <c r="D55" s="18"/>
    </row>
    <row r="56" spans="1:4" ht="11.4" customHeight="1" x14ac:dyDescent="0.25">
      <c r="A56" s="72">
        <v>5</v>
      </c>
      <c r="B56" s="69" t="s">
        <v>13</v>
      </c>
      <c r="C56" s="34">
        <f>G42</f>
        <v>30573637112.182526</v>
      </c>
      <c r="D56" s="18"/>
    </row>
    <row r="57" spans="1:4" ht="11.4" customHeight="1" x14ac:dyDescent="0.25">
      <c r="A57" s="72">
        <v>6</v>
      </c>
      <c r="B57" s="69" t="s">
        <v>14</v>
      </c>
      <c r="C57" s="34">
        <f>H42</f>
        <v>15215727417.407795</v>
      </c>
      <c r="D57" s="18"/>
    </row>
    <row r="58" spans="1:4" ht="11.4" customHeight="1" x14ac:dyDescent="0.25">
      <c r="A58" s="72">
        <v>7</v>
      </c>
      <c r="B58" s="69" t="s">
        <v>15</v>
      </c>
      <c r="C58" s="34">
        <f>I42</f>
        <v>65910526941.187241</v>
      </c>
      <c r="D58" s="18"/>
    </row>
    <row r="59" spans="1:4" ht="11.4" customHeight="1" x14ac:dyDescent="0.25">
      <c r="A59" s="72">
        <v>8</v>
      </c>
      <c r="B59" s="69" t="s">
        <v>19</v>
      </c>
      <c r="C59" s="34">
        <f>J42</f>
        <v>171124972232.92126</v>
      </c>
      <c r="D59" s="18"/>
    </row>
    <row r="60" spans="1:4" ht="11.4" customHeight="1" x14ac:dyDescent="0.25">
      <c r="A60" s="72">
        <v>9</v>
      </c>
      <c r="B60" s="69" t="s">
        <v>17</v>
      </c>
      <c r="C60" s="34">
        <f>K42</f>
        <v>263287966204.10184</v>
      </c>
      <c r="D60" s="18"/>
    </row>
    <row r="61" spans="1:4" ht="11.4" customHeight="1" x14ac:dyDescent="0.25">
      <c r="A61" s="72">
        <v>10</v>
      </c>
      <c r="B61" s="69" t="s">
        <v>18</v>
      </c>
      <c r="C61" s="34">
        <f>L42</f>
        <v>1008181425149.1809</v>
      </c>
      <c r="D61" s="18"/>
    </row>
    <row r="62" spans="1:4" ht="11.4" customHeight="1" x14ac:dyDescent="0.25">
      <c r="A62" s="72">
        <v>11</v>
      </c>
      <c r="B62" s="69" t="s">
        <v>20</v>
      </c>
      <c r="C62" s="34">
        <f>M42</f>
        <v>435481466573.31641</v>
      </c>
      <c r="D62" s="18"/>
    </row>
    <row r="63" spans="1:4" ht="11.4" customHeight="1" x14ac:dyDescent="0.25">
      <c r="A63" s="72">
        <v>12</v>
      </c>
      <c r="B63" s="69" t="s">
        <v>16</v>
      </c>
      <c r="C63" s="34">
        <f>N42</f>
        <v>153474017149.17297</v>
      </c>
      <c r="D63" s="18"/>
    </row>
    <row r="64" spans="1:4" ht="11.4" customHeight="1" x14ac:dyDescent="0.25">
      <c r="A64" s="72"/>
      <c r="B64" s="69" t="s">
        <v>400</v>
      </c>
      <c r="C64" s="34">
        <f>O42</f>
        <v>4452851273072.4707</v>
      </c>
      <c r="D64" s="51">
        <f>SUM(C52:C63)</f>
        <v>4452851273072.4717</v>
      </c>
    </row>
    <row r="65" spans="1:4" ht="11.4" customHeight="1" x14ac:dyDescent="0.25">
      <c r="A65" s="71"/>
      <c r="B65" s="66"/>
      <c r="C65" s="36"/>
      <c r="D65" s="18"/>
    </row>
    <row r="66" spans="1:4" ht="11.4" customHeight="1" x14ac:dyDescent="0.25">
      <c r="A66" s="75"/>
      <c r="B66" s="75"/>
      <c r="C66" s="75"/>
      <c r="D66" s="18"/>
    </row>
    <row r="67" spans="1:4" ht="11.4" customHeight="1" x14ac:dyDescent="0.25">
      <c r="A67" s="67" t="s">
        <v>0</v>
      </c>
      <c r="B67" s="67" t="s">
        <v>2</v>
      </c>
      <c r="C67" s="33" t="s">
        <v>400</v>
      </c>
      <c r="D67" s="21"/>
    </row>
    <row r="68" spans="1:4" ht="11.4" customHeight="1" x14ac:dyDescent="0.25">
      <c r="A68" s="72">
        <v>1</v>
      </c>
      <c r="B68" s="69" t="s">
        <v>5</v>
      </c>
      <c r="C68" s="34">
        <f>R42</f>
        <v>261697162759.29358</v>
      </c>
      <c r="D68" s="18"/>
    </row>
    <row r="69" spans="1:4" ht="11.4" customHeight="1" x14ac:dyDescent="0.25">
      <c r="A69" s="72">
        <v>2</v>
      </c>
      <c r="B69" s="69" t="s">
        <v>6</v>
      </c>
      <c r="C69" s="34">
        <f>S42</f>
        <v>261066049699.50217</v>
      </c>
      <c r="D69" s="18"/>
    </row>
    <row r="70" spans="1:4" ht="11.4" customHeight="1" x14ac:dyDescent="0.25">
      <c r="A70" s="72">
        <v>3</v>
      </c>
      <c r="B70" s="69" t="s">
        <v>7</v>
      </c>
      <c r="C70" s="34">
        <f>T42</f>
        <v>508669262981.04779</v>
      </c>
      <c r="D70" s="18"/>
    </row>
    <row r="71" spans="1:4" ht="11.4" customHeight="1" x14ac:dyDescent="0.25">
      <c r="A71" s="72">
        <v>4</v>
      </c>
      <c r="B71" s="69" t="s">
        <v>8</v>
      </c>
      <c r="C71" s="34">
        <f>U42</f>
        <v>3421418797632.6284</v>
      </c>
      <c r="D71" s="18"/>
    </row>
    <row r="72" spans="1:4" ht="11.4" customHeight="1" x14ac:dyDescent="0.25">
      <c r="A72" s="72"/>
      <c r="B72" s="69" t="s">
        <v>400</v>
      </c>
      <c r="C72" s="34">
        <f>V42</f>
        <v>4452851273072.4707</v>
      </c>
      <c r="D72" s="51">
        <f>SUM(C68:C71)</f>
        <v>4452851273072.4717</v>
      </c>
    </row>
    <row r="81" spans="1:3" ht="11.4" customHeight="1" x14ac:dyDescent="0.25">
      <c r="A81" s="74" t="s">
        <v>0</v>
      </c>
      <c r="B81" s="74" t="s">
        <v>4</v>
      </c>
      <c r="C81" s="33" t="s">
        <v>442</v>
      </c>
    </row>
    <row r="82" spans="1:3" ht="11.4" customHeight="1" x14ac:dyDescent="0.25">
      <c r="A82" s="72">
        <v>1</v>
      </c>
      <c r="B82" s="69" t="s">
        <v>9</v>
      </c>
      <c r="C82" s="34">
        <f>C52+Bangunan!C52+Modal!C52</f>
        <v>86864384183.776108</v>
      </c>
    </row>
    <row r="83" spans="1:3" ht="11.4" customHeight="1" x14ac:dyDescent="0.25">
      <c r="A83" s="72">
        <v>2</v>
      </c>
      <c r="B83" s="69" t="s">
        <v>10</v>
      </c>
      <c r="C83" s="34">
        <f>C53+Bangunan!C53+Modal!C53</f>
        <v>290795167747.01251</v>
      </c>
    </row>
    <row r="84" spans="1:3" ht="11.4" customHeight="1" x14ac:dyDescent="0.25">
      <c r="A84" s="72">
        <v>3</v>
      </c>
      <c r="B84" s="69" t="s">
        <v>11</v>
      </c>
      <c r="C84" s="34">
        <f>C54+Bangunan!C54+Modal!C54</f>
        <v>6294760796988.8867</v>
      </c>
    </row>
    <row r="85" spans="1:3" ht="11.4" customHeight="1" x14ac:dyDescent="0.25">
      <c r="A85" s="72">
        <v>4</v>
      </c>
      <c r="B85" s="69" t="s">
        <v>12</v>
      </c>
      <c r="C85" s="34">
        <f>C55+Bangunan!C55+Modal!C55</f>
        <v>473139471249.21973</v>
      </c>
    </row>
    <row r="86" spans="1:3" ht="11.4" customHeight="1" x14ac:dyDescent="0.25">
      <c r="A86" s="72">
        <v>5</v>
      </c>
      <c r="B86" s="69" t="s">
        <v>13</v>
      </c>
      <c r="C86" s="34">
        <f>C56+Bangunan!C56+Modal!C56</f>
        <v>161789890376.97882</v>
      </c>
    </row>
    <row r="87" spans="1:3" ht="11.4" customHeight="1" x14ac:dyDescent="0.25">
      <c r="A87" s="72">
        <v>6</v>
      </c>
      <c r="B87" s="69" t="s">
        <v>14</v>
      </c>
      <c r="C87" s="34">
        <f>C57+Bangunan!C57+Modal!C57</f>
        <v>106458627139.33261</v>
      </c>
    </row>
    <row r="88" spans="1:3" ht="11.4" customHeight="1" x14ac:dyDescent="0.25">
      <c r="A88" s="72">
        <v>7</v>
      </c>
      <c r="B88" s="69" t="s">
        <v>15</v>
      </c>
      <c r="C88" s="34">
        <f>C58+Bangunan!C58+Modal!C58</f>
        <v>167794116924.90619</v>
      </c>
    </row>
    <row r="89" spans="1:3" ht="11.4" customHeight="1" x14ac:dyDescent="0.25">
      <c r="A89" s="72">
        <v>8</v>
      </c>
      <c r="B89" s="69" t="s">
        <v>19</v>
      </c>
      <c r="C89" s="34">
        <f>C59+Bangunan!C59+Modal!C59</f>
        <v>946698393555.22803</v>
      </c>
    </row>
    <row r="90" spans="1:3" ht="11.4" customHeight="1" x14ac:dyDescent="0.25">
      <c r="A90" s="72">
        <v>9</v>
      </c>
      <c r="B90" s="69" t="s">
        <v>17</v>
      </c>
      <c r="C90" s="34">
        <f>C60+Bangunan!C60+Modal!C60</f>
        <v>961454789905.71228</v>
      </c>
    </row>
    <row r="91" spans="1:3" ht="11.4" customHeight="1" x14ac:dyDescent="0.25">
      <c r="A91" s="72">
        <v>10</v>
      </c>
      <c r="B91" s="69" t="s">
        <v>18</v>
      </c>
      <c r="C91" s="34">
        <f>C61+Bangunan!C61+Modal!C61</f>
        <v>1412471018633.2212</v>
      </c>
    </row>
    <row r="92" spans="1:3" ht="11.4" customHeight="1" x14ac:dyDescent="0.25">
      <c r="A92" s="72">
        <v>11</v>
      </c>
      <c r="B92" s="69" t="s">
        <v>20</v>
      </c>
      <c r="C92" s="34">
        <f>C62+Bangunan!C62+Modal!C62</f>
        <v>2270984013491.3369</v>
      </c>
    </row>
    <row r="93" spans="1:3" ht="11.4" customHeight="1" x14ac:dyDescent="0.25">
      <c r="A93" s="72">
        <v>12</v>
      </c>
      <c r="B93" s="69" t="s">
        <v>16</v>
      </c>
      <c r="C93" s="34">
        <f>C63+Bangunan!C63+Modal!C63</f>
        <v>566513754418.04468</v>
      </c>
    </row>
    <row r="94" spans="1:3" ht="11.4" customHeight="1" x14ac:dyDescent="0.25">
      <c r="A94" s="72"/>
      <c r="B94" s="69" t="s">
        <v>400</v>
      </c>
      <c r="C94" s="34">
        <f>C64+Bangunan!C64+Modal!C64</f>
        <v>13739724424613.654</v>
      </c>
    </row>
    <row r="95" spans="1:3" ht="11.4" customHeight="1" x14ac:dyDescent="0.25">
      <c r="A95" s="71"/>
      <c r="B95" s="66"/>
      <c r="C95" s="36"/>
    </row>
    <row r="96" spans="1:3" ht="11.4" customHeight="1" x14ac:dyDescent="0.2">
      <c r="A96" s="75"/>
      <c r="B96" s="75"/>
      <c r="C96" s="75"/>
    </row>
    <row r="97" spans="1:3" ht="11.4" customHeight="1" x14ac:dyDescent="0.25">
      <c r="A97" s="74" t="s">
        <v>0</v>
      </c>
      <c r="B97" s="74" t="s">
        <v>2</v>
      </c>
      <c r="C97" s="33" t="s">
        <v>442</v>
      </c>
    </row>
    <row r="98" spans="1:3" ht="11.4" customHeight="1" x14ac:dyDescent="0.25">
      <c r="A98" s="72">
        <v>1</v>
      </c>
      <c r="B98" s="69" t="s">
        <v>5</v>
      </c>
      <c r="C98" s="34">
        <f>C68+Bangunan!C68+Modal!C68</f>
        <v>763562270317.89844</v>
      </c>
    </row>
    <row r="99" spans="1:3" ht="11.4" customHeight="1" x14ac:dyDescent="0.25">
      <c r="A99" s="72">
        <v>2</v>
      </c>
      <c r="B99" s="69" t="s">
        <v>6</v>
      </c>
      <c r="C99" s="34">
        <f>C69+Bangunan!C69+Modal!C69</f>
        <v>868287865463.95642</v>
      </c>
    </row>
    <row r="100" spans="1:3" ht="11.4" customHeight="1" x14ac:dyDescent="0.25">
      <c r="A100" s="72">
        <v>3</v>
      </c>
      <c r="B100" s="69" t="s">
        <v>7</v>
      </c>
      <c r="C100" s="34">
        <f>C70+Bangunan!C70+Modal!C70</f>
        <v>1656051297705.5747</v>
      </c>
    </row>
    <row r="101" spans="1:3" ht="11.4" customHeight="1" x14ac:dyDescent="0.25">
      <c r="A101" s="72">
        <v>4</v>
      </c>
      <c r="B101" s="69" t="s">
        <v>8</v>
      </c>
      <c r="C101" s="34">
        <f>C71+Bangunan!C71+Modal!C71</f>
        <v>10451822991126.227</v>
      </c>
    </row>
    <row r="102" spans="1:3" ht="11.4" customHeight="1" x14ac:dyDescent="0.25">
      <c r="A102" s="72"/>
      <c r="B102" s="69" t="s">
        <v>400</v>
      </c>
      <c r="C102" s="34">
        <f>C72+Bangunan!C72+Modal!C72</f>
        <v>13739724424613.656</v>
      </c>
    </row>
    <row r="105" spans="1:3" ht="11.4" customHeight="1" x14ac:dyDescent="0.2">
      <c r="A105" s="84" t="s">
        <v>0</v>
      </c>
      <c r="B105" s="84" t="s">
        <v>60</v>
      </c>
      <c r="C105" s="33" t="s">
        <v>442</v>
      </c>
    </row>
    <row r="106" spans="1:3" ht="11.4" customHeight="1" x14ac:dyDescent="0.25">
      <c r="A106" s="72">
        <v>1</v>
      </c>
      <c r="B106" s="69" t="s">
        <v>401</v>
      </c>
      <c r="C106" s="34">
        <f>O4+Bangunan!O4+Modal!O4</f>
        <v>67352445652.790176</v>
      </c>
    </row>
    <row r="107" spans="1:3" ht="11.4" customHeight="1" x14ac:dyDescent="0.25">
      <c r="A107" s="72">
        <v>2</v>
      </c>
      <c r="B107" s="69" t="s">
        <v>402</v>
      </c>
      <c r="C107" s="34">
        <f>O5+Bangunan!O5+Modal!O5</f>
        <v>45095581870.418091</v>
      </c>
    </row>
    <row r="108" spans="1:3" ht="11.4" customHeight="1" x14ac:dyDescent="0.25">
      <c r="A108" s="72">
        <v>3</v>
      </c>
      <c r="B108" s="69" t="s">
        <v>403</v>
      </c>
      <c r="C108" s="34">
        <f>O6+Bangunan!O6+Modal!O6</f>
        <v>83708637842.208374</v>
      </c>
    </row>
    <row r="109" spans="1:3" ht="11.4" customHeight="1" x14ac:dyDescent="0.25">
      <c r="A109" s="72">
        <v>4</v>
      </c>
      <c r="B109" s="69" t="s">
        <v>404</v>
      </c>
      <c r="C109" s="34">
        <f>O7+Bangunan!O7+Modal!O7</f>
        <v>28681688524.024853</v>
      </c>
    </row>
    <row r="110" spans="1:3" ht="11.4" customHeight="1" x14ac:dyDescent="0.25">
      <c r="A110" s="72">
        <v>5</v>
      </c>
      <c r="B110" s="69" t="s">
        <v>405</v>
      </c>
      <c r="C110" s="34">
        <f>O8+Bangunan!O8+Modal!O8</f>
        <v>163754336187.37329</v>
      </c>
    </row>
    <row r="111" spans="1:3" ht="11.4" customHeight="1" x14ac:dyDescent="0.25">
      <c r="A111" s="72">
        <v>6</v>
      </c>
      <c r="B111" s="69" t="s">
        <v>406</v>
      </c>
      <c r="C111" s="34">
        <f>O9+Bangunan!O9+Modal!O9</f>
        <v>26741490901.965191</v>
      </c>
    </row>
    <row r="112" spans="1:3" ht="11.4" customHeight="1" x14ac:dyDescent="0.25">
      <c r="A112" s="72">
        <v>7</v>
      </c>
      <c r="B112" s="69" t="s">
        <v>407</v>
      </c>
      <c r="C112" s="34">
        <f>O10+Bangunan!O10+Modal!O10</f>
        <v>124950946458.73347</v>
      </c>
    </row>
    <row r="113" spans="1:3" ht="11.4" customHeight="1" x14ac:dyDescent="0.25">
      <c r="A113" s="72">
        <v>8</v>
      </c>
      <c r="B113" s="69" t="s">
        <v>408</v>
      </c>
      <c r="C113" s="34">
        <f>O11+Bangunan!O11+Modal!O11</f>
        <v>150674347073.1427</v>
      </c>
    </row>
    <row r="114" spans="1:3" ht="11.4" customHeight="1" x14ac:dyDescent="0.25">
      <c r="A114" s="72">
        <v>9</v>
      </c>
      <c r="B114" s="69" t="s">
        <v>409</v>
      </c>
      <c r="C114" s="34">
        <f>O12+Bangunan!O12+Modal!O12</f>
        <v>196608031266.4982</v>
      </c>
    </row>
    <row r="115" spans="1:3" ht="11.4" customHeight="1" x14ac:dyDescent="0.25">
      <c r="A115" s="72">
        <v>10</v>
      </c>
      <c r="B115" s="69" t="s">
        <v>410</v>
      </c>
      <c r="C115" s="34">
        <f>O13+Bangunan!O13+Modal!O13</f>
        <v>1120748569473.7803</v>
      </c>
    </row>
    <row r="116" spans="1:3" ht="11.4" customHeight="1" x14ac:dyDescent="0.25">
      <c r="A116" s="72">
        <v>11</v>
      </c>
      <c r="B116" s="69" t="s">
        <v>411</v>
      </c>
      <c r="C116" s="34">
        <f>O14+Bangunan!O14+Modal!O14</f>
        <v>1982426375</v>
      </c>
    </row>
    <row r="117" spans="1:3" ht="11.4" customHeight="1" x14ac:dyDescent="0.25">
      <c r="A117" s="72">
        <v>12</v>
      </c>
      <c r="B117" s="69" t="s">
        <v>412</v>
      </c>
      <c r="C117" s="34">
        <f>O15+Bangunan!O15+Modal!O15</f>
        <v>222955164182.06299</v>
      </c>
    </row>
    <row r="118" spans="1:3" ht="11.4" customHeight="1" x14ac:dyDescent="0.25">
      <c r="A118" s="72">
        <v>13</v>
      </c>
      <c r="B118" s="69" t="s">
        <v>413</v>
      </c>
      <c r="C118" s="34">
        <f>O16+Bangunan!O16+Modal!O16</f>
        <v>41909402241.051682</v>
      </c>
    </row>
    <row r="119" spans="1:3" ht="11.4" customHeight="1" x14ac:dyDescent="0.25">
      <c r="A119" s="72">
        <v>14</v>
      </c>
      <c r="B119" s="69" t="s">
        <v>414</v>
      </c>
      <c r="C119" s="34">
        <f>O17+Bangunan!O17+Modal!O17</f>
        <v>2465709111895.7466</v>
      </c>
    </row>
    <row r="120" spans="1:3" ht="11.4" customHeight="1" x14ac:dyDescent="0.25">
      <c r="A120" s="72">
        <v>15</v>
      </c>
      <c r="B120" s="69" t="s">
        <v>415</v>
      </c>
      <c r="C120" s="34">
        <f>O18+Bangunan!O18+Modal!O18</f>
        <v>4156062970459.2358</v>
      </c>
    </row>
    <row r="121" spans="1:3" ht="11.4" customHeight="1" x14ac:dyDescent="0.25">
      <c r="A121" s="72">
        <v>16</v>
      </c>
      <c r="B121" s="69" t="s">
        <v>416</v>
      </c>
      <c r="C121" s="34">
        <f>O19+Bangunan!O19+Modal!O19</f>
        <v>79483823458.034302</v>
      </c>
    </row>
    <row r="122" spans="1:3" ht="11.4" customHeight="1" x14ac:dyDescent="0.25">
      <c r="A122" s="72">
        <v>17</v>
      </c>
      <c r="B122" s="69" t="s">
        <v>417</v>
      </c>
      <c r="C122" s="34">
        <f>O20+Bangunan!O20+Modal!O20</f>
        <v>8153668648.1826277</v>
      </c>
    </row>
    <row r="123" spans="1:3" ht="11.4" customHeight="1" x14ac:dyDescent="0.25">
      <c r="A123" s="72">
        <v>18</v>
      </c>
      <c r="B123" s="69" t="s">
        <v>418</v>
      </c>
      <c r="C123" s="34">
        <f>O21+Bangunan!O21+Modal!O21</f>
        <v>2310854338.3299999</v>
      </c>
    </row>
    <row r="124" spans="1:3" ht="11.4" customHeight="1" x14ac:dyDescent="0.25">
      <c r="A124" s="72">
        <v>19</v>
      </c>
      <c r="B124" s="69" t="s">
        <v>419</v>
      </c>
      <c r="C124" s="34">
        <f>O22+Bangunan!O22+Modal!O22</f>
        <v>97423490579.697372</v>
      </c>
    </row>
    <row r="125" spans="1:3" ht="11.4" customHeight="1" x14ac:dyDescent="0.25">
      <c r="A125" s="72">
        <v>20</v>
      </c>
      <c r="B125" s="69" t="s">
        <v>420</v>
      </c>
      <c r="C125" s="34">
        <f>O23+Bangunan!O23+Modal!O23</f>
        <v>1334921626.5</v>
      </c>
    </row>
    <row r="126" spans="1:3" ht="11.4" customHeight="1" x14ac:dyDescent="0.25">
      <c r="A126" s="72">
        <v>21</v>
      </c>
      <c r="B126" s="69" t="s">
        <v>421</v>
      </c>
      <c r="C126" s="34">
        <f>O24+Bangunan!O24+Modal!O24</f>
        <v>120168832139.87076</v>
      </c>
    </row>
    <row r="127" spans="1:3" ht="11.4" customHeight="1" x14ac:dyDescent="0.25">
      <c r="A127" s="72">
        <v>22</v>
      </c>
      <c r="B127" s="69" t="s">
        <v>422</v>
      </c>
      <c r="C127" s="34">
        <f>O25+Bangunan!O25+Modal!O25</f>
        <v>49568980895.769608</v>
      </c>
    </row>
    <row r="128" spans="1:3" ht="11.4" customHeight="1" x14ac:dyDescent="0.25">
      <c r="A128" s="72">
        <v>23</v>
      </c>
      <c r="B128" s="69" t="s">
        <v>423</v>
      </c>
      <c r="C128" s="34">
        <f>O26+Bangunan!O26+Modal!O26</f>
        <v>465702326966.08893</v>
      </c>
    </row>
    <row r="129" spans="1:3" ht="11.4" customHeight="1" x14ac:dyDescent="0.25">
      <c r="A129" s="72">
        <v>24</v>
      </c>
      <c r="B129" s="69" t="s">
        <v>424</v>
      </c>
      <c r="C129" s="34">
        <f>O27+Bangunan!O27+Modal!O27</f>
        <v>960822619285.56262</v>
      </c>
    </row>
    <row r="130" spans="1:3" ht="11.4" customHeight="1" x14ac:dyDescent="0.25">
      <c r="A130" s="72">
        <v>25</v>
      </c>
      <c r="B130" s="69" t="s">
        <v>425</v>
      </c>
      <c r="C130" s="34">
        <f>O28+Bangunan!O28+Modal!O28</f>
        <v>392617867628.93481</v>
      </c>
    </row>
    <row r="131" spans="1:3" ht="11.4" customHeight="1" x14ac:dyDescent="0.25">
      <c r="A131" s="72">
        <v>26</v>
      </c>
      <c r="B131" s="69" t="s">
        <v>426</v>
      </c>
      <c r="C131" s="34">
        <f>O29+Bangunan!O29+Modal!O29</f>
        <v>9629174642.2915649</v>
      </c>
    </row>
    <row r="132" spans="1:3" ht="11.4" customHeight="1" x14ac:dyDescent="0.25">
      <c r="A132" s="72">
        <v>27</v>
      </c>
      <c r="B132" s="69" t="s">
        <v>427</v>
      </c>
      <c r="C132" s="34">
        <f>O30+Bangunan!O30+Modal!O30</f>
        <v>252440160266.94458</v>
      </c>
    </row>
    <row r="133" spans="1:3" ht="11.4" customHeight="1" x14ac:dyDescent="0.25">
      <c r="A133" s="72">
        <v>28</v>
      </c>
      <c r="B133" s="69" t="s">
        <v>428</v>
      </c>
      <c r="C133" s="34">
        <f>O31+Bangunan!O31+Modal!O31</f>
        <v>112969372363.25946</v>
      </c>
    </row>
    <row r="134" spans="1:3" ht="11.4" customHeight="1" x14ac:dyDescent="0.25">
      <c r="A134" s="72">
        <v>29</v>
      </c>
      <c r="B134" s="69" t="s">
        <v>429</v>
      </c>
      <c r="C134" s="34">
        <f>O32+Bangunan!O32+Modal!O32</f>
        <v>513802213917.67902</v>
      </c>
    </row>
    <row r="135" spans="1:3" ht="11.4" customHeight="1" x14ac:dyDescent="0.25">
      <c r="A135" s="72">
        <v>30</v>
      </c>
      <c r="B135" s="69" t="s">
        <v>430</v>
      </c>
      <c r="C135" s="34">
        <f>O33+Bangunan!O33+Modal!O33</f>
        <v>226298084693.31836</v>
      </c>
    </row>
    <row r="136" spans="1:3" ht="11.4" customHeight="1" x14ac:dyDescent="0.25">
      <c r="A136" s="72">
        <v>31</v>
      </c>
      <c r="B136" s="69" t="s">
        <v>431</v>
      </c>
      <c r="C136" s="34">
        <f>O34+Bangunan!O34+Modal!O34</f>
        <v>2671431195</v>
      </c>
    </row>
    <row r="137" spans="1:3" ht="11.4" customHeight="1" x14ac:dyDescent="0.25">
      <c r="A137" s="72">
        <v>32</v>
      </c>
      <c r="B137" s="69" t="s">
        <v>432</v>
      </c>
      <c r="C137" s="34">
        <f>O35+Bangunan!O35+Modal!O35</f>
        <v>20272987865.849102</v>
      </c>
    </row>
    <row r="138" spans="1:3" ht="11.4" customHeight="1" x14ac:dyDescent="0.25">
      <c r="A138" s="72">
        <v>33</v>
      </c>
      <c r="B138" s="69" t="s">
        <v>433</v>
      </c>
      <c r="C138" s="34">
        <f>O36+Bangunan!O36+Modal!O36</f>
        <v>1007958262866.0352</v>
      </c>
    </row>
    <row r="139" spans="1:3" ht="11.4" customHeight="1" x14ac:dyDescent="0.25">
      <c r="A139" s="72">
        <v>34</v>
      </c>
      <c r="B139" s="69" t="s">
        <v>434</v>
      </c>
      <c r="C139" s="34">
        <f>O37+Bangunan!O37+Modal!O37</f>
        <v>164558720721.32343</v>
      </c>
    </row>
    <row r="140" spans="1:3" ht="11.4" customHeight="1" x14ac:dyDescent="0.25">
      <c r="A140" s="72">
        <v>35</v>
      </c>
      <c r="B140" s="69" t="s">
        <v>435</v>
      </c>
      <c r="C140" s="34">
        <f>O38+Bangunan!O38+Modal!O38</f>
        <v>43961245741.299927</v>
      </c>
    </row>
    <row r="141" spans="1:3" ht="11.4" customHeight="1" x14ac:dyDescent="0.25">
      <c r="A141" s="72">
        <v>36</v>
      </c>
      <c r="B141" s="69" t="s">
        <v>436</v>
      </c>
      <c r="C141" s="34">
        <f>O39+Bangunan!O39+Modal!O39</f>
        <v>33943024840.985725</v>
      </c>
    </row>
    <row r="142" spans="1:3" ht="11.4" customHeight="1" x14ac:dyDescent="0.25">
      <c r="A142" s="72">
        <v>37</v>
      </c>
      <c r="B142" s="69" t="s">
        <v>437</v>
      </c>
      <c r="C142" s="34">
        <f>O40+Bangunan!O40+Modal!O40</f>
        <v>252723996484.12012</v>
      </c>
    </row>
    <row r="143" spans="1:3" ht="11.4" customHeight="1" x14ac:dyDescent="0.25">
      <c r="A143" s="72">
        <v>38</v>
      </c>
      <c r="B143" s="69" t="s">
        <v>438</v>
      </c>
      <c r="C143" s="34">
        <f>O41+Bangunan!O41+Modal!O41</f>
        <v>23973213044.545864</v>
      </c>
    </row>
    <row r="144" spans="1:3" ht="11.4" customHeight="1" x14ac:dyDescent="0.25">
      <c r="A144" s="72"/>
      <c r="B144" s="69" t="s">
        <v>400</v>
      </c>
      <c r="C144" s="34">
        <f>O42+Bangunan!O42+Modal!O42</f>
        <v>13739724424613.654</v>
      </c>
    </row>
  </sheetData>
  <mergeCells count="10">
    <mergeCell ref="A1:O1"/>
    <mergeCell ref="P1:V1"/>
    <mergeCell ref="A2:A3"/>
    <mergeCell ref="B2:B3"/>
    <mergeCell ref="C2:N2"/>
    <mergeCell ref="O2:O3"/>
    <mergeCell ref="P2:P3"/>
    <mergeCell ref="Q2:Q3"/>
    <mergeCell ref="R2:U2"/>
    <mergeCell ref="V2:V3"/>
  </mergeCells>
  <pageMargins left="0.31496062992125984" right="0" top="0.59055118110236227" bottom="0.35433070866141736" header="0.31496062992125984" footer="0.31496062992125984"/>
  <pageSetup paperSize="9" scale="70" firstPageNumber="190" orientation="landscape" useFirstPageNumber="1" r:id="rId1"/>
  <headerFooter>
    <oddFooter>&amp;C&amp;P</oddFooter>
  </headerFooter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39AE-A93B-421C-878A-50D7EE4F0D6C}">
  <dimension ref="A1:V72"/>
  <sheetViews>
    <sheetView view="pageBreakPreview" zoomScale="55" zoomScaleNormal="55" zoomScaleSheetLayoutView="55" workbookViewId="0">
      <selection activeCell="M51" sqref="M51"/>
    </sheetView>
  </sheetViews>
  <sheetFormatPr defaultColWidth="19.21875" defaultRowHeight="11.4" customHeight="1" x14ac:dyDescent="0.2"/>
  <cols>
    <col min="1" max="1" width="6" style="64" bestFit="1" customWidth="1"/>
    <col min="2" max="2" width="15.5546875" style="63" customWidth="1"/>
    <col min="3" max="15" width="13.21875" style="63" customWidth="1"/>
    <col min="16" max="16" width="6" style="64" bestFit="1" customWidth="1"/>
    <col min="17" max="17" width="44.44140625" style="63" customWidth="1"/>
    <col min="18" max="22" width="14" style="63" customWidth="1"/>
    <col min="23" max="16384" width="19.21875" style="63"/>
  </cols>
  <sheetData>
    <row r="1" spans="1:22" s="58" customFormat="1" ht="23.4" customHeight="1" x14ac:dyDescent="0.2">
      <c r="A1" s="102" t="s">
        <v>373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 t="s">
        <v>374</v>
      </c>
      <c r="Q1" s="102"/>
      <c r="R1" s="102"/>
      <c r="S1" s="102"/>
      <c r="T1" s="102"/>
      <c r="U1" s="102"/>
      <c r="V1" s="102"/>
    </row>
    <row r="2" spans="1:22" s="59" customFormat="1" ht="11.4" customHeight="1" x14ac:dyDescent="0.3">
      <c r="A2" s="103" t="s">
        <v>0</v>
      </c>
      <c r="B2" s="105" t="s">
        <v>1</v>
      </c>
      <c r="C2" s="107" t="s">
        <v>4</v>
      </c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05" t="s">
        <v>3</v>
      </c>
      <c r="P2" s="103" t="s">
        <v>0</v>
      </c>
      <c r="Q2" s="103" t="s">
        <v>1</v>
      </c>
      <c r="R2" s="110" t="s">
        <v>2</v>
      </c>
      <c r="S2" s="111"/>
      <c r="T2" s="111"/>
      <c r="U2" s="112"/>
      <c r="V2" s="103" t="s">
        <v>66</v>
      </c>
    </row>
    <row r="3" spans="1:22" s="59" customFormat="1" ht="43.8" customHeight="1" x14ac:dyDescent="0.3">
      <c r="A3" s="104"/>
      <c r="B3" s="106"/>
      <c r="C3" s="60" t="s">
        <v>9</v>
      </c>
      <c r="D3" s="60" t="s">
        <v>10</v>
      </c>
      <c r="E3" s="60" t="s">
        <v>11</v>
      </c>
      <c r="F3" s="60" t="s">
        <v>12</v>
      </c>
      <c r="G3" s="61" t="s">
        <v>13</v>
      </c>
      <c r="H3" s="61" t="s">
        <v>14</v>
      </c>
      <c r="I3" s="61" t="s">
        <v>131</v>
      </c>
      <c r="J3" s="61" t="s">
        <v>135</v>
      </c>
      <c r="K3" s="61" t="s">
        <v>17</v>
      </c>
      <c r="L3" s="61" t="s">
        <v>275</v>
      </c>
      <c r="M3" s="61" t="s">
        <v>19</v>
      </c>
      <c r="N3" s="61" t="s">
        <v>133</v>
      </c>
      <c r="O3" s="106"/>
      <c r="P3" s="104"/>
      <c r="Q3" s="104"/>
      <c r="R3" s="62" t="s">
        <v>5</v>
      </c>
      <c r="S3" s="62" t="s">
        <v>6</v>
      </c>
      <c r="T3" s="62" t="s">
        <v>7</v>
      </c>
      <c r="U3" s="62" t="s">
        <v>8</v>
      </c>
      <c r="V3" s="104"/>
    </row>
    <row r="4" spans="1:22" ht="11.4" customHeight="1" x14ac:dyDescent="0.2">
      <c r="A4" s="27" t="s">
        <v>110</v>
      </c>
      <c r="B4" s="28" t="s">
        <v>38</v>
      </c>
      <c r="C4" s="28">
        <v>1270325149.6622767</v>
      </c>
      <c r="D4" s="28">
        <v>1471049166.0627458</v>
      </c>
      <c r="E4" s="28">
        <v>177841933.77386421</v>
      </c>
      <c r="F4" s="28">
        <v>1283246615.6830835</v>
      </c>
      <c r="G4" s="28">
        <v>16170419967.224123</v>
      </c>
      <c r="H4" s="28">
        <v>0</v>
      </c>
      <c r="I4" s="28">
        <v>908217272.73568654</v>
      </c>
      <c r="J4" s="28">
        <v>6068129172.2557383</v>
      </c>
      <c r="K4" s="28">
        <v>261384991.17778292</v>
      </c>
      <c r="L4" s="28">
        <v>5457129425.2379332</v>
      </c>
      <c r="M4" s="28">
        <v>2029942368.3959749</v>
      </c>
      <c r="N4" s="28">
        <v>6073423847.9242382</v>
      </c>
      <c r="O4" s="28">
        <v>41171109910.133453</v>
      </c>
      <c r="P4" s="27" t="s">
        <v>110</v>
      </c>
      <c r="Q4" s="28" t="s">
        <v>38</v>
      </c>
      <c r="R4" s="28">
        <v>13967271173.030521</v>
      </c>
      <c r="S4" s="28">
        <v>27203838737.102932</v>
      </c>
      <c r="T4" s="28">
        <v>0</v>
      </c>
      <c r="U4" s="28">
        <v>0</v>
      </c>
      <c r="V4" s="28">
        <v>41171109910.133453</v>
      </c>
    </row>
    <row r="5" spans="1:22" ht="11.4" customHeight="1" x14ac:dyDescent="0.2">
      <c r="A5" s="27" t="s">
        <v>113</v>
      </c>
      <c r="B5" s="28" t="s">
        <v>41</v>
      </c>
      <c r="C5" s="28">
        <v>0</v>
      </c>
      <c r="D5" s="28">
        <v>7406122370.0124969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17041440000</v>
      </c>
      <c r="N5" s="28">
        <v>0</v>
      </c>
      <c r="O5" s="28">
        <v>24447562370.012497</v>
      </c>
      <c r="P5" s="27" t="s">
        <v>113</v>
      </c>
      <c r="Q5" s="28" t="s">
        <v>41</v>
      </c>
      <c r="R5" s="28">
        <v>0</v>
      </c>
      <c r="S5" s="28">
        <v>10453322370.012497</v>
      </c>
      <c r="T5" s="28">
        <v>13994240000</v>
      </c>
      <c r="U5" s="28">
        <v>0</v>
      </c>
      <c r="V5" s="28">
        <v>24447562370.012497</v>
      </c>
    </row>
    <row r="6" spans="1:22" ht="11.4" customHeight="1" x14ac:dyDescent="0.2">
      <c r="A6" s="27" t="s">
        <v>119</v>
      </c>
      <c r="B6" s="28" t="s">
        <v>47</v>
      </c>
      <c r="C6" s="28">
        <v>0</v>
      </c>
      <c r="D6" s="28">
        <v>4120696285.1360412</v>
      </c>
      <c r="E6" s="28">
        <v>20466514532.038059</v>
      </c>
      <c r="F6" s="28">
        <v>3033977996.4867468</v>
      </c>
      <c r="G6" s="28">
        <v>0</v>
      </c>
      <c r="H6" s="28">
        <v>0</v>
      </c>
      <c r="I6" s="28">
        <v>4198312368.4671397</v>
      </c>
      <c r="J6" s="28">
        <v>3448372291.5712242</v>
      </c>
      <c r="K6" s="28">
        <v>0</v>
      </c>
      <c r="L6" s="28">
        <v>5927654582.8501186</v>
      </c>
      <c r="M6" s="28">
        <v>2811440000</v>
      </c>
      <c r="N6" s="28">
        <v>1677839056.43259</v>
      </c>
      <c r="O6" s="28">
        <v>45684807112.981918</v>
      </c>
      <c r="P6" s="27" t="s">
        <v>119</v>
      </c>
      <c r="Q6" s="28" t="s">
        <v>47</v>
      </c>
      <c r="R6" s="28">
        <v>3341183895.7044868</v>
      </c>
      <c r="S6" s="28">
        <v>4959622039.4405947</v>
      </c>
      <c r="T6" s="28">
        <v>27443451752.618469</v>
      </c>
      <c r="U6" s="28">
        <v>9940549425.2183704</v>
      </c>
      <c r="V6" s="28">
        <v>45684807112.981918</v>
      </c>
    </row>
    <row r="7" spans="1:22" ht="11.4" customHeight="1" x14ac:dyDescent="0.2">
      <c r="A7" s="27" t="s">
        <v>121</v>
      </c>
      <c r="B7" s="28" t="s">
        <v>49</v>
      </c>
      <c r="C7" s="28">
        <v>0</v>
      </c>
      <c r="D7" s="28">
        <v>0</v>
      </c>
      <c r="E7" s="28">
        <v>12688000000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5917300489.7330008</v>
      </c>
      <c r="O7" s="28">
        <v>18605300489.733002</v>
      </c>
      <c r="P7" s="27" t="s">
        <v>121</v>
      </c>
      <c r="Q7" s="28" t="s">
        <v>49</v>
      </c>
      <c r="R7" s="28">
        <v>0</v>
      </c>
      <c r="S7" s="28">
        <v>4577056799.599597</v>
      </c>
      <c r="T7" s="28">
        <v>14028243690.133404</v>
      </c>
      <c r="U7" s="28">
        <v>0</v>
      </c>
      <c r="V7" s="28">
        <v>18605300489.733002</v>
      </c>
    </row>
    <row r="8" spans="1:22" ht="11.4" customHeight="1" x14ac:dyDescent="0.2">
      <c r="A8" s="27" t="s">
        <v>95</v>
      </c>
      <c r="B8" s="28" t="s">
        <v>23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132535961676.96719</v>
      </c>
      <c r="L8" s="28">
        <v>0</v>
      </c>
      <c r="M8" s="28">
        <v>0</v>
      </c>
      <c r="N8" s="28">
        <v>0</v>
      </c>
      <c r="O8" s="28">
        <v>132535961676.96719</v>
      </c>
      <c r="P8" s="27" t="s">
        <v>95</v>
      </c>
      <c r="Q8" s="28" t="s">
        <v>23</v>
      </c>
      <c r="R8" s="28">
        <v>0</v>
      </c>
      <c r="S8" s="28">
        <v>0</v>
      </c>
      <c r="T8" s="28">
        <v>132535961676.96719</v>
      </c>
      <c r="U8" s="28">
        <v>0</v>
      </c>
      <c r="V8" s="28">
        <v>132535961676.96719</v>
      </c>
    </row>
    <row r="9" spans="1:22" ht="11.4" customHeight="1" x14ac:dyDescent="0.2">
      <c r="A9" s="27" t="s">
        <v>101</v>
      </c>
      <c r="B9" s="28" t="s">
        <v>29</v>
      </c>
      <c r="C9" s="28">
        <v>0</v>
      </c>
      <c r="D9" s="28">
        <v>100000000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6721713405.2674685</v>
      </c>
      <c r="L9" s="28">
        <v>2629664685.6799068</v>
      </c>
      <c r="M9" s="28">
        <v>5490160000</v>
      </c>
      <c r="N9" s="28">
        <v>0</v>
      </c>
      <c r="O9" s="28">
        <v>14941538090.947376</v>
      </c>
      <c r="P9" s="27" t="s">
        <v>101</v>
      </c>
      <c r="Q9" s="28" t="s">
        <v>29</v>
      </c>
      <c r="R9" s="28">
        <v>0</v>
      </c>
      <c r="S9" s="28">
        <v>14941538090.947376</v>
      </c>
      <c r="T9" s="28">
        <v>0</v>
      </c>
      <c r="U9" s="28">
        <v>0</v>
      </c>
      <c r="V9" s="28">
        <v>14941538090.947376</v>
      </c>
    </row>
    <row r="10" spans="1:22" ht="11.4" customHeight="1" x14ac:dyDescent="0.2">
      <c r="A10" s="27" t="s">
        <v>106</v>
      </c>
      <c r="B10" s="28" t="s">
        <v>34</v>
      </c>
      <c r="C10" s="28">
        <v>0</v>
      </c>
      <c r="D10" s="28">
        <v>0</v>
      </c>
      <c r="E10" s="28">
        <v>0</v>
      </c>
      <c r="F10" s="28">
        <v>127689346.70689015</v>
      </c>
      <c r="G10" s="28">
        <v>0</v>
      </c>
      <c r="H10" s="28">
        <v>0</v>
      </c>
      <c r="I10" s="28">
        <v>0</v>
      </c>
      <c r="J10" s="28">
        <v>16611171617.527496</v>
      </c>
      <c r="K10" s="28">
        <v>0</v>
      </c>
      <c r="L10" s="28">
        <v>2833526379.1618667</v>
      </c>
      <c r="M10" s="28">
        <v>0</v>
      </c>
      <c r="N10" s="28">
        <v>0</v>
      </c>
      <c r="O10" s="28">
        <v>19572387343.396252</v>
      </c>
      <c r="P10" s="27" t="s">
        <v>106</v>
      </c>
      <c r="Q10" s="28" t="s">
        <v>34</v>
      </c>
      <c r="R10" s="28">
        <v>2425022472.4501219</v>
      </c>
      <c r="S10" s="28">
        <v>197976976.71478406</v>
      </c>
      <c r="T10" s="28">
        <v>0</v>
      </c>
      <c r="U10" s="28">
        <v>16949387894.231346</v>
      </c>
      <c r="V10" s="28">
        <v>19572387343.396252</v>
      </c>
    </row>
    <row r="11" spans="1:22" ht="11.4" customHeight="1" x14ac:dyDescent="0.2">
      <c r="A11" s="27" t="s">
        <v>103</v>
      </c>
      <c r="B11" s="28" t="s">
        <v>31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1164614400.1878541</v>
      </c>
      <c r="M11" s="28">
        <v>0</v>
      </c>
      <c r="N11" s="28">
        <v>112631414584.53284</v>
      </c>
      <c r="O11" s="28">
        <v>113796028984.72069</v>
      </c>
      <c r="P11" s="27" t="s">
        <v>103</v>
      </c>
      <c r="Q11" s="28" t="s">
        <v>31</v>
      </c>
      <c r="R11" s="28">
        <v>110662774308.10632</v>
      </c>
      <c r="S11" s="28">
        <v>3133254676.6143713</v>
      </c>
      <c r="T11" s="28">
        <v>0</v>
      </c>
      <c r="U11" s="28">
        <v>0</v>
      </c>
      <c r="V11" s="28">
        <v>113796028984.72069</v>
      </c>
    </row>
    <row r="12" spans="1:22" ht="11.4" customHeight="1" x14ac:dyDescent="0.2">
      <c r="A12" s="27" t="s">
        <v>99</v>
      </c>
      <c r="B12" s="28" t="s">
        <v>27</v>
      </c>
      <c r="C12" s="28">
        <v>730000000</v>
      </c>
      <c r="D12" s="28">
        <v>200000000</v>
      </c>
      <c r="E12" s="28">
        <v>0</v>
      </c>
      <c r="F12" s="28">
        <v>6091978053.1987238</v>
      </c>
      <c r="G12" s="28">
        <v>0</v>
      </c>
      <c r="H12" s="28">
        <v>0</v>
      </c>
      <c r="I12" s="28">
        <v>3423758335.0180979</v>
      </c>
      <c r="J12" s="28">
        <v>25570348217.725082</v>
      </c>
      <c r="K12" s="28">
        <v>0</v>
      </c>
      <c r="L12" s="28">
        <v>8029118771.7207918</v>
      </c>
      <c r="M12" s="28">
        <v>11867070882.137049</v>
      </c>
      <c r="N12" s="28">
        <v>4378651662.6123409</v>
      </c>
      <c r="O12" s="28">
        <v>60290925922.412086</v>
      </c>
      <c r="P12" s="27" t="s">
        <v>99</v>
      </c>
      <c r="Q12" s="28" t="s">
        <v>27</v>
      </c>
      <c r="R12" s="28">
        <v>7474194308.8325787</v>
      </c>
      <c r="S12" s="28">
        <v>14123210697.789568</v>
      </c>
      <c r="T12" s="28">
        <v>38693520915.789948</v>
      </c>
      <c r="U12" s="28">
        <v>0</v>
      </c>
      <c r="V12" s="28">
        <v>60290925922.412094</v>
      </c>
    </row>
    <row r="13" spans="1:22" ht="11.4" customHeight="1" x14ac:dyDescent="0.2">
      <c r="A13" s="27" t="s">
        <v>94</v>
      </c>
      <c r="B13" s="28" t="s">
        <v>22</v>
      </c>
      <c r="C13" s="28">
        <v>0</v>
      </c>
      <c r="D13" s="28">
        <v>2316397031.0543399</v>
      </c>
      <c r="E13" s="28">
        <v>247524437374.25003</v>
      </c>
      <c r="F13" s="28">
        <v>65019472942.586327</v>
      </c>
      <c r="G13" s="28">
        <v>0</v>
      </c>
      <c r="H13" s="28">
        <v>13285459700.861307</v>
      </c>
      <c r="I13" s="28">
        <v>2568050726.2190704</v>
      </c>
      <c r="J13" s="28">
        <v>1807860819.92309</v>
      </c>
      <c r="K13" s="28">
        <v>257232024112.62659</v>
      </c>
      <c r="L13" s="28">
        <v>3010109641.3527222</v>
      </c>
      <c r="M13" s="28">
        <v>1991368107.6657941</v>
      </c>
      <c r="N13" s="28">
        <v>6865596745.5594673</v>
      </c>
      <c r="O13" s="28">
        <v>601620777202.09875</v>
      </c>
      <c r="P13" s="27" t="s">
        <v>94</v>
      </c>
      <c r="Q13" s="28" t="s">
        <v>22</v>
      </c>
      <c r="R13" s="28">
        <v>13265326772.194464</v>
      </c>
      <c r="S13" s="28">
        <v>0</v>
      </c>
      <c r="T13" s="28">
        <v>37256097276.032951</v>
      </c>
      <c r="U13" s="28">
        <v>551099353153.87134</v>
      </c>
      <c r="V13" s="28">
        <v>601620777202.09875</v>
      </c>
    </row>
    <row r="14" spans="1:22" ht="11.4" customHeight="1" x14ac:dyDescent="0.2">
      <c r="A14" s="27" t="s">
        <v>97</v>
      </c>
      <c r="B14" s="28" t="s">
        <v>25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7" t="s">
        <v>97</v>
      </c>
      <c r="Q14" s="28" t="s">
        <v>25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</row>
    <row r="15" spans="1:22" ht="11.4" customHeight="1" x14ac:dyDescent="0.2">
      <c r="A15" s="27" t="s">
        <v>117</v>
      </c>
      <c r="B15" s="28" t="s">
        <v>45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161547995697.70267</v>
      </c>
      <c r="N15" s="28">
        <v>0</v>
      </c>
      <c r="O15" s="28">
        <v>161547995697.70267</v>
      </c>
      <c r="P15" s="27" t="s">
        <v>117</v>
      </c>
      <c r="Q15" s="28" t="s">
        <v>45</v>
      </c>
      <c r="R15" s="28">
        <v>0</v>
      </c>
      <c r="S15" s="28">
        <v>0</v>
      </c>
      <c r="T15" s="28">
        <v>0</v>
      </c>
      <c r="U15" s="28">
        <v>161547995697.70267</v>
      </c>
      <c r="V15" s="28">
        <v>161547995697.70267</v>
      </c>
    </row>
    <row r="16" spans="1:22" ht="11.4" customHeight="1" x14ac:dyDescent="0.2">
      <c r="A16" s="27" t="s">
        <v>114</v>
      </c>
      <c r="B16" s="28" t="s">
        <v>42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100000000</v>
      </c>
      <c r="K16" s="28">
        <v>0</v>
      </c>
      <c r="L16" s="28">
        <v>0</v>
      </c>
      <c r="M16" s="28">
        <v>0</v>
      </c>
      <c r="N16" s="28">
        <v>3158296106.5516796</v>
      </c>
      <c r="O16" s="28">
        <v>3258296106.5516796</v>
      </c>
      <c r="P16" s="27" t="s">
        <v>114</v>
      </c>
      <c r="Q16" s="28" t="s">
        <v>42</v>
      </c>
      <c r="R16" s="28">
        <v>3258296106.5516796</v>
      </c>
      <c r="S16" s="28">
        <v>0</v>
      </c>
      <c r="T16" s="28">
        <v>0</v>
      </c>
      <c r="U16" s="28">
        <v>0</v>
      </c>
      <c r="V16" s="28">
        <v>3258296106.5516796</v>
      </c>
    </row>
    <row r="17" spans="1:22" ht="11.4" customHeight="1" x14ac:dyDescent="0.2">
      <c r="A17" s="27" t="s">
        <v>112</v>
      </c>
      <c r="B17" s="28" t="s">
        <v>40</v>
      </c>
      <c r="C17" s="28">
        <v>0</v>
      </c>
      <c r="D17" s="28">
        <v>0</v>
      </c>
      <c r="E17" s="28">
        <v>162776071587.80405</v>
      </c>
      <c r="F17" s="28">
        <v>7558192276.4124975</v>
      </c>
      <c r="G17" s="28">
        <v>3463805297.0282817</v>
      </c>
      <c r="H17" s="28">
        <v>2983943205.8845692</v>
      </c>
      <c r="I17" s="28">
        <v>7216256749.0198154</v>
      </c>
      <c r="J17" s="28">
        <v>3106121405.4780679</v>
      </c>
      <c r="K17" s="28">
        <v>1722326022.6925867</v>
      </c>
      <c r="L17" s="28">
        <v>5999699633.6882095</v>
      </c>
      <c r="M17" s="28">
        <v>1170580014.138324</v>
      </c>
      <c r="N17" s="28">
        <v>59811167428.639076</v>
      </c>
      <c r="O17" s="28">
        <v>255808163620.78549</v>
      </c>
      <c r="P17" s="27" t="s">
        <v>112</v>
      </c>
      <c r="Q17" s="28" t="s">
        <v>40</v>
      </c>
      <c r="R17" s="28">
        <v>87286880783.107574</v>
      </c>
      <c r="S17" s="28">
        <v>0</v>
      </c>
      <c r="T17" s="28">
        <v>0</v>
      </c>
      <c r="U17" s="28">
        <v>168521282837.67795</v>
      </c>
      <c r="V17" s="28">
        <v>255808163620.78552</v>
      </c>
    </row>
    <row r="18" spans="1:22" ht="11.4" customHeight="1" x14ac:dyDescent="0.2">
      <c r="A18" s="27" t="s">
        <v>116</v>
      </c>
      <c r="B18" s="28" t="s">
        <v>44</v>
      </c>
      <c r="C18" s="28">
        <v>0</v>
      </c>
      <c r="D18" s="28">
        <v>0</v>
      </c>
      <c r="E18" s="28">
        <v>20752711234.256779</v>
      </c>
      <c r="F18" s="28">
        <v>26426935473.232227</v>
      </c>
      <c r="G18" s="28">
        <v>0</v>
      </c>
      <c r="H18" s="28">
        <v>0</v>
      </c>
      <c r="I18" s="28">
        <v>0</v>
      </c>
      <c r="J18" s="28">
        <v>857276270.82847393</v>
      </c>
      <c r="K18" s="28">
        <v>10698071763.320295</v>
      </c>
      <c r="L18" s="28">
        <v>15525396681.214476</v>
      </c>
      <c r="M18" s="28">
        <v>368646414240</v>
      </c>
      <c r="N18" s="28">
        <v>0</v>
      </c>
      <c r="O18" s="28">
        <v>442906805662.85223</v>
      </c>
      <c r="P18" s="27" t="s">
        <v>116</v>
      </c>
      <c r="Q18" s="28" t="s">
        <v>44</v>
      </c>
      <c r="R18" s="28">
        <v>1715002132.8419697</v>
      </c>
      <c r="S18" s="28">
        <v>31552914092.668816</v>
      </c>
      <c r="T18" s="28">
        <v>48623140647.147408</v>
      </c>
      <c r="U18" s="28">
        <v>361015748790.19403</v>
      </c>
      <c r="V18" s="28">
        <v>442906805662.85223</v>
      </c>
    </row>
    <row r="19" spans="1:22" ht="11.4" customHeight="1" x14ac:dyDescent="0.2">
      <c r="A19" s="27" t="s">
        <v>107</v>
      </c>
      <c r="B19" s="28" t="s">
        <v>35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324914580.18977106</v>
      </c>
      <c r="M19" s="28">
        <v>0</v>
      </c>
      <c r="N19" s="28">
        <v>0</v>
      </c>
      <c r="O19" s="28">
        <v>324914580.18977106</v>
      </c>
      <c r="P19" s="27" t="s">
        <v>107</v>
      </c>
      <c r="Q19" s="28" t="s">
        <v>35</v>
      </c>
      <c r="R19" s="28">
        <v>0</v>
      </c>
      <c r="S19" s="28">
        <v>0</v>
      </c>
      <c r="T19" s="28">
        <v>0</v>
      </c>
      <c r="U19" s="28">
        <v>324914580.18977106</v>
      </c>
      <c r="V19" s="28">
        <v>324914580.18977106</v>
      </c>
    </row>
    <row r="20" spans="1:22" ht="11.4" customHeight="1" x14ac:dyDescent="0.2">
      <c r="A20" s="27" t="s">
        <v>100</v>
      </c>
      <c r="B20" s="28" t="s">
        <v>28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803468034.85705554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803468034.85705554</v>
      </c>
      <c r="P20" s="27" t="s">
        <v>100</v>
      </c>
      <c r="Q20" s="28" t="s">
        <v>28</v>
      </c>
      <c r="R20" s="28">
        <v>803468034.85705554</v>
      </c>
      <c r="S20" s="28">
        <v>0</v>
      </c>
      <c r="T20" s="28">
        <v>0</v>
      </c>
      <c r="U20" s="28">
        <v>0</v>
      </c>
      <c r="V20" s="28">
        <v>803468034.85705554</v>
      </c>
    </row>
    <row r="21" spans="1:22" ht="11.4" customHeight="1" x14ac:dyDescent="0.2">
      <c r="A21" s="27" t="s">
        <v>108</v>
      </c>
      <c r="B21" s="28" t="s">
        <v>36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7" t="s">
        <v>108</v>
      </c>
      <c r="Q21" s="28" t="s">
        <v>36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</row>
    <row r="22" spans="1:22" ht="11.4" customHeight="1" x14ac:dyDescent="0.2">
      <c r="A22" s="27" t="s">
        <v>104</v>
      </c>
      <c r="B22" s="28" t="s">
        <v>32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14040000000</v>
      </c>
      <c r="M22" s="28">
        <v>6320092413.2354288</v>
      </c>
      <c r="N22" s="28">
        <v>0</v>
      </c>
      <c r="O22" s="28">
        <v>20360092413.235428</v>
      </c>
      <c r="P22" s="27" t="s">
        <v>104</v>
      </c>
      <c r="Q22" s="28" t="s">
        <v>32</v>
      </c>
      <c r="R22" s="28">
        <v>0</v>
      </c>
      <c r="S22" s="28">
        <v>2678005259.8455205</v>
      </c>
      <c r="T22" s="28">
        <v>3642087153.3899083</v>
      </c>
      <c r="U22" s="28">
        <v>14040000000</v>
      </c>
      <c r="V22" s="28">
        <v>20360092413.235428</v>
      </c>
    </row>
    <row r="23" spans="1:22" ht="11.4" customHeight="1" x14ac:dyDescent="0.2">
      <c r="A23" s="27" t="s">
        <v>105</v>
      </c>
      <c r="B23" s="28" t="s">
        <v>33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7" t="s">
        <v>105</v>
      </c>
      <c r="Q23" s="28" t="s">
        <v>33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</row>
    <row r="24" spans="1:22" ht="11.4" customHeight="1" x14ac:dyDescent="0.2">
      <c r="A24" s="27" t="s">
        <v>109</v>
      </c>
      <c r="B24" s="28" t="s">
        <v>37</v>
      </c>
      <c r="C24" s="28">
        <v>0</v>
      </c>
      <c r="D24" s="28">
        <v>0</v>
      </c>
      <c r="E24" s="28">
        <v>0</v>
      </c>
      <c r="F24" s="28">
        <v>2771433178.9888253</v>
      </c>
      <c r="G24" s="28">
        <v>2156068521.9779892</v>
      </c>
      <c r="H24" s="28">
        <v>0</v>
      </c>
      <c r="I24" s="28">
        <v>1208067948.4208343</v>
      </c>
      <c r="J24" s="28">
        <v>0</v>
      </c>
      <c r="K24" s="28">
        <v>0</v>
      </c>
      <c r="L24" s="28">
        <v>3446812609.6124225</v>
      </c>
      <c r="M24" s="28">
        <v>2391678777.6928959</v>
      </c>
      <c r="N24" s="28">
        <v>14939458927.365255</v>
      </c>
      <c r="O24" s="28">
        <v>26913519964.05822</v>
      </c>
      <c r="P24" s="27" t="s">
        <v>109</v>
      </c>
      <c r="Q24" s="28" t="s">
        <v>37</v>
      </c>
      <c r="R24" s="28">
        <v>9714036349.852869</v>
      </c>
      <c r="S24" s="28">
        <v>16900059372.000343</v>
      </c>
      <c r="T24" s="28">
        <v>299424242.20501131</v>
      </c>
      <c r="U24" s="28">
        <v>0</v>
      </c>
      <c r="V24" s="28">
        <v>26913519964.05822</v>
      </c>
    </row>
    <row r="25" spans="1:22" ht="11.4" customHeight="1" x14ac:dyDescent="0.2">
      <c r="A25" s="27" t="s">
        <v>96</v>
      </c>
      <c r="B25" s="28" t="s">
        <v>24</v>
      </c>
      <c r="C25" s="28">
        <v>0</v>
      </c>
      <c r="D25" s="28">
        <v>0</v>
      </c>
      <c r="E25" s="28">
        <v>0</v>
      </c>
      <c r="F25" s="28">
        <v>4299705898.0044346</v>
      </c>
      <c r="G25" s="28">
        <v>0</v>
      </c>
      <c r="H25" s="28">
        <v>0</v>
      </c>
      <c r="I25" s="28">
        <v>3706642083.5005493</v>
      </c>
      <c r="J25" s="28">
        <v>4609630600.8771935</v>
      </c>
      <c r="K25" s="28">
        <v>0</v>
      </c>
      <c r="L25" s="28">
        <v>0</v>
      </c>
      <c r="M25" s="28">
        <v>3912152666.157373</v>
      </c>
      <c r="N25" s="28">
        <v>2637448858.0979438</v>
      </c>
      <c r="O25" s="28">
        <v>19165580106.637493</v>
      </c>
      <c r="P25" s="27" t="s">
        <v>96</v>
      </c>
      <c r="Q25" s="28" t="s">
        <v>24</v>
      </c>
      <c r="R25" s="28">
        <v>3655889213.8916731</v>
      </c>
      <c r="S25" s="28">
        <v>15509690892.745821</v>
      </c>
      <c r="T25" s="28">
        <v>0</v>
      </c>
      <c r="U25" s="28">
        <v>0</v>
      </c>
      <c r="V25" s="28">
        <v>19165580106.637493</v>
      </c>
    </row>
    <row r="26" spans="1:22" ht="11.4" customHeight="1" x14ac:dyDescent="0.2">
      <c r="A26" s="27" t="s">
        <v>120</v>
      </c>
      <c r="B26" s="28" t="s">
        <v>48</v>
      </c>
      <c r="C26" s="28">
        <v>6677351050.6756411</v>
      </c>
      <c r="D26" s="28">
        <v>0</v>
      </c>
      <c r="E26" s="28">
        <v>73267971819.832138</v>
      </c>
      <c r="F26" s="28">
        <v>3440228041.3087277</v>
      </c>
      <c r="G26" s="28">
        <v>2377765170.8077016</v>
      </c>
      <c r="H26" s="28">
        <v>0</v>
      </c>
      <c r="I26" s="28">
        <v>9528866329.6642132</v>
      </c>
      <c r="J26" s="28">
        <v>14985169512.463606</v>
      </c>
      <c r="K26" s="28">
        <v>0</v>
      </c>
      <c r="L26" s="28">
        <v>6961634533.8210888</v>
      </c>
      <c r="M26" s="28">
        <v>2826204859.3393641</v>
      </c>
      <c r="N26" s="28">
        <v>9857048741.4609299</v>
      </c>
      <c r="O26" s="28">
        <v>129922240059.37344</v>
      </c>
      <c r="P26" s="27" t="s">
        <v>120</v>
      </c>
      <c r="Q26" s="28" t="s">
        <v>48</v>
      </c>
      <c r="R26" s="28">
        <v>38231783301.012131</v>
      </c>
      <c r="S26" s="28">
        <v>13396020024.61058</v>
      </c>
      <c r="T26" s="28">
        <v>76464500868.219589</v>
      </c>
      <c r="U26" s="28">
        <v>1829935865.5311427</v>
      </c>
      <c r="V26" s="28">
        <v>129922240059.37344</v>
      </c>
    </row>
    <row r="27" spans="1:22" ht="11.4" customHeight="1" x14ac:dyDescent="0.2">
      <c r="A27" s="27" t="s">
        <v>102</v>
      </c>
      <c r="B27" s="28" t="s">
        <v>30</v>
      </c>
      <c r="C27" s="28">
        <v>0</v>
      </c>
      <c r="D27" s="28">
        <v>0</v>
      </c>
      <c r="E27" s="28">
        <v>0</v>
      </c>
      <c r="F27" s="28">
        <v>49541267484.368996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49541267484.368996</v>
      </c>
      <c r="P27" s="27" t="s">
        <v>102</v>
      </c>
      <c r="Q27" s="28" t="s">
        <v>30</v>
      </c>
      <c r="R27" s="28">
        <v>0</v>
      </c>
      <c r="S27" s="28">
        <v>0</v>
      </c>
      <c r="T27" s="28">
        <v>49541267484.368996</v>
      </c>
      <c r="U27" s="28">
        <v>0</v>
      </c>
      <c r="V27" s="28">
        <v>49541267484.368996</v>
      </c>
    </row>
    <row r="28" spans="1:22" ht="11.4" customHeight="1" x14ac:dyDescent="0.2">
      <c r="A28" s="27" t="s">
        <v>98</v>
      </c>
      <c r="B28" s="28" t="s">
        <v>26</v>
      </c>
      <c r="C28" s="28">
        <v>34476813627.597542</v>
      </c>
      <c r="D28" s="28">
        <v>34198779762.236721</v>
      </c>
      <c r="E28" s="28">
        <v>2234588416.8144073</v>
      </c>
      <c r="F28" s="28">
        <v>0</v>
      </c>
      <c r="G28" s="28">
        <v>20909553717.367966</v>
      </c>
      <c r="H28" s="28">
        <v>0</v>
      </c>
      <c r="I28" s="28">
        <v>27132803786.234596</v>
      </c>
      <c r="J28" s="28">
        <v>67444162385.133644</v>
      </c>
      <c r="K28" s="28">
        <v>0</v>
      </c>
      <c r="L28" s="28">
        <v>12914540315.246101</v>
      </c>
      <c r="M28" s="28">
        <v>450000000</v>
      </c>
      <c r="N28" s="28">
        <v>8328488729.5984068</v>
      </c>
      <c r="O28" s="28">
        <v>208089730740.22937</v>
      </c>
      <c r="P28" s="27" t="s">
        <v>98</v>
      </c>
      <c r="Q28" s="28" t="s">
        <v>26</v>
      </c>
      <c r="R28" s="28">
        <v>31734771545.793114</v>
      </c>
      <c r="S28" s="28">
        <v>155365705303.80185</v>
      </c>
      <c r="T28" s="28">
        <v>1203884626.013304</v>
      </c>
      <c r="U28" s="28">
        <v>19785369264.621094</v>
      </c>
      <c r="V28" s="28">
        <v>208089730740.22937</v>
      </c>
    </row>
    <row r="29" spans="1:22" ht="11.4" customHeight="1" x14ac:dyDescent="0.2">
      <c r="A29" s="27" t="s">
        <v>93</v>
      </c>
      <c r="B29" s="28" t="s">
        <v>21</v>
      </c>
      <c r="C29" s="28">
        <v>0</v>
      </c>
      <c r="D29" s="28">
        <v>0</v>
      </c>
      <c r="E29" s="28">
        <v>0</v>
      </c>
      <c r="F29" s="28">
        <v>3342398580.9312592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3342398580.9312592</v>
      </c>
      <c r="P29" s="27" t="s">
        <v>93</v>
      </c>
      <c r="Q29" s="28" t="s">
        <v>21</v>
      </c>
      <c r="R29" s="28">
        <v>3342398580.9312592</v>
      </c>
      <c r="S29" s="28">
        <v>0</v>
      </c>
      <c r="T29" s="28">
        <v>0</v>
      </c>
      <c r="U29" s="28">
        <v>0</v>
      </c>
      <c r="V29" s="28">
        <v>3342398580.9312592</v>
      </c>
    </row>
    <row r="30" spans="1:22" ht="11.4" customHeight="1" x14ac:dyDescent="0.2">
      <c r="A30" s="27" t="s">
        <v>115</v>
      </c>
      <c r="B30" s="28" t="s">
        <v>43</v>
      </c>
      <c r="C30" s="28">
        <v>2066490302.1735628</v>
      </c>
      <c r="D30" s="28">
        <v>36200000</v>
      </c>
      <c r="E30" s="28">
        <v>8585668038.961215</v>
      </c>
      <c r="F30" s="28">
        <v>2614611273.8959122</v>
      </c>
      <c r="G30" s="28">
        <v>3746227094.2022166</v>
      </c>
      <c r="H30" s="28">
        <v>0</v>
      </c>
      <c r="I30" s="28">
        <v>709422438.91504705</v>
      </c>
      <c r="J30" s="28">
        <v>80697975.566188946</v>
      </c>
      <c r="K30" s="28">
        <v>3241645162.5043101</v>
      </c>
      <c r="L30" s="28">
        <v>66400000</v>
      </c>
      <c r="M30" s="28">
        <v>29615995069.208736</v>
      </c>
      <c r="N30" s="28">
        <v>123348825.6877898</v>
      </c>
      <c r="O30" s="28">
        <v>50886706181.114975</v>
      </c>
      <c r="P30" s="27" t="s">
        <v>115</v>
      </c>
      <c r="Q30" s="28" t="s">
        <v>43</v>
      </c>
      <c r="R30" s="28">
        <v>1570009288.6402576</v>
      </c>
      <c r="S30" s="28">
        <v>9517123307.9596806</v>
      </c>
      <c r="T30" s="28">
        <v>39799573584.515038</v>
      </c>
      <c r="U30" s="28">
        <v>0</v>
      </c>
      <c r="V30" s="28">
        <v>50886706181.114975</v>
      </c>
    </row>
    <row r="31" spans="1:22" ht="11.4" customHeight="1" x14ac:dyDescent="0.2">
      <c r="A31" s="27" t="s">
        <v>111</v>
      </c>
      <c r="B31" s="28" t="s">
        <v>39</v>
      </c>
      <c r="C31" s="28">
        <v>162000000</v>
      </c>
      <c r="D31" s="28">
        <v>139000000</v>
      </c>
      <c r="E31" s="28">
        <v>0</v>
      </c>
      <c r="F31" s="28">
        <v>1810114023.8634892</v>
      </c>
      <c r="G31" s="28">
        <v>10000000</v>
      </c>
      <c r="H31" s="28">
        <v>0</v>
      </c>
      <c r="I31" s="28">
        <v>1120071410.4129531</v>
      </c>
      <c r="J31" s="28">
        <v>628858122.8443017</v>
      </c>
      <c r="K31" s="28">
        <v>10620509207.499189</v>
      </c>
      <c r="L31" s="28">
        <v>1937959384.5957832</v>
      </c>
      <c r="M31" s="28">
        <v>26868219365.255497</v>
      </c>
      <c r="N31" s="28">
        <v>6552118327.4613485</v>
      </c>
      <c r="O31" s="28">
        <v>49848849841.932564</v>
      </c>
      <c r="P31" s="27" t="s">
        <v>111</v>
      </c>
      <c r="Q31" s="28" t="s">
        <v>39</v>
      </c>
      <c r="R31" s="28">
        <v>6056331054.6771708</v>
      </c>
      <c r="S31" s="28">
        <v>18726313414.089714</v>
      </c>
      <c r="T31" s="28">
        <v>0</v>
      </c>
      <c r="U31" s="28">
        <v>25066205373.165672</v>
      </c>
      <c r="V31" s="28">
        <v>49848849841.932556</v>
      </c>
    </row>
    <row r="32" spans="1:22" ht="11.4" customHeight="1" x14ac:dyDescent="0.2">
      <c r="A32" s="27" t="s">
        <v>118</v>
      </c>
      <c r="B32" s="28" t="s">
        <v>46</v>
      </c>
      <c r="C32" s="28">
        <v>0</v>
      </c>
      <c r="D32" s="28">
        <v>0</v>
      </c>
      <c r="E32" s="28">
        <v>0</v>
      </c>
      <c r="F32" s="28">
        <v>50000000</v>
      </c>
      <c r="G32" s="28">
        <v>260000000</v>
      </c>
      <c r="H32" s="28">
        <v>0</v>
      </c>
      <c r="I32" s="28">
        <v>0</v>
      </c>
      <c r="J32" s="28">
        <v>20576200994.075565</v>
      </c>
      <c r="K32" s="28">
        <v>0</v>
      </c>
      <c r="L32" s="28">
        <v>0</v>
      </c>
      <c r="M32" s="28">
        <v>60000000</v>
      </c>
      <c r="N32" s="28">
        <v>0</v>
      </c>
      <c r="O32" s="28">
        <v>20946200994.075565</v>
      </c>
      <c r="P32" s="27" t="s">
        <v>118</v>
      </c>
      <c r="Q32" s="28" t="s">
        <v>46</v>
      </c>
      <c r="R32" s="28">
        <v>436540389.13230807</v>
      </c>
      <c r="S32" s="28">
        <v>95245175.810685411</v>
      </c>
      <c r="T32" s="28">
        <v>8184763187.3112059</v>
      </c>
      <c r="U32" s="28">
        <v>12229652241.821365</v>
      </c>
      <c r="V32" s="28">
        <v>20946200994.075565</v>
      </c>
    </row>
    <row r="33" spans="1:22" ht="11.4" customHeight="1" x14ac:dyDescent="0.2">
      <c r="A33" s="27" t="s">
        <v>124</v>
      </c>
      <c r="B33" s="28" t="s">
        <v>52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4911987949.173502</v>
      </c>
      <c r="I33" s="28">
        <v>0</v>
      </c>
      <c r="J33" s="28">
        <v>0</v>
      </c>
      <c r="K33" s="28">
        <v>0</v>
      </c>
      <c r="L33" s="28">
        <v>72024220870.833374</v>
      </c>
      <c r="M33" s="28">
        <v>21122727878.687275</v>
      </c>
      <c r="N33" s="28">
        <v>4014203287.4176416</v>
      </c>
      <c r="O33" s="28">
        <v>102073139986.1118</v>
      </c>
      <c r="P33" s="27" t="s">
        <v>124</v>
      </c>
      <c r="Q33" s="28" t="s">
        <v>52</v>
      </c>
      <c r="R33" s="28">
        <v>4152162421.8664942</v>
      </c>
      <c r="S33" s="28">
        <v>17538129125.505817</v>
      </c>
      <c r="T33" s="28">
        <v>80382848438.739487</v>
      </c>
      <c r="U33" s="28">
        <v>0</v>
      </c>
      <c r="V33" s="28">
        <v>102073139986.1118</v>
      </c>
    </row>
    <row r="34" spans="1:22" ht="11.4" customHeight="1" x14ac:dyDescent="0.2">
      <c r="A34" s="27" t="s">
        <v>123</v>
      </c>
      <c r="B34" s="28" t="s">
        <v>51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7" t="s">
        <v>123</v>
      </c>
      <c r="Q34" s="28" t="s">
        <v>51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</row>
    <row r="35" spans="1:22" ht="11.4" customHeight="1" x14ac:dyDescent="0.2">
      <c r="A35" s="27" t="s">
        <v>126</v>
      </c>
      <c r="B35" s="28" t="s">
        <v>54</v>
      </c>
      <c r="C35" s="28">
        <v>0</v>
      </c>
      <c r="D35" s="28">
        <v>0</v>
      </c>
      <c r="E35" s="28">
        <v>0</v>
      </c>
      <c r="F35" s="28">
        <v>4591034187.6668243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1030000000</v>
      </c>
      <c r="M35" s="28">
        <v>0</v>
      </c>
      <c r="N35" s="28">
        <v>1640000000</v>
      </c>
      <c r="O35" s="28">
        <v>7261034187.6668243</v>
      </c>
      <c r="P35" s="27" t="s">
        <v>126</v>
      </c>
      <c r="Q35" s="28" t="s">
        <v>54</v>
      </c>
      <c r="R35" s="28">
        <v>7261034187.6668243</v>
      </c>
      <c r="S35" s="28">
        <v>0</v>
      </c>
      <c r="T35" s="28">
        <v>0</v>
      </c>
      <c r="U35" s="28">
        <v>0</v>
      </c>
      <c r="V35" s="28">
        <v>7261034187.6668243</v>
      </c>
    </row>
    <row r="36" spans="1:22" ht="11.4" customHeight="1" x14ac:dyDescent="0.2">
      <c r="A36" s="27" t="s">
        <v>129</v>
      </c>
      <c r="B36" s="28" t="s">
        <v>57</v>
      </c>
      <c r="C36" s="28">
        <v>1972760655.7377059</v>
      </c>
      <c r="D36" s="28">
        <v>4838337077.5100384</v>
      </c>
      <c r="E36" s="28">
        <v>48090243976.32</v>
      </c>
      <c r="F36" s="28">
        <v>1111992904.6563194</v>
      </c>
      <c r="G36" s="28">
        <v>612529411.76470578</v>
      </c>
      <c r="H36" s="28">
        <v>0</v>
      </c>
      <c r="I36" s="28">
        <v>1406069060.9998472</v>
      </c>
      <c r="J36" s="28">
        <v>4206594561.8142385</v>
      </c>
      <c r="K36" s="28">
        <v>4354211759.0275812</v>
      </c>
      <c r="L36" s="28">
        <v>20654539288.772064</v>
      </c>
      <c r="M36" s="28">
        <v>145776070339.68637</v>
      </c>
      <c r="N36" s="28">
        <v>3960237638.1517782</v>
      </c>
      <c r="O36" s="28">
        <v>236983586674.44064</v>
      </c>
      <c r="P36" s="27" t="s">
        <v>129</v>
      </c>
      <c r="Q36" s="28" t="s">
        <v>57</v>
      </c>
      <c r="R36" s="28">
        <v>2403652431.2815094</v>
      </c>
      <c r="S36" s="28">
        <v>23041458897.950954</v>
      </c>
      <c r="T36" s="28">
        <v>23120268599.720535</v>
      </c>
      <c r="U36" s="28">
        <v>188418206745.48764</v>
      </c>
      <c r="V36" s="28">
        <v>236983586674.44064</v>
      </c>
    </row>
    <row r="37" spans="1:22" ht="11.4" customHeight="1" x14ac:dyDescent="0.2">
      <c r="A37" s="27" t="s">
        <v>128</v>
      </c>
      <c r="B37" s="28" t="s">
        <v>56</v>
      </c>
      <c r="C37" s="28">
        <v>0</v>
      </c>
      <c r="D37" s="28">
        <v>3118168120.7415881</v>
      </c>
      <c r="E37" s="28">
        <v>0</v>
      </c>
      <c r="F37" s="28">
        <v>4726848391.8731441</v>
      </c>
      <c r="G37" s="28">
        <v>4730132048.9233255</v>
      </c>
      <c r="H37" s="28">
        <v>4717481490.8243484</v>
      </c>
      <c r="I37" s="28">
        <v>1853572901.7262249</v>
      </c>
      <c r="J37" s="28">
        <v>12898271432.11878</v>
      </c>
      <c r="K37" s="28">
        <v>9536919882.3274498</v>
      </c>
      <c r="L37" s="28">
        <v>3680965103.191741</v>
      </c>
      <c r="M37" s="28">
        <v>4865169848.5862083</v>
      </c>
      <c r="N37" s="28">
        <v>4097751854.3626218</v>
      </c>
      <c r="O37" s="28">
        <v>54225281074.675446</v>
      </c>
      <c r="P37" s="27" t="s">
        <v>128</v>
      </c>
      <c r="Q37" s="28" t="s">
        <v>56</v>
      </c>
      <c r="R37" s="28">
        <v>8685643853.0319633</v>
      </c>
      <c r="S37" s="28">
        <v>8638988667.2641449</v>
      </c>
      <c r="T37" s="28">
        <v>36868158518.859528</v>
      </c>
      <c r="U37" s="28">
        <v>32490035.519811373</v>
      </c>
      <c r="V37" s="28">
        <v>54225281074.675453</v>
      </c>
    </row>
    <row r="38" spans="1:22" ht="11.4" customHeight="1" x14ac:dyDescent="0.2">
      <c r="A38" s="27" t="s">
        <v>127</v>
      </c>
      <c r="B38" s="28" t="s">
        <v>55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6943389635.4278154</v>
      </c>
      <c r="J38" s="28">
        <v>0</v>
      </c>
      <c r="K38" s="28">
        <v>0</v>
      </c>
      <c r="L38" s="28">
        <v>13479828185.330667</v>
      </c>
      <c r="M38" s="28">
        <v>0</v>
      </c>
      <c r="N38" s="28">
        <v>578000000</v>
      </c>
      <c r="O38" s="28">
        <v>21001217820.758484</v>
      </c>
      <c r="P38" s="27" t="s">
        <v>127</v>
      </c>
      <c r="Q38" s="28" t="s">
        <v>55</v>
      </c>
      <c r="R38" s="28">
        <v>6377499166.7372141</v>
      </c>
      <c r="S38" s="28">
        <v>14623718654.021269</v>
      </c>
      <c r="T38" s="28">
        <v>0</v>
      </c>
      <c r="U38" s="28">
        <v>0</v>
      </c>
      <c r="V38" s="28">
        <v>21001217820.758484</v>
      </c>
    </row>
    <row r="39" spans="1:22" ht="11.4" customHeight="1" x14ac:dyDescent="0.2">
      <c r="A39" s="27" t="s">
        <v>125</v>
      </c>
      <c r="B39" s="28" t="s">
        <v>53</v>
      </c>
      <c r="C39" s="28">
        <v>0</v>
      </c>
      <c r="D39" s="28">
        <v>1416246695.5621688</v>
      </c>
      <c r="E39" s="28">
        <v>0</v>
      </c>
      <c r="F39" s="28">
        <v>938630873.97062707</v>
      </c>
      <c r="G39" s="28">
        <v>400000000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10750983496.852762</v>
      </c>
      <c r="O39" s="28">
        <v>13505861066.385559</v>
      </c>
      <c r="P39" s="27" t="s">
        <v>125</v>
      </c>
      <c r="Q39" s="28" t="s">
        <v>53</v>
      </c>
      <c r="R39" s="28">
        <v>11898608438.618839</v>
      </c>
      <c r="S39" s="28">
        <v>1607252627.7667208</v>
      </c>
      <c r="T39" s="28">
        <v>0</v>
      </c>
      <c r="U39" s="28">
        <v>0</v>
      </c>
      <c r="V39" s="28">
        <v>13505861066.385559</v>
      </c>
    </row>
    <row r="40" spans="1:22" ht="11.4" customHeight="1" x14ac:dyDescent="0.2">
      <c r="A40" s="27" t="s">
        <v>130</v>
      </c>
      <c r="B40" s="28" t="s">
        <v>58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10778328285.192001</v>
      </c>
      <c r="M40" s="28">
        <v>18201766492.873951</v>
      </c>
      <c r="N40" s="28">
        <v>0</v>
      </c>
      <c r="O40" s="28">
        <v>28980094778.065952</v>
      </c>
      <c r="P40" s="27" t="s">
        <v>130</v>
      </c>
      <c r="Q40" s="28" t="s">
        <v>58</v>
      </c>
      <c r="R40" s="28">
        <v>0</v>
      </c>
      <c r="S40" s="28">
        <v>971746011.13279235</v>
      </c>
      <c r="T40" s="28">
        <v>14736307258.02243</v>
      </c>
      <c r="U40" s="28">
        <v>13272041508.91073</v>
      </c>
      <c r="V40" s="28">
        <v>28980094778.065952</v>
      </c>
    </row>
    <row r="41" spans="1:22" ht="11.4" customHeight="1" x14ac:dyDescent="0.2">
      <c r="A41" s="27" t="s">
        <v>122</v>
      </c>
      <c r="B41" s="28" t="s">
        <v>50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14179564570.880655</v>
      </c>
      <c r="M41" s="28">
        <v>0</v>
      </c>
      <c r="N41" s="28">
        <v>0</v>
      </c>
      <c r="O41" s="28">
        <v>14179564570.880655</v>
      </c>
      <c r="P41" s="27" t="s">
        <v>122</v>
      </c>
      <c r="Q41" s="28" t="s">
        <v>50</v>
      </c>
      <c r="R41" s="28">
        <v>4844121251.6704502</v>
      </c>
      <c r="S41" s="28">
        <v>9335443319.2102032</v>
      </c>
      <c r="T41" s="28">
        <v>0</v>
      </c>
      <c r="U41" s="28">
        <v>0</v>
      </c>
      <c r="V41" s="28">
        <v>14179564570.880653</v>
      </c>
    </row>
    <row r="42" spans="1:22" ht="11.4" customHeight="1" x14ac:dyDescent="0.2">
      <c r="A42" s="31"/>
      <c r="B42" s="32" t="s">
        <v>59</v>
      </c>
      <c r="C42" s="28">
        <v>47355740785.846725</v>
      </c>
      <c r="D42" s="28">
        <v>59360996508.316147</v>
      </c>
      <c r="E42" s="28">
        <v>596564048914.05054</v>
      </c>
      <c r="F42" s="28">
        <v>188779757543.83505</v>
      </c>
      <c r="G42" s="28">
        <v>54836501229.29631</v>
      </c>
      <c r="H42" s="28">
        <v>25898872346.743729</v>
      </c>
      <c r="I42" s="28">
        <v>72726969081.618942</v>
      </c>
      <c r="J42" s="28">
        <v>182998865380.2027</v>
      </c>
      <c r="K42" s="28">
        <v>436924767983.41052</v>
      </c>
      <c r="L42" s="28">
        <v>226096621928.75949</v>
      </c>
      <c r="M42" s="28">
        <v>835006489020.76282</v>
      </c>
      <c r="N42" s="28">
        <v>267992778608.44162</v>
      </c>
      <c r="O42" s="28">
        <v>2994542409331.2842</v>
      </c>
      <c r="P42" s="31"/>
      <c r="Q42" s="32" t="s">
        <v>59</v>
      </c>
      <c r="R42" s="28">
        <v>384563901462.4809</v>
      </c>
      <c r="S42" s="28">
        <v>419087634534.60657</v>
      </c>
      <c r="T42" s="28">
        <v>646817739920.05444</v>
      </c>
      <c r="U42" s="28">
        <v>1544073133414.1428</v>
      </c>
      <c r="V42" s="28">
        <v>2994542409331.2847</v>
      </c>
    </row>
    <row r="43" spans="1:22" ht="11.4" customHeight="1" x14ac:dyDescent="0.2">
      <c r="O43" s="65">
        <v>2958974209331.2847</v>
      </c>
    </row>
    <row r="47" spans="1:22" ht="11.4" customHeight="1" x14ac:dyDescent="0.2">
      <c r="B47" s="63" t="s">
        <v>373</v>
      </c>
    </row>
    <row r="48" spans="1:22" ht="11.4" customHeight="1" x14ac:dyDescent="0.2">
      <c r="B48" s="63" t="s">
        <v>374</v>
      </c>
    </row>
    <row r="51" spans="1:4" ht="11.4" customHeight="1" x14ac:dyDescent="0.25">
      <c r="A51" s="67" t="s">
        <v>0</v>
      </c>
      <c r="B51" s="67" t="s">
        <v>4</v>
      </c>
      <c r="C51" s="33" t="s">
        <v>400</v>
      </c>
      <c r="D51" s="21"/>
    </row>
    <row r="52" spans="1:4" ht="11.4" customHeight="1" x14ac:dyDescent="0.25">
      <c r="A52" s="72">
        <v>1</v>
      </c>
      <c r="B52" s="69" t="s">
        <v>9</v>
      </c>
      <c r="C52" s="34">
        <f>C42</f>
        <v>47355740785.846725</v>
      </c>
      <c r="D52" s="18"/>
    </row>
    <row r="53" spans="1:4" ht="11.4" customHeight="1" x14ac:dyDescent="0.25">
      <c r="A53" s="72">
        <v>2</v>
      </c>
      <c r="B53" s="69" t="s">
        <v>10</v>
      </c>
      <c r="C53" s="34">
        <f>D42</f>
        <v>59360996508.316147</v>
      </c>
      <c r="D53" s="18"/>
    </row>
    <row r="54" spans="1:4" ht="11.4" customHeight="1" x14ac:dyDescent="0.25">
      <c r="A54" s="72">
        <v>3</v>
      </c>
      <c r="B54" s="69" t="s">
        <v>11</v>
      </c>
      <c r="C54" s="34">
        <f>E42</f>
        <v>596564048914.05054</v>
      </c>
      <c r="D54" s="18"/>
    </row>
    <row r="55" spans="1:4" ht="11.4" customHeight="1" x14ac:dyDescent="0.25">
      <c r="A55" s="72">
        <v>4</v>
      </c>
      <c r="B55" s="69" t="s">
        <v>12</v>
      </c>
      <c r="C55" s="34">
        <f>F42</f>
        <v>188779757543.83505</v>
      </c>
      <c r="D55" s="18"/>
    </row>
    <row r="56" spans="1:4" ht="11.4" customHeight="1" x14ac:dyDescent="0.25">
      <c r="A56" s="72">
        <v>5</v>
      </c>
      <c r="B56" s="69" t="s">
        <v>13</v>
      </c>
      <c r="C56" s="34">
        <f>G42</f>
        <v>54836501229.29631</v>
      </c>
      <c r="D56" s="18"/>
    </row>
    <row r="57" spans="1:4" ht="11.4" customHeight="1" x14ac:dyDescent="0.25">
      <c r="A57" s="72">
        <v>6</v>
      </c>
      <c r="B57" s="69" t="s">
        <v>14</v>
      </c>
      <c r="C57" s="34">
        <f>H42</f>
        <v>25898872346.743729</v>
      </c>
      <c r="D57" s="18"/>
    </row>
    <row r="58" spans="1:4" ht="11.4" customHeight="1" x14ac:dyDescent="0.25">
      <c r="A58" s="72">
        <v>7</v>
      </c>
      <c r="B58" s="69" t="s">
        <v>15</v>
      </c>
      <c r="C58" s="34">
        <f>I42</f>
        <v>72726969081.618942</v>
      </c>
      <c r="D58" s="18"/>
    </row>
    <row r="59" spans="1:4" ht="11.4" customHeight="1" x14ac:dyDescent="0.25">
      <c r="A59" s="72">
        <v>8</v>
      </c>
      <c r="B59" s="69" t="s">
        <v>19</v>
      </c>
      <c r="C59" s="34">
        <f>J42</f>
        <v>182998865380.2027</v>
      </c>
      <c r="D59" s="18"/>
    </row>
    <row r="60" spans="1:4" ht="11.4" customHeight="1" x14ac:dyDescent="0.25">
      <c r="A60" s="72">
        <v>9</v>
      </c>
      <c r="B60" s="69" t="s">
        <v>17</v>
      </c>
      <c r="C60" s="34">
        <f>K42</f>
        <v>436924767983.41052</v>
      </c>
      <c r="D60" s="18"/>
    </row>
    <row r="61" spans="1:4" ht="11.4" customHeight="1" x14ac:dyDescent="0.25">
      <c r="A61" s="72">
        <v>10</v>
      </c>
      <c r="B61" s="69" t="s">
        <v>18</v>
      </c>
      <c r="C61" s="34">
        <f>L42</f>
        <v>226096621928.75949</v>
      </c>
      <c r="D61" s="18"/>
    </row>
    <row r="62" spans="1:4" ht="11.4" customHeight="1" x14ac:dyDescent="0.25">
      <c r="A62" s="72">
        <v>11</v>
      </c>
      <c r="B62" s="69" t="s">
        <v>20</v>
      </c>
      <c r="C62" s="34">
        <f>M42</f>
        <v>835006489020.76282</v>
      </c>
      <c r="D62" s="18"/>
    </row>
    <row r="63" spans="1:4" ht="11.4" customHeight="1" x14ac:dyDescent="0.25">
      <c r="A63" s="72">
        <v>12</v>
      </c>
      <c r="B63" s="69" t="s">
        <v>16</v>
      </c>
      <c r="C63" s="34">
        <f>N42</f>
        <v>267992778608.44162</v>
      </c>
      <c r="D63" s="18"/>
    </row>
    <row r="64" spans="1:4" ht="11.4" customHeight="1" x14ac:dyDescent="0.25">
      <c r="A64" s="72"/>
      <c r="B64" s="69" t="s">
        <v>400</v>
      </c>
      <c r="C64" s="34">
        <f>O42</f>
        <v>2994542409331.2842</v>
      </c>
      <c r="D64" s="51">
        <f>SUM(C52:C63)</f>
        <v>2994542409331.2847</v>
      </c>
    </row>
    <row r="65" spans="1:4" ht="11.4" customHeight="1" x14ac:dyDescent="0.25">
      <c r="A65" s="71"/>
      <c r="B65" s="66"/>
      <c r="C65" s="36"/>
      <c r="D65" s="18"/>
    </row>
    <row r="66" spans="1:4" ht="11.4" customHeight="1" x14ac:dyDescent="0.25">
      <c r="A66" s="75"/>
      <c r="B66" s="75"/>
      <c r="C66" s="75"/>
      <c r="D66" s="18"/>
    </row>
    <row r="67" spans="1:4" ht="11.4" customHeight="1" x14ac:dyDescent="0.25">
      <c r="A67" s="67" t="s">
        <v>0</v>
      </c>
      <c r="B67" s="67" t="s">
        <v>2</v>
      </c>
      <c r="C67" s="33" t="s">
        <v>400</v>
      </c>
      <c r="D67" s="21"/>
    </row>
    <row r="68" spans="1:4" ht="11.4" customHeight="1" x14ac:dyDescent="0.25">
      <c r="A68" s="72">
        <v>1</v>
      </c>
      <c r="B68" s="69" t="s">
        <v>5</v>
      </c>
      <c r="C68" s="34">
        <f>R42</f>
        <v>384563901462.4809</v>
      </c>
      <c r="D68" s="18"/>
    </row>
    <row r="69" spans="1:4" ht="11.4" customHeight="1" x14ac:dyDescent="0.25">
      <c r="A69" s="72">
        <v>2</v>
      </c>
      <c r="B69" s="69" t="s">
        <v>6</v>
      </c>
      <c r="C69" s="34">
        <f>S42</f>
        <v>419087634534.60657</v>
      </c>
      <c r="D69" s="18"/>
    </row>
    <row r="70" spans="1:4" ht="11.4" customHeight="1" x14ac:dyDescent="0.25">
      <c r="A70" s="72">
        <v>3</v>
      </c>
      <c r="B70" s="69" t="s">
        <v>7</v>
      </c>
      <c r="C70" s="34">
        <f>T42</f>
        <v>646817739920.05444</v>
      </c>
      <c r="D70" s="18"/>
    </row>
    <row r="71" spans="1:4" ht="11.4" customHeight="1" x14ac:dyDescent="0.25">
      <c r="A71" s="72">
        <v>4</v>
      </c>
      <c r="B71" s="69" t="s">
        <v>8</v>
      </c>
      <c r="C71" s="34">
        <f>U42</f>
        <v>1544073133414.1428</v>
      </c>
      <c r="D71" s="18"/>
    </row>
    <row r="72" spans="1:4" ht="11.4" customHeight="1" x14ac:dyDescent="0.25">
      <c r="A72" s="72"/>
      <c r="B72" s="69" t="s">
        <v>400</v>
      </c>
      <c r="C72" s="34">
        <f>V42</f>
        <v>2994542409331.2847</v>
      </c>
      <c r="D72" s="51">
        <f>SUM(C68:C71)</f>
        <v>2994542409331.2847</v>
      </c>
    </row>
  </sheetData>
  <mergeCells count="10">
    <mergeCell ref="A1:O1"/>
    <mergeCell ref="P1:V1"/>
    <mergeCell ref="A2:A3"/>
    <mergeCell ref="B2:B3"/>
    <mergeCell ref="C2:N2"/>
    <mergeCell ref="O2:O3"/>
    <mergeCell ref="P2:P3"/>
    <mergeCell ref="Q2:Q3"/>
    <mergeCell ref="R2:U2"/>
    <mergeCell ref="V2:V3"/>
  </mergeCells>
  <pageMargins left="0.31496062992125984" right="0" top="0.59055118110236227" bottom="0.35433070866141736" header="0.31496062992125984" footer="0.31496062992125984"/>
  <pageSetup paperSize="9" scale="70" firstPageNumber="192" orientation="landscape" useFirstPageNumber="1" r:id="rId1"/>
  <headerFooter>
    <oddFooter>&amp;C&amp;P</oddFooter>
  </headerFooter>
  <colBreaks count="1" manualBreakCount="1">
    <brk id="1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6D55F-E2A6-4B55-ABD0-6FB1E2429EED}">
  <dimension ref="A1:V72"/>
  <sheetViews>
    <sheetView view="pageBreakPreview" zoomScale="55" zoomScaleNormal="55" zoomScaleSheetLayoutView="55" workbookViewId="0">
      <selection activeCell="N50" sqref="N50"/>
    </sheetView>
  </sheetViews>
  <sheetFormatPr defaultColWidth="19.21875" defaultRowHeight="11.4" customHeight="1" x14ac:dyDescent="0.2"/>
  <cols>
    <col min="1" max="1" width="6" style="64" bestFit="1" customWidth="1"/>
    <col min="2" max="2" width="15.88671875" style="63" customWidth="1"/>
    <col min="3" max="15" width="13.21875" style="63" customWidth="1"/>
    <col min="16" max="16" width="6" style="64" bestFit="1" customWidth="1"/>
    <col min="17" max="17" width="44.44140625" style="63" customWidth="1"/>
    <col min="18" max="22" width="14" style="63" customWidth="1"/>
    <col min="23" max="16384" width="19.21875" style="63"/>
  </cols>
  <sheetData>
    <row r="1" spans="1:22" s="58" customFormat="1" ht="23.4" customHeight="1" x14ac:dyDescent="0.2">
      <c r="A1" s="102" t="s">
        <v>375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 t="s">
        <v>376</v>
      </c>
      <c r="Q1" s="102"/>
      <c r="R1" s="102"/>
      <c r="S1" s="102"/>
      <c r="T1" s="102"/>
      <c r="U1" s="102"/>
      <c r="V1" s="102"/>
    </row>
    <row r="2" spans="1:22" s="59" customFormat="1" ht="11.4" customHeight="1" x14ac:dyDescent="0.3">
      <c r="A2" s="103" t="s">
        <v>0</v>
      </c>
      <c r="B2" s="105" t="s">
        <v>1</v>
      </c>
      <c r="C2" s="107" t="s">
        <v>4</v>
      </c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05" t="s">
        <v>3</v>
      </c>
      <c r="P2" s="103" t="s">
        <v>0</v>
      </c>
      <c r="Q2" s="103" t="s">
        <v>1</v>
      </c>
      <c r="R2" s="110" t="s">
        <v>2</v>
      </c>
      <c r="S2" s="111"/>
      <c r="T2" s="111"/>
      <c r="U2" s="112"/>
      <c r="V2" s="103" t="s">
        <v>66</v>
      </c>
    </row>
    <row r="3" spans="1:22" s="59" customFormat="1" ht="43.8" customHeight="1" x14ac:dyDescent="0.3">
      <c r="A3" s="104"/>
      <c r="B3" s="106"/>
      <c r="C3" s="60" t="s">
        <v>9</v>
      </c>
      <c r="D3" s="60" t="s">
        <v>10</v>
      </c>
      <c r="E3" s="60" t="s">
        <v>11</v>
      </c>
      <c r="F3" s="60" t="s">
        <v>12</v>
      </c>
      <c r="G3" s="61" t="s">
        <v>13</v>
      </c>
      <c r="H3" s="61" t="s">
        <v>14</v>
      </c>
      <c r="I3" s="61" t="s">
        <v>131</v>
      </c>
      <c r="J3" s="61" t="s">
        <v>135</v>
      </c>
      <c r="K3" s="61" t="s">
        <v>17</v>
      </c>
      <c r="L3" s="61" t="s">
        <v>275</v>
      </c>
      <c r="M3" s="61" t="s">
        <v>19</v>
      </c>
      <c r="N3" s="61" t="s">
        <v>133</v>
      </c>
      <c r="O3" s="106"/>
      <c r="P3" s="104"/>
      <c r="Q3" s="104"/>
      <c r="R3" s="62" t="s">
        <v>5</v>
      </c>
      <c r="S3" s="62" t="s">
        <v>6</v>
      </c>
      <c r="T3" s="62" t="s">
        <v>7</v>
      </c>
      <c r="U3" s="62" t="s">
        <v>8</v>
      </c>
      <c r="V3" s="104"/>
    </row>
    <row r="4" spans="1:22" ht="11.4" customHeight="1" x14ac:dyDescent="0.2">
      <c r="A4" s="27" t="s">
        <v>110</v>
      </c>
      <c r="B4" s="28" t="s">
        <v>38</v>
      </c>
      <c r="C4" s="28">
        <v>264945900</v>
      </c>
      <c r="D4" s="28">
        <v>2933910150</v>
      </c>
      <c r="E4" s="28">
        <v>10110100</v>
      </c>
      <c r="F4" s="28">
        <v>79089850</v>
      </c>
      <c r="G4" s="28">
        <v>1175921244.5</v>
      </c>
      <c r="H4" s="28">
        <v>0</v>
      </c>
      <c r="I4" s="28">
        <v>123347100</v>
      </c>
      <c r="J4" s="28">
        <v>61362849.999999993</v>
      </c>
      <c r="K4" s="28">
        <v>8271899.9999999991</v>
      </c>
      <c r="L4" s="28">
        <v>438998070</v>
      </c>
      <c r="M4" s="28">
        <v>408264219.99999994</v>
      </c>
      <c r="N4" s="28">
        <v>205685724.99999997</v>
      </c>
      <c r="O4" s="28">
        <v>5709907109.5</v>
      </c>
      <c r="P4" s="27" t="s">
        <v>110</v>
      </c>
      <c r="Q4" s="28" t="s">
        <v>38</v>
      </c>
      <c r="R4" s="28">
        <v>2883457929.9115124</v>
      </c>
      <c r="S4" s="28">
        <v>1567950933.8893781</v>
      </c>
      <c r="T4" s="28">
        <v>1258498245.6991096</v>
      </c>
      <c r="U4" s="28">
        <v>0</v>
      </c>
      <c r="V4" s="28">
        <v>5709907109.5</v>
      </c>
    </row>
    <row r="5" spans="1:22" ht="11.4" customHeight="1" x14ac:dyDescent="0.2">
      <c r="A5" s="27" t="s">
        <v>113</v>
      </c>
      <c r="B5" s="28" t="s">
        <v>41</v>
      </c>
      <c r="C5" s="28">
        <v>0</v>
      </c>
      <c r="D5" s="28">
        <v>3149987404.9999995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228892770</v>
      </c>
      <c r="M5" s="28">
        <v>87841550</v>
      </c>
      <c r="N5" s="28">
        <v>216838195</v>
      </c>
      <c r="O5" s="28">
        <v>3683559919.9999995</v>
      </c>
      <c r="P5" s="27" t="s">
        <v>113</v>
      </c>
      <c r="Q5" s="28" t="s">
        <v>41</v>
      </c>
      <c r="R5" s="28">
        <v>245480576.71802393</v>
      </c>
      <c r="S5" s="28">
        <v>3438079343.2819757</v>
      </c>
      <c r="T5" s="28">
        <v>0</v>
      </c>
      <c r="U5" s="28">
        <v>0</v>
      </c>
      <c r="V5" s="28">
        <v>3683559919.9999995</v>
      </c>
    </row>
    <row r="6" spans="1:22" ht="11.4" customHeight="1" x14ac:dyDescent="0.2">
      <c r="A6" s="27" t="s">
        <v>119</v>
      </c>
      <c r="B6" s="28" t="s">
        <v>47</v>
      </c>
      <c r="C6" s="28">
        <v>0</v>
      </c>
      <c r="D6" s="28">
        <v>83000000</v>
      </c>
      <c r="E6" s="28">
        <v>0</v>
      </c>
      <c r="F6" s="28">
        <v>2634301000</v>
      </c>
      <c r="G6" s="28">
        <v>0</v>
      </c>
      <c r="H6" s="28">
        <v>0</v>
      </c>
      <c r="I6" s="28">
        <v>940695808</v>
      </c>
      <c r="J6" s="28">
        <v>260932500</v>
      </c>
      <c r="K6" s="28">
        <v>0</v>
      </c>
      <c r="L6" s="28">
        <v>6000000</v>
      </c>
      <c r="M6" s="28">
        <v>454590700</v>
      </c>
      <c r="N6" s="28">
        <v>1381536767</v>
      </c>
      <c r="O6" s="28">
        <v>5761056775</v>
      </c>
      <c r="P6" s="27" t="s">
        <v>119</v>
      </c>
      <c r="Q6" s="28" t="s">
        <v>47</v>
      </c>
      <c r="R6" s="28">
        <v>1748219359.5845981</v>
      </c>
      <c r="S6" s="28">
        <v>1061857635.9619672</v>
      </c>
      <c r="T6" s="28">
        <v>2950979779.4534349</v>
      </c>
      <c r="U6" s="28">
        <v>0</v>
      </c>
      <c r="V6" s="28">
        <v>5761056775</v>
      </c>
    </row>
    <row r="7" spans="1:22" ht="11.4" customHeight="1" x14ac:dyDescent="0.2">
      <c r="A7" s="27" t="s">
        <v>121</v>
      </c>
      <c r="B7" s="28" t="s">
        <v>49</v>
      </c>
      <c r="C7" s="28">
        <v>0</v>
      </c>
      <c r="D7" s="28">
        <v>0</v>
      </c>
      <c r="E7" s="28">
        <v>843370000</v>
      </c>
      <c r="F7" s="28">
        <v>51673000</v>
      </c>
      <c r="G7" s="28">
        <v>90123500</v>
      </c>
      <c r="H7" s="28">
        <v>0</v>
      </c>
      <c r="I7" s="28">
        <v>2246396700</v>
      </c>
      <c r="J7" s="28">
        <v>0</v>
      </c>
      <c r="K7" s="28">
        <v>0</v>
      </c>
      <c r="L7" s="28">
        <v>108472959</v>
      </c>
      <c r="M7" s="28">
        <v>475508600</v>
      </c>
      <c r="N7" s="28">
        <v>3683826572.9999995</v>
      </c>
      <c r="O7" s="28">
        <v>7499371332</v>
      </c>
      <c r="P7" s="27" t="s">
        <v>121</v>
      </c>
      <c r="Q7" s="28" t="s">
        <v>49</v>
      </c>
      <c r="R7" s="28">
        <v>4304061662.6162252</v>
      </c>
      <c r="S7" s="28">
        <v>3173770675.9939284</v>
      </c>
      <c r="T7" s="28">
        <v>21538993.389846817</v>
      </c>
      <c r="U7" s="28">
        <v>0</v>
      </c>
      <c r="V7" s="28">
        <v>7499371332</v>
      </c>
    </row>
    <row r="8" spans="1:22" ht="11.4" customHeight="1" x14ac:dyDescent="0.2">
      <c r="A8" s="27" t="s">
        <v>95</v>
      </c>
      <c r="B8" s="28" t="s">
        <v>23</v>
      </c>
      <c r="C8" s="28">
        <v>0</v>
      </c>
      <c r="D8" s="28">
        <v>0</v>
      </c>
      <c r="E8" s="28">
        <v>0</v>
      </c>
      <c r="F8" s="28">
        <v>0</v>
      </c>
      <c r="G8" s="28">
        <v>57500000</v>
      </c>
      <c r="H8" s="28">
        <v>0</v>
      </c>
      <c r="I8" s="28">
        <v>829214899.99999988</v>
      </c>
      <c r="J8" s="28">
        <v>0</v>
      </c>
      <c r="K8" s="28">
        <v>18382000</v>
      </c>
      <c r="L8" s="28">
        <v>446219699.99999994</v>
      </c>
      <c r="M8" s="28">
        <v>4989442550</v>
      </c>
      <c r="N8" s="28">
        <v>11230756024.999998</v>
      </c>
      <c r="O8" s="28">
        <v>17571515175</v>
      </c>
      <c r="P8" s="27" t="s">
        <v>95</v>
      </c>
      <c r="Q8" s="28" t="s">
        <v>23</v>
      </c>
      <c r="R8" s="28">
        <v>2222286322.5478277</v>
      </c>
      <c r="S8" s="28">
        <v>14372721625.14345</v>
      </c>
      <c r="T8" s="28">
        <v>976507227.30872357</v>
      </c>
      <c r="U8" s="28">
        <v>0</v>
      </c>
      <c r="V8" s="28">
        <v>17571515175</v>
      </c>
    </row>
    <row r="9" spans="1:22" ht="11.4" customHeight="1" x14ac:dyDescent="0.2">
      <c r="A9" s="27" t="s">
        <v>101</v>
      </c>
      <c r="B9" s="28" t="s">
        <v>29</v>
      </c>
      <c r="C9" s="28">
        <v>0</v>
      </c>
      <c r="D9" s="28">
        <v>422202000</v>
      </c>
      <c r="E9" s="28">
        <v>0</v>
      </c>
      <c r="F9" s="28">
        <v>0</v>
      </c>
      <c r="G9" s="28">
        <v>0</v>
      </c>
      <c r="H9" s="28">
        <v>0</v>
      </c>
      <c r="I9" s="28">
        <v>65000000</v>
      </c>
      <c r="J9" s="28">
        <v>0</v>
      </c>
      <c r="K9" s="28">
        <v>0</v>
      </c>
      <c r="L9" s="28">
        <v>1344504500</v>
      </c>
      <c r="M9" s="28">
        <v>542800000</v>
      </c>
      <c r="N9" s="28">
        <v>5684728665</v>
      </c>
      <c r="O9" s="28">
        <v>8059235165</v>
      </c>
      <c r="P9" s="27" t="s">
        <v>101</v>
      </c>
      <c r="Q9" s="28" t="s">
        <v>29</v>
      </c>
      <c r="R9" s="28">
        <v>4390689968.1409836</v>
      </c>
      <c r="S9" s="28">
        <v>3668545196.8590169</v>
      </c>
      <c r="T9" s="28">
        <v>0</v>
      </c>
      <c r="U9" s="28">
        <v>0</v>
      </c>
      <c r="V9" s="28">
        <v>8059235165</v>
      </c>
    </row>
    <row r="10" spans="1:22" ht="11.4" customHeight="1" x14ac:dyDescent="0.2">
      <c r="A10" s="27" t="s">
        <v>106</v>
      </c>
      <c r="B10" s="28" t="s">
        <v>34</v>
      </c>
      <c r="C10" s="28">
        <v>0</v>
      </c>
      <c r="D10" s="28">
        <v>58000000</v>
      </c>
      <c r="E10" s="28">
        <v>12000638199.999998</v>
      </c>
      <c r="F10" s="28">
        <v>404802053.13999999</v>
      </c>
      <c r="G10" s="28">
        <v>18312350</v>
      </c>
      <c r="H10" s="28">
        <v>0</v>
      </c>
      <c r="I10" s="28">
        <v>557342240</v>
      </c>
      <c r="J10" s="28">
        <v>62774529.999999993</v>
      </c>
      <c r="K10" s="28">
        <v>6157969.9999999991</v>
      </c>
      <c r="L10" s="28">
        <v>1115788360</v>
      </c>
      <c r="M10" s="28">
        <v>12470209999.999998</v>
      </c>
      <c r="N10" s="28">
        <v>5324989415</v>
      </c>
      <c r="O10" s="28">
        <v>32019015118.139996</v>
      </c>
      <c r="P10" s="27" t="s">
        <v>106</v>
      </c>
      <c r="Q10" s="28" t="s">
        <v>34</v>
      </c>
      <c r="R10" s="28">
        <v>1392254237.3670504</v>
      </c>
      <c r="S10" s="28">
        <v>5663329842.3311844</v>
      </c>
      <c r="T10" s="28">
        <v>535534651.55859256</v>
      </c>
      <c r="U10" s="28">
        <v>24427896386.883167</v>
      </c>
      <c r="V10" s="28">
        <v>32019015118.139996</v>
      </c>
    </row>
    <row r="11" spans="1:22" ht="11.4" customHeight="1" x14ac:dyDescent="0.2">
      <c r="A11" s="27" t="s">
        <v>103</v>
      </c>
      <c r="B11" s="28" t="s">
        <v>31</v>
      </c>
      <c r="C11" s="28">
        <v>4919100</v>
      </c>
      <c r="D11" s="28">
        <v>10000000</v>
      </c>
      <c r="E11" s="28">
        <v>0</v>
      </c>
      <c r="F11" s="28">
        <v>467021999.99999994</v>
      </c>
      <c r="G11" s="28">
        <v>0</v>
      </c>
      <c r="H11" s="28">
        <v>0</v>
      </c>
      <c r="I11" s="28">
        <v>32191000</v>
      </c>
      <c r="J11" s="28">
        <v>0</v>
      </c>
      <c r="K11" s="28">
        <v>0</v>
      </c>
      <c r="L11" s="28">
        <v>20095500</v>
      </c>
      <c r="M11" s="28">
        <v>647965500</v>
      </c>
      <c r="N11" s="28">
        <v>3030671000</v>
      </c>
      <c r="O11" s="28">
        <v>4212864100</v>
      </c>
      <c r="P11" s="27" t="s">
        <v>103</v>
      </c>
      <c r="Q11" s="28" t="s">
        <v>31</v>
      </c>
      <c r="R11" s="28">
        <v>2807509788.7370286</v>
      </c>
      <c r="S11" s="28">
        <v>765587553.48013163</v>
      </c>
      <c r="T11" s="28">
        <v>639766757.78283978</v>
      </c>
      <c r="U11" s="28">
        <v>0</v>
      </c>
      <c r="V11" s="28">
        <v>4212864100</v>
      </c>
    </row>
    <row r="12" spans="1:22" ht="11.4" customHeight="1" x14ac:dyDescent="0.2">
      <c r="A12" s="27" t="s">
        <v>99</v>
      </c>
      <c r="B12" s="28" t="s">
        <v>27</v>
      </c>
      <c r="C12" s="28">
        <v>634260400</v>
      </c>
      <c r="D12" s="28">
        <v>200000000</v>
      </c>
      <c r="E12" s="28">
        <v>0</v>
      </c>
      <c r="F12" s="28">
        <v>15571222309.999998</v>
      </c>
      <c r="G12" s="28">
        <v>601091400</v>
      </c>
      <c r="H12" s="28">
        <v>0</v>
      </c>
      <c r="I12" s="28">
        <v>5220341325</v>
      </c>
      <c r="J12" s="28">
        <v>1234556220</v>
      </c>
      <c r="K12" s="28">
        <v>0</v>
      </c>
      <c r="L12" s="28">
        <v>2713060645.5999999</v>
      </c>
      <c r="M12" s="28">
        <v>15705992599.999998</v>
      </c>
      <c r="N12" s="28">
        <v>9089059960</v>
      </c>
      <c r="O12" s="28">
        <v>50969584860.599998</v>
      </c>
      <c r="P12" s="27" t="s">
        <v>99</v>
      </c>
      <c r="Q12" s="28" t="s">
        <v>27</v>
      </c>
      <c r="R12" s="28">
        <v>7521683322.9658318</v>
      </c>
      <c r="S12" s="28">
        <v>22169879087.848164</v>
      </c>
      <c r="T12" s="28">
        <v>21278022449.786003</v>
      </c>
      <c r="U12" s="28">
        <v>0</v>
      </c>
      <c r="V12" s="28">
        <v>50969584860.599998</v>
      </c>
    </row>
    <row r="13" spans="1:22" ht="11.4" customHeight="1" x14ac:dyDescent="0.2">
      <c r="A13" s="27" t="s">
        <v>94</v>
      </c>
      <c r="B13" s="28" t="s">
        <v>22</v>
      </c>
      <c r="C13" s="28">
        <v>0</v>
      </c>
      <c r="D13" s="28">
        <v>919099.99999999988</v>
      </c>
      <c r="E13" s="28">
        <v>0</v>
      </c>
      <c r="F13" s="28">
        <v>3677067960</v>
      </c>
      <c r="G13" s="28">
        <v>88233599.999999985</v>
      </c>
      <c r="H13" s="28">
        <v>0</v>
      </c>
      <c r="I13" s="28">
        <v>843735280</v>
      </c>
      <c r="J13" s="28">
        <v>1229835800</v>
      </c>
      <c r="K13" s="28">
        <v>156827190</v>
      </c>
      <c r="L13" s="28">
        <v>206595297.99999997</v>
      </c>
      <c r="M13" s="28">
        <v>154770700</v>
      </c>
      <c r="N13" s="28">
        <v>13315869061.5</v>
      </c>
      <c r="O13" s="28">
        <v>19673853989.5</v>
      </c>
      <c r="P13" s="27" t="s">
        <v>94</v>
      </c>
      <c r="Q13" s="28" t="s">
        <v>22</v>
      </c>
      <c r="R13" s="28">
        <v>17880312193.527416</v>
      </c>
      <c r="S13" s="28">
        <v>1793541795.9725831</v>
      </c>
      <c r="T13" s="28">
        <v>0</v>
      </c>
      <c r="U13" s="28">
        <v>0</v>
      </c>
      <c r="V13" s="28">
        <v>19673853989.5</v>
      </c>
    </row>
    <row r="14" spans="1:22" ht="11.4" customHeight="1" x14ac:dyDescent="0.2">
      <c r="A14" s="27" t="s">
        <v>97</v>
      </c>
      <c r="B14" s="28" t="s">
        <v>25</v>
      </c>
      <c r="C14" s="28">
        <v>0</v>
      </c>
      <c r="D14" s="28">
        <v>0</v>
      </c>
      <c r="E14" s="28">
        <v>0</v>
      </c>
      <c r="F14" s="28">
        <v>2757299.9999999995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101200000</v>
      </c>
      <c r="M14" s="28">
        <v>120773095</v>
      </c>
      <c r="N14" s="28">
        <v>1757695980</v>
      </c>
      <c r="O14" s="28">
        <v>1982426375</v>
      </c>
      <c r="P14" s="27" t="s">
        <v>97</v>
      </c>
      <c r="Q14" s="28" t="s">
        <v>25</v>
      </c>
      <c r="R14" s="28">
        <v>1982426375</v>
      </c>
      <c r="S14" s="28">
        <v>0</v>
      </c>
      <c r="T14" s="28">
        <v>0</v>
      </c>
      <c r="U14" s="28">
        <v>0</v>
      </c>
      <c r="V14" s="28">
        <v>1982426375</v>
      </c>
    </row>
    <row r="15" spans="1:22" ht="11.4" customHeight="1" x14ac:dyDescent="0.2">
      <c r="A15" s="27" t="s">
        <v>117</v>
      </c>
      <c r="B15" s="28" t="s">
        <v>45</v>
      </c>
      <c r="C15" s="28">
        <v>0</v>
      </c>
      <c r="D15" s="28">
        <v>0</v>
      </c>
      <c r="E15" s="28">
        <v>0</v>
      </c>
      <c r="F15" s="28">
        <v>674478200</v>
      </c>
      <c r="G15" s="28">
        <v>34925800</v>
      </c>
      <c r="H15" s="28">
        <v>0</v>
      </c>
      <c r="I15" s="28">
        <v>0</v>
      </c>
      <c r="J15" s="28">
        <v>3498501019.9999995</v>
      </c>
      <c r="K15" s="28">
        <v>5492580</v>
      </c>
      <c r="L15" s="28">
        <v>124887499.99999999</v>
      </c>
      <c r="M15" s="28">
        <v>7648778999.999999</v>
      </c>
      <c r="N15" s="28">
        <v>6511599676.999999</v>
      </c>
      <c r="O15" s="28">
        <v>18498663776.999996</v>
      </c>
      <c r="P15" s="27" t="s">
        <v>117</v>
      </c>
      <c r="Q15" s="28" t="s">
        <v>45</v>
      </c>
      <c r="R15" s="28">
        <v>2107117237.5080266</v>
      </c>
      <c r="S15" s="28">
        <v>15335881817.356665</v>
      </c>
      <c r="T15" s="28">
        <v>1055664722.1353029</v>
      </c>
      <c r="U15" s="28">
        <v>0</v>
      </c>
      <c r="V15" s="28">
        <v>18498663776.999996</v>
      </c>
    </row>
    <row r="16" spans="1:22" ht="11.4" customHeight="1" x14ac:dyDescent="0.2">
      <c r="A16" s="27" t="s">
        <v>114</v>
      </c>
      <c r="B16" s="28" t="s">
        <v>42</v>
      </c>
      <c r="C16" s="28">
        <v>34073480</v>
      </c>
      <c r="D16" s="28">
        <v>156247000</v>
      </c>
      <c r="E16" s="28">
        <v>20886547500</v>
      </c>
      <c r="F16" s="28">
        <v>11070747950</v>
      </c>
      <c r="G16" s="28">
        <v>0</v>
      </c>
      <c r="H16" s="28">
        <v>0</v>
      </c>
      <c r="I16" s="28">
        <v>831883005</v>
      </c>
      <c r="J16" s="28">
        <v>703675200</v>
      </c>
      <c r="K16" s="28">
        <v>29779320</v>
      </c>
      <c r="L16" s="28">
        <v>391423149.99999994</v>
      </c>
      <c r="M16" s="28">
        <v>1746289.9999999998</v>
      </c>
      <c r="N16" s="28">
        <v>4519983239.5</v>
      </c>
      <c r="O16" s="28">
        <v>38626106134.5</v>
      </c>
      <c r="P16" s="27" t="s">
        <v>114</v>
      </c>
      <c r="Q16" s="28" t="s">
        <v>42</v>
      </c>
      <c r="R16" s="28">
        <v>369974835.36450851</v>
      </c>
      <c r="S16" s="28">
        <v>553034062.87149251</v>
      </c>
      <c r="T16" s="28">
        <v>0</v>
      </c>
      <c r="U16" s="28">
        <v>37703097236.264</v>
      </c>
      <c r="V16" s="28">
        <v>38626106134.5</v>
      </c>
    </row>
    <row r="17" spans="1:22" ht="11.4" customHeight="1" x14ac:dyDescent="0.2">
      <c r="A17" s="27" t="s">
        <v>112</v>
      </c>
      <c r="B17" s="28" t="s">
        <v>40</v>
      </c>
      <c r="C17" s="28">
        <v>0</v>
      </c>
      <c r="D17" s="28">
        <v>6433699.9999999991</v>
      </c>
      <c r="E17" s="28">
        <v>1836722379652.675</v>
      </c>
      <c r="F17" s="28">
        <v>1173218472</v>
      </c>
      <c r="G17" s="28">
        <v>5729535</v>
      </c>
      <c r="H17" s="28">
        <v>37493039287.103394</v>
      </c>
      <c r="I17" s="28">
        <v>397969410</v>
      </c>
      <c r="J17" s="28">
        <v>569139285</v>
      </c>
      <c r="K17" s="28">
        <v>0</v>
      </c>
      <c r="L17" s="28">
        <v>20092219828.551697</v>
      </c>
      <c r="M17" s="28">
        <v>309196250</v>
      </c>
      <c r="N17" s="28">
        <v>2993898539</v>
      </c>
      <c r="O17" s="28">
        <v>1899763223959.3301</v>
      </c>
      <c r="P17" s="27" t="s">
        <v>112</v>
      </c>
      <c r="Q17" s="28" t="s">
        <v>40</v>
      </c>
      <c r="R17" s="28">
        <v>6968503694.6232958</v>
      </c>
      <c r="S17" s="28">
        <v>1461749918.6805248</v>
      </c>
      <c r="T17" s="28">
        <v>0</v>
      </c>
      <c r="U17" s="28">
        <v>1891332970346.0261</v>
      </c>
      <c r="V17" s="28">
        <v>1899763223959.3298</v>
      </c>
    </row>
    <row r="18" spans="1:22" ht="11.4" customHeight="1" x14ac:dyDescent="0.2">
      <c r="A18" s="27" t="s">
        <v>116</v>
      </c>
      <c r="B18" s="28" t="s">
        <v>44</v>
      </c>
      <c r="C18" s="28">
        <v>504813300</v>
      </c>
      <c r="D18" s="28">
        <v>20352794656.799999</v>
      </c>
      <c r="E18" s="28">
        <v>718268710724.13318</v>
      </c>
      <c r="F18" s="28">
        <v>2443946850</v>
      </c>
      <c r="G18" s="28">
        <v>672790800</v>
      </c>
      <c r="H18" s="28">
        <v>10728252537.493399</v>
      </c>
      <c r="I18" s="28">
        <v>1475548100</v>
      </c>
      <c r="J18" s="28">
        <v>3343925174.9999995</v>
      </c>
      <c r="K18" s="28">
        <v>2861158299.9999995</v>
      </c>
      <c r="L18" s="28">
        <v>90327744943.299988</v>
      </c>
      <c r="M18" s="28">
        <v>582690827980.2113</v>
      </c>
      <c r="N18" s="28">
        <v>7566773199.999999</v>
      </c>
      <c r="O18" s="28">
        <v>1441237286566.938</v>
      </c>
      <c r="P18" s="27" t="s">
        <v>116</v>
      </c>
      <c r="Q18" s="28" t="s">
        <v>44</v>
      </c>
      <c r="R18" s="28">
        <v>1724880958.3188791</v>
      </c>
      <c r="S18" s="28">
        <v>2099887436.3580613</v>
      </c>
      <c r="T18" s="28">
        <v>237902380257.2301</v>
      </c>
      <c r="U18" s="28">
        <v>1199510137915.031</v>
      </c>
      <c r="V18" s="28">
        <v>1441237286566.938</v>
      </c>
    </row>
    <row r="19" spans="1:22" ht="11.4" customHeight="1" x14ac:dyDescent="0.2">
      <c r="A19" s="27" t="s">
        <v>107</v>
      </c>
      <c r="B19" s="28" t="s">
        <v>35</v>
      </c>
      <c r="C19" s="28">
        <v>0</v>
      </c>
      <c r="D19" s="28">
        <v>6985159.9999999991</v>
      </c>
      <c r="E19" s="28">
        <v>0</v>
      </c>
      <c r="F19" s="28">
        <v>0</v>
      </c>
      <c r="G19" s="28">
        <v>0</v>
      </c>
      <c r="H19" s="28">
        <v>0</v>
      </c>
      <c r="I19" s="28">
        <v>158078269.59999999</v>
      </c>
      <c r="J19" s="28">
        <v>67000000</v>
      </c>
      <c r="K19" s="28">
        <v>0</v>
      </c>
      <c r="L19" s="28">
        <v>29031590754.019096</v>
      </c>
      <c r="M19" s="28">
        <v>2011643744.9999998</v>
      </c>
      <c r="N19" s="28">
        <v>10073386995</v>
      </c>
      <c r="O19" s="28">
        <v>41348684923.619095</v>
      </c>
      <c r="P19" s="27" t="s">
        <v>107</v>
      </c>
      <c r="Q19" s="28" t="s">
        <v>35</v>
      </c>
      <c r="R19" s="28">
        <v>3742374615.090003</v>
      </c>
      <c r="S19" s="28">
        <v>11118201040.787334</v>
      </c>
      <c r="T19" s="28">
        <v>0</v>
      </c>
      <c r="U19" s="28">
        <v>26488109267.741764</v>
      </c>
      <c r="V19" s="28">
        <v>41348684923.619102</v>
      </c>
    </row>
    <row r="20" spans="1:22" ht="11.4" customHeight="1" x14ac:dyDescent="0.2">
      <c r="A20" s="27" t="s">
        <v>100</v>
      </c>
      <c r="B20" s="28" t="s">
        <v>28</v>
      </c>
      <c r="C20" s="28">
        <v>0</v>
      </c>
      <c r="D20" s="28">
        <v>102745300</v>
      </c>
      <c r="E20" s="28">
        <v>0</v>
      </c>
      <c r="F20" s="28">
        <v>0</v>
      </c>
      <c r="G20" s="28">
        <v>0</v>
      </c>
      <c r="H20" s="28">
        <v>0</v>
      </c>
      <c r="I20" s="28">
        <v>9360000</v>
      </c>
      <c r="J20" s="28">
        <v>10808615.999999998</v>
      </c>
      <c r="K20" s="28">
        <v>0</v>
      </c>
      <c r="L20" s="28">
        <v>123618949.99999999</v>
      </c>
      <c r="M20" s="28">
        <v>357660000</v>
      </c>
      <c r="N20" s="28">
        <v>3691329771.4808998</v>
      </c>
      <c r="O20" s="28">
        <v>4295522637.4808998</v>
      </c>
      <c r="P20" s="27" t="s">
        <v>100</v>
      </c>
      <c r="Q20" s="28" t="s">
        <v>28</v>
      </c>
      <c r="R20" s="28">
        <v>4146167131.9533663</v>
      </c>
      <c r="S20" s="28">
        <v>149355505.52753353</v>
      </c>
      <c r="T20" s="28">
        <v>0</v>
      </c>
      <c r="U20" s="28">
        <v>0</v>
      </c>
      <c r="V20" s="28">
        <v>4295522637.4808998</v>
      </c>
    </row>
    <row r="21" spans="1:22" ht="11.4" customHeight="1" x14ac:dyDescent="0.2">
      <c r="A21" s="27" t="s">
        <v>108</v>
      </c>
      <c r="B21" s="28" t="s">
        <v>36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62741284.999999993</v>
      </c>
      <c r="M21" s="28">
        <v>1261855600</v>
      </c>
      <c r="N21" s="28">
        <v>986257453.32999992</v>
      </c>
      <c r="O21" s="28">
        <v>2310854338.3299999</v>
      </c>
      <c r="P21" s="27" t="s">
        <v>108</v>
      </c>
      <c r="Q21" s="28" t="s">
        <v>36</v>
      </c>
      <c r="R21" s="28">
        <v>1030843607.2288885</v>
      </c>
      <c r="S21" s="28">
        <v>907580348.49211776</v>
      </c>
      <c r="T21" s="28">
        <v>372430382.60899347</v>
      </c>
      <c r="U21" s="28">
        <v>0</v>
      </c>
      <c r="V21" s="28">
        <v>2310854338.3299999</v>
      </c>
    </row>
    <row r="22" spans="1:22" ht="11.4" customHeight="1" x14ac:dyDescent="0.2">
      <c r="A22" s="27" t="s">
        <v>104</v>
      </c>
      <c r="B22" s="28" t="s">
        <v>32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1871840544.9999998</v>
      </c>
      <c r="M22" s="28">
        <v>3612636904.9999995</v>
      </c>
      <c r="N22" s="28">
        <v>553594425</v>
      </c>
      <c r="O22" s="28">
        <v>6038071874.999999</v>
      </c>
      <c r="P22" s="27" t="s">
        <v>104</v>
      </c>
      <c r="Q22" s="28" t="s">
        <v>32</v>
      </c>
      <c r="R22" s="28">
        <v>201132608.89830506</v>
      </c>
      <c r="S22" s="28">
        <v>4447132042.1186438</v>
      </c>
      <c r="T22" s="28">
        <v>1389807223.9830508</v>
      </c>
      <c r="U22" s="28">
        <v>0</v>
      </c>
      <c r="V22" s="28">
        <v>6038071875</v>
      </c>
    </row>
    <row r="23" spans="1:22" ht="11.4" customHeight="1" x14ac:dyDescent="0.2">
      <c r="A23" s="27" t="s">
        <v>105</v>
      </c>
      <c r="B23" s="28" t="s">
        <v>33</v>
      </c>
      <c r="C23" s="28">
        <v>0</v>
      </c>
      <c r="D23" s="28">
        <v>127176400</v>
      </c>
      <c r="E23" s="28">
        <v>0</v>
      </c>
      <c r="F23" s="28">
        <v>0</v>
      </c>
      <c r="G23" s="28">
        <v>857419100</v>
      </c>
      <c r="H23" s="28">
        <v>0</v>
      </c>
      <c r="I23" s="28">
        <v>0</v>
      </c>
      <c r="J23" s="28">
        <v>0</v>
      </c>
      <c r="K23" s="28">
        <v>0</v>
      </c>
      <c r="L23" s="28">
        <v>245542120</v>
      </c>
      <c r="M23" s="28">
        <v>13786499.999999998</v>
      </c>
      <c r="N23" s="28">
        <v>90997506.5</v>
      </c>
      <c r="O23" s="28">
        <v>1334921626.5</v>
      </c>
      <c r="P23" s="27" t="s">
        <v>105</v>
      </c>
      <c r="Q23" s="28" t="s">
        <v>33</v>
      </c>
      <c r="R23" s="28">
        <v>1250894457.5995212</v>
      </c>
      <c r="S23" s="28">
        <v>84027168.90047884</v>
      </c>
      <c r="T23" s="28">
        <v>0</v>
      </c>
      <c r="U23" s="28">
        <v>0</v>
      </c>
      <c r="V23" s="28">
        <v>1334921626.5</v>
      </c>
    </row>
    <row r="24" spans="1:22" ht="11.4" customHeight="1" x14ac:dyDescent="0.2">
      <c r="A24" s="27" t="s">
        <v>109</v>
      </c>
      <c r="B24" s="28" t="s">
        <v>37</v>
      </c>
      <c r="C24" s="28">
        <v>0</v>
      </c>
      <c r="D24" s="28">
        <v>0</v>
      </c>
      <c r="E24" s="28">
        <v>0</v>
      </c>
      <c r="F24" s="28">
        <v>1705900050</v>
      </c>
      <c r="G24" s="28">
        <v>2184656900</v>
      </c>
      <c r="H24" s="28">
        <v>0</v>
      </c>
      <c r="I24" s="28">
        <v>448355560</v>
      </c>
      <c r="J24" s="28">
        <v>128000000</v>
      </c>
      <c r="K24" s="28">
        <v>0</v>
      </c>
      <c r="L24" s="28">
        <v>349356519</v>
      </c>
      <c r="M24" s="28">
        <v>1500855850</v>
      </c>
      <c r="N24" s="28">
        <v>10634942260</v>
      </c>
      <c r="O24" s="28">
        <v>16952067139</v>
      </c>
      <c r="P24" s="27" t="s">
        <v>109</v>
      </c>
      <c r="Q24" s="28" t="s">
        <v>37</v>
      </c>
      <c r="R24" s="28">
        <v>8388047873.4798756</v>
      </c>
      <c r="S24" s="28">
        <v>8192186276.1650457</v>
      </c>
      <c r="T24" s="28">
        <v>371832989.35507703</v>
      </c>
      <c r="U24" s="28">
        <v>0</v>
      </c>
      <c r="V24" s="28">
        <v>16952067138.999998</v>
      </c>
    </row>
    <row r="25" spans="1:22" ht="11.4" customHeight="1" x14ac:dyDescent="0.2">
      <c r="A25" s="27" t="s">
        <v>96</v>
      </c>
      <c r="B25" s="28" t="s">
        <v>24</v>
      </c>
      <c r="C25" s="28">
        <v>0</v>
      </c>
      <c r="D25" s="28">
        <v>50500000</v>
      </c>
      <c r="E25" s="28">
        <v>0</v>
      </c>
      <c r="F25" s="28">
        <v>594022000</v>
      </c>
      <c r="G25" s="28">
        <v>0</v>
      </c>
      <c r="H25" s="28">
        <v>0</v>
      </c>
      <c r="I25" s="28">
        <v>1265834800</v>
      </c>
      <c r="J25" s="28">
        <v>735279999.99999988</v>
      </c>
      <c r="K25" s="28">
        <v>0</v>
      </c>
      <c r="L25" s="28">
        <v>2000000</v>
      </c>
      <c r="M25" s="28">
        <v>660758750</v>
      </c>
      <c r="N25" s="28">
        <v>711397250</v>
      </c>
      <c r="O25" s="28">
        <v>4019792800</v>
      </c>
      <c r="P25" s="27" t="s">
        <v>96</v>
      </c>
      <c r="Q25" s="28" t="s">
        <v>24</v>
      </c>
      <c r="R25" s="28">
        <v>811507466.66666675</v>
      </c>
      <c r="S25" s="28">
        <v>3208285333.333333</v>
      </c>
      <c r="T25" s="28">
        <v>0</v>
      </c>
      <c r="U25" s="28">
        <v>0</v>
      </c>
      <c r="V25" s="28">
        <v>4019792800</v>
      </c>
    </row>
    <row r="26" spans="1:22" ht="11.4" customHeight="1" x14ac:dyDescent="0.2">
      <c r="A26" s="27" t="s">
        <v>120</v>
      </c>
      <c r="B26" s="28" t="s">
        <v>48</v>
      </c>
      <c r="C26" s="28">
        <v>44116799.999999993</v>
      </c>
      <c r="D26" s="28">
        <v>1000000</v>
      </c>
      <c r="E26" s="28">
        <v>139118170221.76001</v>
      </c>
      <c r="F26" s="28">
        <v>485433199.99999994</v>
      </c>
      <c r="G26" s="28">
        <v>269776100</v>
      </c>
      <c r="H26" s="28">
        <v>0</v>
      </c>
      <c r="I26" s="28">
        <v>2815517590</v>
      </c>
      <c r="J26" s="28">
        <v>8389473645.5</v>
      </c>
      <c r="K26" s="28">
        <v>2517593250</v>
      </c>
      <c r="L26" s="28">
        <v>2597494950</v>
      </c>
      <c r="M26" s="28">
        <v>1053161749.9999999</v>
      </c>
      <c r="N26" s="28">
        <v>3786609969.9999995</v>
      </c>
      <c r="O26" s="28">
        <v>161078347477.26001</v>
      </c>
      <c r="P26" s="27" t="s">
        <v>120</v>
      </c>
      <c r="Q26" s="28" t="s">
        <v>48</v>
      </c>
      <c r="R26" s="28">
        <v>3678598099.9179378</v>
      </c>
      <c r="S26" s="28">
        <v>5969632396.3391352</v>
      </c>
      <c r="T26" s="28">
        <v>20626002070.916515</v>
      </c>
      <c r="U26" s="28">
        <v>130804114910.08641</v>
      </c>
      <c r="V26" s="28">
        <v>161078347477.26001</v>
      </c>
    </row>
    <row r="27" spans="1:22" ht="11.4" customHeight="1" x14ac:dyDescent="0.2">
      <c r="A27" s="27" t="s">
        <v>102</v>
      </c>
      <c r="B27" s="28" t="s">
        <v>30</v>
      </c>
      <c r="C27" s="28">
        <v>2481570</v>
      </c>
      <c r="D27" s="28">
        <v>122986816007.09999</v>
      </c>
      <c r="E27" s="28">
        <v>510971554047.49994</v>
      </c>
      <c r="F27" s="28">
        <v>10396180550</v>
      </c>
      <c r="G27" s="28">
        <v>73528000</v>
      </c>
      <c r="H27" s="28">
        <v>6409221609.6999998</v>
      </c>
      <c r="I27" s="28">
        <v>19119195</v>
      </c>
      <c r="J27" s="28">
        <v>161798005</v>
      </c>
      <c r="K27" s="28">
        <v>245872450114.19998</v>
      </c>
      <c r="L27" s="28">
        <v>8325609.9999999991</v>
      </c>
      <c r="M27" s="28">
        <v>65032954.999999993</v>
      </c>
      <c r="N27" s="28">
        <v>442192989.99999994</v>
      </c>
      <c r="O27" s="28">
        <v>897408700653.49988</v>
      </c>
      <c r="P27" s="27" t="s">
        <v>102</v>
      </c>
      <c r="Q27" s="28" t="s">
        <v>30</v>
      </c>
      <c r="R27" s="28">
        <v>352309442.24943483</v>
      </c>
      <c r="S27" s="28">
        <v>401989393.60237497</v>
      </c>
      <c r="T27" s="28">
        <v>36059067192.761353</v>
      </c>
      <c r="U27" s="28">
        <v>860595334624.88672</v>
      </c>
      <c r="V27" s="28">
        <v>897408700653.49988</v>
      </c>
    </row>
    <row r="28" spans="1:22" ht="11.4" customHeight="1" x14ac:dyDescent="0.2">
      <c r="A28" s="27" t="s">
        <v>98</v>
      </c>
      <c r="B28" s="28" t="s">
        <v>26</v>
      </c>
      <c r="C28" s="28">
        <v>4238313850</v>
      </c>
      <c r="D28" s="28">
        <v>15077169829.999998</v>
      </c>
      <c r="E28" s="28">
        <v>16336506185.999998</v>
      </c>
      <c r="F28" s="28">
        <v>777371429.99999988</v>
      </c>
      <c r="G28" s="28">
        <v>1522963544.9999998</v>
      </c>
      <c r="H28" s="28">
        <v>0</v>
      </c>
      <c r="I28" s="28">
        <v>4469182437</v>
      </c>
      <c r="J28" s="28">
        <v>2354339765</v>
      </c>
      <c r="K28" s="28">
        <v>5685020299.999999</v>
      </c>
      <c r="L28" s="28">
        <v>7108620579.999999</v>
      </c>
      <c r="M28" s="28">
        <v>14343614651.999998</v>
      </c>
      <c r="N28" s="28">
        <v>4737653940</v>
      </c>
      <c r="O28" s="28">
        <v>76650756515</v>
      </c>
      <c r="P28" s="27" t="s">
        <v>98</v>
      </c>
      <c r="Q28" s="28" t="s">
        <v>26</v>
      </c>
      <c r="R28" s="28">
        <v>1676959304.1385477</v>
      </c>
      <c r="S28" s="28">
        <v>18140953879.975739</v>
      </c>
      <c r="T28" s="28">
        <v>38045880601.382751</v>
      </c>
      <c r="U28" s="28">
        <v>18786962729.502956</v>
      </c>
      <c r="V28" s="28">
        <v>76650756515</v>
      </c>
    </row>
    <row r="29" spans="1:22" ht="11.4" customHeight="1" x14ac:dyDescent="0.2">
      <c r="A29" s="27" t="s">
        <v>93</v>
      </c>
      <c r="B29" s="28" t="s">
        <v>21</v>
      </c>
      <c r="C29" s="28">
        <v>597415000</v>
      </c>
      <c r="D29" s="28">
        <v>223861655</v>
      </c>
      <c r="E29" s="28">
        <v>0</v>
      </c>
      <c r="F29" s="28">
        <v>29177748.599999998</v>
      </c>
      <c r="G29" s="28">
        <v>496313999.99999994</v>
      </c>
      <c r="H29" s="28">
        <v>0</v>
      </c>
      <c r="I29" s="28">
        <v>29084250</v>
      </c>
      <c r="J29" s="28">
        <v>1291394380</v>
      </c>
      <c r="K29" s="28">
        <v>643370</v>
      </c>
      <c r="L29" s="28">
        <v>1219995150</v>
      </c>
      <c r="M29" s="28">
        <v>304319770</v>
      </c>
      <c r="N29" s="28">
        <v>712154524.89999998</v>
      </c>
      <c r="O29" s="28">
        <v>4904359848.5</v>
      </c>
      <c r="P29" s="27" t="s">
        <v>93</v>
      </c>
      <c r="Q29" s="28" t="s">
        <v>21</v>
      </c>
      <c r="R29" s="28">
        <v>1559192700.5032699</v>
      </c>
      <c r="S29" s="28">
        <v>3345167147.9967303</v>
      </c>
      <c r="T29" s="28">
        <v>0</v>
      </c>
      <c r="U29" s="28">
        <v>0</v>
      </c>
      <c r="V29" s="28">
        <v>4904359848.5</v>
      </c>
    </row>
    <row r="30" spans="1:22" ht="11.4" customHeight="1" x14ac:dyDescent="0.2">
      <c r="A30" s="27" t="s">
        <v>115</v>
      </c>
      <c r="B30" s="28" t="s">
        <v>43</v>
      </c>
      <c r="C30" s="28">
        <v>5598529469.4499998</v>
      </c>
      <c r="D30" s="28">
        <v>36200000</v>
      </c>
      <c r="E30" s="28">
        <v>33176862326.199997</v>
      </c>
      <c r="F30" s="28">
        <v>12644044950.3475</v>
      </c>
      <c r="G30" s="28">
        <v>8288311990.999999</v>
      </c>
      <c r="H30" s="28">
        <v>0</v>
      </c>
      <c r="I30" s="28">
        <v>2672290584.5</v>
      </c>
      <c r="J30" s="28">
        <v>1012493758.7599999</v>
      </c>
      <c r="K30" s="28">
        <v>2367432524</v>
      </c>
      <c r="L30" s="28">
        <v>1398175899.9999998</v>
      </c>
      <c r="M30" s="28">
        <v>46511390593.399994</v>
      </c>
      <c r="N30" s="28">
        <v>9402284558.7999992</v>
      </c>
      <c r="O30" s="28">
        <v>123108016656.4575</v>
      </c>
      <c r="P30" s="27" t="s">
        <v>115</v>
      </c>
      <c r="Q30" s="28" t="s">
        <v>43</v>
      </c>
      <c r="R30" s="28">
        <v>3434856779.01615</v>
      </c>
      <c r="S30" s="28">
        <v>16119726936.990213</v>
      </c>
      <c r="T30" s="28">
        <v>103553432940.45114</v>
      </c>
      <c r="U30" s="28">
        <v>0</v>
      </c>
      <c r="V30" s="28">
        <v>123108016656.4575</v>
      </c>
    </row>
    <row r="31" spans="1:22" ht="11.4" customHeight="1" x14ac:dyDescent="0.2">
      <c r="A31" s="27" t="s">
        <v>111</v>
      </c>
      <c r="B31" s="28" t="s">
        <v>39</v>
      </c>
      <c r="C31" s="28">
        <v>539600000</v>
      </c>
      <c r="D31" s="28">
        <v>780800000</v>
      </c>
      <c r="E31" s="28">
        <v>12173988681.4</v>
      </c>
      <c r="F31" s="28">
        <v>3604448398</v>
      </c>
      <c r="G31" s="28">
        <v>103000000</v>
      </c>
      <c r="H31" s="28">
        <v>0</v>
      </c>
      <c r="I31" s="28">
        <v>323588360</v>
      </c>
      <c r="J31" s="28">
        <v>5686902398.25</v>
      </c>
      <c r="K31" s="28">
        <v>293900320</v>
      </c>
      <c r="L31" s="28">
        <v>3385501124.7999997</v>
      </c>
      <c r="M31" s="28">
        <v>13619318004.9</v>
      </c>
      <c r="N31" s="28">
        <v>4346212213</v>
      </c>
      <c r="O31" s="28">
        <v>44857259500.349998</v>
      </c>
      <c r="P31" s="27" t="s">
        <v>111</v>
      </c>
      <c r="Q31" s="28" t="s">
        <v>39</v>
      </c>
      <c r="R31" s="28">
        <v>12463871036.295488</v>
      </c>
      <c r="S31" s="28">
        <v>4001671627.1722608</v>
      </c>
      <c r="T31" s="28">
        <v>0</v>
      </c>
      <c r="U31" s="28">
        <v>28391716836.882252</v>
      </c>
      <c r="V31" s="28">
        <v>44857259500.349998</v>
      </c>
    </row>
    <row r="32" spans="1:22" ht="11.4" customHeight="1" x14ac:dyDescent="0.2">
      <c r="A32" s="27" t="s">
        <v>118</v>
      </c>
      <c r="B32" s="28" t="s">
        <v>46</v>
      </c>
      <c r="C32" s="28">
        <v>100000000</v>
      </c>
      <c r="D32" s="28">
        <v>0</v>
      </c>
      <c r="E32" s="28">
        <v>20801062009</v>
      </c>
      <c r="F32" s="28">
        <v>5000000</v>
      </c>
      <c r="G32" s="28">
        <v>9000000</v>
      </c>
      <c r="H32" s="28">
        <v>0</v>
      </c>
      <c r="I32" s="28">
        <v>0</v>
      </c>
      <c r="J32" s="28">
        <v>447227022475.19653</v>
      </c>
      <c r="K32" s="28">
        <v>55145999.999999993</v>
      </c>
      <c r="L32" s="28">
        <v>289921000</v>
      </c>
      <c r="M32" s="28">
        <v>5000000</v>
      </c>
      <c r="N32" s="28">
        <v>91909999.999999985</v>
      </c>
      <c r="O32" s="28">
        <v>468584061484.19653</v>
      </c>
      <c r="P32" s="27" t="s">
        <v>118</v>
      </c>
      <c r="Q32" s="28" t="s">
        <v>46</v>
      </c>
      <c r="R32" s="28">
        <v>604906139.55065942</v>
      </c>
      <c r="S32" s="28">
        <v>362220519.56857103</v>
      </c>
      <c r="T32" s="28">
        <v>0</v>
      </c>
      <c r="U32" s="28">
        <v>467616934825.07733</v>
      </c>
      <c r="V32" s="28">
        <v>468584061484.19653</v>
      </c>
    </row>
    <row r="33" spans="1:22" ht="11.4" customHeight="1" x14ac:dyDescent="0.2">
      <c r="A33" s="27" t="s">
        <v>124</v>
      </c>
      <c r="B33" s="28" t="s">
        <v>52</v>
      </c>
      <c r="C33" s="28">
        <v>0</v>
      </c>
      <c r="D33" s="28">
        <v>9000000</v>
      </c>
      <c r="E33" s="28">
        <v>0</v>
      </c>
      <c r="F33" s="28">
        <v>551537050</v>
      </c>
      <c r="G33" s="28">
        <v>58024489849.999992</v>
      </c>
      <c r="H33" s="28">
        <v>1378649999.9999998</v>
      </c>
      <c r="I33" s="28">
        <v>0</v>
      </c>
      <c r="J33" s="28">
        <v>0</v>
      </c>
      <c r="K33" s="28">
        <v>0</v>
      </c>
      <c r="L33" s="28">
        <v>4209280599.9999995</v>
      </c>
      <c r="M33" s="28">
        <v>2755461799.9999995</v>
      </c>
      <c r="N33" s="28">
        <v>6254817189</v>
      </c>
      <c r="O33" s="28">
        <v>73183236489</v>
      </c>
      <c r="P33" s="27" t="s">
        <v>124</v>
      </c>
      <c r="Q33" s="28" t="s">
        <v>52</v>
      </c>
      <c r="R33" s="28">
        <v>2394961749.5350943</v>
      </c>
      <c r="S33" s="28">
        <v>3477288248.1278377</v>
      </c>
      <c r="T33" s="28">
        <v>6441533967.8433714</v>
      </c>
      <c r="U33" s="28">
        <v>60869452523.49369</v>
      </c>
      <c r="V33" s="28">
        <v>73183236489</v>
      </c>
    </row>
    <row r="34" spans="1:22" ht="11.4" customHeight="1" x14ac:dyDescent="0.2">
      <c r="A34" s="27" t="s">
        <v>123</v>
      </c>
      <c r="B34" s="28" t="s">
        <v>51</v>
      </c>
      <c r="C34" s="28">
        <v>0</v>
      </c>
      <c r="D34" s="28">
        <v>208910475</v>
      </c>
      <c r="E34" s="28">
        <v>0</v>
      </c>
      <c r="F34" s="28">
        <v>52000000</v>
      </c>
      <c r="G34" s="28">
        <v>0</v>
      </c>
      <c r="H34" s="28">
        <v>0</v>
      </c>
      <c r="I34" s="28">
        <v>72149350</v>
      </c>
      <c r="J34" s="28">
        <v>21343705</v>
      </c>
      <c r="K34" s="28">
        <v>0</v>
      </c>
      <c r="L34" s="28">
        <v>523598352.49999994</v>
      </c>
      <c r="M34" s="28">
        <v>214150299.99999997</v>
      </c>
      <c r="N34" s="28">
        <v>1579279012.5</v>
      </c>
      <c r="O34" s="28">
        <v>2671431195</v>
      </c>
      <c r="P34" s="27" t="s">
        <v>123</v>
      </c>
      <c r="Q34" s="28" t="s">
        <v>51</v>
      </c>
      <c r="R34" s="28">
        <v>1264197687.3169229</v>
      </c>
      <c r="S34" s="28">
        <v>1407233507.6830769</v>
      </c>
      <c r="T34" s="28">
        <v>0</v>
      </c>
      <c r="U34" s="28">
        <v>0</v>
      </c>
      <c r="V34" s="28">
        <v>2671431195</v>
      </c>
    </row>
    <row r="35" spans="1:22" ht="11.4" customHeight="1" x14ac:dyDescent="0.2">
      <c r="A35" s="27" t="s">
        <v>126</v>
      </c>
      <c r="B35" s="28" t="s">
        <v>54</v>
      </c>
      <c r="C35" s="28">
        <v>0</v>
      </c>
      <c r="D35" s="28">
        <v>0</v>
      </c>
      <c r="E35" s="28">
        <v>0</v>
      </c>
      <c r="F35" s="28">
        <v>34980946</v>
      </c>
      <c r="G35" s="28">
        <v>0</v>
      </c>
      <c r="H35" s="28">
        <v>0</v>
      </c>
      <c r="I35" s="28">
        <v>70000000</v>
      </c>
      <c r="J35" s="28">
        <v>0</v>
      </c>
      <c r="K35" s="28">
        <v>0</v>
      </c>
      <c r="L35" s="28">
        <v>710602296</v>
      </c>
      <c r="M35" s="28">
        <v>0</v>
      </c>
      <c r="N35" s="28">
        <v>1640000000</v>
      </c>
      <c r="O35" s="28">
        <v>2455583242</v>
      </c>
      <c r="P35" s="27" t="s">
        <v>126</v>
      </c>
      <c r="Q35" s="28" t="s">
        <v>54</v>
      </c>
      <c r="R35" s="28">
        <v>2455583242</v>
      </c>
      <c r="S35" s="28">
        <v>0</v>
      </c>
      <c r="T35" s="28">
        <v>0</v>
      </c>
      <c r="U35" s="28">
        <v>0</v>
      </c>
      <c r="V35" s="28">
        <v>2455583242</v>
      </c>
    </row>
    <row r="36" spans="1:22" ht="11.4" customHeight="1" x14ac:dyDescent="0.2">
      <c r="A36" s="27" t="s">
        <v>129</v>
      </c>
      <c r="B36" s="28" t="s">
        <v>57</v>
      </c>
      <c r="C36" s="28">
        <v>1297486218</v>
      </c>
      <c r="D36" s="28">
        <v>27852473639.384697</v>
      </c>
      <c r="E36" s="28">
        <v>336145739571.35535</v>
      </c>
      <c r="F36" s="28">
        <v>371604100</v>
      </c>
      <c r="G36" s="28">
        <v>803120999.99999988</v>
      </c>
      <c r="H36" s="28">
        <v>0</v>
      </c>
      <c r="I36" s="28">
        <v>521405669.99999994</v>
      </c>
      <c r="J36" s="28">
        <v>101725904433.39749</v>
      </c>
      <c r="K36" s="28">
        <v>1299463580</v>
      </c>
      <c r="L36" s="28">
        <v>5053600841</v>
      </c>
      <c r="M36" s="28">
        <v>112514152763.39749</v>
      </c>
      <c r="N36" s="28">
        <v>877252787.99999988</v>
      </c>
      <c r="O36" s="28">
        <v>588462204604.53503</v>
      </c>
      <c r="P36" s="27" t="s">
        <v>129</v>
      </c>
      <c r="Q36" s="28" t="s">
        <v>57</v>
      </c>
      <c r="R36" s="28">
        <v>1725700203.8098247</v>
      </c>
      <c r="S36" s="28">
        <v>7275584271.5489569</v>
      </c>
      <c r="T36" s="28">
        <v>10067887696.928057</v>
      </c>
      <c r="U36" s="28">
        <v>569393032432.24817</v>
      </c>
      <c r="V36" s="28">
        <v>588462204604.53503</v>
      </c>
    </row>
    <row r="37" spans="1:22" ht="11.4" customHeight="1" x14ac:dyDescent="0.2">
      <c r="A37" s="27" t="s">
        <v>128</v>
      </c>
      <c r="B37" s="28" t="s">
        <v>56</v>
      </c>
      <c r="C37" s="28">
        <v>35000000</v>
      </c>
      <c r="D37" s="28">
        <v>96448060</v>
      </c>
      <c r="E37" s="28">
        <v>20000000</v>
      </c>
      <c r="F37" s="28">
        <v>3700715100</v>
      </c>
      <c r="G37" s="28">
        <v>27756819.999999996</v>
      </c>
      <c r="H37" s="28">
        <v>9334863940.8842983</v>
      </c>
      <c r="I37" s="28">
        <v>2464177990</v>
      </c>
      <c r="J37" s="28">
        <v>12722240580</v>
      </c>
      <c r="K37" s="28">
        <v>64336999.999999993</v>
      </c>
      <c r="L37" s="28">
        <v>1298386494.5999999</v>
      </c>
      <c r="M37" s="28">
        <v>12740512609.999998</v>
      </c>
      <c r="N37" s="28">
        <v>2859253150</v>
      </c>
      <c r="O37" s="28">
        <v>45363691745.484299</v>
      </c>
      <c r="P37" s="27" t="s">
        <v>128</v>
      </c>
      <c r="Q37" s="28" t="s">
        <v>56</v>
      </c>
      <c r="R37" s="28">
        <v>3568732286.6017814</v>
      </c>
      <c r="S37" s="28">
        <v>15628576631.871931</v>
      </c>
      <c r="T37" s="28">
        <v>14704154961.942034</v>
      </c>
      <c r="U37" s="28">
        <v>11462227865.068548</v>
      </c>
      <c r="V37" s="28">
        <v>45363691745.484299</v>
      </c>
    </row>
    <row r="38" spans="1:22" ht="11.4" customHeight="1" x14ac:dyDescent="0.2">
      <c r="A38" s="27" t="s">
        <v>127</v>
      </c>
      <c r="B38" s="28" t="s">
        <v>55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200008339.99999997</v>
      </c>
      <c r="J38" s="28">
        <v>0</v>
      </c>
      <c r="K38" s="28">
        <v>0</v>
      </c>
      <c r="L38" s="28">
        <v>594599211.90999997</v>
      </c>
      <c r="M38" s="28">
        <v>0</v>
      </c>
      <c r="N38" s="28">
        <v>2729450930</v>
      </c>
      <c r="O38" s="28">
        <v>3524058481.9099998</v>
      </c>
      <c r="P38" s="27" t="s">
        <v>127</v>
      </c>
      <c r="Q38" s="28" t="s">
        <v>55</v>
      </c>
      <c r="R38" s="28">
        <v>1594415604.7513256</v>
      </c>
      <c r="S38" s="28">
        <v>1929642877.1586745</v>
      </c>
      <c r="T38" s="28">
        <v>0</v>
      </c>
      <c r="U38" s="28">
        <v>0</v>
      </c>
      <c r="V38" s="28">
        <v>3524058481.9099998</v>
      </c>
    </row>
    <row r="39" spans="1:22" ht="11.4" customHeight="1" x14ac:dyDescent="0.2">
      <c r="A39" s="27" t="s">
        <v>125</v>
      </c>
      <c r="B39" s="28" t="s">
        <v>53</v>
      </c>
      <c r="C39" s="28">
        <v>0</v>
      </c>
      <c r="D39" s="28">
        <v>410625159.99999994</v>
      </c>
      <c r="E39" s="28">
        <v>0</v>
      </c>
      <c r="F39" s="28">
        <v>495660600</v>
      </c>
      <c r="G39" s="28">
        <v>957500000</v>
      </c>
      <c r="H39" s="28">
        <v>0</v>
      </c>
      <c r="I39" s="28">
        <v>0</v>
      </c>
      <c r="J39" s="28">
        <v>6000000</v>
      </c>
      <c r="K39" s="28">
        <v>0</v>
      </c>
      <c r="L39" s="28">
        <v>85794346.999999985</v>
      </c>
      <c r="M39" s="28">
        <v>1544087999.9999998</v>
      </c>
      <c r="N39" s="28">
        <v>838366352.91909993</v>
      </c>
      <c r="O39" s="28">
        <v>4338034459.9190998</v>
      </c>
      <c r="P39" s="27" t="s">
        <v>125</v>
      </c>
      <c r="Q39" s="28" t="s">
        <v>53</v>
      </c>
      <c r="R39" s="28">
        <v>1477878613.7995181</v>
      </c>
      <c r="S39" s="28">
        <v>2860155846.1195817</v>
      </c>
      <c r="T39" s="28">
        <v>0</v>
      </c>
      <c r="U39" s="28">
        <v>0</v>
      </c>
      <c r="V39" s="28">
        <v>4338034459.9190998</v>
      </c>
    </row>
    <row r="40" spans="1:22" ht="11.4" customHeight="1" x14ac:dyDescent="0.2">
      <c r="A40" s="27" t="s">
        <v>130</v>
      </c>
      <c r="B40" s="28" t="s">
        <v>58</v>
      </c>
      <c r="C40" s="28">
        <v>0</v>
      </c>
      <c r="D40" s="28">
        <v>60984199.999999993</v>
      </c>
      <c r="E40" s="28">
        <v>3379990249.9999995</v>
      </c>
      <c r="F40" s="28">
        <v>2050000</v>
      </c>
      <c r="G40" s="28">
        <v>3500000</v>
      </c>
      <c r="H40" s="28">
        <v>0</v>
      </c>
      <c r="I40" s="28">
        <v>54803638</v>
      </c>
      <c r="J40" s="28">
        <v>919099.99999999988</v>
      </c>
      <c r="K40" s="28">
        <v>0</v>
      </c>
      <c r="L40" s="28">
        <v>57500000</v>
      </c>
      <c r="M40" s="28">
        <v>158697948313.34918</v>
      </c>
      <c r="N40" s="28">
        <v>309016958</v>
      </c>
      <c r="O40" s="28">
        <v>162566712459.34918</v>
      </c>
      <c r="P40" s="27" t="s">
        <v>130</v>
      </c>
      <c r="Q40" s="28" t="s">
        <v>58</v>
      </c>
      <c r="R40" s="28">
        <v>231214764.76732939</v>
      </c>
      <c r="S40" s="28">
        <v>1073053822.3624736</v>
      </c>
      <c r="T40" s="28">
        <v>2313371691.956131</v>
      </c>
      <c r="U40" s="28">
        <v>158949072180.26324</v>
      </c>
      <c r="V40" s="28">
        <v>162566712459.34918</v>
      </c>
    </row>
    <row r="41" spans="1:22" ht="11.4" customHeight="1" x14ac:dyDescent="0.2">
      <c r="A41" s="27" t="s">
        <v>122</v>
      </c>
      <c r="B41" s="28" t="s">
        <v>50</v>
      </c>
      <c r="C41" s="28">
        <v>0</v>
      </c>
      <c r="D41" s="28">
        <v>35000000</v>
      </c>
      <c r="E41" s="28">
        <v>0</v>
      </c>
      <c r="F41" s="28">
        <v>5514599.9999999991</v>
      </c>
      <c r="G41" s="28">
        <v>13786499.999999998</v>
      </c>
      <c r="H41" s="28">
        <v>0</v>
      </c>
      <c r="I41" s="28">
        <v>0</v>
      </c>
      <c r="J41" s="28">
        <v>68932500</v>
      </c>
      <c r="K41" s="28">
        <v>0</v>
      </c>
      <c r="L41" s="28">
        <v>298781700</v>
      </c>
      <c r="M41" s="28">
        <v>0</v>
      </c>
      <c r="N41" s="28">
        <v>1184686400</v>
      </c>
      <c r="O41" s="28">
        <v>1606701700</v>
      </c>
      <c r="P41" s="27" t="s">
        <v>122</v>
      </c>
      <c r="Q41" s="28" t="s">
        <v>50</v>
      </c>
      <c r="R41" s="28">
        <v>698002218.02286482</v>
      </c>
      <c r="S41" s="28">
        <v>908699481.97713506</v>
      </c>
      <c r="T41" s="28">
        <v>0</v>
      </c>
      <c r="U41" s="28">
        <v>0</v>
      </c>
      <c r="V41" s="28">
        <v>1606701700</v>
      </c>
    </row>
    <row r="42" spans="1:22" ht="11.4" customHeight="1" x14ac:dyDescent="0.2">
      <c r="A42" s="31"/>
      <c r="B42" s="32" t="s">
        <v>59</v>
      </c>
      <c r="C42" s="28">
        <v>13895955087.450001</v>
      </c>
      <c r="D42" s="28">
        <v>195440189898.2847</v>
      </c>
      <c r="E42" s="28">
        <v>3660855629470.0239</v>
      </c>
      <c r="F42" s="28">
        <v>73705967668.087494</v>
      </c>
      <c r="G42" s="28">
        <v>76379752035.5</v>
      </c>
      <c r="H42" s="28">
        <v>65344027375.181091</v>
      </c>
      <c r="I42" s="28">
        <v>29156620902.099998</v>
      </c>
      <c r="J42" s="28">
        <v>592574555942.104</v>
      </c>
      <c r="K42" s="28">
        <v>261242055718.19998</v>
      </c>
      <c r="L42" s="28">
        <v>178192971555.28079</v>
      </c>
      <c r="M42" s="28">
        <v>1000496057897.2581</v>
      </c>
      <c r="N42" s="28">
        <v>145046958660.42999</v>
      </c>
      <c r="O42" s="28">
        <v>6292330742209.8994</v>
      </c>
      <c r="P42" s="31"/>
      <c r="Q42" s="32" t="s">
        <v>59</v>
      </c>
      <c r="R42" s="28">
        <v>117301206096.12399</v>
      </c>
      <c r="S42" s="28">
        <v>188134181229.84766</v>
      </c>
      <c r="T42" s="28">
        <v>500564294804.47241</v>
      </c>
      <c r="U42" s="28">
        <v>5486331060079.4561</v>
      </c>
      <c r="V42" s="28">
        <v>6292330742209.8994</v>
      </c>
    </row>
    <row r="43" spans="1:22" ht="11.4" customHeight="1" x14ac:dyDescent="0.2">
      <c r="O43" s="65">
        <v>6144590936110.8994</v>
      </c>
    </row>
    <row r="47" spans="1:22" ht="11.4" customHeight="1" x14ac:dyDescent="0.2">
      <c r="B47" s="63" t="s">
        <v>375</v>
      </c>
    </row>
    <row r="48" spans="1:22" ht="11.4" customHeight="1" x14ac:dyDescent="0.2">
      <c r="B48" s="63" t="s">
        <v>376</v>
      </c>
    </row>
    <row r="51" spans="1:4" ht="11.4" customHeight="1" x14ac:dyDescent="0.25">
      <c r="A51" s="67" t="s">
        <v>0</v>
      </c>
      <c r="B51" s="67" t="s">
        <v>4</v>
      </c>
      <c r="C51" s="33" t="s">
        <v>400</v>
      </c>
      <c r="D51" s="21"/>
    </row>
    <row r="52" spans="1:4" ht="11.4" customHeight="1" x14ac:dyDescent="0.25">
      <c r="A52" s="72">
        <v>1</v>
      </c>
      <c r="B52" s="69" t="s">
        <v>9</v>
      </c>
      <c r="C52" s="34">
        <f>C42</f>
        <v>13895955087.450001</v>
      </c>
      <c r="D52" s="18"/>
    </row>
    <row r="53" spans="1:4" ht="11.4" customHeight="1" x14ac:dyDescent="0.25">
      <c r="A53" s="72">
        <v>2</v>
      </c>
      <c r="B53" s="69" t="s">
        <v>10</v>
      </c>
      <c r="C53" s="34">
        <f>D42</f>
        <v>195440189898.2847</v>
      </c>
      <c r="D53" s="18"/>
    </row>
    <row r="54" spans="1:4" ht="11.4" customHeight="1" x14ac:dyDescent="0.25">
      <c r="A54" s="72">
        <v>3</v>
      </c>
      <c r="B54" s="69" t="s">
        <v>11</v>
      </c>
      <c r="C54" s="34">
        <f>E42</f>
        <v>3660855629470.0239</v>
      </c>
      <c r="D54" s="18"/>
    </row>
    <row r="55" spans="1:4" ht="11.4" customHeight="1" x14ac:dyDescent="0.25">
      <c r="A55" s="72">
        <v>4</v>
      </c>
      <c r="B55" s="69" t="s">
        <v>12</v>
      </c>
      <c r="C55" s="34">
        <f>F42</f>
        <v>73705967668.087494</v>
      </c>
      <c r="D55" s="18"/>
    </row>
    <row r="56" spans="1:4" ht="11.4" customHeight="1" x14ac:dyDescent="0.25">
      <c r="A56" s="72">
        <v>5</v>
      </c>
      <c r="B56" s="69" t="s">
        <v>13</v>
      </c>
      <c r="C56" s="34">
        <f>G42</f>
        <v>76379752035.5</v>
      </c>
      <c r="D56" s="18"/>
    </row>
    <row r="57" spans="1:4" ht="11.4" customHeight="1" x14ac:dyDescent="0.25">
      <c r="A57" s="72">
        <v>6</v>
      </c>
      <c r="B57" s="69" t="s">
        <v>14</v>
      </c>
      <c r="C57" s="34">
        <f>H42</f>
        <v>65344027375.181091</v>
      </c>
      <c r="D57" s="18"/>
    </row>
    <row r="58" spans="1:4" ht="11.4" customHeight="1" x14ac:dyDescent="0.25">
      <c r="A58" s="72">
        <v>7</v>
      </c>
      <c r="B58" s="69" t="s">
        <v>15</v>
      </c>
      <c r="C58" s="34">
        <f>I42</f>
        <v>29156620902.099998</v>
      </c>
      <c r="D58" s="18"/>
    </row>
    <row r="59" spans="1:4" ht="11.4" customHeight="1" x14ac:dyDescent="0.25">
      <c r="A59" s="72">
        <v>8</v>
      </c>
      <c r="B59" s="69" t="s">
        <v>19</v>
      </c>
      <c r="C59" s="34">
        <f>J42</f>
        <v>592574555942.104</v>
      </c>
      <c r="D59" s="18"/>
    </row>
    <row r="60" spans="1:4" ht="11.4" customHeight="1" x14ac:dyDescent="0.25">
      <c r="A60" s="72">
        <v>9</v>
      </c>
      <c r="B60" s="69" t="s">
        <v>17</v>
      </c>
      <c r="C60" s="34">
        <f>K42</f>
        <v>261242055718.19998</v>
      </c>
      <c r="D60" s="18"/>
    </row>
    <row r="61" spans="1:4" ht="11.4" customHeight="1" x14ac:dyDescent="0.25">
      <c r="A61" s="72">
        <v>10</v>
      </c>
      <c r="B61" s="69" t="s">
        <v>18</v>
      </c>
      <c r="C61" s="34">
        <f>L42</f>
        <v>178192971555.28079</v>
      </c>
      <c r="D61" s="18"/>
    </row>
    <row r="62" spans="1:4" ht="11.4" customHeight="1" x14ac:dyDescent="0.25">
      <c r="A62" s="72">
        <v>11</v>
      </c>
      <c r="B62" s="69" t="s">
        <v>20</v>
      </c>
      <c r="C62" s="34">
        <f>M42</f>
        <v>1000496057897.2581</v>
      </c>
      <c r="D62" s="18"/>
    </row>
    <row r="63" spans="1:4" ht="11.4" customHeight="1" x14ac:dyDescent="0.25">
      <c r="A63" s="72">
        <v>12</v>
      </c>
      <c r="B63" s="69" t="s">
        <v>16</v>
      </c>
      <c r="C63" s="34">
        <f>N42</f>
        <v>145046958660.42999</v>
      </c>
      <c r="D63" s="18"/>
    </row>
    <row r="64" spans="1:4" ht="11.4" customHeight="1" x14ac:dyDescent="0.25">
      <c r="A64" s="72"/>
      <c r="B64" s="69" t="s">
        <v>400</v>
      </c>
      <c r="C64" s="34">
        <f>O42</f>
        <v>6292330742209.8994</v>
      </c>
      <c r="D64" s="51">
        <f>SUM(C52:C63)</f>
        <v>6292330742209.9004</v>
      </c>
    </row>
    <row r="65" spans="1:4" ht="11.4" customHeight="1" x14ac:dyDescent="0.25">
      <c r="A65" s="71"/>
      <c r="B65" s="66"/>
      <c r="C65" s="36"/>
      <c r="D65" s="18"/>
    </row>
    <row r="66" spans="1:4" ht="11.4" customHeight="1" x14ac:dyDescent="0.25">
      <c r="A66" s="75"/>
      <c r="B66" s="75"/>
      <c r="C66" s="75"/>
      <c r="D66" s="18"/>
    </row>
    <row r="67" spans="1:4" ht="11.4" customHeight="1" x14ac:dyDescent="0.25">
      <c r="A67" s="67" t="s">
        <v>0</v>
      </c>
      <c r="B67" s="67" t="s">
        <v>2</v>
      </c>
      <c r="C67" s="33" t="s">
        <v>400</v>
      </c>
      <c r="D67" s="21"/>
    </row>
    <row r="68" spans="1:4" ht="11.4" customHeight="1" x14ac:dyDescent="0.25">
      <c r="A68" s="72">
        <v>1</v>
      </c>
      <c r="B68" s="69" t="s">
        <v>5</v>
      </c>
      <c r="C68" s="34">
        <f>R42</f>
        <v>117301206096.12399</v>
      </c>
      <c r="D68" s="18"/>
    </row>
    <row r="69" spans="1:4" ht="11.4" customHeight="1" x14ac:dyDescent="0.25">
      <c r="A69" s="72">
        <v>2</v>
      </c>
      <c r="B69" s="69" t="s">
        <v>6</v>
      </c>
      <c r="C69" s="34">
        <f>S42</f>
        <v>188134181229.84766</v>
      </c>
      <c r="D69" s="18"/>
    </row>
    <row r="70" spans="1:4" ht="11.4" customHeight="1" x14ac:dyDescent="0.25">
      <c r="A70" s="72">
        <v>3</v>
      </c>
      <c r="B70" s="69" t="s">
        <v>7</v>
      </c>
      <c r="C70" s="34">
        <f>T42</f>
        <v>500564294804.47241</v>
      </c>
      <c r="D70" s="18"/>
    </row>
    <row r="71" spans="1:4" ht="11.4" customHeight="1" x14ac:dyDescent="0.25">
      <c r="A71" s="72">
        <v>4</v>
      </c>
      <c r="B71" s="69" t="s">
        <v>8</v>
      </c>
      <c r="C71" s="34">
        <f>U42</f>
        <v>5486331060079.4561</v>
      </c>
      <c r="D71" s="18"/>
    </row>
    <row r="72" spans="1:4" ht="11.4" customHeight="1" x14ac:dyDescent="0.25">
      <c r="A72" s="72"/>
      <c r="B72" s="69" t="s">
        <v>400</v>
      </c>
      <c r="C72" s="34">
        <f>V42</f>
        <v>6292330742209.8994</v>
      </c>
      <c r="D72" s="51">
        <f>SUM(C68:C71)</f>
        <v>6292330742209.9004</v>
      </c>
    </row>
  </sheetData>
  <mergeCells count="10">
    <mergeCell ref="A1:O1"/>
    <mergeCell ref="P1:V1"/>
    <mergeCell ref="A2:A3"/>
    <mergeCell ref="B2:B3"/>
    <mergeCell ref="C2:N2"/>
    <mergeCell ref="O2:O3"/>
    <mergeCell ref="P2:P3"/>
    <mergeCell ref="Q2:Q3"/>
    <mergeCell ref="R2:U2"/>
    <mergeCell ref="V2:V3"/>
  </mergeCells>
  <pageMargins left="0.31496062992125984" right="0" top="0.59055118110236227" bottom="0.35433070866141736" header="0.31496062992125984" footer="0.31496062992125984"/>
  <pageSetup paperSize="9" scale="70" firstPageNumber="194" orientation="landscape" useFirstPageNumber="1" r:id="rId1"/>
  <headerFooter>
    <oddFooter>&amp;C&amp;P</oddFooter>
  </headerFooter>
  <colBreaks count="1" manualBreakCount="1">
    <brk id="1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D259-A58A-4A7C-8291-35C99049E8AC}">
  <dimension ref="A1:V149"/>
  <sheetViews>
    <sheetView view="pageBreakPreview" zoomScale="55" zoomScaleNormal="70" zoomScaleSheetLayoutView="55" workbookViewId="0">
      <selection activeCell="C3" sqref="C1:O1048576"/>
    </sheetView>
  </sheetViews>
  <sheetFormatPr defaultColWidth="19.21875" defaultRowHeight="11.4" customHeight="1" x14ac:dyDescent="0.2"/>
  <cols>
    <col min="1" max="1" width="4.5546875" style="64" customWidth="1"/>
    <col min="2" max="2" width="17.6640625" style="63" customWidth="1"/>
    <col min="3" max="15" width="11.88671875" style="63" customWidth="1"/>
    <col min="16" max="16" width="6" style="64" bestFit="1" customWidth="1"/>
    <col min="17" max="17" width="44.44140625" style="63" customWidth="1"/>
    <col min="18" max="22" width="14" style="63" customWidth="1"/>
    <col min="23" max="16384" width="19.21875" style="63"/>
  </cols>
  <sheetData>
    <row r="1" spans="1:22" s="58" customFormat="1" ht="23.4" customHeight="1" x14ac:dyDescent="0.2">
      <c r="A1" s="102" t="s">
        <v>377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 t="s">
        <v>378</v>
      </c>
      <c r="Q1" s="102"/>
      <c r="R1" s="102"/>
      <c r="S1" s="102"/>
      <c r="T1" s="102"/>
      <c r="U1" s="102"/>
      <c r="V1" s="102"/>
    </row>
    <row r="2" spans="1:22" s="59" customFormat="1" ht="11.4" customHeight="1" x14ac:dyDescent="0.3">
      <c r="A2" s="103" t="s">
        <v>0</v>
      </c>
      <c r="B2" s="105" t="s">
        <v>1</v>
      </c>
      <c r="C2" s="107" t="s">
        <v>4</v>
      </c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05" t="s">
        <v>3</v>
      </c>
      <c r="P2" s="103" t="s">
        <v>0</v>
      </c>
      <c r="Q2" s="103" t="s">
        <v>1</v>
      </c>
      <c r="R2" s="110" t="s">
        <v>2</v>
      </c>
      <c r="S2" s="111"/>
      <c r="T2" s="111"/>
      <c r="U2" s="112"/>
      <c r="V2" s="103" t="s">
        <v>66</v>
      </c>
    </row>
    <row r="3" spans="1:22" s="59" customFormat="1" ht="43.8" customHeight="1" x14ac:dyDescent="0.3">
      <c r="A3" s="104"/>
      <c r="B3" s="106"/>
      <c r="C3" s="60" t="s">
        <v>9</v>
      </c>
      <c r="D3" s="60" t="s">
        <v>10</v>
      </c>
      <c r="E3" s="60" t="s">
        <v>11</v>
      </c>
      <c r="F3" s="60" t="s">
        <v>12</v>
      </c>
      <c r="G3" s="61" t="s">
        <v>13</v>
      </c>
      <c r="H3" s="61" t="s">
        <v>14</v>
      </c>
      <c r="I3" s="61" t="s">
        <v>131</v>
      </c>
      <c r="J3" s="61" t="s">
        <v>135</v>
      </c>
      <c r="K3" s="61" t="s">
        <v>17</v>
      </c>
      <c r="L3" s="61" t="s">
        <v>276</v>
      </c>
      <c r="M3" s="61" t="s">
        <v>19</v>
      </c>
      <c r="N3" s="61" t="s">
        <v>133</v>
      </c>
      <c r="O3" s="106"/>
      <c r="P3" s="104"/>
      <c r="Q3" s="104"/>
      <c r="R3" s="62" t="s">
        <v>5</v>
      </c>
      <c r="S3" s="62" t="s">
        <v>6</v>
      </c>
      <c r="T3" s="62" t="s">
        <v>7</v>
      </c>
      <c r="U3" s="62" t="s">
        <v>8</v>
      </c>
      <c r="V3" s="104"/>
    </row>
    <row r="4" spans="1:22" ht="11.4" customHeight="1" x14ac:dyDescent="0.2">
      <c r="A4" s="27" t="s">
        <v>110</v>
      </c>
      <c r="B4" s="28" t="s">
        <v>38</v>
      </c>
      <c r="C4" s="28">
        <v>1.8589527214889325</v>
      </c>
      <c r="D4" s="28">
        <v>9.2947636074446631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1.8589527214889325</v>
      </c>
      <c r="M4" s="28">
        <v>0</v>
      </c>
      <c r="N4" s="28">
        <v>0</v>
      </c>
      <c r="O4" s="28">
        <v>13.012669050422529</v>
      </c>
      <c r="P4" s="27" t="s">
        <v>110</v>
      </c>
      <c r="Q4" s="28" t="s">
        <v>38</v>
      </c>
      <c r="R4" s="28">
        <v>5.5768581644667981</v>
      </c>
      <c r="S4" s="28">
        <v>3.7179054429778651</v>
      </c>
      <c r="T4" s="28">
        <v>3.7179054429778651</v>
      </c>
      <c r="U4" s="28">
        <v>0</v>
      </c>
      <c r="V4" s="28">
        <v>13.012669050422527</v>
      </c>
    </row>
    <row r="5" spans="1:22" ht="11.4" customHeight="1" x14ac:dyDescent="0.2">
      <c r="A5" s="27" t="s">
        <v>113</v>
      </c>
      <c r="B5" s="28" t="s">
        <v>41</v>
      </c>
      <c r="C5" s="28">
        <v>0</v>
      </c>
      <c r="D5" s="28">
        <v>48.33277075871225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159.86993404804821</v>
      </c>
      <c r="K5" s="28">
        <v>0</v>
      </c>
      <c r="L5" s="28">
        <v>11.153716328933596</v>
      </c>
      <c r="M5" s="28">
        <v>20.448479936378259</v>
      </c>
      <c r="N5" s="28">
        <v>0</v>
      </c>
      <c r="O5" s="28">
        <v>239.80490107207231</v>
      </c>
      <c r="P5" s="27" t="s">
        <v>113</v>
      </c>
      <c r="Q5" s="28" t="s">
        <v>41</v>
      </c>
      <c r="R5" s="28">
        <v>226.7922320216498</v>
      </c>
      <c r="S5" s="28">
        <v>13.012669050422529</v>
      </c>
      <c r="T5" s="28">
        <v>0</v>
      </c>
      <c r="U5" s="28">
        <v>0</v>
      </c>
      <c r="V5" s="28">
        <v>239.80490107207231</v>
      </c>
    </row>
    <row r="6" spans="1:22" ht="11.4" customHeight="1" x14ac:dyDescent="0.2">
      <c r="A6" s="27" t="s">
        <v>119</v>
      </c>
      <c r="B6" s="28" t="s">
        <v>47</v>
      </c>
      <c r="C6" s="28">
        <v>0</v>
      </c>
      <c r="D6" s="28">
        <v>0</v>
      </c>
      <c r="E6" s="28">
        <v>0</v>
      </c>
      <c r="F6" s="28">
        <v>247.24071195802804</v>
      </c>
      <c r="G6" s="28">
        <v>0</v>
      </c>
      <c r="H6" s="28">
        <v>0</v>
      </c>
      <c r="I6" s="28">
        <v>1.8589527214889325</v>
      </c>
      <c r="J6" s="28">
        <v>35.32010170828972</v>
      </c>
      <c r="K6" s="28">
        <v>68.781250695090506</v>
      </c>
      <c r="L6" s="28">
        <v>0</v>
      </c>
      <c r="M6" s="28">
        <v>35.32010170828972</v>
      </c>
      <c r="N6" s="28">
        <v>0</v>
      </c>
      <c r="O6" s="28">
        <v>388.52111879118695</v>
      </c>
      <c r="P6" s="27" t="s">
        <v>119</v>
      </c>
      <c r="Q6" s="28" t="s">
        <v>47</v>
      </c>
      <c r="R6" s="28">
        <v>9.2947636074446631</v>
      </c>
      <c r="S6" s="28">
        <v>126.40878506124743</v>
      </c>
      <c r="T6" s="28">
        <v>252.81757012249486</v>
      </c>
      <c r="U6" s="28">
        <v>0</v>
      </c>
      <c r="V6" s="28">
        <v>388.52111879118695</v>
      </c>
    </row>
    <row r="7" spans="1:22" ht="11.4" customHeight="1" x14ac:dyDescent="0.2">
      <c r="A7" s="27" t="s">
        <v>121</v>
      </c>
      <c r="B7" s="28" t="s">
        <v>49</v>
      </c>
      <c r="C7" s="28">
        <v>0</v>
      </c>
      <c r="D7" s="28">
        <v>0</v>
      </c>
      <c r="E7" s="28">
        <v>40.896959872756518</v>
      </c>
      <c r="F7" s="28">
        <v>20.448479936378259</v>
      </c>
      <c r="G7" s="28">
        <v>31.602196265311857</v>
      </c>
      <c r="H7" s="28">
        <v>0</v>
      </c>
      <c r="I7" s="28">
        <v>321.59882081758536</v>
      </c>
      <c r="J7" s="28">
        <v>604.15963448390312</v>
      </c>
      <c r="K7" s="28">
        <v>0</v>
      </c>
      <c r="L7" s="28">
        <v>20.448479936378259</v>
      </c>
      <c r="M7" s="28">
        <v>91.088683352957688</v>
      </c>
      <c r="N7" s="28">
        <v>0</v>
      </c>
      <c r="O7" s="28">
        <v>1130.2432546652713</v>
      </c>
      <c r="P7" s="27" t="s">
        <v>121</v>
      </c>
      <c r="Q7" s="28" t="s">
        <v>49</v>
      </c>
      <c r="R7" s="28">
        <v>953.64274612382246</v>
      </c>
      <c r="S7" s="28">
        <v>161.72888676953713</v>
      </c>
      <c r="T7" s="28">
        <v>14.87162177191146</v>
      </c>
      <c r="U7" s="28">
        <v>0</v>
      </c>
      <c r="V7" s="28">
        <v>1130.243254665271</v>
      </c>
    </row>
    <row r="8" spans="1:22" ht="11.4" customHeight="1" x14ac:dyDescent="0.2">
      <c r="A8" s="27" t="s">
        <v>95</v>
      </c>
      <c r="B8" s="28" t="s">
        <v>23</v>
      </c>
      <c r="C8" s="28">
        <v>0</v>
      </c>
      <c r="D8" s="28">
        <v>3.7179054429778651</v>
      </c>
      <c r="E8" s="28">
        <v>0</v>
      </c>
      <c r="F8" s="28">
        <v>0</v>
      </c>
      <c r="G8" s="28">
        <v>5.5768581644667981</v>
      </c>
      <c r="H8" s="28">
        <v>0</v>
      </c>
      <c r="I8" s="28">
        <v>50.191723480201176</v>
      </c>
      <c r="J8" s="28">
        <v>680.37669606494933</v>
      </c>
      <c r="K8" s="28">
        <v>0</v>
      </c>
      <c r="L8" s="28">
        <v>31.602196265311857</v>
      </c>
      <c r="M8" s="28">
        <v>282.56081366631776</v>
      </c>
      <c r="N8" s="28">
        <v>3.7179054429778651</v>
      </c>
      <c r="O8" s="28">
        <v>1057.7440985272026</v>
      </c>
      <c r="P8" s="27" t="s">
        <v>95</v>
      </c>
      <c r="Q8" s="28" t="s">
        <v>23</v>
      </c>
      <c r="R8" s="28">
        <v>630.18497258474827</v>
      </c>
      <c r="S8" s="28">
        <v>425.70017322096561</v>
      </c>
      <c r="T8" s="28">
        <v>1.8589527214889325</v>
      </c>
      <c r="U8" s="28">
        <v>0</v>
      </c>
      <c r="V8" s="28">
        <v>1057.7440985272028</v>
      </c>
    </row>
    <row r="9" spans="1:22" ht="11.4" customHeight="1" x14ac:dyDescent="0.2">
      <c r="A9" s="27" t="s">
        <v>101</v>
      </c>
      <c r="B9" s="28" t="s">
        <v>29</v>
      </c>
      <c r="C9" s="28">
        <v>0</v>
      </c>
      <c r="D9" s="28">
        <v>16.730574493400397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31.602196265311857</v>
      </c>
      <c r="K9" s="28">
        <v>0</v>
      </c>
      <c r="L9" s="28">
        <v>22.307432657867192</v>
      </c>
      <c r="M9" s="28">
        <v>9.2947636074446631</v>
      </c>
      <c r="N9" s="28">
        <v>3.7179054429778651</v>
      </c>
      <c r="O9" s="28">
        <v>83.652872467001984</v>
      </c>
      <c r="P9" s="27" t="s">
        <v>101</v>
      </c>
      <c r="Q9" s="28" t="s">
        <v>29</v>
      </c>
      <c r="R9" s="28">
        <v>31.602196265311857</v>
      </c>
      <c r="S9" s="28">
        <v>52.050676201690116</v>
      </c>
      <c r="T9" s="28">
        <v>0</v>
      </c>
      <c r="U9" s="28">
        <v>0</v>
      </c>
      <c r="V9" s="28">
        <v>83.65287246700197</v>
      </c>
    </row>
    <row r="10" spans="1:22" ht="11.4" customHeight="1" x14ac:dyDescent="0.2">
      <c r="A10" s="27" t="s">
        <v>106</v>
      </c>
      <c r="B10" s="28" t="s">
        <v>34</v>
      </c>
      <c r="C10" s="28">
        <v>0</v>
      </c>
      <c r="D10" s="28">
        <v>0</v>
      </c>
      <c r="E10" s="28">
        <v>1.8589527214889325</v>
      </c>
      <c r="F10" s="28">
        <v>1.8589527214889325</v>
      </c>
      <c r="G10" s="28">
        <v>0</v>
      </c>
      <c r="H10" s="28">
        <v>0</v>
      </c>
      <c r="I10" s="28">
        <v>0</v>
      </c>
      <c r="J10" s="28">
        <v>39.038007151267585</v>
      </c>
      <c r="K10" s="28">
        <v>0</v>
      </c>
      <c r="L10" s="28">
        <v>3.7179054429778651</v>
      </c>
      <c r="M10" s="28">
        <v>39.038007151267585</v>
      </c>
      <c r="N10" s="28">
        <v>0</v>
      </c>
      <c r="O10" s="28">
        <v>85.511825188490903</v>
      </c>
      <c r="P10" s="27" t="s">
        <v>106</v>
      </c>
      <c r="Q10" s="28" t="s">
        <v>34</v>
      </c>
      <c r="R10" s="28">
        <v>7.4358108859557301</v>
      </c>
      <c r="S10" s="28">
        <v>40.896959872756518</v>
      </c>
      <c r="T10" s="28">
        <v>0</v>
      </c>
      <c r="U10" s="28">
        <v>37.179054429778652</v>
      </c>
      <c r="V10" s="28">
        <v>85.511825188490903</v>
      </c>
    </row>
    <row r="11" spans="1:22" ht="11.4" customHeight="1" x14ac:dyDescent="0.2">
      <c r="A11" s="27" t="s">
        <v>103</v>
      </c>
      <c r="B11" s="28" t="s">
        <v>31</v>
      </c>
      <c r="C11" s="28">
        <v>7.4358108859557301</v>
      </c>
      <c r="D11" s="28">
        <v>0</v>
      </c>
      <c r="E11" s="28">
        <v>0</v>
      </c>
      <c r="F11" s="28">
        <v>81.793919745513037</v>
      </c>
      <c r="G11" s="28">
        <v>0</v>
      </c>
      <c r="H11" s="28">
        <v>0</v>
      </c>
      <c r="I11" s="28">
        <v>16.730574493400397</v>
      </c>
      <c r="J11" s="28">
        <v>360.63682796885291</v>
      </c>
      <c r="K11" s="28">
        <v>0</v>
      </c>
      <c r="L11" s="28">
        <v>11.153716328933596</v>
      </c>
      <c r="M11" s="28">
        <v>27.884290822333991</v>
      </c>
      <c r="N11" s="28">
        <v>0</v>
      </c>
      <c r="O11" s="28">
        <v>505.6351402449896</v>
      </c>
      <c r="P11" s="27" t="s">
        <v>103</v>
      </c>
      <c r="Q11" s="28" t="s">
        <v>31</v>
      </c>
      <c r="R11" s="28">
        <v>468.45608581521105</v>
      </c>
      <c r="S11" s="28">
        <v>27.884290822333991</v>
      </c>
      <c r="T11" s="28">
        <v>9.2947636074446631</v>
      </c>
      <c r="U11" s="28">
        <v>0</v>
      </c>
      <c r="V11" s="28">
        <v>505.63514024498971</v>
      </c>
    </row>
    <row r="12" spans="1:22" ht="11.4" customHeight="1" x14ac:dyDescent="0.2">
      <c r="A12" s="27" t="s">
        <v>99</v>
      </c>
      <c r="B12" s="28" t="s">
        <v>27</v>
      </c>
      <c r="C12" s="28">
        <v>24.166385379356125</v>
      </c>
      <c r="D12" s="28">
        <v>0</v>
      </c>
      <c r="E12" s="28">
        <v>0</v>
      </c>
      <c r="F12" s="28">
        <v>598.58277631943633</v>
      </c>
      <c r="G12" s="28">
        <v>26.025338100845058</v>
      </c>
      <c r="H12" s="28">
        <v>0</v>
      </c>
      <c r="I12" s="28">
        <v>59.486487087645841</v>
      </c>
      <c r="J12" s="28">
        <v>172.88260309847072</v>
      </c>
      <c r="K12" s="28">
        <v>35.32010170828972</v>
      </c>
      <c r="L12" s="28">
        <v>31.602196265311857</v>
      </c>
      <c r="M12" s="28">
        <v>247.24071195802804</v>
      </c>
      <c r="N12" s="28">
        <v>11.153716328933596</v>
      </c>
      <c r="O12" s="28">
        <v>1206.4603162463172</v>
      </c>
      <c r="P12" s="27" t="s">
        <v>99</v>
      </c>
      <c r="Q12" s="28" t="s">
        <v>27</v>
      </c>
      <c r="R12" s="28">
        <v>263.97128645142845</v>
      </c>
      <c r="S12" s="28">
        <v>693.38936511537179</v>
      </c>
      <c r="T12" s="28">
        <v>221.21537385718301</v>
      </c>
      <c r="U12" s="28">
        <v>27.884290822333991</v>
      </c>
      <c r="V12" s="28">
        <v>1206.4603162463172</v>
      </c>
    </row>
    <row r="13" spans="1:22" ht="11.4" customHeight="1" x14ac:dyDescent="0.2">
      <c r="A13" s="27" t="s">
        <v>94</v>
      </c>
      <c r="B13" s="28" t="s">
        <v>22</v>
      </c>
      <c r="C13" s="28">
        <v>0</v>
      </c>
      <c r="D13" s="28">
        <v>3.7179054429778651</v>
      </c>
      <c r="E13" s="28">
        <v>0</v>
      </c>
      <c r="F13" s="28">
        <v>22.307432657867192</v>
      </c>
      <c r="G13" s="28">
        <v>0</v>
      </c>
      <c r="H13" s="28">
        <v>0</v>
      </c>
      <c r="I13" s="28">
        <v>1.8589527214889325</v>
      </c>
      <c r="J13" s="28">
        <v>167.30574493400394</v>
      </c>
      <c r="K13" s="28">
        <v>18.589527214889326</v>
      </c>
      <c r="L13" s="28">
        <v>381.08530790523116</v>
      </c>
      <c r="M13" s="28">
        <v>11.153716328933596</v>
      </c>
      <c r="N13" s="28">
        <v>7.4358108859557301</v>
      </c>
      <c r="O13" s="28">
        <v>613.45439809134768</v>
      </c>
      <c r="P13" s="27" t="s">
        <v>94</v>
      </c>
      <c r="Q13" s="28" t="s">
        <v>22</v>
      </c>
      <c r="R13" s="28">
        <v>591.14696543348055</v>
      </c>
      <c r="S13" s="28">
        <v>22.307432657867192</v>
      </c>
      <c r="T13" s="28">
        <v>0</v>
      </c>
      <c r="U13" s="28">
        <v>0</v>
      </c>
      <c r="V13" s="28">
        <v>613.45439809134768</v>
      </c>
    </row>
    <row r="14" spans="1:22" ht="11.4" customHeight="1" x14ac:dyDescent="0.2">
      <c r="A14" s="27" t="s">
        <v>97</v>
      </c>
      <c r="B14" s="28" t="s">
        <v>25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1.8589527214889325</v>
      </c>
      <c r="K14" s="28">
        <v>0</v>
      </c>
      <c r="L14" s="28">
        <v>1.8589527214889325</v>
      </c>
      <c r="M14" s="28">
        <v>0</v>
      </c>
      <c r="N14" s="28">
        <v>0</v>
      </c>
      <c r="O14" s="28">
        <v>3.7179054429778651</v>
      </c>
      <c r="P14" s="27" t="s">
        <v>97</v>
      </c>
      <c r="Q14" s="28" t="s">
        <v>25</v>
      </c>
      <c r="R14" s="28">
        <v>3.7179054429778651</v>
      </c>
      <c r="S14" s="28">
        <v>0</v>
      </c>
      <c r="T14" s="28">
        <v>0</v>
      </c>
      <c r="U14" s="28">
        <v>0</v>
      </c>
      <c r="V14" s="28">
        <v>3.7179054429778651</v>
      </c>
    </row>
    <row r="15" spans="1:22" ht="11.4" customHeight="1" x14ac:dyDescent="0.2">
      <c r="A15" s="27" t="s">
        <v>117</v>
      </c>
      <c r="B15" s="28" t="s">
        <v>45</v>
      </c>
      <c r="C15" s="28">
        <v>0</v>
      </c>
      <c r="D15" s="28">
        <v>0</v>
      </c>
      <c r="E15" s="28">
        <v>0</v>
      </c>
      <c r="F15" s="28">
        <v>130.12669050422528</v>
      </c>
      <c r="G15" s="28">
        <v>5.5768581644667981</v>
      </c>
      <c r="H15" s="28">
        <v>0</v>
      </c>
      <c r="I15" s="28">
        <v>0</v>
      </c>
      <c r="J15" s="28">
        <v>187.75422487038219</v>
      </c>
      <c r="K15" s="28">
        <v>61.345439809134774</v>
      </c>
      <c r="L15" s="28">
        <v>24.166385379356125</v>
      </c>
      <c r="M15" s="28">
        <v>176.60050854144862</v>
      </c>
      <c r="N15" s="28">
        <v>1.8589527214889325</v>
      </c>
      <c r="O15" s="28">
        <v>587.42905999050265</v>
      </c>
      <c r="P15" s="27" t="s">
        <v>117</v>
      </c>
      <c r="Q15" s="28" t="s">
        <v>45</v>
      </c>
      <c r="R15" s="28">
        <v>210.06165752824938</v>
      </c>
      <c r="S15" s="28">
        <v>306.7271990456739</v>
      </c>
      <c r="T15" s="28">
        <v>70.640203416579439</v>
      </c>
      <c r="U15" s="28">
        <v>0</v>
      </c>
      <c r="V15" s="28">
        <v>587.42905999050276</v>
      </c>
    </row>
    <row r="16" spans="1:22" ht="11.4" customHeight="1" x14ac:dyDescent="0.2">
      <c r="A16" s="27" t="s">
        <v>114</v>
      </c>
      <c r="B16" s="28" t="s">
        <v>42</v>
      </c>
      <c r="C16" s="28">
        <v>0</v>
      </c>
      <c r="D16" s="28">
        <v>0</v>
      </c>
      <c r="E16" s="28">
        <v>66.922297973601587</v>
      </c>
      <c r="F16" s="28">
        <v>33.461148986800794</v>
      </c>
      <c r="G16" s="28">
        <v>0</v>
      </c>
      <c r="H16" s="28">
        <v>0</v>
      </c>
      <c r="I16" s="28">
        <v>0</v>
      </c>
      <c r="J16" s="28">
        <v>5.5768581644667981</v>
      </c>
      <c r="K16" s="28">
        <v>22.307432657867192</v>
      </c>
      <c r="L16" s="28">
        <v>0</v>
      </c>
      <c r="M16" s="28">
        <v>0</v>
      </c>
      <c r="N16" s="28">
        <v>0</v>
      </c>
      <c r="O16" s="28">
        <v>128.26773778273636</v>
      </c>
      <c r="P16" s="27" t="s">
        <v>114</v>
      </c>
      <c r="Q16" s="28" t="s">
        <v>42</v>
      </c>
      <c r="R16" s="28">
        <v>27.884290822333991</v>
      </c>
      <c r="S16" s="28">
        <v>0</v>
      </c>
      <c r="T16" s="28">
        <v>0</v>
      </c>
      <c r="U16" s="28">
        <v>100.38344696040235</v>
      </c>
      <c r="V16" s="28">
        <v>128.26773778273633</v>
      </c>
    </row>
    <row r="17" spans="1:22" ht="11.4" customHeight="1" x14ac:dyDescent="0.2">
      <c r="A17" s="27" t="s">
        <v>112</v>
      </c>
      <c r="B17" s="28" t="s">
        <v>40</v>
      </c>
      <c r="C17" s="28">
        <v>0</v>
      </c>
      <c r="D17" s="28">
        <v>0</v>
      </c>
      <c r="E17" s="28">
        <v>1464.854744533279</v>
      </c>
      <c r="F17" s="28">
        <v>48.33277075871225</v>
      </c>
      <c r="G17" s="28">
        <v>3.7179054429778651</v>
      </c>
      <c r="H17" s="28">
        <v>55.768581644667982</v>
      </c>
      <c r="I17" s="28">
        <v>14.87162177191146</v>
      </c>
      <c r="J17" s="28">
        <v>470.31503853669994</v>
      </c>
      <c r="K17" s="28">
        <v>14.87162177191146</v>
      </c>
      <c r="L17" s="28">
        <v>50.191723480201176</v>
      </c>
      <c r="M17" s="28">
        <v>13.012669050422529</v>
      </c>
      <c r="N17" s="28">
        <v>5.5768581644667981</v>
      </c>
      <c r="O17" s="28">
        <v>2141.5135351552508</v>
      </c>
      <c r="P17" s="27" t="s">
        <v>112</v>
      </c>
      <c r="Q17" s="28" t="s">
        <v>40</v>
      </c>
      <c r="R17" s="28">
        <v>596.72382359794744</v>
      </c>
      <c r="S17" s="28">
        <v>0</v>
      </c>
      <c r="T17" s="28">
        <v>0</v>
      </c>
      <c r="U17" s="28">
        <v>1544.789711557303</v>
      </c>
      <c r="V17" s="28">
        <v>2141.5135351552503</v>
      </c>
    </row>
    <row r="18" spans="1:22" ht="11.4" customHeight="1" x14ac:dyDescent="0.2">
      <c r="A18" s="27" t="s">
        <v>116</v>
      </c>
      <c r="B18" s="28" t="s">
        <v>44</v>
      </c>
      <c r="C18" s="28">
        <v>48.33277075871225</v>
      </c>
      <c r="D18" s="28">
        <v>68.781250695090506</v>
      </c>
      <c r="E18" s="28">
        <v>172.88260309847072</v>
      </c>
      <c r="F18" s="28">
        <v>31.602196265311857</v>
      </c>
      <c r="G18" s="28">
        <v>48.33277075871225</v>
      </c>
      <c r="H18" s="28">
        <v>37.179054429778652</v>
      </c>
      <c r="I18" s="28">
        <v>57.627534366156915</v>
      </c>
      <c r="J18" s="28">
        <v>176.60050854144862</v>
      </c>
      <c r="K18" s="28">
        <v>20.448479936378259</v>
      </c>
      <c r="L18" s="28">
        <v>79.934967024024104</v>
      </c>
      <c r="M18" s="28">
        <v>291.85557727376244</v>
      </c>
      <c r="N18" s="28">
        <v>31.602196265311857</v>
      </c>
      <c r="O18" s="28">
        <v>1065.1799094131586</v>
      </c>
      <c r="P18" s="27" t="s">
        <v>116</v>
      </c>
      <c r="Q18" s="28" t="s">
        <v>44</v>
      </c>
      <c r="R18" s="28">
        <v>358.77787524736402</v>
      </c>
      <c r="S18" s="28">
        <v>126.40878506124743</v>
      </c>
      <c r="T18" s="28">
        <v>312.30405721014068</v>
      </c>
      <c r="U18" s="28">
        <v>267.68919189440635</v>
      </c>
      <c r="V18" s="28">
        <v>1065.1799094131584</v>
      </c>
    </row>
    <row r="19" spans="1:22" ht="11.4" customHeight="1" x14ac:dyDescent="0.2">
      <c r="A19" s="27" t="s">
        <v>107</v>
      </c>
      <c r="B19" s="28" t="s">
        <v>35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22.307432657867192</v>
      </c>
      <c r="J19" s="28">
        <v>316.02196265311858</v>
      </c>
      <c r="K19" s="28">
        <v>31.602196265311857</v>
      </c>
      <c r="L19" s="28">
        <v>514.92990385243434</v>
      </c>
      <c r="M19" s="28">
        <v>53.909628923179049</v>
      </c>
      <c r="N19" s="28">
        <v>0</v>
      </c>
      <c r="O19" s="28">
        <v>938.77112435191111</v>
      </c>
      <c r="P19" s="27" t="s">
        <v>107</v>
      </c>
      <c r="Q19" s="28" t="s">
        <v>35</v>
      </c>
      <c r="R19" s="28">
        <v>635.76183074921494</v>
      </c>
      <c r="S19" s="28">
        <v>210.06165752824938</v>
      </c>
      <c r="T19" s="28">
        <v>37.179054429778652</v>
      </c>
      <c r="U19" s="28">
        <v>55.768581644667982</v>
      </c>
      <c r="V19" s="28">
        <v>938.77112435191088</v>
      </c>
    </row>
    <row r="20" spans="1:22" ht="11.4" customHeight="1" x14ac:dyDescent="0.2">
      <c r="A20" s="27" t="s">
        <v>100</v>
      </c>
      <c r="B20" s="28" t="s">
        <v>28</v>
      </c>
      <c r="C20" s="28">
        <v>0</v>
      </c>
      <c r="D20" s="28">
        <v>1.8589527214889325</v>
      </c>
      <c r="E20" s="28">
        <v>0</v>
      </c>
      <c r="F20" s="28">
        <v>0</v>
      </c>
      <c r="G20" s="28">
        <v>20.448479936378259</v>
      </c>
      <c r="H20" s="28">
        <v>0</v>
      </c>
      <c r="I20" s="28">
        <v>20.448479936378259</v>
      </c>
      <c r="J20" s="28">
        <v>773.32433213939601</v>
      </c>
      <c r="K20" s="28">
        <v>1.8589527214889325</v>
      </c>
      <c r="L20" s="28">
        <v>26.025338100845058</v>
      </c>
      <c r="M20" s="28">
        <v>35.32010170828972</v>
      </c>
      <c r="N20" s="28">
        <v>0</v>
      </c>
      <c r="O20" s="28">
        <v>879.28463726426514</v>
      </c>
      <c r="P20" s="27" t="s">
        <v>100</v>
      </c>
      <c r="Q20" s="28" t="s">
        <v>28</v>
      </c>
      <c r="R20" s="28">
        <v>801.20862296172993</v>
      </c>
      <c r="S20" s="28">
        <v>66.922297973601587</v>
      </c>
      <c r="T20" s="28">
        <v>11.153716328933596</v>
      </c>
      <c r="U20" s="28">
        <v>0</v>
      </c>
      <c r="V20" s="28">
        <v>879.28463726426503</v>
      </c>
    </row>
    <row r="21" spans="1:22" ht="11.4" customHeight="1" x14ac:dyDescent="0.2">
      <c r="A21" s="27" t="s">
        <v>108</v>
      </c>
      <c r="B21" s="28" t="s">
        <v>36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115.25506873231383</v>
      </c>
      <c r="K21" s="28">
        <v>0</v>
      </c>
      <c r="L21" s="28">
        <v>13.012669050422529</v>
      </c>
      <c r="M21" s="28">
        <v>59.486487087645841</v>
      </c>
      <c r="N21" s="28">
        <v>0</v>
      </c>
      <c r="O21" s="28">
        <v>187.75422487038219</v>
      </c>
      <c r="P21" s="27" t="s">
        <v>108</v>
      </c>
      <c r="Q21" s="28" t="s">
        <v>36</v>
      </c>
      <c r="R21" s="28">
        <v>154.29307588358142</v>
      </c>
      <c r="S21" s="28">
        <v>18.589527214889326</v>
      </c>
      <c r="T21" s="28">
        <v>14.87162177191146</v>
      </c>
      <c r="U21" s="28">
        <v>0</v>
      </c>
      <c r="V21" s="28">
        <v>187.75422487038222</v>
      </c>
    </row>
    <row r="22" spans="1:22" ht="11.4" customHeight="1" x14ac:dyDescent="0.2">
      <c r="A22" s="27" t="s">
        <v>104</v>
      </c>
      <c r="B22" s="28" t="s">
        <v>32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13.012669050422529</v>
      </c>
      <c r="K22" s="28">
        <v>0</v>
      </c>
      <c r="L22" s="28">
        <v>14.87162177191146</v>
      </c>
      <c r="M22" s="28">
        <v>85.511825188490903</v>
      </c>
      <c r="N22" s="28">
        <v>0</v>
      </c>
      <c r="O22" s="28">
        <v>113.3961160108249</v>
      </c>
      <c r="P22" s="27" t="s">
        <v>104</v>
      </c>
      <c r="Q22" s="28" t="s">
        <v>32</v>
      </c>
      <c r="R22" s="28">
        <v>18.589527214889326</v>
      </c>
      <c r="S22" s="28">
        <v>85.511825188490903</v>
      </c>
      <c r="T22" s="28">
        <v>9.2947636074446631</v>
      </c>
      <c r="U22" s="28">
        <v>0</v>
      </c>
      <c r="V22" s="28">
        <v>113.3961160108249</v>
      </c>
    </row>
    <row r="23" spans="1:22" ht="11.4" customHeight="1" x14ac:dyDescent="0.2">
      <c r="A23" s="27" t="s">
        <v>105</v>
      </c>
      <c r="B23" s="28" t="s">
        <v>33</v>
      </c>
      <c r="C23" s="28">
        <v>0</v>
      </c>
      <c r="D23" s="28">
        <v>1.8589527214889325</v>
      </c>
      <c r="E23" s="28">
        <v>1.8589527214889325</v>
      </c>
      <c r="F23" s="28">
        <v>1.8589527214889325</v>
      </c>
      <c r="G23" s="28">
        <v>42.755912594245451</v>
      </c>
      <c r="H23" s="28">
        <v>0</v>
      </c>
      <c r="I23" s="28">
        <v>3.7179054429778651</v>
      </c>
      <c r="J23" s="28">
        <v>87.37077790997985</v>
      </c>
      <c r="K23" s="28">
        <v>0</v>
      </c>
      <c r="L23" s="28">
        <v>1.8589527214889325</v>
      </c>
      <c r="M23" s="28">
        <v>14.87162177191146</v>
      </c>
      <c r="N23" s="28">
        <v>0</v>
      </c>
      <c r="O23" s="28">
        <v>156.15202860507034</v>
      </c>
      <c r="P23" s="27" t="s">
        <v>105</v>
      </c>
      <c r="Q23" s="28" t="s">
        <v>33</v>
      </c>
      <c r="R23" s="28">
        <v>107.8192578463581</v>
      </c>
      <c r="S23" s="28">
        <v>48.33277075871225</v>
      </c>
      <c r="T23" s="28">
        <v>0</v>
      </c>
      <c r="U23" s="28">
        <v>0</v>
      </c>
      <c r="V23" s="28">
        <v>156.15202860507034</v>
      </c>
    </row>
    <row r="24" spans="1:22" ht="11.4" customHeight="1" x14ac:dyDescent="0.2">
      <c r="A24" s="27" t="s">
        <v>109</v>
      </c>
      <c r="B24" s="28" t="s">
        <v>37</v>
      </c>
      <c r="C24" s="28">
        <v>0</v>
      </c>
      <c r="D24" s="28">
        <v>0</v>
      </c>
      <c r="E24" s="28">
        <v>0</v>
      </c>
      <c r="F24" s="28">
        <v>39.038007151267585</v>
      </c>
      <c r="G24" s="28">
        <v>27.884290822333991</v>
      </c>
      <c r="H24" s="28">
        <v>0</v>
      </c>
      <c r="I24" s="28">
        <v>3.7179054429778651</v>
      </c>
      <c r="J24" s="28">
        <v>98.524494238913434</v>
      </c>
      <c r="K24" s="28">
        <v>1.8589527214889325</v>
      </c>
      <c r="L24" s="28">
        <v>7.4358108859557301</v>
      </c>
      <c r="M24" s="28">
        <v>33.461148986800794</v>
      </c>
      <c r="N24" s="28">
        <v>0</v>
      </c>
      <c r="O24" s="28">
        <v>211.92061024973833</v>
      </c>
      <c r="P24" s="27" t="s">
        <v>109</v>
      </c>
      <c r="Q24" s="28" t="s">
        <v>37</v>
      </c>
      <c r="R24" s="28">
        <v>55.768581644667982</v>
      </c>
      <c r="S24" s="28">
        <v>152.43412316209248</v>
      </c>
      <c r="T24" s="28">
        <v>3.7179054429778651</v>
      </c>
      <c r="U24" s="28">
        <v>0</v>
      </c>
      <c r="V24" s="28">
        <v>211.92061024973833</v>
      </c>
    </row>
    <row r="25" spans="1:22" ht="11.4" customHeight="1" x14ac:dyDescent="0.2">
      <c r="A25" s="27" t="s">
        <v>96</v>
      </c>
      <c r="B25" s="28" t="s">
        <v>24</v>
      </c>
      <c r="C25" s="28">
        <v>0</v>
      </c>
      <c r="D25" s="28">
        <v>7.4358108859557301</v>
      </c>
      <c r="E25" s="28">
        <v>0</v>
      </c>
      <c r="F25" s="28">
        <v>55.768581644667982</v>
      </c>
      <c r="G25" s="28">
        <v>7.4358108859557301</v>
      </c>
      <c r="H25" s="28">
        <v>0</v>
      </c>
      <c r="I25" s="28">
        <v>117.11402145380276</v>
      </c>
      <c r="J25" s="28">
        <v>107.8192578463581</v>
      </c>
      <c r="K25" s="28">
        <v>16.730574493400397</v>
      </c>
      <c r="L25" s="28">
        <v>7.4358108859557301</v>
      </c>
      <c r="M25" s="28">
        <v>46.473818037223317</v>
      </c>
      <c r="N25" s="28">
        <v>0</v>
      </c>
      <c r="O25" s="28">
        <v>366.21368613331975</v>
      </c>
      <c r="P25" s="27" t="s">
        <v>96</v>
      </c>
      <c r="Q25" s="28" t="s">
        <v>24</v>
      </c>
      <c r="R25" s="28">
        <v>275.12500278036202</v>
      </c>
      <c r="S25" s="28">
        <v>91.088683352957688</v>
      </c>
      <c r="T25" s="28">
        <v>0</v>
      </c>
      <c r="U25" s="28">
        <v>0</v>
      </c>
      <c r="V25" s="28">
        <v>366.2136861333197</v>
      </c>
    </row>
    <row r="26" spans="1:22" ht="11.4" customHeight="1" x14ac:dyDescent="0.2">
      <c r="A26" s="27" t="s">
        <v>120</v>
      </c>
      <c r="B26" s="28" t="s">
        <v>48</v>
      </c>
      <c r="C26" s="28">
        <v>9.2947636074446631</v>
      </c>
      <c r="D26" s="28">
        <v>5.5768581644667981</v>
      </c>
      <c r="E26" s="28">
        <v>217.49746841420512</v>
      </c>
      <c r="F26" s="28">
        <v>37.179054429778652</v>
      </c>
      <c r="G26" s="28">
        <v>26.025338100845058</v>
      </c>
      <c r="H26" s="28">
        <v>0</v>
      </c>
      <c r="I26" s="28">
        <v>139.42145411166996</v>
      </c>
      <c r="J26" s="28">
        <v>195.19003575633795</v>
      </c>
      <c r="K26" s="28">
        <v>191.47213031336005</v>
      </c>
      <c r="L26" s="28">
        <v>65.06334525211264</v>
      </c>
      <c r="M26" s="28">
        <v>42.755912594245451</v>
      </c>
      <c r="N26" s="28">
        <v>14.87162177191146</v>
      </c>
      <c r="O26" s="28">
        <v>944.34798251637778</v>
      </c>
      <c r="P26" s="27" t="s">
        <v>120</v>
      </c>
      <c r="Q26" s="28" t="s">
        <v>48</v>
      </c>
      <c r="R26" s="28">
        <v>323.45777353907425</v>
      </c>
      <c r="S26" s="28">
        <v>288.1376718307846</v>
      </c>
      <c r="T26" s="28">
        <v>206.34375208527152</v>
      </c>
      <c r="U26" s="28">
        <v>126.40878506124743</v>
      </c>
      <c r="V26" s="28">
        <v>944.34798251637778</v>
      </c>
    </row>
    <row r="27" spans="1:22" ht="11.4" customHeight="1" x14ac:dyDescent="0.2">
      <c r="A27" s="27" t="s">
        <v>102</v>
      </c>
      <c r="B27" s="28" t="s">
        <v>30</v>
      </c>
      <c r="C27" s="28">
        <v>5.5768581644667981</v>
      </c>
      <c r="D27" s="28">
        <v>139.42145411166996</v>
      </c>
      <c r="E27" s="28">
        <v>470.31503853669994</v>
      </c>
      <c r="F27" s="28">
        <v>263.97128645142845</v>
      </c>
      <c r="G27" s="28">
        <v>14.87162177191146</v>
      </c>
      <c r="H27" s="28">
        <v>5.5768581644667981</v>
      </c>
      <c r="I27" s="28">
        <v>109.67821056784702</v>
      </c>
      <c r="J27" s="28">
        <v>1319.8564322571422</v>
      </c>
      <c r="K27" s="28">
        <v>198.90794119931579</v>
      </c>
      <c r="L27" s="28">
        <v>33.461148986800794</v>
      </c>
      <c r="M27" s="28">
        <v>604.15963448390312</v>
      </c>
      <c r="N27" s="28">
        <v>223.07432657867193</v>
      </c>
      <c r="O27" s="28">
        <v>3388.8708112743238</v>
      </c>
      <c r="P27" s="27" t="s">
        <v>102</v>
      </c>
      <c r="Q27" s="28" t="s">
        <v>30</v>
      </c>
      <c r="R27" s="28">
        <v>1490.8800826341242</v>
      </c>
      <c r="S27" s="28">
        <v>1046.590382198269</v>
      </c>
      <c r="T27" s="28">
        <v>70.640203416579439</v>
      </c>
      <c r="U27" s="28">
        <v>780.76014302535179</v>
      </c>
      <c r="V27" s="28">
        <v>3388.8708112743243</v>
      </c>
    </row>
    <row r="28" spans="1:22" ht="11.4" customHeight="1" x14ac:dyDescent="0.2">
      <c r="A28" s="27" t="s">
        <v>98</v>
      </c>
      <c r="B28" s="28" t="s">
        <v>26</v>
      </c>
      <c r="C28" s="28">
        <v>14.87162177191146</v>
      </c>
      <c r="D28" s="28">
        <v>57.627534366156915</v>
      </c>
      <c r="E28" s="28">
        <v>55.768581644667982</v>
      </c>
      <c r="F28" s="28">
        <v>61.345439809134774</v>
      </c>
      <c r="G28" s="28">
        <v>18.589527214889326</v>
      </c>
      <c r="H28" s="28">
        <v>0</v>
      </c>
      <c r="I28" s="28">
        <v>46.473818037223317</v>
      </c>
      <c r="J28" s="28">
        <v>104.10135240338023</v>
      </c>
      <c r="K28" s="28">
        <v>18.589527214889326</v>
      </c>
      <c r="L28" s="28">
        <v>35.32010170828972</v>
      </c>
      <c r="M28" s="28">
        <v>219.35642113569403</v>
      </c>
      <c r="N28" s="28">
        <v>24.166385379356125</v>
      </c>
      <c r="O28" s="28">
        <v>656.21031068559319</v>
      </c>
      <c r="P28" s="27" t="s">
        <v>98</v>
      </c>
      <c r="Q28" s="28" t="s">
        <v>26</v>
      </c>
      <c r="R28" s="28">
        <v>252.81757012249486</v>
      </c>
      <c r="S28" s="28">
        <v>206.34375208527152</v>
      </c>
      <c r="T28" s="28">
        <v>141.28040683315888</v>
      </c>
      <c r="U28" s="28">
        <v>55.768581644667982</v>
      </c>
      <c r="V28" s="28">
        <v>656.21031068559319</v>
      </c>
    </row>
    <row r="29" spans="1:22" ht="11.4" customHeight="1" x14ac:dyDescent="0.2">
      <c r="A29" s="27" t="s">
        <v>93</v>
      </c>
      <c r="B29" s="28" t="s">
        <v>21</v>
      </c>
      <c r="C29" s="28">
        <v>3.7179054429778651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1.8589527214889325</v>
      </c>
      <c r="J29" s="28">
        <v>0</v>
      </c>
      <c r="K29" s="28">
        <v>9.2947636074446631</v>
      </c>
      <c r="L29" s="28">
        <v>11.153716328933596</v>
      </c>
      <c r="M29" s="28">
        <v>3.7179054429778651</v>
      </c>
      <c r="N29" s="28">
        <v>0</v>
      </c>
      <c r="O29" s="28">
        <v>29.743243543822921</v>
      </c>
      <c r="P29" s="27" t="s">
        <v>93</v>
      </c>
      <c r="Q29" s="28" t="s">
        <v>21</v>
      </c>
      <c r="R29" s="28">
        <v>11.153716328933596</v>
      </c>
      <c r="S29" s="28">
        <v>18.589527214889326</v>
      </c>
      <c r="T29" s="28">
        <v>0</v>
      </c>
      <c r="U29" s="28">
        <v>0</v>
      </c>
      <c r="V29" s="28">
        <v>29.743243543822921</v>
      </c>
    </row>
    <row r="30" spans="1:22" ht="11.4" customHeight="1" x14ac:dyDescent="0.2">
      <c r="A30" s="27" t="s">
        <v>115</v>
      </c>
      <c r="B30" s="28" t="s">
        <v>43</v>
      </c>
      <c r="C30" s="28">
        <v>16.730574493400397</v>
      </c>
      <c r="D30" s="28">
        <v>9.2947636074446631</v>
      </c>
      <c r="E30" s="28">
        <v>52.050676201690116</v>
      </c>
      <c r="F30" s="28">
        <v>46.473818037223317</v>
      </c>
      <c r="G30" s="28">
        <v>26.025338100845058</v>
      </c>
      <c r="H30" s="28">
        <v>0</v>
      </c>
      <c r="I30" s="28">
        <v>14.87162177191146</v>
      </c>
      <c r="J30" s="28">
        <v>39.038007151267585</v>
      </c>
      <c r="K30" s="28">
        <v>5.5768581644667981</v>
      </c>
      <c r="L30" s="28">
        <v>9.2947636074446631</v>
      </c>
      <c r="M30" s="28">
        <v>20.448479936378259</v>
      </c>
      <c r="N30" s="28">
        <v>9.2947636074446631</v>
      </c>
      <c r="O30" s="28">
        <v>249.09966467951693</v>
      </c>
      <c r="P30" s="27" t="s">
        <v>115</v>
      </c>
      <c r="Q30" s="28" t="s">
        <v>43</v>
      </c>
      <c r="R30" s="28">
        <v>37.179054429778652</v>
      </c>
      <c r="S30" s="28">
        <v>89.229730631468769</v>
      </c>
      <c r="T30" s="28">
        <v>122.69087961826955</v>
      </c>
      <c r="U30" s="28">
        <v>0</v>
      </c>
      <c r="V30" s="28">
        <v>249.09966467951696</v>
      </c>
    </row>
    <row r="31" spans="1:22" ht="11.4" customHeight="1" x14ac:dyDescent="0.2">
      <c r="A31" s="27" t="s">
        <v>111</v>
      </c>
      <c r="B31" s="28" t="s">
        <v>39</v>
      </c>
      <c r="C31" s="28">
        <v>9.2947636074446631</v>
      </c>
      <c r="D31" s="28">
        <v>3.7179054429778651</v>
      </c>
      <c r="E31" s="28">
        <v>22.307432657867192</v>
      </c>
      <c r="F31" s="28">
        <v>48.33277075871225</v>
      </c>
      <c r="G31" s="28">
        <v>0</v>
      </c>
      <c r="H31" s="28">
        <v>0</v>
      </c>
      <c r="I31" s="28">
        <v>5.5768581644667981</v>
      </c>
      <c r="J31" s="28">
        <v>39.038007151267585</v>
      </c>
      <c r="K31" s="28">
        <v>37.179054429778652</v>
      </c>
      <c r="L31" s="28">
        <v>27.884290822333991</v>
      </c>
      <c r="M31" s="28">
        <v>59.486487087645841</v>
      </c>
      <c r="N31" s="28">
        <v>0</v>
      </c>
      <c r="O31" s="28">
        <v>252.81757012249483</v>
      </c>
      <c r="P31" s="27" t="s">
        <v>111</v>
      </c>
      <c r="Q31" s="28" t="s">
        <v>39</v>
      </c>
      <c r="R31" s="28">
        <v>122.69087961826955</v>
      </c>
      <c r="S31" s="28">
        <v>85.511825188490903</v>
      </c>
      <c r="T31" s="28">
        <v>0</v>
      </c>
      <c r="U31" s="28">
        <v>44.614865315734384</v>
      </c>
      <c r="V31" s="28">
        <v>252.81757012249483</v>
      </c>
    </row>
    <row r="32" spans="1:22" ht="11.4" customHeight="1" x14ac:dyDescent="0.2">
      <c r="A32" s="27" t="s">
        <v>118</v>
      </c>
      <c r="B32" s="28" t="s">
        <v>46</v>
      </c>
      <c r="C32" s="28">
        <v>26.025338100845058</v>
      </c>
      <c r="D32" s="28">
        <v>0</v>
      </c>
      <c r="E32" s="28">
        <v>11.153716328933596</v>
      </c>
      <c r="F32" s="28">
        <v>1.8589527214889325</v>
      </c>
      <c r="G32" s="28">
        <v>11.153716328933596</v>
      </c>
      <c r="H32" s="28">
        <v>0</v>
      </c>
      <c r="I32" s="28">
        <v>0</v>
      </c>
      <c r="J32" s="28">
        <v>0</v>
      </c>
      <c r="K32" s="28">
        <v>144.99831227613674</v>
      </c>
      <c r="L32" s="28">
        <v>50.191723480201176</v>
      </c>
      <c r="M32" s="28">
        <v>18.589527214889326</v>
      </c>
      <c r="N32" s="28">
        <v>1.8589527214889325</v>
      </c>
      <c r="O32" s="28">
        <v>265.83023917291735</v>
      </c>
      <c r="P32" s="27" t="s">
        <v>118</v>
      </c>
      <c r="Q32" s="28" t="s">
        <v>46</v>
      </c>
      <c r="R32" s="28">
        <v>48.33277075871225</v>
      </c>
      <c r="S32" s="28">
        <v>66.922297973601587</v>
      </c>
      <c r="T32" s="28">
        <v>0</v>
      </c>
      <c r="U32" s="28">
        <v>150.57517044060356</v>
      </c>
      <c r="V32" s="28">
        <v>265.8302391729174</v>
      </c>
    </row>
    <row r="33" spans="1:22" ht="11.4" customHeight="1" x14ac:dyDescent="0.2">
      <c r="A33" s="27" t="s">
        <v>124</v>
      </c>
      <c r="B33" s="28" t="s">
        <v>52</v>
      </c>
      <c r="C33" s="28">
        <v>0</v>
      </c>
      <c r="D33" s="28">
        <v>24.166385379356125</v>
      </c>
      <c r="E33" s="28">
        <v>0</v>
      </c>
      <c r="F33" s="28">
        <v>37.179054429778652</v>
      </c>
      <c r="G33" s="28">
        <v>208.20270480676047</v>
      </c>
      <c r="H33" s="28">
        <v>278.84290822333992</v>
      </c>
      <c r="I33" s="28">
        <v>1.8589527214889325</v>
      </c>
      <c r="J33" s="28">
        <v>271.40709733738419</v>
      </c>
      <c r="K33" s="28">
        <v>0</v>
      </c>
      <c r="L33" s="28">
        <v>66.922297973601587</v>
      </c>
      <c r="M33" s="28">
        <v>42.755912594245451</v>
      </c>
      <c r="N33" s="28">
        <v>9.2947636074446631</v>
      </c>
      <c r="O33" s="28">
        <v>940.6300770734</v>
      </c>
      <c r="P33" s="27" t="s">
        <v>124</v>
      </c>
      <c r="Q33" s="28" t="s">
        <v>52</v>
      </c>
      <c r="R33" s="28">
        <v>446.14865315734386</v>
      </c>
      <c r="S33" s="28">
        <v>26.025338100845058</v>
      </c>
      <c r="T33" s="28">
        <v>314.16300993162963</v>
      </c>
      <c r="U33" s="28">
        <v>154.29307588358142</v>
      </c>
      <c r="V33" s="28">
        <v>940.63007707339989</v>
      </c>
    </row>
    <row r="34" spans="1:22" ht="11.4" customHeight="1" x14ac:dyDescent="0.2">
      <c r="A34" s="27" t="s">
        <v>123</v>
      </c>
      <c r="B34" s="28" t="s">
        <v>51</v>
      </c>
      <c r="C34" s="28">
        <v>0</v>
      </c>
      <c r="D34" s="28">
        <v>0</v>
      </c>
      <c r="E34" s="28">
        <v>0</v>
      </c>
      <c r="F34" s="28">
        <v>18.589527214889326</v>
      </c>
      <c r="G34" s="28">
        <v>0</v>
      </c>
      <c r="H34" s="28">
        <v>0</v>
      </c>
      <c r="I34" s="28">
        <v>5.5768581644667981</v>
      </c>
      <c r="J34" s="28">
        <v>102.2423996818913</v>
      </c>
      <c r="K34" s="28">
        <v>1.8589527214889325</v>
      </c>
      <c r="L34" s="28">
        <v>3.7179054429778651</v>
      </c>
      <c r="M34" s="28">
        <v>5.5768581644667981</v>
      </c>
      <c r="N34" s="28">
        <v>0</v>
      </c>
      <c r="O34" s="28">
        <v>137.56250139018101</v>
      </c>
      <c r="P34" s="27" t="s">
        <v>123</v>
      </c>
      <c r="Q34" s="28" t="s">
        <v>51</v>
      </c>
      <c r="R34" s="28">
        <v>48.33277075871225</v>
      </c>
      <c r="S34" s="28">
        <v>89.229730631468769</v>
      </c>
      <c r="T34" s="28">
        <v>0</v>
      </c>
      <c r="U34" s="28">
        <v>0</v>
      </c>
      <c r="V34" s="28">
        <v>137.56250139018101</v>
      </c>
    </row>
    <row r="35" spans="1:22" ht="11.4" customHeight="1" x14ac:dyDescent="0.2">
      <c r="A35" s="27" t="s">
        <v>126</v>
      </c>
      <c r="B35" s="28" t="s">
        <v>54</v>
      </c>
      <c r="C35" s="28">
        <v>0</v>
      </c>
      <c r="D35" s="28">
        <v>26.025338100845058</v>
      </c>
      <c r="E35" s="28">
        <v>0</v>
      </c>
      <c r="F35" s="28">
        <v>5.5768581644667981</v>
      </c>
      <c r="G35" s="28">
        <v>0</v>
      </c>
      <c r="H35" s="28">
        <v>0</v>
      </c>
      <c r="I35" s="28">
        <v>7.4358108859557301</v>
      </c>
      <c r="J35" s="28">
        <v>22.307432657867192</v>
      </c>
      <c r="K35" s="28">
        <v>0</v>
      </c>
      <c r="L35" s="28">
        <v>11.153716328933596</v>
      </c>
      <c r="M35" s="28">
        <v>0</v>
      </c>
      <c r="N35" s="28">
        <v>0</v>
      </c>
      <c r="O35" s="28">
        <v>72.499156138068372</v>
      </c>
      <c r="P35" s="27" t="s">
        <v>126</v>
      </c>
      <c r="Q35" s="28" t="s">
        <v>54</v>
      </c>
      <c r="R35" s="28">
        <v>70.640203416579439</v>
      </c>
      <c r="S35" s="28">
        <v>1.8589527214889325</v>
      </c>
      <c r="T35" s="28">
        <v>0</v>
      </c>
      <c r="U35" s="28">
        <v>0</v>
      </c>
      <c r="V35" s="28">
        <v>72.499156138068372</v>
      </c>
    </row>
    <row r="36" spans="1:22" ht="11.4" customHeight="1" x14ac:dyDescent="0.2">
      <c r="A36" s="27" t="s">
        <v>129</v>
      </c>
      <c r="B36" s="28" t="s">
        <v>57</v>
      </c>
      <c r="C36" s="28">
        <v>13.012669050422529</v>
      </c>
      <c r="D36" s="28">
        <v>104.10135240338023</v>
      </c>
      <c r="E36" s="28">
        <v>421.98226777798766</v>
      </c>
      <c r="F36" s="28">
        <v>5.5768581644667981</v>
      </c>
      <c r="G36" s="28">
        <v>26.025338100845058</v>
      </c>
      <c r="H36" s="28">
        <v>0</v>
      </c>
      <c r="I36" s="28">
        <v>3.7179054429778651</v>
      </c>
      <c r="J36" s="28">
        <v>111.53716328933596</v>
      </c>
      <c r="K36" s="28">
        <v>165.44679221251499</v>
      </c>
      <c r="L36" s="28">
        <v>27.884290822333991</v>
      </c>
      <c r="M36" s="28">
        <v>284.4197663878067</v>
      </c>
      <c r="N36" s="28">
        <v>0</v>
      </c>
      <c r="O36" s="28">
        <v>1163.704403652072</v>
      </c>
      <c r="P36" s="27" t="s">
        <v>129</v>
      </c>
      <c r="Q36" s="28" t="s">
        <v>57</v>
      </c>
      <c r="R36" s="28">
        <v>236.08699562909445</v>
      </c>
      <c r="S36" s="28">
        <v>102.2423996818913</v>
      </c>
      <c r="T36" s="28">
        <v>61.345439809134774</v>
      </c>
      <c r="U36" s="28">
        <v>764.02956853195133</v>
      </c>
      <c r="V36" s="28">
        <v>1163.704403652072</v>
      </c>
    </row>
    <row r="37" spans="1:22" ht="11.4" customHeight="1" x14ac:dyDescent="0.2">
      <c r="A37" s="27" t="s">
        <v>128</v>
      </c>
      <c r="B37" s="28" t="s">
        <v>56</v>
      </c>
      <c r="C37" s="28">
        <v>13.012669050422529</v>
      </c>
      <c r="D37" s="28">
        <v>9.2947636074446631</v>
      </c>
      <c r="E37" s="28">
        <v>1.8589527214889325</v>
      </c>
      <c r="F37" s="28">
        <v>91.088683352957688</v>
      </c>
      <c r="G37" s="28">
        <v>0</v>
      </c>
      <c r="H37" s="28">
        <v>5.5768581644667981</v>
      </c>
      <c r="I37" s="28">
        <v>76.217061581046238</v>
      </c>
      <c r="J37" s="28">
        <v>174.7415558199597</v>
      </c>
      <c r="K37" s="28">
        <v>250.95861740100591</v>
      </c>
      <c r="L37" s="28">
        <v>65.06334525211264</v>
      </c>
      <c r="M37" s="28">
        <v>184.03631942740435</v>
      </c>
      <c r="N37" s="28">
        <v>3.7179054429778651</v>
      </c>
      <c r="O37" s="28">
        <v>875.56673182128736</v>
      </c>
      <c r="P37" s="27" t="s">
        <v>128</v>
      </c>
      <c r="Q37" s="28" t="s">
        <v>56</v>
      </c>
      <c r="R37" s="28">
        <v>319.73986809609642</v>
      </c>
      <c r="S37" s="28">
        <v>403.39274056309836</v>
      </c>
      <c r="T37" s="28">
        <v>146.85726499762566</v>
      </c>
      <c r="U37" s="28">
        <v>5.5768581644667981</v>
      </c>
      <c r="V37" s="28">
        <v>875.56673182128725</v>
      </c>
    </row>
    <row r="38" spans="1:22" ht="11.4" customHeight="1" x14ac:dyDescent="0.2">
      <c r="A38" s="27" t="s">
        <v>127</v>
      </c>
      <c r="B38" s="28" t="s">
        <v>55</v>
      </c>
      <c r="C38" s="28">
        <v>0</v>
      </c>
      <c r="D38" s="28">
        <v>0</v>
      </c>
      <c r="E38" s="28">
        <v>0</v>
      </c>
      <c r="F38" s="28">
        <v>5.5768581644667981</v>
      </c>
      <c r="G38" s="28">
        <v>0</v>
      </c>
      <c r="H38" s="28">
        <v>0</v>
      </c>
      <c r="I38" s="28">
        <v>9.2947636074446631</v>
      </c>
      <c r="J38" s="28">
        <v>98.524494238913434</v>
      </c>
      <c r="K38" s="28">
        <v>0</v>
      </c>
      <c r="L38" s="28">
        <v>5.5768581644667981</v>
      </c>
      <c r="M38" s="28">
        <v>0</v>
      </c>
      <c r="N38" s="28">
        <v>0</v>
      </c>
      <c r="O38" s="28">
        <v>118.9729741752917</v>
      </c>
      <c r="P38" s="27" t="s">
        <v>127</v>
      </c>
      <c r="Q38" s="28" t="s">
        <v>55</v>
      </c>
      <c r="R38" s="28">
        <v>104.10135240338023</v>
      </c>
      <c r="S38" s="28">
        <v>14.87162177191146</v>
      </c>
      <c r="T38" s="28">
        <v>0</v>
      </c>
      <c r="U38" s="28">
        <v>0</v>
      </c>
      <c r="V38" s="28">
        <v>118.9729741752917</v>
      </c>
    </row>
    <row r="39" spans="1:22" ht="11.4" customHeight="1" x14ac:dyDescent="0.2">
      <c r="A39" s="27" t="s">
        <v>125</v>
      </c>
      <c r="B39" s="28" t="s">
        <v>53</v>
      </c>
      <c r="C39" s="28">
        <v>0</v>
      </c>
      <c r="D39" s="28">
        <v>27.884290822333991</v>
      </c>
      <c r="E39" s="28">
        <v>0</v>
      </c>
      <c r="F39" s="28">
        <v>0</v>
      </c>
      <c r="G39" s="28">
        <v>14.87162177191146</v>
      </c>
      <c r="H39" s="28">
        <v>0</v>
      </c>
      <c r="I39" s="28">
        <v>0</v>
      </c>
      <c r="J39" s="28">
        <v>89.229730631468769</v>
      </c>
      <c r="K39" s="28">
        <v>0</v>
      </c>
      <c r="L39" s="28">
        <v>1.8589527214889325</v>
      </c>
      <c r="M39" s="28">
        <v>37.179054429778652</v>
      </c>
      <c r="N39" s="28">
        <v>0</v>
      </c>
      <c r="O39" s="28">
        <v>171.02365037698181</v>
      </c>
      <c r="P39" s="27" t="s">
        <v>125</v>
      </c>
      <c r="Q39" s="28" t="s">
        <v>53</v>
      </c>
      <c r="R39" s="28">
        <v>109.67821056784702</v>
      </c>
      <c r="S39" s="28">
        <v>61.345439809134774</v>
      </c>
      <c r="T39" s="28">
        <v>0</v>
      </c>
      <c r="U39" s="28">
        <v>0</v>
      </c>
      <c r="V39" s="28">
        <v>171.02365037698178</v>
      </c>
    </row>
    <row r="40" spans="1:22" ht="11.4" customHeight="1" x14ac:dyDescent="0.2">
      <c r="A40" s="27" t="s">
        <v>130</v>
      </c>
      <c r="B40" s="28" t="s">
        <v>58</v>
      </c>
      <c r="C40" s="28">
        <v>0</v>
      </c>
      <c r="D40" s="28">
        <v>5.5768581644667981</v>
      </c>
      <c r="E40" s="28">
        <v>3.7179054429778651</v>
      </c>
      <c r="F40" s="28">
        <v>0</v>
      </c>
      <c r="G40" s="28">
        <v>0</v>
      </c>
      <c r="H40" s="28">
        <v>0</v>
      </c>
      <c r="I40" s="28">
        <v>0</v>
      </c>
      <c r="J40" s="28">
        <v>72.499156138068372</v>
      </c>
      <c r="K40" s="28">
        <v>0</v>
      </c>
      <c r="L40" s="28">
        <v>0</v>
      </c>
      <c r="M40" s="28">
        <v>46.473818037223317</v>
      </c>
      <c r="N40" s="28">
        <v>0</v>
      </c>
      <c r="O40" s="28">
        <v>128.26773778273636</v>
      </c>
      <c r="P40" s="27" t="s">
        <v>130</v>
      </c>
      <c r="Q40" s="28" t="s">
        <v>58</v>
      </c>
      <c r="R40" s="28">
        <v>76.217061581046238</v>
      </c>
      <c r="S40" s="28">
        <v>22.307432657867192</v>
      </c>
      <c r="T40" s="28">
        <v>5.5768581644667981</v>
      </c>
      <c r="U40" s="28">
        <v>24.166385379356125</v>
      </c>
      <c r="V40" s="28">
        <v>128.26773778273636</v>
      </c>
    </row>
    <row r="41" spans="1:22" ht="11.4" customHeight="1" x14ac:dyDescent="0.2">
      <c r="A41" s="27" t="s">
        <v>122</v>
      </c>
      <c r="B41" s="28" t="s">
        <v>50</v>
      </c>
      <c r="C41" s="28">
        <v>0</v>
      </c>
      <c r="D41" s="28">
        <v>0</v>
      </c>
      <c r="E41" s="28">
        <v>0</v>
      </c>
      <c r="F41" s="28">
        <v>1.8589527214889325</v>
      </c>
      <c r="G41" s="28">
        <v>9.2947636074446631</v>
      </c>
      <c r="H41" s="28">
        <v>0</v>
      </c>
      <c r="I41" s="28">
        <v>0</v>
      </c>
      <c r="J41" s="28">
        <v>61.345439809134774</v>
      </c>
      <c r="K41" s="28">
        <v>9.2947636074446631</v>
      </c>
      <c r="L41" s="28">
        <v>7.4358108859557301</v>
      </c>
      <c r="M41" s="28">
        <v>0</v>
      </c>
      <c r="N41" s="28">
        <v>0</v>
      </c>
      <c r="O41" s="28">
        <v>89.229730631468769</v>
      </c>
      <c r="P41" s="27" t="s">
        <v>122</v>
      </c>
      <c r="Q41" s="28" t="s">
        <v>50</v>
      </c>
      <c r="R41" s="28">
        <v>65.06334525211264</v>
      </c>
      <c r="S41" s="28">
        <v>24.166385379356125</v>
      </c>
      <c r="T41" s="28">
        <v>0</v>
      </c>
      <c r="U41" s="28">
        <v>0</v>
      </c>
      <c r="V41" s="28">
        <v>89.229730631468769</v>
      </c>
    </row>
    <row r="42" spans="1:22" ht="11.4" customHeight="1" x14ac:dyDescent="0.2">
      <c r="A42" s="31"/>
      <c r="B42" s="32" t="s">
        <v>59</v>
      </c>
      <c r="C42" s="28">
        <v>193.33108303484897</v>
      </c>
      <c r="D42" s="28">
        <v>574.41639094008019</v>
      </c>
      <c r="E42" s="28">
        <v>3005.926550647604</v>
      </c>
      <c r="F42" s="28">
        <v>1937.0287357914683</v>
      </c>
      <c r="G42" s="28">
        <v>574.41639094008008</v>
      </c>
      <c r="H42" s="28">
        <v>382.94426062672017</v>
      </c>
      <c r="I42" s="28">
        <v>1113.5126801718704</v>
      </c>
      <c r="J42" s="28">
        <v>7305.6841954515039</v>
      </c>
      <c r="K42" s="28">
        <v>1327.2922431430979</v>
      </c>
      <c r="L42" s="28">
        <v>1678.6343075045061</v>
      </c>
      <c r="M42" s="28">
        <v>3143.4890520377844</v>
      </c>
      <c r="N42" s="28">
        <v>351.34206436140835</v>
      </c>
      <c r="O42" s="28">
        <v>21588.017954650975</v>
      </c>
      <c r="P42" s="31"/>
      <c r="Q42" s="32" t="s">
        <v>59</v>
      </c>
      <c r="R42" s="28">
        <v>10196.355677366799</v>
      </c>
      <c r="S42" s="28">
        <v>5219.9392419409205</v>
      </c>
      <c r="T42" s="28">
        <v>2031.8353245874034</v>
      </c>
      <c r="U42" s="28">
        <v>4139.8877107558528</v>
      </c>
      <c r="V42" s="28">
        <v>21588.017954650975</v>
      </c>
    </row>
    <row r="43" spans="1:22" ht="11.4" customHeight="1" x14ac:dyDescent="0.2">
      <c r="O43" s="63">
        <v>31433.864869508161</v>
      </c>
    </row>
    <row r="47" spans="1:22" ht="11.4" customHeight="1" x14ac:dyDescent="0.2">
      <c r="B47" s="63" t="s">
        <v>377</v>
      </c>
    </row>
    <row r="48" spans="1:22" ht="11.4" customHeight="1" x14ac:dyDescent="0.2">
      <c r="B48" s="63" t="s">
        <v>378</v>
      </c>
    </row>
    <row r="51" spans="1:4" ht="11.4" customHeight="1" x14ac:dyDescent="0.25">
      <c r="A51" s="67" t="s">
        <v>0</v>
      </c>
      <c r="B51" s="67" t="s">
        <v>4</v>
      </c>
      <c r="C51" s="33" t="s">
        <v>400</v>
      </c>
      <c r="D51" s="21"/>
    </row>
    <row r="52" spans="1:4" ht="11.4" customHeight="1" x14ac:dyDescent="0.25">
      <c r="A52" s="72">
        <v>1</v>
      </c>
      <c r="B52" s="69" t="s">
        <v>9</v>
      </c>
      <c r="C52" s="34">
        <f>C42</f>
        <v>193.33108303484897</v>
      </c>
      <c r="D52" s="18"/>
    </row>
    <row r="53" spans="1:4" ht="11.4" customHeight="1" x14ac:dyDescent="0.25">
      <c r="A53" s="72">
        <v>2</v>
      </c>
      <c r="B53" s="69" t="s">
        <v>10</v>
      </c>
      <c r="C53" s="34">
        <f>D42</f>
        <v>574.41639094008019</v>
      </c>
      <c r="D53" s="18"/>
    </row>
    <row r="54" spans="1:4" ht="11.4" customHeight="1" x14ac:dyDescent="0.25">
      <c r="A54" s="72">
        <v>3</v>
      </c>
      <c r="B54" s="69" t="s">
        <v>11</v>
      </c>
      <c r="C54" s="34">
        <f>E42</f>
        <v>3005.926550647604</v>
      </c>
      <c r="D54" s="18"/>
    </row>
    <row r="55" spans="1:4" ht="11.4" customHeight="1" x14ac:dyDescent="0.25">
      <c r="A55" s="72">
        <v>4</v>
      </c>
      <c r="B55" s="69" t="s">
        <v>12</v>
      </c>
      <c r="C55" s="34">
        <f>F42</f>
        <v>1937.0287357914683</v>
      </c>
      <c r="D55" s="18"/>
    </row>
    <row r="56" spans="1:4" ht="11.4" customHeight="1" x14ac:dyDescent="0.25">
      <c r="A56" s="72">
        <v>5</v>
      </c>
      <c r="B56" s="69" t="s">
        <v>13</v>
      </c>
      <c r="C56" s="34">
        <f>G42</f>
        <v>574.41639094008008</v>
      </c>
      <c r="D56" s="18"/>
    </row>
    <row r="57" spans="1:4" ht="11.4" customHeight="1" x14ac:dyDescent="0.25">
      <c r="A57" s="72">
        <v>6</v>
      </c>
      <c r="B57" s="69" t="s">
        <v>14</v>
      </c>
      <c r="C57" s="34">
        <f>H42</f>
        <v>382.94426062672017</v>
      </c>
      <c r="D57" s="18"/>
    </row>
    <row r="58" spans="1:4" ht="11.4" customHeight="1" x14ac:dyDescent="0.25">
      <c r="A58" s="72">
        <v>7</v>
      </c>
      <c r="B58" s="69" t="s">
        <v>15</v>
      </c>
      <c r="C58" s="34">
        <f>I42</f>
        <v>1113.5126801718704</v>
      </c>
      <c r="D58" s="18"/>
    </row>
    <row r="59" spans="1:4" ht="11.4" customHeight="1" x14ac:dyDescent="0.25">
      <c r="A59" s="72">
        <v>8</v>
      </c>
      <c r="B59" s="69" t="s">
        <v>19</v>
      </c>
      <c r="C59" s="34">
        <f>J42</f>
        <v>7305.6841954515039</v>
      </c>
      <c r="D59" s="18"/>
    </row>
    <row r="60" spans="1:4" ht="11.4" customHeight="1" x14ac:dyDescent="0.25">
      <c r="A60" s="72">
        <v>9</v>
      </c>
      <c r="B60" s="69" t="s">
        <v>17</v>
      </c>
      <c r="C60" s="34">
        <f>K42</f>
        <v>1327.2922431430979</v>
      </c>
      <c r="D60" s="18"/>
    </row>
    <row r="61" spans="1:4" ht="11.4" customHeight="1" x14ac:dyDescent="0.25">
      <c r="A61" s="72">
        <v>10</v>
      </c>
      <c r="B61" s="69" t="s">
        <v>18</v>
      </c>
      <c r="C61" s="34">
        <f>L42</f>
        <v>1678.6343075045061</v>
      </c>
      <c r="D61" s="18"/>
    </row>
    <row r="62" spans="1:4" ht="11.4" customHeight="1" x14ac:dyDescent="0.25">
      <c r="A62" s="72">
        <v>11</v>
      </c>
      <c r="B62" s="69" t="s">
        <v>20</v>
      </c>
      <c r="C62" s="34">
        <f>M42</f>
        <v>3143.4890520377844</v>
      </c>
      <c r="D62" s="18"/>
    </row>
    <row r="63" spans="1:4" ht="11.4" customHeight="1" x14ac:dyDescent="0.25">
      <c r="A63" s="72">
        <v>12</v>
      </c>
      <c r="B63" s="69" t="s">
        <v>16</v>
      </c>
      <c r="C63" s="34">
        <f>N42</f>
        <v>351.34206436140835</v>
      </c>
      <c r="D63" s="18"/>
    </row>
    <row r="64" spans="1:4" ht="11.4" customHeight="1" x14ac:dyDescent="0.25">
      <c r="A64" s="72"/>
      <c r="B64" s="69" t="s">
        <v>400</v>
      </c>
      <c r="C64" s="34">
        <f>O42</f>
        <v>21588.017954650975</v>
      </c>
      <c r="D64" s="51">
        <f>SUM(C52:C63)</f>
        <v>21588.017954650972</v>
      </c>
    </row>
    <row r="65" spans="1:4" ht="11.4" customHeight="1" x14ac:dyDescent="0.25">
      <c r="A65" s="71"/>
      <c r="B65" s="66"/>
      <c r="C65" s="36"/>
      <c r="D65" s="18"/>
    </row>
    <row r="66" spans="1:4" ht="11.4" customHeight="1" x14ac:dyDescent="0.25">
      <c r="A66" s="75"/>
      <c r="B66" s="75"/>
      <c r="C66" s="75"/>
      <c r="D66" s="18"/>
    </row>
    <row r="67" spans="1:4" ht="11.4" customHeight="1" x14ac:dyDescent="0.25">
      <c r="A67" s="67" t="s">
        <v>0</v>
      </c>
      <c r="B67" s="67" t="s">
        <v>2</v>
      </c>
      <c r="C67" s="33" t="s">
        <v>400</v>
      </c>
      <c r="D67" s="21"/>
    </row>
    <row r="68" spans="1:4" ht="11.4" customHeight="1" x14ac:dyDescent="0.25">
      <c r="A68" s="72">
        <v>1</v>
      </c>
      <c r="B68" s="69" t="s">
        <v>5</v>
      </c>
      <c r="C68" s="34">
        <f>R42</f>
        <v>10196.355677366799</v>
      </c>
      <c r="D68" s="18"/>
    </row>
    <row r="69" spans="1:4" ht="11.4" customHeight="1" x14ac:dyDescent="0.25">
      <c r="A69" s="72">
        <v>2</v>
      </c>
      <c r="B69" s="69" t="s">
        <v>6</v>
      </c>
      <c r="C69" s="34">
        <f>S42</f>
        <v>5219.9392419409205</v>
      </c>
      <c r="D69" s="18"/>
    </row>
    <row r="70" spans="1:4" ht="11.4" customHeight="1" x14ac:dyDescent="0.25">
      <c r="A70" s="72">
        <v>3</v>
      </c>
      <c r="B70" s="69" t="s">
        <v>7</v>
      </c>
      <c r="C70" s="34">
        <f>T42</f>
        <v>2031.8353245874034</v>
      </c>
      <c r="D70" s="18"/>
    </row>
    <row r="71" spans="1:4" ht="11.4" customHeight="1" x14ac:dyDescent="0.25">
      <c r="A71" s="72">
        <v>4</v>
      </c>
      <c r="B71" s="69" t="s">
        <v>8</v>
      </c>
      <c r="C71" s="34">
        <f>U42</f>
        <v>4139.8877107558528</v>
      </c>
      <c r="D71" s="18"/>
    </row>
    <row r="72" spans="1:4" ht="11.4" customHeight="1" x14ac:dyDescent="0.25">
      <c r="A72" s="72"/>
      <c r="B72" s="69" t="s">
        <v>400</v>
      </c>
      <c r="C72" s="34">
        <f>V42</f>
        <v>21588.017954650975</v>
      </c>
      <c r="D72" s="51">
        <f>SUM(C68:C71)</f>
        <v>21588.017954650975</v>
      </c>
    </row>
    <row r="80" spans="1:4" ht="11.4" customHeight="1" x14ac:dyDescent="0.25">
      <c r="A80" s="74" t="s">
        <v>0</v>
      </c>
      <c r="B80" s="74" t="s">
        <v>4</v>
      </c>
      <c r="C80" s="33" t="s">
        <v>445</v>
      </c>
    </row>
    <row r="81" spans="1:3" ht="11.4" customHeight="1" x14ac:dyDescent="0.25">
      <c r="A81" s="72">
        <v>1</v>
      </c>
      <c r="B81" s="69" t="s">
        <v>9</v>
      </c>
      <c r="C81" s="34">
        <f>C52+'DNT (P)'!C52+'DNTT (L)'!C52+'DNTT (P)'!C52+'K (L)'!C52+'K (P)'!C52</f>
        <v>1693.5059292764174</v>
      </c>
    </row>
    <row r="82" spans="1:3" ht="11.4" customHeight="1" x14ac:dyDescent="0.25">
      <c r="A82" s="72">
        <v>2</v>
      </c>
      <c r="B82" s="69" t="s">
        <v>10</v>
      </c>
      <c r="C82" s="34">
        <f>C53+'DNT (P)'!C53+'DNTT (L)'!C53+'DNTT (P)'!C53+'K (L)'!C53+'K (P)'!C53</f>
        <v>5614.0372188965748</v>
      </c>
    </row>
    <row r="83" spans="1:3" ht="11.4" customHeight="1" x14ac:dyDescent="0.25">
      <c r="A83" s="72">
        <v>3</v>
      </c>
      <c r="B83" s="69" t="s">
        <v>11</v>
      </c>
      <c r="C83" s="34">
        <f>C54+'DNT (P)'!C54+'DNTT (L)'!C54+'DNTT (P)'!C54+'K (L)'!C54+'K (P)'!C54</f>
        <v>25950.979991985496</v>
      </c>
    </row>
    <row r="84" spans="1:3" ht="11.4" customHeight="1" x14ac:dyDescent="0.25">
      <c r="A84" s="72">
        <v>4</v>
      </c>
      <c r="B84" s="69" t="s">
        <v>12</v>
      </c>
      <c r="C84" s="34">
        <f>C55+'DNT (P)'!C55+'DNTT (L)'!C55+'DNTT (P)'!C55+'K (L)'!C55+'K (P)'!C55</f>
        <v>11415.828662663536</v>
      </c>
    </row>
    <row r="85" spans="1:3" ht="11.4" customHeight="1" x14ac:dyDescent="0.25">
      <c r="A85" s="72">
        <v>5</v>
      </c>
      <c r="B85" s="69" t="s">
        <v>13</v>
      </c>
      <c r="C85" s="34">
        <f>C56+'DNT (P)'!C56+'DNTT (L)'!C56+'DNTT (P)'!C56+'K (L)'!C56+'K (P)'!C56</f>
        <v>3401.883480324746</v>
      </c>
    </row>
    <row r="86" spans="1:3" ht="11.4" customHeight="1" x14ac:dyDescent="0.25">
      <c r="A86" s="72">
        <v>6</v>
      </c>
      <c r="B86" s="69" t="s">
        <v>14</v>
      </c>
      <c r="C86" s="34">
        <f>C57+'DNT (P)'!C57+'DNTT (L)'!C57+'DNTT (P)'!C57+'K (L)'!C57+'K (P)'!C57</f>
        <v>1379.3429193447878</v>
      </c>
    </row>
    <row r="87" spans="1:3" ht="11.4" customHeight="1" x14ac:dyDescent="0.25">
      <c r="A87" s="72">
        <v>7</v>
      </c>
      <c r="B87" s="69" t="s">
        <v>15</v>
      </c>
      <c r="C87" s="34">
        <f>C58+'DNT (P)'!C58+'DNTT (L)'!C58+'DNTT (P)'!C58+'K (L)'!C58+'K (P)'!C58</f>
        <v>8220.2889344240612</v>
      </c>
    </row>
    <row r="88" spans="1:3" ht="11.4" customHeight="1" x14ac:dyDescent="0.25">
      <c r="A88" s="72">
        <v>8</v>
      </c>
      <c r="B88" s="69" t="s">
        <v>19</v>
      </c>
      <c r="C88" s="34">
        <f>C59+'DNT (P)'!C59+'DNTT (L)'!C59+'DNTT (P)'!C59+'K (L)'!C59+'K (P)'!C59</f>
        <v>58261.437244184621</v>
      </c>
    </row>
    <row r="89" spans="1:3" ht="11.4" customHeight="1" x14ac:dyDescent="0.25">
      <c r="A89" s="72">
        <v>9</v>
      </c>
      <c r="B89" s="69" t="s">
        <v>17</v>
      </c>
      <c r="C89" s="34">
        <f>C60+'DNT (P)'!C60+'DNTT (L)'!C60+'DNTT (P)'!C60+'K (L)'!C60+'K (P)'!C60</f>
        <v>9696.2973952862721</v>
      </c>
    </row>
    <row r="90" spans="1:3" ht="11.4" customHeight="1" x14ac:dyDescent="0.25">
      <c r="A90" s="72">
        <v>10</v>
      </c>
      <c r="B90" s="69" t="s">
        <v>18</v>
      </c>
      <c r="C90" s="34">
        <f>C61+'DNT (P)'!C61+'DNTT (L)'!C61+'DNTT (P)'!C61+'K (L)'!C61+'K (P)'!C61</f>
        <v>11871.272079428325</v>
      </c>
    </row>
    <row r="91" spans="1:3" ht="11.4" customHeight="1" x14ac:dyDescent="0.25">
      <c r="A91" s="72">
        <v>11</v>
      </c>
      <c r="B91" s="69" t="s">
        <v>20</v>
      </c>
      <c r="C91" s="34">
        <f>C62+'DNT (P)'!C62+'DNTT (L)'!C62+'DNTT (P)'!C62+'K (L)'!C62+'K (P)'!C62</f>
        <v>10984.551631278102</v>
      </c>
    </row>
    <row r="92" spans="1:3" ht="11.4" customHeight="1" x14ac:dyDescent="0.25">
      <c r="A92" s="72">
        <v>12</v>
      </c>
      <c r="B92" s="69" t="s">
        <v>16</v>
      </c>
      <c r="C92" s="34">
        <f>C63+'DNT (P)'!C63+'DNTT (L)'!C63+'DNTT (P)'!C63+'K (L)'!C63+'K (P)'!C63</f>
        <v>2689.9045879944861</v>
      </c>
    </row>
    <row r="93" spans="1:3" ht="11.4" customHeight="1" x14ac:dyDescent="0.25">
      <c r="A93" s="72"/>
      <c r="B93" s="69" t="s">
        <v>400</v>
      </c>
      <c r="C93" s="34">
        <f>C64+'DNT (P)'!C64+'DNTT (L)'!C64+'DNTT (P)'!C64+'K (L)'!C64+'K (P)'!C64</f>
        <v>151179.33007508743</v>
      </c>
    </row>
    <row r="94" spans="1:3" ht="11.4" customHeight="1" x14ac:dyDescent="0.25">
      <c r="A94" s="71"/>
      <c r="B94" s="66"/>
      <c r="C94" s="36"/>
    </row>
    <row r="95" spans="1:3" ht="11.4" customHeight="1" x14ac:dyDescent="0.2">
      <c r="A95" s="75"/>
      <c r="B95" s="75"/>
      <c r="C95" s="75"/>
    </row>
    <row r="96" spans="1:3" ht="11.4" customHeight="1" x14ac:dyDescent="0.25">
      <c r="A96" s="74" t="s">
        <v>0</v>
      </c>
      <c r="B96" s="74" t="s">
        <v>2</v>
      </c>
      <c r="C96" s="33" t="s">
        <v>445</v>
      </c>
    </row>
    <row r="97" spans="1:3" ht="11.4" customHeight="1" x14ac:dyDescent="0.25">
      <c r="A97" s="72">
        <v>1</v>
      </c>
      <c r="B97" s="69" t="s">
        <v>5</v>
      </c>
      <c r="C97" s="34">
        <f>'DNT (L)'!C68+'DNT (P)'!C68+'DNTT (L)'!C68+'DNTT (P)'!C68+'K (L)'!C68+'K (P)'!C68</f>
        <v>81911.033766966852</v>
      </c>
    </row>
    <row r="98" spans="1:3" ht="11.4" customHeight="1" x14ac:dyDescent="0.25">
      <c r="A98" s="72">
        <v>2</v>
      </c>
      <c r="B98" s="69" t="s">
        <v>6</v>
      </c>
      <c r="C98" s="34">
        <f>'DNT (L)'!C69+'DNT (P)'!C69+'DNTT (L)'!C69+'DNTT (P)'!C69+'K (L)'!C69+'K (P)'!C69</f>
        <v>28012.558560116726</v>
      </c>
    </row>
    <row r="99" spans="1:3" ht="11.4" customHeight="1" x14ac:dyDescent="0.25">
      <c r="A99" s="72">
        <v>3</v>
      </c>
      <c r="B99" s="69" t="s">
        <v>7</v>
      </c>
      <c r="C99" s="34">
        <f>'DNT (L)'!C70+'DNT (P)'!C70+'DNTT (L)'!C70+'DNTT (P)'!C70+'K (L)'!C70+'K (P)'!C70</f>
        <v>8686.8860675177802</v>
      </c>
    </row>
    <row r="100" spans="1:3" ht="11.4" customHeight="1" x14ac:dyDescent="0.25">
      <c r="A100" s="72">
        <v>4</v>
      </c>
      <c r="B100" s="69" t="s">
        <v>8</v>
      </c>
      <c r="C100" s="34">
        <f>'DNT (L)'!C71+'DNT (P)'!C71+'DNTT (L)'!C71+'DNTT (P)'!C71+'K (L)'!C71+'K (P)'!C71</f>
        <v>32568.851680486099</v>
      </c>
    </row>
    <row r="101" spans="1:3" ht="11.4" customHeight="1" x14ac:dyDescent="0.25">
      <c r="A101" s="72"/>
      <c r="B101" s="69" t="s">
        <v>400</v>
      </c>
      <c r="C101" s="34">
        <f>'DNT (L)'!C72+'DNT (P)'!C72+'DNTT (L)'!C72+'DNTT (P)'!C72+'K (L)'!C72+'K (P)'!C72</f>
        <v>151179.33007508743</v>
      </c>
    </row>
    <row r="104" spans="1:3" ht="11.4" customHeight="1" x14ac:dyDescent="0.2">
      <c r="A104" s="84" t="s">
        <v>0</v>
      </c>
      <c r="B104" s="84" t="s">
        <v>60</v>
      </c>
      <c r="C104" s="33" t="s">
        <v>445</v>
      </c>
    </row>
    <row r="105" spans="1:3" ht="11.4" customHeight="1" x14ac:dyDescent="0.25">
      <c r="A105" s="72">
        <v>1</v>
      </c>
      <c r="B105" s="69" t="s">
        <v>401</v>
      </c>
      <c r="C105" s="34">
        <f>O4+'DNT (P)'!O4+'DNTT (L)'!O4+'DNTT (P)'!O4+'K (L)'!O4+'K (P)'!O4</f>
        <v>2544.9062757183483</v>
      </c>
    </row>
    <row r="106" spans="1:3" ht="11.4" customHeight="1" x14ac:dyDescent="0.25">
      <c r="A106" s="72">
        <v>2</v>
      </c>
      <c r="B106" s="69" t="s">
        <v>402</v>
      </c>
      <c r="C106" s="34">
        <f>O5+'DNT (P)'!O5+'DNTT (L)'!O5+'DNTT (P)'!O5+'K (L)'!O5+'K (P)'!O5</f>
        <v>1541.071806114325</v>
      </c>
    </row>
    <row r="107" spans="1:3" ht="11.4" customHeight="1" x14ac:dyDescent="0.25">
      <c r="A107" s="72">
        <v>3</v>
      </c>
      <c r="B107" s="69" t="s">
        <v>403</v>
      </c>
      <c r="C107" s="34">
        <f>O6+'DNT (P)'!O6+'DNTT (L)'!O6+'DNTT (P)'!O6+'K (L)'!O6+'K (P)'!O6</f>
        <v>3117.4637139369402</v>
      </c>
    </row>
    <row r="108" spans="1:3" ht="11.4" customHeight="1" x14ac:dyDescent="0.25">
      <c r="A108" s="72">
        <v>4</v>
      </c>
      <c r="B108" s="69" t="s">
        <v>404</v>
      </c>
      <c r="C108" s="34">
        <f>O7+'DNT (P)'!O7+'DNTT (L)'!O7+'DNTT (P)'!O7+'K (L)'!O7+'K (P)'!O7</f>
        <v>4258.8606849311454</v>
      </c>
    </row>
    <row r="109" spans="1:3" ht="11.4" customHeight="1" x14ac:dyDescent="0.25">
      <c r="A109" s="72">
        <v>5</v>
      </c>
      <c r="B109" s="69" t="s">
        <v>405</v>
      </c>
      <c r="C109" s="34">
        <f>O8+'DNT (P)'!O8+'DNTT (L)'!O8+'DNTT (P)'!O8+'K (L)'!O8+'K (P)'!O8</f>
        <v>3769.9561191795551</v>
      </c>
    </row>
    <row r="110" spans="1:3" ht="11.4" customHeight="1" x14ac:dyDescent="0.25">
      <c r="A110" s="72">
        <v>6</v>
      </c>
      <c r="B110" s="69" t="s">
        <v>406</v>
      </c>
      <c r="C110" s="34">
        <f>O9+'DNT (P)'!O9+'DNTT (L)'!O9+'DNTT (P)'!O9+'K (L)'!O9+'K (P)'!O9</f>
        <v>1825.4915725021319</v>
      </c>
    </row>
    <row r="111" spans="1:3" ht="11.4" customHeight="1" x14ac:dyDescent="0.25">
      <c r="A111" s="72">
        <v>7</v>
      </c>
      <c r="B111" s="69" t="s">
        <v>407</v>
      </c>
      <c r="C111" s="34">
        <f>O10+'DNT (P)'!O10+'DNTT (L)'!O10+'DNTT (P)'!O10+'K (L)'!O10+'K (P)'!O10</f>
        <v>2262.3454620520315</v>
      </c>
    </row>
    <row r="112" spans="1:3" ht="11.4" customHeight="1" x14ac:dyDescent="0.25">
      <c r="A112" s="72">
        <v>8</v>
      </c>
      <c r="B112" s="69" t="s">
        <v>408</v>
      </c>
      <c r="C112" s="34">
        <f>O11+'DNT (P)'!O11+'DNTT (L)'!O11+'DNTT (P)'!O11+'K (L)'!O11+'K (P)'!O11</f>
        <v>3420.4730075396355</v>
      </c>
    </row>
    <row r="113" spans="1:3" ht="11.4" customHeight="1" x14ac:dyDescent="0.25">
      <c r="A113" s="72">
        <v>9</v>
      </c>
      <c r="B113" s="69" t="s">
        <v>409</v>
      </c>
      <c r="C113" s="34">
        <f>O12+'DNT (P)'!O12+'DNTT (L)'!O12+'DNTT (P)'!O12+'K (L)'!O12+'K (P)'!O12</f>
        <v>4783.0853523910237</v>
      </c>
    </row>
    <row r="114" spans="1:3" ht="11.4" customHeight="1" x14ac:dyDescent="0.25">
      <c r="A114" s="72">
        <v>10</v>
      </c>
      <c r="B114" s="69" t="s">
        <v>410</v>
      </c>
      <c r="C114" s="34">
        <f>O13+'DNT (P)'!O13+'DNTT (L)'!O13+'DNTT (P)'!O13+'K (L)'!O13+'K (P)'!O13</f>
        <v>4284.8860230319888</v>
      </c>
    </row>
    <row r="115" spans="1:3" ht="11.4" customHeight="1" x14ac:dyDescent="0.25">
      <c r="A115" s="72">
        <v>11</v>
      </c>
      <c r="B115" s="69" t="s">
        <v>411</v>
      </c>
      <c r="C115" s="34">
        <f>O14+'DNT (P)'!O14+'DNTT (L)'!O14+'DNTT (P)'!O14+'K (L)'!O14+'K (P)'!O14</f>
        <v>2807.0186094482879</v>
      </c>
    </row>
    <row r="116" spans="1:3" ht="11.4" customHeight="1" x14ac:dyDescent="0.25">
      <c r="A116" s="72">
        <v>12</v>
      </c>
      <c r="B116" s="69" t="s">
        <v>412</v>
      </c>
      <c r="C116" s="34">
        <f>O15+'DNT (P)'!O15+'DNTT (L)'!O15+'DNTT (P)'!O15+'K (L)'!O15+'K (P)'!O15</f>
        <v>3797.8404100018897</v>
      </c>
    </row>
    <row r="117" spans="1:3" ht="11.4" customHeight="1" x14ac:dyDescent="0.25">
      <c r="A117" s="72">
        <v>13</v>
      </c>
      <c r="B117" s="69" t="s">
        <v>413</v>
      </c>
      <c r="C117" s="34">
        <f>O16+'DNT (P)'!O16+'DNTT (L)'!O16+'DNTT (P)'!O16+'K (L)'!O16+'K (P)'!O16</f>
        <v>2714.0709733738413</v>
      </c>
    </row>
    <row r="118" spans="1:3" ht="11.4" customHeight="1" x14ac:dyDescent="0.25">
      <c r="A118" s="72">
        <v>14</v>
      </c>
      <c r="B118" s="69" t="s">
        <v>414</v>
      </c>
      <c r="C118" s="34">
        <f>O17+'DNT (P)'!O17+'DNTT (L)'!O17+'DNTT (P)'!O17+'K (L)'!O17+'K (P)'!O17</f>
        <v>22086.21728401001</v>
      </c>
    </row>
    <row r="119" spans="1:3" ht="11.4" customHeight="1" x14ac:dyDescent="0.25">
      <c r="A119" s="72">
        <v>15</v>
      </c>
      <c r="B119" s="69" t="s">
        <v>415</v>
      </c>
      <c r="C119" s="34">
        <f>O18+'DNT (P)'!O18+'DNTT (L)'!O18+'DNTT (P)'!O18+'K (L)'!O18+'K (P)'!O18</f>
        <v>6487.7449979963749</v>
      </c>
    </row>
    <row r="120" spans="1:3" ht="11.4" customHeight="1" x14ac:dyDescent="0.25">
      <c r="A120" s="72">
        <v>16</v>
      </c>
      <c r="B120" s="69" t="s">
        <v>416</v>
      </c>
      <c r="C120" s="34">
        <f>O19+'DNT (P)'!O19+'DNTT (L)'!O19+'DNTT (P)'!O19+'K (L)'!O19+'K (P)'!O19</f>
        <v>4942.9552864390716</v>
      </c>
    </row>
    <row r="121" spans="1:3" ht="11.4" customHeight="1" x14ac:dyDescent="0.25">
      <c r="A121" s="72">
        <v>17</v>
      </c>
      <c r="B121" s="69" t="s">
        <v>417</v>
      </c>
      <c r="C121" s="34">
        <f>O20+'DNT (P)'!O20+'DNTT (L)'!O20+'DNTT (P)'!O20+'K (L)'!O20+'K (P)'!O20</f>
        <v>4333.218793790702</v>
      </c>
    </row>
    <row r="122" spans="1:3" ht="11.4" customHeight="1" x14ac:dyDescent="0.25">
      <c r="A122" s="72">
        <v>18</v>
      </c>
      <c r="B122" s="69" t="s">
        <v>418</v>
      </c>
      <c r="C122" s="34">
        <f>O21+'DNT (P)'!O21+'DNTT (L)'!O21+'DNTT (P)'!O21+'K (L)'!O21+'K (P)'!O21</f>
        <v>851.40034644193122</v>
      </c>
    </row>
    <row r="123" spans="1:3" ht="11.4" customHeight="1" x14ac:dyDescent="0.25">
      <c r="A123" s="72">
        <v>19</v>
      </c>
      <c r="B123" s="69" t="s">
        <v>419</v>
      </c>
      <c r="C123" s="34">
        <f>O22+'DNT (P)'!O22+'DNTT (L)'!O22+'DNTT (P)'!O22+'K (L)'!O22+'K (P)'!O22</f>
        <v>1070.7567675776252</v>
      </c>
    </row>
    <row r="124" spans="1:3" ht="11.4" customHeight="1" x14ac:dyDescent="0.25">
      <c r="A124" s="72">
        <v>20</v>
      </c>
      <c r="B124" s="69" t="s">
        <v>420</v>
      </c>
      <c r="C124" s="34">
        <f>O23+'DNT (P)'!O23+'DNTT (L)'!O23+'DNTT (P)'!O23+'K (L)'!O23+'K (P)'!O23</f>
        <v>1301.2669050422528</v>
      </c>
    </row>
    <row r="125" spans="1:3" ht="11.4" customHeight="1" x14ac:dyDescent="0.25">
      <c r="A125" s="72">
        <v>21</v>
      </c>
      <c r="B125" s="69" t="s">
        <v>421</v>
      </c>
      <c r="C125" s="34">
        <f>O24+'DNT (P)'!O24+'DNTT (L)'!O24+'DNTT (P)'!O24+'K (L)'!O24+'K (P)'!O24</f>
        <v>1425.8167373820113</v>
      </c>
    </row>
    <row r="126" spans="1:3" ht="11.4" customHeight="1" x14ac:dyDescent="0.25">
      <c r="A126" s="72">
        <v>22</v>
      </c>
      <c r="B126" s="69" t="s">
        <v>422</v>
      </c>
      <c r="C126" s="34">
        <f>O25+'DNT (P)'!O25+'DNTT (L)'!O25+'DNTT (P)'!O25+'K (L)'!O25+'K (P)'!O25</f>
        <v>2734.5194533102194</v>
      </c>
    </row>
    <row r="127" spans="1:3" ht="11.4" customHeight="1" x14ac:dyDescent="0.25">
      <c r="A127" s="72">
        <v>23</v>
      </c>
      <c r="B127" s="69" t="s">
        <v>423</v>
      </c>
      <c r="C127" s="34">
        <f>O26+'DNT (P)'!O26+'DNTT (L)'!O26+'DNTT (P)'!O26+'K (L)'!O26+'K (P)'!O26</f>
        <v>7458.1183186135968</v>
      </c>
    </row>
    <row r="128" spans="1:3" ht="11.4" customHeight="1" x14ac:dyDescent="0.25">
      <c r="A128" s="72">
        <v>24</v>
      </c>
      <c r="B128" s="69" t="s">
        <v>424</v>
      </c>
      <c r="C128" s="34">
        <f>O27+'DNT (P)'!O27+'DNTT (L)'!O27+'DNTT (P)'!O27+'K (L)'!O27+'K (P)'!O27</f>
        <v>19664.00188790993</v>
      </c>
    </row>
    <row r="129" spans="1:3" ht="11.4" customHeight="1" x14ac:dyDescent="0.25">
      <c r="A129" s="72">
        <v>25</v>
      </c>
      <c r="B129" s="69" t="s">
        <v>425</v>
      </c>
      <c r="C129" s="34">
        <f>O28+'DNT (P)'!O28+'DNTT (L)'!O28+'DNTT (P)'!O28+'K (L)'!O28+'K (P)'!O28</f>
        <v>4089.6959872756515</v>
      </c>
    </row>
    <row r="130" spans="1:3" ht="11.4" customHeight="1" x14ac:dyDescent="0.25">
      <c r="A130" s="72">
        <v>26</v>
      </c>
      <c r="B130" s="69" t="s">
        <v>426</v>
      </c>
      <c r="C130" s="34">
        <f>O29+'DNT (P)'!O29+'DNTT (L)'!O29+'DNTT (P)'!O29+'K (L)'!O29+'K (P)'!O29</f>
        <v>1172.9991672595165</v>
      </c>
    </row>
    <row r="131" spans="1:3" ht="11.4" customHeight="1" x14ac:dyDescent="0.25">
      <c r="A131" s="72">
        <v>27</v>
      </c>
      <c r="B131" s="69" t="s">
        <v>427</v>
      </c>
      <c r="C131" s="34">
        <f>O30+'DNT (P)'!O30+'DNTT (L)'!O30+'DNTT (P)'!O30+'K (L)'!O30+'K (P)'!O30</f>
        <v>5037.7618752350072</v>
      </c>
    </row>
    <row r="132" spans="1:3" ht="11.4" customHeight="1" x14ac:dyDescent="0.25">
      <c r="A132" s="72">
        <v>28</v>
      </c>
      <c r="B132" s="69" t="s">
        <v>428</v>
      </c>
      <c r="C132" s="34">
        <f>O31+'DNT (P)'!O31+'DNTT (L)'!O31+'DNTT (P)'!O31+'K (L)'!O31+'K (P)'!O31</f>
        <v>5900.3159380058714</v>
      </c>
    </row>
    <row r="133" spans="1:3" ht="11.4" customHeight="1" x14ac:dyDescent="0.25">
      <c r="A133" s="72">
        <v>29</v>
      </c>
      <c r="B133" s="69" t="s">
        <v>429</v>
      </c>
      <c r="C133" s="34">
        <f>O32+'DNT (P)'!O32+'DNTT (L)'!O32+'DNTT (P)'!O32+'K (L)'!O32+'K (P)'!O32</f>
        <v>2243.755934837141</v>
      </c>
    </row>
    <row r="134" spans="1:3" ht="11.4" customHeight="1" x14ac:dyDescent="0.25">
      <c r="A134" s="72">
        <v>30</v>
      </c>
      <c r="B134" s="69" t="s">
        <v>430</v>
      </c>
      <c r="C134" s="34">
        <f>O33+'DNT (P)'!O33+'DNTT (L)'!O33+'DNTT (P)'!O33+'K (L)'!O33+'K (P)'!O33</f>
        <v>3028.2339833054712</v>
      </c>
    </row>
    <row r="135" spans="1:3" ht="11.4" customHeight="1" x14ac:dyDescent="0.25">
      <c r="A135" s="72">
        <v>31</v>
      </c>
      <c r="B135" s="69" t="s">
        <v>431</v>
      </c>
      <c r="C135" s="34">
        <f>O34+'DNT (P)'!O34+'DNTT (L)'!O34+'DNTT (P)'!O34+'K (L)'!O34+'K (P)'!O34</f>
        <v>1076.333625742092</v>
      </c>
    </row>
    <row r="136" spans="1:3" ht="11.4" customHeight="1" x14ac:dyDescent="0.25">
      <c r="A136" s="72">
        <v>32</v>
      </c>
      <c r="B136" s="69" t="s">
        <v>432</v>
      </c>
      <c r="C136" s="34">
        <f>O35+'DNT (P)'!O35+'DNTT (L)'!O35+'DNTT (P)'!O35+'K (L)'!O35+'K (P)'!O35</f>
        <v>299.29138815971811</v>
      </c>
    </row>
    <row r="137" spans="1:3" ht="11.4" customHeight="1" x14ac:dyDescent="0.25">
      <c r="A137" s="72">
        <v>33</v>
      </c>
      <c r="B137" s="69" t="s">
        <v>433</v>
      </c>
      <c r="C137" s="34">
        <f>O36+'DNT (P)'!O36+'DNTT (L)'!O36+'DNTT (P)'!O36+'K (L)'!O36+'K (P)'!O36</f>
        <v>6141.9797917994329</v>
      </c>
    </row>
    <row r="138" spans="1:3" ht="11.4" customHeight="1" x14ac:dyDescent="0.25">
      <c r="A138" s="72">
        <v>34</v>
      </c>
      <c r="B138" s="69" t="s">
        <v>434</v>
      </c>
      <c r="C138" s="34">
        <f>O37+'DNT (P)'!O37+'DNTT (L)'!O37+'DNTT (P)'!O37+'K (L)'!O37+'K (P)'!O37</f>
        <v>4191.9383869575431</v>
      </c>
    </row>
    <row r="139" spans="1:3" ht="11.4" customHeight="1" x14ac:dyDescent="0.25">
      <c r="A139" s="72">
        <v>35</v>
      </c>
      <c r="B139" s="69" t="s">
        <v>435</v>
      </c>
      <c r="C139" s="34">
        <f>O38+'DNT (P)'!O38+'DNTT (L)'!O38+'DNTT (P)'!O38+'K (L)'!O38+'K (P)'!O38</f>
        <v>816.08024473364139</v>
      </c>
    </row>
    <row r="140" spans="1:3" ht="11.4" customHeight="1" x14ac:dyDescent="0.25">
      <c r="A140" s="72">
        <v>36</v>
      </c>
      <c r="B140" s="69" t="s">
        <v>436</v>
      </c>
      <c r="C140" s="34">
        <f>O39+'DNT (P)'!O39+'DNTT (L)'!O39+'DNTT (P)'!O39+'K (L)'!O39+'K (P)'!O39</f>
        <v>996.39865871806762</v>
      </c>
    </row>
    <row r="141" spans="1:3" ht="11.4" customHeight="1" x14ac:dyDescent="0.25">
      <c r="A141" s="72">
        <v>37</v>
      </c>
      <c r="B141" s="69" t="s">
        <v>437</v>
      </c>
      <c r="C141" s="34">
        <f>O40+'DNT (P)'!O40+'DNTT (L)'!O40+'DNTT (P)'!O40+'K (L)'!O40+'K (P)'!O40</f>
        <v>1985.3615065501799</v>
      </c>
    </row>
    <row r="142" spans="1:3" ht="11.4" customHeight="1" x14ac:dyDescent="0.25">
      <c r="A142" s="72">
        <v>38</v>
      </c>
      <c r="B142" s="69" t="s">
        <v>438</v>
      </c>
      <c r="C142" s="34">
        <f>O41+'DNT (P)'!O41+'DNTT (L)'!O41+'DNTT (P)'!O41+'K (L)'!O41+'K (P)'!O41</f>
        <v>715.69679777323904</v>
      </c>
    </row>
    <row r="143" spans="1:3" ht="11.4" customHeight="1" x14ac:dyDescent="0.25">
      <c r="A143" s="72"/>
      <c r="B143" s="69" t="s">
        <v>400</v>
      </c>
      <c r="C143" s="34">
        <f>O42+'DNT (P)'!O42+'DNTT (L)'!O42+'DNTT (P)'!O42+'K (L)'!O42+'K (P)'!O42</f>
        <v>151179.33007508743</v>
      </c>
    </row>
    <row r="146" spans="1:3" ht="11.4" customHeight="1" x14ac:dyDescent="0.25">
      <c r="A146" s="74" t="s">
        <v>0</v>
      </c>
      <c r="B146" s="74" t="s">
        <v>448</v>
      </c>
      <c r="C146" s="33" t="s">
        <v>445</v>
      </c>
    </row>
    <row r="147" spans="1:3" ht="11.4" customHeight="1" x14ac:dyDescent="0.25">
      <c r="A147" s="72">
        <v>1</v>
      </c>
      <c r="B147" s="69" t="s">
        <v>446</v>
      </c>
      <c r="C147" s="34">
        <f>O42+'DNTT (L)'!O42+'K (L)'!O42</f>
        <v>70556.550544112441</v>
      </c>
    </row>
    <row r="148" spans="1:3" ht="11.4" customHeight="1" x14ac:dyDescent="0.25">
      <c r="A148" s="72">
        <v>2</v>
      </c>
      <c r="B148" s="69" t="s">
        <v>447</v>
      </c>
      <c r="C148" s="34">
        <f>'DNT (P)'!O42+'DNTT (P)'!O42+'K (P)'!O42</f>
        <v>80622.779530975007</v>
      </c>
    </row>
    <row r="149" spans="1:3" ht="11.4" customHeight="1" x14ac:dyDescent="0.25">
      <c r="A149" s="72"/>
      <c r="B149" s="69" t="s">
        <v>400</v>
      </c>
      <c r="C149" s="34">
        <f>SUM(C147:C148)</f>
        <v>151179.33007508743</v>
      </c>
    </row>
  </sheetData>
  <mergeCells count="10">
    <mergeCell ref="A1:O1"/>
    <mergeCell ref="P1:V1"/>
    <mergeCell ref="A2:A3"/>
    <mergeCell ref="B2:B3"/>
    <mergeCell ref="C2:N2"/>
    <mergeCell ref="O2:O3"/>
    <mergeCell ref="P2:P3"/>
    <mergeCell ref="Q2:Q3"/>
    <mergeCell ref="R2:U2"/>
    <mergeCell ref="V2:V3"/>
  </mergeCells>
  <pageMargins left="0.31496062992125984" right="0" top="0.59055118110236227" bottom="0.35433070866141736" header="0.31496062992125984" footer="0.31496062992125984"/>
  <pageSetup paperSize="9" scale="80" firstPageNumber="196" orientation="landscape" useFirstPageNumber="1" r:id="rId1"/>
  <headerFooter>
    <oddFooter>&amp;C&amp;P</oddFooter>
  </headerFooter>
  <colBreaks count="1" manualBreakCount="1">
    <brk id="1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1AFE-9904-4A22-9DFC-81839147512F}">
  <dimension ref="A1:V72"/>
  <sheetViews>
    <sheetView view="pageBreakPreview" zoomScale="60" zoomScaleNormal="70" workbookViewId="0">
      <selection activeCell="C3" sqref="C1:O1048576"/>
    </sheetView>
  </sheetViews>
  <sheetFormatPr defaultColWidth="19.21875" defaultRowHeight="11.4" customHeight="1" x14ac:dyDescent="0.2"/>
  <cols>
    <col min="1" max="1" width="6" style="64" bestFit="1" customWidth="1"/>
    <col min="2" max="2" width="18.33203125" style="63" customWidth="1"/>
    <col min="3" max="15" width="10.77734375" style="63" customWidth="1"/>
    <col min="16" max="16" width="6" style="64" bestFit="1" customWidth="1"/>
    <col min="17" max="17" width="44.44140625" style="63" customWidth="1"/>
    <col min="18" max="22" width="14" style="63" customWidth="1"/>
    <col min="23" max="16384" width="19.21875" style="63"/>
  </cols>
  <sheetData>
    <row r="1" spans="1:22" s="58" customFormat="1" ht="23.4" customHeight="1" x14ac:dyDescent="0.2">
      <c r="A1" s="102" t="s">
        <v>379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 t="s">
        <v>380</v>
      </c>
      <c r="Q1" s="102"/>
      <c r="R1" s="102"/>
      <c r="S1" s="102"/>
      <c r="T1" s="102"/>
      <c r="U1" s="102"/>
      <c r="V1" s="102"/>
    </row>
    <row r="2" spans="1:22" s="59" customFormat="1" ht="11.4" customHeight="1" x14ac:dyDescent="0.3">
      <c r="A2" s="103" t="s">
        <v>0</v>
      </c>
      <c r="B2" s="105" t="s">
        <v>1</v>
      </c>
      <c r="C2" s="107" t="s">
        <v>4</v>
      </c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05" t="s">
        <v>3</v>
      </c>
      <c r="P2" s="103" t="s">
        <v>0</v>
      </c>
      <c r="Q2" s="103" t="s">
        <v>1</v>
      </c>
      <c r="R2" s="110" t="s">
        <v>2</v>
      </c>
      <c r="S2" s="111"/>
      <c r="T2" s="111"/>
      <c r="U2" s="112"/>
      <c r="V2" s="103" t="s">
        <v>66</v>
      </c>
    </row>
    <row r="3" spans="1:22" s="59" customFormat="1" ht="43.8" customHeight="1" x14ac:dyDescent="0.3">
      <c r="A3" s="104"/>
      <c r="B3" s="106"/>
      <c r="C3" s="60" t="s">
        <v>9</v>
      </c>
      <c r="D3" s="60" t="s">
        <v>10</v>
      </c>
      <c r="E3" s="60" t="s">
        <v>11</v>
      </c>
      <c r="F3" s="60" t="s">
        <v>12</v>
      </c>
      <c r="G3" s="61" t="s">
        <v>13</v>
      </c>
      <c r="H3" s="61" t="s">
        <v>14</v>
      </c>
      <c r="I3" s="61" t="s">
        <v>131</v>
      </c>
      <c r="J3" s="61" t="s">
        <v>135</v>
      </c>
      <c r="K3" s="61" t="s">
        <v>17</v>
      </c>
      <c r="L3" s="61" t="s">
        <v>277</v>
      </c>
      <c r="M3" s="61" t="s">
        <v>19</v>
      </c>
      <c r="N3" s="61" t="s">
        <v>133</v>
      </c>
      <c r="O3" s="106"/>
      <c r="P3" s="104"/>
      <c r="Q3" s="104"/>
      <c r="R3" s="62" t="s">
        <v>5</v>
      </c>
      <c r="S3" s="62" t="s">
        <v>6</v>
      </c>
      <c r="T3" s="62" t="s">
        <v>7</v>
      </c>
      <c r="U3" s="62" t="s">
        <v>8</v>
      </c>
      <c r="V3" s="104"/>
    </row>
    <row r="4" spans="1:22" ht="11.4" customHeight="1" x14ac:dyDescent="0.2">
      <c r="A4" s="27" t="s">
        <v>110</v>
      </c>
      <c r="B4" s="28" t="s">
        <v>38</v>
      </c>
      <c r="C4" s="28">
        <v>14.87162177191146</v>
      </c>
      <c r="D4" s="28">
        <v>27.884290822333991</v>
      </c>
      <c r="E4" s="28">
        <v>0</v>
      </c>
      <c r="F4" s="28">
        <v>7.4358108859557301</v>
      </c>
      <c r="G4" s="28">
        <v>11.153716328933594</v>
      </c>
      <c r="H4" s="28">
        <v>0</v>
      </c>
      <c r="I4" s="28">
        <v>13.012669050422529</v>
      </c>
      <c r="J4" s="28">
        <v>0</v>
      </c>
      <c r="K4" s="28">
        <v>0</v>
      </c>
      <c r="L4" s="28">
        <v>1.8589527214889325</v>
      </c>
      <c r="M4" s="28">
        <v>0</v>
      </c>
      <c r="N4" s="28">
        <v>0</v>
      </c>
      <c r="O4" s="28">
        <v>76.217061581046238</v>
      </c>
      <c r="P4" s="27" t="s">
        <v>110</v>
      </c>
      <c r="Q4" s="28" t="s">
        <v>38</v>
      </c>
      <c r="R4" s="28">
        <v>57.627534366156908</v>
      </c>
      <c r="S4" s="28">
        <v>14.87162177191146</v>
      </c>
      <c r="T4" s="28">
        <v>3.7179054429778651</v>
      </c>
      <c r="U4" s="28">
        <v>0</v>
      </c>
      <c r="V4" s="28">
        <v>76.217061581046238</v>
      </c>
    </row>
    <row r="5" spans="1:22" ht="11.4" customHeight="1" x14ac:dyDescent="0.2">
      <c r="A5" s="27" t="s">
        <v>113</v>
      </c>
      <c r="B5" s="28" t="s">
        <v>41</v>
      </c>
      <c r="C5" s="28">
        <v>0</v>
      </c>
      <c r="D5" s="28">
        <v>150.57517044060353</v>
      </c>
      <c r="E5" s="28">
        <v>0</v>
      </c>
      <c r="F5" s="28">
        <v>0</v>
      </c>
      <c r="G5" s="28">
        <v>1.8589527214889325</v>
      </c>
      <c r="H5" s="28">
        <v>0</v>
      </c>
      <c r="I5" s="28">
        <v>0</v>
      </c>
      <c r="J5" s="28">
        <v>167.30574493400394</v>
      </c>
      <c r="K5" s="28">
        <v>0</v>
      </c>
      <c r="L5" s="28">
        <v>83.65287246700197</v>
      </c>
      <c r="M5" s="28">
        <v>1.8589527214889325</v>
      </c>
      <c r="N5" s="28">
        <v>0</v>
      </c>
      <c r="O5" s="28">
        <v>405.25169328458736</v>
      </c>
      <c r="P5" s="27" t="s">
        <v>113</v>
      </c>
      <c r="Q5" s="28" t="s">
        <v>41</v>
      </c>
      <c r="R5" s="28">
        <v>342.04730075396361</v>
      </c>
      <c r="S5" s="28">
        <v>63.204392530623707</v>
      </c>
      <c r="T5" s="28">
        <v>0</v>
      </c>
      <c r="U5" s="28">
        <v>0</v>
      </c>
      <c r="V5" s="28">
        <v>405.2516932845873</v>
      </c>
    </row>
    <row r="6" spans="1:22" ht="11.4" customHeight="1" x14ac:dyDescent="0.2">
      <c r="A6" s="27" t="s">
        <v>119</v>
      </c>
      <c r="B6" s="28" t="s">
        <v>47</v>
      </c>
      <c r="C6" s="28">
        <v>0</v>
      </c>
      <c r="D6" s="28">
        <v>16.730574493400393</v>
      </c>
      <c r="E6" s="28">
        <v>0</v>
      </c>
      <c r="F6" s="28">
        <v>724.99156138068372</v>
      </c>
      <c r="G6" s="28">
        <v>0</v>
      </c>
      <c r="H6" s="28">
        <v>0</v>
      </c>
      <c r="I6" s="28">
        <v>35.32010170828972</v>
      </c>
      <c r="J6" s="28">
        <v>5.5768581644667972</v>
      </c>
      <c r="K6" s="28">
        <v>26.025338100845058</v>
      </c>
      <c r="L6" s="28">
        <v>0</v>
      </c>
      <c r="M6" s="28">
        <v>1.8589527214889325</v>
      </c>
      <c r="N6" s="28">
        <v>0</v>
      </c>
      <c r="O6" s="28">
        <v>810.50338656917449</v>
      </c>
      <c r="P6" s="27" t="s">
        <v>119</v>
      </c>
      <c r="Q6" s="28" t="s">
        <v>47</v>
      </c>
      <c r="R6" s="28">
        <v>42.755912594245451</v>
      </c>
      <c r="S6" s="28">
        <v>83.65287246700197</v>
      </c>
      <c r="T6" s="28">
        <v>684.09460150792722</v>
      </c>
      <c r="U6" s="28">
        <v>0</v>
      </c>
      <c r="V6" s="28">
        <v>810.50338656917461</v>
      </c>
    </row>
    <row r="7" spans="1:22" ht="11.4" customHeight="1" x14ac:dyDescent="0.2">
      <c r="A7" s="27" t="s">
        <v>121</v>
      </c>
      <c r="B7" s="28" t="s">
        <v>49</v>
      </c>
      <c r="C7" s="28">
        <v>0</v>
      </c>
      <c r="D7" s="28">
        <v>0</v>
      </c>
      <c r="E7" s="28">
        <v>20.448479936378259</v>
      </c>
      <c r="F7" s="28">
        <v>29.743243543822921</v>
      </c>
      <c r="G7" s="28">
        <v>14.87162177191146</v>
      </c>
      <c r="H7" s="28">
        <v>0</v>
      </c>
      <c r="I7" s="28">
        <v>329.03463170354109</v>
      </c>
      <c r="J7" s="28">
        <v>180.31841398442646</v>
      </c>
      <c r="K7" s="28">
        <v>0</v>
      </c>
      <c r="L7" s="28">
        <v>20.448479936378259</v>
      </c>
      <c r="M7" s="28">
        <v>33.461148986800787</v>
      </c>
      <c r="N7" s="28">
        <v>0</v>
      </c>
      <c r="O7" s="28">
        <v>628.32601986325926</v>
      </c>
      <c r="P7" s="27" t="s">
        <v>121</v>
      </c>
      <c r="Q7" s="28" t="s">
        <v>49</v>
      </c>
      <c r="R7" s="28">
        <v>572.5574382185913</v>
      </c>
      <c r="S7" s="28">
        <v>46.473818037223317</v>
      </c>
      <c r="T7" s="28">
        <v>9.2947636074446631</v>
      </c>
      <c r="U7" s="28">
        <v>0</v>
      </c>
      <c r="V7" s="28">
        <v>628.32601986325926</v>
      </c>
    </row>
    <row r="8" spans="1:22" ht="11.4" customHeight="1" x14ac:dyDescent="0.2">
      <c r="A8" s="27" t="s">
        <v>95</v>
      </c>
      <c r="B8" s="28" t="s">
        <v>23</v>
      </c>
      <c r="C8" s="28">
        <v>0</v>
      </c>
      <c r="D8" s="28">
        <v>3.7179054429778651</v>
      </c>
      <c r="E8" s="28">
        <v>0</v>
      </c>
      <c r="F8" s="28">
        <v>0</v>
      </c>
      <c r="G8" s="28">
        <v>3.7179054429778651</v>
      </c>
      <c r="H8" s="28">
        <v>0</v>
      </c>
      <c r="I8" s="28">
        <v>66.922297973601573</v>
      </c>
      <c r="J8" s="28">
        <v>442.43074771436596</v>
      </c>
      <c r="K8" s="28">
        <v>0</v>
      </c>
      <c r="L8" s="28">
        <v>66.922297973601573</v>
      </c>
      <c r="M8" s="28">
        <v>50.191723480201183</v>
      </c>
      <c r="N8" s="28">
        <v>37.179054429778652</v>
      </c>
      <c r="O8" s="28">
        <v>671.08193245750454</v>
      </c>
      <c r="P8" s="27" t="s">
        <v>95</v>
      </c>
      <c r="Q8" s="28" t="s">
        <v>23</v>
      </c>
      <c r="R8" s="28">
        <v>449.86655860032164</v>
      </c>
      <c r="S8" s="28">
        <v>221.21537385718298</v>
      </c>
      <c r="T8" s="28">
        <v>0</v>
      </c>
      <c r="U8" s="28">
        <v>0</v>
      </c>
      <c r="V8" s="28">
        <v>671.08193245750465</v>
      </c>
    </row>
    <row r="9" spans="1:22" ht="11.4" customHeight="1" x14ac:dyDescent="0.2">
      <c r="A9" s="27" t="s">
        <v>101</v>
      </c>
      <c r="B9" s="28" t="s">
        <v>29</v>
      </c>
      <c r="C9" s="28">
        <v>0</v>
      </c>
      <c r="D9" s="28">
        <v>26.025338100845058</v>
      </c>
      <c r="E9" s="28">
        <v>0</v>
      </c>
      <c r="F9" s="28">
        <v>0</v>
      </c>
      <c r="G9" s="28">
        <v>1.8589527214889325</v>
      </c>
      <c r="H9" s="28">
        <v>0</v>
      </c>
      <c r="I9" s="28">
        <v>0</v>
      </c>
      <c r="J9" s="28">
        <v>24.166385379356122</v>
      </c>
      <c r="K9" s="28">
        <v>0</v>
      </c>
      <c r="L9" s="28">
        <v>72.499156138068372</v>
      </c>
      <c r="M9" s="28">
        <v>0</v>
      </c>
      <c r="N9" s="28">
        <v>5.5768581644667972</v>
      </c>
      <c r="O9" s="28">
        <v>130.12669050422528</v>
      </c>
      <c r="P9" s="27" t="s">
        <v>101</v>
      </c>
      <c r="Q9" s="28" t="s">
        <v>29</v>
      </c>
      <c r="R9" s="28">
        <v>35.32010170828972</v>
      </c>
      <c r="S9" s="28">
        <v>94.806588795935568</v>
      </c>
      <c r="T9" s="28">
        <v>0</v>
      </c>
      <c r="U9" s="28">
        <v>0</v>
      </c>
      <c r="V9" s="28">
        <v>130.12669050422528</v>
      </c>
    </row>
    <row r="10" spans="1:22" ht="11.4" customHeight="1" x14ac:dyDescent="0.2">
      <c r="A10" s="27" t="s">
        <v>106</v>
      </c>
      <c r="B10" s="28" t="s">
        <v>34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5.5768581644667972</v>
      </c>
      <c r="M10" s="28">
        <v>9.2947636074446631</v>
      </c>
      <c r="N10" s="28">
        <v>0</v>
      </c>
      <c r="O10" s="28">
        <v>14.87162177191146</v>
      </c>
      <c r="P10" s="27" t="s">
        <v>106</v>
      </c>
      <c r="Q10" s="28" t="s">
        <v>34</v>
      </c>
      <c r="R10" s="28">
        <v>5.5768581644667972</v>
      </c>
      <c r="S10" s="28">
        <v>0</v>
      </c>
      <c r="T10" s="28">
        <v>0</v>
      </c>
      <c r="U10" s="28">
        <v>9.2947636074446631</v>
      </c>
      <c r="V10" s="28">
        <v>14.87162177191146</v>
      </c>
    </row>
    <row r="11" spans="1:22" ht="11.4" customHeight="1" x14ac:dyDescent="0.2">
      <c r="A11" s="27" t="s">
        <v>103</v>
      </c>
      <c r="B11" s="28" t="s">
        <v>31</v>
      </c>
      <c r="C11" s="28">
        <v>14.87162177191146</v>
      </c>
      <c r="D11" s="28">
        <v>7.4358108859557301</v>
      </c>
      <c r="E11" s="28">
        <v>0</v>
      </c>
      <c r="F11" s="28">
        <v>72.499156138068372</v>
      </c>
      <c r="G11" s="28">
        <v>0</v>
      </c>
      <c r="H11" s="28">
        <v>0</v>
      </c>
      <c r="I11" s="28">
        <v>7.4358108859557301</v>
      </c>
      <c r="J11" s="28">
        <v>427.55912594245444</v>
      </c>
      <c r="K11" s="28">
        <v>0</v>
      </c>
      <c r="L11" s="28">
        <v>33.461148986800787</v>
      </c>
      <c r="M11" s="28">
        <v>5.5768581644667972</v>
      </c>
      <c r="N11" s="28">
        <v>0</v>
      </c>
      <c r="O11" s="28">
        <v>568.83953277561329</v>
      </c>
      <c r="P11" s="27" t="s">
        <v>103</v>
      </c>
      <c r="Q11" s="28" t="s">
        <v>31</v>
      </c>
      <c r="R11" s="28">
        <v>555.82686372519083</v>
      </c>
      <c r="S11" s="28">
        <v>13.012669050422529</v>
      </c>
      <c r="T11" s="28">
        <v>0</v>
      </c>
      <c r="U11" s="28">
        <v>0</v>
      </c>
      <c r="V11" s="28">
        <v>568.83953277561341</v>
      </c>
    </row>
    <row r="12" spans="1:22" ht="11.4" customHeight="1" x14ac:dyDescent="0.2">
      <c r="A12" s="27" t="s">
        <v>99</v>
      </c>
      <c r="B12" s="28" t="s">
        <v>27</v>
      </c>
      <c r="C12" s="28">
        <v>65.06334525211264</v>
      </c>
      <c r="D12" s="28">
        <v>0</v>
      </c>
      <c r="E12" s="28">
        <v>0</v>
      </c>
      <c r="F12" s="28">
        <v>782.61909574684069</v>
      </c>
      <c r="G12" s="28">
        <v>0</v>
      </c>
      <c r="H12" s="28">
        <v>0</v>
      </c>
      <c r="I12" s="28">
        <v>211.92061024973833</v>
      </c>
      <c r="J12" s="28">
        <v>39.038007151267585</v>
      </c>
      <c r="K12" s="28">
        <v>48.332770758712243</v>
      </c>
      <c r="L12" s="28">
        <v>74.358108859557305</v>
      </c>
      <c r="M12" s="28">
        <v>131.98564322571423</v>
      </c>
      <c r="N12" s="28">
        <v>0</v>
      </c>
      <c r="O12" s="28">
        <v>1353.3175812439429</v>
      </c>
      <c r="P12" s="27" t="s">
        <v>99</v>
      </c>
      <c r="Q12" s="28" t="s">
        <v>27</v>
      </c>
      <c r="R12" s="28">
        <v>306.7271990456739</v>
      </c>
      <c r="S12" s="28">
        <v>896.01521175766561</v>
      </c>
      <c r="T12" s="28">
        <v>131.98564322571423</v>
      </c>
      <c r="U12" s="28">
        <v>18.589527214889326</v>
      </c>
      <c r="V12" s="28">
        <v>1353.3175812439431</v>
      </c>
    </row>
    <row r="13" spans="1:22" ht="11.4" customHeight="1" x14ac:dyDescent="0.2">
      <c r="A13" s="27" t="s">
        <v>94</v>
      </c>
      <c r="B13" s="28" t="s">
        <v>22</v>
      </c>
      <c r="C13" s="28">
        <v>0</v>
      </c>
      <c r="D13" s="28">
        <v>5.5768581644667972</v>
      </c>
      <c r="E13" s="28">
        <v>0</v>
      </c>
      <c r="F13" s="28">
        <v>3.7179054429778651</v>
      </c>
      <c r="G13" s="28">
        <v>0</v>
      </c>
      <c r="H13" s="28">
        <v>0</v>
      </c>
      <c r="I13" s="28">
        <v>0</v>
      </c>
      <c r="J13" s="28">
        <v>52.050676201690116</v>
      </c>
      <c r="K13" s="28">
        <v>3.7179054429778651</v>
      </c>
      <c r="L13" s="28">
        <v>78.076014302535171</v>
      </c>
      <c r="M13" s="28">
        <v>3.7179054429778651</v>
      </c>
      <c r="N13" s="28">
        <v>11.153716328933594</v>
      </c>
      <c r="O13" s="28">
        <v>158.01098132655926</v>
      </c>
      <c r="P13" s="27" t="s">
        <v>94</v>
      </c>
      <c r="Q13" s="28" t="s">
        <v>22</v>
      </c>
      <c r="R13" s="28">
        <v>154.29307588358142</v>
      </c>
      <c r="S13" s="28">
        <v>3.7179054429778651</v>
      </c>
      <c r="T13" s="28">
        <v>0</v>
      </c>
      <c r="U13" s="28">
        <v>0</v>
      </c>
      <c r="V13" s="28">
        <v>158.01098132655929</v>
      </c>
    </row>
    <row r="14" spans="1:22" ht="11.4" customHeight="1" x14ac:dyDescent="0.2">
      <c r="A14" s="27" t="s">
        <v>97</v>
      </c>
      <c r="B14" s="28" t="s">
        <v>25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5.5768581644667972</v>
      </c>
      <c r="M14" s="28">
        <v>0</v>
      </c>
      <c r="N14" s="28">
        <v>0</v>
      </c>
      <c r="O14" s="28">
        <v>5.5768581644667972</v>
      </c>
      <c r="P14" s="27" t="s">
        <v>97</v>
      </c>
      <c r="Q14" s="28" t="s">
        <v>25</v>
      </c>
      <c r="R14" s="28">
        <v>5.5768581644667972</v>
      </c>
      <c r="S14" s="28">
        <v>0</v>
      </c>
      <c r="T14" s="28">
        <v>0</v>
      </c>
      <c r="U14" s="28">
        <v>0</v>
      </c>
      <c r="V14" s="28">
        <v>5.5768581644667972</v>
      </c>
    </row>
    <row r="15" spans="1:22" ht="11.4" customHeight="1" x14ac:dyDescent="0.2">
      <c r="A15" s="27" t="s">
        <v>117</v>
      </c>
      <c r="B15" s="28" t="s">
        <v>45</v>
      </c>
      <c r="C15" s="28">
        <v>0</v>
      </c>
      <c r="D15" s="28">
        <v>0</v>
      </c>
      <c r="E15" s="28">
        <v>0</v>
      </c>
      <c r="F15" s="28">
        <v>98.524494238913434</v>
      </c>
      <c r="G15" s="28">
        <v>0</v>
      </c>
      <c r="H15" s="28">
        <v>0</v>
      </c>
      <c r="I15" s="28">
        <v>0</v>
      </c>
      <c r="J15" s="28">
        <v>202.62584664229368</v>
      </c>
      <c r="K15" s="28">
        <v>91.088683352957702</v>
      </c>
      <c r="L15" s="28">
        <v>87.370777909979836</v>
      </c>
      <c r="M15" s="28">
        <v>100.38344696040237</v>
      </c>
      <c r="N15" s="28">
        <v>0</v>
      </c>
      <c r="O15" s="28">
        <v>579.99324910454709</v>
      </c>
      <c r="P15" s="27" t="s">
        <v>117</v>
      </c>
      <c r="Q15" s="28" t="s">
        <v>45</v>
      </c>
      <c r="R15" s="28">
        <v>304.86824632418495</v>
      </c>
      <c r="S15" s="28">
        <v>210.06165752824938</v>
      </c>
      <c r="T15" s="28">
        <v>65.06334525211264</v>
      </c>
      <c r="U15" s="28">
        <v>0</v>
      </c>
      <c r="V15" s="28">
        <v>579.99324910454698</v>
      </c>
    </row>
    <row r="16" spans="1:22" ht="11.4" customHeight="1" x14ac:dyDescent="0.2">
      <c r="A16" s="27" t="s">
        <v>114</v>
      </c>
      <c r="B16" s="28" t="s">
        <v>42</v>
      </c>
      <c r="C16" s="28">
        <v>0</v>
      </c>
      <c r="D16" s="28">
        <v>5.5768581644667972</v>
      </c>
      <c r="E16" s="28">
        <v>37.179054429778652</v>
      </c>
      <c r="F16" s="28">
        <v>18.589527214889326</v>
      </c>
      <c r="G16" s="28">
        <v>0</v>
      </c>
      <c r="H16" s="28">
        <v>0</v>
      </c>
      <c r="I16" s="28">
        <v>1.8589527214889325</v>
      </c>
      <c r="J16" s="28">
        <v>0</v>
      </c>
      <c r="K16" s="28">
        <v>78.076014302535171</v>
      </c>
      <c r="L16" s="28">
        <v>9.2947636074446631</v>
      </c>
      <c r="M16" s="28">
        <v>0</v>
      </c>
      <c r="N16" s="28">
        <v>0</v>
      </c>
      <c r="O16" s="28">
        <v>150.57517044060353</v>
      </c>
      <c r="P16" s="27" t="s">
        <v>114</v>
      </c>
      <c r="Q16" s="28" t="s">
        <v>42</v>
      </c>
      <c r="R16" s="28">
        <v>81.793919745513037</v>
      </c>
      <c r="S16" s="28">
        <v>13.012669050422529</v>
      </c>
      <c r="T16" s="28">
        <v>0</v>
      </c>
      <c r="U16" s="28">
        <v>55.768581644667982</v>
      </c>
      <c r="V16" s="28">
        <v>150.57517044060356</v>
      </c>
    </row>
    <row r="17" spans="1:22" ht="11.4" customHeight="1" x14ac:dyDescent="0.2">
      <c r="A17" s="27" t="s">
        <v>112</v>
      </c>
      <c r="B17" s="28" t="s">
        <v>40</v>
      </c>
      <c r="C17" s="28">
        <v>0</v>
      </c>
      <c r="D17" s="28">
        <v>0</v>
      </c>
      <c r="E17" s="28">
        <v>4171.489907021165</v>
      </c>
      <c r="F17" s="28">
        <v>44.614865315734377</v>
      </c>
      <c r="G17" s="28">
        <v>1.8589527214889325</v>
      </c>
      <c r="H17" s="28">
        <v>92.947636074446635</v>
      </c>
      <c r="I17" s="28">
        <v>26.025338100845058</v>
      </c>
      <c r="J17" s="28">
        <v>529.8015256243458</v>
      </c>
      <c r="K17" s="28">
        <v>16.730574493400393</v>
      </c>
      <c r="L17" s="28">
        <v>92.947636074446635</v>
      </c>
      <c r="M17" s="28">
        <v>18.589527214889326</v>
      </c>
      <c r="N17" s="28">
        <v>11.153716328933594</v>
      </c>
      <c r="O17" s="28">
        <v>5006.159678969696</v>
      </c>
      <c r="P17" s="27" t="s">
        <v>112</v>
      </c>
      <c r="Q17" s="28" t="s">
        <v>40</v>
      </c>
      <c r="R17" s="28">
        <v>700.82517600132758</v>
      </c>
      <c r="S17" s="28">
        <v>1.8589527214889325</v>
      </c>
      <c r="T17" s="28">
        <v>0</v>
      </c>
      <c r="U17" s="28">
        <v>4303.4755502468797</v>
      </c>
      <c r="V17" s="28">
        <v>5006.159678969696</v>
      </c>
    </row>
    <row r="18" spans="1:22" ht="11.4" customHeight="1" x14ac:dyDescent="0.2">
      <c r="A18" s="27" t="s">
        <v>116</v>
      </c>
      <c r="B18" s="28" t="s">
        <v>44</v>
      </c>
      <c r="C18" s="28">
        <v>35.32010170828972</v>
      </c>
      <c r="D18" s="28">
        <v>120.83192689678062</v>
      </c>
      <c r="E18" s="28">
        <v>200.76689392080473</v>
      </c>
      <c r="F18" s="28">
        <v>87.370777909979836</v>
      </c>
      <c r="G18" s="28">
        <v>57.627534366156908</v>
      </c>
      <c r="H18" s="28">
        <v>22.307432657867189</v>
      </c>
      <c r="I18" s="28">
        <v>61.345439809134767</v>
      </c>
      <c r="J18" s="28">
        <v>66.922297973601573</v>
      </c>
      <c r="K18" s="28">
        <v>61.345439809134767</v>
      </c>
      <c r="L18" s="28">
        <v>87.370777909979836</v>
      </c>
      <c r="M18" s="28">
        <v>230.51013746462763</v>
      </c>
      <c r="N18" s="28">
        <v>7.4358108859557301</v>
      </c>
      <c r="O18" s="28">
        <v>1039.1545713123132</v>
      </c>
      <c r="P18" s="27" t="s">
        <v>116</v>
      </c>
      <c r="Q18" s="28" t="s">
        <v>44</v>
      </c>
      <c r="R18" s="28">
        <v>336.47044258949677</v>
      </c>
      <c r="S18" s="28">
        <v>204.48479936378257</v>
      </c>
      <c r="T18" s="28">
        <v>171.02365037698181</v>
      </c>
      <c r="U18" s="28">
        <v>327.17567898205215</v>
      </c>
      <c r="V18" s="28">
        <v>1039.1545713123132</v>
      </c>
    </row>
    <row r="19" spans="1:22" ht="11.4" customHeight="1" x14ac:dyDescent="0.2">
      <c r="A19" s="27" t="s">
        <v>107</v>
      </c>
      <c r="B19" s="28" t="s">
        <v>35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18.589527214889326</v>
      </c>
      <c r="J19" s="28">
        <v>228.65118474313871</v>
      </c>
      <c r="K19" s="28">
        <v>13.012669050422529</v>
      </c>
      <c r="L19" s="28">
        <v>559.54476916816873</v>
      </c>
      <c r="M19" s="28">
        <v>33.461148986800787</v>
      </c>
      <c r="N19" s="28">
        <v>0</v>
      </c>
      <c r="O19" s="28">
        <v>853.25929916342011</v>
      </c>
      <c r="P19" s="27" t="s">
        <v>107</v>
      </c>
      <c r="Q19" s="28" t="s">
        <v>35</v>
      </c>
      <c r="R19" s="28">
        <v>540.95524195327937</v>
      </c>
      <c r="S19" s="28">
        <v>217.49746841420512</v>
      </c>
      <c r="T19" s="28">
        <v>44.614865315734377</v>
      </c>
      <c r="U19" s="28">
        <v>50.191723480201183</v>
      </c>
      <c r="V19" s="28">
        <v>853.25929916342011</v>
      </c>
    </row>
    <row r="20" spans="1:22" ht="11.4" customHeight="1" x14ac:dyDescent="0.2">
      <c r="A20" s="27" t="s">
        <v>100</v>
      </c>
      <c r="B20" s="28" t="s">
        <v>28</v>
      </c>
      <c r="C20" s="28">
        <v>0</v>
      </c>
      <c r="D20" s="28">
        <v>5.5768581644667972</v>
      </c>
      <c r="E20" s="28">
        <v>0</v>
      </c>
      <c r="F20" s="28">
        <v>0</v>
      </c>
      <c r="G20" s="28">
        <v>0</v>
      </c>
      <c r="H20" s="28">
        <v>0</v>
      </c>
      <c r="I20" s="28">
        <v>11.153716328933594</v>
      </c>
      <c r="J20" s="28">
        <v>263.97128645142845</v>
      </c>
      <c r="K20" s="28">
        <v>0</v>
      </c>
      <c r="L20" s="28">
        <v>57.627534366156908</v>
      </c>
      <c r="M20" s="28">
        <v>0</v>
      </c>
      <c r="N20" s="28">
        <v>0</v>
      </c>
      <c r="O20" s="28">
        <v>338.32939531098577</v>
      </c>
      <c r="P20" s="27" t="s">
        <v>100</v>
      </c>
      <c r="Q20" s="28" t="s">
        <v>28</v>
      </c>
      <c r="R20" s="28">
        <v>332.75253714651893</v>
      </c>
      <c r="S20" s="28">
        <v>5.5768581644667972</v>
      </c>
      <c r="T20" s="28">
        <v>0</v>
      </c>
      <c r="U20" s="28">
        <v>0</v>
      </c>
      <c r="V20" s="28">
        <v>338.32939531098572</v>
      </c>
    </row>
    <row r="21" spans="1:22" ht="11.4" customHeight="1" x14ac:dyDescent="0.2">
      <c r="A21" s="27" t="s">
        <v>108</v>
      </c>
      <c r="B21" s="28" t="s">
        <v>36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83.65287246700197</v>
      </c>
      <c r="K21" s="28">
        <v>0</v>
      </c>
      <c r="L21" s="28">
        <v>35.32010170828972</v>
      </c>
      <c r="M21" s="28">
        <v>9.2947636074446631</v>
      </c>
      <c r="N21" s="28">
        <v>0</v>
      </c>
      <c r="O21" s="28">
        <v>128.26773778273633</v>
      </c>
      <c r="P21" s="27" t="s">
        <v>108</v>
      </c>
      <c r="Q21" s="28" t="s">
        <v>36</v>
      </c>
      <c r="R21" s="28">
        <v>122.69087961826953</v>
      </c>
      <c r="S21" s="28">
        <v>3.7179054429778651</v>
      </c>
      <c r="T21" s="28">
        <v>1.8589527214889325</v>
      </c>
      <c r="U21" s="28">
        <v>0</v>
      </c>
      <c r="V21" s="28">
        <v>128.26773778273633</v>
      </c>
    </row>
    <row r="22" spans="1:22" ht="11.4" customHeight="1" x14ac:dyDescent="0.2">
      <c r="A22" s="27" t="s">
        <v>104</v>
      </c>
      <c r="B22" s="28" t="s">
        <v>32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14.87162177191146</v>
      </c>
      <c r="K22" s="28">
        <v>0</v>
      </c>
      <c r="L22" s="28">
        <v>35.32010170828972</v>
      </c>
      <c r="M22" s="28">
        <v>11.153716328933594</v>
      </c>
      <c r="N22" s="28">
        <v>1.8589527214889325</v>
      </c>
      <c r="O22" s="28">
        <v>63.204392530623707</v>
      </c>
      <c r="P22" s="27" t="s">
        <v>104</v>
      </c>
      <c r="Q22" s="28" t="s">
        <v>32</v>
      </c>
      <c r="R22" s="28">
        <v>9.2947636074446631</v>
      </c>
      <c r="S22" s="28">
        <v>50.191723480201183</v>
      </c>
      <c r="T22" s="28">
        <v>3.7179054429778651</v>
      </c>
      <c r="U22" s="28">
        <v>0</v>
      </c>
      <c r="V22" s="28">
        <v>63.204392530623714</v>
      </c>
    </row>
    <row r="23" spans="1:22" ht="11.4" customHeight="1" x14ac:dyDescent="0.2">
      <c r="A23" s="27" t="s">
        <v>105</v>
      </c>
      <c r="B23" s="28" t="s">
        <v>33</v>
      </c>
      <c r="C23" s="28">
        <v>0</v>
      </c>
      <c r="D23" s="28">
        <v>94.806588795935568</v>
      </c>
      <c r="E23" s="28">
        <v>1.8589527214889325</v>
      </c>
      <c r="F23" s="28">
        <v>1.8589527214889325</v>
      </c>
      <c r="G23" s="28">
        <v>26.025338100845058</v>
      </c>
      <c r="H23" s="28">
        <v>0</v>
      </c>
      <c r="I23" s="28">
        <v>3.7179054429778651</v>
      </c>
      <c r="J23" s="28">
        <v>39.038007151267585</v>
      </c>
      <c r="K23" s="28">
        <v>0</v>
      </c>
      <c r="L23" s="28">
        <v>182.1773667059154</v>
      </c>
      <c r="M23" s="28">
        <v>16.730574493400393</v>
      </c>
      <c r="N23" s="28">
        <v>0</v>
      </c>
      <c r="O23" s="28">
        <v>366.21368613331975</v>
      </c>
      <c r="P23" s="27" t="s">
        <v>105</v>
      </c>
      <c r="Q23" s="28" t="s">
        <v>33</v>
      </c>
      <c r="R23" s="28">
        <v>342.04730075396361</v>
      </c>
      <c r="S23" s="28">
        <v>24.166385379356122</v>
      </c>
      <c r="T23" s="28">
        <v>0</v>
      </c>
      <c r="U23" s="28">
        <v>0</v>
      </c>
      <c r="V23" s="28">
        <v>366.21368613331975</v>
      </c>
    </row>
    <row r="24" spans="1:22" ht="11.4" customHeight="1" x14ac:dyDescent="0.2">
      <c r="A24" s="27" t="s">
        <v>109</v>
      </c>
      <c r="B24" s="28" t="s">
        <v>37</v>
      </c>
      <c r="C24" s="28">
        <v>0</v>
      </c>
      <c r="D24" s="28">
        <v>0</v>
      </c>
      <c r="E24" s="28">
        <v>0</v>
      </c>
      <c r="F24" s="28">
        <v>11.153716328933594</v>
      </c>
      <c r="G24" s="28">
        <v>11.153716328933594</v>
      </c>
      <c r="H24" s="28">
        <v>0</v>
      </c>
      <c r="I24" s="28">
        <v>5.5768581644667972</v>
      </c>
      <c r="J24" s="28">
        <v>122.69087961826953</v>
      </c>
      <c r="K24" s="28">
        <v>3.7179054429778651</v>
      </c>
      <c r="L24" s="28">
        <v>9.2947636074446631</v>
      </c>
      <c r="M24" s="28">
        <v>3.7179054429778651</v>
      </c>
      <c r="N24" s="28">
        <v>0</v>
      </c>
      <c r="O24" s="28">
        <v>167.30574493400391</v>
      </c>
      <c r="P24" s="27" t="s">
        <v>109</v>
      </c>
      <c r="Q24" s="28" t="s">
        <v>37</v>
      </c>
      <c r="R24" s="28">
        <v>83.65287246700197</v>
      </c>
      <c r="S24" s="28">
        <v>83.65287246700197</v>
      </c>
      <c r="T24" s="28">
        <v>0</v>
      </c>
      <c r="U24" s="28">
        <v>0</v>
      </c>
      <c r="V24" s="28">
        <v>167.30574493400394</v>
      </c>
    </row>
    <row r="25" spans="1:22" ht="11.4" customHeight="1" x14ac:dyDescent="0.2">
      <c r="A25" s="27" t="s">
        <v>96</v>
      </c>
      <c r="B25" s="28" t="s">
        <v>24</v>
      </c>
      <c r="C25" s="28">
        <v>0</v>
      </c>
      <c r="D25" s="28">
        <v>5.5768581644667972</v>
      </c>
      <c r="E25" s="28">
        <v>0</v>
      </c>
      <c r="F25" s="28">
        <v>79.934967024024104</v>
      </c>
      <c r="G25" s="28">
        <v>3.7179054429778651</v>
      </c>
      <c r="H25" s="28">
        <v>0</v>
      </c>
      <c r="I25" s="28">
        <v>117.11402145380276</v>
      </c>
      <c r="J25" s="28">
        <v>243.52280651505018</v>
      </c>
      <c r="K25" s="28">
        <v>18.589527214889326</v>
      </c>
      <c r="L25" s="28">
        <v>13.012669050422529</v>
      </c>
      <c r="M25" s="28">
        <v>27.884290822333991</v>
      </c>
      <c r="N25" s="28">
        <v>0</v>
      </c>
      <c r="O25" s="28">
        <v>509.35304568796749</v>
      </c>
      <c r="P25" s="27" t="s">
        <v>96</v>
      </c>
      <c r="Q25" s="28" t="s">
        <v>24</v>
      </c>
      <c r="R25" s="28">
        <v>397.81588239863157</v>
      </c>
      <c r="S25" s="28">
        <v>111.53716328933596</v>
      </c>
      <c r="T25" s="28">
        <v>0</v>
      </c>
      <c r="U25" s="28">
        <v>0</v>
      </c>
      <c r="V25" s="28">
        <v>509.35304568796755</v>
      </c>
    </row>
    <row r="26" spans="1:22" ht="11.4" customHeight="1" x14ac:dyDescent="0.2">
      <c r="A26" s="27" t="s">
        <v>120</v>
      </c>
      <c r="B26" s="28" t="s">
        <v>48</v>
      </c>
      <c r="C26" s="28">
        <v>11.153716328933594</v>
      </c>
      <c r="D26" s="28">
        <v>1.8589527214889325</v>
      </c>
      <c r="E26" s="28">
        <v>122.69087961826953</v>
      </c>
      <c r="F26" s="28">
        <v>74.358108859557305</v>
      </c>
      <c r="G26" s="28">
        <v>29.743243543822921</v>
      </c>
      <c r="H26" s="28">
        <v>0</v>
      </c>
      <c r="I26" s="28">
        <v>308.58615176716285</v>
      </c>
      <c r="J26" s="28">
        <v>308.58615176716285</v>
      </c>
      <c r="K26" s="28">
        <v>210.06165752824938</v>
      </c>
      <c r="L26" s="28">
        <v>130.12669050422528</v>
      </c>
      <c r="M26" s="28">
        <v>44.614865315734377</v>
      </c>
      <c r="N26" s="28">
        <v>11.153716328933594</v>
      </c>
      <c r="O26" s="28">
        <v>1252.9341342835405</v>
      </c>
      <c r="P26" s="27" t="s">
        <v>120</v>
      </c>
      <c r="Q26" s="28" t="s">
        <v>48</v>
      </c>
      <c r="R26" s="28">
        <v>652.49240524261529</v>
      </c>
      <c r="S26" s="28">
        <v>327.17567898205215</v>
      </c>
      <c r="T26" s="28">
        <v>221.21537385718298</v>
      </c>
      <c r="U26" s="28">
        <v>52.050676201690116</v>
      </c>
      <c r="V26" s="28">
        <v>1252.9341342835405</v>
      </c>
    </row>
    <row r="27" spans="1:22" ht="11.4" customHeight="1" x14ac:dyDescent="0.2">
      <c r="A27" s="27" t="s">
        <v>102</v>
      </c>
      <c r="B27" s="28" t="s">
        <v>30</v>
      </c>
      <c r="C27" s="28">
        <v>5.5768581644667972</v>
      </c>
      <c r="D27" s="28">
        <v>13.012669050422529</v>
      </c>
      <c r="E27" s="28">
        <v>11.153716328933594</v>
      </c>
      <c r="F27" s="28">
        <v>609.7364926483699</v>
      </c>
      <c r="G27" s="28">
        <v>3.7179054429778651</v>
      </c>
      <c r="H27" s="28">
        <v>1.8589527214889325</v>
      </c>
      <c r="I27" s="28">
        <v>98.524494238913434</v>
      </c>
      <c r="J27" s="28">
        <v>1208.3192689678062</v>
      </c>
      <c r="K27" s="28">
        <v>219.35642113569403</v>
      </c>
      <c r="L27" s="28">
        <v>33.461148986800787</v>
      </c>
      <c r="M27" s="28">
        <v>392.23902423416479</v>
      </c>
      <c r="N27" s="28">
        <v>0</v>
      </c>
      <c r="O27" s="28">
        <v>2596.9569519200386</v>
      </c>
      <c r="P27" s="27" t="s">
        <v>102</v>
      </c>
      <c r="Q27" s="28" t="s">
        <v>30</v>
      </c>
      <c r="R27" s="28">
        <v>1416.5219737745667</v>
      </c>
      <c r="S27" s="28">
        <v>1137.6790655512268</v>
      </c>
      <c r="T27" s="28">
        <v>42.755912594245451</v>
      </c>
      <c r="U27" s="28">
        <v>0</v>
      </c>
      <c r="V27" s="28">
        <v>2596.9569519200386</v>
      </c>
    </row>
    <row r="28" spans="1:22" ht="11.4" customHeight="1" x14ac:dyDescent="0.2">
      <c r="A28" s="27" t="s">
        <v>98</v>
      </c>
      <c r="B28" s="28" t="s">
        <v>26</v>
      </c>
      <c r="C28" s="28">
        <v>5.5768581644667972</v>
      </c>
      <c r="D28" s="28">
        <v>81.793919745513037</v>
      </c>
      <c r="E28" s="28">
        <v>0</v>
      </c>
      <c r="F28" s="28">
        <v>66.922297973601573</v>
      </c>
      <c r="G28" s="28">
        <v>1.8589527214889325</v>
      </c>
      <c r="H28" s="28">
        <v>0</v>
      </c>
      <c r="I28" s="28">
        <v>40.896959872756518</v>
      </c>
      <c r="J28" s="28">
        <v>39.038007151267585</v>
      </c>
      <c r="K28" s="28">
        <v>107.81925784635808</v>
      </c>
      <c r="L28" s="28">
        <v>122.69087961826953</v>
      </c>
      <c r="M28" s="28">
        <v>7.4358108859557301</v>
      </c>
      <c r="N28" s="28">
        <v>13.012669050422529</v>
      </c>
      <c r="O28" s="28">
        <v>487.04561303010036</v>
      </c>
      <c r="P28" s="27" t="s">
        <v>98</v>
      </c>
      <c r="Q28" s="28" t="s">
        <v>26</v>
      </c>
      <c r="R28" s="28">
        <v>360.63682796885291</v>
      </c>
      <c r="S28" s="28">
        <v>118.97297417529168</v>
      </c>
      <c r="T28" s="28">
        <v>7.4358108859557301</v>
      </c>
      <c r="U28" s="28">
        <v>0</v>
      </c>
      <c r="V28" s="28">
        <v>487.04561303010036</v>
      </c>
    </row>
    <row r="29" spans="1:22" ht="11.4" customHeight="1" x14ac:dyDescent="0.2">
      <c r="A29" s="27" t="s">
        <v>93</v>
      </c>
      <c r="B29" s="28" t="s">
        <v>21</v>
      </c>
      <c r="C29" s="28">
        <v>7.4358108859557301</v>
      </c>
      <c r="D29" s="28">
        <v>3.7179054429778651</v>
      </c>
      <c r="E29" s="28">
        <v>0</v>
      </c>
      <c r="F29" s="28">
        <v>0</v>
      </c>
      <c r="G29" s="28">
        <v>0</v>
      </c>
      <c r="H29" s="28">
        <v>0</v>
      </c>
      <c r="I29" s="28">
        <v>11.153716328933594</v>
      </c>
      <c r="J29" s="28">
        <v>26.025338100845058</v>
      </c>
      <c r="K29" s="28">
        <v>31.602196265311854</v>
      </c>
      <c r="L29" s="28">
        <v>37.179054429778652</v>
      </c>
      <c r="M29" s="28">
        <v>3.7179054429778651</v>
      </c>
      <c r="N29" s="28">
        <v>0</v>
      </c>
      <c r="O29" s="28">
        <v>120.83192689678063</v>
      </c>
      <c r="P29" s="27" t="s">
        <v>93</v>
      </c>
      <c r="Q29" s="28" t="s">
        <v>21</v>
      </c>
      <c r="R29" s="28">
        <v>70.640203416579439</v>
      </c>
      <c r="S29" s="28">
        <v>50.191723480201183</v>
      </c>
      <c r="T29" s="28">
        <v>0</v>
      </c>
      <c r="U29" s="28">
        <v>0</v>
      </c>
      <c r="V29" s="28">
        <v>120.83192689678063</v>
      </c>
    </row>
    <row r="30" spans="1:22" ht="11.4" customHeight="1" x14ac:dyDescent="0.2">
      <c r="A30" s="27" t="s">
        <v>115</v>
      </c>
      <c r="B30" s="28" t="s">
        <v>43</v>
      </c>
      <c r="C30" s="28">
        <v>74.358108859557305</v>
      </c>
      <c r="D30" s="28">
        <v>40.896959872756518</v>
      </c>
      <c r="E30" s="28">
        <v>165.44679221251499</v>
      </c>
      <c r="F30" s="28">
        <v>386.66216606969795</v>
      </c>
      <c r="G30" s="28">
        <v>9.2947636074446631</v>
      </c>
      <c r="H30" s="28">
        <v>0</v>
      </c>
      <c r="I30" s="28">
        <v>91.088683352957702</v>
      </c>
      <c r="J30" s="28">
        <v>449.86655860032164</v>
      </c>
      <c r="K30" s="28">
        <v>81.793919745513037</v>
      </c>
      <c r="L30" s="28">
        <v>118.97297417529168</v>
      </c>
      <c r="M30" s="28">
        <v>18.589527214889326</v>
      </c>
      <c r="N30" s="28">
        <v>26.025338100845058</v>
      </c>
      <c r="O30" s="28">
        <v>1462.99579181179</v>
      </c>
      <c r="P30" s="27" t="s">
        <v>115</v>
      </c>
      <c r="Q30" s="28" t="s">
        <v>43</v>
      </c>
      <c r="R30" s="28">
        <v>594.86487087645844</v>
      </c>
      <c r="S30" s="28">
        <v>550.25000556072405</v>
      </c>
      <c r="T30" s="28">
        <v>317.88091537460747</v>
      </c>
      <c r="U30" s="28">
        <v>0</v>
      </c>
      <c r="V30" s="28">
        <v>1462.9957918117898</v>
      </c>
    </row>
    <row r="31" spans="1:22" ht="11.4" customHeight="1" x14ac:dyDescent="0.2">
      <c r="A31" s="27" t="s">
        <v>111</v>
      </c>
      <c r="B31" s="28" t="s">
        <v>39</v>
      </c>
      <c r="C31" s="28">
        <v>24.166385379356122</v>
      </c>
      <c r="D31" s="28">
        <v>35.32010170828972</v>
      </c>
      <c r="E31" s="28">
        <v>16.730574493400393</v>
      </c>
      <c r="F31" s="28">
        <v>120.83192689678062</v>
      </c>
      <c r="G31" s="28">
        <v>0</v>
      </c>
      <c r="H31" s="28">
        <v>0</v>
      </c>
      <c r="I31" s="28">
        <v>16.730574493400393</v>
      </c>
      <c r="J31" s="28">
        <v>414.54645689203198</v>
      </c>
      <c r="K31" s="28">
        <v>379.22635518374227</v>
      </c>
      <c r="L31" s="28">
        <v>224.93327930016082</v>
      </c>
      <c r="M31" s="28">
        <v>29.743243543822921</v>
      </c>
      <c r="N31" s="28">
        <v>14.87162177191146</v>
      </c>
      <c r="O31" s="28">
        <v>1277.1005196628967</v>
      </c>
      <c r="P31" s="27" t="s">
        <v>111</v>
      </c>
      <c r="Q31" s="28" t="s">
        <v>39</v>
      </c>
      <c r="R31" s="28">
        <v>1020.5650440974241</v>
      </c>
      <c r="S31" s="28">
        <v>223.07432657867193</v>
      </c>
      <c r="T31" s="28">
        <v>0</v>
      </c>
      <c r="U31" s="28">
        <v>33.461148986800787</v>
      </c>
      <c r="V31" s="28">
        <v>1277.1005196628967</v>
      </c>
    </row>
    <row r="32" spans="1:22" ht="11.4" customHeight="1" x14ac:dyDescent="0.2">
      <c r="A32" s="27" t="s">
        <v>118</v>
      </c>
      <c r="B32" s="28" t="s">
        <v>46</v>
      </c>
      <c r="C32" s="28">
        <v>44.614865315734377</v>
      </c>
      <c r="D32" s="28">
        <v>0</v>
      </c>
      <c r="E32" s="28">
        <v>0</v>
      </c>
      <c r="F32" s="28">
        <v>9.2947636074446631</v>
      </c>
      <c r="G32" s="28">
        <v>1.8589527214889325</v>
      </c>
      <c r="H32" s="28">
        <v>0</v>
      </c>
      <c r="I32" s="28">
        <v>0</v>
      </c>
      <c r="J32" s="28">
        <v>0</v>
      </c>
      <c r="K32" s="28">
        <v>16.730574493400393</v>
      </c>
      <c r="L32" s="28">
        <v>115.25506873231382</v>
      </c>
      <c r="M32" s="28">
        <v>37.179054429778652</v>
      </c>
      <c r="N32" s="28">
        <v>3.7179054429778651</v>
      </c>
      <c r="O32" s="28">
        <v>228.65118474313871</v>
      </c>
      <c r="P32" s="27" t="s">
        <v>118</v>
      </c>
      <c r="Q32" s="28" t="s">
        <v>46</v>
      </c>
      <c r="R32" s="28">
        <v>104.10135240338023</v>
      </c>
      <c r="S32" s="28">
        <v>120.83192689678062</v>
      </c>
      <c r="T32" s="28">
        <v>0</v>
      </c>
      <c r="U32" s="28">
        <v>3.7179054429778651</v>
      </c>
      <c r="V32" s="28">
        <v>228.65118474313871</v>
      </c>
    </row>
    <row r="33" spans="1:22" ht="11.4" customHeight="1" x14ac:dyDescent="0.2">
      <c r="A33" s="27" t="s">
        <v>124</v>
      </c>
      <c r="B33" s="28" t="s">
        <v>52</v>
      </c>
      <c r="C33" s="28">
        <v>0</v>
      </c>
      <c r="D33" s="28">
        <v>14.87162177191146</v>
      </c>
      <c r="E33" s="28">
        <v>0</v>
      </c>
      <c r="F33" s="28">
        <v>35.32010170828972</v>
      </c>
      <c r="G33" s="28">
        <v>269.54814461589524</v>
      </c>
      <c r="H33" s="28">
        <v>148.71621771911461</v>
      </c>
      <c r="I33" s="28">
        <v>1.8589527214889325</v>
      </c>
      <c r="J33" s="28">
        <v>388.52111879118689</v>
      </c>
      <c r="K33" s="28">
        <v>0</v>
      </c>
      <c r="L33" s="28">
        <v>46.473818037223317</v>
      </c>
      <c r="M33" s="28">
        <v>29.743243543822921</v>
      </c>
      <c r="N33" s="28">
        <v>14.87162177191146</v>
      </c>
      <c r="O33" s="28">
        <v>949.92484068084457</v>
      </c>
      <c r="P33" s="27" t="s">
        <v>124</v>
      </c>
      <c r="Q33" s="28" t="s">
        <v>52</v>
      </c>
      <c r="R33" s="28">
        <v>444.28970043585491</v>
      </c>
      <c r="S33" s="28">
        <v>33.461148986800787</v>
      </c>
      <c r="T33" s="28">
        <v>226.79223202164977</v>
      </c>
      <c r="U33" s="28">
        <v>245.38175923653907</v>
      </c>
      <c r="V33" s="28">
        <v>949.92484068084457</v>
      </c>
    </row>
    <row r="34" spans="1:22" ht="11.4" customHeight="1" x14ac:dyDescent="0.2">
      <c r="A34" s="27" t="s">
        <v>123</v>
      </c>
      <c r="B34" s="28" t="s">
        <v>51</v>
      </c>
      <c r="C34" s="28">
        <v>0</v>
      </c>
      <c r="D34" s="28">
        <v>1.8589527214889325</v>
      </c>
      <c r="E34" s="28">
        <v>0</v>
      </c>
      <c r="F34" s="28">
        <v>18.589527214889326</v>
      </c>
      <c r="G34" s="28">
        <v>0</v>
      </c>
      <c r="H34" s="28">
        <v>0</v>
      </c>
      <c r="I34" s="28">
        <v>0</v>
      </c>
      <c r="J34" s="28">
        <v>74.358108859557305</v>
      </c>
      <c r="K34" s="28">
        <v>3.7179054429778651</v>
      </c>
      <c r="L34" s="28">
        <v>42.755912594245451</v>
      </c>
      <c r="M34" s="28">
        <v>0</v>
      </c>
      <c r="N34" s="28">
        <v>0</v>
      </c>
      <c r="O34" s="28">
        <v>141.28040683315888</v>
      </c>
      <c r="P34" s="27" t="s">
        <v>123</v>
      </c>
      <c r="Q34" s="28" t="s">
        <v>51</v>
      </c>
      <c r="R34" s="28">
        <v>65.06334525211264</v>
      </c>
      <c r="S34" s="28">
        <v>68.781250695090506</v>
      </c>
      <c r="T34" s="28">
        <v>0</v>
      </c>
      <c r="U34" s="28">
        <v>7.4358108859557301</v>
      </c>
      <c r="V34" s="28">
        <v>141.28040683315888</v>
      </c>
    </row>
    <row r="35" spans="1:22" ht="11.4" customHeight="1" x14ac:dyDescent="0.2">
      <c r="A35" s="27" t="s">
        <v>126</v>
      </c>
      <c r="B35" s="28" t="s">
        <v>54</v>
      </c>
      <c r="C35" s="28">
        <v>0</v>
      </c>
      <c r="D35" s="28">
        <v>0</v>
      </c>
      <c r="E35" s="28">
        <v>0</v>
      </c>
      <c r="F35" s="28">
        <v>3.7179054429778651</v>
      </c>
      <c r="G35" s="28">
        <v>0</v>
      </c>
      <c r="H35" s="28">
        <v>0</v>
      </c>
      <c r="I35" s="28">
        <v>0</v>
      </c>
      <c r="J35" s="28">
        <v>16.730574493400393</v>
      </c>
      <c r="K35" s="28">
        <v>0</v>
      </c>
      <c r="L35" s="28">
        <v>11.153716328933594</v>
      </c>
      <c r="M35" s="28">
        <v>0</v>
      </c>
      <c r="N35" s="28">
        <v>0</v>
      </c>
      <c r="O35" s="28">
        <v>31.602196265311854</v>
      </c>
      <c r="P35" s="27" t="s">
        <v>126</v>
      </c>
      <c r="Q35" s="28" t="s">
        <v>54</v>
      </c>
      <c r="R35" s="28">
        <v>31.602196265311854</v>
      </c>
      <c r="S35" s="28">
        <v>0</v>
      </c>
      <c r="T35" s="28">
        <v>0</v>
      </c>
      <c r="U35" s="28">
        <v>0</v>
      </c>
      <c r="V35" s="28">
        <v>31.602196265311854</v>
      </c>
    </row>
    <row r="36" spans="1:22" ht="11.4" customHeight="1" x14ac:dyDescent="0.2">
      <c r="A36" s="27" t="s">
        <v>129</v>
      </c>
      <c r="B36" s="28" t="s">
        <v>57</v>
      </c>
      <c r="C36" s="28">
        <v>16.730574493400393</v>
      </c>
      <c r="D36" s="28">
        <v>98.524494238913434</v>
      </c>
      <c r="E36" s="28">
        <v>122.69087961826953</v>
      </c>
      <c r="F36" s="28">
        <v>5.5768581644667972</v>
      </c>
      <c r="G36" s="28">
        <v>16.730574493400393</v>
      </c>
      <c r="H36" s="28">
        <v>0</v>
      </c>
      <c r="I36" s="28">
        <v>13.012669050422529</v>
      </c>
      <c r="J36" s="28">
        <v>195.19003575633792</v>
      </c>
      <c r="K36" s="28">
        <v>130.12669050422528</v>
      </c>
      <c r="L36" s="28">
        <v>128.26773778273633</v>
      </c>
      <c r="M36" s="28">
        <v>68.781250695090506</v>
      </c>
      <c r="N36" s="28">
        <v>0</v>
      </c>
      <c r="O36" s="28">
        <v>795.63176479726314</v>
      </c>
      <c r="P36" s="27" t="s">
        <v>129</v>
      </c>
      <c r="Q36" s="28" t="s">
        <v>57</v>
      </c>
      <c r="R36" s="28">
        <v>468.45608581521105</v>
      </c>
      <c r="S36" s="28">
        <v>79.934967024024104</v>
      </c>
      <c r="T36" s="28">
        <v>39.038007151267585</v>
      </c>
      <c r="U36" s="28">
        <v>208.20270480676047</v>
      </c>
      <c r="V36" s="28">
        <v>795.63176479726326</v>
      </c>
    </row>
    <row r="37" spans="1:22" ht="11.4" customHeight="1" x14ac:dyDescent="0.2">
      <c r="A37" s="27" t="s">
        <v>128</v>
      </c>
      <c r="B37" s="28" t="s">
        <v>56</v>
      </c>
      <c r="C37" s="28">
        <v>3.7179054429778651</v>
      </c>
      <c r="D37" s="28">
        <v>0</v>
      </c>
      <c r="E37" s="28">
        <v>1.8589527214889325</v>
      </c>
      <c r="F37" s="28">
        <v>39.038007151267585</v>
      </c>
      <c r="G37" s="28">
        <v>1.8589527214889325</v>
      </c>
      <c r="H37" s="28">
        <v>1.8589527214889325</v>
      </c>
      <c r="I37" s="28">
        <v>79.934967024024104</v>
      </c>
      <c r="J37" s="28">
        <v>79.934967024024104</v>
      </c>
      <c r="K37" s="28">
        <v>223.07432657867193</v>
      </c>
      <c r="L37" s="28">
        <v>40.896959872756518</v>
      </c>
      <c r="M37" s="28">
        <v>35.32010170828972</v>
      </c>
      <c r="N37" s="28">
        <v>9.2947636074446631</v>
      </c>
      <c r="O37" s="28">
        <v>516.78885657392323</v>
      </c>
      <c r="P37" s="27" t="s">
        <v>128</v>
      </c>
      <c r="Q37" s="28" t="s">
        <v>56</v>
      </c>
      <c r="R37" s="28">
        <v>189.61317759187114</v>
      </c>
      <c r="S37" s="28">
        <v>262.11233372993951</v>
      </c>
      <c r="T37" s="28">
        <v>63.204392530623707</v>
      </c>
      <c r="U37" s="28">
        <v>1.8589527214889325</v>
      </c>
      <c r="V37" s="28">
        <v>516.78885657392323</v>
      </c>
    </row>
    <row r="38" spans="1:22" ht="11.4" customHeight="1" x14ac:dyDescent="0.2">
      <c r="A38" s="27" t="s">
        <v>127</v>
      </c>
      <c r="B38" s="28" t="s">
        <v>55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9.2947636074446631</v>
      </c>
      <c r="J38" s="28">
        <v>29.743243543822921</v>
      </c>
      <c r="K38" s="28">
        <v>0</v>
      </c>
      <c r="L38" s="28">
        <v>24.166385379356122</v>
      </c>
      <c r="M38" s="28">
        <v>0</v>
      </c>
      <c r="N38" s="28">
        <v>0</v>
      </c>
      <c r="O38" s="28">
        <v>63.204392530623707</v>
      </c>
      <c r="P38" s="27" t="s">
        <v>127</v>
      </c>
      <c r="Q38" s="28" t="s">
        <v>55</v>
      </c>
      <c r="R38" s="28">
        <v>37.179054429778652</v>
      </c>
      <c r="S38" s="28">
        <v>26.025338100845058</v>
      </c>
      <c r="T38" s="28">
        <v>0</v>
      </c>
      <c r="U38" s="28">
        <v>0</v>
      </c>
      <c r="V38" s="28">
        <v>63.204392530623707</v>
      </c>
    </row>
    <row r="39" spans="1:22" ht="11.4" customHeight="1" x14ac:dyDescent="0.2">
      <c r="A39" s="27" t="s">
        <v>125</v>
      </c>
      <c r="B39" s="28" t="s">
        <v>53</v>
      </c>
      <c r="C39" s="28">
        <v>0</v>
      </c>
      <c r="D39" s="28">
        <v>40.896959872756518</v>
      </c>
      <c r="E39" s="28">
        <v>0</v>
      </c>
      <c r="F39" s="28">
        <v>7.4358108859557301</v>
      </c>
      <c r="G39" s="28">
        <v>0</v>
      </c>
      <c r="H39" s="28">
        <v>0</v>
      </c>
      <c r="I39" s="28">
        <v>0</v>
      </c>
      <c r="J39" s="28">
        <v>81.793919745513037</v>
      </c>
      <c r="K39" s="28">
        <v>1.8589527214889325</v>
      </c>
      <c r="L39" s="28">
        <v>9.2947636074446631</v>
      </c>
      <c r="M39" s="28">
        <v>14.87162177191146</v>
      </c>
      <c r="N39" s="28">
        <v>0</v>
      </c>
      <c r="O39" s="28">
        <v>156.15202860507031</v>
      </c>
      <c r="P39" s="27" t="s">
        <v>125</v>
      </c>
      <c r="Q39" s="28" t="s">
        <v>53</v>
      </c>
      <c r="R39" s="28">
        <v>128.26773778273633</v>
      </c>
      <c r="S39" s="28">
        <v>27.884290822333991</v>
      </c>
      <c r="T39" s="28">
        <v>0</v>
      </c>
      <c r="U39" s="28">
        <v>0</v>
      </c>
      <c r="V39" s="28">
        <v>156.15202860507031</v>
      </c>
    </row>
    <row r="40" spans="1:22" ht="11.4" customHeight="1" x14ac:dyDescent="0.2">
      <c r="A40" s="27" t="s">
        <v>130</v>
      </c>
      <c r="B40" s="28" t="s">
        <v>58</v>
      </c>
      <c r="C40" s="28">
        <v>0</v>
      </c>
      <c r="D40" s="28">
        <v>5.5768581644667972</v>
      </c>
      <c r="E40" s="28">
        <v>1.8589527214889325</v>
      </c>
      <c r="F40" s="28">
        <v>0</v>
      </c>
      <c r="G40" s="28">
        <v>0</v>
      </c>
      <c r="H40" s="28">
        <v>0</v>
      </c>
      <c r="I40" s="28">
        <v>0</v>
      </c>
      <c r="J40" s="28">
        <v>74.358108859557305</v>
      </c>
      <c r="K40" s="28">
        <v>0</v>
      </c>
      <c r="L40" s="28">
        <v>37.179054429778652</v>
      </c>
      <c r="M40" s="28">
        <v>20.448479936378259</v>
      </c>
      <c r="N40" s="28">
        <v>0</v>
      </c>
      <c r="O40" s="28">
        <v>139.42145411166993</v>
      </c>
      <c r="P40" s="27" t="s">
        <v>130</v>
      </c>
      <c r="Q40" s="28" t="s">
        <v>58</v>
      </c>
      <c r="R40" s="28">
        <v>100.38344696040237</v>
      </c>
      <c r="S40" s="28">
        <v>26.025338100845058</v>
      </c>
      <c r="T40" s="28">
        <v>0</v>
      </c>
      <c r="U40" s="28">
        <v>13.012669050422529</v>
      </c>
      <c r="V40" s="28">
        <v>139.42145411166996</v>
      </c>
    </row>
    <row r="41" spans="1:22" ht="11.4" customHeight="1" x14ac:dyDescent="0.2">
      <c r="A41" s="27" t="s">
        <v>122</v>
      </c>
      <c r="B41" s="28" t="s">
        <v>50</v>
      </c>
      <c r="C41" s="28">
        <v>0</v>
      </c>
      <c r="D41" s="28">
        <v>0</v>
      </c>
      <c r="E41" s="28">
        <v>0</v>
      </c>
      <c r="F41" s="28">
        <v>1.8589527214889325</v>
      </c>
      <c r="G41" s="28">
        <v>0</v>
      </c>
      <c r="H41" s="28">
        <v>0</v>
      </c>
      <c r="I41" s="28">
        <v>0</v>
      </c>
      <c r="J41" s="28">
        <v>53.909628923179042</v>
      </c>
      <c r="K41" s="28">
        <v>9.2947636074446631</v>
      </c>
      <c r="L41" s="28">
        <v>40.896959872756518</v>
      </c>
      <c r="M41" s="28">
        <v>0</v>
      </c>
      <c r="N41" s="28">
        <v>0</v>
      </c>
      <c r="O41" s="28">
        <v>105.96030512486917</v>
      </c>
      <c r="P41" s="27" t="s">
        <v>122</v>
      </c>
      <c r="Q41" s="28" t="s">
        <v>50</v>
      </c>
      <c r="R41" s="28">
        <v>91.088683352957702</v>
      </c>
      <c r="S41" s="28">
        <v>14.87162177191146</v>
      </c>
      <c r="T41" s="28">
        <v>0</v>
      </c>
      <c r="U41" s="28">
        <v>0</v>
      </c>
      <c r="V41" s="28">
        <v>105.96030512486917</v>
      </c>
    </row>
    <row r="42" spans="1:22" ht="11.4" customHeight="1" x14ac:dyDescent="0.2">
      <c r="A42" s="31"/>
      <c r="B42" s="32" t="s">
        <v>59</v>
      </c>
      <c r="C42" s="28">
        <v>323.45777353907425</v>
      </c>
      <c r="D42" s="28">
        <v>808.6444338476856</v>
      </c>
      <c r="E42" s="28">
        <v>4874.174035743983</v>
      </c>
      <c r="F42" s="28">
        <v>3342.3969932371006</v>
      </c>
      <c r="G42" s="28">
        <v>468.45608581521105</v>
      </c>
      <c r="H42" s="28">
        <v>267.68919189440629</v>
      </c>
      <c r="I42" s="28">
        <v>1580.1098132655925</v>
      </c>
      <c r="J42" s="28">
        <v>6575.1157759063562</v>
      </c>
      <c r="K42" s="28">
        <v>1775.2998490219302</v>
      </c>
      <c r="L42" s="28">
        <v>2775.4164131829762</v>
      </c>
      <c r="M42" s="28">
        <v>1392.3555883952106</v>
      </c>
      <c r="N42" s="28">
        <v>167.30574493400394</v>
      </c>
      <c r="O42" s="28">
        <v>24350.421698783528</v>
      </c>
      <c r="P42" s="31"/>
      <c r="Q42" s="32" t="s">
        <v>59</v>
      </c>
      <c r="R42" s="28">
        <v>11557.109069496695</v>
      </c>
      <c r="S42" s="28">
        <v>5430.0008994691743</v>
      </c>
      <c r="T42" s="28">
        <v>2033.6942773088922</v>
      </c>
      <c r="U42" s="28">
        <v>5329.6174525087708</v>
      </c>
      <c r="V42" s="28">
        <v>24350.421698783528</v>
      </c>
    </row>
    <row r="43" spans="1:22" ht="11.4" customHeight="1" x14ac:dyDescent="0.2">
      <c r="O43" s="63">
        <v>33625.301392371504</v>
      </c>
    </row>
    <row r="47" spans="1:22" ht="11.4" customHeight="1" x14ac:dyDescent="0.2">
      <c r="B47" s="63" t="s">
        <v>379</v>
      </c>
    </row>
    <row r="48" spans="1:22" ht="11.4" customHeight="1" x14ac:dyDescent="0.2">
      <c r="B48" s="63" t="s">
        <v>380</v>
      </c>
    </row>
    <row r="51" spans="1:4" ht="11.4" customHeight="1" x14ac:dyDescent="0.25">
      <c r="A51" s="67" t="s">
        <v>0</v>
      </c>
      <c r="B51" s="67" t="s">
        <v>4</v>
      </c>
      <c r="C51" s="33" t="s">
        <v>400</v>
      </c>
      <c r="D51" s="21"/>
    </row>
    <row r="52" spans="1:4" ht="11.4" customHeight="1" x14ac:dyDescent="0.25">
      <c r="A52" s="72">
        <v>1</v>
      </c>
      <c r="B52" s="69" t="s">
        <v>9</v>
      </c>
      <c r="C52" s="34">
        <f>C42</f>
        <v>323.45777353907425</v>
      </c>
      <c r="D52" s="18"/>
    </row>
    <row r="53" spans="1:4" ht="11.4" customHeight="1" x14ac:dyDescent="0.25">
      <c r="A53" s="72">
        <v>2</v>
      </c>
      <c r="B53" s="69" t="s">
        <v>10</v>
      </c>
      <c r="C53" s="34">
        <f>D42</f>
        <v>808.6444338476856</v>
      </c>
      <c r="D53" s="18"/>
    </row>
    <row r="54" spans="1:4" ht="11.4" customHeight="1" x14ac:dyDescent="0.25">
      <c r="A54" s="72">
        <v>3</v>
      </c>
      <c r="B54" s="69" t="s">
        <v>11</v>
      </c>
      <c r="C54" s="34">
        <f>E42</f>
        <v>4874.174035743983</v>
      </c>
      <c r="D54" s="18"/>
    </row>
    <row r="55" spans="1:4" ht="11.4" customHeight="1" x14ac:dyDescent="0.25">
      <c r="A55" s="72">
        <v>4</v>
      </c>
      <c r="B55" s="69" t="s">
        <v>12</v>
      </c>
      <c r="C55" s="34">
        <f>F42</f>
        <v>3342.3969932371006</v>
      </c>
      <c r="D55" s="18"/>
    </row>
    <row r="56" spans="1:4" ht="11.4" customHeight="1" x14ac:dyDescent="0.25">
      <c r="A56" s="72">
        <v>5</v>
      </c>
      <c r="B56" s="69" t="s">
        <v>13</v>
      </c>
      <c r="C56" s="34">
        <f>G42</f>
        <v>468.45608581521105</v>
      </c>
      <c r="D56" s="18"/>
    </row>
    <row r="57" spans="1:4" ht="11.4" customHeight="1" x14ac:dyDescent="0.25">
      <c r="A57" s="72">
        <v>6</v>
      </c>
      <c r="B57" s="69" t="s">
        <v>14</v>
      </c>
      <c r="C57" s="34">
        <f>H42</f>
        <v>267.68919189440629</v>
      </c>
      <c r="D57" s="18"/>
    </row>
    <row r="58" spans="1:4" ht="11.4" customHeight="1" x14ac:dyDescent="0.25">
      <c r="A58" s="72">
        <v>7</v>
      </c>
      <c r="B58" s="69" t="s">
        <v>15</v>
      </c>
      <c r="C58" s="34">
        <f>I42</f>
        <v>1580.1098132655925</v>
      </c>
      <c r="D58" s="18"/>
    </row>
    <row r="59" spans="1:4" ht="11.4" customHeight="1" x14ac:dyDescent="0.25">
      <c r="A59" s="72">
        <v>8</v>
      </c>
      <c r="B59" s="69" t="s">
        <v>19</v>
      </c>
      <c r="C59" s="34">
        <f>J42</f>
        <v>6575.1157759063562</v>
      </c>
      <c r="D59" s="18"/>
    </row>
    <row r="60" spans="1:4" ht="11.4" customHeight="1" x14ac:dyDescent="0.25">
      <c r="A60" s="72">
        <v>9</v>
      </c>
      <c r="B60" s="69" t="s">
        <v>17</v>
      </c>
      <c r="C60" s="34">
        <f>K42</f>
        <v>1775.2998490219302</v>
      </c>
      <c r="D60" s="18"/>
    </row>
    <row r="61" spans="1:4" ht="11.4" customHeight="1" x14ac:dyDescent="0.25">
      <c r="A61" s="72">
        <v>10</v>
      </c>
      <c r="B61" s="69" t="s">
        <v>18</v>
      </c>
      <c r="C61" s="34">
        <f>L42</f>
        <v>2775.4164131829762</v>
      </c>
      <c r="D61" s="18"/>
    </row>
    <row r="62" spans="1:4" ht="11.4" customHeight="1" x14ac:dyDescent="0.25">
      <c r="A62" s="72">
        <v>11</v>
      </c>
      <c r="B62" s="69" t="s">
        <v>20</v>
      </c>
      <c r="C62" s="34">
        <f>M42</f>
        <v>1392.3555883952106</v>
      </c>
      <c r="D62" s="18"/>
    </row>
    <row r="63" spans="1:4" ht="11.4" customHeight="1" x14ac:dyDescent="0.25">
      <c r="A63" s="72">
        <v>12</v>
      </c>
      <c r="B63" s="69" t="s">
        <v>16</v>
      </c>
      <c r="C63" s="34">
        <f>N42</f>
        <v>167.30574493400394</v>
      </c>
      <c r="D63" s="18"/>
    </row>
    <row r="64" spans="1:4" ht="11.4" customHeight="1" x14ac:dyDescent="0.25">
      <c r="A64" s="72"/>
      <c r="B64" s="69" t="s">
        <v>400</v>
      </c>
      <c r="C64" s="34">
        <f>O42</f>
        <v>24350.421698783528</v>
      </c>
      <c r="D64" s="51">
        <f>SUM(C52:C63)</f>
        <v>24350.421698783528</v>
      </c>
    </row>
    <row r="65" spans="1:4" ht="11.4" customHeight="1" x14ac:dyDescent="0.25">
      <c r="A65" s="71"/>
      <c r="B65" s="66"/>
      <c r="C65" s="36"/>
      <c r="D65" s="18"/>
    </row>
    <row r="66" spans="1:4" ht="11.4" customHeight="1" x14ac:dyDescent="0.25">
      <c r="A66" s="75"/>
      <c r="B66" s="75"/>
      <c r="C66" s="75"/>
      <c r="D66" s="18"/>
    </row>
    <row r="67" spans="1:4" ht="11.4" customHeight="1" x14ac:dyDescent="0.25">
      <c r="A67" s="67" t="s">
        <v>0</v>
      </c>
      <c r="B67" s="67" t="s">
        <v>2</v>
      </c>
      <c r="C67" s="33" t="s">
        <v>400</v>
      </c>
      <c r="D67" s="21"/>
    </row>
    <row r="68" spans="1:4" ht="11.4" customHeight="1" x14ac:dyDescent="0.25">
      <c r="A68" s="72">
        <v>1</v>
      </c>
      <c r="B68" s="69" t="s">
        <v>5</v>
      </c>
      <c r="C68" s="34">
        <f>R42</f>
        <v>11557.109069496695</v>
      </c>
      <c r="D68" s="18"/>
    </row>
    <row r="69" spans="1:4" ht="11.4" customHeight="1" x14ac:dyDescent="0.25">
      <c r="A69" s="72">
        <v>2</v>
      </c>
      <c r="B69" s="69" t="s">
        <v>6</v>
      </c>
      <c r="C69" s="34">
        <f>S42</f>
        <v>5430.0008994691743</v>
      </c>
      <c r="D69" s="18"/>
    </row>
    <row r="70" spans="1:4" ht="11.4" customHeight="1" x14ac:dyDescent="0.25">
      <c r="A70" s="72">
        <v>3</v>
      </c>
      <c r="B70" s="69" t="s">
        <v>7</v>
      </c>
      <c r="C70" s="34">
        <f>T42</f>
        <v>2033.6942773088922</v>
      </c>
      <c r="D70" s="18"/>
    </row>
    <row r="71" spans="1:4" ht="11.4" customHeight="1" x14ac:dyDescent="0.25">
      <c r="A71" s="72">
        <v>4</v>
      </c>
      <c r="B71" s="69" t="s">
        <v>8</v>
      </c>
      <c r="C71" s="34">
        <f>U42</f>
        <v>5329.6174525087708</v>
      </c>
      <c r="D71" s="18"/>
    </row>
    <row r="72" spans="1:4" ht="11.4" customHeight="1" x14ac:dyDescent="0.25">
      <c r="A72" s="72"/>
      <c r="B72" s="69" t="s">
        <v>400</v>
      </c>
      <c r="C72" s="34">
        <f>V42</f>
        <v>24350.421698783528</v>
      </c>
      <c r="D72" s="51">
        <f>SUM(C68:C71)</f>
        <v>24350.421698783532</v>
      </c>
    </row>
  </sheetData>
  <mergeCells count="10">
    <mergeCell ref="A1:O1"/>
    <mergeCell ref="P1:V1"/>
    <mergeCell ref="A2:A3"/>
    <mergeCell ref="B2:B3"/>
    <mergeCell ref="C2:N2"/>
    <mergeCell ref="O2:O3"/>
    <mergeCell ref="P2:P3"/>
    <mergeCell ref="Q2:Q3"/>
    <mergeCell ref="R2:U2"/>
    <mergeCell ref="V2:V3"/>
  </mergeCells>
  <pageMargins left="0.31496062992125984" right="0" top="0.59055118110236227" bottom="0.35433070866141736" header="0.31496062992125984" footer="0.31496062992125984"/>
  <pageSetup paperSize="9" scale="80" firstPageNumber="198" orientation="landscape" useFirstPageNumber="1" r:id="rId1"/>
  <headerFooter>
    <oddFooter>&amp;C&amp;P</oddFooter>
  </headerFooter>
  <colBreaks count="1" manualBreakCount="1">
    <brk id="1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C176-59C8-4862-B774-D1E4F494D5C7}">
  <dimension ref="A1:V72"/>
  <sheetViews>
    <sheetView view="pageBreakPreview" zoomScale="60" zoomScaleNormal="70" workbookViewId="0">
      <selection activeCell="C3" sqref="C1:O1048576"/>
    </sheetView>
  </sheetViews>
  <sheetFormatPr defaultColWidth="19.21875" defaultRowHeight="11.4" customHeight="1" x14ac:dyDescent="0.2"/>
  <cols>
    <col min="1" max="1" width="6" style="64" bestFit="1" customWidth="1"/>
    <col min="2" max="2" width="17.5546875" style="63" customWidth="1"/>
    <col min="3" max="15" width="10.77734375" style="63" customWidth="1"/>
    <col min="16" max="16" width="6" style="64" bestFit="1" customWidth="1"/>
    <col min="17" max="17" width="44.44140625" style="63" customWidth="1"/>
    <col min="18" max="22" width="14" style="63" customWidth="1"/>
    <col min="23" max="16384" width="19.21875" style="63"/>
  </cols>
  <sheetData>
    <row r="1" spans="1:22" s="58" customFormat="1" ht="23.4" customHeight="1" x14ac:dyDescent="0.2">
      <c r="A1" s="102" t="s">
        <v>381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 t="s">
        <v>382</v>
      </c>
      <c r="Q1" s="102"/>
      <c r="R1" s="102"/>
      <c r="S1" s="102"/>
      <c r="T1" s="102"/>
      <c r="U1" s="102"/>
      <c r="V1" s="102"/>
    </row>
    <row r="2" spans="1:22" s="59" customFormat="1" ht="11.4" customHeight="1" x14ac:dyDescent="0.3">
      <c r="A2" s="103" t="s">
        <v>0</v>
      </c>
      <c r="B2" s="105" t="s">
        <v>1</v>
      </c>
      <c r="C2" s="107" t="s">
        <v>4</v>
      </c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05" t="s">
        <v>3</v>
      </c>
      <c r="P2" s="103" t="s">
        <v>0</v>
      </c>
      <c r="Q2" s="103" t="s">
        <v>1</v>
      </c>
      <c r="R2" s="110" t="s">
        <v>2</v>
      </c>
      <c r="S2" s="111"/>
      <c r="T2" s="111"/>
      <c r="U2" s="112"/>
      <c r="V2" s="103" t="s">
        <v>66</v>
      </c>
    </row>
    <row r="3" spans="1:22" s="59" customFormat="1" ht="43.8" customHeight="1" x14ac:dyDescent="0.3">
      <c r="A3" s="104"/>
      <c r="B3" s="106"/>
      <c r="C3" s="60" t="s">
        <v>9</v>
      </c>
      <c r="D3" s="60" t="s">
        <v>10</v>
      </c>
      <c r="E3" s="60" t="s">
        <v>11</v>
      </c>
      <c r="F3" s="60" t="s">
        <v>12</v>
      </c>
      <c r="G3" s="61" t="s">
        <v>13</v>
      </c>
      <c r="H3" s="61" t="s">
        <v>14</v>
      </c>
      <c r="I3" s="61" t="s">
        <v>131</v>
      </c>
      <c r="J3" s="61" t="s">
        <v>135</v>
      </c>
      <c r="K3" s="61" t="s">
        <v>17</v>
      </c>
      <c r="L3" s="61" t="s">
        <v>278</v>
      </c>
      <c r="M3" s="61" t="s">
        <v>19</v>
      </c>
      <c r="N3" s="61" t="s">
        <v>133</v>
      </c>
      <c r="O3" s="106"/>
      <c r="P3" s="104"/>
      <c r="Q3" s="104"/>
      <c r="R3" s="62" t="s">
        <v>5</v>
      </c>
      <c r="S3" s="62" t="s">
        <v>6</v>
      </c>
      <c r="T3" s="62" t="s">
        <v>7</v>
      </c>
      <c r="U3" s="62" t="s">
        <v>8</v>
      </c>
      <c r="V3" s="104"/>
    </row>
    <row r="4" spans="1:22" ht="11.4" customHeight="1" x14ac:dyDescent="0.2">
      <c r="A4" s="27" t="s">
        <v>110</v>
      </c>
      <c r="B4" s="28" t="s">
        <v>38</v>
      </c>
      <c r="C4" s="28">
        <v>35.320101708289727</v>
      </c>
      <c r="D4" s="28">
        <v>107.8192578463581</v>
      </c>
      <c r="E4" s="28">
        <v>1.8589527214889328</v>
      </c>
      <c r="F4" s="28">
        <v>13.012669050422529</v>
      </c>
      <c r="G4" s="28">
        <v>124.5498323397585</v>
      </c>
      <c r="H4" s="28">
        <v>0</v>
      </c>
      <c r="I4" s="28">
        <v>22.307432657867192</v>
      </c>
      <c r="J4" s="28">
        <v>1.8589527214889328</v>
      </c>
      <c r="K4" s="28">
        <v>3.7179054429778655</v>
      </c>
      <c r="L4" s="28">
        <v>14.871621771911462</v>
      </c>
      <c r="M4" s="28">
        <v>37.179054429778652</v>
      </c>
      <c r="N4" s="28">
        <v>1.8589527214889328</v>
      </c>
      <c r="O4" s="28">
        <v>364.35473341183081</v>
      </c>
      <c r="P4" s="27" t="s">
        <v>110</v>
      </c>
      <c r="Q4" s="28" t="s">
        <v>38</v>
      </c>
      <c r="R4" s="28">
        <v>284.4197663878067</v>
      </c>
      <c r="S4" s="28">
        <v>68.78125069509052</v>
      </c>
      <c r="T4" s="28">
        <v>11.153716328933596</v>
      </c>
      <c r="U4" s="28">
        <v>0</v>
      </c>
      <c r="V4" s="28">
        <v>364.35473341183081</v>
      </c>
    </row>
    <row r="5" spans="1:22" ht="11.4" customHeight="1" x14ac:dyDescent="0.2">
      <c r="A5" s="27" t="s">
        <v>113</v>
      </c>
      <c r="B5" s="28" t="s">
        <v>41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7" t="s">
        <v>113</v>
      </c>
      <c r="Q5" s="28" t="s">
        <v>41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</row>
    <row r="6" spans="1:22" ht="11.4" customHeight="1" x14ac:dyDescent="0.2">
      <c r="A6" s="27" t="s">
        <v>119</v>
      </c>
      <c r="B6" s="28" t="s">
        <v>47</v>
      </c>
      <c r="C6" s="28">
        <v>0</v>
      </c>
      <c r="D6" s="28">
        <v>0</v>
      </c>
      <c r="E6" s="28">
        <v>0</v>
      </c>
      <c r="F6" s="28">
        <v>13.012669050422529</v>
      </c>
      <c r="G6" s="28">
        <v>0</v>
      </c>
      <c r="H6" s="28">
        <v>0</v>
      </c>
      <c r="I6" s="28">
        <v>0</v>
      </c>
      <c r="J6" s="28">
        <v>0</v>
      </c>
      <c r="K6" s="28">
        <v>7.435810885955731</v>
      </c>
      <c r="L6" s="28">
        <v>0</v>
      </c>
      <c r="M6" s="28">
        <v>22.307432657867192</v>
      </c>
      <c r="N6" s="28">
        <v>0</v>
      </c>
      <c r="O6" s="28">
        <v>42.755912594245451</v>
      </c>
      <c r="P6" s="27" t="s">
        <v>119</v>
      </c>
      <c r="Q6" s="28" t="s">
        <v>47</v>
      </c>
      <c r="R6" s="28">
        <v>0</v>
      </c>
      <c r="S6" s="28">
        <v>29.743243543822924</v>
      </c>
      <c r="T6" s="28">
        <v>13.012669050422529</v>
      </c>
      <c r="U6" s="28">
        <v>0</v>
      </c>
      <c r="V6" s="28">
        <v>42.755912594245451</v>
      </c>
    </row>
    <row r="7" spans="1:22" ht="11.4" customHeight="1" x14ac:dyDescent="0.2">
      <c r="A7" s="27" t="s">
        <v>121</v>
      </c>
      <c r="B7" s="28" t="s">
        <v>49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5.5768581644667981</v>
      </c>
      <c r="K7" s="28">
        <v>0</v>
      </c>
      <c r="L7" s="28">
        <v>0</v>
      </c>
      <c r="M7" s="28">
        <v>0</v>
      </c>
      <c r="N7" s="28">
        <v>0</v>
      </c>
      <c r="O7" s="28">
        <v>5.5768581644667981</v>
      </c>
      <c r="P7" s="27" t="s">
        <v>121</v>
      </c>
      <c r="Q7" s="28" t="s">
        <v>49</v>
      </c>
      <c r="R7" s="28">
        <v>5.5768581644667981</v>
      </c>
      <c r="S7" s="28">
        <v>0</v>
      </c>
      <c r="T7" s="28">
        <v>0</v>
      </c>
      <c r="U7" s="28">
        <v>0</v>
      </c>
      <c r="V7" s="28">
        <v>5.5768581644667981</v>
      </c>
    </row>
    <row r="8" spans="1:22" ht="11.4" customHeight="1" x14ac:dyDescent="0.2">
      <c r="A8" s="27" t="s">
        <v>95</v>
      </c>
      <c r="B8" s="28" t="s">
        <v>23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1.8589527214889328</v>
      </c>
      <c r="J8" s="28">
        <v>24.166385379356125</v>
      </c>
      <c r="K8" s="28">
        <v>0</v>
      </c>
      <c r="L8" s="28">
        <v>0</v>
      </c>
      <c r="M8" s="28">
        <v>26.025338100845058</v>
      </c>
      <c r="N8" s="28">
        <v>0</v>
      </c>
      <c r="O8" s="28">
        <v>52.050676201690116</v>
      </c>
      <c r="P8" s="27" t="s">
        <v>95</v>
      </c>
      <c r="Q8" s="28" t="s">
        <v>23</v>
      </c>
      <c r="R8" s="28">
        <v>29.743243543822924</v>
      </c>
      <c r="S8" s="28">
        <v>18.589527214889326</v>
      </c>
      <c r="T8" s="28">
        <v>3.7179054429778655</v>
      </c>
      <c r="U8" s="28">
        <v>0</v>
      </c>
      <c r="V8" s="28">
        <v>52.050676201690116</v>
      </c>
    </row>
    <row r="9" spans="1:22" ht="11.4" customHeight="1" x14ac:dyDescent="0.2">
      <c r="A9" s="27" t="s">
        <v>101</v>
      </c>
      <c r="B9" s="28" t="s">
        <v>29</v>
      </c>
      <c r="C9" s="28">
        <v>0</v>
      </c>
      <c r="D9" s="28">
        <v>13.012669050422529</v>
      </c>
      <c r="E9" s="28">
        <v>0</v>
      </c>
      <c r="F9" s="28">
        <v>0</v>
      </c>
      <c r="G9" s="28">
        <v>1.8589527214889328</v>
      </c>
      <c r="H9" s="28">
        <v>0</v>
      </c>
      <c r="I9" s="28">
        <v>1.8589527214889328</v>
      </c>
      <c r="J9" s="28">
        <v>11.153716328933596</v>
      </c>
      <c r="K9" s="28">
        <v>0</v>
      </c>
      <c r="L9" s="28">
        <v>37.179054429778652</v>
      </c>
      <c r="M9" s="28">
        <v>18.589527214889326</v>
      </c>
      <c r="N9" s="28">
        <v>0</v>
      </c>
      <c r="O9" s="28">
        <v>83.65287246700197</v>
      </c>
      <c r="P9" s="27" t="s">
        <v>101</v>
      </c>
      <c r="Q9" s="28" t="s">
        <v>29</v>
      </c>
      <c r="R9" s="28">
        <v>22.307432657867192</v>
      </c>
      <c r="S9" s="28">
        <v>61.345439809134781</v>
      </c>
      <c r="T9" s="28">
        <v>0</v>
      </c>
      <c r="U9" s="28">
        <v>0</v>
      </c>
      <c r="V9" s="28">
        <v>83.65287246700197</v>
      </c>
    </row>
    <row r="10" spans="1:22" ht="11.4" customHeight="1" x14ac:dyDescent="0.2">
      <c r="A10" s="27" t="s">
        <v>106</v>
      </c>
      <c r="B10" s="28" t="s">
        <v>34</v>
      </c>
      <c r="C10" s="28">
        <v>1.8589527214889328</v>
      </c>
      <c r="D10" s="28">
        <v>3.7179054429778655</v>
      </c>
      <c r="E10" s="28">
        <v>24.166385379356125</v>
      </c>
      <c r="F10" s="28">
        <v>59.486487087645848</v>
      </c>
      <c r="G10" s="28">
        <v>3.7179054429778655</v>
      </c>
      <c r="H10" s="28">
        <v>0</v>
      </c>
      <c r="I10" s="28">
        <v>0</v>
      </c>
      <c r="J10" s="28">
        <v>133.84459594720317</v>
      </c>
      <c r="K10" s="28">
        <v>1.8589527214889328</v>
      </c>
      <c r="L10" s="28">
        <v>7.435810885955731</v>
      </c>
      <c r="M10" s="28">
        <v>85.511825188490903</v>
      </c>
      <c r="N10" s="28">
        <v>0</v>
      </c>
      <c r="O10" s="28">
        <v>321.59882081758536</v>
      </c>
      <c r="P10" s="27" t="s">
        <v>106</v>
      </c>
      <c r="Q10" s="28" t="s">
        <v>34</v>
      </c>
      <c r="R10" s="28">
        <v>180.31841398442646</v>
      </c>
      <c r="S10" s="28">
        <v>81.793919745513037</v>
      </c>
      <c r="T10" s="28">
        <v>44.614865315734384</v>
      </c>
      <c r="U10" s="28">
        <v>14.871621771911462</v>
      </c>
      <c r="V10" s="28">
        <v>321.59882081758536</v>
      </c>
    </row>
    <row r="11" spans="1:22" ht="11.4" customHeight="1" x14ac:dyDescent="0.2">
      <c r="A11" s="27" t="s">
        <v>103</v>
      </c>
      <c r="B11" s="28" t="s">
        <v>31</v>
      </c>
      <c r="C11" s="28">
        <v>0</v>
      </c>
      <c r="D11" s="28">
        <v>0</v>
      </c>
      <c r="E11" s="28">
        <v>0</v>
      </c>
      <c r="F11" s="28">
        <v>3.7179054429778655</v>
      </c>
      <c r="G11" s="28">
        <v>0</v>
      </c>
      <c r="H11" s="28">
        <v>0</v>
      </c>
      <c r="I11" s="28">
        <v>0</v>
      </c>
      <c r="J11" s="28">
        <v>3.7179054429778655</v>
      </c>
      <c r="K11" s="28">
        <v>0</v>
      </c>
      <c r="L11" s="28">
        <v>0</v>
      </c>
      <c r="M11" s="28">
        <v>0</v>
      </c>
      <c r="N11" s="28">
        <v>0</v>
      </c>
      <c r="O11" s="28">
        <v>7.435810885955731</v>
      </c>
      <c r="P11" s="27" t="s">
        <v>103</v>
      </c>
      <c r="Q11" s="28" t="s">
        <v>31</v>
      </c>
      <c r="R11" s="28">
        <v>7.435810885955731</v>
      </c>
      <c r="S11" s="28">
        <v>0</v>
      </c>
      <c r="T11" s="28">
        <v>0</v>
      </c>
      <c r="U11" s="28">
        <v>0</v>
      </c>
      <c r="V11" s="28">
        <v>7.435810885955731</v>
      </c>
    </row>
    <row r="12" spans="1:22" ht="11.4" customHeight="1" x14ac:dyDescent="0.2">
      <c r="A12" s="27" t="s">
        <v>99</v>
      </c>
      <c r="B12" s="28" t="s">
        <v>27</v>
      </c>
      <c r="C12" s="28">
        <v>0</v>
      </c>
      <c r="D12" s="28">
        <v>0</v>
      </c>
      <c r="E12" s="28">
        <v>0</v>
      </c>
      <c r="F12" s="28">
        <v>53.909628923179049</v>
      </c>
      <c r="G12" s="28">
        <v>0</v>
      </c>
      <c r="H12" s="28">
        <v>0</v>
      </c>
      <c r="I12" s="28">
        <v>1.8589527214889328</v>
      </c>
      <c r="J12" s="28">
        <v>31.602196265311857</v>
      </c>
      <c r="K12" s="28">
        <v>5.5768581644667981</v>
      </c>
      <c r="L12" s="28">
        <v>5.5768581644667981</v>
      </c>
      <c r="M12" s="28">
        <v>5.5768581644667981</v>
      </c>
      <c r="N12" s="28">
        <v>0</v>
      </c>
      <c r="O12" s="28">
        <v>104.10135240338023</v>
      </c>
      <c r="P12" s="27" t="s">
        <v>99</v>
      </c>
      <c r="Q12" s="28" t="s">
        <v>27</v>
      </c>
      <c r="R12" s="28">
        <v>14.871621771911462</v>
      </c>
      <c r="S12" s="28">
        <v>61.345439809134781</v>
      </c>
      <c r="T12" s="28">
        <v>27.884290822333991</v>
      </c>
      <c r="U12" s="28">
        <v>0</v>
      </c>
      <c r="V12" s="28">
        <v>104.10135240338023</v>
      </c>
    </row>
    <row r="13" spans="1:22" ht="11.4" customHeight="1" x14ac:dyDescent="0.2">
      <c r="A13" s="27" t="s">
        <v>94</v>
      </c>
      <c r="B13" s="28" t="s">
        <v>22</v>
      </c>
      <c r="C13" s="28">
        <v>0</v>
      </c>
      <c r="D13" s="28">
        <v>0</v>
      </c>
      <c r="E13" s="28">
        <v>0</v>
      </c>
      <c r="F13" s="28">
        <v>107.8192578463581</v>
      </c>
      <c r="G13" s="28">
        <v>3.7179054429778655</v>
      </c>
      <c r="H13" s="28">
        <v>0</v>
      </c>
      <c r="I13" s="28">
        <v>40.896959872756518</v>
      </c>
      <c r="J13" s="28">
        <v>764.02956853195133</v>
      </c>
      <c r="K13" s="28">
        <v>76.217061581046238</v>
      </c>
      <c r="L13" s="28">
        <v>7.435810885955731</v>
      </c>
      <c r="M13" s="28">
        <v>5.5768581644667981</v>
      </c>
      <c r="N13" s="28">
        <v>9.2947636074446631</v>
      </c>
      <c r="O13" s="28">
        <v>1014.9881859329571</v>
      </c>
      <c r="P13" s="27" t="s">
        <v>94</v>
      </c>
      <c r="Q13" s="28" t="s">
        <v>22</v>
      </c>
      <c r="R13" s="28">
        <v>775.1832848608849</v>
      </c>
      <c r="S13" s="28">
        <v>239.80490107207234</v>
      </c>
      <c r="T13" s="28">
        <v>0</v>
      </c>
      <c r="U13" s="28">
        <v>0</v>
      </c>
      <c r="V13" s="28">
        <v>1014.9881859329572</v>
      </c>
    </row>
    <row r="14" spans="1:22" ht="11.4" customHeight="1" x14ac:dyDescent="0.2">
      <c r="A14" s="27" t="s">
        <v>97</v>
      </c>
      <c r="B14" s="28" t="s">
        <v>25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11.153716328933596</v>
      </c>
      <c r="K14" s="28">
        <v>0</v>
      </c>
      <c r="L14" s="28">
        <v>1.8589527214889328</v>
      </c>
      <c r="M14" s="28">
        <v>9.2947636074446631</v>
      </c>
      <c r="N14" s="28">
        <v>0</v>
      </c>
      <c r="O14" s="28">
        <v>22.307432657867192</v>
      </c>
      <c r="P14" s="27" t="s">
        <v>97</v>
      </c>
      <c r="Q14" s="28" t="s">
        <v>25</v>
      </c>
      <c r="R14" s="28">
        <v>22.307432657867192</v>
      </c>
      <c r="S14" s="28">
        <v>0</v>
      </c>
      <c r="T14" s="28">
        <v>0</v>
      </c>
      <c r="U14" s="28">
        <v>0</v>
      </c>
      <c r="V14" s="28">
        <v>22.307432657867192</v>
      </c>
    </row>
    <row r="15" spans="1:22" ht="11.4" customHeight="1" x14ac:dyDescent="0.2">
      <c r="A15" s="27" t="s">
        <v>117</v>
      </c>
      <c r="B15" s="28" t="s">
        <v>45</v>
      </c>
      <c r="C15" s="28">
        <v>0</v>
      </c>
      <c r="D15" s="28">
        <v>0</v>
      </c>
      <c r="E15" s="28">
        <v>0</v>
      </c>
      <c r="F15" s="28">
        <v>57.627534366156908</v>
      </c>
      <c r="G15" s="28">
        <v>13.012669050422529</v>
      </c>
      <c r="H15" s="28">
        <v>0</v>
      </c>
      <c r="I15" s="28">
        <v>0</v>
      </c>
      <c r="J15" s="28">
        <v>130.12669050422528</v>
      </c>
      <c r="K15" s="28">
        <v>118.9729741752917</v>
      </c>
      <c r="L15" s="28">
        <v>16.730574493400397</v>
      </c>
      <c r="M15" s="28">
        <v>184.03631942740432</v>
      </c>
      <c r="N15" s="28">
        <v>9.2947636074446631</v>
      </c>
      <c r="O15" s="28">
        <v>529.8015256243458</v>
      </c>
      <c r="P15" s="27" t="s">
        <v>117</v>
      </c>
      <c r="Q15" s="28" t="s">
        <v>45</v>
      </c>
      <c r="R15" s="28">
        <v>180.31841398442646</v>
      </c>
      <c r="S15" s="28">
        <v>345.76520619694145</v>
      </c>
      <c r="T15" s="28">
        <v>3.7179054429778655</v>
      </c>
      <c r="U15" s="28">
        <v>0</v>
      </c>
      <c r="V15" s="28">
        <v>529.8015256243458</v>
      </c>
    </row>
    <row r="16" spans="1:22" ht="11.4" customHeight="1" x14ac:dyDescent="0.2">
      <c r="A16" s="27" t="s">
        <v>114</v>
      </c>
      <c r="B16" s="28" t="s">
        <v>42</v>
      </c>
      <c r="C16" s="28">
        <v>0</v>
      </c>
      <c r="D16" s="28">
        <v>0</v>
      </c>
      <c r="E16" s="28">
        <v>0</v>
      </c>
      <c r="F16" s="28">
        <v>1.8589527214889328</v>
      </c>
      <c r="G16" s="28">
        <v>0</v>
      </c>
      <c r="H16" s="28">
        <v>0</v>
      </c>
      <c r="I16" s="28">
        <v>1.8589527214889328</v>
      </c>
      <c r="J16" s="28">
        <v>22.307432657867192</v>
      </c>
      <c r="K16" s="28">
        <v>16.730574493400397</v>
      </c>
      <c r="L16" s="28">
        <v>0</v>
      </c>
      <c r="M16" s="28">
        <v>5.5768581644667981</v>
      </c>
      <c r="N16" s="28">
        <v>0</v>
      </c>
      <c r="O16" s="28">
        <v>48.332770758712257</v>
      </c>
      <c r="P16" s="27" t="s">
        <v>114</v>
      </c>
      <c r="Q16" s="28" t="s">
        <v>42</v>
      </c>
      <c r="R16" s="28">
        <v>48.33277075871225</v>
      </c>
      <c r="S16" s="28">
        <v>0</v>
      </c>
      <c r="T16" s="28">
        <v>0</v>
      </c>
      <c r="U16" s="28">
        <v>0</v>
      </c>
      <c r="V16" s="28">
        <v>48.33277075871225</v>
      </c>
    </row>
    <row r="17" spans="1:22" ht="11.4" customHeight="1" x14ac:dyDescent="0.2">
      <c r="A17" s="27" t="s">
        <v>112</v>
      </c>
      <c r="B17" s="28" t="s">
        <v>40</v>
      </c>
      <c r="C17" s="28">
        <v>0</v>
      </c>
      <c r="D17" s="28">
        <v>0</v>
      </c>
      <c r="E17" s="28">
        <v>1293.8310941562972</v>
      </c>
      <c r="F17" s="28">
        <v>81.793919745513037</v>
      </c>
      <c r="G17" s="28">
        <v>7.435810885955731</v>
      </c>
      <c r="H17" s="28">
        <v>85.511825188490903</v>
      </c>
      <c r="I17" s="28">
        <v>20.448479936378259</v>
      </c>
      <c r="J17" s="28">
        <v>276.98395550185097</v>
      </c>
      <c r="K17" s="28">
        <v>16.730574493400397</v>
      </c>
      <c r="L17" s="28">
        <v>57.627534366156908</v>
      </c>
      <c r="M17" s="28">
        <v>13.012669050422529</v>
      </c>
      <c r="N17" s="28">
        <v>3.7179054429778655</v>
      </c>
      <c r="O17" s="28">
        <v>1857.0937687674439</v>
      </c>
      <c r="P17" s="27" t="s">
        <v>112</v>
      </c>
      <c r="Q17" s="28" t="s">
        <v>40</v>
      </c>
      <c r="R17" s="28">
        <v>434.99493682841023</v>
      </c>
      <c r="S17" s="28">
        <v>7.435810885955731</v>
      </c>
      <c r="T17" s="28">
        <v>0</v>
      </c>
      <c r="U17" s="28">
        <v>1414.6630210530777</v>
      </c>
      <c r="V17" s="28">
        <v>1857.0937687674436</v>
      </c>
    </row>
    <row r="18" spans="1:22" ht="11.4" customHeight="1" x14ac:dyDescent="0.2">
      <c r="A18" s="27" t="s">
        <v>116</v>
      </c>
      <c r="B18" s="28" t="s">
        <v>44</v>
      </c>
      <c r="C18" s="28">
        <v>29.743243543822924</v>
      </c>
      <c r="D18" s="28">
        <v>169.16469765549286</v>
      </c>
      <c r="E18" s="28">
        <v>434.99493682841023</v>
      </c>
      <c r="F18" s="28">
        <v>13.012669050422529</v>
      </c>
      <c r="G18" s="28">
        <v>14.871621771911462</v>
      </c>
      <c r="H18" s="28">
        <v>74.358108859557305</v>
      </c>
      <c r="I18" s="28">
        <v>1.8589527214889328</v>
      </c>
      <c r="J18" s="28">
        <v>22.307432657867192</v>
      </c>
      <c r="K18" s="28">
        <v>9.2947636074446631</v>
      </c>
      <c r="L18" s="28">
        <v>288.13767183078454</v>
      </c>
      <c r="M18" s="28">
        <v>338.32939531098572</v>
      </c>
      <c r="N18" s="28">
        <v>7.435810885955731</v>
      </c>
      <c r="O18" s="28">
        <v>1403.5093047241442</v>
      </c>
      <c r="P18" s="27" t="s">
        <v>116</v>
      </c>
      <c r="Q18" s="28" t="s">
        <v>44</v>
      </c>
      <c r="R18" s="28">
        <v>105.96030512486917</v>
      </c>
      <c r="S18" s="28">
        <v>89.229730631468769</v>
      </c>
      <c r="T18" s="28">
        <v>700.82517600132769</v>
      </c>
      <c r="U18" s="28">
        <v>507.4940929664786</v>
      </c>
      <c r="V18" s="28">
        <v>1403.5093047241442</v>
      </c>
    </row>
    <row r="19" spans="1:22" ht="11.4" customHeight="1" x14ac:dyDescent="0.2">
      <c r="A19" s="27" t="s">
        <v>107</v>
      </c>
      <c r="B19" s="28" t="s">
        <v>35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356.91892252587508</v>
      </c>
      <c r="M19" s="28">
        <v>42.755912594245451</v>
      </c>
      <c r="N19" s="28">
        <v>0</v>
      </c>
      <c r="O19" s="28">
        <v>399.67483512012052</v>
      </c>
      <c r="P19" s="27" t="s">
        <v>107</v>
      </c>
      <c r="Q19" s="28" t="s">
        <v>35</v>
      </c>
      <c r="R19" s="28">
        <v>24.166385379356125</v>
      </c>
      <c r="S19" s="28">
        <v>102.2423996818913</v>
      </c>
      <c r="T19" s="28">
        <v>0</v>
      </c>
      <c r="U19" s="28">
        <v>273.26605005887308</v>
      </c>
      <c r="V19" s="28">
        <v>399.67483512012052</v>
      </c>
    </row>
    <row r="20" spans="1:22" ht="11.4" customHeight="1" x14ac:dyDescent="0.2">
      <c r="A20" s="27" t="s">
        <v>100</v>
      </c>
      <c r="B20" s="28" t="s">
        <v>28</v>
      </c>
      <c r="C20" s="28">
        <v>0</v>
      </c>
      <c r="D20" s="28">
        <v>1.8589527214889328</v>
      </c>
      <c r="E20" s="28">
        <v>0</v>
      </c>
      <c r="F20" s="28">
        <v>0</v>
      </c>
      <c r="G20" s="28">
        <v>9.2947636074446631</v>
      </c>
      <c r="H20" s="28">
        <v>0</v>
      </c>
      <c r="I20" s="28">
        <v>1.8589527214889328</v>
      </c>
      <c r="J20" s="28">
        <v>40.896959872756518</v>
      </c>
      <c r="K20" s="28">
        <v>0</v>
      </c>
      <c r="L20" s="28">
        <v>3.7179054429778655</v>
      </c>
      <c r="M20" s="28">
        <v>16.730574493400397</v>
      </c>
      <c r="N20" s="28">
        <v>0</v>
      </c>
      <c r="O20" s="28">
        <v>74.358108859557319</v>
      </c>
      <c r="P20" s="27" t="s">
        <v>100</v>
      </c>
      <c r="Q20" s="28" t="s">
        <v>28</v>
      </c>
      <c r="R20" s="28">
        <v>42.755912594245451</v>
      </c>
      <c r="S20" s="28">
        <v>24.166385379356125</v>
      </c>
      <c r="T20" s="28">
        <v>7.435810885955731</v>
      </c>
      <c r="U20" s="28">
        <v>0</v>
      </c>
      <c r="V20" s="28">
        <v>74.358108859557305</v>
      </c>
    </row>
    <row r="21" spans="1:22" ht="11.4" customHeight="1" x14ac:dyDescent="0.2">
      <c r="A21" s="27" t="s">
        <v>108</v>
      </c>
      <c r="B21" s="28" t="s">
        <v>36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3.7179054429778655</v>
      </c>
      <c r="M21" s="28">
        <v>13.012669050422529</v>
      </c>
      <c r="N21" s="28">
        <v>0</v>
      </c>
      <c r="O21" s="28">
        <v>16.730574493400393</v>
      </c>
      <c r="P21" s="27" t="s">
        <v>108</v>
      </c>
      <c r="Q21" s="28" t="s">
        <v>36</v>
      </c>
      <c r="R21" s="28">
        <v>3.7179054429778655</v>
      </c>
      <c r="S21" s="28">
        <v>13.012669050422529</v>
      </c>
      <c r="T21" s="28">
        <v>0</v>
      </c>
      <c r="U21" s="28">
        <v>0</v>
      </c>
      <c r="V21" s="28">
        <v>16.730574493400393</v>
      </c>
    </row>
    <row r="22" spans="1:22" ht="11.4" customHeight="1" x14ac:dyDescent="0.2">
      <c r="A22" s="27" t="s">
        <v>104</v>
      </c>
      <c r="B22" s="28" t="s">
        <v>32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128.26773778273636</v>
      </c>
      <c r="K22" s="28">
        <v>0</v>
      </c>
      <c r="L22" s="28">
        <v>11.153716328933596</v>
      </c>
      <c r="M22" s="28">
        <v>33.461148986800794</v>
      </c>
      <c r="N22" s="28">
        <v>7.435810885955731</v>
      </c>
      <c r="O22" s="28">
        <v>180.31841398442648</v>
      </c>
      <c r="P22" s="27" t="s">
        <v>104</v>
      </c>
      <c r="Q22" s="28" t="s">
        <v>32</v>
      </c>
      <c r="R22" s="28">
        <v>135.70354866869209</v>
      </c>
      <c r="S22" s="28">
        <v>44.614865315734384</v>
      </c>
      <c r="T22" s="28">
        <v>0</v>
      </c>
      <c r="U22" s="28">
        <v>0</v>
      </c>
      <c r="V22" s="28">
        <v>180.31841398442648</v>
      </c>
    </row>
    <row r="23" spans="1:22" ht="11.4" customHeight="1" x14ac:dyDescent="0.2">
      <c r="A23" s="27" t="s">
        <v>105</v>
      </c>
      <c r="B23" s="28" t="s">
        <v>33</v>
      </c>
      <c r="C23" s="28">
        <v>0</v>
      </c>
      <c r="D23" s="28">
        <v>13.012669050422529</v>
      </c>
      <c r="E23" s="28">
        <v>1.8589527214889328</v>
      </c>
      <c r="F23" s="28">
        <v>1.8589527214889328</v>
      </c>
      <c r="G23" s="28">
        <v>37.179054429778652</v>
      </c>
      <c r="H23" s="28">
        <v>0</v>
      </c>
      <c r="I23" s="28">
        <v>0</v>
      </c>
      <c r="J23" s="28">
        <v>20.448479936378259</v>
      </c>
      <c r="K23" s="28">
        <v>0</v>
      </c>
      <c r="L23" s="28">
        <v>1.8589527214889328</v>
      </c>
      <c r="M23" s="28">
        <v>0</v>
      </c>
      <c r="N23" s="28">
        <v>0</v>
      </c>
      <c r="O23" s="28">
        <v>76.217061581046238</v>
      </c>
      <c r="P23" s="27" t="s">
        <v>105</v>
      </c>
      <c r="Q23" s="28" t="s">
        <v>33</v>
      </c>
      <c r="R23" s="28">
        <v>40.896959872756518</v>
      </c>
      <c r="S23" s="28">
        <v>35.320101708289727</v>
      </c>
      <c r="T23" s="28">
        <v>0</v>
      </c>
      <c r="U23" s="28">
        <v>0</v>
      </c>
      <c r="V23" s="28">
        <v>76.217061581046238</v>
      </c>
    </row>
    <row r="24" spans="1:22" ht="11.4" customHeight="1" x14ac:dyDescent="0.2">
      <c r="A24" s="27" t="s">
        <v>109</v>
      </c>
      <c r="B24" s="28" t="s">
        <v>37</v>
      </c>
      <c r="C24" s="28">
        <v>0</v>
      </c>
      <c r="D24" s="28">
        <v>0</v>
      </c>
      <c r="E24" s="28">
        <v>0</v>
      </c>
      <c r="F24" s="28">
        <v>5.5768581644667981</v>
      </c>
      <c r="G24" s="28">
        <v>7.435810885955731</v>
      </c>
      <c r="H24" s="28">
        <v>0</v>
      </c>
      <c r="I24" s="28">
        <v>0</v>
      </c>
      <c r="J24" s="28">
        <v>39.038007151267585</v>
      </c>
      <c r="K24" s="28">
        <v>0</v>
      </c>
      <c r="L24" s="28">
        <v>0</v>
      </c>
      <c r="M24" s="28">
        <v>7.435810885955731</v>
      </c>
      <c r="N24" s="28">
        <v>0</v>
      </c>
      <c r="O24" s="28">
        <v>59.486487087645848</v>
      </c>
      <c r="P24" s="27" t="s">
        <v>109</v>
      </c>
      <c r="Q24" s="28" t="s">
        <v>37</v>
      </c>
      <c r="R24" s="28">
        <v>16.730574493400397</v>
      </c>
      <c r="S24" s="28">
        <v>42.755912594245451</v>
      </c>
      <c r="T24" s="28">
        <v>0</v>
      </c>
      <c r="U24" s="28">
        <v>0</v>
      </c>
      <c r="V24" s="28">
        <v>59.486487087645848</v>
      </c>
    </row>
    <row r="25" spans="1:22" ht="11.4" customHeight="1" x14ac:dyDescent="0.2">
      <c r="A25" s="27" t="s">
        <v>96</v>
      </c>
      <c r="B25" s="28" t="s">
        <v>24</v>
      </c>
      <c r="C25" s="28">
        <v>0</v>
      </c>
      <c r="D25" s="28">
        <v>0</v>
      </c>
      <c r="E25" s="28">
        <v>0</v>
      </c>
      <c r="F25" s="28">
        <v>3.7179054429778655</v>
      </c>
      <c r="G25" s="28">
        <v>0</v>
      </c>
      <c r="H25" s="28">
        <v>0</v>
      </c>
      <c r="I25" s="28">
        <v>0</v>
      </c>
      <c r="J25" s="28">
        <v>0</v>
      </c>
      <c r="K25" s="28">
        <v>5.5768581644667981</v>
      </c>
      <c r="L25" s="28">
        <v>0</v>
      </c>
      <c r="M25" s="28">
        <v>5.5768581644667981</v>
      </c>
      <c r="N25" s="28">
        <v>0</v>
      </c>
      <c r="O25" s="28">
        <v>14.87162177191146</v>
      </c>
      <c r="P25" s="27" t="s">
        <v>96</v>
      </c>
      <c r="Q25" s="28" t="s">
        <v>24</v>
      </c>
      <c r="R25" s="28">
        <v>3.7179054429778655</v>
      </c>
      <c r="S25" s="28">
        <v>11.153716328933596</v>
      </c>
      <c r="T25" s="28">
        <v>0</v>
      </c>
      <c r="U25" s="28">
        <v>0</v>
      </c>
      <c r="V25" s="28">
        <v>14.871621771911462</v>
      </c>
    </row>
    <row r="26" spans="1:22" ht="11.4" customHeight="1" x14ac:dyDescent="0.2">
      <c r="A26" s="27" t="s">
        <v>120</v>
      </c>
      <c r="B26" s="28" t="s">
        <v>48</v>
      </c>
      <c r="C26" s="28">
        <v>0</v>
      </c>
      <c r="D26" s="28">
        <v>0</v>
      </c>
      <c r="E26" s="28">
        <v>284.4197663878067</v>
      </c>
      <c r="F26" s="28">
        <v>20.448479936378259</v>
      </c>
      <c r="G26" s="28">
        <v>1.8589527214889328</v>
      </c>
      <c r="H26" s="28">
        <v>0</v>
      </c>
      <c r="I26" s="28">
        <v>53.909628923179049</v>
      </c>
      <c r="J26" s="28">
        <v>211.92061024973833</v>
      </c>
      <c r="K26" s="28">
        <v>197.04898847782687</v>
      </c>
      <c r="L26" s="28">
        <v>37.179054429778652</v>
      </c>
      <c r="M26" s="28">
        <v>61.345439809134781</v>
      </c>
      <c r="N26" s="28">
        <v>26.025338100845058</v>
      </c>
      <c r="O26" s="28">
        <v>894.15625903617649</v>
      </c>
      <c r="P26" s="27" t="s">
        <v>120</v>
      </c>
      <c r="Q26" s="28" t="s">
        <v>48</v>
      </c>
      <c r="R26" s="28">
        <v>204.4847993637826</v>
      </c>
      <c r="S26" s="28">
        <v>224.93327930016085</v>
      </c>
      <c r="T26" s="28">
        <v>189.61317759187114</v>
      </c>
      <c r="U26" s="28">
        <v>275.12500278036208</v>
      </c>
      <c r="V26" s="28">
        <v>894.15625903617661</v>
      </c>
    </row>
    <row r="27" spans="1:22" ht="11.4" customHeight="1" x14ac:dyDescent="0.2">
      <c r="A27" s="27" t="s">
        <v>102</v>
      </c>
      <c r="B27" s="28" t="s">
        <v>30</v>
      </c>
      <c r="C27" s="28">
        <v>9.2947636074446631</v>
      </c>
      <c r="D27" s="28">
        <v>721.27365593770583</v>
      </c>
      <c r="E27" s="28">
        <v>2875.7998601433787</v>
      </c>
      <c r="F27" s="28">
        <v>104.10135240338023</v>
      </c>
      <c r="G27" s="28">
        <v>35.320101708289727</v>
      </c>
      <c r="H27" s="28">
        <v>26.025338100845058</v>
      </c>
      <c r="I27" s="28">
        <v>27.884290822333991</v>
      </c>
      <c r="J27" s="28">
        <v>710.11993960877237</v>
      </c>
      <c r="K27" s="28">
        <v>152.43412316209248</v>
      </c>
      <c r="L27" s="28">
        <v>39.038007151267585</v>
      </c>
      <c r="M27" s="28">
        <v>550.25000556072416</v>
      </c>
      <c r="N27" s="28">
        <v>1394.2145411166996</v>
      </c>
      <c r="O27" s="28">
        <v>6645.7559793229348</v>
      </c>
      <c r="P27" s="27" t="s">
        <v>102</v>
      </c>
      <c r="Q27" s="28" t="s">
        <v>30</v>
      </c>
      <c r="R27" s="28">
        <v>711.97889233026126</v>
      </c>
      <c r="S27" s="28">
        <v>847.68244099895333</v>
      </c>
      <c r="T27" s="28">
        <v>206.34375208527155</v>
      </c>
      <c r="U27" s="28">
        <v>4879.7508939084482</v>
      </c>
      <c r="V27" s="28">
        <v>6645.7559793229339</v>
      </c>
    </row>
    <row r="28" spans="1:22" ht="11.4" customHeight="1" x14ac:dyDescent="0.2">
      <c r="A28" s="27" t="s">
        <v>98</v>
      </c>
      <c r="B28" s="28" t="s">
        <v>26</v>
      </c>
      <c r="C28" s="28">
        <v>31.602196265311857</v>
      </c>
      <c r="D28" s="28">
        <v>57.627534366156908</v>
      </c>
      <c r="E28" s="28">
        <v>98.524494238913434</v>
      </c>
      <c r="F28" s="28">
        <v>31.602196265311857</v>
      </c>
      <c r="G28" s="28">
        <v>39.038007151267585</v>
      </c>
      <c r="H28" s="28">
        <v>0</v>
      </c>
      <c r="I28" s="28">
        <v>24.166385379356125</v>
      </c>
      <c r="J28" s="28">
        <v>79.934967024024104</v>
      </c>
      <c r="K28" s="28">
        <v>20.448479936378259</v>
      </c>
      <c r="L28" s="28">
        <v>31.602196265311857</v>
      </c>
      <c r="M28" s="28">
        <v>206.34375208527155</v>
      </c>
      <c r="N28" s="28">
        <v>26.025338100845058</v>
      </c>
      <c r="O28" s="28">
        <v>646.91554707814851</v>
      </c>
      <c r="P28" s="27" t="s">
        <v>98</v>
      </c>
      <c r="Q28" s="28" t="s">
        <v>26</v>
      </c>
      <c r="R28" s="28">
        <v>122.69087961826956</v>
      </c>
      <c r="S28" s="28">
        <v>230.51013746462763</v>
      </c>
      <c r="T28" s="28">
        <v>200.76689392080473</v>
      </c>
      <c r="U28" s="28">
        <v>92.947636074446649</v>
      </c>
      <c r="V28" s="28">
        <v>646.91554707814862</v>
      </c>
    </row>
    <row r="29" spans="1:22" ht="11.4" customHeight="1" x14ac:dyDescent="0.2">
      <c r="A29" s="27" t="s">
        <v>93</v>
      </c>
      <c r="B29" s="28" t="s">
        <v>21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7" t="s">
        <v>93</v>
      </c>
      <c r="Q29" s="28" t="s">
        <v>21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</row>
    <row r="30" spans="1:22" ht="11.4" customHeight="1" x14ac:dyDescent="0.2">
      <c r="A30" s="27" t="s">
        <v>115</v>
      </c>
      <c r="B30" s="28" t="s">
        <v>43</v>
      </c>
      <c r="C30" s="28">
        <v>3.7179054429778655</v>
      </c>
      <c r="D30" s="28">
        <v>0</v>
      </c>
      <c r="E30" s="28">
        <v>14.871621771911462</v>
      </c>
      <c r="F30" s="28">
        <v>16.730574493400397</v>
      </c>
      <c r="G30" s="28">
        <v>98.524494238913434</v>
      </c>
      <c r="H30" s="28">
        <v>0</v>
      </c>
      <c r="I30" s="28">
        <v>3.7179054429778655</v>
      </c>
      <c r="J30" s="28">
        <v>26.025338100845058</v>
      </c>
      <c r="K30" s="28">
        <v>13.012669050422529</v>
      </c>
      <c r="L30" s="28">
        <v>0</v>
      </c>
      <c r="M30" s="28">
        <v>65.06334525211264</v>
      </c>
      <c r="N30" s="28">
        <v>0</v>
      </c>
      <c r="O30" s="28">
        <v>241.66385379356126</v>
      </c>
      <c r="P30" s="27" t="s">
        <v>115</v>
      </c>
      <c r="Q30" s="28" t="s">
        <v>43</v>
      </c>
      <c r="R30" s="28">
        <v>44.614865315734384</v>
      </c>
      <c r="S30" s="28">
        <v>20.448479936378259</v>
      </c>
      <c r="T30" s="28">
        <v>176.60050854144859</v>
      </c>
      <c r="U30" s="28">
        <v>0</v>
      </c>
      <c r="V30" s="28">
        <v>241.66385379356123</v>
      </c>
    </row>
    <row r="31" spans="1:22" ht="11.4" customHeight="1" x14ac:dyDescent="0.2">
      <c r="A31" s="27" t="s">
        <v>111</v>
      </c>
      <c r="B31" s="28" t="s">
        <v>39</v>
      </c>
      <c r="C31" s="28">
        <v>3.7179054429778655</v>
      </c>
      <c r="D31" s="28">
        <v>1.8589527214889328</v>
      </c>
      <c r="E31" s="28">
        <v>0</v>
      </c>
      <c r="F31" s="28">
        <v>44.614865315734384</v>
      </c>
      <c r="G31" s="28">
        <v>0</v>
      </c>
      <c r="H31" s="28">
        <v>0</v>
      </c>
      <c r="I31" s="28">
        <v>1.8589527214889328</v>
      </c>
      <c r="J31" s="28">
        <v>91.088683352957702</v>
      </c>
      <c r="K31" s="28">
        <v>100.38344696040237</v>
      </c>
      <c r="L31" s="28">
        <v>3.7179054429778655</v>
      </c>
      <c r="M31" s="28">
        <v>11.153716328933596</v>
      </c>
      <c r="N31" s="28">
        <v>3.7179054429778655</v>
      </c>
      <c r="O31" s="28">
        <v>262.11233372993951</v>
      </c>
      <c r="P31" s="27" t="s">
        <v>111</v>
      </c>
      <c r="Q31" s="28" t="s">
        <v>39</v>
      </c>
      <c r="R31" s="28">
        <v>200.76689392080473</v>
      </c>
      <c r="S31" s="28">
        <v>61.345439809134781</v>
      </c>
      <c r="T31" s="28">
        <v>0</v>
      </c>
      <c r="U31" s="28">
        <v>0</v>
      </c>
      <c r="V31" s="28">
        <v>262.11233372993951</v>
      </c>
    </row>
    <row r="32" spans="1:22" ht="11.4" customHeight="1" x14ac:dyDescent="0.2">
      <c r="A32" s="27" t="s">
        <v>118</v>
      </c>
      <c r="B32" s="28" t="s">
        <v>46</v>
      </c>
      <c r="C32" s="28">
        <v>46.473818037223324</v>
      </c>
      <c r="D32" s="28">
        <v>0</v>
      </c>
      <c r="E32" s="28">
        <v>0</v>
      </c>
      <c r="F32" s="28">
        <v>1.8589527214889328</v>
      </c>
      <c r="G32" s="28">
        <v>7.435810885955731</v>
      </c>
      <c r="H32" s="28">
        <v>0</v>
      </c>
      <c r="I32" s="28">
        <v>0</v>
      </c>
      <c r="J32" s="28">
        <v>0</v>
      </c>
      <c r="K32" s="28">
        <v>111.53716328933596</v>
      </c>
      <c r="L32" s="28">
        <v>0</v>
      </c>
      <c r="M32" s="28">
        <v>3.7179054429778655</v>
      </c>
      <c r="N32" s="28">
        <v>0</v>
      </c>
      <c r="O32" s="28">
        <v>171.02365037698181</v>
      </c>
      <c r="P32" s="27" t="s">
        <v>118</v>
      </c>
      <c r="Q32" s="28" t="s">
        <v>46</v>
      </c>
      <c r="R32" s="28">
        <v>35.320101708289727</v>
      </c>
      <c r="S32" s="28">
        <v>24.166385379356125</v>
      </c>
      <c r="T32" s="28">
        <v>0</v>
      </c>
      <c r="U32" s="28">
        <v>111.53716328933596</v>
      </c>
      <c r="V32" s="28">
        <v>171.02365037698183</v>
      </c>
    </row>
    <row r="33" spans="1:22" ht="11.4" customHeight="1" x14ac:dyDescent="0.2">
      <c r="A33" s="27" t="s">
        <v>124</v>
      </c>
      <c r="B33" s="28" t="s">
        <v>52</v>
      </c>
      <c r="C33" s="28">
        <v>0</v>
      </c>
      <c r="D33" s="28">
        <v>0</v>
      </c>
      <c r="E33" s="28">
        <v>0</v>
      </c>
      <c r="F33" s="28">
        <v>0</v>
      </c>
      <c r="G33" s="28">
        <v>1.8589527214889328</v>
      </c>
      <c r="H33" s="28">
        <v>0</v>
      </c>
      <c r="I33" s="28">
        <v>0</v>
      </c>
      <c r="J33" s="28">
        <v>11.153716328933596</v>
      </c>
      <c r="K33" s="28">
        <v>0</v>
      </c>
      <c r="L33" s="28">
        <v>0</v>
      </c>
      <c r="M33" s="28">
        <v>5.5768581644667981</v>
      </c>
      <c r="N33" s="28">
        <v>0</v>
      </c>
      <c r="O33" s="28">
        <v>18.589527214889326</v>
      </c>
      <c r="P33" s="27" t="s">
        <v>124</v>
      </c>
      <c r="Q33" s="28" t="s">
        <v>52</v>
      </c>
      <c r="R33" s="28">
        <v>14.871621771911462</v>
      </c>
      <c r="S33" s="28">
        <v>1.8589527214889328</v>
      </c>
      <c r="T33" s="28">
        <v>1.8589527214889328</v>
      </c>
      <c r="U33" s="28">
        <v>0</v>
      </c>
      <c r="V33" s="28">
        <v>18.589527214889326</v>
      </c>
    </row>
    <row r="34" spans="1:22" ht="11.4" customHeight="1" x14ac:dyDescent="0.2">
      <c r="A34" s="27" t="s">
        <v>123</v>
      </c>
      <c r="B34" s="28" t="s">
        <v>51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13.012669050422529</v>
      </c>
      <c r="K34" s="28">
        <v>0</v>
      </c>
      <c r="L34" s="28">
        <v>13.012669050422529</v>
      </c>
      <c r="M34" s="28">
        <v>0</v>
      </c>
      <c r="N34" s="28">
        <v>0</v>
      </c>
      <c r="O34" s="28">
        <v>26.025338100845058</v>
      </c>
      <c r="P34" s="27" t="s">
        <v>123</v>
      </c>
      <c r="Q34" s="28" t="s">
        <v>51</v>
      </c>
      <c r="R34" s="28">
        <v>11.153716328933596</v>
      </c>
      <c r="S34" s="28">
        <v>14.871621771911462</v>
      </c>
      <c r="T34" s="28">
        <v>0</v>
      </c>
      <c r="U34" s="28">
        <v>0</v>
      </c>
      <c r="V34" s="28">
        <v>26.025338100845058</v>
      </c>
    </row>
    <row r="35" spans="1:22" ht="11.4" customHeight="1" x14ac:dyDescent="0.2">
      <c r="A35" s="27" t="s">
        <v>126</v>
      </c>
      <c r="B35" s="28" t="s">
        <v>54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13.012669050422529</v>
      </c>
      <c r="K35" s="28">
        <v>0</v>
      </c>
      <c r="L35" s="28">
        <v>0</v>
      </c>
      <c r="M35" s="28">
        <v>7.435810885955731</v>
      </c>
      <c r="N35" s="28">
        <v>0</v>
      </c>
      <c r="O35" s="28">
        <v>20.448479936378259</v>
      </c>
      <c r="P35" s="27" t="s">
        <v>126</v>
      </c>
      <c r="Q35" s="28" t="s">
        <v>54</v>
      </c>
      <c r="R35" s="28">
        <v>20.448479936378259</v>
      </c>
      <c r="S35" s="28">
        <v>0</v>
      </c>
      <c r="T35" s="28">
        <v>0</v>
      </c>
      <c r="U35" s="28">
        <v>0</v>
      </c>
      <c r="V35" s="28">
        <v>20.448479936378259</v>
      </c>
    </row>
    <row r="36" spans="1:22" ht="11.4" customHeight="1" x14ac:dyDescent="0.2">
      <c r="A36" s="27" t="s">
        <v>129</v>
      </c>
      <c r="B36" s="28" t="s">
        <v>57</v>
      </c>
      <c r="C36" s="28">
        <v>0</v>
      </c>
      <c r="D36" s="28">
        <v>280.70186094482881</v>
      </c>
      <c r="E36" s="28">
        <v>107.8192578463581</v>
      </c>
      <c r="F36" s="28">
        <v>18.589527214889326</v>
      </c>
      <c r="G36" s="28">
        <v>0</v>
      </c>
      <c r="H36" s="28">
        <v>0</v>
      </c>
      <c r="I36" s="28">
        <v>0</v>
      </c>
      <c r="J36" s="28">
        <v>61.345439809134781</v>
      </c>
      <c r="K36" s="28">
        <v>3.7179054429778655</v>
      </c>
      <c r="L36" s="28">
        <v>1.8589527214889328</v>
      </c>
      <c r="M36" s="28">
        <v>78.076014302535171</v>
      </c>
      <c r="N36" s="28">
        <v>0</v>
      </c>
      <c r="O36" s="28">
        <v>552.10895828221294</v>
      </c>
      <c r="P36" s="27" t="s">
        <v>129</v>
      </c>
      <c r="Q36" s="28" t="s">
        <v>57</v>
      </c>
      <c r="R36" s="28">
        <v>98.524494238913434</v>
      </c>
      <c r="S36" s="28">
        <v>52.050676201690116</v>
      </c>
      <c r="T36" s="28">
        <v>63.204392530623714</v>
      </c>
      <c r="U36" s="28">
        <v>338.32939531098572</v>
      </c>
      <c r="V36" s="28">
        <v>552.10895828221305</v>
      </c>
    </row>
    <row r="37" spans="1:22" ht="11.4" customHeight="1" x14ac:dyDescent="0.2">
      <c r="A37" s="27" t="s">
        <v>128</v>
      </c>
      <c r="B37" s="28" t="s">
        <v>56</v>
      </c>
      <c r="C37" s="28">
        <v>0</v>
      </c>
      <c r="D37" s="28">
        <v>0</v>
      </c>
      <c r="E37" s="28">
        <v>0</v>
      </c>
      <c r="F37" s="28">
        <v>3.7179054429778655</v>
      </c>
      <c r="G37" s="28">
        <v>0</v>
      </c>
      <c r="H37" s="28">
        <v>68.78125069509052</v>
      </c>
      <c r="I37" s="28">
        <v>1.8589527214889328</v>
      </c>
      <c r="J37" s="28">
        <v>22.307432657867192</v>
      </c>
      <c r="K37" s="28">
        <v>14.871621771911462</v>
      </c>
      <c r="L37" s="28">
        <v>0</v>
      </c>
      <c r="M37" s="28">
        <v>40.896959872756518</v>
      </c>
      <c r="N37" s="28">
        <v>0</v>
      </c>
      <c r="O37" s="28">
        <v>152.4341231620925</v>
      </c>
      <c r="P37" s="27" t="s">
        <v>128</v>
      </c>
      <c r="Q37" s="28" t="s">
        <v>56</v>
      </c>
      <c r="R37" s="28">
        <v>22.307432657867192</v>
      </c>
      <c r="S37" s="28">
        <v>31.602196265311857</v>
      </c>
      <c r="T37" s="28">
        <v>29.743243543822924</v>
      </c>
      <c r="U37" s="28">
        <v>68.78125069509052</v>
      </c>
      <c r="V37" s="28">
        <v>152.43412316209248</v>
      </c>
    </row>
    <row r="38" spans="1:22" ht="11.4" customHeight="1" x14ac:dyDescent="0.2">
      <c r="A38" s="27" t="s">
        <v>127</v>
      </c>
      <c r="B38" s="28" t="s">
        <v>55</v>
      </c>
      <c r="C38" s="28">
        <v>0</v>
      </c>
      <c r="D38" s="28">
        <v>0</v>
      </c>
      <c r="E38" s="28">
        <v>0</v>
      </c>
      <c r="F38" s="28">
        <v>5.5768581644667981</v>
      </c>
      <c r="G38" s="28">
        <v>0</v>
      </c>
      <c r="H38" s="28">
        <v>0</v>
      </c>
      <c r="I38" s="28">
        <v>0</v>
      </c>
      <c r="J38" s="28">
        <v>85.511825188490903</v>
      </c>
      <c r="K38" s="28">
        <v>0</v>
      </c>
      <c r="L38" s="28">
        <v>7.435810885955731</v>
      </c>
      <c r="M38" s="28">
        <v>0</v>
      </c>
      <c r="N38" s="28">
        <v>0</v>
      </c>
      <c r="O38" s="28">
        <v>98.524494238913434</v>
      </c>
      <c r="P38" s="27" t="s">
        <v>127</v>
      </c>
      <c r="Q38" s="28" t="s">
        <v>55</v>
      </c>
      <c r="R38" s="28">
        <v>91.088683352957702</v>
      </c>
      <c r="S38" s="28">
        <v>7.435810885955731</v>
      </c>
      <c r="T38" s="28">
        <v>0</v>
      </c>
      <c r="U38" s="28">
        <v>0</v>
      </c>
      <c r="V38" s="28">
        <v>98.524494238913434</v>
      </c>
    </row>
    <row r="39" spans="1:22" ht="11.4" customHeight="1" x14ac:dyDescent="0.2">
      <c r="A39" s="27" t="s">
        <v>125</v>
      </c>
      <c r="B39" s="28" t="s">
        <v>53</v>
      </c>
      <c r="C39" s="28">
        <v>0</v>
      </c>
      <c r="D39" s="28">
        <v>3.7179054429778655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3.7179054429778655</v>
      </c>
      <c r="P39" s="27" t="s">
        <v>125</v>
      </c>
      <c r="Q39" s="28" t="s">
        <v>53</v>
      </c>
      <c r="R39" s="28">
        <v>3.7179054429778655</v>
      </c>
      <c r="S39" s="28">
        <v>0</v>
      </c>
      <c r="T39" s="28">
        <v>0</v>
      </c>
      <c r="U39" s="28">
        <v>0</v>
      </c>
      <c r="V39" s="28">
        <v>3.7179054429778655</v>
      </c>
    </row>
    <row r="40" spans="1:22" ht="11.4" customHeight="1" x14ac:dyDescent="0.2">
      <c r="A40" s="27" t="s">
        <v>130</v>
      </c>
      <c r="B40" s="28" t="s">
        <v>58</v>
      </c>
      <c r="C40" s="28">
        <v>0</v>
      </c>
      <c r="D40" s="28">
        <v>0</v>
      </c>
      <c r="E40" s="28">
        <v>7.435810885955731</v>
      </c>
      <c r="F40" s="28">
        <v>0</v>
      </c>
      <c r="G40" s="28">
        <v>0</v>
      </c>
      <c r="H40" s="28">
        <v>0</v>
      </c>
      <c r="I40" s="28">
        <v>0</v>
      </c>
      <c r="J40" s="28">
        <v>16.730574493400397</v>
      </c>
      <c r="K40" s="28">
        <v>0</v>
      </c>
      <c r="L40" s="28">
        <v>0</v>
      </c>
      <c r="M40" s="28">
        <v>111.53716328933596</v>
      </c>
      <c r="N40" s="28">
        <v>0</v>
      </c>
      <c r="O40" s="28">
        <v>135.70354866869209</v>
      </c>
      <c r="P40" s="27" t="s">
        <v>130</v>
      </c>
      <c r="Q40" s="28" t="s">
        <v>58</v>
      </c>
      <c r="R40" s="28">
        <v>46.473818037223324</v>
      </c>
      <c r="S40" s="28">
        <v>0</v>
      </c>
      <c r="T40" s="28">
        <v>1.8589527214889328</v>
      </c>
      <c r="U40" s="28">
        <v>87.370777909979836</v>
      </c>
      <c r="V40" s="28">
        <v>135.70354866869209</v>
      </c>
    </row>
    <row r="41" spans="1:22" ht="11.4" customHeight="1" x14ac:dyDescent="0.2">
      <c r="A41" s="27" t="s">
        <v>122</v>
      </c>
      <c r="B41" s="28" t="s">
        <v>50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7" t="s">
        <v>122</v>
      </c>
      <c r="Q41" s="28" t="s">
        <v>50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</row>
    <row r="42" spans="1:22" ht="11.4" customHeight="1" x14ac:dyDescent="0.2">
      <c r="A42" s="31"/>
      <c r="B42" s="32" t="s">
        <v>59</v>
      </c>
      <c r="C42" s="28">
        <v>161.72888676953716</v>
      </c>
      <c r="D42" s="28">
        <v>1373.766061180321</v>
      </c>
      <c r="E42" s="28">
        <v>5145.5811330813658</v>
      </c>
      <c r="F42" s="28">
        <v>663.64612157154886</v>
      </c>
      <c r="G42" s="28">
        <v>407.11064600607631</v>
      </c>
      <c r="H42" s="28">
        <v>254.67652284398378</v>
      </c>
      <c r="I42" s="28">
        <v>208.20270480676041</v>
      </c>
      <c r="J42" s="28">
        <v>3009.644456090582</v>
      </c>
      <c r="K42" s="28">
        <v>875.56673182128736</v>
      </c>
      <c r="L42" s="28">
        <v>948.06588795935556</v>
      </c>
      <c r="M42" s="28">
        <v>2011.3868446510251</v>
      </c>
      <c r="N42" s="28">
        <v>1489.0211299126352</v>
      </c>
      <c r="O42" s="28">
        <v>16548.397126694475</v>
      </c>
      <c r="P42" s="31"/>
      <c r="Q42" s="32" t="s">
        <v>59</v>
      </c>
      <c r="R42" s="28">
        <v>4007.9020675301394</v>
      </c>
      <c r="S42" s="28">
        <v>2794.0059403978657</v>
      </c>
      <c r="T42" s="28">
        <v>1682.3522129474841</v>
      </c>
      <c r="U42" s="28">
        <v>8064.1369058189894</v>
      </c>
      <c r="V42" s="28">
        <v>16548.397126694472</v>
      </c>
    </row>
    <row r="43" spans="1:22" ht="11.4" customHeight="1" x14ac:dyDescent="0.2">
      <c r="O43" s="63">
        <v>36334.214308648101</v>
      </c>
    </row>
    <row r="47" spans="1:22" ht="11.4" customHeight="1" x14ac:dyDescent="0.2">
      <c r="B47" s="63" t="s">
        <v>381</v>
      </c>
    </row>
    <row r="48" spans="1:22" ht="11.4" customHeight="1" x14ac:dyDescent="0.2">
      <c r="B48" s="63" t="s">
        <v>382</v>
      </c>
    </row>
    <row r="51" spans="1:4" ht="11.4" customHeight="1" x14ac:dyDescent="0.25">
      <c r="A51" s="67" t="s">
        <v>0</v>
      </c>
      <c r="B51" s="67" t="s">
        <v>4</v>
      </c>
      <c r="C51" s="33" t="s">
        <v>400</v>
      </c>
      <c r="D51" s="21"/>
    </row>
    <row r="52" spans="1:4" ht="11.4" customHeight="1" x14ac:dyDescent="0.25">
      <c r="A52" s="72">
        <v>1</v>
      </c>
      <c r="B52" s="69" t="s">
        <v>9</v>
      </c>
      <c r="C52" s="34">
        <f>C42</f>
        <v>161.72888676953716</v>
      </c>
      <c r="D52" s="18"/>
    </row>
    <row r="53" spans="1:4" ht="11.4" customHeight="1" x14ac:dyDescent="0.25">
      <c r="A53" s="72">
        <v>2</v>
      </c>
      <c r="B53" s="69" t="s">
        <v>10</v>
      </c>
      <c r="C53" s="34">
        <f>D42</f>
        <v>1373.766061180321</v>
      </c>
      <c r="D53" s="18"/>
    </row>
    <row r="54" spans="1:4" ht="11.4" customHeight="1" x14ac:dyDescent="0.25">
      <c r="A54" s="72">
        <v>3</v>
      </c>
      <c r="B54" s="69" t="s">
        <v>11</v>
      </c>
      <c r="C54" s="34">
        <f>E42</f>
        <v>5145.5811330813658</v>
      </c>
      <c r="D54" s="18"/>
    </row>
    <row r="55" spans="1:4" ht="11.4" customHeight="1" x14ac:dyDescent="0.25">
      <c r="A55" s="72">
        <v>4</v>
      </c>
      <c r="B55" s="69" t="s">
        <v>12</v>
      </c>
      <c r="C55" s="34">
        <f>F42</f>
        <v>663.64612157154886</v>
      </c>
      <c r="D55" s="18"/>
    </row>
    <row r="56" spans="1:4" ht="11.4" customHeight="1" x14ac:dyDescent="0.25">
      <c r="A56" s="72">
        <v>5</v>
      </c>
      <c r="B56" s="69" t="s">
        <v>13</v>
      </c>
      <c r="C56" s="34">
        <f>G42</f>
        <v>407.11064600607631</v>
      </c>
      <c r="D56" s="18"/>
    </row>
    <row r="57" spans="1:4" ht="11.4" customHeight="1" x14ac:dyDescent="0.25">
      <c r="A57" s="72">
        <v>6</v>
      </c>
      <c r="B57" s="69" t="s">
        <v>14</v>
      </c>
      <c r="C57" s="34">
        <f>H42</f>
        <v>254.67652284398378</v>
      </c>
      <c r="D57" s="18"/>
    </row>
    <row r="58" spans="1:4" ht="11.4" customHeight="1" x14ac:dyDescent="0.25">
      <c r="A58" s="72">
        <v>7</v>
      </c>
      <c r="B58" s="69" t="s">
        <v>15</v>
      </c>
      <c r="C58" s="34">
        <f>I42</f>
        <v>208.20270480676041</v>
      </c>
      <c r="D58" s="18"/>
    </row>
    <row r="59" spans="1:4" ht="11.4" customHeight="1" x14ac:dyDescent="0.25">
      <c r="A59" s="72">
        <v>8</v>
      </c>
      <c r="B59" s="69" t="s">
        <v>19</v>
      </c>
      <c r="C59" s="34">
        <f>J42</f>
        <v>3009.644456090582</v>
      </c>
      <c r="D59" s="18"/>
    </row>
    <row r="60" spans="1:4" ht="11.4" customHeight="1" x14ac:dyDescent="0.25">
      <c r="A60" s="72">
        <v>9</v>
      </c>
      <c r="B60" s="69" t="s">
        <v>17</v>
      </c>
      <c r="C60" s="34">
        <f>K42</f>
        <v>875.56673182128736</v>
      </c>
      <c r="D60" s="18"/>
    </row>
    <row r="61" spans="1:4" ht="11.4" customHeight="1" x14ac:dyDescent="0.25">
      <c r="A61" s="72">
        <v>10</v>
      </c>
      <c r="B61" s="69" t="s">
        <v>18</v>
      </c>
      <c r="C61" s="34">
        <f>L42</f>
        <v>948.06588795935556</v>
      </c>
      <c r="D61" s="18"/>
    </row>
    <row r="62" spans="1:4" ht="11.4" customHeight="1" x14ac:dyDescent="0.25">
      <c r="A62" s="72">
        <v>11</v>
      </c>
      <c r="B62" s="69" t="s">
        <v>20</v>
      </c>
      <c r="C62" s="34">
        <f>M42</f>
        <v>2011.3868446510251</v>
      </c>
      <c r="D62" s="18"/>
    </row>
    <row r="63" spans="1:4" ht="11.4" customHeight="1" x14ac:dyDescent="0.25">
      <c r="A63" s="72">
        <v>12</v>
      </c>
      <c r="B63" s="69" t="s">
        <v>16</v>
      </c>
      <c r="C63" s="34">
        <f>N42</f>
        <v>1489.0211299126352</v>
      </c>
      <c r="D63" s="18"/>
    </row>
    <row r="64" spans="1:4" ht="11.4" customHeight="1" x14ac:dyDescent="0.25">
      <c r="A64" s="72"/>
      <c r="B64" s="69" t="s">
        <v>400</v>
      </c>
      <c r="C64" s="34">
        <f>O42</f>
        <v>16548.397126694475</v>
      </c>
      <c r="D64" s="51">
        <f>SUM(C52:C63)</f>
        <v>16548.397126694479</v>
      </c>
    </row>
    <row r="65" spans="1:4" ht="11.4" customHeight="1" x14ac:dyDescent="0.25">
      <c r="A65" s="71"/>
      <c r="B65" s="66"/>
      <c r="C65" s="36"/>
      <c r="D65" s="18"/>
    </row>
    <row r="66" spans="1:4" ht="11.4" customHeight="1" x14ac:dyDescent="0.25">
      <c r="A66" s="75"/>
      <c r="B66" s="75"/>
      <c r="C66" s="75"/>
      <c r="D66" s="18"/>
    </row>
    <row r="67" spans="1:4" ht="11.4" customHeight="1" x14ac:dyDescent="0.25">
      <c r="A67" s="67" t="s">
        <v>0</v>
      </c>
      <c r="B67" s="67" t="s">
        <v>2</v>
      </c>
      <c r="C67" s="33" t="s">
        <v>400</v>
      </c>
      <c r="D67" s="21"/>
    </row>
    <row r="68" spans="1:4" ht="11.4" customHeight="1" x14ac:dyDescent="0.25">
      <c r="A68" s="72">
        <v>1</v>
      </c>
      <c r="B68" s="69" t="s">
        <v>5</v>
      </c>
      <c r="C68" s="34">
        <f>R42</f>
        <v>4007.9020675301394</v>
      </c>
      <c r="D68" s="18"/>
    </row>
    <row r="69" spans="1:4" ht="11.4" customHeight="1" x14ac:dyDescent="0.25">
      <c r="A69" s="72">
        <v>2</v>
      </c>
      <c r="B69" s="69" t="s">
        <v>6</v>
      </c>
      <c r="C69" s="34">
        <f>S42</f>
        <v>2794.0059403978657</v>
      </c>
      <c r="D69" s="18"/>
    </row>
    <row r="70" spans="1:4" ht="11.4" customHeight="1" x14ac:dyDescent="0.25">
      <c r="A70" s="72">
        <v>3</v>
      </c>
      <c r="B70" s="69" t="s">
        <v>7</v>
      </c>
      <c r="C70" s="34">
        <f>T42</f>
        <v>1682.3522129474841</v>
      </c>
      <c r="D70" s="18"/>
    </row>
    <row r="71" spans="1:4" ht="11.4" customHeight="1" x14ac:dyDescent="0.25">
      <c r="A71" s="72">
        <v>4</v>
      </c>
      <c r="B71" s="69" t="s">
        <v>8</v>
      </c>
      <c r="C71" s="34">
        <f>U42</f>
        <v>8064.1369058189894</v>
      </c>
      <c r="D71" s="18"/>
    </row>
    <row r="72" spans="1:4" ht="11.4" customHeight="1" x14ac:dyDescent="0.25">
      <c r="A72" s="72"/>
      <c r="B72" s="69" t="s">
        <v>400</v>
      </c>
      <c r="C72" s="34">
        <f>V42</f>
        <v>16548.397126694472</v>
      </c>
      <c r="D72" s="51">
        <f>SUM(C68:C71)</f>
        <v>16548.397126694479</v>
      </c>
    </row>
  </sheetData>
  <mergeCells count="10">
    <mergeCell ref="A1:O1"/>
    <mergeCell ref="P1:V1"/>
    <mergeCell ref="A2:A3"/>
    <mergeCell ref="B2:B3"/>
    <mergeCell ref="C2:N2"/>
    <mergeCell ref="O2:O3"/>
    <mergeCell ref="P2:P3"/>
    <mergeCell ref="Q2:Q3"/>
    <mergeCell ref="R2:U2"/>
    <mergeCell ref="V2:V3"/>
  </mergeCells>
  <pageMargins left="0.31496062992125984" right="0" top="0.59055118110236227" bottom="0.35433070866141736" header="0.31496062992125984" footer="0.31496062992125984"/>
  <pageSetup paperSize="9" scale="80" firstPageNumber="200" orientation="landscape" useFirstPageNumber="1" r:id="rId1"/>
  <headerFooter>
    <oddFooter>&amp;C&amp;P</oddFooter>
  </headerFooter>
  <colBreaks count="1" manualBreakCount="1">
    <brk id="1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38C0-E638-4AE1-8833-073789D09A8A}">
  <dimension ref="A1:V72"/>
  <sheetViews>
    <sheetView view="pageBreakPreview" zoomScale="60" zoomScaleNormal="40" workbookViewId="0">
      <selection activeCell="C3" sqref="C1:O1048576"/>
    </sheetView>
  </sheetViews>
  <sheetFormatPr defaultColWidth="19.21875" defaultRowHeight="11.4" customHeight="1" x14ac:dyDescent="0.2"/>
  <cols>
    <col min="1" max="1" width="6" style="64" bestFit="1" customWidth="1"/>
    <col min="2" max="2" width="16.5546875" style="63" customWidth="1"/>
    <col min="3" max="15" width="11.5546875" style="63" customWidth="1"/>
    <col min="16" max="16" width="6" style="64" bestFit="1" customWidth="1"/>
    <col min="17" max="17" width="44.44140625" style="63" customWidth="1"/>
    <col min="18" max="22" width="14" style="63" customWidth="1"/>
    <col min="23" max="16384" width="19.21875" style="63"/>
  </cols>
  <sheetData>
    <row r="1" spans="1:22" s="58" customFormat="1" ht="23.4" customHeight="1" x14ac:dyDescent="0.2">
      <c r="A1" s="102" t="s">
        <v>383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 t="s">
        <v>384</v>
      </c>
      <c r="Q1" s="102"/>
      <c r="R1" s="102"/>
      <c r="S1" s="102"/>
      <c r="T1" s="102"/>
      <c r="U1" s="102"/>
      <c r="V1" s="102"/>
    </row>
    <row r="2" spans="1:22" s="59" customFormat="1" ht="11.4" customHeight="1" x14ac:dyDescent="0.3">
      <c r="A2" s="103" t="s">
        <v>0</v>
      </c>
      <c r="B2" s="105" t="s">
        <v>1</v>
      </c>
      <c r="C2" s="107" t="s">
        <v>4</v>
      </c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05" t="s">
        <v>3</v>
      </c>
      <c r="P2" s="103" t="s">
        <v>0</v>
      </c>
      <c r="Q2" s="103" t="s">
        <v>1</v>
      </c>
      <c r="R2" s="110" t="s">
        <v>2</v>
      </c>
      <c r="S2" s="111"/>
      <c r="T2" s="111"/>
      <c r="U2" s="112"/>
      <c r="V2" s="103" t="s">
        <v>66</v>
      </c>
    </row>
    <row r="3" spans="1:22" s="59" customFormat="1" ht="43.8" customHeight="1" x14ac:dyDescent="0.3">
      <c r="A3" s="104"/>
      <c r="B3" s="106"/>
      <c r="C3" s="60" t="s">
        <v>9</v>
      </c>
      <c r="D3" s="60" t="s">
        <v>10</v>
      </c>
      <c r="E3" s="60" t="s">
        <v>11</v>
      </c>
      <c r="F3" s="60" t="s">
        <v>12</v>
      </c>
      <c r="G3" s="61" t="s">
        <v>13</v>
      </c>
      <c r="H3" s="61" t="s">
        <v>14</v>
      </c>
      <c r="I3" s="61" t="s">
        <v>131</v>
      </c>
      <c r="J3" s="61" t="s">
        <v>135</v>
      </c>
      <c r="K3" s="61" t="s">
        <v>17</v>
      </c>
      <c r="L3" s="61" t="s">
        <v>279</v>
      </c>
      <c r="M3" s="61" t="s">
        <v>19</v>
      </c>
      <c r="N3" s="61" t="s">
        <v>133</v>
      </c>
      <c r="O3" s="106"/>
      <c r="P3" s="104"/>
      <c r="Q3" s="104"/>
      <c r="R3" s="62" t="s">
        <v>5</v>
      </c>
      <c r="S3" s="62" t="s">
        <v>6</v>
      </c>
      <c r="T3" s="62" t="s">
        <v>7</v>
      </c>
      <c r="U3" s="62" t="s">
        <v>8</v>
      </c>
      <c r="V3" s="104"/>
    </row>
    <row r="4" spans="1:22" ht="11.4" customHeight="1" x14ac:dyDescent="0.2">
      <c r="A4" s="27" t="s">
        <v>110</v>
      </c>
      <c r="B4" s="28" t="s">
        <v>38</v>
      </c>
      <c r="C4" s="28">
        <v>44.614865315734384</v>
      </c>
      <c r="D4" s="28">
        <v>254.67652284398378</v>
      </c>
      <c r="E4" s="28">
        <v>0</v>
      </c>
      <c r="F4" s="28">
        <v>37.179054429778652</v>
      </c>
      <c r="G4" s="28">
        <v>187.75422487038219</v>
      </c>
      <c r="H4" s="28">
        <v>0</v>
      </c>
      <c r="I4" s="28">
        <v>31.602196265311854</v>
      </c>
      <c r="J4" s="28">
        <v>59.486487087645841</v>
      </c>
      <c r="K4" s="28">
        <v>24.166385379356125</v>
      </c>
      <c r="L4" s="28">
        <v>154.29307588358139</v>
      </c>
      <c r="M4" s="28">
        <v>13.012669050422527</v>
      </c>
      <c r="N4" s="28">
        <v>1.8589527214889325</v>
      </c>
      <c r="O4" s="28">
        <v>808.64443384768572</v>
      </c>
      <c r="P4" s="27" t="s">
        <v>110</v>
      </c>
      <c r="Q4" s="28" t="s">
        <v>38</v>
      </c>
      <c r="R4" s="28">
        <v>684.09460150792711</v>
      </c>
      <c r="S4" s="28">
        <v>96.665541517424501</v>
      </c>
      <c r="T4" s="28">
        <v>27.884290822333988</v>
      </c>
      <c r="U4" s="28">
        <v>0</v>
      </c>
      <c r="V4" s="28">
        <v>808.6444338476856</v>
      </c>
    </row>
    <row r="5" spans="1:22" ht="11.4" customHeight="1" x14ac:dyDescent="0.2">
      <c r="A5" s="27" t="s">
        <v>113</v>
      </c>
      <c r="B5" s="28" t="s">
        <v>41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7" t="s">
        <v>113</v>
      </c>
      <c r="Q5" s="28" t="s">
        <v>41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</row>
    <row r="6" spans="1:22" ht="11.4" customHeight="1" x14ac:dyDescent="0.2">
      <c r="A6" s="27" t="s">
        <v>119</v>
      </c>
      <c r="B6" s="28" t="s">
        <v>47</v>
      </c>
      <c r="C6" s="28">
        <v>0</v>
      </c>
      <c r="D6" s="28">
        <v>0</v>
      </c>
      <c r="E6" s="28">
        <v>0</v>
      </c>
      <c r="F6" s="28">
        <v>63.204392530623707</v>
      </c>
      <c r="G6" s="28">
        <v>0</v>
      </c>
      <c r="H6" s="28">
        <v>0</v>
      </c>
      <c r="I6" s="28">
        <v>1.8589527214889325</v>
      </c>
      <c r="J6" s="28">
        <v>1.8589527214889325</v>
      </c>
      <c r="K6" s="28">
        <v>1.8589527214889325</v>
      </c>
      <c r="L6" s="28">
        <v>0</v>
      </c>
      <c r="M6" s="28">
        <v>0</v>
      </c>
      <c r="N6" s="28">
        <v>0</v>
      </c>
      <c r="O6" s="28">
        <v>68.781250695090506</v>
      </c>
      <c r="P6" s="27" t="s">
        <v>119</v>
      </c>
      <c r="Q6" s="28" t="s">
        <v>47</v>
      </c>
      <c r="R6" s="28">
        <v>1.8589527214889325</v>
      </c>
      <c r="S6" s="28">
        <v>66.922297973601573</v>
      </c>
      <c r="T6" s="28">
        <v>0</v>
      </c>
      <c r="U6" s="28">
        <v>0</v>
      </c>
      <c r="V6" s="28">
        <v>68.781250695090506</v>
      </c>
    </row>
    <row r="7" spans="1:22" ht="11.4" customHeight="1" x14ac:dyDescent="0.2">
      <c r="A7" s="27" t="s">
        <v>121</v>
      </c>
      <c r="B7" s="28" t="s">
        <v>49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7.4358108859557301</v>
      </c>
      <c r="J7" s="28">
        <v>3.7179054429778651</v>
      </c>
      <c r="K7" s="28">
        <v>0</v>
      </c>
      <c r="L7" s="28">
        <v>0</v>
      </c>
      <c r="M7" s="28">
        <v>0</v>
      </c>
      <c r="N7" s="28">
        <v>0</v>
      </c>
      <c r="O7" s="28">
        <v>11.153716328933594</v>
      </c>
      <c r="P7" s="27" t="s">
        <v>121</v>
      </c>
      <c r="Q7" s="28" t="s">
        <v>49</v>
      </c>
      <c r="R7" s="28">
        <v>7.4358108859557301</v>
      </c>
      <c r="S7" s="28">
        <v>3.7179054429778651</v>
      </c>
      <c r="T7" s="28">
        <v>0</v>
      </c>
      <c r="U7" s="28">
        <v>0</v>
      </c>
      <c r="V7" s="28">
        <v>11.153716328933594</v>
      </c>
    </row>
    <row r="8" spans="1:22" ht="11.4" customHeight="1" x14ac:dyDescent="0.2">
      <c r="A8" s="27" t="s">
        <v>95</v>
      </c>
      <c r="B8" s="28" t="s">
        <v>23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1.8589527214889325</v>
      </c>
      <c r="J8" s="28">
        <v>0</v>
      </c>
      <c r="K8" s="28">
        <v>0</v>
      </c>
      <c r="L8" s="28">
        <v>0</v>
      </c>
      <c r="M8" s="28">
        <v>1.8589527214889325</v>
      </c>
      <c r="N8" s="28">
        <v>0</v>
      </c>
      <c r="O8" s="28">
        <v>3.7179054429778651</v>
      </c>
      <c r="P8" s="27" t="s">
        <v>95</v>
      </c>
      <c r="Q8" s="28" t="s">
        <v>23</v>
      </c>
      <c r="R8" s="28">
        <v>0</v>
      </c>
      <c r="S8" s="28">
        <v>1.8589527214889325</v>
      </c>
      <c r="T8" s="28">
        <v>1.8589527214889325</v>
      </c>
      <c r="U8" s="28">
        <v>0</v>
      </c>
      <c r="V8" s="28">
        <v>3.7179054429778651</v>
      </c>
    </row>
    <row r="9" spans="1:22" ht="11.4" customHeight="1" x14ac:dyDescent="0.2">
      <c r="A9" s="27" t="s">
        <v>101</v>
      </c>
      <c r="B9" s="28" t="s">
        <v>29</v>
      </c>
      <c r="C9" s="28">
        <v>0</v>
      </c>
      <c r="D9" s="28">
        <v>26.025338100845055</v>
      </c>
      <c r="E9" s="28">
        <v>0</v>
      </c>
      <c r="F9" s="28">
        <v>0</v>
      </c>
      <c r="G9" s="28">
        <v>1.8589527214889325</v>
      </c>
      <c r="H9" s="28">
        <v>0</v>
      </c>
      <c r="I9" s="28">
        <v>1.8589527214889325</v>
      </c>
      <c r="J9" s="28">
        <v>7.4358108859557301</v>
      </c>
      <c r="K9" s="28">
        <v>0</v>
      </c>
      <c r="L9" s="28">
        <v>63.204392530623707</v>
      </c>
      <c r="M9" s="28">
        <v>5.5768581644667981</v>
      </c>
      <c r="N9" s="28">
        <v>9.2947636074446631</v>
      </c>
      <c r="O9" s="28">
        <v>115.25506873231382</v>
      </c>
      <c r="P9" s="27" t="s">
        <v>101</v>
      </c>
      <c r="Q9" s="28" t="s">
        <v>29</v>
      </c>
      <c r="R9" s="28">
        <v>33.461148986800787</v>
      </c>
      <c r="S9" s="28">
        <v>81.793919745513023</v>
      </c>
      <c r="T9" s="28">
        <v>0</v>
      </c>
      <c r="U9" s="28">
        <v>0</v>
      </c>
      <c r="V9" s="28">
        <v>115.25506873231382</v>
      </c>
    </row>
    <row r="10" spans="1:22" ht="11.4" customHeight="1" x14ac:dyDescent="0.2">
      <c r="A10" s="27" t="s">
        <v>106</v>
      </c>
      <c r="B10" s="28" t="s">
        <v>34</v>
      </c>
      <c r="C10" s="28">
        <v>0</v>
      </c>
      <c r="D10" s="28">
        <v>3.7179054429778651</v>
      </c>
      <c r="E10" s="28">
        <v>31.602196265311854</v>
      </c>
      <c r="F10" s="28">
        <v>31.602196265311854</v>
      </c>
      <c r="G10" s="28">
        <v>0</v>
      </c>
      <c r="H10" s="28">
        <v>0</v>
      </c>
      <c r="I10" s="28">
        <v>1.8589527214889325</v>
      </c>
      <c r="J10" s="28">
        <v>167.30574493400391</v>
      </c>
      <c r="K10" s="28">
        <v>0</v>
      </c>
      <c r="L10" s="28">
        <v>11.153716328933596</v>
      </c>
      <c r="M10" s="28">
        <v>20.448479936378256</v>
      </c>
      <c r="N10" s="28">
        <v>3.7179054429778651</v>
      </c>
      <c r="O10" s="28">
        <v>271.40709733738413</v>
      </c>
      <c r="P10" s="27" t="s">
        <v>106</v>
      </c>
      <c r="Q10" s="28" t="s">
        <v>34</v>
      </c>
      <c r="R10" s="28">
        <v>187.75422487038219</v>
      </c>
      <c r="S10" s="28">
        <v>40.896959872756511</v>
      </c>
      <c r="T10" s="28">
        <v>11.153716328933596</v>
      </c>
      <c r="U10" s="28">
        <v>31.602196265311854</v>
      </c>
      <c r="V10" s="28">
        <v>271.40709733738413</v>
      </c>
    </row>
    <row r="11" spans="1:22" ht="11.4" customHeight="1" x14ac:dyDescent="0.2">
      <c r="A11" s="27" t="s">
        <v>103</v>
      </c>
      <c r="B11" s="28" t="s">
        <v>31</v>
      </c>
      <c r="C11" s="28">
        <v>3.7179054429778651</v>
      </c>
      <c r="D11" s="28">
        <v>0</v>
      </c>
      <c r="E11" s="28">
        <v>0</v>
      </c>
      <c r="F11" s="28">
        <v>1.8589527214889325</v>
      </c>
      <c r="G11" s="28">
        <v>0</v>
      </c>
      <c r="H11" s="28">
        <v>0</v>
      </c>
      <c r="I11" s="28">
        <v>0</v>
      </c>
      <c r="J11" s="28">
        <v>3.7179054429778651</v>
      </c>
      <c r="K11" s="28">
        <v>0</v>
      </c>
      <c r="L11" s="28">
        <v>1.8589527214889325</v>
      </c>
      <c r="M11" s="28">
        <v>0</v>
      </c>
      <c r="N11" s="28">
        <v>0</v>
      </c>
      <c r="O11" s="28">
        <v>11.153716328933594</v>
      </c>
      <c r="P11" s="27" t="s">
        <v>103</v>
      </c>
      <c r="Q11" s="28" t="s">
        <v>31</v>
      </c>
      <c r="R11" s="28">
        <v>11.153716328933596</v>
      </c>
      <c r="S11" s="28">
        <v>0</v>
      </c>
      <c r="T11" s="28">
        <v>0</v>
      </c>
      <c r="U11" s="28">
        <v>0</v>
      </c>
      <c r="V11" s="28">
        <v>11.153716328933596</v>
      </c>
    </row>
    <row r="12" spans="1:22" ht="11.4" customHeight="1" x14ac:dyDescent="0.2">
      <c r="A12" s="27" t="s">
        <v>99</v>
      </c>
      <c r="B12" s="28" t="s">
        <v>27</v>
      </c>
      <c r="C12" s="28">
        <v>81.793919745513023</v>
      </c>
      <c r="D12" s="28">
        <v>0</v>
      </c>
      <c r="E12" s="28">
        <v>0</v>
      </c>
      <c r="F12" s="28">
        <v>273.26605005887308</v>
      </c>
      <c r="G12" s="28">
        <v>0</v>
      </c>
      <c r="H12" s="28">
        <v>0</v>
      </c>
      <c r="I12" s="28">
        <v>0</v>
      </c>
      <c r="J12" s="28">
        <v>0</v>
      </c>
      <c r="K12" s="28">
        <v>9.2947636074446631</v>
      </c>
      <c r="L12" s="28">
        <v>7.4358108859557301</v>
      </c>
      <c r="M12" s="28">
        <v>0</v>
      </c>
      <c r="N12" s="28">
        <v>0</v>
      </c>
      <c r="O12" s="28">
        <v>371.79054429778654</v>
      </c>
      <c r="P12" s="27" t="s">
        <v>99</v>
      </c>
      <c r="Q12" s="28" t="s">
        <v>27</v>
      </c>
      <c r="R12" s="28">
        <v>87.370777909979822</v>
      </c>
      <c r="S12" s="28">
        <v>228.65118474313869</v>
      </c>
      <c r="T12" s="28">
        <v>55.768581644667975</v>
      </c>
      <c r="U12" s="28">
        <v>0</v>
      </c>
      <c r="V12" s="28">
        <v>371.79054429778648</v>
      </c>
    </row>
    <row r="13" spans="1:22" ht="11.4" customHeight="1" x14ac:dyDescent="0.2">
      <c r="A13" s="27" t="s">
        <v>94</v>
      </c>
      <c r="B13" s="28" t="s">
        <v>22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7" t="s">
        <v>94</v>
      </c>
      <c r="Q13" s="28" t="s">
        <v>22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</row>
    <row r="14" spans="1:22" ht="11.4" customHeight="1" x14ac:dyDescent="0.2">
      <c r="A14" s="27" t="s">
        <v>97</v>
      </c>
      <c r="B14" s="28" t="s">
        <v>25</v>
      </c>
      <c r="C14" s="28">
        <v>0</v>
      </c>
      <c r="D14" s="28">
        <v>0</v>
      </c>
      <c r="E14" s="28">
        <v>0</v>
      </c>
      <c r="F14" s="28">
        <v>1.8589527214889325</v>
      </c>
      <c r="G14" s="28">
        <v>0</v>
      </c>
      <c r="H14" s="28">
        <v>0</v>
      </c>
      <c r="I14" s="28">
        <v>0</v>
      </c>
      <c r="J14" s="28">
        <v>3.7179054429778651</v>
      </c>
      <c r="K14" s="28">
        <v>0</v>
      </c>
      <c r="L14" s="28">
        <v>7.4358108859557301</v>
      </c>
      <c r="M14" s="28">
        <v>0</v>
      </c>
      <c r="N14" s="28">
        <v>0</v>
      </c>
      <c r="O14" s="28">
        <v>13.012669050422527</v>
      </c>
      <c r="P14" s="27" t="s">
        <v>97</v>
      </c>
      <c r="Q14" s="28" t="s">
        <v>25</v>
      </c>
      <c r="R14" s="28">
        <v>13.012669050422527</v>
      </c>
      <c r="S14" s="28">
        <v>0</v>
      </c>
      <c r="T14" s="28">
        <v>0</v>
      </c>
      <c r="U14" s="28">
        <v>0</v>
      </c>
      <c r="V14" s="28">
        <v>13.012669050422527</v>
      </c>
    </row>
    <row r="15" spans="1:22" ht="11.4" customHeight="1" x14ac:dyDescent="0.2">
      <c r="A15" s="27" t="s">
        <v>117</v>
      </c>
      <c r="B15" s="28" t="s">
        <v>45</v>
      </c>
      <c r="C15" s="28">
        <v>0</v>
      </c>
      <c r="D15" s="28">
        <v>0</v>
      </c>
      <c r="E15" s="28">
        <v>0</v>
      </c>
      <c r="F15" s="28">
        <v>171.02365037698178</v>
      </c>
      <c r="G15" s="28">
        <v>14.87162177191146</v>
      </c>
      <c r="H15" s="28">
        <v>0</v>
      </c>
      <c r="I15" s="28">
        <v>0</v>
      </c>
      <c r="J15" s="28">
        <v>44.614865315734384</v>
      </c>
      <c r="K15" s="28">
        <v>243.52280651505018</v>
      </c>
      <c r="L15" s="28">
        <v>63.204392530623707</v>
      </c>
      <c r="M15" s="28">
        <v>239.80490107207231</v>
      </c>
      <c r="N15" s="28">
        <v>0</v>
      </c>
      <c r="O15" s="28">
        <v>777.0422375823739</v>
      </c>
      <c r="P15" s="27" t="s">
        <v>117</v>
      </c>
      <c r="Q15" s="28" t="s">
        <v>45</v>
      </c>
      <c r="R15" s="28">
        <v>284.41976638780665</v>
      </c>
      <c r="S15" s="28">
        <v>483.32770758712246</v>
      </c>
      <c r="T15" s="28">
        <v>9.2947636074446631</v>
      </c>
      <c r="U15" s="28">
        <v>0</v>
      </c>
      <c r="V15" s="28">
        <v>777.04223758237379</v>
      </c>
    </row>
    <row r="16" spans="1:22" ht="11.4" customHeight="1" x14ac:dyDescent="0.2">
      <c r="A16" s="27" t="s">
        <v>114</v>
      </c>
      <c r="B16" s="28" t="s">
        <v>42</v>
      </c>
      <c r="C16" s="28">
        <v>0</v>
      </c>
      <c r="D16" s="28">
        <v>7.4358108859557301</v>
      </c>
      <c r="E16" s="28">
        <v>156.15202860507034</v>
      </c>
      <c r="F16" s="28">
        <v>78.076014302535171</v>
      </c>
      <c r="G16" s="28">
        <v>0</v>
      </c>
      <c r="H16" s="28">
        <v>0</v>
      </c>
      <c r="I16" s="28">
        <v>29.743243543822921</v>
      </c>
      <c r="J16" s="28">
        <v>1.8589527214889325</v>
      </c>
      <c r="K16" s="28">
        <v>31.602196265311854</v>
      </c>
      <c r="L16" s="28">
        <v>22.307432657867192</v>
      </c>
      <c r="M16" s="28">
        <v>0</v>
      </c>
      <c r="N16" s="28">
        <v>0</v>
      </c>
      <c r="O16" s="28">
        <v>327.1756789820522</v>
      </c>
      <c r="P16" s="27" t="s">
        <v>114</v>
      </c>
      <c r="Q16" s="28" t="s">
        <v>42</v>
      </c>
      <c r="R16" s="28">
        <v>85.511825188490889</v>
      </c>
      <c r="S16" s="28">
        <v>7.4358108859557301</v>
      </c>
      <c r="T16" s="28">
        <v>0</v>
      </c>
      <c r="U16" s="28">
        <v>234.2280429076055</v>
      </c>
      <c r="V16" s="28">
        <v>327.17567898205209</v>
      </c>
    </row>
    <row r="17" spans="1:22" ht="11.4" customHeight="1" x14ac:dyDescent="0.2">
      <c r="A17" s="27" t="s">
        <v>112</v>
      </c>
      <c r="B17" s="28" t="s">
        <v>40</v>
      </c>
      <c r="C17" s="28">
        <v>0</v>
      </c>
      <c r="D17" s="28">
        <v>0</v>
      </c>
      <c r="E17" s="28">
        <v>9936.1022963583437</v>
      </c>
      <c r="F17" s="28">
        <v>89.229730631468769</v>
      </c>
      <c r="G17" s="28">
        <v>1.8589527214889325</v>
      </c>
      <c r="H17" s="28">
        <v>130.12669050422528</v>
      </c>
      <c r="I17" s="28">
        <v>35.32010170828972</v>
      </c>
      <c r="J17" s="28">
        <v>630.18497258474815</v>
      </c>
      <c r="K17" s="28">
        <v>35.32010170828972</v>
      </c>
      <c r="L17" s="28">
        <v>150.57517044060353</v>
      </c>
      <c r="M17" s="28">
        <v>35.32010170828972</v>
      </c>
      <c r="N17" s="28">
        <v>7.4358108859557301</v>
      </c>
      <c r="O17" s="28">
        <v>11051.473929251702</v>
      </c>
      <c r="P17" s="27" t="s">
        <v>112</v>
      </c>
      <c r="Q17" s="28" t="s">
        <v>40</v>
      </c>
      <c r="R17" s="28">
        <v>912.74578625106585</v>
      </c>
      <c r="S17" s="28">
        <v>9.2947636074446631</v>
      </c>
      <c r="T17" s="28">
        <v>0</v>
      </c>
      <c r="U17" s="28">
        <v>10129.433379393195</v>
      </c>
      <c r="V17" s="28">
        <v>11051.473929251704</v>
      </c>
    </row>
    <row r="18" spans="1:22" ht="11.4" customHeight="1" x14ac:dyDescent="0.2">
      <c r="A18" s="27" t="s">
        <v>116</v>
      </c>
      <c r="B18" s="28" t="s">
        <v>44</v>
      </c>
      <c r="C18" s="28">
        <v>16.730574493400393</v>
      </c>
      <c r="D18" s="28">
        <v>79.934967024024104</v>
      </c>
      <c r="E18" s="28">
        <v>442.43074771436591</v>
      </c>
      <c r="F18" s="28">
        <v>22.307432657867192</v>
      </c>
      <c r="G18" s="28">
        <v>44.614865315734384</v>
      </c>
      <c r="H18" s="28">
        <v>44.614865315734384</v>
      </c>
      <c r="I18" s="28">
        <v>11.153716328933596</v>
      </c>
      <c r="J18" s="28">
        <v>7.4358108859557301</v>
      </c>
      <c r="K18" s="28">
        <v>13.012669050422527</v>
      </c>
      <c r="L18" s="28">
        <v>104.10135240338022</v>
      </c>
      <c r="M18" s="28">
        <v>189.61317759187114</v>
      </c>
      <c r="N18" s="28">
        <v>14.87162177191146</v>
      </c>
      <c r="O18" s="28">
        <v>990.82180055360095</v>
      </c>
      <c r="P18" s="27" t="s">
        <v>116</v>
      </c>
      <c r="Q18" s="28" t="s">
        <v>44</v>
      </c>
      <c r="R18" s="28">
        <v>158.01098132655926</v>
      </c>
      <c r="S18" s="28">
        <v>16.730574493400393</v>
      </c>
      <c r="T18" s="28">
        <v>263.9712864514284</v>
      </c>
      <c r="U18" s="28">
        <v>552.10895828221294</v>
      </c>
      <c r="V18" s="28">
        <v>990.82180055360095</v>
      </c>
    </row>
    <row r="19" spans="1:22" ht="11.4" customHeight="1" x14ac:dyDescent="0.2">
      <c r="A19" s="27" t="s">
        <v>107</v>
      </c>
      <c r="B19" s="28" t="s">
        <v>35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464.7381803722331</v>
      </c>
      <c r="M19" s="28">
        <v>7.4358108859557301</v>
      </c>
      <c r="N19" s="28">
        <v>0</v>
      </c>
      <c r="O19" s="28">
        <v>472.17399125818883</v>
      </c>
      <c r="P19" s="27" t="s">
        <v>107</v>
      </c>
      <c r="Q19" s="28" t="s">
        <v>35</v>
      </c>
      <c r="R19" s="28">
        <v>100.38344696040237</v>
      </c>
      <c r="S19" s="28">
        <v>76.217061581046238</v>
      </c>
      <c r="T19" s="28">
        <v>0</v>
      </c>
      <c r="U19" s="28">
        <v>295.57348271674027</v>
      </c>
      <c r="V19" s="28">
        <v>472.17399125818889</v>
      </c>
    </row>
    <row r="20" spans="1:22" ht="11.4" customHeight="1" x14ac:dyDescent="0.2">
      <c r="A20" s="27" t="s">
        <v>100</v>
      </c>
      <c r="B20" s="28" t="s">
        <v>28</v>
      </c>
      <c r="C20" s="28">
        <v>0</v>
      </c>
      <c r="D20" s="28">
        <v>1.8589527214889325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18.589527214889326</v>
      </c>
      <c r="K20" s="28">
        <v>0</v>
      </c>
      <c r="L20" s="28">
        <v>20.448479936378256</v>
      </c>
      <c r="M20" s="28">
        <v>0</v>
      </c>
      <c r="N20" s="28">
        <v>0</v>
      </c>
      <c r="O20" s="28">
        <v>40.896959872756511</v>
      </c>
      <c r="P20" s="27" t="s">
        <v>100</v>
      </c>
      <c r="Q20" s="28" t="s">
        <v>28</v>
      </c>
      <c r="R20" s="28">
        <v>40.896959872756511</v>
      </c>
      <c r="S20" s="28">
        <v>0</v>
      </c>
      <c r="T20" s="28">
        <v>0</v>
      </c>
      <c r="U20" s="28">
        <v>0</v>
      </c>
      <c r="V20" s="28">
        <v>40.896959872756511</v>
      </c>
    </row>
    <row r="21" spans="1:22" ht="11.4" customHeight="1" x14ac:dyDescent="0.2">
      <c r="A21" s="27" t="s">
        <v>108</v>
      </c>
      <c r="B21" s="28" t="s">
        <v>36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1.8589527214889325</v>
      </c>
      <c r="K21" s="28">
        <v>0</v>
      </c>
      <c r="L21" s="28">
        <v>9.2947636074446631</v>
      </c>
      <c r="M21" s="28">
        <v>1.8589527214889325</v>
      </c>
      <c r="N21" s="28">
        <v>0</v>
      </c>
      <c r="O21" s="28">
        <v>13.012669050422529</v>
      </c>
      <c r="P21" s="27" t="s">
        <v>108</v>
      </c>
      <c r="Q21" s="28" t="s">
        <v>36</v>
      </c>
      <c r="R21" s="28">
        <v>11.153716328933596</v>
      </c>
      <c r="S21" s="28">
        <v>1.8589527214889325</v>
      </c>
      <c r="T21" s="28">
        <v>0</v>
      </c>
      <c r="U21" s="28">
        <v>0</v>
      </c>
      <c r="V21" s="28">
        <v>13.012669050422529</v>
      </c>
    </row>
    <row r="22" spans="1:22" ht="11.4" customHeight="1" x14ac:dyDescent="0.2">
      <c r="A22" s="27" t="s">
        <v>104</v>
      </c>
      <c r="B22" s="28" t="s">
        <v>32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16.730574493400393</v>
      </c>
      <c r="K22" s="28">
        <v>5.5768581644667981</v>
      </c>
      <c r="L22" s="28">
        <v>31.602196265311854</v>
      </c>
      <c r="M22" s="28">
        <v>11.153716328933596</v>
      </c>
      <c r="N22" s="28">
        <v>13.012669050422527</v>
      </c>
      <c r="O22" s="28">
        <v>78.076014302535171</v>
      </c>
      <c r="P22" s="27" t="s">
        <v>104</v>
      </c>
      <c r="Q22" s="28" t="s">
        <v>32</v>
      </c>
      <c r="R22" s="28">
        <v>44.614865315734384</v>
      </c>
      <c r="S22" s="28">
        <v>33.461148986800787</v>
      </c>
      <c r="T22" s="28">
        <v>0</v>
      </c>
      <c r="U22" s="28">
        <v>0</v>
      </c>
      <c r="V22" s="28">
        <v>78.076014302535171</v>
      </c>
    </row>
    <row r="23" spans="1:22" ht="11.4" customHeight="1" x14ac:dyDescent="0.2">
      <c r="A23" s="27" t="s">
        <v>105</v>
      </c>
      <c r="B23" s="28" t="s">
        <v>33</v>
      </c>
      <c r="C23" s="28">
        <v>0</v>
      </c>
      <c r="D23" s="28">
        <v>46.473818037223317</v>
      </c>
      <c r="E23" s="28">
        <v>0</v>
      </c>
      <c r="F23" s="28">
        <v>1.8589527214889325</v>
      </c>
      <c r="G23" s="28">
        <v>5.5768581644667981</v>
      </c>
      <c r="H23" s="28">
        <v>0</v>
      </c>
      <c r="I23" s="28">
        <v>3.7179054429778651</v>
      </c>
      <c r="J23" s="28">
        <v>5.5768581644667981</v>
      </c>
      <c r="K23" s="28">
        <v>0</v>
      </c>
      <c r="L23" s="28">
        <v>22.307432657867192</v>
      </c>
      <c r="M23" s="28">
        <v>0</v>
      </c>
      <c r="N23" s="28">
        <v>0</v>
      </c>
      <c r="O23" s="28">
        <v>85.511825188490903</v>
      </c>
      <c r="P23" s="27" t="s">
        <v>105</v>
      </c>
      <c r="Q23" s="28" t="s">
        <v>33</v>
      </c>
      <c r="R23" s="28">
        <v>79.934967024024104</v>
      </c>
      <c r="S23" s="28">
        <v>5.5768581644667981</v>
      </c>
      <c r="T23" s="28">
        <v>0</v>
      </c>
      <c r="U23" s="28">
        <v>0</v>
      </c>
      <c r="V23" s="28">
        <v>85.511825188490903</v>
      </c>
    </row>
    <row r="24" spans="1:22" ht="11.4" customHeight="1" x14ac:dyDescent="0.2">
      <c r="A24" s="27" t="s">
        <v>109</v>
      </c>
      <c r="B24" s="28" t="s">
        <v>37</v>
      </c>
      <c r="C24" s="28">
        <v>0</v>
      </c>
      <c r="D24" s="28">
        <v>0</v>
      </c>
      <c r="E24" s="28">
        <v>0</v>
      </c>
      <c r="F24" s="28">
        <v>1.8589527214889325</v>
      </c>
      <c r="G24" s="28">
        <v>3.7179054429778651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5.5768581644667972</v>
      </c>
      <c r="P24" s="27" t="s">
        <v>109</v>
      </c>
      <c r="Q24" s="28" t="s">
        <v>37</v>
      </c>
      <c r="R24" s="28">
        <v>0</v>
      </c>
      <c r="S24" s="28">
        <v>5.5768581644667981</v>
      </c>
      <c r="T24" s="28">
        <v>0</v>
      </c>
      <c r="U24" s="28">
        <v>0</v>
      </c>
      <c r="V24" s="28">
        <v>5.5768581644667981</v>
      </c>
    </row>
    <row r="25" spans="1:22" ht="11.4" customHeight="1" x14ac:dyDescent="0.2">
      <c r="A25" s="27" t="s">
        <v>96</v>
      </c>
      <c r="B25" s="28" t="s">
        <v>24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11.153716328933596</v>
      </c>
      <c r="L25" s="28">
        <v>0</v>
      </c>
      <c r="M25" s="28">
        <v>0</v>
      </c>
      <c r="N25" s="28">
        <v>0</v>
      </c>
      <c r="O25" s="28">
        <v>11.153716328933596</v>
      </c>
      <c r="P25" s="27" t="s">
        <v>96</v>
      </c>
      <c r="Q25" s="28" t="s">
        <v>24</v>
      </c>
      <c r="R25" s="28">
        <v>1.8589527214889325</v>
      </c>
      <c r="S25" s="28">
        <v>9.2947636074446631</v>
      </c>
      <c r="T25" s="28">
        <v>0</v>
      </c>
      <c r="U25" s="28">
        <v>0</v>
      </c>
      <c r="V25" s="28">
        <v>11.153716328933596</v>
      </c>
    </row>
    <row r="26" spans="1:22" ht="11.4" customHeight="1" x14ac:dyDescent="0.2">
      <c r="A26" s="27" t="s">
        <v>120</v>
      </c>
      <c r="B26" s="28" t="s">
        <v>48</v>
      </c>
      <c r="C26" s="28">
        <v>5.5768581644667981</v>
      </c>
      <c r="D26" s="28">
        <v>3.7179054429778651</v>
      </c>
      <c r="E26" s="28">
        <v>1405.3682574456329</v>
      </c>
      <c r="F26" s="28">
        <v>16.730574493400393</v>
      </c>
      <c r="G26" s="28">
        <v>68.781250695090506</v>
      </c>
      <c r="H26" s="28">
        <v>0</v>
      </c>
      <c r="I26" s="28">
        <v>78.076014302535171</v>
      </c>
      <c r="J26" s="28">
        <v>107.81925784635808</v>
      </c>
      <c r="K26" s="28">
        <v>263.9712864514284</v>
      </c>
      <c r="L26" s="28">
        <v>37.179054429778652</v>
      </c>
      <c r="M26" s="28">
        <v>63.204392530623707</v>
      </c>
      <c r="N26" s="28">
        <v>11.153716328933596</v>
      </c>
      <c r="O26" s="28">
        <v>2061.5785681312259</v>
      </c>
      <c r="P26" s="27" t="s">
        <v>120</v>
      </c>
      <c r="Q26" s="28" t="s">
        <v>48</v>
      </c>
      <c r="R26" s="28">
        <v>224.93327930016082</v>
      </c>
      <c r="S26" s="28">
        <v>392.23902423416473</v>
      </c>
      <c r="T26" s="28">
        <v>455.44341676478848</v>
      </c>
      <c r="U26" s="28">
        <v>988.96284783211217</v>
      </c>
      <c r="V26" s="28">
        <v>2061.5785681312263</v>
      </c>
    </row>
    <row r="27" spans="1:22" ht="11.4" customHeight="1" x14ac:dyDescent="0.2">
      <c r="A27" s="27" t="s">
        <v>102</v>
      </c>
      <c r="B27" s="28" t="s">
        <v>30</v>
      </c>
      <c r="C27" s="28">
        <v>3.7179054429778651</v>
      </c>
      <c r="D27" s="28">
        <v>16.730574493400393</v>
      </c>
      <c r="E27" s="28">
        <v>167.30574493400391</v>
      </c>
      <c r="F27" s="28">
        <v>195.19003575633792</v>
      </c>
      <c r="G27" s="28">
        <v>14.87162177191146</v>
      </c>
      <c r="H27" s="28">
        <v>55.768581644667975</v>
      </c>
      <c r="I27" s="28">
        <v>46.473818037223317</v>
      </c>
      <c r="J27" s="28">
        <v>434.99493682841018</v>
      </c>
      <c r="K27" s="28">
        <v>288.13767183078454</v>
      </c>
      <c r="L27" s="28">
        <v>120.83192689678062</v>
      </c>
      <c r="M27" s="28">
        <v>323.45777353907425</v>
      </c>
      <c r="N27" s="28">
        <v>0</v>
      </c>
      <c r="O27" s="28">
        <v>1667.4805911755725</v>
      </c>
      <c r="P27" s="27" t="s">
        <v>102</v>
      </c>
      <c r="Q27" s="28" t="s">
        <v>30</v>
      </c>
      <c r="R27" s="28">
        <v>613.4543980913478</v>
      </c>
      <c r="S27" s="28">
        <v>741.72213587408407</v>
      </c>
      <c r="T27" s="28">
        <v>312.30405721014068</v>
      </c>
      <c r="U27" s="28">
        <v>0</v>
      </c>
      <c r="V27" s="28">
        <v>1667.4805911755725</v>
      </c>
    </row>
    <row r="28" spans="1:22" ht="11.4" customHeight="1" x14ac:dyDescent="0.2">
      <c r="A28" s="27" t="s">
        <v>98</v>
      </c>
      <c r="B28" s="28" t="s">
        <v>26</v>
      </c>
      <c r="C28" s="28">
        <v>13.012669050422527</v>
      </c>
      <c r="D28" s="28">
        <v>122.69087961826955</v>
      </c>
      <c r="E28" s="28">
        <v>13.012669050422527</v>
      </c>
      <c r="F28" s="28">
        <v>13.012669050422527</v>
      </c>
      <c r="G28" s="28">
        <v>20.448479936378256</v>
      </c>
      <c r="H28" s="28">
        <v>0</v>
      </c>
      <c r="I28" s="28">
        <v>61.345439809134774</v>
      </c>
      <c r="J28" s="28">
        <v>11.153716328933596</v>
      </c>
      <c r="K28" s="28">
        <v>37.179054429778652</v>
      </c>
      <c r="L28" s="28">
        <v>20.448479936378256</v>
      </c>
      <c r="M28" s="28">
        <v>61.345439809134774</v>
      </c>
      <c r="N28" s="28">
        <v>14.87162177191146</v>
      </c>
      <c r="O28" s="28">
        <v>388.52111879118684</v>
      </c>
      <c r="P28" s="27" t="s">
        <v>98</v>
      </c>
      <c r="Q28" s="28" t="s">
        <v>26</v>
      </c>
      <c r="R28" s="28">
        <v>57.627534366156908</v>
      </c>
      <c r="S28" s="28">
        <v>161.72888676953713</v>
      </c>
      <c r="T28" s="28">
        <v>169.16469765549286</v>
      </c>
      <c r="U28" s="28">
        <v>0</v>
      </c>
      <c r="V28" s="28">
        <v>388.52111879118689</v>
      </c>
    </row>
    <row r="29" spans="1:22" ht="11.4" customHeight="1" x14ac:dyDescent="0.2">
      <c r="A29" s="27" t="s">
        <v>93</v>
      </c>
      <c r="B29" s="28" t="s">
        <v>21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7" t="s">
        <v>93</v>
      </c>
      <c r="Q29" s="28" t="s">
        <v>21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</row>
    <row r="30" spans="1:22" ht="11.4" customHeight="1" x14ac:dyDescent="0.2">
      <c r="A30" s="27" t="s">
        <v>115</v>
      </c>
      <c r="B30" s="28" t="s">
        <v>43</v>
      </c>
      <c r="C30" s="28">
        <v>42.755912594245444</v>
      </c>
      <c r="D30" s="28">
        <v>0</v>
      </c>
      <c r="E30" s="28">
        <v>0</v>
      </c>
      <c r="F30" s="28">
        <v>137.56250139018101</v>
      </c>
      <c r="G30" s="28">
        <v>5.5768581644667981</v>
      </c>
      <c r="H30" s="28">
        <v>0</v>
      </c>
      <c r="I30" s="28">
        <v>42.755912594245444</v>
      </c>
      <c r="J30" s="28">
        <v>159.86993404804821</v>
      </c>
      <c r="K30" s="28">
        <v>14.87162177191146</v>
      </c>
      <c r="L30" s="28">
        <v>1.8589527214889325</v>
      </c>
      <c r="M30" s="28">
        <v>18.589527214889326</v>
      </c>
      <c r="N30" s="28">
        <v>9.2947636074446631</v>
      </c>
      <c r="O30" s="28">
        <v>433.13598410692128</v>
      </c>
      <c r="P30" s="27" t="s">
        <v>115</v>
      </c>
      <c r="Q30" s="28" t="s">
        <v>43</v>
      </c>
      <c r="R30" s="28">
        <v>210.06165752824936</v>
      </c>
      <c r="S30" s="28">
        <v>178.45946126293754</v>
      </c>
      <c r="T30" s="28">
        <v>44.614865315734384</v>
      </c>
      <c r="U30" s="28">
        <v>0</v>
      </c>
      <c r="V30" s="28">
        <v>433.13598410692128</v>
      </c>
    </row>
    <row r="31" spans="1:22" ht="11.4" customHeight="1" x14ac:dyDescent="0.2">
      <c r="A31" s="27" t="s">
        <v>111</v>
      </c>
      <c r="B31" s="28" t="s">
        <v>39</v>
      </c>
      <c r="C31" s="28">
        <v>11.153716328933596</v>
      </c>
      <c r="D31" s="28">
        <v>16.730574493400393</v>
      </c>
      <c r="E31" s="28">
        <v>7.4358108859557301</v>
      </c>
      <c r="F31" s="28">
        <v>81.793919745513023</v>
      </c>
      <c r="G31" s="28">
        <v>1.8589527214889325</v>
      </c>
      <c r="H31" s="28">
        <v>0</v>
      </c>
      <c r="I31" s="28">
        <v>9.2947636074446631</v>
      </c>
      <c r="J31" s="28">
        <v>117.11402145380275</v>
      </c>
      <c r="K31" s="28">
        <v>408.96959872756509</v>
      </c>
      <c r="L31" s="28">
        <v>213.77956297122722</v>
      </c>
      <c r="M31" s="28">
        <v>20.448479936378256</v>
      </c>
      <c r="N31" s="28">
        <v>11.153716328933596</v>
      </c>
      <c r="O31" s="28">
        <v>899.73311720064328</v>
      </c>
      <c r="P31" s="27" t="s">
        <v>111</v>
      </c>
      <c r="Q31" s="28" t="s">
        <v>39</v>
      </c>
      <c r="R31" s="28">
        <v>563.26267461114662</v>
      </c>
      <c r="S31" s="28">
        <v>321.59882081758531</v>
      </c>
      <c r="T31" s="28">
        <v>0</v>
      </c>
      <c r="U31" s="28">
        <v>14.87162177191146</v>
      </c>
      <c r="V31" s="28">
        <v>899.73311720064339</v>
      </c>
    </row>
    <row r="32" spans="1:22" ht="11.4" customHeight="1" x14ac:dyDescent="0.2">
      <c r="A32" s="27" t="s">
        <v>118</v>
      </c>
      <c r="B32" s="28" t="s">
        <v>46</v>
      </c>
      <c r="C32" s="28">
        <v>3.7179054429778651</v>
      </c>
      <c r="D32" s="28">
        <v>0</v>
      </c>
      <c r="E32" s="28">
        <v>55.768581644667975</v>
      </c>
      <c r="F32" s="28">
        <v>14.87162177191146</v>
      </c>
      <c r="G32" s="28">
        <v>0</v>
      </c>
      <c r="H32" s="28">
        <v>0</v>
      </c>
      <c r="I32" s="28">
        <v>0</v>
      </c>
      <c r="J32" s="28">
        <v>0</v>
      </c>
      <c r="K32" s="28">
        <v>1282.6773778273634</v>
      </c>
      <c r="L32" s="28">
        <v>3.7179054429778651</v>
      </c>
      <c r="M32" s="28">
        <v>11.153716328933596</v>
      </c>
      <c r="N32" s="28">
        <v>1.8589527214889325</v>
      </c>
      <c r="O32" s="28">
        <v>1373.766061180321</v>
      </c>
      <c r="P32" s="27" t="s">
        <v>118</v>
      </c>
      <c r="Q32" s="28" t="s">
        <v>46</v>
      </c>
      <c r="R32" s="28">
        <v>35.32010170828972</v>
      </c>
      <c r="S32" s="28">
        <v>0</v>
      </c>
      <c r="T32" s="28">
        <v>0</v>
      </c>
      <c r="U32" s="28">
        <v>1338.4459594720313</v>
      </c>
      <c r="V32" s="28">
        <v>1373.766061180321</v>
      </c>
    </row>
    <row r="33" spans="1:22" ht="11.4" customHeight="1" x14ac:dyDescent="0.2">
      <c r="A33" s="27" t="s">
        <v>124</v>
      </c>
      <c r="B33" s="28" t="s">
        <v>52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13.012669050422527</v>
      </c>
      <c r="K33" s="28">
        <v>0</v>
      </c>
      <c r="L33" s="28">
        <v>1.8589527214889325</v>
      </c>
      <c r="M33" s="28">
        <v>0</v>
      </c>
      <c r="N33" s="28">
        <v>0</v>
      </c>
      <c r="O33" s="28">
        <v>14.87162177191146</v>
      </c>
      <c r="P33" s="27" t="s">
        <v>124</v>
      </c>
      <c r="Q33" s="28" t="s">
        <v>52</v>
      </c>
      <c r="R33" s="28">
        <v>9.2947636074446631</v>
      </c>
      <c r="S33" s="28">
        <v>3.7179054429778651</v>
      </c>
      <c r="T33" s="28">
        <v>1.8589527214889325</v>
      </c>
      <c r="U33" s="28">
        <v>0</v>
      </c>
      <c r="V33" s="28">
        <v>14.87162177191146</v>
      </c>
    </row>
    <row r="34" spans="1:22" ht="11.4" customHeight="1" x14ac:dyDescent="0.2">
      <c r="A34" s="27" t="s">
        <v>123</v>
      </c>
      <c r="B34" s="28" t="s">
        <v>51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3.7179054429778651</v>
      </c>
      <c r="K34" s="28">
        <v>0</v>
      </c>
      <c r="L34" s="28">
        <v>24.166385379356125</v>
      </c>
      <c r="M34" s="28">
        <v>0</v>
      </c>
      <c r="N34" s="28">
        <v>0</v>
      </c>
      <c r="O34" s="28">
        <v>27.884290822333991</v>
      </c>
      <c r="P34" s="27" t="s">
        <v>123</v>
      </c>
      <c r="Q34" s="28" t="s">
        <v>51</v>
      </c>
      <c r="R34" s="28">
        <v>14.87162177191146</v>
      </c>
      <c r="S34" s="28">
        <v>13.012669050422527</v>
      </c>
      <c r="T34" s="28">
        <v>0</v>
      </c>
      <c r="U34" s="28">
        <v>0</v>
      </c>
      <c r="V34" s="28">
        <v>27.884290822333988</v>
      </c>
    </row>
    <row r="35" spans="1:22" ht="11.4" customHeight="1" x14ac:dyDescent="0.2">
      <c r="A35" s="27" t="s">
        <v>126</v>
      </c>
      <c r="B35" s="28" t="s">
        <v>54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1.8589527214889325</v>
      </c>
      <c r="J35" s="28">
        <v>0</v>
      </c>
      <c r="K35" s="28">
        <v>0</v>
      </c>
      <c r="L35" s="28">
        <v>1.8589527214889325</v>
      </c>
      <c r="M35" s="28">
        <v>0</v>
      </c>
      <c r="N35" s="28">
        <v>0</v>
      </c>
      <c r="O35" s="28">
        <v>3.7179054429778651</v>
      </c>
      <c r="P35" s="27" t="s">
        <v>126</v>
      </c>
      <c r="Q35" s="28" t="s">
        <v>54</v>
      </c>
      <c r="R35" s="28">
        <v>1.8589527214889325</v>
      </c>
      <c r="S35" s="28">
        <v>1.8589527214889325</v>
      </c>
      <c r="T35" s="28">
        <v>0</v>
      </c>
      <c r="U35" s="28">
        <v>0</v>
      </c>
      <c r="V35" s="28">
        <v>3.7179054429778651</v>
      </c>
    </row>
    <row r="36" spans="1:22" ht="11.4" customHeight="1" x14ac:dyDescent="0.2">
      <c r="A36" s="27" t="s">
        <v>129</v>
      </c>
      <c r="B36" s="28" t="s">
        <v>57</v>
      </c>
      <c r="C36" s="28">
        <v>0</v>
      </c>
      <c r="D36" s="28">
        <v>566.9805800541244</v>
      </c>
      <c r="E36" s="28">
        <v>316.02196265311852</v>
      </c>
      <c r="F36" s="28">
        <v>39.038007151267585</v>
      </c>
      <c r="G36" s="28">
        <v>9.2947636074446631</v>
      </c>
      <c r="H36" s="28">
        <v>0</v>
      </c>
      <c r="I36" s="28">
        <v>1.8589527214889325</v>
      </c>
      <c r="J36" s="28">
        <v>0</v>
      </c>
      <c r="K36" s="28">
        <v>31.602196265311854</v>
      </c>
      <c r="L36" s="28">
        <v>53.909628923179042</v>
      </c>
      <c r="M36" s="28">
        <v>5.5768581644667981</v>
      </c>
      <c r="N36" s="28">
        <v>7.4358108859557301</v>
      </c>
      <c r="O36" s="28">
        <v>1031.7187604263577</v>
      </c>
      <c r="P36" s="27" t="s">
        <v>129</v>
      </c>
      <c r="Q36" s="28" t="s">
        <v>57</v>
      </c>
      <c r="R36" s="28">
        <v>94.806588795935568</v>
      </c>
      <c r="S36" s="28">
        <v>13.012669050422527</v>
      </c>
      <c r="T36" s="28">
        <v>91.088683352957702</v>
      </c>
      <c r="U36" s="28">
        <v>832.81081922704175</v>
      </c>
      <c r="V36" s="28">
        <v>1031.7187604263577</v>
      </c>
    </row>
    <row r="37" spans="1:22" ht="11.4" customHeight="1" x14ac:dyDescent="0.2">
      <c r="A37" s="27" t="s">
        <v>128</v>
      </c>
      <c r="B37" s="28" t="s">
        <v>56</v>
      </c>
      <c r="C37" s="28">
        <v>0</v>
      </c>
      <c r="D37" s="28">
        <v>3.7179054429778651</v>
      </c>
      <c r="E37" s="28">
        <v>0</v>
      </c>
      <c r="F37" s="28">
        <v>0</v>
      </c>
      <c r="G37" s="28">
        <v>0</v>
      </c>
      <c r="H37" s="28">
        <v>221.21537385718295</v>
      </c>
      <c r="I37" s="28">
        <v>1.8589527214889325</v>
      </c>
      <c r="J37" s="28">
        <v>1.8589527214889325</v>
      </c>
      <c r="K37" s="28">
        <v>20.448479936378256</v>
      </c>
      <c r="L37" s="28">
        <v>55.768581644667975</v>
      </c>
      <c r="M37" s="28">
        <v>0</v>
      </c>
      <c r="N37" s="28">
        <v>0</v>
      </c>
      <c r="O37" s="28">
        <v>304.8682463241849</v>
      </c>
      <c r="P37" s="27" t="s">
        <v>128</v>
      </c>
      <c r="Q37" s="28" t="s">
        <v>56</v>
      </c>
      <c r="R37" s="28">
        <v>9.2947636074446631</v>
      </c>
      <c r="S37" s="28">
        <v>66.922297973601573</v>
      </c>
      <c r="T37" s="28">
        <v>7.4358108859557301</v>
      </c>
      <c r="U37" s="28">
        <v>221.21537385718295</v>
      </c>
      <c r="V37" s="28">
        <v>304.86824632418495</v>
      </c>
    </row>
    <row r="38" spans="1:22" ht="11.4" customHeight="1" x14ac:dyDescent="0.2">
      <c r="A38" s="27" t="s">
        <v>127</v>
      </c>
      <c r="B38" s="28" t="s">
        <v>55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9.2947636074446631</v>
      </c>
      <c r="K38" s="28">
        <v>0</v>
      </c>
      <c r="L38" s="28">
        <v>9.2947636074446631</v>
      </c>
      <c r="M38" s="28">
        <v>0</v>
      </c>
      <c r="N38" s="28">
        <v>0</v>
      </c>
      <c r="O38" s="28">
        <v>18.589527214889326</v>
      </c>
      <c r="P38" s="27" t="s">
        <v>127</v>
      </c>
      <c r="Q38" s="28" t="s">
        <v>55</v>
      </c>
      <c r="R38" s="28">
        <v>18.589527214889326</v>
      </c>
      <c r="S38" s="28">
        <v>0</v>
      </c>
      <c r="T38" s="28">
        <v>0</v>
      </c>
      <c r="U38" s="28">
        <v>0</v>
      </c>
      <c r="V38" s="28">
        <v>18.589527214889326</v>
      </c>
    </row>
    <row r="39" spans="1:22" ht="11.4" customHeight="1" x14ac:dyDescent="0.2">
      <c r="A39" s="27" t="s">
        <v>125</v>
      </c>
      <c r="B39" s="28" t="s">
        <v>53</v>
      </c>
      <c r="C39" s="28">
        <v>0</v>
      </c>
      <c r="D39" s="28">
        <v>9.2947636074446631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1.8589527214889325</v>
      </c>
      <c r="M39" s="28">
        <v>0</v>
      </c>
      <c r="N39" s="28">
        <v>0</v>
      </c>
      <c r="O39" s="28">
        <v>11.153716328933596</v>
      </c>
      <c r="P39" s="27" t="s">
        <v>125</v>
      </c>
      <c r="Q39" s="28" t="s">
        <v>53</v>
      </c>
      <c r="R39" s="28">
        <v>11.153716328933596</v>
      </c>
      <c r="S39" s="28">
        <v>0</v>
      </c>
      <c r="T39" s="28">
        <v>0</v>
      </c>
      <c r="U39" s="28">
        <v>0</v>
      </c>
      <c r="V39" s="28">
        <v>11.153716328933596</v>
      </c>
    </row>
    <row r="40" spans="1:22" ht="11.4" customHeight="1" x14ac:dyDescent="0.2">
      <c r="A40" s="27" t="s">
        <v>130</v>
      </c>
      <c r="B40" s="28" t="s">
        <v>58</v>
      </c>
      <c r="C40" s="28">
        <v>0</v>
      </c>
      <c r="D40" s="28">
        <v>1.8589527214889325</v>
      </c>
      <c r="E40" s="28">
        <v>0</v>
      </c>
      <c r="F40" s="28">
        <v>0</v>
      </c>
      <c r="G40" s="28">
        <v>1.8589527214889325</v>
      </c>
      <c r="H40" s="28">
        <v>0</v>
      </c>
      <c r="I40" s="28">
        <v>11.153716328933596</v>
      </c>
      <c r="J40" s="28">
        <v>9.2947636074446631</v>
      </c>
      <c r="K40" s="28">
        <v>1.8589527214889325</v>
      </c>
      <c r="L40" s="28">
        <v>18.589527214889326</v>
      </c>
      <c r="M40" s="28">
        <v>27.884290822333988</v>
      </c>
      <c r="N40" s="28">
        <v>0</v>
      </c>
      <c r="O40" s="28">
        <v>72.499156138068372</v>
      </c>
      <c r="P40" s="27" t="s">
        <v>130</v>
      </c>
      <c r="Q40" s="28" t="s">
        <v>58</v>
      </c>
      <c r="R40" s="28">
        <v>42.755912594245444</v>
      </c>
      <c r="S40" s="28">
        <v>5.5768581644667981</v>
      </c>
      <c r="T40" s="28">
        <v>0</v>
      </c>
      <c r="U40" s="28">
        <v>24.166385379356125</v>
      </c>
      <c r="V40" s="28">
        <v>72.499156138068372</v>
      </c>
    </row>
    <row r="41" spans="1:22" ht="11.4" customHeight="1" x14ac:dyDescent="0.2">
      <c r="A41" s="27" t="s">
        <v>122</v>
      </c>
      <c r="B41" s="28" t="s">
        <v>50</v>
      </c>
      <c r="C41" s="28">
        <v>0</v>
      </c>
      <c r="D41" s="28">
        <v>3.7179054429778651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11.153716328933596</v>
      </c>
      <c r="M41" s="28">
        <v>0</v>
      </c>
      <c r="N41" s="28">
        <v>0</v>
      </c>
      <c r="O41" s="28">
        <v>14.87162177191146</v>
      </c>
      <c r="P41" s="27" t="s">
        <v>122</v>
      </c>
      <c r="Q41" s="28" t="s">
        <v>50</v>
      </c>
      <c r="R41" s="28">
        <v>14.87162177191146</v>
      </c>
      <c r="S41" s="28">
        <v>0</v>
      </c>
      <c r="T41" s="28">
        <v>0</v>
      </c>
      <c r="U41" s="28">
        <v>0</v>
      </c>
      <c r="V41" s="28">
        <v>14.87162177191146</v>
      </c>
    </row>
    <row r="42" spans="1:22" ht="11.4" customHeight="1" x14ac:dyDescent="0.2">
      <c r="A42" s="31"/>
      <c r="B42" s="32" t="s">
        <v>59</v>
      </c>
      <c r="C42" s="28">
        <v>226.79223202164974</v>
      </c>
      <c r="D42" s="28">
        <v>1165.5633563735605</v>
      </c>
      <c r="E42" s="28">
        <v>12531.200295556893</v>
      </c>
      <c r="F42" s="28">
        <v>1271.5236614984296</v>
      </c>
      <c r="G42" s="28">
        <v>382.94426062672005</v>
      </c>
      <c r="H42" s="28">
        <v>451.72551132181059</v>
      </c>
      <c r="I42" s="28">
        <v>381.08530790523122</v>
      </c>
      <c r="J42" s="28">
        <v>1842.2221469955318</v>
      </c>
      <c r="K42" s="28">
        <v>2725.2246897027749</v>
      </c>
      <c r="L42" s="28">
        <v>1710.2365037698185</v>
      </c>
      <c r="M42" s="28">
        <v>1057.7440985272024</v>
      </c>
      <c r="N42" s="28">
        <v>105.96030512486917</v>
      </c>
      <c r="O42" s="28">
        <v>23852.222369424486</v>
      </c>
      <c r="P42" s="31"/>
      <c r="Q42" s="32" t="s">
        <v>59</v>
      </c>
      <c r="R42" s="28">
        <v>4667.8302836587109</v>
      </c>
      <c r="S42" s="28">
        <v>3069.1309431782274</v>
      </c>
      <c r="T42" s="28">
        <v>1451.8420754828562</v>
      </c>
      <c r="U42" s="28">
        <v>14663.419067104702</v>
      </c>
      <c r="V42" s="28">
        <v>23852.222369424489</v>
      </c>
    </row>
    <row r="43" spans="1:22" ht="11.4" customHeight="1" x14ac:dyDescent="0.2">
      <c r="O43" s="63">
        <v>34447.355107400792</v>
      </c>
    </row>
    <row r="47" spans="1:22" ht="11.4" customHeight="1" x14ac:dyDescent="0.2">
      <c r="B47" s="63" t="s">
        <v>383</v>
      </c>
    </row>
    <row r="48" spans="1:22" ht="11.4" customHeight="1" x14ac:dyDescent="0.2">
      <c r="B48" s="63" t="s">
        <v>384</v>
      </c>
    </row>
    <row r="51" spans="1:4" ht="11.4" customHeight="1" x14ac:dyDescent="0.25">
      <c r="A51" s="67" t="s">
        <v>0</v>
      </c>
      <c r="B51" s="67" t="s">
        <v>4</v>
      </c>
      <c r="C51" s="33" t="s">
        <v>400</v>
      </c>
      <c r="D51" s="21"/>
    </row>
    <row r="52" spans="1:4" ht="11.4" customHeight="1" x14ac:dyDescent="0.25">
      <c r="A52" s="72">
        <v>1</v>
      </c>
      <c r="B52" s="69" t="s">
        <v>9</v>
      </c>
      <c r="C52" s="34">
        <f>C42</f>
        <v>226.79223202164974</v>
      </c>
      <c r="D52" s="18"/>
    </row>
    <row r="53" spans="1:4" ht="11.4" customHeight="1" x14ac:dyDescent="0.25">
      <c r="A53" s="72">
        <v>2</v>
      </c>
      <c r="B53" s="69" t="s">
        <v>10</v>
      </c>
      <c r="C53" s="34">
        <f>D42</f>
        <v>1165.5633563735605</v>
      </c>
      <c r="D53" s="18"/>
    </row>
    <row r="54" spans="1:4" ht="11.4" customHeight="1" x14ac:dyDescent="0.25">
      <c r="A54" s="72">
        <v>3</v>
      </c>
      <c r="B54" s="69" t="s">
        <v>11</v>
      </c>
      <c r="C54" s="34">
        <f>E42</f>
        <v>12531.200295556893</v>
      </c>
      <c r="D54" s="18"/>
    </row>
    <row r="55" spans="1:4" ht="11.4" customHeight="1" x14ac:dyDescent="0.25">
      <c r="A55" s="72">
        <v>4</v>
      </c>
      <c r="B55" s="69" t="s">
        <v>12</v>
      </c>
      <c r="C55" s="34">
        <f>F42</f>
        <v>1271.5236614984296</v>
      </c>
      <c r="D55" s="18"/>
    </row>
    <row r="56" spans="1:4" ht="11.4" customHeight="1" x14ac:dyDescent="0.25">
      <c r="A56" s="72">
        <v>5</v>
      </c>
      <c r="B56" s="69" t="s">
        <v>13</v>
      </c>
      <c r="C56" s="34">
        <f>G42</f>
        <v>382.94426062672005</v>
      </c>
      <c r="D56" s="18"/>
    </row>
    <row r="57" spans="1:4" ht="11.4" customHeight="1" x14ac:dyDescent="0.25">
      <c r="A57" s="72">
        <v>6</v>
      </c>
      <c r="B57" s="69" t="s">
        <v>14</v>
      </c>
      <c r="C57" s="34">
        <f>H42</f>
        <v>451.72551132181059</v>
      </c>
      <c r="D57" s="18"/>
    </row>
    <row r="58" spans="1:4" ht="11.4" customHeight="1" x14ac:dyDescent="0.25">
      <c r="A58" s="72">
        <v>7</v>
      </c>
      <c r="B58" s="69" t="s">
        <v>15</v>
      </c>
      <c r="C58" s="34">
        <f>I42</f>
        <v>381.08530790523122</v>
      </c>
      <c r="D58" s="18"/>
    </row>
    <row r="59" spans="1:4" ht="11.4" customHeight="1" x14ac:dyDescent="0.25">
      <c r="A59" s="72">
        <v>8</v>
      </c>
      <c r="B59" s="69" t="s">
        <v>19</v>
      </c>
      <c r="C59" s="34">
        <f>J42</f>
        <v>1842.2221469955318</v>
      </c>
      <c r="D59" s="18"/>
    </row>
    <row r="60" spans="1:4" ht="11.4" customHeight="1" x14ac:dyDescent="0.25">
      <c r="A60" s="72">
        <v>9</v>
      </c>
      <c r="B60" s="69" t="s">
        <v>17</v>
      </c>
      <c r="C60" s="34">
        <f>K42</f>
        <v>2725.2246897027749</v>
      </c>
      <c r="D60" s="18"/>
    </row>
    <row r="61" spans="1:4" ht="11.4" customHeight="1" x14ac:dyDescent="0.25">
      <c r="A61" s="72">
        <v>10</v>
      </c>
      <c r="B61" s="69" t="s">
        <v>18</v>
      </c>
      <c r="C61" s="34">
        <f>L42</f>
        <v>1710.2365037698185</v>
      </c>
      <c r="D61" s="18"/>
    </row>
    <row r="62" spans="1:4" ht="11.4" customHeight="1" x14ac:dyDescent="0.25">
      <c r="A62" s="72">
        <v>11</v>
      </c>
      <c r="B62" s="69" t="s">
        <v>20</v>
      </c>
      <c r="C62" s="34">
        <f>M42</f>
        <v>1057.7440985272024</v>
      </c>
      <c r="D62" s="18"/>
    </row>
    <row r="63" spans="1:4" ht="11.4" customHeight="1" x14ac:dyDescent="0.25">
      <c r="A63" s="72">
        <v>12</v>
      </c>
      <c r="B63" s="69" t="s">
        <v>16</v>
      </c>
      <c r="C63" s="34">
        <f>N42</f>
        <v>105.96030512486917</v>
      </c>
      <c r="D63" s="18"/>
    </row>
    <row r="64" spans="1:4" ht="11.4" customHeight="1" x14ac:dyDescent="0.25">
      <c r="A64" s="72"/>
      <c r="B64" s="69" t="s">
        <v>400</v>
      </c>
      <c r="C64" s="34">
        <f>O42</f>
        <v>23852.222369424486</v>
      </c>
      <c r="D64" s="51">
        <f>SUM(C52:C63)</f>
        <v>23852.222369424497</v>
      </c>
    </row>
    <row r="65" spans="1:4" ht="11.4" customHeight="1" x14ac:dyDescent="0.25">
      <c r="A65" s="71"/>
      <c r="B65" s="66"/>
      <c r="C65" s="36"/>
      <c r="D65" s="18"/>
    </row>
    <row r="66" spans="1:4" ht="11.4" customHeight="1" x14ac:dyDescent="0.25">
      <c r="A66" s="75"/>
      <c r="B66" s="75"/>
      <c r="C66" s="75"/>
      <c r="D66" s="18"/>
    </row>
    <row r="67" spans="1:4" ht="11.4" customHeight="1" x14ac:dyDescent="0.25">
      <c r="A67" s="67" t="s">
        <v>0</v>
      </c>
      <c r="B67" s="67" t="s">
        <v>2</v>
      </c>
      <c r="C67" s="33" t="s">
        <v>400</v>
      </c>
      <c r="D67" s="21"/>
    </row>
    <row r="68" spans="1:4" ht="11.4" customHeight="1" x14ac:dyDescent="0.25">
      <c r="A68" s="72">
        <v>1</v>
      </c>
      <c r="B68" s="69" t="s">
        <v>5</v>
      </c>
      <c r="C68" s="34">
        <f>R42</f>
        <v>4667.8302836587109</v>
      </c>
      <c r="D68" s="18"/>
    </row>
    <row r="69" spans="1:4" ht="11.4" customHeight="1" x14ac:dyDescent="0.25">
      <c r="A69" s="72">
        <v>2</v>
      </c>
      <c r="B69" s="69" t="s">
        <v>6</v>
      </c>
      <c r="C69" s="34">
        <f>S42</f>
        <v>3069.1309431782274</v>
      </c>
      <c r="D69" s="18"/>
    </row>
    <row r="70" spans="1:4" ht="11.4" customHeight="1" x14ac:dyDescent="0.25">
      <c r="A70" s="72">
        <v>3</v>
      </c>
      <c r="B70" s="69" t="s">
        <v>7</v>
      </c>
      <c r="C70" s="34">
        <f>T42</f>
        <v>1451.8420754828562</v>
      </c>
      <c r="D70" s="18"/>
    </row>
    <row r="71" spans="1:4" ht="11.4" customHeight="1" x14ac:dyDescent="0.25">
      <c r="A71" s="72">
        <v>4</v>
      </c>
      <c r="B71" s="69" t="s">
        <v>8</v>
      </c>
      <c r="C71" s="34">
        <f>U42</f>
        <v>14663.419067104702</v>
      </c>
      <c r="D71" s="18"/>
    </row>
    <row r="72" spans="1:4" ht="11.4" customHeight="1" x14ac:dyDescent="0.25">
      <c r="A72" s="72"/>
      <c r="B72" s="69" t="s">
        <v>400</v>
      </c>
      <c r="C72" s="34">
        <f>V42</f>
        <v>23852.222369424489</v>
      </c>
      <c r="D72" s="51">
        <f>SUM(C68:C71)</f>
        <v>23852.222369424497</v>
      </c>
    </row>
  </sheetData>
  <mergeCells count="10">
    <mergeCell ref="A1:O1"/>
    <mergeCell ref="P1:V1"/>
    <mergeCell ref="A2:A3"/>
    <mergeCell ref="B2:B3"/>
    <mergeCell ref="C2:N2"/>
    <mergeCell ref="O2:O3"/>
    <mergeCell ref="P2:P3"/>
    <mergeCell ref="Q2:Q3"/>
    <mergeCell ref="R2:U2"/>
    <mergeCell ref="V2:V3"/>
  </mergeCells>
  <pageMargins left="0.31496062992125984" right="0" top="0.59055118110236227" bottom="0.35433070866141736" header="0.31496062992125984" footer="0.31496062992125984"/>
  <pageSetup paperSize="9" scale="80" firstPageNumber="202" orientation="landscape" useFirstPageNumber="1" r:id="rId1"/>
  <headerFooter>
    <oddFooter>&amp;C&amp;P</oddFooter>
  </headerFooter>
  <colBreaks count="1" manualBreakCount="1">
    <brk id="1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CC75-EEF9-4097-AEBB-6D2577D27574}">
  <dimension ref="A1:V72"/>
  <sheetViews>
    <sheetView view="pageBreakPreview" zoomScale="60" zoomScaleNormal="40" workbookViewId="0">
      <selection activeCell="C3" sqref="C1:K1048576"/>
    </sheetView>
  </sheetViews>
  <sheetFormatPr defaultColWidth="19.21875" defaultRowHeight="11.4" customHeight="1" x14ac:dyDescent="0.2"/>
  <cols>
    <col min="1" max="1" width="6" style="64" bestFit="1" customWidth="1"/>
    <col min="2" max="2" width="17.5546875" style="63" customWidth="1"/>
    <col min="3" max="11" width="11.21875" style="63" customWidth="1"/>
    <col min="12" max="15" width="12.109375" style="63" customWidth="1"/>
    <col min="16" max="16" width="6" style="64" bestFit="1" customWidth="1"/>
    <col min="17" max="17" width="44.44140625" style="63" customWidth="1"/>
    <col min="18" max="22" width="14" style="63" customWidth="1"/>
    <col min="23" max="16384" width="19.21875" style="63"/>
  </cols>
  <sheetData>
    <row r="1" spans="1:22" s="58" customFormat="1" ht="23.4" customHeight="1" x14ac:dyDescent="0.2">
      <c r="A1" s="102" t="s">
        <v>385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 t="s">
        <v>386</v>
      </c>
      <c r="Q1" s="102"/>
      <c r="R1" s="102"/>
      <c r="S1" s="102"/>
      <c r="T1" s="102"/>
      <c r="U1" s="102"/>
      <c r="V1" s="102"/>
    </row>
    <row r="2" spans="1:22" s="59" customFormat="1" ht="11.4" customHeight="1" x14ac:dyDescent="0.3">
      <c r="A2" s="103" t="s">
        <v>0</v>
      </c>
      <c r="B2" s="105" t="s">
        <v>1</v>
      </c>
      <c r="C2" s="107" t="s">
        <v>4</v>
      </c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05" t="s">
        <v>3</v>
      </c>
      <c r="P2" s="103" t="s">
        <v>0</v>
      </c>
      <c r="Q2" s="103" t="s">
        <v>1</v>
      </c>
      <c r="R2" s="110" t="s">
        <v>2</v>
      </c>
      <c r="S2" s="111"/>
      <c r="T2" s="111"/>
      <c r="U2" s="112"/>
      <c r="V2" s="103" t="s">
        <v>66</v>
      </c>
    </row>
    <row r="3" spans="1:22" s="59" customFormat="1" ht="43.8" customHeight="1" x14ac:dyDescent="0.3">
      <c r="A3" s="104"/>
      <c r="B3" s="106"/>
      <c r="C3" s="60" t="s">
        <v>9</v>
      </c>
      <c r="D3" s="60" t="s">
        <v>10</v>
      </c>
      <c r="E3" s="60" t="s">
        <v>11</v>
      </c>
      <c r="F3" s="60" t="s">
        <v>12</v>
      </c>
      <c r="G3" s="61" t="s">
        <v>13</v>
      </c>
      <c r="H3" s="61" t="s">
        <v>14</v>
      </c>
      <c r="I3" s="61" t="s">
        <v>131</v>
      </c>
      <c r="J3" s="61" t="s">
        <v>135</v>
      </c>
      <c r="K3" s="61" t="s">
        <v>17</v>
      </c>
      <c r="L3" s="61" t="s">
        <v>280</v>
      </c>
      <c r="M3" s="61" t="s">
        <v>19</v>
      </c>
      <c r="N3" s="61" t="s">
        <v>133</v>
      </c>
      <c r="O3" s="106"/>
      <c r="P3" s="104"/>
      <c r="Q3" s="104"/>
      <c r="R3" s="62" t="s">
        <v>5</v>
      </c>
      <c r="S3" s="62" t="s">
        <v>6</v>
      </c>
      <c r="T3" s="62" t="s">
        <v>7</v>
      </c>
      <c r="U3" s="62" t="s">
        <v>8</v>
      </c>
      <c r="V3" s="104"/>
    </row>
    <row r="4" spans="1:22" ht="11.4" customHeight="1" x14ac:dyDescent="0.2">
      <c r="A4" s="27" t="s">
        <v>110</v>
      </c>
      <c r="B4" s="28" t="s">
        <v>38</v>
      </c>
      <c r="C4" s="28">
        <v>31.602196265311854</v>
      </c>
      <c r="D4" s="28">
        <v>85.511825188490903</v>
      </c>
      <c r="E4" s="28">
        <v>1.8589527214889325</v>
      </c>
      <c r="F4" s="28">
        <v>37.179054429778652</v>
      </c>
      <c r="G4" s="28">
        <v>249.09966467951696</v>
      </c>
      <c r="H4" s="28">
        <v>0</v>
      </c>
      <c r="I4" s="28">
        <v>42.755912594245451</v>
      </c>
      <c r="J4" s="28">
        <v>61.345439809134774</v>
      </c>
      <c r="K4" s="28">
        <v>22.307432657867192</v>
      </c>
      <c r="L4" s="28">
        <v>87.370777909979836</v>
      </c>
      <c r="M4" s="28">
        <v>20.448479936378259</v>
      </c>
      <c r="N4" s="28">
        <v>1.8589527214889325</v>
      </c>
      <c r="O4" s="28">
        <v>641.33868891368161</v>
      </c>
      <c r="P4" s="27" t="s">
        <v>110</v>
      </c>
      <c r="Q4" s="28" t="s">
        <v>38</v>
      </c>
      <c r="R4" s="28">
        <v>607.8775399268809</v>
      </c>
      <c r="S4" s="28">
        <v>31.602196265311854</v>
      </c>
      <c r="T4" s="28">
        <v>1.8589527214889325</v>
      </c>
      <c r="U4" s="28">
        <v>0</v>
      </c>
      <c r="V4" s="28">
        <v>641.33868891368161</v>
      </c>
    </row>
    <row r="5" spans="1:22" ht="11.4" customHeight="1" x14ac:dyDescent="0.2">
      <c r="A5" s="27" t="s">
        <v>113</v>
      </c>
      <c r="B5" s="28" t="s">
        <v>41</v>
      </c>
      <c r="C5" s="28">
        <v>0</v>
      </c>
      <c r="D5" s="28">
        <v>44.614865315734384</v>
      </c>
      <c r="E5" s="28">
        <v>0</v>
      </c>
      <c r="F5" s="28">
        <v>0</v>
      </c>
      <c r="G5" s="28">
        <v>1.8589527214889325</v>
      </c>
      <c r="H5" s="28">
        <v>0</v>
      </c>
      <c r="I5" s="28">
        <v>0</v>
      </c>
      <c r="J5" s="28">
        <v>321.59882081758536</v>
      </c>
      <c r="K5" s="28">
        <v>0</v>
      </c>
      <c r="L5" s="28">
        <v>61.345439809134774</v>
      </c>
      <c r="M5" s="28">
        <v>18.589527214889326</v>
      </c>
      <c r="N5" s="28">
        <v>0</v>
      </c>
      <c r="O5" s="28">
        <v>448.00760587883275</v>
      </c>
      <c r="P5" s="27" t="s">
        <v>113</v>
      </c>
      <c r="Q5" s="28" t="s">
        <v>41</v>
      </c>
      <c r="R5" s="28">
        <v>436.85388954989918</v>
      </c>
      <c r="S5" s="28">
        <v>11.153716328933596</v>
      </c>
      <c r="T5" s="28">
        <v>0</v>
      </c>
      <c r="U5" s="28">
        <v>0</v>
      </c>
      <c r="V5" s="28">
        <v>448.00760587883275</v>
      </c>
    </row>
    <row r="6" spans="1:22" ht="11.4" customHeight="1" x14ac:dyDescent="0.2">
      <c r="A6" s="27" t="s">
        <v>119</v>
      </c>
      <c r="B6" s="28" t="s">
        <v>47</v>
      </c>
      <c r="C6" s="28">
        <v>0</v>
      </c>
      <c r="D6" s="28">
        <v>18.589527214889326</v>
      </c>
      <c r="E6" s="28">
        <v>0</v>
      </c>
      <c r="F6" s="28">
        <v>70.640203416579439</v>
      </c>
      <c r="G6" s="28">
        <v>0</v>
      </c>
      <c r="H6" s="28">
        <v>0</v>
      </c>
      <c r="I6" s="28">
        <v>306.7271990456739</v>
      </c>
      <c r="J6" s="28">
        <v>475.89189670116673</v>
      </c>
      <c r="K6" s="28">
        <v>16.730574493400393</v>
      </c>
      <c r="L6" s="28">
        <v>1.8589527214889325</v>
      </c>
      <c r="M6" s="28">
        <v>13.012669050422527</v>
      </c>
      <c r="N6" s="28">
        <v>0</v>
      </c>
      <c r="O6" s="28">
        <v>903.45102264362129</v>
      </c>
      <c r="P6" s="27" t="s">
        <v>119</v>
      </c>
      <c r="Q6" s="28" t="s">
        <v>47</v>
      </c>
      <c r="R6" s="28">
        <v>738.00423043110618</v>
      </c>
      <c r="S6" s="28">
        <v>100.38344696040237</v>
      </c>
      <c r="T6" s="28">
        <v>65.06334525211264</v>
      </c>
      <c r="U6" s="28">
        <v>0</v>
      </c>
      <c r="V6" s="28">
        <v>903.45102264362117</v>
      </c>
    </row>
    <row r="7" spans="1:22" ht="11.4" customHeight="1" x14ac:dyDescent="0.2">
      <c r="A7" s="27" t="s">
        <v>121</v>
      </c>
      <c r="B7" s="28" t="s">
        <v>49</v>
      </c>
      <c r="C7" s="28">
        <v>0</v>
      </c>
      <c r="D7" s="28">
        <v>0</v>
      </c>
      <c r="E7" s="28">
        <v>7.4358108859557301</v>
      </c>
      <c r="F7" s="28">
        <v>20.448479936378259</v>
      </c>
      <c r="G7" s="28">
        <v>16.730574493400393</v>
      </c>
      <c r="H7" s="28">
        <v>0</v>
      </c>
      <c r="I7" s="28">
        <v>438.71284227138807</v>
      </c>
      <c r="J7" s="28">
        <v>671.08193245750465</v>
      </c>
      <c r="K7" s="28">
        <v>0</v>
      </c>
      <c r="L7" s="28">
        <v>26.025338100845055</v>
      </c>
      <c r="M7" s="28">
        <v>61.345439809134774</v>
      </c>
      <c r="N7" s="28">
        <v>0</v>
      </c>
      <c r="O7" s="28">
        <v>1241.7804179546072</v>
      </c>
      <c r="P7" s="27" t="s">
        <v>121</v>
      </c>
      <c r="Q7" s="28" t="s">
        <v>49</v>
      </c>
      <c r="R7" s="28">
        <v>1083.7694366280475</v>
      </c>
      <c r="S7" s="28">
        <v>152.43412316209248</v>
      </c>
      <c r="T7" s="28">
        <v>5.5768581644667981</v>
      </c>
      <c r="U7" s="28">
        <v>0</v>
      </c>
      <c r="V7" s="28">
        <v>1241.7804179546067</v>
      </c>
    </row>
    <row r="8" spans="1:22" ht="11.4" customHeight="1" x14ac:dyDescent="0.2">
      <c r="A8" s="27" t="s">
        <v>95</v>
      </c>
      <c r="B8" s="28" t="s">
        <v>23</v>
      </c>
      <c r="C8" s="28">
        <v>0</v>
      </c>
      <c r="D8" s="28">
        <v>1.8589527214889325</v>
      </c>
      <c r="E8" s="28">
        <v>0</v>
      </c>
      <c r="F8" s="28">
        <v>0</v>
      </c>
      <c r="G8" s="28">
        <v>3.7179054429778651</v>
      </c>
      <c r="H8" s="28">
        <v>0</v>
      </c>
      <c r="I8" s="28">
        <v>66.922297973601573</v>
      </c>
      <c r="J8" s="28">
        <v>726.85051410217261</v>
      </c>
      <c r="K8" s="28">
        <v>0</v>
      </c>
      <c r="L8" s="28">
        <v>50.191723480201183</v>
      </c>
      <c r="M8" s="28">
        <v>139.42145411166993</v>
      </c>
      <c r="N8" s="28">
        <v>3.7179054429778651</v>
      </c>
      <c r="O8" s="28">
        <v>992.68075327509007</v>
      </c>
      <c r="P8" s="27" t="s">
        <v>95</v>
      </c>
      <c r="Q8" s="28" t="s">
        <v>23</v>
      </c>
      <c r="R8" s="28">
        <v>643.19764163517073</v>
      </c>
      <c r="S8" s="28">
        <v>345.76520619694145</v>
      </c>
      <c r="T8" s="28">
        <v>3.7179054429778651</v>
      </c>
      <c r="U8" s="28">
        <v>0</v>
      </c>
      <c r="V8" s="28">
        <v>992.68075327509007</v>
      </c>
    </row>
    <row r="9" spans="1:22" ht="11.4" customHeight="1" x14ac:dyDescent="0.2">
      <c r="A9" s="27" t="s">
        <v>101</v>
      </c>
      <c r="B9" s="28" t="s">
        <v>29</v>
      </c>
      <c r="C9" s="28">
        <v>0</v>
      </c>
      <c r="D9" s="28">
        <v>22.307432657867192</v>
      </c>
      <c r="E9" s="28">
        <v>0</v>
      </c>
      <c r="F9" s="28">
        <v>0</v>
      </c>
      <c r="G9" s="28">
        <v>1.8589527214889325</v>
      </c>
      <c r="H9" s="28">
        <v>0</v>
      </c>
      <c r="I9" s="28">
        <v>3.7179054429778651</v>
      </c>
      <c r="J9" s="28">
        <v>591.14696543348055</v>
      </c>
      <c r="K9" s="28">
        <v>0</v>
      </c>
      <c r="L9" s="28">
        <v>72.499156138068372</v>
      </c>
      <c r="M9" s="28">
        <v>11.153716328933596</v>
      </c>
      <c r="N9" s="28">
        <v>3.7179054429778651</v>
      </c>
      <c r="O9" s="28">
        <v>706.40203416579436</v>
      </c>
      <c r="P9" s="27" t="s">
        <v>101</v>
      </c>
      <c r="Q9" s="28" t="s">
        <v>29</v>
      </c>
      <c r="R9" s="28">
        <v>451.72551132181064</v>
      </c>
      <c r="S9" s="28">
        <v>254.67652284398378</v>
      </c>
      <c r="T9" s="28">
        <v>0</v>
      </c>
      <c r="U9" s="28">
        <v>0</v>
      </c>
      <c r="V9" s="28">
        <v>706.40203416579448</v>
      </c>
    </row>
    <row r="10" spans="1:22" ht="11.4" customHeight="1" x14ac:dyDescent="0.2">
      <c r="A10" s="27" t="s">
        <v>106</v>
      </c>
      <c r="B10" s="28" t="s">
        <v>34</v>
      </c>
      <c r="C10" s="28">
        <v>1.8589527214889325</v>
      </c>
      <c r="D10" s="28">
        <v>3.7179054429778651</v>
      </c>
      <c r="E10" s="28">
        <v>5.5768581644667981</v>
      </c>
      <c r="F10" s="28">
        <v>200.76689392080473</v>
      </c>
      <c r="G10" s="28">
        <v>7.4358108859557301</v>
      </c>
      <c r="H10" s="28">
        <v>0</v>
      </c>
      <c r="I10" s="28">
        <v>14.87162177191146</v>
      </c>
      <c r="J10" s="28">
        <v>479.60980214414462</v>
      </c>
      <c r="K10" s="28">
        <v>13.012669050422527</v>
      </c>
      <c r="L10" s="28">
        <v>27.884290822333988</v>
      </c>
      <c r="M10" s="28">
        <v>26.025338100845055</v>
      </c>
      <c r="N10" s="28">
        <v>3.7179054429778651</v>
      </c>
      <c r="O10" s="28">
        <v>784.47804846832969</v>
      </c>
      <c r="P10" s="27" t="s">
        <v>106</v>
      </c>
      <c r="Q10" s="28" t="s">
        <v>34</v>
      </c>
      <c r="R10" s="28">
        <v>700.82517600132758</v>
      </c>
      <c r="S10" s="28">
        <v>72.499156138068372</v>
      </c>
      <c r="T10" s="28">
        <v>7.4358108859557301</v>
      </c>
      <c r="U10" s="28">
        <v>3.7179054429778651</v>
      </c>
      <c r="V10" s="28">
        <v>784.47804846832946</v>
      </c>
    </row>
    <row r="11" spans="1:22" ht="11.4" customHeight="1" x14ac:dyDescent="0.2">
      <c r="A11" s="27" t="s">
        <v>103</v>
      </c>
      <c r="B11" s="28" t="s">
        <v>31</v>
      </c>
      <c r="C11" s="28">
        <v>11.153716328933596</v>
      </c>
      <c r="D11" s="28">
        <v>3.7179054429778651</v>
      </c>
      <c r="E11" s="28">
        <v>0</v>
      </c>
      <c r="F11" s="28">
        <v>66.922297973601573</v>
      </c>
      <c r="G11" s="28">
        <v>0</v>
      </c>
      <c r="H11" s="28">
        <v>0</v>
      </c>
      <c r="I11" s="28">
        <v>13.012669050422527</v>
      </c>
      <c r="J11" s="28">
        <v>1033.5777131478465</v>
      </c>
      <c r="K11" s="28">
        <v>0</v>
      </c>
      <c r="L11" s="28">
        <v>22.307432657867192</v>
      </c>
      <c r="M11" s="28">
        <v>13.012669050422527</v>
      </c>
      <c r="N11" s="28">
        <v>0</v>
      </c>
      <c r="O11" s="28">
        <v>1163.7044036520717</v>
      </c>
      <c r="P11" s="27" t="s">
        <v>103</v>
      </c>
      <c r="Q11" s="28" t="s">
        <v>31</v>
      </c>
      <c r="R11" s="28">
        <v>1115.3716328933594</v>
      </c>
      <c r="S11" s="28">
        <v>46.473818037223317</v>
      </c>
      <c r="T11" s="28">
        <v>1.8589527214889325</v>
      </c>
      <c r="U11" s="28">
        <v>0</v>
      </c>
      <c r="V11" s="28">
        <v>1163.7044036520717</v>
      </c>
    </row>
    <row r="12" spans="1:22" ht="11.4" customHeight="1" x14ac:dyDescent="0.2">
      <c r="A12" s="27" t="s">
        <v>99</v>
      </c>
      <c r="B12" s="28" t="s">
        <v>27</v>
      </c>
      <c r="C12" s="28">
        <v>52.050676201690109</v>
      </c>
      <c r="D12" s="28">
        <v>1.8589527214889325</v>
      </c>
      <c r="E12" s="28">
        <v>0</v>
      </c>
      <c r="F12" s="28">
        <v>217.49746841420512</v>
      </c>
      <c r="G12" s="28">
        <v>40.896959872756518</v>
      </c>
      <c r="H12" s="28">
        <v>0</v>
      </c>
      <c r="I12" s="28">
        <v>102.24239968189129</v>
      </c>
      <c r="J12" s="28">
        <v>262.11233372993951</v>
      </c>
      <c r="K12" s="28">
        <v>94.806588795935568</v>
      </c>
      <c r="L12" s="28">
        <v>61.345439809134774</v>
      </c>
      <c r="M12" s="28">
        <v>39.038007151267585</v>
      </c>
      <c r="N12" s="28">
        <v>1.8589527214889325</v>
      </c>
      <c r="O12" s="28">
        <v>873.70777909979824</v>
      </c>
      <c r="P12" s="27" t="s">
        <v>99</v>
      </c>
      <c r="Q12" s="28" t="s">
        <v>27</v>
      </c>
      <c r="R12" s="28">
        <v>513.07095113094545</v>
      </c>
      <c r="S12" s="28">
        <v>317.88091537460747</v>
      </c>
      <c r="T12" s="28">
        <v>40.896959872756518</v>
      </c>
      <c r="U12" s="28">
        <v>1.8589527214889325</v>
      </c>
      <c r="V12" s="28">
        <v>873.70777909979836</v>
      </c>
    </row>
    <row r="13" spans="1:22" ht="11.4" customHeight="1" x14ac:dyDescent="0.2">
      <c r="A13" s="27" t="s">
        <v>94</v>
      </c>
      <c r="B13" s="28" t="s">
        <v>22</v>
      </c>
      <c r="C13" s="28">
        <v>0</v>
      </c>
      <c r="D13" s="28">
        <v>1.8589527214889325</v>
      </c>
      <c r="E13" s="28">
        <v>0</v>
      </c>
      <c r="F13" s="28">
        <v>113.39611601082488</v>
      </c>
      <c r="G13" s="28">
        <v>3.7179054429778651</v>
      </c>
      <c r="H13" s="28">
        <v>0</v>
      </c>
      <c r="I13" s="28">
        <v>40.896959872756518</v>
      </c>
      <c r="J13" s="28">
        <v>936.91217163042199</v>
      </c>
      <c r="K13" s="28">
        <v>68.781250695090506</v>
      </c>
      <c r="L13" s="28">
        <v>59.486487087645841</v>
      </c>
      <c r="M13" s="28">
        <v>11.153716328933596</v>
      </c>
      <c r="N13" s="28">
        <v>13.012669050422527</v>
      </c>
      <c r="O13" s="28">
        <v>1249.2162288405625</v>
      </c>
      <c r="P13" s="27" t="s">
        <v>94</v>
      </c>
      <c r="Q13" s="28" t="s">
        <v>22</v>
      </c>
      <c r="R13" s="28">
        <v>1024.2829495404017</v>
      </c>
      <c r="S13" s="28">
        <v>224.93327930016085</v>
      </c>
      <c r="T13" s="28">
        <v>0</v>
      </c>
      <c r="U13" s="28">
        <v>0</v>
      </c>
      <c r="V13" s="28">
        <v>1249.2162288405625</v>
      </c>
    </row>
    <row r="14" spans="1:22" ht="11.4" customHeight="1" x14ac:dyDescent="0.2">
      <c r="A14" s="27" t="s">
        <v>97</v>
      </c>
      <c r="B14" s="28" t="s">
        <v>25</v>
      </c>
      <c r="C14" s="28">
        <v>0</v>
      </c>
      <c r="D14" s="28">
        <v>0</v>
      </c>
      <c r="E14" s="28">
        <v>0</v>
      </c>
      <c r="F14" s="28">
        <v>1.8589527214889325</v>
      </c>
      <c r="G14" s="28">
        <v>0</v>
      </c>
      <c r="H14" s="28">
        <v>0</v>
      </c>
      <c r="I14" s="28">
        <v>1.8589527214889325</v>
      </c>
      <c r="J14" s="28">
        <v>1317.9974795356532</v>
      </c>
      <c r="K14" s="28">
        <v>0</v>
      </c>
      <c r="L14" s="28">
        <v>22.307432657867192</v>
      </c>
      <c r="M14" s="28">
        <v>37.179054429778652</v>
      </c>
      <c r="N14" s="28">
        <v>0</v>
      </c>
      <c r="O14" s="28">
        <v>1381.2018720662768</v>
      </c>
      <c r="P14" s="27" t="s">
        <v>97</v>
      </c>
      <c r="Q14" s="28" t="s">
        <v>25</v>
      </c>
      <c r="R14" s="28">
        <v>1381.2018720662768</v>
      </c>
      <c r="S14" s="28">
        <v>0</v>
      </c>
      <c r="T14" s="28">
        <v>0</v>
      </c>
      <c r="U14" s="28">
        <v>0</v>
      </c>
      <c r="V14" s="28">
        <v>1381.2018720662768</v>
      </c>
    </row>
    <row r="15" spans="1:22" ht="11.4" customHeight="1" x14ac:dyDescent="0.2">
      <c r="A15" s="27" t="s">
        <v>117</v>
      </c>
      <c r="B15" s="28" t="s">
        <v>45</v>
      </c>
      <c r="C15" s="28">
        <v>0</v>
      </c>
      <c r="D15" s="28">
        <v>0</v>
      </c>
      <c r="E15" s="28">
        <v>0</v>
      </c>
      <c r="F15" s="28">
        <v>76.217061581046238</v>
      </c>
      <c r="G15" s="28">
        <v>5.5768581644667981</v>
      </c>
      <c r="H15" s="28">
        <v>0</v>
      </c>
      <c r="I15" s="28">
        <v>0</v>
      </c>
      <c r="J15" s="28">
        <v>340.18834803247466</v>
      </c>
      <c r="K15" s="28">
        <v>92.947636074446635</v>
      </c>
      <c r="L15" s="28">
        <v>46.473818037223317</v>
      </c>
      <c r="M15" s="28">
        <v>92.947636074446635</v>
      </c>
      <c r="N15" s="28">
        <v>7.4358108859557301</v>
      </c>
      <c r="O15" s="28">
        <v>661.78716885005997</v>
      </c>
      <c r="P15" s="27" t="s">
        <v>117</v>
      </c>
      <c r="Q15" s="28" t="s">
        <v>45</v>
      </c>
      <c r="R15" s="28">
        <v>414.54645689203198</v>
      </c>
      <c r="S15" s="28">
        <v>230.51013746462763</v>
      </c>
      <c r="T15" s="28">
        <v>16.730574493400393</v>
      </c>
      <c r="U15" s="28">
        <v>0</v>
      </c>
      <c r="V15" s="28">
        <v>661.78716885005997</v>
      </c>
    </row>
    <row r="16" spans="1:22" ht="11.4" customHeight="1" x14ac:dyDescent="0.2">
      <c r="A16" s="27" t="s">
        <v>114</v>
      </c>
      <c r="B16" s="28" t="s">
        <v>42</v>
      </c>
      <c r="C16" s="28">
        <v>27.884290822333988</v>
      </c>
      <c r="D16" s="28">
        <v>1.8589527214889325</v>
      </c>
      <c r="E16" s="28">
        <v>3.7179054429778651</v>
      </c>
      <c r="F16" s="28">
        <v>57.627534366156908</v>
      </c>
      <c r="G16" s="28">
        <v>3.7179054429778651</v>
      </c>
      <c r="H16" s="28">
        <v>0</v>
      </c>
      <c r="I16" s="28">
        <v>91.088683352957702</v>
      </c>
      <c r="J16" s="28">
        <v>751.01689948152875</v>
      </c>
      <c r="K16" s="28">
        <v>37.179054429778652</v>
      </c>
      <c r="L16" s="28">
        <v>35.32010170828972</v>
      </c>
      <c r="M16" s="28">
        <v>7.4358108859557301</v>
      </c>
      <c r="N16" s="28">
        <v>13.012669050422527</v>
      </c>
      <c r="O16" s="28">
        <v>1029.8598077048684</v>
      </c>
      <c r="P16" s="27" t="s">
        <v>114</v>
      </c>
      <c r="Q16" s="28" t="s">
        <v>42</v>
      </c>
      <c r="R16" s="28">
        <v>1016.847138654446</v>
      </c>
      <c r="S16" s="28">
        <v>3.7179054429778651</v>
      </c>
      <c r="T16" s="28">
        <v>3.7179054429778651</v>
      </c>
      <c r="U16" s="28">
        <v>5.5768581644667981</v>
      </c>
      <c r="V16" s="28">
        <v>1029.8598077048684</v>
      </c>
    </row>
    <row r="17" spans="1:22" ht="11.4" customHeight="1" x14ac:dyDescent="0.2">
      <c r="A17" s="27" t="s">
        <v>112</v>
      </c>
      <c r="B17" s="28" t="s">
        <v>40</v>
      </c>
      <c r="C17" s="28">
        <v>0</v>
      </c>
      <c r="D17" s="28">
        <v>0</v>
      </c>
      <c r="E17" s="28">
        <v>20.448479936378259</v>
      </c>
      <c r="F17" s="28">
        <v>59.486487087645841</v>
      </c>
      <c r="G17" s="28">
        <v>13.012669050422527</v>
      </c>
      <c r="H17" s="28">
        <v>3.7179054429778651</v>
      </c>
      <c r="I17" s="28">
        <v>40.896959872756518</v>
      </c>
      <c r="J17" s="28">
        <v>734.28632498812829</v>
      </c>
      <c r="K17" s="28">
        <v>35.32010170828972</v>
      </c>
      <c r="L17" s="28">
        <v>68.781250695090506</v>
      </c>
      <c r="M17" s="28">
        <v>29.743243543822921</v>
      </c>
      <c r="N17" s="28">
        <v>9.2947636074446631</v>
      </c>
      <c r="O17" s="28">
        <v>1014.9881859329571</v>
      </c>
      <c r="P17" s="27" t="s">
        <v>112</v>
      </c>
      <c r="Q17" s="28" t="s">
        <v>40</v>
      </c>
      <c r="R17" s="28">
        <v>988.96284783211217</v>
      </c>
      <c r="S17" s="28">
        <v>3.7179054429778651</v>
      </c>
      <c r="T17" s="28">
        <v>0</v>
      </c>
      <c r="U17" s="28">
        <v>22.307432657867192</v>
      </c>
      <c r="V17" s="28">
        <v>1014.9881859329572</v>
      </c>
    </row>
    <row r="18" spans="1:22" ht="11.4" customHeight="1" x14ac:dyDescent="0.2">
      <c r="A18" s="27" t="s">
        <v>116</v>
      </c>
      <c r="B18" s="28" t="s">
        <v>44</v>
      </c>
      <c r="C18" s="28">
        <v>70.640203416579439</v>
      </c>
      <c r="D18" s="28">
        <v>107.81925784635808</v>
      </c>
      <c r="E18" s="28">
        <v>57.627534366156908</v>
      </c>
      <c r="F18" s="28">
        <v>89.229730631468769</v>
      </c>
      <c r="G18" s="28">
        <v>104.10135240338022</v>
      </c>
      <c r="H18" s="28">
        <v>1.8589527214889325</v>
      </c>
      <c r="I18" s="28">
        <v>87.370777909979836</v>
      </c>
      <c r="J18" s="28">
        <v>221.21537385718298</v>
      </c>
      <c r="K18" s="28">
        <v>63.204392530623707</v>
      </c>
      <c r="L18" s="28">
        <v>74.358108859557305</v>
      </c>
      <c r="M18" s="28">
        <v>96.665541517424501</v>
      </c>
      <c r="N18" s="28">
        <v>20.448479936378259</v>
      </c>
      <c r="O18" s="28">
        <v>994.53970599657896</v>
      </c>
      <c r="P18" s="27" t="s">
        <v>116</v>
      </c>
      <c r="Q18" s="28" t="s">
        <v>44</v>
      </c>
      <c r="R18" s="28">
        <v>652.49240524261529</v>
      </c>
      <c r="S18" s="28">
        <v>210.06165752824938</v>
      </c>
      <c r="T18" s="28">
        <v>76.217061581046238</v>
      </c>
      <c r="U18" s="28">
        <v>55.768581644667975</v>
      </c>
      <c r="V18" s="28">
        <v>994.53970599657885</v>
      </c>
    </row>
    <row r="19" spans="1:22" ht="11.4" customHeight="1" x14ac:dyDescent="0.2">
      <c r="A19" s="27" t="s">
        <v>107</v>
      </c>
      <c r="B19" s="28" t="s">
        <v>35</v>
      </c>
      <c r="C19" s="28">
        <v>0</v>
      </c>
      <c r="D19" s="28">
        <v>5.5768581644667981</v>
      </c>
      <c r="E19" s="28">
        <v>0</v>
      </c>
      <c r="F19" s="28">
        <v>0</v>
      </c>
      <c r="G19" s="28">
        <v>0</v>
      </c>
      <c r="H19" s="28">
        <v>0</v>
      </c>
      <c r="I19" s="28">
        <v>44.614865315734384</v>
      </c>
      <c r="J19" s="28">
        <v>795.63176479726314</v>
      </c>
      <c r="K19" s="28">
        <v>31.602196265311854</v>
      </c>
      <c r="L19" s="28">
        <v>184.03631942740432</v>
      </c>
      <c r="M19" s="28">
        <v>78.076014302535171</v>
      </c>
      <c r="N19" s="28">
        <v>0</v>
      </c>
      <c r="O19" s="28">
        <v>1139.5380182727156</v>
      </c>
      <c r="P19" s="27" t="s">
        <v>107</v>
      </c>
      <c r="Q19" s="28" t="s">
        <v>35</v>
      </c>
      <c r="R19" s="28">
        <v>817.93919745513028</v>
      </c>
      <c r="S19" s="28">
        <v>314.16300993162963</v>
      </c>
      <c r="T19" s="28">
        <v>1.8589527214889325</v>
      </c>
      <c r="U19" s="28">
        <v>5.5768581644667981</v>
      </c>
      <c r="V19" s="28">
        <v>1139.5380182727156</v>
      </c>
    </row>
    <row r="20" spans="1:22" ht="11.4" customHeight="1" x14ac:dyDescent="0.2">
      <c r="A20" s="27" t="s">
        <v>100</v>
      </c>
      <c r="B20" s="28" t="s">
        <v>28</v>
      </c>
      <c r="C20" s="28">
        <v>0</v>
      </c>
      <c r="D20" s="28">
        <v>18.589527214889326</v>
      </c>
      <c r="E20" s="28">
        <v>0</v>
      </c>
      <c r="F20" s="28">
        <v>0</v>
      </c>
      <c r="G20" s="28">
        <v>7.4358108859557301</v>
      </c>
      <c r="H20" s="28">
        <v>0</v>
      </c>
      <c r="I20" s="28">
        <v>35.32010170828972</v>
      </c>
      <c r="J20" s="28">
        <v>1384.9197775092548</v>
      </c>
      <c r="K20" s="28">
        <v>1.8589527214889325</v>
      </c>
      <c r="L20" s="28">
        <v>33.461148986800787</v>
      </c>
      <c r="M20" s="28">
        <v>18.589527214889326</v>
      </c>
      <c r="N20" s="28">
        <v>0</v>
      </c>
      <c r="O20" s="28">
        <v>1500.1748462415687</v>
      </c>
      <c r="P20" s="27" t="s">
        <v>100</v>
      </c>
      <c r="Q20" s="28" t="s">
        <v>28</v>
      </c>
      <c r="R20" s="28">
        <v>1431.3935955464781</v>
      </c>
      <c r="S20" s="28">
        <v>63.204392530623707</v>
      </c>
      <c r="T20" s="28">
        <v>5.5768581644667981</v>
      </c>
      <c r="U20" s="28">
        <v>0</v>
      </c>
      <c r="V20" s="28">
        <v>1500.1748462415685</v>
      </c>
    </row>
    <row r="21" spans="1:22" ht="11.4" customHeight="1" x14ac:dyDescent="0.2">
      <c r="A21" s="27" t="s">
        <v>108</v>
      </c>
      <c r="B21" s="28" t="s">
        <v>36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200.76689392080473</v>
      </c>
      <c r="K21" s="28">
        <v>0</v>
      </c>
      <c r="L21" s="28">
        <v>22.307432657867192</v>
      </c>
      <c r="M21" s="28">
        <v>29.743243543822921</v>
      </c>
      <c r="N21" s="28">
        <v>0</v>
      </c>
      <c r="O21" s="28">
        <v>252.81757012249486</v>
      </c>
      <c r="P21" s="27" t="s">
        <v>108</v>
      </c>
      <c r="Q21" s="28" t="s">
        <v>36</v>
      </c>
      <c r="R21" s="28">
        <v>239.80490107207231</v>
      </c>
      <c r="S21" s="28">
        <v>11.153716328933596</v>
      </c>
      <c r="T21" s="28">
        <v>1.8589527214889325</v>
      </c>
      <c r="U21" s="28">
        <v>0</v>
      </c>
      <c r="V21" s="28">
        <v>252.81757012249483</v>
      </c>
    </row>
    <row r="22" spans="1:22" ht="11.4" customHeight="1" x14ac:dyDescent="0.2">
      <c r="A22" s="27" t="s">
        <v>104</v>
      </c>
      <c r="B22" s="28" t="s">
        <v>32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198.90794119931579</v>
      </c>
      <c r="K22" s="28">
        <v>5.5768581644667981</v>
      </c>
      <c r="L22" s="28">
        <v>52.050676201690109</v>
      </c>
      <c r="M22" s="28">
        <v>53.909628923179042</v>
      </c>
      <c r="N22" s="28">
        <v>7.4358108859557301</v>
      </c>
      <c r="O22" s="28">
        <v>317.88091537460747</v>
      </c>
      <c r="P22" s="27" t="s">
        <v>104</v>
      </c>
      <c r="Q22" s="28" t="s">
        <v>32</v>
      </c>
      <c r="R22" s="28">
        <v>232.36909018611658</v>
      </c>
      <c r="S22" s="28">
        <v>78.076014302535171</v>
      </c>
      <c r="T22" s="28">
        <v>7.4358108859557301</v>
      </c>
      <c r="U22" s="28">
        <v>0</v>
      </c>
      <c r="V22" s="28">
        <v>317.88091537460747</v>
      </c>
    </row>
    <row r="23" spans="1:22" ht="11.4" customHeight="1" x14ac:dyDescent="0.2">
      <c r="A23" s="27" t="s">
        <v>105</v>
      </c>
      <c r="B23" s="28" t="s">
        <v>33</v>
      </c>
      <c r="C23" s="28">
        <v>0</v>
      </c>
      <c r="D23" s="28">
        <v>57.627534366156908</v>
      </c>
      <c r="E23" s="28">
        <v>1.8589527214889325</v>
      </c>
      <c r="F23" s="28">
        <v>3.7179054429778651</v>
      </c>
      <c r="G23" s="28">
        <v>42.755912594245451</v>
      </c>
      <c r="H23" s="28">
        <v>0</v>
      </c>
      <c r="I23" s="28">
        <v>3.7179054429778651</v>
      </c>
      <c r="J23" s="28">
        <v>105.96030512486915</v>
      </c>
      <c r="K23" s="28">
        <v>0</v>
      </c>
      <c r="L23" s="28">
        <v>66.922297973601573</v>
      </c>
      <c r="M23" s="28">
        <v>26.025338100845055</v>
      </c>
      <c r="N23" s="28">
        <v>0</v>
      </c>
      <c r="O23" s="28">
        <v>308.58615176716279</v>
      </c>
      <c r="P23" s="27" t="s">
        <v>105</v>
      </c>
      <c r="Q23" s="28" t="s">
        <v>33</v>
      </c>
      <c r="R23" s="28">
        <v>254.67652284398378</v>
      </c>
      <c r="S23" s="28">
        <v>53.909628923179042</v>
      </c>
      <c r="T23" s="28">
        <v>0</v>
      </c>
      <c r="U23" s="28">
        <v>0</v>
      </c>
      <c r="V23" s="28">
        <v>308.58615176716285</v>
      </c>
    </row>
    <row r="24" spans="1:22" ht="11.4" customHeight="1" x14ac:dyDescent="0.2">
      <c r="A24" s="27" t="s">
        <v>109</v>
      </c>
      <c r="B24" s="28" t="s">
        <v>37</v>
      </c>
      <c r="C24" s="28">
        <v>0</v>
      </c>
      <c r="D24" s="28">
        <v>0</v>
      </c>
      <c r="E24" s="28">
        <v>0</v>
      </c>
      <c r="F24" s="28">
        <v>35.32010170828972</v>
      </c>
      <c r="G24" s="28">
        <v>37.179054429778652</v>
      </c>
      <c r="H24" s="28">
        <v>0</v>
      </c>
      <c r="I24" s="28">
        <v>11.153716328933596</v>
      </c>
      <c r="J24" s="28">
        <v>353.20101708289718</v>
      </c>
      <c r="K24" s="28">
        <v>1.8589527214889325</v>
      </c>
      <c r="L24" s="28">
        <v>18.589527214889326</v>
      </c>
      <c r="M24" s="28">
        <v>33.461148986800787</v>
      </c>
      <c r="N24" s="28">
        <v>0</v>
      </c>
      <c r="O24" s="28">
        <v>490.76351847307814</v>
      </c>
      <c r="P24" s="27" t="s">
        <v>109</v>
      </c>
      <c r="Q24" s="28" t="s">
        <v>37</v>
      </c>
      <c r="R24" s="28">
        <v>301.15034088120706</v>
      </c>
      <c r="S24" s="28">
        <v>187.75422487038219</v>
      </c>
      <c r="T24" s="28">
        <v>1.8589527214889325</v>
      </c>
      <c r="U24" s="28">
        <v>0</v>
      </c>
      <c r="V24" s="28">
        <v>490.76351847307819</v>
      </c>
    </row>
    <row r="25" spans="1:22" ht="11.4" customHeight="1" x14ac:dyDescent="0.2">
      <c r="A25" s="27" t="s">
        <v>96</v>
      </c>
      <c r="B25" s="28" t="s">
        <v>24</v>
      </c>
      <c r="C25" s="28">
        <v>0</v>
      </c>
      <c r="D25" s="28">
        <v>14.87162177191146</v>
      </c>
      <c r="E25" s="28">
        <v>0</v>
      </c>
      <c r="F25" s="28">
        <v>81.793919745513037</v>
      </c>
      <c r="G25" s="28">
        <v>29.743243543822921</v>
      </c>
      <c r="H25" s="28">
        <v>0</v>
      </c>
      <c r="I25" s="28">
        <v>239.80490107207231</v>
      </c>
      <c r="J25" s="28">
        <v>464.73818037223316</v>
      </c>
      <c r="K25" s="28">
        <v>18.589527214889326</v>
      </c>
      <c r="L25" s="28">
        <v>16.730574493400393</v>
      </c>
      <c r="M25" s="28">
        <v>50.191723480201183</v>
      </c>
      <c r="N25" s="28">
        <v>0</v>
      </c>
      <c r="O25" s="28">
        <v>916.46369169404375</v>
      </c>
      <c r="P25" s="27" t="s">
        <v>96</v>
      </c>
      <c r="Q25" s="28" t="s">
        <v>24</v>
      </c>
      <c r="R25" s="28">
        <v>825.37500834108607</v>
      </c>
      <c r="S25" s="28">
        <v>91.088683352957702</v>
      </c>
      <c r="T25" s="28">
        <v>0</v>
      </c>
      <c r="U25" s="28">
        <v>0</v>
      </c>
      <c r="V25" s="28">
        <v>916.46369169404375</v>
      </c>
    </row>
    <row r="26" spans="1:22" ht="11.4" customHeight="1" x14ac:dyDescent="0.2">
      <c r="A26" s="27" t="s">
        <v>120</v>
      </c>
      <c r="B26" s="28" t="s">
        <v>48</v>
      </c>
      <c r="C26" s="28">
        <v>13.012669050422527</v>
      </c>
      <c r="D26" s="28">
        <v>5.5768581644667981</v>
      </c>
      <c r="E26" s="28">
        <v>22.307432657867192</v>
      </c>
      <c r="F26" s="28">
        <v>76.217061581046238</v>
      </c>
      <c r="G26" s="28">
        <v>13.012669050422527</v>
      </c>
      <c r="H26" s="28">
        <v>0</v>
      </c>
      <c r="I26" s="28">
        <v>288.13767183078454</v>
      </c>
      <c r="J26" s="28">
        <v>433.13598410692128</v>
      </c>
      <c r="K26" s="28">
        <v>137.56250139018101</v>
      </c>
      <c r="L26" s="28">
        <v>98.524494238913434</v>
      </c>
      <c r="M26" s="28">
        <v>44.614865315734384</v>
      </c>
      <c r="N26" s="28">
        <v>20.448479936378259</v>
      </c>
      <c r="O26" s="28">
        <v>1152.5506873231382</v>
      </c>
      <c r="P26" s="27" t="s">
        <v>120</v>
      </c>
      <c r="Q26" s="28" t="s">
        <v>48</v>
      </c>
      <c r="R26" s="28">
        <v>711.97889233026115</v>
      </c>
      <c r="S26" s="28">
        <v>332.75253714651893</v>
      </c>
      <c r="T26" s="28">
        <v>100.38344696040237</v>
      </c>
      <c r="U26" s="28">
        <v>7.4358108859557301</v>
      </c>
      <c r="V26" s="28">
        <v>1152.5506873231382</v>
      </c>
    </row>
    <row r="27" spans="1:22" ht="11.4" customHeight="1" x14ac:dyDescent="0.2">
      <c r="A27" s="27" t="s">
        <v>102</v>
      </c>
      <c r="B27" s="28" t="s">
        <v>30</v>
      </c>
      <c r="C27" s="28">
        <v>5.5768581644667981</v>
      </c>
      <c r="D27" s="28">
        <v>26.025338100845055</v>
      </c>
      <c r="E27" s="28">
        <v>16.730574493400393</v>
      </c>
      <c r="F27" s="28">
        <v>61.345439809134774</v>
      </c>
      <c r="G27" s="28">
        <v>11.153716328933596</v>
      </c>
      <c r="H27" s="28">
        <v>1.8589527214889325</v>
      </c>
      <c r="I27" s="28">
        <v>117.11402145380275</v>
      </c>
      <c r="J27" s="28">
        <v>2050.4248518022928</v>
      </c>
      <c r="K27" s="28">
        <v>124.54983233975848</v>
      </c>
      <c r="L27" s="28">
        <v>27.884290822333988</v>
      </c>
      <c r="M27" s="28">
        <v>232.36909018611658</v>
      </c>
      <c r="N27" s="28">
        <v>7.4358108859557301</v>
      </c>
      <c r="O27" s="28">
        <v>2682.4687771085296</v>
      </c>
      <c r="P27" s="27" t="s">
        <v>102</v>
      </c>
      <c r="Q27" s="28" t="s">
        <v>30</v>
      </c>
      <c r="R27" s="28">
        <v>1905.4265395261559</v>
      </c>
      <c r="S27" s="28">
        <v>711.97889233026115</v>
      </c>
      <c r="T27" s="28">
        <v>52.050676201690109</v>
      </c>
      <c r="U27" s="28">
        <v>13.012669050422527</v>
      </c>
      <c r="V27" s="28">
        <v>2682.46877710853</v>
      </c>
    </row>
    <row r="28" spans="1:22" ht="11.4" customHeight="1" x14ac:dyDescent="0.2">
      <c r="A28" s="27" t="s">
        <v>98</v>
      </c>
      <c r="B28" s="28" t="s">
        <v>26</v>
      </c>
      <c r="C28" s="28">
        <v>40.896959872756518</v>
      </c>
      <c r="D28" s="28">
        <v>161.72888676953713</v>
      </c>
      <c r="E28" s="28">
        <v>5.5768581644667981</v>
      </c>
      <c r="F28" s="28">
        <v>42.755912594245451</v>
      </c>
      <c r="G28" s="28">
        <v>48.33277075871225</v>
      </c>
      <c r="H28" s="28">
        <v>0</v>
      </c>
      <c r="I28" s="28">
        <v>59.486487087645841</v>
      </c>
      <c r="J28" s="28">
        <v>171.02365037698181</v>
      </c>
      <c r="K28" s="28">
        <v>76.217061581046238</v>
      </c>
      <c r="L28" s="28">
        <v>161.72888676953713</v>
      </c>
      <c r="M28" s="28">
        <v>141.28040683315888</v>
      </c>
      <c r="N28" s="28">
        <v>46.473818037223317</v>
      </c>
      <c r="O28" s="28">
        <v>955.50169884531124</v>
      </c>
      <c r="P28" s="27" t="s">
        <v>98</v>
      </c>
      <c r="Q28" s="28" t="s">
        <v>26</v>
      </c>
      <c r="R28" s="28">
        <v>382.94426062672011</v>
      </c>
      <c r="S28" s="28">
        <v>420.12331505649877</v>
      </c>
      <c r="T28" s="28">
        <v>148.71621771911461</v>
      </c>
      <c r="U28" s="28">
        <v>3.7179054429778651</v>
      </c>
      <c r="V28" s="28">
        <v>955.50169884531135</v>
      </c>
    </row>
    <row r="29" spans="1:22" ht="11.4" customHeight="1" x14ac:dyDescent="0.2">
      <c r="A29" s="27" t="s">
        <v>93</v>
      </c>
      <c r="B29" s="28" t="s">
        <v>21</v>
      </c>
      <c r="C29" s="28">
        <v>3.7179054429778651</v>
      </c>
      <c r="D29" s="28">
        <v>22.307432657867192</v>
      </c>
      <c r="E29" s="28">
        <v>0</v>
      </c>
      <c r="F29" s="28">
        <v>50.191723480201183</v>
      </c>
      <c r="G29" s="28">
        <v>0</v>
      </c>
      <c r="H29" s="28">
        <v>0</v>
      </c>
      <c r="I29" s="28">
        <v>85.511825188490903</v>
      </c>
      <c r="J29" s="28">
        <v>230.51013746462763</v>
      </c>
      <c r="K29" s="28">
        <v>68.781250695090506</v>
      </c>
      <c r="L29" s="28">
        <v>35.32010170828972</v>
      </c>
      <c r="M29" s="28">
        <v>9.2947636074446631</v>
      </c>
      <c r="N29" s="28">
        <v>5.5768581644667981</v>
      </c>
      <c r="O29" s="28">
        <v>511.21199840945644</v>
      </c>
      <c r="P29" s="27" t="s">
        <v>93</v>
      </c>
      <c r="Q29" s="28" t="s">
        <v>21</v>
      </c>
      <c r="R29" s="28">
        <v>462.87922765074421</v>
      </c>
      <c r="S29" s="28">
        <v>44.614865315734384</v>
      </c>
      <c r="T29" s="28">
        <v>3.7179054429778651</v>
      </c>
      <c r="U29" s="28">
        <v>0</v>
      </c>
      <c r="V29" s="28">
        <v>511.21199840945644</v>
      </c>
    </row>
    <row r="30" spans="1:22" ht="11.4" customHeight="1" x14ac:dyDescent="0.2">
      <c r="A30" s="27" t="s">
        <v>115</v>
      </c>
      <c r="B30" s="28" t="s">
        <v>43</v>
      </c>
      <c r="C30" s="28">
        <v>55.768581644667975</v>
      </c>
      <c r="D30" s="28">
        <v>24.166385379356125</v>
      </c>
      <c r="E30" s="28">
        <v>18.589527214889326</v>
      </c>
      <c r="F30" s="28">
        <v>321.59882081758536</v>
      </c>
      <c r="G30" s="28">
        <v>24.166385379356125</v>
      </c>
      <c r="H30" s="28">
        <v>0</v>
      </c>
      <c r="I30" s="28">
        <v>74.358108859557305</v>
      </c>
      <c r="J30" s="28">
        <v>663.64612157154886</v>
      </c>
      <c r="K30" s="28">
        <v>50.191723480201183</v>
      </c>
      <c r="L30" s="28">
        <v>50.191723480201183</v>
      </c>
      <c r="M30" s="28">
        <v>27.884290822333988</v>
      </c>
      <c r="N30" s="28">
        <v>14.87162177191146</v>
      </c>
      <c r="O30" s="28">
        <v>1325.4332904216089</v>
      </c>
      <c r="P30" s="27" t="s">
        <v>115</v>
      </c>
      <c r="Q30" s="28" t="s">
        <v>43</v>
      </c>
      <c r="R30" s="28">
        <v>769.60642669641811</v>
      </c>
      <c r="S30" s="28">
        <v>488.90456575158925</v>
      </c>
      <c r="T30" s="28">
        <v>66.922297973601573</v>
      </c>
      <c r="U30" s="28">
        <v>0</v>
      </c>
      <c r="V30" s="28">
        <v>1325.4332904216089</v>
      </c>
    </row>
    <row r="31" spans="1:22" ht="11.4" customHeight="1" x14ac:dyDescent="0.2">
      <c r="A31" s="27" t="s">
        <v>111</v>
      </c>
      <c r="B31" s="28" t="s">
        <v>39</v>
      </c>
      <c r="C31" s="28">
        <v>20.448479936378259</v>
      </c>
      <c r="D31" s="28">
        <v>24.166385379356125</v>
      </c>
      <c r="E31" s="28">
        <v>1.8589527214889325</v>
      </c>
      <c r="F31" s="28">
        <v>215.63851569271617</v>
      </c>
      <c r="G31" s="28">
        <v>1.8589527214889325</v>
      </c>
      <c r="H31" s="28">
        <v>0</v>
      </c>
      <c r="I31" s="28">
        <v>27.884290822333988</v>
      </c>
      <c r="J31" s="28">
        <v>897.87416447915439</v>
      </c>
      <c r="K31" s="28">
        <v>236.08699562909445</v>
      </c>
      <c r="L31" s="28">
        <v>100.38344696040237</v>
      </c>
      <c r="M31" s="28">
        <v>33.461148986800787</v>
      </c>
      <c r="N31" s="28">
        <v>44.614865315734384</v>
      </c>
      <c r="O31" s="28">
        <v>1604.2761986449486</v>
      </c>
      <c r="P31" s="27" t="s">
        <v>111</v>
      </c>
      <c r="Q31" s="28" t="s">
        <v>39</v>
      </c>
      <c r="R31" s="28">
        <v>1468.5726499762566</v>
      </c>
      <c r="S31" s="28">
        <v>131.98564322571423</v>
      </c>
      <c r="T31" s="28">
        <v>0</v>
      </c>
      <c r="U31" s="28">
        <v>3.7179054429778651</v>
      </c>
      <c r="V31" s="28">
        <v>1604.2761986449486</v>
      </c>
    </row>
    <row r="32" spans="1:22" ht="11.4" customHeight="1" x14ac:dyDescent="0.2">
      <c r="A32" s="27" t="s">
        <v>118</v>
      </c>
      <c r="B32" s="28" t="s">
        <v>46</v>
      </c>
      <c r="C32" s="28">
        <v>11.153716328933596</v>
      </c>
      <c r="D32" s="28">
        <v>0</v>
      </c>
      <c r="E32" s="28">
        <v>3.7179054429778651</v>
      </c>
      <c r="F32" s="28">
        <v>5.5768581644667981</v>
      </c>
      <c r="G32" s="28">
        <v>7.4358108859557301</v>
      </c>
      <c r="H32" s="28">
        <v>0</v>
      </c>
      <c r="I32" s="28">
        <v>0</v>
      </c>
      <c r="J32" s="28">
        <v>0</v>
      </c>
      <c r="K32" s="28">
        <v>7.4358108859557301</v>
      </c>
      <c r="L32" s="28">
        <v>50.191723480201183</v>
      </c>
      <c r="M32" s="28">
        <v>14.87162177191146</v>
      </c>
      <c r="N32" s="28">
        <v>1.8589527214889325</v>
      </c>
      <c r="O32" s="28">
        <v>102.2423996818913</v>
      </c>
      <c r="P32" s="27" t="s">
        <v>118</v>
      </c>
      <c r="Q32" s="28" t="s">
        <v>46</v>
      </c>
      <c r="R32" s="28">
        <v>53.909628923179042</v>
      </c>
      <c r="S32" s="28">
        <v>39.038007151267585</v>
      </c>
      <c r="T32" s="28">
        <v>0</v>
      </c>
      <c r="U32" s="28">
        <v>9.2947636074446631</v>
      </c>
      <c r="V32" s="28">
        <v>102.24239968189129</v>
      </c>
    </row>
    <row r="33" spans="1:22" ht="11.4" customHeight="1" x14ac:dyDescent="0.2">
      <c r="A33" s="27" t="s">
        <v>124</v>
      </c>
      <c r="B33" s="28" t="s">
        <v>52</v>
      </c>
      <c r="C33" s="28">
        <v>0</v>
      </c>
      <c r="D33" s="28">
        <v>24.166385379356125</v>
      </c>
      <c r="E33" s="28">
        <v>0</v>
      </c>
      <c r="F33" s="28">
        <v>53.909628923179042</v>
      </c>
      <c r="G33" s="28">
        <v>57.627534366156908</v>
      </c>
      <c r="H33" s="28">
        <v>1.8589527214889325</v>
      </c>
      <c r="I33" s="28">
        <v>1.8589527214889325</v>
      </c>
      <c r="J33" s="28">
        <v>316.02196265311852</v>
      </c>
      <c r="K33" s="28">
        <v>0</v>
      </c>
      <c r="L33" s="28">
        <v>50.191723480201183</v>
      </c>
      <c r="M33" s="28">
        <v>35.32010170828972</v>
      </c>
      <c r="N33" s="28">
        <v>11.153716328933596</v>
      </c>
      <c r="O33" s="28">
        <v>552.10895828221294</v>
      </c>
      <c r="P33" s="27" t="s">
        <v>124</v>
      </c>
      <c r="Q33" s="28" t="s">
        <v>52</v>
      </c>
      <c r="R33" s="28">
        <v>487.04561303010036</v>
      </c>
      <c r="S33" s="28">
        <v>27.884290822333988</v>
      </c>
      <c r="T33" s="28">
        <v>31.602196265311854</v>
      </c>
      <c r="U33" s="28">
        <v>5.5768581644667981</v>
      </c>
      <c r="V33" s="28">
        <v>552.10895828221294</v>
      </c>
    </row>
    <row r="34" spans="1:22" ht="11.4" customHeight="1" x14ac:dyDescent="0.2">
      <c r="A34" s="27" t="s">
        <v>123</v>
      </c>
      <c r="B34" s="28" t="s">
        <v>51</v>
      </c>
      <c r="C34" s="28">
        <v>0</v>
      </c>
      <c r="D34" s="28">
        <v>16.730574493400393</v>
      </c>
      <c r="E34" s="28">
        <v>0</v>
      </c>
      <c r="F34" s="28">
        <v>29.743243543822921</v>
      </c>
      <c r="G34" s="28">
        <v>0</v>
      </c>
      <c r="H34" s="28">
        <v>0</v>
      </c>
      <c r="I34" s="28">
        <v>5.5768581644667981</v>
      </c>
      <c r="J34" s="28">
        <v>224.93327930016085</v>
      </c>
      <c r="K34" s="28">
        <v>9.2947636074446631</v>
      </c>
      <c r="L34" s="28">
        <v>81.793919745513037</v>
      </c>
      <c r="M34" s="28">
        <v>3.7179054429778651</v>
      </c>
      <c r="N34" s="28">
        <v>0</v>
      </c>
      <c r="O34" s="28">
        <v>371.79054429778654</v>
      </c>
      <c r="P34" s="27" t="s">
        <v>123</v>
      </c>
      <c r="Q34" s="28" t="s">
        <v>51</v>
      </c>
      <c r="R34" s="28">
        <v>193.331083034849</v>
      </c>
      <c r="S34" s="28">
        <v>171.02365037698181</v>
      </c>
      <c r="T34" s="28">
        <v>0</v>
      </c>
      <c r="U34" s="28">
        <v>7.4358108859557301</v>
      </c>
      <c r="V34" s="28">
        <v>371.79054429778654</v>
      </c>
    </row>
    <row r="35" spans="1:22" ht="11.4" customHeight="1" x14ac:dyDescent="0.2">
      <c r="A35" s="27" t="s">
        <v>126</v>
      </c>
      <c r="B35" s="28" t="s">
        <v>54</v>
      </c>
      <c r="C35" s="28">
        <v>0</v>
      </c>
      <c r="D35" s="28">
        <v>16.730574493400393</v>
      </c>
      <c r="E35" s="28">
        <v>0</v>
      </c>
      <c r="F35" s="28">
        <v>3.7179054429778651</v>
      </c>
      <c r="G35" s="28">
        <v>0</v>
      </c>
      <c r="H35" s="28">
        <v>0</v>
      </c>
      <c r="I35" s="28">
        <v>5.5768581644667981</v>
      </c>
      <c r="J35" s="28">
        <v>42.755912594245451</v>
      </c>
      <c r="K35" s="28">
        <v>0</v>
      </c>
      <c r="L35" s="28">
        <v>14.87162177191146</v>
      </c>
      <c r="M35" s="28">
        <v>1.8589527214889325</v>
      </c>
      <c r="N35" s="28">
        <v>0</v>
      </c>
      <c r="O35" s="28">
        <v>85.511825188490903</v>
      </c>
      <c r="P35" s="27" t="s">
        <v>126</v>
      </c>
      <c r="Q35" s="28" t="s">
        <v>54</v>
      </c>
      <c r="R35" s="28">
        <v>83.65287246700197</v>
      </c>
      <c r="S35" s="28">
        <v>1.8589527214889325</v>
      </c>
      <c r="T35" s="28">
        <v>0</v>
      </c>
      <c r="U35" s="28">
        <v>0</v>
      </c>
      <c r="V35" s="28">
        <v>85.511825188490903</v>
      </c>
    </row>
    <row r="36" spans="1:22" ht="11.4" customHeight="1" x14ac:dyDescent="0.2">
      <c r="A36" s="27" t="s">
        <v>129</v>
      </c>
      <c r="B36" s="28" t="s">
        <v>57</v>
      </c>
      <c r="C36" s="28">
        <v>24.166385379356125</v>
      </c>
      <c r="D36" s="28">
        <v>53.909628923179042</v>
      </c>
      <c r="E36" s="28">
        <v>24.166385379356125</v>
      </c>
      <c r="F36" s="28">
        <v>16.730574493400393</v>
      </c>
      <c r="G36" s="28">
        <v>22.307432657867192</v>
      </c>
      <c r="H36" s="28">
        <v>0</v>
      </c>
      <c r="I36" s="28">
        <v>46.473818037223317</v>
      </c>
      <c r="J36" s="28">
        <v>797.49071751875204</v>
      </c>
      <c r="K36" s="28">
        <v>55.768581644667975</v>
      </c>
      <c r="L36" s="28">
        <v>174.74155581995967</v>
      </c>
      <c r="M36" s="28">
        <v>66.922297973601573</v>
      </c>
      <c r="N36" s="28">
        <v>16.730574493400393</v>
      </c>
      <c r="O36" s="28">
        <v>1299.4079523207638</v>
      </c>
      <c r="P36" s="27" t="s">
        <v>129</v>
      </c>
      <c r="Q36" s="28" t="s">
        <v>57</v>
      </c>
      <c r="R36" s="28">
        <v>1146.9738291586714</v>
      </c>
      <c r="S36" s="28">
        <v>91.088683352957702</v>
      </c>
      <c r="T36" s="28">
        <v>35.32010170828972</v>
      </c>
      <c r="U36" s="28">
        <v>26.025338100845055</v>
      </c>
      <c r="V36" s="28">
        <v>1299.407952320764</v>
      </c>
    </row>
    <row r="37" spans="1:22" ht="11.4" customHeight="1" x14ac:dyDescent="0.2">
      <c r="A37" s="27" t="s">
        <v>128</v>
      </c>
      <c r="B37" s="28" t="s">
        <v>56</v>
      </c>
      <c r="C37" s="28">
        <v>24.166385379356125</v>
      </c>
      <c r="D37" s="28">
        <v>20.448479936378259</v>
      </c>
      <c r="E37" s="28">
        <v>3.7179054429778651</v>
      </c>
      <c r="F37" s="28">
        <v>59.486487087645841</v>
      </c>
      <c r="G37" s="28">
        <v>1.8589527214889325</v>
      </c>
      <c r="H37" s="28">
        <v>1.8589527214889325</v>
      </c>
      <c r="I37" s="28">
        <v>104.10135240338022</v>
      </c>
      <c r="J37" s="28">
        <v>490.76351847307819</v>
      </c>
      <c r="K37" s="28">
        <v>156.15202860507034</v>
      </c>
      <c r="L37" s="28">
        <v>208.20270480676044</v>
      </c>
      <c r="M37" s="28">
        <v>66.922297973601573</v>
      </c>
      <c r="N37" s="28">
        <v>33.461148986800787</v>
      </c>
      <c r="O37" s="28">
        <v>1171.1402145380275</v>
      </c>
      <c r="P37" s="27" t="s">
        <v>128</v>
      </c>
      <c r="Q37" s="28" t="s">
        <v>56</v>
      </c>
      <c r="R37" s="28">
        <v>836.52872467001964</v>
      </c>
      <c r="S37" s="28">
        <v>284.4197663878067</v>
      </c>
      <c r="T37" s="28">
        <v>48.33277075871225</v>
      </c>
      <c r="U37" s="28">
        <v>1.8589527214889325</v>
      </c>
      <c r="V37" s="28">
        <v>1171.1402145380275</v>
      </c>
    </row>
    <row r="38" spans="1:22" ht="11.4" customHeight="1" x14ac:dyDescent="0.2">
      <c r="A38" s="27" t="s">
        <v>127</v>
      </c>
      <c r="B38" s="28" t="s">
        <v>55</v>
      </c>
      <c r="C38" s="28">
        <v>0</v>
      </c>
      <c r="D38" s="28">
        <v>0</v>
      </c>
      <c r="E38" s="28">
        <v>0</v>
      </c>
      <c r="F38" s="28">
        <v>5.5768581644667981</v>
      </c>
      <c r="G38" s="28">
        <v>0</v>
      </c>
      <c r="H38" s="28">
        <v>0</v>
      </c>
      <c r="I38" s="28">
        <v>9.2947636074446631</v>
      </c>
      <c r="J38" s="28">
        <v>217.49746841420512</v>
      </c>
      <c r="K38" s="28">
        <v>0</v>
      </c>
      <c r="L38" s="28">
        <v>26.025338100845055</v>
      </c>
      <c r="M38" s="28">
        <v>0</v>
      </c>
      <c r="N38" s="28">
        <v>0</v>
      </c>
      <c r="O38" s="28">
        <v>258.39442828696161</v>
      </c>
      <c r="P38" s="27" t="s">
        <v>127</v>
      </c>
      <c r="Q38" s="28" t="s">
        <v>55</v>
      </c>
      <c r="R38" s="28">
        <v>237.94594835058336</v>
      </c>
      <c r="S38" s="28">
        <v>20.448479936378259</v>
      </c>
      <c r="T38" s="28">
        <v>0</v>
      </c>
      <c r="U38" s="28">
        <v>0</v>
      </c>
      <c r="V38" s="28">
        <v>258.39442828696161</v>
      </c>
    </row>
    <row r="39" spans="1:22" ht="11.4" customHeight="1" x14ac:dyDescent="0.2">
      <c r="A39" s="27" t="s">
        <v>125</v>
      </c>
      <c r="B39" s="28" t="s">
        <v>53</v>
      </c>
      <c r="C39" s="28">
        <v>0</v>
      </c>
      <c r="D39" s="28">
        <v>46.473818037223317</v>
      </c>
      <c r="E39" s="28">
        <v>0</v>
      </c>
      <c r="F39" s="28">
        <v>20.448479936378259</v>
      </c>
      <c r="G39" s="28">
        <v>22.307432657867192</v>
      </c>
      <c r="H39" s="28">
        <v>0</v>
      </c>
      <c r="I39" s="28">
        <v>0</v>
      </c>
      <c r="J39" s="28">
        <v>178.45946126293754</v>
      </c>
      <c r="K39" s="28">
        <v>3.7179054429778651</v>
      </c>
      <c r="L39" s="28">
        <v>14.87162177191146</v>
      </c>
      <c r="M39" s="28">
        <v>40.896959872756518</v>
      </c>
      <c r="N39" s="28">
        <v>0</v>
      </c>
      <c r="O39" s="28">
        <v>327.17567898205209</v>
      </c>
      <c r="P39" s="27" t="s">
        <v>125</v>
      </c>
      <c r="Q39" s="28" t="s">
        <v>53</v>
      </c>
      <c r="R39" s="28">
        <v>278.84290822333986</v>
      </c>
      <c r="S39" s="28">
        <v>48.33277075871225</v>
      </c>
      <c r="T39" s="28">
        <v>0</v>
      </c>
      <c r="U39" s="28">
        <v>0</v>
      </c>
      <c r="V39" s="28">
        <v>327.17567898205209</v>
      </c>
    </row>
    <row r="40" spans="1:22" ht="11.4" customHeight="1" x14ac:dyDescent="0.2">
      <c r="A40" s="27" t="s">
        <v>130</v>
      </c>
      <c r="B40" s="28" t="s">
        <v>58</v>
      </c>
      <c r="C40" s="28">
        <v>0</v>
      </c>
      <c r="D40" s="28">
        <v>3.7179054429778651</v>
      </c>
      <c r="E40" s="28">
        <v>1.8589527214889325</v>
      </c>
      <c r="F40" s="28">
        <v>3.7179054429778651</v>
      </c>
      <c r="G40" s="28">
        <v>1.8589527214889325</v>
      </c>
      <c r="H40" s="28">
        <v>0</v>
      </c>
      <c r="I40" s="28">
        <v>57.627534366156908</v>
      </c>
      <c r="J40" s="28">
        <v>433.13598410692128</v>
      </c>
      <c r="K40" s="28">
        <v>57.627534366156908</v>
      </c>
      <c r="L40" s="28">
        <v>131.98564322571423</v>
      </c>
      <c r="M40" s="28">
        <v>63.204392530623707</v>
      </c>
      <c r="N40" s="28">
        <v>0</v>
      </c>
      <c r="O40" s="28">
        <v>754.73480492450665</v>
      </c>
      <c r="P40" s="27" t="s">
        <v>130</v>
      </c>
      <c r="Q40" s="28" t="s">
        <v>58</v>
      </c>
      <c r="R40" s="28">
        <v>671.08193245750465</v>
      </c>
      <c r="S40" s="28">
        <v>55.768581644667975</v>
      </c>
      <c r="T40" s="28">
        <v>14.87162177191146</v>
      </c>
      <c r="U40" s="28">
        <v>13.012669050422527</v>
      </c>
      <c r="V40" s="28">
        <v>754.73480492450665</v>
      </c>
    </row>
    <row r="41" spans="1:22" ht="11.4" customHeight="1" x14ac:dyDescent="0.2">
      <c r="A41" s="27" t="s">
        <v>122</v>
      </c>
      <c r="B41" s="28" t="s">
        <v>50</v>
      </c>
      <c r="C41" s="28">
        <v>0</v>
      </c>
      <c r="D41" s="28">
        <v>9.2947636074446631</v>
      </c>
      <c r="E41" s="28">
        <v>0</v>
      </c>
      <c r="F41" s="28">
        <v>1.8589527214889325</v>
      </c>
      <c r="G41" s="28">
        <v>3.7179054429778651</v>
      </c>
      <c r="H41" s="28">
        <v>0</v>
      </c>
      <c r="I41" s="28">
        <v>0</v>
      </c>
      <c r="J41" s="28">
        <v>187.75422487038219</v>
      </c>
      <c r="K41" s="28">
        <v>9.2947636074446631</v>
      </c>
      <c r="L41" s="28">
        <v>40.896959872756518</v>
      </c>
      <c r="M41" s="28">
        <v>0</v>
      </c>
      <c r="N41" s="28">
        <v>0</v>
      </c>
      <c r="O41" s="28">
        <v>252.81757012249483</v>
      </c>
      <c r="P41" s="27" t="s">
        <v>122</v>
      </c>
      <c r="Q41" s="28" t="s">
        <v>50</v>
      </c>
      <c r="R41" s="28">
        <v>178.45946126293754</v>
      </c>
      <c r="S41" s="28">
        <v>74.358108859557305</v>
      </c>
      <c r="T41" s="28">
        <v>0</v>
      </c>
      <c r="U41" s="28">
        <v>0</v>
      </c>
      <c r="V41" s="28">
        <v>252.81757012249483</v>
      </c>
    </row>
    <row r="42" spans="1:22" ht="11.4" customHeight="1" x14ac:dyDescent="0.2">
      <c r="A42" s="31"/>
      <c r="B42" s="32" t="s">
        <v>59</v>
      </c>
      <c r="C42" s="28">
        <v>394.09797695565368</v>
      </c>
      <c r="D42" s="28">
        <v>845.82348827746409</v>
      </c>
      <c r="E42" s="28">
        <v>197.04898847782681</v>
      </c>
      <c r="F42" s="28">
        <v>2100.6165752824941</v>
      </c>
      <c r="G42" s="28">
        <v>784.47804846832912</v>
      </c>
      <c r="H42" s="28">
        <v>11.153716328933596</v>
      </c>
      <c r="I42" s="28">
        <v>2468.6892141373028</v>
      </c>
      <c r="J42" s="28">
        <v>19764.385334870323</v>
      </c>
      <c r="K42" s="28">
        <v>1496.4569407985907</v>
      </c>
      <c r="L42" s="28">
        <v>2379.4594835058342</v>
      </c>
      <c r="M42" s="28">
        <v>1689.7880238334394</v>
      </c>
      <c r="N42" s="28">
        <v>288.13767183078454</v>
      </c>
      <c r="O42" s="28">
        <v>32420.13546276699</v>
      </c>
      <c r="P42" s="31"/>
      <c r="Q42" s="32" t="s">
        <v>59</v>
      </c>
      <c r="R42" s="28">
        <v>25740.918334457252</v>
      </c>
      <c r="S42" s="28">
        <v>5749.7407675652676</v>
      </c>
      <c r="T42" s="28">
        <v>743.58108859557296</v>
      </c>
      <c r="U42" s="28">
        <v>185.89527214889321</v>
      </c>
      <c r="V42" s="28">
        <v>32420.135462766986</v>
      </c>
    </row>
    <row r="43" spans="1:22" ht="11.4" customHeight="1" x14ac:dyDescent="0.2">
      <c r="O43" s="63">
        <v>27165.551563379115</v>
      </c>
    </row>
    <row r="47" spans="1:22" ht="11.4" customHeight="1" x14ac:dyDescent="0.2">
      <c r="B47" s="63" t="s">
        <v>385</v>
      </c>
    </row>
    <row r="48" spans="1:22" ht="11.4" customHeight="1" x14ac:dyDescent="0.2">
      <c r="B48" s="63" t="s">
        <v>386</v>
      </c>
    </row>
    <row r="51" spans="1:4" ht="11.4" customHeight="1" x14ac:dyDescent="0.25">
      <c r="A51" s="67" t="s">
        <v>0</v>
      </c>
      <c r="B51" s="67" t="s">
        <v>4</v>
      </c>
      <c r="C51" s="33" t="s">
        <v>400</v>
      </c>
      <c r="D51" s="21"/>
    </row>
    <row r="52" spans="1:4" ht="11.4" customHeight="1" x14ac:dyDescent="0.25">
      <c r="A52" s="72">
        <v>1</v>
      </c>
      <c r="B52" s="69" t="s">
        <v>9</v>
      </c>
      <c r="C52" s="34">
        <f>C42</f>
        <v>394.09797695565368</v>
      </c>
      <c r="D52" s="18"/>
    </row>
    <row r="53" spans="1:4" ht="11.4" customHeight="1" x14ac:dyDescent="0.25">
      <c r="A53" s="72">
        <v>2</v>
      </c>
      <c r="B53" s="69" t="s">
        <v>10</v>
      </c>
      <c r="C53" s="34">
        <f>D42</f>
        <v>845.82348827746409</v>
      </c>
      <c r="D53" s="18"/>
    </row>
    <row r="54" spans="1:4" ht="11.4" customHeight="1" x14ac:dyDescent="0.25">
      <c r="A54" s="72">
        <v>3</v>
      </c>
      <c r="B54" s="69" t="s">
        <v>11</v>
      </c>
      <c r="C54" s="34">
        <f>E42</f>
        <v>197.04898847782681</v>
      </c>
      <c r="D54" s="18"/>
    </row>
    <row r="55" spans="1:4" ht="11.4" customHeight="1" x14ac:dyDescent="0.25">
      <c r="A55" s="72">
        <v>4</v>
      </c>
      <c r="B55" s="69" t="s">
        <v>12</v>
      </c>
      <c r="C55" s="34">
        <f>F42</f>
        <v>2100.6165752824941</v>
      </c>
      <c r="D55" s="18"/>
    </row>
    <row r="56" spans="1:4" ht="11.4" customHeight="1" x14ac:dyDescent="0.25">
      <c r="A56" s="72">
        <v>5</v>
      </c>
      <c r="B56" s="69" t="s">
        <v>13</v>
      </c>
      <c r="C56" s="34">
        <f>G42</f>
        <v>784.47804846832912</v>
      </c>
      <c r="D56" s="18"/>
    </row>
    <row r="57" spans="1:4" ht="11.4" customHeight="1" x14ac:dyDescent="0.25">
      <c r="A57" s="72">
        <v>6</v>
      </c>
      <c r="B57" s="69" t="s">
        <v>14</v>
      </c>
      <c r="C57" s="34">
        <f>H42</f>
        <v>11.153716328933596</v>
      </c>
      <c r="D57" s="18"/>
    </row>
    <row r="58" spans="1:4" ht="11.4" customHeight="1" x14ac:dyDescent="0.25">
      <c r="A58" s="72">
        <v>7</v>
      </c>
      <c r="B58" s="69" t="s">
        <v>15</v>
      </c>
      <c r="C58" s="34">
        <f>I42</f>
        <v>2468.6892141373028</v>
      </c>
      <c r="D58" s="18"/>
    </row>
    <row r="59" spans="1:4" ht="11.4" customHeight="1" x14ac:dyDescent="0.25">
      <c r="A59" s="72">
        <v>8</v>
      </c>
      <c r="B59" s="69" t="s">
        <v>19</v>
      </c>
      <c r="C59" s="34">
        <f>J42</f>
        <v>19764.385334870323</v>
      </c>
      <c r="D59" s="18"/>
    </row>
    <row r="60" spans="1:4" ht="11.4" customHeight="1" x14ac:dyDescent="0.25">
      <c r="A60" s="72">
        <v>9</v>
      </c>
      <c r="B60" s="69" t="s">
        <v>17</v>
      </c>
      <c r="C60" s="34">
        <f>K42</f>
        <v>1496.4569407985907</v>
      </c>
      <c r="D60" s="18"/>
    </row>
    <row r="61" spans="1:4" ht="11.4" customHeight="1" x14ac:dyDescent="0.25">
      <c r="A61" s="72">
        <v>10</v>
      </c>
      <c r="B61" s="69" t="s">
        <v>18</v>
      </c>
      <c r="C61" s="34">
        <f>L42</f>
        <v>2379.4594835058342</v>
      </c>
      <c r="D61" s="18"/>
    </row>
    <row r="62" spans="1:4" ht="11.4" customHeight="1" x14ac:dyDescent="0.25">
      <c r="A62" s="72">
        <v>11</v>
      </c>
      <c r="B62" s="69" t="s">
        <v>20</v>
      </c>
      <c r="C62" s="34">
        <f>M42</f>
        <v>1689.7880238334394</v>
      </c>
      <c r="D62" s="18"/>
    </row>
    <row r="63" spans="1:4" ht="11.4" customHeight="1" x14ac:dyDescent="0.25">
      <c r="A63" s="72">
        <v>12</v>
      </c>
      <c r="B63" s="69" t="s">
        <v>16</v>
      </c>
      <c r="C63" s="34">
        <f>N42</f>
        <v>288.13767183078454</v>
      </c>
      <c r="D63" s="18"/>
    </row>
    <row r="64" spans="1:4" ht="11.4" customHeight="1" x14ac:dyDescent="0.25">
      <c r="A64" s="72"/>
      <c r="B64" s="69" t="s">
        <v>400</v>
      </c>
      <c r="C64" s="34">
        <f>O42</f>
        <v>32420.13546276699</v>
      </c>
      <c r="D64" s="51">
        <f>SUM(C52:C63)</f>
        <v>32420.135462766979</v>
      </c>
    </row>
    <row r="65" spans="1:4" ht="11.4" customHeight="1" x14ac:dyDescent="0.25">
      <c r="A65" s="71"/>
      <c r="B65" s="66"/>
      <c r="C65" s="36"/>
      <c r="D65" s="18"/>
    </row>
    <row r="66" spans="1:4" ht="11.4" customHeight="1" x14ac:dyDescent="0.25">
      <c r="A66" s="75"/>
      <c r="B66" s="75"/>
      <c r="C66" s="75"/>
      <c r="D66" s="18"/>
    </row>
    <row r="67" spans="1:4" ht="11.4" customHeight="1" x14ac:dyDescent="0.25">
      <c r="A67" s="67" t="s">
        <v>0</v>
      </c>
      <c r="B67" s="67" t="s">
        <v>2</v>
      </c>
      <c r="C67" s="33" t="s">
        <v>400</v>
      </c>
      <c r="D67" s="21"/>
    </row>
    <row r="68" spans="1:4" ht="11.4" customHeight="1" x14ac:dyDescent="0.25">
      <c r="A68" s="72">
        <v>1</v>
      </c>
      <c r="B68" s="69" t="s">
        <v>5</v>
      </c>
      <c r="C68" s="34">
        <f>R42</f>
        <v>25740.918334457252</v>
      </c>
      <c r="D68" s="18"/>
    </row>
    <row r="69" spans="1:4" ht="11.4" customHeight="1" x14ac:dyDescent="0.25">
      <c r="A69" s="72">
        <v>2</v>
      </c>
      <c r="B69" s="69" t="s">
        <v>6</v>
      </c>
      <c r="C69" s="34">
        <f>S42</f>
        <v>5749.7407675652676</v>
      </c>
      <c r="D69" s="18"/>
    </row>
    <row r="70" spans="1:4" ht="11.4" customHeight="1" x14ac:dyDescent="0.25">
      <c r="A70" s="72">
        <v>3</v>
      </c>
      <c r="B70" s="69" t="s">
        <v>7</v>
      </c>
      <c r="C70" s="34">
        <f>T42</f>
        <v>743.58108859557296</v>
      </c>
      <c r="D70" s="18"/>
    </row>
    <row r="71" spans="1:4" ht="11.4" customHeight="1" x14ac:dyDescent="0.25">
      <c r="A71" s="72">
        <v>4</v>
      </c>
      <c r="B71" s="69" t="s">
        <v>8</v>
      </c>
      <c r="C71" s="34">
        <f>U42</f>
        <v>185.89527214889321</v>
      </c>
      <c r="D71" s="18"/>
    </row>
    <row r="72" spans="1:4" ht="11.4" customHeight="1" x14ac:dyDescent="0.25">
      <c r="A72" s="72"/>
      <c r="B72" s="69" t="s">
        <v>400</v>
      </c>
      <c r="C72" s="34">
        <f>V42</f>
        <v>32420.135462766986</v>
      </c>
      <c r="D72" s="51">
        <f>SUM(C68:C71)</f>
        <v>32420.135462766986</v>
      </c>
    </row>
  </sheetData>
  <mergeCells count="10">
    <mergeCell ref="A1:O1"/>
    <mergeCell ref="P1:V1"/>
    <mergeCell ref="A2:A3"/>
    <mergeCell ref="B2:B3"/>
    <mergeCell ref="C2:N2"/>
    <mergeCell ref="O2:O3"/>
    <mergeCell ref="P2:P3"/>
    <mergeCell ref="Q2:Q3"/>
    <mergeCell ref="R2:U2"/>
    <mergeCell ref="V2:V3"/>
  </mergeCells>
  <pageMargins left="0.31496062992125984" right="0" top="0.59055118110236227" bottom="0.39370078740157483" header="0.31496062992125984" footer="0.31496062992125984"/>
  <pageSetup paperSize="9" scale="80" firstPageNumber="204" orientation="landscape" useFirstPageNumber="1" r:id="rId1"/>
  <headerFooter>
    <oddFooter>&amp;C&amp;P</oddFooter>
  </headerFooter>
  <colBreaks count="1" manualBreakCount="1">
    <brk id="1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5B30-AB7E-4B04-A706-C26DDA8635AB}">
  <dimension ref="A1:V72"/>
  <sheetViews>
    <sheetView view="pageBreakPreview" zoomScale="55" zoomScaleNormal="40" zoomScaleSheetLayoutView="55" workbookViewId="0">
      <selection activeCell="J54" sqref="J54"/>
    </sheetView>
  </sheetViews>
  <sheetFormatPr defaultColWidth="19.21875" defaultRowHeight="11.4" customHeight="1" x14ac:dyDescent="0.2"/>
  <cols>
    <col min="1" max="1" width="6" style="64" bestFit="1" customWidth="1"/>
    <col min="2" max="2" width="16" style="63" customWidth="1"/>
    <col min="3" max="4" width="11.6640625" style="63" customWidth="1"/>
    <col min="5" max="15" width="12.109375" style="63" customWidth="1"/>
    <col min="16" max="16" width="6" style="64" bestFit="1" customWidth="1"/>
    <col min="17" max="17" width="44.44140625" style="63" customWidth="1"/>
    <col min="18" max="22" width="14" style="63" customWidth="1"/>
    <col min="23" max="16384" width="19.21875" style="63"/>
  </cols>
  <sheetData>
    <row r="1" spans="1:22" s="58" customFormat="1" ht="23.4" customHeight="1" x14ac:dyDescent="0.2">
      <c r="A1" s="102" t="s">
        <v>387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 t="s">
        <v>388</v>
      </c>
      <c r="Q1" s="102"/>
      <c r="R1" s="102"/>
      <c r="S1" s="102"/>
      <c r="T1" s="102"/>
      <c r="U1" s="102"/>
      <c r="V1" s="102"/>
    </row>
    <row r="2" spans="1:22" s="59" customFormat="1" ht="11.4" customHeight="1" x14ac:dyDescent="0.3">
      <c r="A2" s="103" t="s">
        <v>0</v>
      </c>
      <c r="B2" s="105" t="s">
        <v>1</v>
      </c>
      <c r="C2" s="107" t="s">
        <v>4</v>
      </c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05" t="s">
        <v>3</v>
      </c>
      <c r="P2" s="103" t="s">
        <v>0</v>
      </c>
      <c r="Q2" s="103" t="s">
        <v>1</v>
      </c>
      <c r="R2" s="110" t="s">
        <v>2</v>
      </c>
      <c r="S2" s="111"/>
      <c r="T2" s="111"/>
      <c r="U2" s="112"/>
      <c r="V2" s="103" t="s">
        <v>66</v>
      </c>
    </row>
    <row r="3" spans="1:22" s="59" customFormat="1" ht="43.8" customHeight="1" x14ac:dyDescent="0.3">
      <c r="A3" s="104"/>
      <c r="B3" s="106"/>
      <c r="C3" s="60" t="s">
        <v>9</v>
      </c>
      <c r="D3" s="60" t="s">
        <v>10</v>
      </c>
      <c r="E3" s="60" t="s">
        <v>11</v>
      </c>
      <c r="F3" s="60" t="s">
        <v>12</v>
      </c>
      <c r="G3" s="61" t="s">
        <v>13</v>
      </c>
      <c r="H3" s="61" t="s">
        <v>14</v>
      </c>
      <c r="I3" s="61" t="s">
        <v>131</v>
      </c>
      <c r="J3" s="61" t="s">
        <v>135</v>
      </c>
      <c r="K3" s="61" t="s">
        <v>17</v>
      </c>
      <c r="L3" s="61" t="s">
        <v>281</v>
      </c>
      <c r="M3" s="61" t="s">
        <v>19</v>
      </c>
      <c r="N3" s="61" t="s">
        <v>133</v>
      </c>
      <c r="O3" s="106"/>
      <c r="P3" s="104"/>
      <c r="Q3" s="104"/>
      <c r="R3" s="62" t="s">
        <v>5</v>
      </c>
      <c r="S3" s="62" t="s">
        <v>6</v>
      </c>
      <c r="T3" s="62" t="s">
        <v>7</v>
      </c>
      <c r="U3" s="62" t="s">
        <v>8</v>
      </c>
      <c r="V3" s="104"/>
    </row>
    <row r="4" spans="1:22" ht="11.4" customHeight="1" x14ac:dyDescent="0.2">
      <c r="A4" s="27" t="s">
        <v>110</v>
      </c>
      <c r="B4" s="28" t="s">
        <v>38</v>
      </c>
      <c r="C4" s="28">
        <v>31.602196265311854</v>
      </c>
      <c r="D4" s="28">
        <v>85.511825188490903</v>
      </c>
      <c r="E4" s="28">
        <v>1.8589527214889325</v>
      </c>
      <c r="F4" s="28">
        <v>37.179054429778652</v>
      </c>
      <c r="G4" s="28">
        <v>249.09966467951696</v>
      </c>
      <c r="H4" s="28">
        <v>0</v>
      </c>
      <c r="I4" s="28">
        <v>42.755912594245451</v>
      </c>
      <c r="J4" s="28">
        <v>61.345439809134774</v>
      </c>
      <c r="K4" s="28">
        <v>22.307432657867192</v>
      </c>
      <c r="L4" s="28">
        <v>87.370777909979836</v>
      </c>
      <c r="M4" s="28">
        <v>20.448479936378259</v>
      </c>
      <c r="N4" s="28">
        <v>1.8589527214889325</v>
      </c>
      <c r="O4" s="28">
        <v>641.33868891368161</v>
      </c>
      <c r="P4" s="27" t="s">
        <v>110</v>
      </c>
      <c r="Q4" s="28" t="s">
        <v>38</v>
      </c>
      <c r="R4" s="28">
        <v>607.8775399268809</v>
      </c>
      <c r="S4" s="28">
        <v>31.602196265311854</v>
      </c>
      <c r="T4" s="28">
        <v>1.8589527214889325</v>
      </c>
      <c r="U4" s="28">
        <v>0</v>
      </c>
      <c r="V4" s="28">
        <v>641.33868891368161</v>
      </c>
    </row>
    <row r="5" spans="1:22" ht="11.4" customHeight="1" x14ac:dyDescent="0.2">
      <c r="A5" s="27" t="s">
        <v>113</v>
      </c>
      <c r="B5" s="28" t="s">
        <v>41</v>
      </c>
      <c r="C5" s="28">
        <v>0</v>
      </c>
      <c r="D5" s="28">
        <v>44.614865315734384</v>
      </c>
      <c r="E5" s="28">
        <v>0</v>
      </c>
      <c r="F5" s="28">
        <v>0</v>
      </c>
      <c r="G5" s="28">
        <v>1.8589527214889325</v>
      </c>
      <c r="H5" s="28">
        <v>0</v>
      </c>
      <c r="I5" s="28">
        <v>0</v>
      </c>
      <c r="J5" s="28">
        <v>321.59882081758536</v>
      </c>
      <c r="K5" s="28">
        <v>0</v>
      </c>
      <c r="L5" s="28">
        <v>61.345439809134774</v>
      </c>
      <c r="M5" s="28">
        <v>18.589527214889326</v>
      </c>
      <c r="N5" s="28">
        <v>0</v>
      </c>
      <c r="O5" s="28">
        <v>448.00760587883275</v>
      </c>
      <c r="P5" s="27" t="s">
        <v>113</v>
      </c>
      <c r="Q5" s="28" t="s">
        <v>41</v>
      </c>
      <c r="R5" s="28">
        <v>436.85388954989918</v>
      </c>
      <c r="S5" s="28">
        <v>11.153716328933596</v>
      </c>
      <c r="T5" s="28">
        <v>0</v>
      </c>
      <c r="U5" s="28">
        <v>0</v>
      </c>
      <c r="V5" s="28">
        <v>448.00760587883275</v>
      </c>
    </row>
    <row r="6" spans="1:22" ht="11.4" customHeight="1" x14ac:dyDescent="0.2">
      <c r="A6" s="27" t="s">
        <v>119</v>
      </c>
      <c r="B6" s="28" t="s">
        <v>47</v>
      </c>
      <c r="C6" s="28">
        <v>0</v>
      </c>
      <c r="D6" s="28">
        <v>18.589527214889326</v>
      </c>
      <c r="E6" s="28">
        <v>0</v>
      </c>
      <c r="F6" s="28">
        <v>70.640203416579439</v>
      </c>
      <c r="G6" s="28">
        <v>0</v>
      </c>
      <c r="H6" s="28">
        <v>0</v>
      </c>
      <c r="I6" s="28">
        <v>306.7271990456739</v>
      </c>
      <c r="J6" s="28">
        <v>475.89189670116673</v>
      </c>
      <c r="K6" s="28">
        <v>16.730574493400393</v>
      </c>
      <c r="L6" s="28">
        <v>1.8589527214889325</v>
      </c>
      <c r="M6" s="28">
        <v>13.012669050422527</v>
      </c>
      <c r="N6" s="28">
        <v>0</v>
      </c>
      <c r="O6" s="28">
        <v>903.45102264362129</v>
      </c>
      <c r="P6" s="27" t="s">
        <v>119</v>
      </c>
      <c r="Q6" s="28" t="s">
        <v>47</v>
      </c>
      <c r="R6" s="28">
        <v>738.00423043110618</v>
      </c>
      <c r="S6" s="28">
        <v>100.38344696040237</v>
      </c>
      <c r="T6" s="28">
        <v>65.06334525211264</v>
      </c>
      <c r="U6" s="28">
        <v>0</v>
      </c>
      <c r="V6" s="28">
        <v>903.45102264362117</v>
      </c>
    </row>
    <row r="7" spans="1:22" ht="11.4" customHeight="1" x14ac:dyDescent="0.2">
      <c r="A7" s="27" t="s">
        <v>121</v>
      </c>
      <c r="B7" s="28" t="s">
        <v>49</v>
      </c>
      <c r="C7" s="28">
        <v>0</v>
      </c>
      <c r="D7" s="28">
        <v>0</v>
      </c>
      <c r="E7" s="28">
        <v>7.4358108859557301</v>
      </c>
      <c r="F7" s="28">
        <v>20.448479936378259</v>
      </c>
      <c r="G7" s="28">
        <v>16.730574493400393</v>
      </c>
      <c r="H7" s="28">
        <v>0</v>
      </c>
      <c r="I7" s="28">
        <v>438.71284227138807</v>
      </c>
      <c r="J7" s="28">
        <v>671.08193245750465</v>
      </c>
      <c r="K7" s="28">
        <v>0</v>
      </c>
      <c r="L7" s="28">
        <v>26.025338100845055</v>
      </c>
      <c r="M7" s="28">
        <v>61.345439809134774</v>
      </c>
      <c r="N7" s="28">
        <v>0</v>
      </c>
      <c r="O7" s="28">
        <v>1241.7804179546072</v>
      </c>
      <c r="P7" s="27" t="s">
        <v>121</v>
      </c>
      <c r="Q7" s="28" t="s">
        <v>49</v>
      </c>
      <c r="R7" s="28">
        <v>1083.7694366280475</v>
      </c>
      <c r="S7" s="28">
        <v>152.43412316209248</v>
      </c>
      <c r="T7" s="28">
        <v>5.5768581644667981</v>
      </c>
      <c r="U7" s="28">
        <v>0</v>
      </c>
      <c r="V7" s="28">
        <v>1241.7804179546067</v>
      </c>
    </row>
    <row r="8" spans="1:22" ht="11.4" customHeight="1" x14ac:dyDescent="0.2">
      <c r="A8" s="27" t="s">
        <v>95</v>
      </c>
      <c r="B8" s="28" t="s">
        <v>23</v>
      </c>
      <c r="C8" s="28">
        <v>0</v>
      </c>
      <c r="D8" s="28">
        <v>1.8589527214889325</v>
      </c>
      <c r="E8" s="28">
        <v>0</v>
      </c>
      <c r="F8" s="28">
        <v>0</v>
      </c>
      <c r="G8" s="28">
        <v>3.7179054429778651</v>
      </c>
      <c r="H8" s="28">
        <v>0</v>
      </c>
      <c r="I8" s="28">
        <v>66.922297973601573</v>
      </c>
      <c r="J8" s="28">
        <v>726.85051410217261</v>
      </c>
      <c r="K8" s="28">
        <v>0</v>
      </c>
      <c r="L8" s="28">
        <v>50.191723480201183</v>
      </c>
      <c r="M8" s="28">
        <v>139.42145411166993</v>
      </c>
      <c r="N8" s="28">
        <v>3.7179054429778651</v>
      </c>
      <c r="O8" s="28">
        <v>992.68075327509007</v>
      </c>
      <c r="P8" s="27" t="s">
        <v>95</v>
      </c>
      <c r="Q8" s="28" t="s">
        <v>23</v>
      </c>
      <c r="R8" s="28">
        <v>643.19764163517073</v>
      </c>
      <c r="S8" s="28">
        <v>345.76520619694145</v>
      </c>
      <c r="T8" s="28">
        <v>3.7179054429778651</v>
      </c>
      <c r="U8" s="28">
        <v>0</v>
      </c>
      <c r="V8" s="28">
        <v>992.68075327509007</v>
      </c>
    </row>
    <row r="9" spans="1:22" ht="11.4" customHeight="1" x14ac:dyDescent="0.2">
      <c r="A9" s="27" t="s">
        <v>101</v>
      </c>
      <c r="B9" s="28" t="s">
        <v>29</v>
      </c>
      <c r="C9" s="28">
        <v>0</v>
      </c>
      <c r="D9" s="28">
        <v>22.307432657867192</v>
      </c>
      <c r="E9" s="28">
        <v>0</v>
      </c>
      <c r="F9" s="28">
        <v>0</v>
      </c>
      <c r="G9" s="28">
        <v>1.8589527214889325</v>
      </c>
      <c r="H9" s="28">
        <v>0</v>
      </c>
      <c r="I9" s="28">
        <v>3.7179054429778651</v>
      </c>
      <c r="J9" s="28">
        <v>591.14696543348055</v>
      </c>
      <c r="K9" s="28">
        <v>0</v>
      </c>
      <c r="L9" s="28">
        <v>72.499156138068372</v>
      </c>
      <c r="M9" s="28">
        <v>11.153716328933596</v>
      </c>
      <c r="N9" s="28">
        <v>3.7179054429778651</v>
      </c>
      <c r="O9" s="28">
        <v>706.40203416579436</v>
      </c>
      <c r="P9" s="27" t="s">
        <v>101</v>
      </c>
      <c r="Q9" s="28" t="s">
        <v>29</v>
      </c>
      <c r="R9" s="28">
        <v>451.72551132181064</v>
      </c>
      <c r="S9" s="28">
        <v>254.67652284398378</v>
      </c>
      <c r="T9" s="28">
        <v>0</v>
      </c>
      <c r="U9" s="28">
        <v>0</v>
      </c>
      <c r="V9" s="28">
        <v>706.40203416579448</v>
      </c>
    </row>
    <row r="10" spans="1:22" ht="11.4" customHeight="1" x14ac:dyDescent="0.2">
      <c r="A10" s="27" t="s">
        <v>106</v>
      </c>
      <c r="B10" s="28" t="s">
        <v>34</v>
      </c>
      <c r="C10" s="28">
        <v>1.8589527214889325</v>
      </c>
      <c r="D10" s="28">
        <v>3.7179054429778651</v>
      </c>
      <c r="E10" s="28">
        <v>5.5768581644667981</v>
      </c>
      <c r="F10" s="28">
        <v>200.76689392080473</v>
      </c>
      <c r="G10" s="28">
        <v>7.4358108859557301</v>
      </c>
      <c r="H10" s="28">
        <v>0</v>
      </c>
      <c r="I10" s="28">
        <v>14.87162177191146</v>
      </c>
      <c r="J10" s="28">
        <v>479.60980214414462</v>
      </c>
      <c r="K10" s="28">
        <v>13.012669050422527</v>
      </c>
      <c r="L10" s="28">
        <v>27.884290822333988</v>
      </c>
      <c r="M10" s="28">
        <v>26.025338100845055</v>
      </c>
      <c r="N10" s="28">
        <v>3.7179054429778651</v>
      </c>
      <c r="O10" s="28">
        <v>784.47804846832969</v>
      </c>
      <c r="P10" s="27" t="s">
        <v>106</v>
      </c>
      <c r="Q10" s="28" t="s">
        <v>34</v>
      </c>
      <c r="R10" s="28">
        <v>700.82517600132758</v>
      </c>
      <c r="S10" s="28">
        <v>72.499156138068372</v>
      </c>
      <c r="T10" s="28">
        <v>7.4358108859557301</v>
      </c>
      <c r="U10" s="28">
        <v>3.7179054429778651</v>
      </c>
      <c r="V10" s="28">
        <v>784.47804846832946</v>
      </c>
    </row>
    <row r="11" spans="1:22" ht="11.4" customHeight="1" x14ac:dyDescent="0.2">
      <c r="A11" s="27" t="s">
        <v>103</v>
      </c>
      <c r="B11" s="28" t="s">
        <v>31</v>
      </c>
      <c r="C11" s="28">
        <v>11.153716328933596</v>
      </c>
      <c r="D11" s="28">
        <v>3.7179054429778651</v>
      </c>
      <c r="E11" s="28">
        <v>0</v>
      </c>
      <c r="F11" s="28">
        <v>66.922297973601573</v>
      </c>
      <c r="G11" s="28">
        <v>0</v>
      </c>
      <c r="H11" s="28">
        <v>0</v>
      </c>
      <c r="I11" s="28">
        <v>13.012669050422527</v>
      </c>
      <c r="J11" s="28">
        <v>1033.5777131478465</v>
      </c>
      <c r="K11" s="28">
        <v>0</v>
      </c>
      <c r="L11" s="28">
        <v>22.307432657867192</v>
      </c>
      <c r="M11" s="28">
        <v>13.012669050422527</v>
      </c>
      <c r="N11" s="28">
        <v>0</v>
      </c>
      <c r="O11" s="28">
        <v>1163.7044036520717</v>
      </c>
      <c r="P11" s="27" t="s">
        <v>103</v>
      </c>
      <c r="Q11" s="28" t="s">
        <v>31</v>
      </c>
      <c r="R11" s="28">
        <v>1115.3716328933594</v>
      </c>
      <c r="S11" s="28">
        <v>46.473818037223317</v>
      </c>
      <c r="T11" s="28">
        <v>1.8589527214889325</v>
      </c>
      <c r="U11" s="28">
        <v>0</v>
      </c>
      <c r="V11" s="28">
        <v>1163.7044036520717</v>
      </c>
    </row>
    <row r="12" spans="1:22" ht="11.4" customHeight="1" x14ac:dyDescent="0.2">
      <c r="A12" s="27" t="s">
        <v>99</v>
      </c>
      <c r="B12" s="28" t="s">
        <v>27</v>
      </c>
      <c r="C12" s="28">
        <v>52.050676201690109</v>
      </c>
      <c r="D12" s="28">
        <v>1.8589527214889325</v>
      </c>
      <c r="E12" s="28">
        <v>0</v>
      </c>
      <c r="F12" s="28">
        <v>217.49746841420512</v>
      </c>
      <c r="G12" s="28">
        <v>40.896959872756518</v>
      </c>
      <c r="H12" s="28">
        <v>0</v>
      </c>
      <c r="I12" s="28">
        <v>102.24239968189129</v>
      </c>
      <c r="J12" s="28">
        <v>262.11233372993951</v>
      </c>
      <c r="K12" s="28">
        <v>94.806588795935568</v>
      </c>
      <c r="L12" s="28">
        <v>61.345439809134774</v>
      </c>
      <c r="M12" s="28">
        <v>39.038007151267585</v>
      </c>
      <c r="N12" s="28">
        <v>1.8589527214889325</v>
      </c>
      <c r="O12" s="28">
        <v>873.70777909979824</v>
      </c>
      <c r="P12" s="27" t="s">
        <v>99</v>
      </c>
      <c r="Q12" s="28" t="s">
        <v>27</v>
      </c>
      <c r="R12" s="28">
        <v>513.07095113094545</v>
      </c>
      <c r="S12" s="28">
        <v>317.88091537460747</v>
      </c>
      <c r="T12" s="28">
        <v>40.896959872756518</v>
      </c>
      <c r="U12" s="28">
        <v>1.8589527214889325</v>
      </c>
      <c r="V12" s="28">
        <v>873.70777909979836</v>
      </c>
    </row>
    <row r="13" spans="1:22" ht="11.4" customHeight="1" x14ac:dyDescent="0.2">
      <c r="A13" s="27" t="s">
        <v>94</v>
      </c>
      <c r="B13" s="28" t="s">
        <v>22</v>
      </c>
      <c r="C13" s="28">
        <v>0</v>
      </c>
      <c r="D13" s="28">
        <v>1.8589527214889325</v>
      </c>
      <c r="E13" s="28">
        <v>0</v>
      </c>
      <c r="F13" s="28">
        <v>113.39611601082488</v>
      </c>
      <c r="G13" s="28">
        <v>3.7179054429778651</v>
      </c>
      <c r="H13" s="28">
        <v>0</v>
      </c>
      <c r="I13" s="28">
        <v>40.896959872756518</v>
      </c>
      <c r="J13" s="28">
        <v>936.91217163042199</v>
      </c>
      <c r="K13" s="28">
        <v>68.781250695090506</v>
      </c>
      <c r="L13" s="28">
        <v>59.486487087645841</v>
      </c>
      <c r="M13" s="28">
        <v>11.153716328933596</v>
      </c>
      <c r="N13" s="28">
        <v>13.012669050422527</v>
      </c>
      <c r="O13" s="28">
        <v>1249.2162288405625</v>
      </c>
      <c r="P13" s="27" t="s">
        <v>94</v>
      </c>
      <c r="Q13" s="28" t="s">
        <v>22</v>
      </c>
      <c r="R13" s="28">
        <v>1024.2829495404017</v>
      </c>
      <c r="S13" s="28">
        <v>224.93327930016085</v>
      </c>
      <c r="T13" s="28">
        <v>0</v>
      </c>
      <c r="U13" s="28">
        <v>0</v>
      </c>
      <c r="V13" s="28">
        <v>1249.2162288405625</v>
      </c>
    </row>
    <row r="14" spans="1:22" ht="11.4" customHeight="1" x14ac:dyDescent="0.2">
      <c r="A14" s="27" t="s">
        <v>97</v>
      </c>
      <c r="B14" s="28" t="s">
        <v>25</v>
      </c>
      <c r="C14" s="28">
        <v>0</v>
      </c>
      <c r="D14" s="28">
        <v>0</v>
      </c>
      <c r="E14" s="28">
        <v>0</v>
      </c>
      <c r="F14" s="28">
        <v>1.8589527214889325</v>
      </c>
      <c r="G14" s="28">
        <v>0</v>
      </c>
      <c r="H14" s="28">
        <v>0</v>
      </c>
      <c r="I14" s="28">
        <v>1.8589527214889325</v>
      </c>
      <c r="J14" s="28">
        <v>1317.9974795356532</v>
      </c>
      <c r="K14" s="28">
        <v>0</v>
      </c>
      <c r="L14" s="28">
        <v>22.307432657867192</v>
      </c>
      <c r="M14" s="28">
        <v>37.179054429778652</v>
      </c>
      <c r="N14" s="28">
        <v>0</v>
      </c>
      <c r="O14" s="28">
        <v>1381.2018720662768</v>
      </c>
      <c r="P14" s="27" t="s">
        <v>97</v>
      </c>
      <c r="Q14" s="28" t="s">
        <v>25</v>
      </c>
      <c r="R14" s="28">
        <v>1381.2018720662768</v>
      </c>
      <c r="S14" s="28">
        <v>0</v>
      </c>
      <c r="T14" s="28">
        <v>0</v>
      </c>
      <c r="U14" s="28">
        <v>0</v>
      </c>
      <c r="V14" s="28">
        <v>1381.2018720662768</v>
      </c>
    </row>
    <row r="15" spans="1:22" ht="11.4" customHeight="1" x14ac:dyDescent="0.2">
      <c r="A15" s="27" t="s">
        <v>117</v>
      </c>
      <c r="B15" s="28" t="s">
        <v>45</v>
      </c>
      <c r="C15" s="28">
        <v>0</v>
      </c>
      <c r="D15" s="28">
        <v>0</v>
      </c>
      <c r="E15" s="28">
        <v>0</v>
      </c>
      <c r="F15" s="28">
        <v>76.217061581046238</v>
      </c>
      <c r="G15" s="28">
        <v>5.5768581644667981</v>
      </c>
      <c r="H15" s="28">
        <v>0</v>
      </c>
      <c r="I15" s="28">
        <v>0</v>
      </c>
      <c r="J15" s="28">
        <v>340.18834803247466</v>
      </c>
      <c r="K15" s="28">
        <v>92.947636074446635</v>
      </c>
      <c r="L15" s="28">
        <v>46.473818037223317</v>
      </c>
      <c r="M15" s="28">
        <v>92.947636074446635</v>
      </c>
      <c r="N15" s="28">
        <v>7.4358108859557301</v>
      </c>
      <c r="O15" s="28">
        <v>661.78716885005997</v>
      </c>
      <c r="P15" s="27" t="s">
        <v>117</v>
      </c>
      <c r="Q15" s="28" t="s">
        <v>45</v>
      </c>
      <c r="R15" s="28">
        <v>414.54645689203198</v>
      </c>
      <c r="S15" s="28">
        <v>230.51013746462763</v>
      </c>
      <c r="T15" s="28">
        <v>16.730574493400393</v>
      </c>
      <c r="U15" s="28">
        <v>0</v>
      </c>
      <c r="V15" s="28">
        <v>661.78716885005997</v>
      </c>
    </row>
    <row r="16" spans="1:22" ht="11.4" customHeight="1" x14ac:dyDescent="0.2">
      <c r="A16" s="27" t="s">
        <v>114</v>
      </c>
      <c r="B16" s="28" t="s">
        <v>42</v>
      </c>
      <c r="C16" s="28">
        <v>27.884290822333988</v>
      </c>
      <c r="D16" s="28">
        <v>1.8589527214889325</v>
      </c>
      <c r="E16" s="28">
        <v>3.7179054429778651</v>
      </c>
      <c r="F16" s="28">
        <v>57.627534366156908</v>
      </c>
      <c r="G16" s="28">
        <v>3.7179054429778651</v>
      </c>
      <c r="H16" s="28">
        <v>0</v>
      </c>
      <c r="I16" s="28">
        <v>91.088683352957702</v>
      </c>
      <c r="J16" s="28">
        <v>751.01689948152875</v>
      </c>
      <c r="K16" s="28">
        <v>37.179054429778652</v>
      </c>
      <c r="L16" s="28">
        <v>35.32010170828972</v>
      </c>
      <c r="M16" s="28">
        <v>7.4358108859557301</v>
      </c>
      <c r="N16" s="28">
        <v>13.012669050422527</v>
      </c>
      <c r="O16" s="28">
        <v>1029.8598077048684</v>
      </c>
      <c r="P16" s="27" t="s">
        <v>114</v>
      </c>
      <c r="Q16" s="28" t="s">
        <v>42</v>
      </c>
      <c r="R16" s="28">
        <v>1016.847138654446</v>
      </c>
      <c r="S16" s="28">
        <v>3.7179054429778651</v>
      </c>
      <c r="T16" s="28">
        <v>3.7179054429778651</v>
      </c>
      <c r="U16" s="28">
        <v>5.5768581644667981</v>
      </c>
      <c r="V16" s="28">
        <v>1029.8598077048684</v>
      </c>
    </row>
    <row r="17" spans="1:22" ht="11.4" customHeight="1" x14ac:dyDescent="0.2">
      <c r="A17" s="27" t="s">
        <v>112</v>
      </c>
      <c r="B17" s="28" t="s">
        <v>40</v>
      </c>
      <c r="C17" s="28">
        <v>0</v>
      </c>
      <c r="D17" s="28">
        <v>0</v>
      </c>
      <c r="E17" s="28">
        <v>20.448479936378259</v>
      </c>
      <c r="F17" s="28">
        <v>59.486487087645841</v>
      </c>
      <c r="G17" s="28">
        <v>13.012669050422527</v>
      </c>
      <c r="H17" s="28">
        <v>3.7179054429778651</v>
      </c>
      <c r="I17" s="28">
        <v>40.896959872756518</v>
      </c>
      <c r="J17" s="28">
        <v>734.28632498812829</v>
      </c>
      <c r="K17" s="28">
        <v>35.32010170828972</v>
      </c>
      <c r="L17" s="28">
        <v>68.781250695090506</v>
      </c>
      <c r="M17" s="28">
        <v>29.743243543822921</v>
      </c>
      <c r="N17" s="28">
        <v>9.2947636074446631</v>
      </c>
      <c r="O17" s="28">
        <v>1014.9881859329571</v>
      </c>
      <c r="P17" s="27" t="s">
        <v>112</v>
      </c>
      <c r="Q17" s="28" t="s">
        <v>40</v>
      </c>
      <c r="R17" s="28">
        <v>988.96284783211217</v>
      </c>
      <c r="S17" s="28">
        <v>3.7179054429778651</v>
      </c>
      <c r="T17" s="28">
        <v>0</v>
      </c>
      <c r="U17" s="28">
        <v>22.307432657867192</v>
      </c>
      <c r="V17" s="28">
        <v>1014.9881859329572</v>
      </c>
    </row>
    <row r="18" spans="1:22" ht="11.4" customHeight="1" x14ac:dyDescent="0.2">
      <c r="A18" s="27" t="s">
        <v>116</v>
      </c>
      <c r="B18" s="28" t="s">
        <v>44</v>
      </c>
      <c r="C18" s="28">
        <v>70.640203416579439</v>
      </c>
      <c r="D18" s="28">
        <v>107.81925784635808</v>
      </c>
      <c r="E18" s="28">
        <v>57.627534366156908</v>
      </c>
      <c r="F18" s="28">
        <v>89.229730631468769</v>
      </c>
      <c r="G18" s="28">
        <v>104.10135240338022</v>
      </c>
      <c r="H18" s="28">
        <v>1.8589527214889325</v>
      </c>
      <c r="I18" s="28">
        <v>87.370777909979836</v>
      </c>
      <c r="J18" s="28">
        <v>221.21537385718298</v>
      </c>
      <c r="K18" s="28">
        <v>63.204392530623707</v>
      </c>
      <c r="L18" s="28">
        <v>74.358108859557305</v>
      </c>
      <c r="M18" s="28">
        <v>96.665541517424501</v>
      </c>
      <c r="N18" s="28">
        <v>20.448479936378259</v>
      </c>
      <c r="O18" s="28">
        <v>994.53970599657896</v>
      </c>
      <c r="P18" s="27" t="s">
        <v>116</v>
      </c>
      <c r="Q18" s="28" t="s">
        <v>44</v>
      </c>
      <c r="R18" s="28">
        <v>652.49240524261529</v>
      </c>
      <c r="S18" s="28">
        <v>210.06165752824938</v>
      </c>
      <c r="T18" s="28">
        <v>76.217061581046238</v>
      </c>
      <c r="U18" s="28">
        <v>55.768581644667975</v>
      </c>
      <c r="V18" s="28">
        <v>994.53970599657885</v>
      </c>
    </row>
    <row r="19" spans="1:22" ht="11.4" customHeight="1" x14ac:dyDescent="0.2">
      <c r="A19" s="27" t="s">
        <v>107</v>
      </c>
      <c r="B19" s="28" t="s">
        <v>35</v>
      </c>
      <c r="C19" s="28">
        <v>0</v>
      </c>
      <c r="D19" s="28">
        <v>5.5768581644667981</v>
      </c>
      <c r="E19" s="28">
        <v>0</v>
      </c>
      <c r="F19" s="28">
        <v>0</v>
      </c>
      <c r="G19" s="28">
        <v>0</v>
      </c>
      <c r="H19" s="28">
        <v>0</v>
      </c>
      <c r="I19" s="28">
        <v>44.614865315734384</v>
      </c>
      <c r="J19" s="28">
        <v>795.63176479726314</v>
      </c>
      <c r="K19" s="28">
        <v>31.602196265311854</v>
      </c>
      <c r="L19" s="28">
        <v>184.03631942740432</v>
      </c>
      <c r="M19" s="28">
        <v>78.076014302535171</v>
      </c>
      <c r="N19" s="28">
        <v>0</v>
      </c>
      <c r="O19" s="28">
        <v>1139.5380182727156</v>
      </c>
      <c r="P19" s="27" t="s">
        <v>107</v>
      </c>
      <c r="Q19" s="28" t="s">
        <v>35</v>
      </c>
      <c r="R19" s="28">
        <v>817.93919745513028</v>
      </c>
      <c r="S19" s="28">
        <v>314.16300993162963</v>
      </c>
      <c r="T19" s="28">
        <v>1.8589527214889325</v>
      </c>
      <c r="U19" s="28">
        <v>5.5768581644667981</v>
      </c>
      <c r="V19" s="28">
        <v>1139.5380182727156</v>
      </c>
    </row>
    <row r="20" spans="1:22" ht="11.4" customHeight="1" x14ac:dyDescent="0.2">
      <c r="A20" s="27" t="s">
        <v>100</v>
      </c>
      <c r="B20" s="28" t="s">
        <v>28</v>
      </c>
      <c r="C20" s="28">
        <v>0</v>
      </c>
      <c r="D20" s="28">
        <v>18.589527214889326</v>
      </c>
      <c r="E20" s="28">
        <v>0</v>
      </c>
      <c r="F20" s="28">
        <v>0</v>
      </c>
      <c r="G20" s="28">
        <v>7.4358108859557301</v>
      </c>
      <c r="H20" s="28">
        <v>0</v>
      </c>
      <c r="I20" s="28">
        <v>35.32010170828972</v>
      </c>
      <c r="J20" s="28">
        <v>1384.9197775092548</v>
      </c>
      <c r="K20" s="28">
        <v>1.8589527214889325</v>
      </c>
      <c r="L20" s="28">
        <v>33.461148986800787</v>
      </c>
      <c r="M20" s="28">
        <v>18.589527214889326</v>
      </c>
      <c r="N20" s="28">
        <v>0</v>
      </c>
      <c r="O20" s="28">
        <v>1500.1748462415687</v>
      </c>
      <c r="P20" s="27" t="s">
        <v>100</v>
      </c>
      <c r="Q20" s="28" t="s">
        <v>28</v>
      </c>
      <c r="R20" s="28">
        <v>1431.3935955464781</v>
      </c>
      <c r="S20" s="28">
        <v>63.204392530623707</v>
      </c>
      <c r="T20" s="28">
        <v>5.5768581644667981</v>
      </c>
      <c r="U20" s="28">
        <v>0</v>
      </c>
      <c r="V20" s="28">
        <v>1500.1748462415685</v>
      </c>
    </row>
    <row r="21" spans="1:22" ht="11.4" customHeight="1" x14ac:dyDescent="0.2">
      <c r="A21" s="27" t="s">
        <v>108</v>
      </c>
      <c r="B21" s="28" t="s">
        <v>36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200.76689392080473</v>
      </c>
      <c r="K21" s="28">
        <v>0</v>
      </c>
      <c r="L21" s="28">
        <v>22.307432657867192</v>
      </c>
      <c r="M21" s="28">
        <v>29.743243543822921</v>
      </c>
      <c r="N21" s="28">
        <v>0</v>
      </c>
      <c r="O21" s="28">
        <v>252.81757012249486</v>
      </c>
      <c r="P21" s="27" t="s">
        <v>108</v>
      </c>
      <c r="Q21" s="28" t="s">
        <v>36</v>
      </c>
      <c r="R21" s="28">
        <v>239.80490107207231</v>
      </c>
      <c r="S21" s="28">
        <v>11.153716328933596</v>
      </c>
      <c r="T21" s="28">
        <v>1.8589527214889325</v>
      </c>
      <c r="U21" s="28">
        <v>0</v>
      </c>
      <c r="V21" s="28">
        <v>252.81757012249483</v>
      </c>
    </row>
    <row r="22" spans="1:22" ht="11.4" customHeight="1" x14ac:dyDescent="0.2">
      <c r="A22" s="27" t="s">
        <v>104</v>
      </c>
      <c r="B22" s="28" t="s">
        <v>32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198.90794119931579</v>
      </c>
      <c r="K22" s="28">
        <v>5.5768581644667981</v>
      </c>
      <c r="L22" s="28">
        <v>52.050676201690109</v>
      </c>
      <c r="M22" s="28">
        <v>53.909628923179042</v>
      </c>
      <c r="N22" s="28">
        <v>7.4358108859557301</v>
      </c>
      <c r="O22" s="28">
        <v>317.88091537460747</v>
      </c>
      <c r="P22" s="27" t="s">
        <v>104</v>
      </c>
      <c r="Q22" s="28" t="s">
        <v>32</v>
      </c>
      <c r="R22" s="28">
        <v>232.36909018611658</v>
      </c>
      <c r="S22" s="28">
        <v>78.076014302535171</v>
      </c>
      <c r="T22" s="28">
        <v>7.4358108859557301</v>
      </c>
      <c r="U22" s="28">
        <v>0</v>
      </c>
      <c r="V22" s="28">
        <v>317.88091537460747</v>
      </c>
    </row>
    <row r="23" spans="1:22" ht="11.4" customHeight="1" x14ac:dyDescent="0.2">
      <c r="A23" s="27" t="s">
        <v>105</v>
      </c>
      <c r="B23" s="28" t="s">
        <v>33</v>
      </c>
      <c r="C23" s="28">
        <v>0</v>
      </c>
      <c r="D23" s="28">
        <v>57.627534366156908</v>
      </c>
      <c r="E23" s="28">
        <v>1.8589527214889325</v>
      </c>
      <c r="F23" s="28">
        <v>3.7179054429778651</v>
      </c>
      <c r="G23" s="28">
        <v>42.755912594245451</v>
      </c>
      <c r="H23" s="28">
        <v>0</v>
      </c>
      <c r="I23" s="28">
        <v>3.7179054429778651</v>
      </c>
      <c r="J23" s="28">
        <v>105.96030512486915</v>
      </c>
      <c r="K23" s="28">
        <v>0</v>
      </c>
      <c r="L23" s="28">
        <v>66.922297973601573</v>
      </c>
      <c r="M23" s="28">
        <v>26.025338100845055</v>
      </c>
      <c r="N23" s="28">
        <v>0</v>
      </c>
      <c r="O23" s="28">
        <v>308.58615176716279</v>
      </c>
      <c r="P23" s="27" t="s">
        <v>105</v>
      </c>
      <c r="Q23" s="28" t="s">
        <v>33</v>
      </c>
      <c r="R23" s="28">
        <v>254.67652284398378</v>
      </c>
      <c r="S23" s="28">
        <v>53.909628923179042</v>
      </c>
      <c r="T23" s="28">
        <v>0</v>
      </c>
      <c r="U23" s="28">
        <v>0</v>
      </c>
      <c r="V23" s="28">
        <v>308.58615176716285</v>
      </c>
    </row>
    <row r="24" spans="1:22" ht="11.4" customHeight="1" x14ac:dyDescent="0.2">
      <c r="A24" s="27" t="s">
        <v>109</v>
      </c>
      <c r="B24" s="28" t="s">
        <v>37</v>
      </c>
      <c r="C24" s="28">
        <v>0</v>
      </c>
      <c r="D24" s="28">
        <v>0</v>
      </c>
      <c r="E24" s="28">
        <v>0</v>
      </c>
      <c r="F24" s="28">
        <v>35.32010170828972</v>
      </c>
      <c r="G24" s="28">
        <v>37.179054429778652</v>
      </c>
      <c r="H24" s="28">
        <v>0</v>
      </c>
      <c r="I24" s="28">
        <v>11.153716328933596</v>
      </c>
      <c r="J24" s="28">
        <v>353.20101708289718</v>
      </c>
      <c r="K24" s="28">
        <v>1.8589527214889325</v>
      </c>
      <c r="L24" s="28">
        <v>18.589527214889326</v>
      </c>
      <c r="M24" s="28">
        <v>33.461148986800787</v>
      </c>
      <c r="N24" s="28">
        <v>0</v>
      </c>
      <c r="O24" s="28">
        <v>490.76351847307814</v>
      </c>
      <c r="P24" s="27" t="s">
        <v>109</v>
      </c>
      <c r="Q24" s="28" t="s">
        <v>37</v>
      </c>
      <c r="R24" s="28">
        <v>301.15034088120706</v>
      </c>
      <c r="S24" s="28">
        <v>187.75422487038219</v>
      </c>
      <c r="T24" s="28">
        <v>1.8589527214889325</v>
      </c>
      <c r="U24" s="28">
        <v>0</v>
      </c>
      <c r="V24" s="28">
        <v>490.76351847307819</v>
      </c>
    </row>
    <row r="25" spans="1:22" ht="11.4" customHeight="1" x14ac:dyDescent="0.2">
      <c r="A25" s="27" t="s">
        <v>96</v>
      </c>
      <c r="B25" s="28" t="s">
        <v>24</v>
      </c>
      <c r="C25" s="28">
        <v>0</v>
      </c>
      <c r="D25" s="28">
        <v>14.87162177191146</v>
      </c>
      <c r="E25" s="28">
        <v>0</v>
      </c>
      <c r="F25" s="28">
        <v>81.793919745513037</v>
      </c>
      <c r="G25" s="28">
        <v>29.743243543822921</v>
      </c>
      <c r="H25" s="28">
        <v>0</v>
      </c>
      <c r="I25" s="28">
        <v>239.80490107207231</v>
      </c>
      <c r="J25" s="28">
        <v>464.73818037223316</v>
      </c>
      <c r="K25" s="28">
        <v>18.589527214889326</v>
      </c>
      <c r="L25" s="28">
        <v>16.730574493400393</v>
      </c>
      <c r="M25" s="28">
        <v>50.191723480201183</v>
      </c>
      <c r="N25" s="28">
        <v>0</v>
      </c>
      <c r="O25" s="28">
        <v>916.46369169404375</v>
      </c>
      <c r="P25" s="27" t="s">
        <v>96</v>
      </c>
      <c r="Q25" s="28" t="s">
        <v>24</v>
      </c>
      <c r="R25" s="28">
        <v>825.37500834108607</v>
      </c>
      <c r="S25" s="28">
        <v>91.088683352957702</v>
      </c>
      <c r="T25" s="28">
        <v>0</v>
      </c>
      <c r="U25" s="28">
        <v>0</v>
      </c>
      <c r="V25" s="28">
        <v>916.46369169404375</v>
      </c>
    </row>
    <row r="26" spans="1:22" ht="11.4" customHeight="1" x14ac:dyDescent="0.2">
      <c r="A26" s="27" t="s">
        <v>120</v>
      </c>
      <c r="B26" s="28" t="s">
        <v>48</v>
      </c>
      <c r="C26" s="28">
        <v>13.012669050422527</v>
      </c>
      <c r="D26" s="28">
        <v>5.5768581644667981</v>
      </c>
      <c r="E26" s="28">
        <v>22.307432657867192</v>
      </c>
      <c r="F26" s="28">
        <v>76.217061581046238</v>
      </c>
      <c r="G26" s="28">
        <v>13.012669050422527</v>
      </c>
      <c r="H26" s="28">
        <v>0</v>
      </c>
      <c r="I26" s="28">
        <v>288.13767183078454</v>
      </c>
      <c r="J26" s="28">
        <v>433.13598410692128</v>
      </c>
      <c r="K26" s="28">
        <v>137.56250139018101</v>
      </c>
      <c r="L26" s="28">
        <v>98.524494238913434</v>
      </c>
      <c r="M26" s="28">
        <v>44.614865315734384</v>
      </c>
      <c r="N26" s="28">
        <v>20.448479936378259</v>
      </c>
      <c r="O26" s="28">
        <v>1152.5506873231382</v>
      </c>
      <c r="P26" s="27" t="s">
        <v>120</v>
      </c>
      <c r="Q26" s="28" t="s">
        <v>48</v>
      </c>
      <c r="R26" s="28">
        <v>711.97889233026115</v>
      </c>
      <c r="S26" s="28">
        <v>332.75253714651893</v>
      </c>
      <c r="T26" s="28">
        <v>100.38344696040237</v>
      </c>
      <c r="U26" s="28">
        <v>7.4358108859557301</v>
      </c>
      <c r="V26" s="28">
        <v>1152.5506873231382</v>
      </c>
    </row>
    <row r="27" spans="1:22" ht="11.4" customHeight="1" x14ac:dyDescent="0.2">
      <c r="A27" s="27" t="s">
        <v>102</v>
      </c>
      <c r="B27" s="28" t="s">
        <v>30</v>
      </c>
      <c r="C27" s="28">
        <v>5.5768581644667981</v>
      </c>
      <c r="D27" s="28">
        <v>26.025338100845055</v>
      </c>
      <c r="E27" s="28">
        <v>16.730574493400393</v>
      </c>
      <c r="F27" s="28">
        <v>61.345439809134774</v>
      </c>
      <c r="G27" s="28">
        <v>11.153716328933596</v>
      </c>
      <c r="H27" s="28">
        <v>1.8589527214889325</v>
      </c>
      <c r="I27" s="28">
        <v>117.11402145380275</v>
      </c>
      <c r="J27" s="28">
        <v>2050.4248518022928</v>
      </c>
      <c r="K27" s="28">
        <v>124.54983233975848</v>
      </c>
      <c r="L27" s="28">
        <v>27.884290822333988</v>
      </c>
      <c r="M27" s="28">
        <v>232.36909018611658</v>
      </c>
      <c r="N27" s="28">
        <v>7.4358108859557301</v>
      </c>
      <c r="O27" s="28">
        <v>2682.4687771085296</v>
      </c>
      <c r="P27" s="27" t="s">
        <v>102</v>
      </c>
      <c r="Q27" s="28" t="s">
        <v>30</v>
      </c>
      <c r="R27" s="28">
        <v>1905.4265395261559</v>
      </c>
      <c r="S27" s="28">
        <v>711.97889233026115</v>
      </c>
      <c r="T27" s="28">
        <v>52.050676201690109</v>
      </c>
      <c r="U27" s="28">
        <v>13.012669050422527</v>
      </c>
      <c r="V27" s="28">
        <v>2682.46877710853</v>
      </c>
    </row>
    <row r="28" spans="1:22" ht="11.4" customHeight="1" x14ac:dyDescent="0.2">
      <c r="A28" s="27" t="s">
        <v>98</v>
      </c>
      <c r="B28" s="28" t="s">
        <v>26</v>
      </c>
      <c r="C28" s="28">
        <v>40.896959872756518</v>
      </c>
      <c r="D28" s="28">
        <v>161.72888676953713</v>
      </c>
      <c r="E28" s="28">
        <v>5.5768581644667981</v>
      </c>
      <c r="F28" s="28">
        <v>42.755912594245451</v>
      </c>
      <c r="G28" s="28">
        <v>48.33277075871225</v>
      </c>
      <c r="H28" s="28">
        <v>0</v>
      </c>
      <c r="I28" s="28">
        <v>59.486487087645841</v>
      </c>
      <c r="J28" s="28">
        <v>171.02365037698181</v>
      </c>
      <c r="K28" s="28">
        <v>76.217061581046238</v>
      </c>
      <c r="L28" s="28">
        <v>161.72888676953713</v>
      </c>
      <c r="M28" s="28">
        <v>141.28040683315888</v>
      </c>
      <c r="N28" s="28">
        <v>46.473818037223317</v>
      </c>
      <c r="O28" s="28">
        <v>955.50169884531124</v>
      </c>
      <c r="P28" s="27" t="s">
        <v>98</v>
      </c>
      <c r="Q28" s="28" t="s">
        <v>26</v>
      </c>
      <c r="R28" s="28">
        <v>382.94426062672011</v>
      </c>
      <c r="S28" s="28">
        <v>420.12331505649877</v>
      </c>
      <c r="T28" s="28">
        <v>148.71621771911461</v>
      </c>
      <c r="U28" s="28">
        <v>3.7179054429778651</v>
      </c>
      <c r="V28" s="28">
        <v>955.50169884531135</v>
      </c>
    </row>
    <row r="29" spans="1:22" ht="11.4" customHeight="1" x14ac:dyDescent="0.2">
      <c r="A29" s="27" t="s">
        <v>93</v>
      </c>
      <c r="B29" s="28" t="s">
        <v>21</v>
      </c>
      <c r="C29" s="28">
        <v>3.7179054429778651</v>
      </c>
      <c r="D29" s="28">
        <v>22.307432657867192</v>
      </c>
      <c r="E29" s="28">
        <v>0</v>
      </c>
      <c r="F29" s="28">
        <v>50.191723480201183</v>
      </c>
      <c r="G29" s="28">
        <v>0</v>
      </c>
      <c r="H29" s="28">
        <v>0</v>
      </c>
      <c r="I29" s="28">
        <v>85.511825188490903</v>
      </c>
      <c r="J29" s="28">
        <v>230.51013746462763</v>
      </c>
      <c r="K29" s="28">
        <v>68.781250695090506</v>
      </c>
      <c r="L29" s="28">
        <v>35.32010170828972</v>
      </c>
      <c r="M29" s="28">
        <v>9.2947636074446631</v>
      </c>
      <c r="N29" s="28">
        <v>5.5768581644667981</v>
      </c>
      <c r="O29" s="28">
        <v>511.21199840945644</v>
      </c>
      <c r="P29" s="27" t="s">
        <v>93</v>
      </c>
      <c r="Q29" s="28" t="s">
        <v>21</v>
      </c>
      <c r="R29" s="28">
        <v>462.87922765074421</v>
      </c>
      <c r="S29" s="28">
        <v>44.614865315734384</v>
      </c>
      <c r="T29" s="28">
        <v>3.7179054429778651</v>
      </c>
      <c r="U29" s="28">
        <v>0</v>
      </c>
      <c r="V29" s="28">
        <v>511.21199840945644</v>
      </c>
    </row>
    <row r="30" spans="1:22" ht="11.4" customHeight="1" x14ac:dyDescent="0.2">
      <c r="A30" s="27" t="s">
        <v>115</v>
      </c>
      <c r="B30" s="28" t="s">
        <v>43</v>
      </c>
      <c r="C30" s="28">
        <v>55.768581644667975</v>
      </c>
      <c r="D30" s="28">
        <v>24.166385379356125</v>
      </c>
      <c r="E30" s="28">
        <v>18.589527214889326</v>
      </c>
      <c r="F30" s="28">
        <v>321.59882081758536</v>
      </c>
      <c r="G30" s="28">
        <v>24.166385379356125</v>
      </c>
      <c r="H30" s="28">
        <v>0</v>
      </c>
      <c r="I30" s="28">
        <v>74.358108859557305</v>
      </c>
      <c r="J30" s="28">
        <v>663.64612157154886</v>
      </c>
      <c r="K30" s="28">
        <v>50.191723480201183</v>
      </c>
      <c r="L30" s="28">
        <v>50.191723480201183</v>
      </c>
      <c r="M30" s="28">
        <v>27.884290822333988</v>
      </c>
      <c r="N30" s="28">
        <v>14.87162177191146</v>
      </c>
      <c r="O30" s="28">
        <v>1325.4332904216089</v>
      </c>
      <c r="P30" s="27" t="s">
        <v>115</v>
      </c>
      <c r="Q30" s="28" t="s">
        <v>43</v>
      </c>
      <c r="R30" s="28">
        <v>769.60642669641811</v>
      </c>
      <c r="S30" s="28">
        <v>488.90456575158925</v>
      </c>
      <c r="T30" s="28">
        <v>66.922297973601573</v>
      </c>
      <c r="U30" s="28">
        <v>0</v>
      </c>
      <c r="V30" s="28">
        <v>1325.4332904216089</v>
      </c>
    </row>
    <row r="31" spans="1:22" ht="11.4" customHeight="1" x14ac:dyDescent="0.2">
      <c r="A31" s="27" t="s">
        <v>111</v>
      </c>
      <c r="B31" s="28" t="s">
        <v>39</v>
      </c>
      <c r="C31" s="28">
        <v>20.448479936378259</v>
      </c>
      <c r="D31" s="28">
        <v>24.166385379356125</v>
      </c>
      <c r="E31" s="28">
        <v>1.8589527214889325</v>
      </c>
      <c r="F31" s="28">
        <v>215.63851569271617</v>
      </c>
      <c r="G31" s="28">
        <v>1.8589527214889325</v>
      </c>
      <c r="H31" s="28">
        <v>0</v>
      </c>
      <c r="I31" s="28">
        <v>27.884290822333988</v>
      </c>
      <c r="J31" s="28">
        <v>897.87416447915439</v>
      </c>
      <c r="K31" s="28">
        <v>236.08699562909445</v>
      </c>
      <c r="L31" s="28">
        <v>100.38344696040237</v>
      </c>
      <c r="M31" s="28">
        <v>33.461148986800787</v>
      </c>
      <c r="N31" s="28">
        <v>44.614865315734384</v>
      </c>
      <c r="O31" s="28">
        <v>1604.2761986449486</v>
      </c>
      <c r="P31" s="27" t="s">
        <v>111</v>
      </c>
      <c r="Q31" s="28" t="s">
        <v>39</v>
      </c>
      <c r="R31" s="28">
        <v>1468.5726499762566</v>
      </c>
      <c r="S31" s="28">
        <v>131.98564322571423</v>
      </c>
      <c r="T31" s="28">
        <v>0</v>
      </c>
      <c r="U31" s="28">
        <v>3.7179054429778651</v>
      </c>
      <c r="V31" s="28">
        <v>1604.2761986449486</v>
      </c>
    </row>
    <row r="32" spans="1:22" ht="11.4" customHeight="1" x14ac:dyDescent="0.2">
      <c r="A32" s="27" t="s">
        <v>118</v>
      </c>
      <c r="B32" s="28" t="s">
        <v>46</v>
      </c>
      <c r="C32" s="28">
        <v>11.153716328933596</v>
      </c>
      <c r="D32" s="28">
        <v>0</v>
      </c>
      <c r="E32" s="28">
        <v>3.7179054429778651</v>
      </c>
      <c r="F32" s="28">
        <v>5.5768581644667981</v>
      </c>
      <c r="G32" s="28">
        <v>7.4358108859557301</v>
      </c>
      <c r="H32" s="28">
        <v>0</v>
      </c>
      <c r="I32" s="28">
        <v>0</v>
      </c>
      <c r="J32" s="28">
        <v>0</v>
      </c>
      <c r="K32" s="28">
        <v>7.4358108859557301</v>
      </c>
      <c r="L32" s="28">
        <v>50.191723480201183</v>
      </c>
      <c r="M32" s="28">
        <v>14.87162177191146</v>
      </c>
      <c r="N32" s="28">
        <v>1.8589527214889325</v>
      </c>
      <c r="O32" s="28">
        <v>102.2423996818913</v>
      </c>
      <c r="P32" s="27" t="s">
        <v>118</v>
      </c>
      <c r="Q32" s="28" t="s">
        <v>46</v>
      </c>
      <c r="R32" s="28">
        <v>53.909628923179042</v>
      </c>
      <c r="S32" s="28">
        <v>39.038007151267585</v>
      </c>
      <c r="T32" s="28">
        <v>0</v>
      </c>
      <c r="U32" s="28">
        <v>9.2947636074446631</v>
      </c>
      <c r="V32" s="28">
        <v>102.24239968189129</v>
      </c>
    </row>
    <row r="33" spans="1:22" ht="11.4" customHeight="1" x14ac:dyDescent="0.2">
      <c r="A33" s="27" t="s">
        <v>124</v>
      </c>
      <c r="B33" s="28" t="s">
        <v>52</v>
      </c>
      <c r="C33" s="28">
        <v>0</v>
      </c>
      <c r="D33" s="28">
        <v>24.166385379356125</v>
      </c>
      <c r="E33" s="28">
        <v>0</v>
      </c>
      <c r="F33" s="28">
        <v>53.909628923179042</v>
      </c>
      <c r="G33" s="28">
        <v>57.627534366156908</v>
      </c>
      <c r="H33" s="28">
        <v>1.8589527214889325</v>
      </c>
      <c r="I33" s="28">
        <v>1.8589527214889325</v>
      </c>
      <c r="J33" s="28">
        <v>316.02196265311852</v>
      </c>
      <c r="K33" s="28">
        <v>0</v>
      </c>
      <c r="L33" s="28">
        <v>50.191723480201183</v>
      </c>
      <c r="M33" s="28">
        <v>35.32010170828972</v>
      </c>
      <c r="N33" s="28">
        <v>11.153716328933596</v>
      </c>
      <c r="O33" s="28">
        <v>552.10895828221294</v>
      </c>
      <c r="P33" s="27" t="s">
        <v>124</v>
      </c>
      <c r="Q33" s="28" t="s">
        <v>52</v>
      </c>
      <c r="R33" s="28">
        <v>487.04561303010036</v>
      </c>
      <c r="S33" s="28">
        <v>27.884290822333988</v>
      </c>
      <c r="T33" s="28">
        <v>31.602196265311854</v>
      </c>
      <c r="U33" s="28">
        <v>5.5768581644667981</v>
      </c>
      <c r="V33" s="28">
        <v>552.10895828221294</v>
      </c>
    </row>
    <row r="34" spans="1:22" ht="11.4" customHeight="1" x14ac:dyDescent="0.2">
      <c r="A34" s="27" t="s">
        <v>123</v>
      </c>
      <c r="B34" s="28" t="s">
        <v>51</v>
      </c>
      <c r="C34" s="28">
        <v>0</v>
      </c>
      <c r="D34" s="28">
        <v>16.730574493400393</v>
      </c>
      <c r="E34" s="28">
        <v>0</v>
      </c>
      <c r="F34" s="28">
        <v>29.743243543822921</v>
      </c>
      <c r="G34" s="28">
        <v>0</v>
      </c>
      <c r="H34" s="28">
        <v>0</v>
      </c>
      <c r="I34" s="28">
        <v>5.5768581644667981</v>
      </c>
      <c r="J34" s="28">
        <v>224.93327930016085</v>
      </c>
      <c r="K34" s="28">
        <v>9.2947636074446631</v>
      </c>
      <c r="L34" s="28">
        <v>81.793919745513037</v>
      </c>
      <c r="M34" s="28">
        <v>3.7179054429778651</v>
      </c>
      <c r="N34" s="28">
        <v>0</v>
      </c>
      <c r="O34" s="28">
        <v>371.79054429778654</v>
      </c>
      <c r="P34" s="27" t="s">
        <v>123</v>
      </c>
      <c r="Q34" s="28" t="s">
        <v>51</v>
      </c>
      <c r="R34" s="28">
        <v>193.331083034849</v>
      </c>
      <c r="S34" s="28">
        <v>171.02365037698181</v>
      </c>
      <c r="T34" s="28">
        <v>0</v>
      </c>
      <c r="U34" s="28">
        <v>7.4358108859557301</v>
      </c>
      <c r="V34" s="28">
        <v>371.79054429778654</v>
      </c>
    </row>
    <row r="35" spans="1:22" ht="11.4" customHeight="1" x14ac:dyDescent="0.2">
      <c r="A35" s="27" t="s">
        <v>126</v>
      </c>
      <c r="B35" s="28" t="s">
        <v>54</v>
      </c>
      <c r="C35" s="28">
        <v>0</v>
      </c>
      <c r="D35" s="28">
        <v>16.730574493400393</v>
      </c>
      <c r="E35" s="28">
        <v>0</v>
      </c>
      <c r="F35" s="28">
        <v>3.7179054429778651</v>
      </c>
      <c r="G35" s="28">
        <v>0</v>
      </c>
      <c r="H35" s="28">
        <v>0</v>
      </c>
      <c r="I35" s="28">
        <v>5.5768581644667981</v>
      </c>
      <c r="J35" s="28">
        <v>42.755912594245451</v>
      </c>
      <c r="K35" s="28">
        <v>0</v>
      </c>
      <c r="L35" s="28">
        <v>14.87162177191146</v>
      </c>
      <c r="M35" s="28">
        <v>1.8589527214889325</v>
      </c>
      <c r="N35" s="28">
        <v>0</v>
      </c>
      <c r="O35" s="28">
        <v>85.511825188490903</v>
      </c>
      <c r="P35" s="27" t="s">
        <v>126</v>
      </c>
      <c r="Q35" s="28" t="s">
        <v>54</v>
      </c>
      <c r="R35" s="28">
        <v>83.65287246700197</v>
      </c>
      <c r="S35" s="28">
        <v>1.8589527214889325</v>
      </c>
      <c r="T35" s="28">
        <v>0</v>
      </c>
      <c r="U35" s="28">
        <v>0</v>
      </c>
      <c r="V35" s="28">
        <v>85.511825188490903</v>
      </c>
    </row>
    <row r="36" spans="1:22" ht="11.4" customHeight="1" x14ac:dyDescent="0.2">
      <c r="A36" s="27" t="s">
        <v>129</v>
      </c>
      <c r="B36" s="28" t="s">
        <v>57</v>
      </c>
      <c r="C36" s="28">
        <v>24.166385379356125</v>
      </c>
      <c r="D36" s="28">
        <v>53.909628923179042</v>
      </c>
      <c r="E36" s="28">
        <v>24.166385379356125</v>
      </c>
      <c r="F36" s="28">
        <v>16.730574493400393</v>
      </c>
      <c r="G36" s="28">
        <v>22.307432657867192</v>
      </c>
      <c r="H36" s="28">
        <v>0</v>
      </c>
      <c r="I36" s="28">
        <v>46.473818037223317</v>
      </c>
      <c r="J36" s="28">
        <v>797.49071751875204</v>
      </c>
      <c r="K36" s="28">
        <v>55.768581644667975</v>
      </c>
      <c r="L36" s="28">
        <v>174.74155581995967</v>
      </c>
      <c r="M36" s="28">
        <v>66.922297973601573</v>
      </c>
      <c r="N36" s="28">
        <v>16.730574493400393</v>
      </c>
      <c r="O36" s="28">
        <v>1299.4079523207638</v>
      </c>
      <c r="P36" s="27" t="s">
        <v>129</v>
      </c>
      <c r="Q36" s="28" t="s">
        <v>57</v>
      </c>
      <c r="R36" s="28">
        <v>1146.9738291586714</v>
      </c>
      <c r="S36" s="28">
        <v>91.088683352957702</v>
      </c>
      <c r="T36" s="28">
        <v>35.32010170828972</v>
      </c>
      <c r="U36" s="28">
        <v>26.025338100845055</v>
      </c>
      <c r="V36" s="28">
        <v>1299.407952320764</v>
      </c>
    </row>
    <row r="37" spans="1:22" ht="11.4" customHeight="1" x14ac:dyDescent="0.2">
      <c r="A37" s="27" t="s">
        <v>128</v>
      </c>
      <c r="B37" s="28" t="s">
        <v>56</v>
      </c>
      <c r="C37" s="28">
        <v>24.166385379356125</v>
      </c>
      <c r="D37" s="28">
        <v>20.448479936378259</v>
      </c>
      <c r="E37" s="28">
        <v>3.7179054429778651</v>
      </c>
      <c r="F37" s="28">
        <v>59.486487087645841</v>
      </c>
      <c r="G37" s="28">
        <v>1.8589527214889325</v>
      </c>
      <c r="H37" s="28">
        <v>1.8589527214889325</v>
      </c>
      <c r="I37" s="28">
        <v>104.10135240338022</v>
      </c>
      <c r="J37" s="28">
        <v>490.76351847307819</v>
      </c>
      <c r="K37" s="28">
        <v>156.15202860507034</v>
      </c>
      <c r="L37" s="28">
        <v>208.20270480676044</v>
      </c>
      <c r="M37" s="28">
        <v>66.922297973601573</v>
      </c>
      <c r="N37" s="28">
        <v>33.461148986800787</v>
      </c>
      <c r="O37" s="28">
        <v>1171.1402145380275</v>
      </c>
      <c r="P37" s="27" t="s">
        <v>128</v>
      </c>
      <c r="Q37" s="28" t="s">
        <v>56</v>
      </c>
      <c r="R37" s="28">
        <v>836.52872467001964</v>
      </c>
      <c r="S37" s="28">
        <v>284.4197663878067</v>
      </c>
      <c r="T37" s="28">
        <v>48.33277075871225</v>
      </c>
      <c r="U37" s="28">
        <v>1.8589527214889325</v>
      </c>
      <c r="V37" s="28">
        <v>1171.1402145380275</v>
      </c>
    </row>
    <row r="38" spans="1:22" ht="11.4" customHeight="1" x14ac:dyDescent="0.2">
      <c r="A38" s="27" t="s">
        <v>127</v>
      </c>
      <c r="B38" s="28" t="s">
        <v>55</v>
      </c>
      <c r="C38" s="28">
        <v>0</v>
      </c>
      <c r="D38" s="28">
        <v>0</v>
      </c>
      <c r="E38" s="28">
        <v>0</v>
      </c>
      <c r="F38" s="28">
        <v>5.5768581644667981</v>
      </c>
      <c r="G38" s="28">
        <v>0</v>
      </c>
      <c r="H38" s="28">
        <v>0</v>
      </c>
      <c r="I38" s="28">
        <v>9.2947636074446631</v>
      </c>
      <c r="J38" s="28">
        <v>217.49746841420512</v>
      </c>
      <c r="K38" s="28">
        <v>0</v>
      </c>
      <c r="L38" s="28">
        <v>26.025338100845055</v>
      </c>
      <c r="M38" s="28">
        <v>0</v>
      </c>
      <c r="N38" s="28">
        <v>0</v>
      </c>
      <c r="O38" s="28">
        <v>258.39442828696161</v>
      </c>
      <c r="P38" s="27" t="s">
        <v>127</v>
      </c>
      <c r="Q38" s="28" t="s">
        <v>55</v>
      </c>
      <c r="R38" s="28">
        <v>237.94594835058336</v>
      </c>
      <c r="S38" s="28">
        <v>20.448479936378259</v>
      </c>
      <c r="T38" s="28">
        <v>0</v>
      </c>
      <c r="U38" s="28">
        <v>0</v>
      </c>
      <c r="V38" s="28">
        <v>258.39442828696161</v>
      </c>
    </row>
    <row r="39" spans="1:22" ht="11.4" customHeight="1" x14ac:dyDescent="0.2">
      <c r="A39" s="27" t="s">
        <v>125</v>
      </c>
      <c r="B39" s="28" t="s">
        <v>53</v>
      </c>
      <c r="C39" s="28">
        <v>0</v>
      </c>
      <c r="D39" s="28">
        <v>46.473818037223317</v>
      </c>
      <c r="E39" s="28">
        <v>0</v>
      </c>
      <c r="F39" s="28">
        <v>20.448479936378259</v>
      </c>
      <c r="G39" s="28">
        <v>22.307432657867192</v>
      </c>
      <c r="H39" s="28">
        <v>0</v>
      </c>
      <c r="I39" s="28">
        <v>0</v>
      </c>
      <c r="J39" s="28">
        <v>178.45946126293754</v>
      </c>
      <c r="K39" s="28">
        <v>3.7179054429778651</v>
      </c>
      <c r="L39" s="28">
        <v>14.87162177191146</v>
      </c>
      <c r="M39" s="28">
        <v>40.896959872756518</v>
      </c>
      <c r="N39" s="28">
        <v>0</v>
      </c>
      <c r="O39" s="28">
        <v>327.17567898205209</v>
      </c>
      <c r="P39" s="27" t="s">
        <v>125</v>
      </c>
      <c r="Q39" s="28" t="s">
        <v>53</v>
      </c>
      <c r="R39" s="28">
        <v>278.84290822333986</v>
      </c>
      <c r="S39" s="28">
        <v>48.33277075871225</v>
      </c>
      <c r="T39" s="28">
        <v>0</v>
      </c>
      <c r="U39" s="28">
        <v>0</v>
      </c>
      <c r="V39" s="28">
        <v>327.17567898205209</v>
      </c>
    </row>
    <row r="40" spans="1:22" ht="11.4" customHeight="1" x14ac:dyDescent="0.2">
      <c r="A40" s="27" t="s">
        <v>130</v>
      </c>
      <c r="B40" s="28" t="s">
        <v>58</v>
      </c>
      <c r="C40" s="28">
        <v>0</v>
      </c>
      <c r="D40" s="28">
        <v>3.7179054429778651</v>
      </c>
      <c r="E40" s="28">
        <v>1.8589527214889325</v>
      </c>
      <c r="F40" s="28">
        <v>3.7179054429778651</v>
      </c>
      <c r="G40" s="28">
        <v>1.8589527214889325</v>
      </c>
      <c r="H40" s="28">
        <v>0</v>
      </c>
      <c r="I40" s="28">
        <v>57.627534366156908</v>
      </c>
      <c r="J40" s="28">
        <v>433.13598410692128</v>
      </c>
      <c r="K40" s="28">
        <v>57.627534366156908</v>
      </c>
      <c r="L40" s="28">
        <v>131.98564322571423</v>
      </c>
      <c r="M40" s="28">
        <v>63.204392530623707</v>
      </c>
      <c r="N40" s="28">
        <v>0</v>
      </c>
      <c r="O40" s="28">
        <v>754.73480492450665</v>
      </c>
      <c r="P40" s="27" t="s">
        <v>130</v>
      </c>
      <c r="Q40" s="28" t="s">
        <v>58</v>
      </c>
      <c r="R40" s="28">
        <v>671.08193245750465</v>
      </c>
      <c r="S40" s="28">
        <v>55.768581644667975</v>
      </c>
      <c r="T40" s="28">
        <v>14.87162177191146</v>
      </c>
      <c r="U40" s="28">
        <v>13.012669050422527</v>
      </c>
      <c r="V40" s="28">
        <v>754.73480492450665</v>
      </c>
    </row>
    <row r="41" spans="1:22" ht="11.4" customHeight="1" x14ac:dyDescent="0.2">
      <c r="A41" s="27" t="s">
        <v>122</v>
      </c>
      <c r="B41" s="28" t="s">
        <v>50</v>
      </c>
      <c r="C41" s="28">
        <v>0</v>
      </c>
      <c r="D41" s="28">
        <v>9.2947636074446631</v>
      </c>
      <c r="E41" s="28">
        <v>0</v>
      </c>
      <c r="F41" s="28">
        <v>1.8589527214889325</v>
      </c>
      <c r="G41" s="28">
        <v>3.7179054429778651</v>
      </c>
      <c r="H41" s="28">
        <v>0</v>
      </c>
      <c r="I41" s="28">
        <v>0</v>
      </c>
      <c r="J41" s="28">
        <v>187.75422487038219</v>
      </c>
      <c r="K41" s="28">
        <v>9.2947636074446631</v>
      </c>
      <c r="L41" s="28">
        <v>40.896959872756518</v>
      </c>
      <c r="M41" s="28">
        <v>0</v>
      </c>
      <c r="N41" s="28">
        <v>0</v>
      </c>
      <c r="O41" s="28">
        <v>252.81757012249483</v>
      </c>
      <c r="P41" s="27" t="s">
        <v>122</v>
      </c>
      <c r="Q41" s="28" t="s">
        <v>50</v>
      </c>
      <c r="R41" s="28">
        <v>178.45946126293754</v>
      </c>
      <c r="S41" s="28">
        <v>74.358108859557305</v>
      </c>
      <c r="T41" s="28">
        <v>0</v>
      </c>
      <c r="U41" s="28">
        <v>0</v>
      </c>
      <c r="V41" s="28">
        <v>252.81757012249483</v>
      </c>
    </row>
    <row r="42" spans="1:22" ht="11.4" customHeight="1" x14ac:dyDescent="0.2">
      <c r="A42" s="31"/>
      <c r="B42" s="32" t="s">
        <v>59</v>
      </c>
      <c r="C42" s="28">
        <v>394.09797695565368</v>
      </c>
      <c r="D42" s="28">
        <v>845.82348827746409</v>
      </c>
      <c r="E42" s="28">
        <v>197.04898847782681</v>
      </c>
      <c r="F42" s="28">
        <v>2100.6165752824941</v>
      </c>
      <c r="G42" s="28">
        <v>784.47804846832912</v>
      </c>
      <c r="H42" s="28">
        <v>11.153716328933596</v>
      </c>
      <c r="I42" s="28">
        <v>2468.6892141373028</v>
      </c>
      <c r="J42" s="28">
        <v>19764.385334870323</v>
      </c>
      <c r="K42" s="28">
        <v>1496.4569407985907</v>
      </c>
      <c r="L42" s="28">
        <v>2379.4594835058342</v>
      </c>
      <c r="M42" s="28">
        <v>1689.7880238334394</v>
      </c>
      <c r="N42" s="28">
        <v>288.13767183078454</v>
      </c>
      <c r="O42" s="28">
        <v>32420.13546276699</v>
      </c>
      <c r="P42" s="31"/>
      <c r="Q42" s="32" t="s">
        <v>59</v>
      </c>
      <c r="R42" s="28">
        <v>25740.918334457252</v>
      </c>
      <c r="S42" s="28">
        <v>5749.7407675652676</v>
      </c>
      <c r="T42" s="28">
        <v>743.58108859557296</v>
      </c>
      <c r="U42" s="28">
        <v>185.89527214889321</v>
      </c>
      <c r="V42" s="28">
        <v>32420.135462766986</v>
      </c>
    </row>
    <row r="43" spans="1:22" ht="11.4" customHeight="1" x14ac:dyDescent="0.2">
      <c r="O43" s="63">
        <v>37832.061253371743</v>
      </c>
    </row>
    <row r="47" spans="1:22" ht="11.4" customHeight="1" x14ac:dyDescent="0.2">
      <c r="B47" s="63" t="s">
        <v>387</v>
      </c>
    </row>
    <row r="48" spans="1:22" ht="11.4" customHeight="1" x14ac:dyDescent="0.2">
      <c r="B48" s="63" t="s">
        <v>388</v>
      </c>
    </row>
    <row r="51" spans="1:4" ht="11.4" customHeight="1" x14ac:dyDescent="0.25">
      <c r="A51" s="67" t="s">
        <v>0</v>
      </c>
      <c r="B51" s="67" t="s">
        <v>4</v>
      </c>
      <c r="C51" s="33" t="s">
        <v>400</v>
      </c>
      <c r="D51" s="21"/>
    </row>
    <row r="52" spans="1:4" ht="11.4" customHeight="1" x14ac:dyDescent="0.25">
      <c r="A52" s="72">
        <v>1</v>
      </c>
      <c r="B52" s="69" t="s">
        <v>9</v>
      </c>
      <c r="C52" s="34">
        <f>C42</f>
        <v>394.09797695565368</v>
      </c>
      <c r="D52" s="18"/>
    </row>
    <row r="53" spans="1:4" ht="11.4" customHeight="1" x14ac:dyDescent="0.25">
      <c r="A53" s="72">
        <v>2</v>
      </c>
      <c r="B53" s="69" t="s">
        <v>10</v>
      </c>
      <c r="C53" s="34">
        <f>D42</f>
        <v>845.82348827746409</v>
      </c>
      <c r="D53" s="18"/>
    </row>
    <row r="54" spans="1:4" ht="11.4" customHeight="1" x14ac:dyDescent="0.25">
      <c r="A54" s="72">
        <v>3</v>
      </c>
      <c r="B54" s="69" t="s">
        <v>11</v>
      </c>
      <c r="C54" s="34">
        <f>E42</f>
        <v>197.04898847782681</v>
      </c>
      <c r="D54" s="18"/>
    </row>
    <row r="55" spans="1:4" ht="11.4" customHeight="1" x14ac:dyDescent="0.25">
      <c r="A55" s="72">
        <v>4</v>
      </c>
      <c r="B55" s="69" t="s">
        <v>12</v>
      </c>
      <c r="C55" s="34">
        <f>F42</f>
        <v>2100.6165752824941</v>
      </c>
      <c r="D55" s="18"/>
    </row>
    <row r="56" spans="1:4" ht="11.4" customHeight="1" x14ac:dyDescent="0.25">
      <c r="A56" s="72">
        <v>5</v>
      </c>
      <c r="B56" s="69" t="s">
        <v>13</v>
      </c>
      <c r="C56" s="34">
        <f>G42</f>
        <v>784.47804846832912</v>
      </c>
      <c r="D56" s="18"/>
    </row>
    <row r="57" spans="1:4" ht="11.4" customHeight="1" x14ac:dyDescent="0.25">
      <c r="A57" s="72">
        <v>6</v>
      </c>
      <c r="B57" s="69" t="s">
        <v>14</v>
      </c>
      <c r="C57" s="34">
        <f>H42</f>
        <v>11.153716328933596</v>
      </c>
      <c r="D57" s="18"/>
    </row>
    <row r="58" spans="1:4" ht="11.4" customHeight="1" x14ac:dyDescent="0.25">
      <c r="A58" s="72">
        <v>7</v>
      </c>
      <c r="B58" s="69" t="s">
        <v>15</v>
      </c>
      <c r="C58" s="34">
        <f>I42</f>
        <v>2468.6892141373028</v>
      </c>
      <c r="D58" s="18"/>
    </row>
    <row r="59" spans="1:4" ht="11.4" customHeight="1" x14ac:dyDescent="0.25">
      <c r="A59" s="72">
        <v>8</v>
      </c>
      <c r="B59" s="69" t="s">
        <v>19</v>
      </c>
      <c r="C59" s="34">
        <f>J42</f>
        <v>19764.385334870323</v>
      </c>
      <c r="D59" s="18"/>
    </row>
    <row r="60" spans="1:4" ht="11.4" customHeight="1" x14ac:dyDescent="0.25">
      <c r="A60" s="72">
        <v>9</v>
      </c>
      <c r="B60" s="69" t="s">
        <v>17</v>
      </c>
      <c r="C60" s="34">
        <f>K42</f>
        <v>1496.4569407985907</v>
      </c>
      <c r="D60" s="18"/>
    </row>
    <row r="61" spans="1:4" ht="11.4" customHeight="1" x14ac:dyDescent="0.25">
      <c r="A61" s="72">
        <v>10</v>
      </c>
      <c r="B61" s="69" t="s">
        <v>18</v>
      </c>
      <c r="C61" s="34">
        <f>L42</f>
        <v>2379.4594835058342</v>
      </c>
      <c r="D61" s="18"/>
    </row>
    <row r="62" spans="1:4" ht="11.4" customHeight="1" x14ac:dyDescent="0.25">
      <c r="A62" s="72">
        <v>11</v>
      </c>
      <c r="B62" s="69" t="s">
        <v>20</v>
      </c>
      <c r="C62" s="34">
        <f>M42</f>
        <v>1689.7880238334394</v>
      </c>
      <c r="D62" s="18"/>
    </row>
    <row r="63" spans="1:4" ht="11.4" customHeight="1" x14ac:dyDescent="0.25">
      <c r="A63" s="72">
        <v>12</v>
      </c>
      <c r="B63" s="69" t="s">
        <v>16</v>
      </c>
      <c r="C63" s="34">
        <f>N42</f>
        <v>288.13767183078454</v>
      </c>
      <c r="D63" s="18"/>
    </row>
    <row r="64" spans="1:4" ht="11.4" customHeight="1" x14ac:dyDescent="0.25">
      <c r="A64" s="72"/>
      <c r="B64" s="69" t="s">
        <v>400</v>
      </c>
      <c r="C64" s="34">
        <f>O42</f>
        <v>32420.13546276699</v>
      </c>
      <c r="D64" s="51">
        <f>SUM(C52:C63)</f>
        <v>32420.135462766979</v>
      </c>
    </row>
    <row r="65" spans="1:4" ht="11.4" customHeight="1" x14ac:dyDescent="0.25">
      <c r="A65" s="71"/>
      <c r="B65" s="66"/>
      <c r="C65" s="36"/>
      <c r="D65" s="18"/>
    </row>
    <row r="66" spans="1:4" ht="11.4" customHeight="1" x14ac:dyDescent="0.25">
      <c r="A66" s="75"/>
      <c r="B66" s="75"/>
      <c r="C66" s="75"/>
      <c r="D66" s="18"/>
    </row>
    <row r="67" spans="1:4" ht="11.4" customHeight="1" x14ac:dyDescent="0.25">
      <c r="A67" s="67" t="s">
        <v>0</v>
      </c>
      <c r="B67" s="67" t="s">
        <v>2</v>
      </c>
      <c r="C67" s="33" t="s">
        <v>400</v>
      </c>
      <c r="D67" s="21"/>
    </row>
    <row r="68" spans="1:4" ht="11.4" customHeight="1" x14ac:dyDescent="0.25">
      <c r="A68" s="72">
        <v>1</v>
      </c>
      <c r="B68" s="69" t="s">
        <v>5</v>
      </c>
      <c r="C68" s="34">
        <f>R42</f>
        <v>25740.918334457252</v>
      </c>
      <c r="D68" s="18"/>
    </row>
    <row r="69" spans="1:4" ht="11.4" customHeight="1" x14ac:dyDescent="0.25">
      <c r="A69" s="72">
        <v>2</v>
      </c>
      <c r="B69" s="69" t="s">
        <v>6</v>
      </c>
      <c r="C69" s="34">
        <f>S42</f>
        <v>5749.7407675652676</v>
      </c>
      <c r="D69" s="18"/>
    </row>
    <row r="70" spans="1:4" ht="11.4" customHeight="1" x14ac:dyDescent="0.25">
      <c r="A70" s="72">
        <v>3</v>
      </c>
      <c r="B70" s="69" t="s">
        <v>7</v>
      </c>
      <c r="C70" s="34">
        <f>T42</f>
        <v>743.58108859557296</v>
      </c>
      <c r="D70" s="18"/>
    </row>
    <row r="71" spans="1:4" ht="11.4" customHeight="1" x14ac:dyDescent="0.25">
      <c r="A71" s="72">
        <v>4</v>
      </c>
      <c r="B71" s="69" t="s">
        <v>8</v>
      </c>
      <c r="C71" s="34">
        <f>U42</f>
        <v>185.89527214889321</v>
      </c>
      <c r="D71" s="18"/>
    </row>
    <row r="72" spans="1:4" ht="11.4" customHeight="1" x14ac:dyDescent="0.25">
      <c r="A72" s="72"/>
      <c r="B72" s="69" t="s">
        <v>400</v>
      </c>
      <c r="C72" s="34">
        <f>V42</f>
        <v>32420.135462766986</v>
      </c>
      <c r="D72" s="51">
        <f>SUM(C68:C71)</f>
        <v>32420.135462766986</v>
      </c>
    </row>
  </sheetData>
  <mergeCells count="10">
    <mergeCell ref="A1:O1"/>
    <mergeCell ref="P1:V1"/>
    <mergeCell ref="A2:A3"/>
    <mergeCell ref="B2:B3"/>
    <mergeCell ref="C2:N2"/>
    <mergeCell ref="O2:O3"/>
    <mergeCell ref="P2:P3"/>
    <mergeCell ref="Q2:Q3"/>
    <mergeCell ref="R2:U2"/>
    <mergeCell ref="V2:V3"/>
  </mergeCells>
  <pageMargins left="0.31496062992125984" right="0" top="0.59055118110236227" bottom="0.35433070866141736" header="0.31496062992125984" footer="0.31496062992125984"/>
  <pageSetup paperSize="9" scale="80" firstPageNumber="206" orientation="landscape" useFirstPageNumber="1" r:id="rId1"/>
  <headerFooter>
    <oddFooter>&amp;C&amp;P</oddFooter>
  </headerFooter>
  <colBreaks count="1" manualBreakCount="1">
    <brk id="1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B34D-E286-41F5-A80E-610F47CA82B1}">
  <dimension ref="A1:M77"/>
  <sheetViews>
    <sheetView view="pageBreakPreview" zoomScale="60" zoomScaleNormal="55" workbookViewId="0">
      <selection activeCell="K47" sqref="K47:M77"/>
    </sheetView>
  </sheetViews>
  <sheetFormatPr defaultRowHeight="12" x14ac:dyDescent="0.25"/>
  <cols>
    <col min="1" max="1" width="5.33203125" style="66" customWidth="1"/>
    <col min="2" max="2" width="21.44140625" style="66" customWidth="1"/>
    <col min="3" max="10" width="10.6640625" style="66" customWidth="1"/>
    <col min="11" max="11" width="4.6640625" style="66" customWidth="1"/>
    <col min="12" max="12" width="40" style="66" customWidth="1"/>
    <col min="13" max="13" width="21.33203125" style="66" customWidth="1"/>
    <col min="14" max="16384" width="8.88671875" style="66"/>
  </cols>
  <sheetData>
    <row r="1" spans="1:12" x14ac:dyDescent="0.25">
      <c r="A1" s="120" t="s">
        <v>389</v>
      </c>
      <c r="B1" s="120"/>
      <c r="C1" s="120"/>
      <c r="D1" s="120"/>
      <c r="E1" s="120"/>
      <c r="F1" s="120"/>
      <c r="G1" s="120"/>
      <c r="H1" s="120"/>
      <c r="I1" s="120"/>
      <c r="J1" s="73"/>
    </row>
    <row r="2" spans="1:12" x14ac:dyDescent="0.25">
      <c r="A2" s="114"/>
      <c r="B2" s="114"/>
      <c r="C2" s="114"/>
      <c r="D2" s="114"/>
      <c r="E2" s="114"/>
      <c r="F2" s="114"/>
      <c r="G2" s="114"/>
      <c r="H2" s="114"/>
      <c r="I2" s="114"/>
      <c r="J2" s="91"/>
    </row>
    <row r="3" spans="1:12" x14ac:dyDescent="0.25">
      <c r="A3" s="115" t="s">
        <v>0</v>
      </c>
      <c r="B3" s="115" t="s">
        <v>60</v>
      </c>
      <c r="C3" s="117" t="s">
        <v>79</v>
      </c>
      <c r="D3" s="118"/>
      <c r="E3" s="118"/>
      <c r="F3" s="118"/>
      <c r="G3" s="118"/>
      <c r="H3" s="118"/>
      <c r="I3" s="119"/>
      <c r="J3" s="92"/>
    </row>
    <row r="4" spans="1:12" x14ac:dyDescent="0.25">
      <c r="A4" s="116"/>
      <c r="B4" s="116"/>
      <c r="C4" s="85" t="s">
        <v>80</v>
      </c>
      <c r="D4" s="85" t="s">
        <v>81</v>
      </c>
      <c r="E4" s="85" t="s">
        <v>82</v>
      </c>
      <c r="F4" s="85" t="s">
        <v>83</v>
      </c>
      <c r="G4" s="85" t="s">
        <v>84</v>
      </c>
      <c r="H4" s="85" t="s">
        <v>399</v>
      </c>
      <c r="I4" s="85" t="s">
        <v>78</v>
      </c>
      <c r="J4" s="93"/>
    </row>
    <row r="5" spans="1:12" x14ac:dyDescent="0.25">
      <c r="A5" s="68" t="s">
        <v>110</v>
      </c>
      <c r="B5" s="69" t="s">
        <v>38</v>
      </c>
      <c r="C5" s="34">
        <v>1</v>
      </c>
      <c r="D5" s="34">
        <v>7</v>
      </c>
      <c r="E5" s="34">
        <v>28</v>
      </c>
      <c r="F5" s="34">
        <v>13</v>
      </c>
      <c r="G5" s="34">
        <v>0</v>
      </c>
      <c r="H5" s="34">
        <v>13</v>
      </c>
      <c r="I5" s="34">
        <v>0</v>
      </c>
      <c r="J5" s="36"/>
      <c r="L5" s="66" t="s">
        <v>389</v>
      </c>
    </row>
    <row r="6" spans="1:12" x14ac:dyDescent="0.25">
      <c r="A6" s="68" t="s">
        <v>113</v>
      </c>
      <c r="B6" s="69" t="s">
        <v>41</v>
      </c>
      <c r="C6" s="34">
        <v>0</v>
      </c>
      <c r="D6" s="34">
        <v>0</v>
      </c>
      <c r="E6" s="34">
        <v>20</v>
      </c>
      <c r="F6" s="34">
        <v>1</v>
      </c>
      <c r="G6" s="34">
        <v>5</v>
      </c>
      <c r="H6" s="34">
        <v>0</v>
      </c>
      <c r="I6" s="34">
        <v>0</v>
      </c>
      <c r="J6" s="36"/>
      <c r="L6" s="66" t="s">
        <v>390</v>
      </c>
    </row>
    <row r="7" spans="1:12" x14ac:dyDescent="0.25">
      <c r="A7" s="68" t="s">
        <v>119</v>
      </c>
      <c r="B7" s="69" t="s">
        <v>47</v>
      </c>
      <c r="C7" s="34">
        <v>0</v>
      </c>
      <c r="D7" s="34">
        <v>0</v>
      </c>
      <c r="E7" s="34">
        <v>12</v>
      </c>
      <c r="F7" s="34">
        <v>0</v>
      </c>
      <c r="G7" s="34">
        <v>0</v>
      </c>
      <c r="H7" s="34">
        <v>0</v>
      </c>
      <c r="I7" s="34">
        <v>0</v>
      </c>
      <c r="J7" s="36"/>
      <c r="L7" s="66" t="s">
        <v>391</v>
      </c>
    </row>
    <row r="8" spans="1:12" x14ac:dyDescent="0.25">
      <c r="A8" s="68" t="s">
        <v>121</v>
      </c>
      <c r="B8" s="69" t="s">
        <v>49</v>
      </c>
      <c r="C8" s="34">
        <v>2</v>
      </c>
      <c r="D8" s="34">
        <v>1</v>
      </c>
      <c r="E8" s="34">
        <v>4</v>
      </c>
      <c r="F8" s="34">
        <v>8</v>
      </c>
      <c r="G8" s="34">
        <v>4</v>
      </c>
      <c r="H8" s="34">
        <v>0</v>
      </c>
      <c r="I8" s="34">
        <v>0</v>
      </c>
      <c r="J8" s="36"/>
    </row>
    <row r="9" spans="1:12" x14ac:dyDescent="0.25">
      <c r="A9" s="68" t="s">
        <v>95</v>
      </c>
      <c r="B9" s="69" t="s">
        <v>23</v>
      </c>
      <c r="C9" s="34">
        <v>0</v>
      </c>
      <c r="D9" s="34">
        <v>2</v>
      </c>
      <c r="E9" s="34">
        <v>16</v>
      </c>
      <c r="F9" s="34">
        <v>2</v>
      </c>
      <c r="G9" s="34">
        <v>6</v>
      </c>
      <c r="H9" s="34">
        <v>0</v>
      </c>
      <c r="I9" s="34">
        <v>0</v>
      </c>
      <c r="J9" s="36"/>
    </row>
    <row r="10" spans="1:12" x14ac:dyDescent="0.25">
      <c r="A10" s="68" t="s">
        <v>101</v>
      </c>
      <c r="B10" s="69" t="s">
        <v>29</v>
      </c>
      <c r="C10" s="34">
        <v>0</v>
      </c>
      <c r="D10" s="34">
        <v>0</v>
      </c>
      <c r="E10" s="34">
        <v>41</v>
      </c>
      <c r="F10" s="34">
        <v>12</v>
      </c>
      <c r="G10" s="34">
        <v>27</v>
      </c>
      <c r="H10" s="34">
        <v>1</v>
      </c>
      <c r="I10" s="34">
        <v>0</v>
      </c>
      <c r="J10" s="36"/>
    </row>
    <row r="11" spans="1:12" x14ac:dyDescent="0.25">
      <c r="A11" s="68" t="s">
        <v>106</v>
      </c>
      <c r="B11" s="69" t="s">
        <v>34</v>
      </c>
      <c r="C11" s="34">
        <v>0</v>
      </c>
      <c r="D11" s="34">
        <v>0</v>
      </c>
      <c r="E11" s="34">
        <v>5</v>
      </c>
      <c r="F11" s="34">
        <v>1</v>
      </c>
      <c r="G11" s="34">
        <v>5</v>
      </c>
      <c r="H11" s="34">
        <v>0</v>
      </c>
      <c r="I11" s="34">
        <v>0</v>
      </c>
      <c r="J11" s="36"/>
    </row>
    <row r="12" spans="1:12" x14ac:dyDescent="0.25">
      <c r="A12" s="68" t="s">
        <v>103</v>
      </c>
      <c r="B12" s="69" t="s">
        <v>31</v>
      </c>
      <c r="C12" s="34">
        <v>0</v>
      </c>
      <c r="D12" s="34">
        <v>0</v>
      </c>
      <c r="E12" s="34">
        <v>9</v>
      </c>
      <c r="F12" s="34">
        <v>1</v>
      </c>
      <c r="G12" s="34">
        <v>9</v>
      </c>
      <c r="H12" s="34">
        <v>1</v>
      </c>
      <c r="I12" s="34">
        <v>0</v>
      </c>
      <c r="J12" s="36"/>
    </row>
    <row r="13" spans="1:12" x14ac:dyDescent="0.25">
      <c r="A13" s="68" t="s">
        <v>99</v>
      </c>
      <c r="B13" s="69" t="s">
        <v>27</v>
      </c>
      <c r="C13" s="34">
        <v>1</v>
      </c>
      <c r="D13" s="34">
        <v>0</v>
      </c>
      <c r="E13" s="34">
        <v>21</v>
      </c>
      <c r="F13" s="34">
        <v>5</v>
      </c>
      <c r="G13" s="34">
        <v>30</v>
      </c>
      <c r="H13" s="34">
        <v>0</v>
      </c>
      <c r="I13" s="34">
        <v>0</v>
      </c>
      <c r="J13" s="36"/>
    </row>
    <row r="14" spans="1:12" x14ac:dyDescent="0.25">
      <c r="A14" s="68" t="s">
        <v>94</v>
      </c>
      <c r="B14" s="69" t="s">
        <v>22</v>
      </c>
      <c r="C14" s="34">
        <v>25</v>
      </c>
      <c r="D14" s="34">
        <v>1</v>
      </c>
      <c r="E14" s="34">
        <v>28</v>
      </c>
      <c r="F14" s="34">
        <v>24</v>
      </c>
      <c r="G14" s="34">
        <v>72</v>
      </c>
      <c r="H14" s="34">
        <v>0</v>
      </c>
      <c r="I14" s="34">
        <v>0</v>
      </c>
      <c r="J14" s="36"/>
    </row>
    <row r="15" spans="1:12" x14ac:dyDescent="0.25">
      <c r="A15" s="68" t="s">
        <v>97</v>
      </c>
      <c r="B15" s="69" t="s">
        <v>25</v>
      </c>
      <c r="C15" s="34">
        <v>0</v>
      </c>
      <c r="D15" s="34">
        <v>0</v>
      </c>
      <c r="E15" s="34">
        <v>1</v>
      </c>
      <c r="F15" s="34">
        <v>0</v>
      </c>
      <c r="G15" s="34">
        <v>1</v>
      </c>
      <c r="H15" s="34">
        <v>0</v>
      </c>
      <c r="I15" s="34">
        <v>0</v>
      </c>
      <c r="J15" s="36"/>
    </row>
    <row r="16" spans="1:12" x14ac:dyDescent="0.25">
      <c r="A16" s="68" t="s">
        <v>117</v>
      </c>
      <c r="B16" s="69" t="s">
        <v>45</v>
      </c>
      <c r="C16" s="34">
        <v>0</v>
      </c>
      <c r="D16" s="34">
        <v>0</v>
      </c>
      <c r="E16" s="34">
        <v>5</v>
      </c>
      <c r="F16" s="34">
        <v>9</v>
      </c>
      <c r="G16" s="34">
        <v>14</v>
      </c>
      <c r="H16" s="34">
        <v>1</v>
      </c>
      <c r="I16" s="34">
        <v>0</v>
      </c>
      <c r="J16" s="36"/>
    </row>
    <row r="17" spans="1:10" x14ac:dyDescent="0.25">
      <c r="A17" s="68" t="s">
        <v>114</v>
      </c>
      <c r="B17" s="69" t="s">
        <v>42</v>
      </c>
      <c r="C17" s="34">
        <v>3</v>
      </c>
      <c r="D17" s="34">
        <v>0</v>
      </c>
      <c r="E17" s="34">
        <v>7</v>
      </c>
      <c r="F17" s="34">
        <v>3</v>
      </c>
      <c r="G17" s="34">
        <v>9</v>
      </c>
      <c r="H17" s="34">
        <v>3</v>
      </c>
      <c r="I17" s="34">
        <v>0</v>
      </c>
      <c r="J17" s="36"/>
    </row>
    <row r="18" spans="1:10" x14ac:dyDescent="0.25">
      <c r="A18" s="68" t="s">
        <v>112</v>
      </c>
      <c r="B18" s="69" t="s">
        <v>40</v>
      </c>
      <c r="C18" s="34">
        <v>22</v>
      </c>
      <c r="D18" s="34">
        <v>3</v>
      </c>
      <c r="E18" s="34">
        <v>17</v>
      </c>
      <c r="F18" s="34">
        <v>13</v>
      </c>
      <c r="G18" s="34">
        <v>17</v>
      </c>
      <c r="H18" s="34">
        <v>0</v>
      </c>
      <c r="I18" s="34">
        <v>0</v>
      </c>
      <c r="J18" s="36"/>
    </row>
    <row r="19" spans="1:10" x14ac:dyDescent="0.25">
      <c r="A19" s="68" t="s">
        <v>116</v>
      </c>
      <c r="B19" s="69" t="s">
        <v>44</v>
      </c>
      <c r="C19" s="34">
        <v>30</v>
      </c>
      <c r="D19" s="34">
        <v>0</v>
      </c>
      <c r="E19" s="34">
        <v>36</v>
      </c>
      <c r="F19" s="34">
        <v>26</v>
      </c>
      <c r="G19" s="34">
        <v>44</v>
      </c>
      <c r="H19" s="34">
        <v>1</v>
      </c>
      <c r="I19" s="34">
        <v>0</v>
      </c>
      <c r="J19" s="36"/>
    </row>
    <row r="20" spans="1:10" x14ac:dyDescent="0.25">
      <c r="A20" s="68" t="s">
        <v>107</v>
      </c>
      <c r="B20" s="69" t="s">
        <v>35</v>
      </c>
      <c r="C20" s="34">
        <v>3</v>
      </c>
      <c r="D20" s="34">
        <v>0</v>
      </c>
      <c r="E20" s="34">
        <v>73</v>
      </c>
      <c r="F20" s="34">
        <v>20</v>
      </c>
      <c r="G20" s="34">
        <v>58</v>
      </c>
      <c r="H20" s="34">
        <v>0</v>
      </c>
      <c r="I20" s="34">
        <v>0</v>
      </c>
      <c r="J20" s="36"/>
    </row>
    <row r="21" spans="1:10" x14ac:dyDescent="0.25">
      <c r="A21" s="68" t="s">
        <v>100</v>
      </c>
      <c r="B21" s="69" t="s">
        <v>28</v>
      </c>
      <c r="C21" s="34">
        <v>0</v>
      </c>
      <c r="D21" s="34">
        <v>0</v>
      </c>
      <c r="E21" s="34">
        <v>8</v>
      </c>
      <c r="F21" s="34">
        <v>1</v>
      </c>
      <c r="G21" s="34">
        <v>7</v>
      </c>
      <c r="H21" s="34">
        <v>0</v>
      </c>
      <c r="I21" s="34">
        <v>0</v>
      </c>
      <c r="J21" s="36"/>
    </row>
    <row r="22" spans="1:10" x14ac:dyDescent="0.25">
      <c r="A22" s="68" t="s">
        <v>108</v>
      </c>
      <c r="B22" s="69" t="s">
        <v>36</v>
      </c>
      <c r="C22" s="34">
        <v>0</v>
      </c>
      <c r="D22" s="34">
        <v>0</v>
      </c>
      <c r="E22" s="34">
        <v>7</v>
      </c>
      <c r="F22" s="34">
        <v>0</v>
      </c>
      <c r="G22" s="34">
        <v>12</v>
      </c>
      <c r="H22" s="34">
        <v>0</v>
      </c>
      <c r="I22" s="34">
        <v>0</v>
      </c>
      <c r="J22" s="36"/>
    </row>
    <row r="23" spans="1:10" x14ac:dyDescent="0.25">
      <c r="A23" s="68" t="s">
        <v>104</v>
      </c>
      <c r="B23" s="69" t="s">
        <v>32</v>
      </c>
      <c r="C23" s="34">
        <v>0</v>
      </c>
      <c r="D23" s="34">
        <v>0</v>
      </c>
      <c r="E23" s="34">
        <v>24</v>
      </c>
      <c r="F23" s="34">
        <v>0</v>
      </c>
      <c r="G23" s="34">
        <v>18</v>
      </c>
      <c r="H23" s="34">
        <v>0</v>
      </c>
      <c r="I23" s="34">
        <v>0</v>
      </c>
      <c r="J23" s="36"/>
    </row>
    <row r="24" spans="1:10" x14ac:dyDescent="0.25">
      <c r="A24" s="68" t="s">
        <v>105</v>
      </c>
      <c r="B24" s="69" t="s">
        <v>33</v>
      </c>
      <c r="C24" s="34">
        <v>0</v>
      </c>
      <c r="D24" s="34">
        <v>0</v>
      </c>
      <c r="E24" s="34">
        <v>26</v>
      </c>
      <c r="F24" s="34">
        <v>2</v>
      </c>
      <c r="G24" s="34">
        <v>11</v>
      </c>
      <c r="H24" s="34">
        <v>0</v>
      </c>
      <c r="I24" s="34">
        <v>0</v>
      </c>
      <c r="J24" s="36"/>
    </row>
    <row r="25" spans="1:10" x14ac:dyDescent="0.25">
      <c r="A25" s="68" t="s">
        <v>109</v>
      </c>
      <c r="B25" s="69" t="s">
        <v>37</v>
      </c>
      <c r="C25" s="34">
        <v>0</v>
      </c>
      <c r="D25" s="34">
        <v>0</v>
      </c>
      <c r="E25" s="34">
        <v>1</v>
      </c>
      <c r="F25" s="34">
        <v>0</v>
      </c>
      <c r="G25" s="34">
        <v>3</v>
      </c>
      <c r="H25" s="34">
        <v>0</v>
      </c>
      <c r="I25" s="34">
        <v>0</v>
      </c>
      <c r="J25" s="36"/>
    </row>
    <row r="26" spans="1:10" x14ac:dyDescent="0.25">
      <c r="A26" s="68" t="s">
        <v>96</v>
      </c>
      <c r="B26" s="69" t="s">
        <v>24</v>
      </c>
      <c r="C26" s="34">
        <v>3</v>
      </c>
      <c r="D26" s="34">
        <v>0</v>
      </c>
      <c r="E26" s="34">
        <v>3</v>
      </c>
      <c r="F26" s="34">
        <v>4</v>
      </c>
      <c r="G26" s="34">
        <v>2</v>
      </c>
      <c r="H26" s="34">
        <v>0</v>
      </c>
      <c r="I26" s="34">
        <v>5</v>
      </c>
      <c r="J26" s="36"/>
    </row>
    <row r="27" spans="1:10" x14ac:dyDescent="0.25">
      <c r="A27" s="68" t="s">
        <v>120</v>
      </c>
      <c r="B27" s="69" t="s">
        <v>48</v>
      </c>
      <c r="C27" s="34">
        <v>3</v>
      </c>
      <c r="D27" s="34">
        <v>0</v>
      </c>
      <c r="E27" s="34">
        <v>8</v>
      </c>
      <c r="F27" s="34">
        <v>7</v>
      </c>
      <c r="G27" s="34">
        <v>14</v>
      </c>
      <c r="H27" s="34">
        <v>1</v>
      </c>
      <c r="I27" s="34">
        <v>0</v>
      </c>
      <c r="J27" s="36"/>
    </row>
    <row r="28" spans="1:10" x14ac:dyDescent="0.25">
      <c r="A28" s="68" t="s">
        <v>102</v>
      </c>
      <c r="B28" s="69" t="s">
        <v>30</v>
      </c>
      <c r="C28" s="34">
        <v>0</v>
      </c>
      <c r="D28" s="34">
        <v>11</v>
      </c>
      <c r="E28" s="34">
        <v>22</v>
      </c>
      <c r="F28" s="34">
        <v>18</v>
      </c>
      <c r="G28" s="34">
        <v>24</v>
      </c>
      <c r="H28" s="34">
        <v>0</v>
      </c>
      <c r="I28" s="34">
        <v>0</v>
      </c>
      <c r="J28" s="36"/>
    </row>
    <row r="29" spans="1:10" x14ac:dyDescent="0.25">
      <c r="A29" s="68" t="s">
        <v>98</v>
      </c>
      <c r="B29" s="69" t="s">
        <v>26</v>
      </c>
      <c r="C29" s="34">
        <v>2</v>
      </c>
      <c r="D29" s="34">
        <v>1</v>
      </c>
      <c r="E29" s="34">
        <v>24</v>
      </c>
      <c r="F29" s="34">
        <v>18</v>
      </c>
      <c r="G29" s="34">
        <v>64</v>
      </c>
      <c r="H29" s="34">
        <v>0</v>
      </c>
      <c r="I29" s="34">
        <v>0</v>
      </c>
      <c r="J29" s="36"/>
    </row>
    <row r="30" spans="1:10" x14ac:dyDescent="0.25">
      <c r="A30" s="68" t="s">
        <v>93</v>
      </c>
      <c r="B30" s="69" t="s">
        <v>21</v>
      </c>
      <c r="C30" s="34">
        <v>0</v>
      </c>
      <c r="D30" s="34">
        <v>0</v>
      </c>
      <c r="E30" s="34">
        <v>9</v>
      </c>
      <c r="F30" s="34">
        <v>5</v>
      </c>
      <c r="G30" s="34">
        <v>7</v>
      </c>
      <c r="H30" s="34">
        <v>0</v>
      </c>
      <c r="I30" s="34">
        <v>0</v>
      </c>
      <c r="J30" s="36"/>
    </row>
    <row r="31" spans="1:10" x14ac:dyDescent="0.25">
      <c r="A31" s="68" t="s">
        <v>115</v>
      </c>
      <c r="B31" s="69" t="s">
        <v>43</v>
      </c>
      <c r="C31" s="34">
        <v>1</v>
      </c>
      <c r="D31" s="34">
        <v>1</v>
      </c>
      <c r="E31" s="34">
        <v>24</v>
      </c>
      <c r="F31" s="34">
        <v>3</v>
      </c>
      <c r="G31" s="34">
        <v>10</v>
      </c>
      <c r="H31" s="34">
        <v>2</v>
      </c>
      <c r="I31" s="34">
        <v>2</v>
      </c>
      <c r="J31" s="36"/>
    </row>
    <row r="32" spans="1:10" x14ac:dyDescent="0.25">
      <c r="A32" s="68" t="s">
        <v>111</v>
      </c>
      <c r="B32" s="69" t="s">
        <v>39</v>
      </c>
      <c r="C32" s="34">
        <v>0</v>
      </c>
      <c r="D32" s="34">
        <v>0</v>
      </c>
      <c r="E32" s="34">
        <v>41</v>
      </c>
      <c r="F32" s="34">
        <v>0</v>
      </c>
      <c r="G32" s="34">
        <v>17</v>
      </c>
      <c r="H32" s="34">
        <v>0</v>
      </c>
      <c r="I32" s="34">
        <v>0</v>
      </c>
      <c r="J32" s="36"/>
    </row>
    <row r="33" spans="1:13" x14ac:dyDescent="0.25">
      <c r="A33" s="68" t="s">
        <v>118</v>
      </c>
      <c r="B33" s="69" t="s">
        <v>46</v>
      </c>
      <c r="C33" s="34">
        <v>3</v>
      </c>
      <c r="D33" s="34">
        <v>4</v>
      </c>
      <c r="E33" s="34">
        <v>20</v>
      </c>
      <c r="F33" s="34">
        <v>3</v>
      </c>
      <c r="G33" s="34">
        <v>19</v>
      </c>
      <c r="H33" s="34">
        <v>0</v>
      </c>
      <c r="I33" s="34">
        <v>0</v>
      </c>
      <c r="J33" s="36"/>
    </row>
    <row r="34" spans="1:13" x14ac:dyDescent="0.25">
      <c r="A34" s="68" t="s">
        <v>124</v>
      </c>
      <c r="B34" s="69" t="s">
        <v>52</v>
      </c>
      <c r="C34" s="34">
        <v>0</v>
      </c>
      <c r="D34" s="34">
        <v>2</v>
      </c>
      <c r="E34" s="34">
        <v>12</v>
      </c>
      <c r="F34" s="34">
        <v>1</v>
      </c>
      <c r="G34" s="34">
        <v>8</v>
      </c>
      <c r="H34" s="34">
        <v>1</v>
      </c>
      <c r="I34" s="34">
        <v>0</v>
      </c>
      <c r="J34" s="36"/>
    </row>
    <row r="35" spans="1:13" x14ac:dyDescent="0.25">
      <c r="A35" s="68" t="s">
        <v>123</v>
      </c>
      <c r="B35" s="69" t="s">
        <v>51</v>
      </c>
      <c r="C35" s="34">
        <v>0</v>
      </c>
      <c r="D35" s="34">
        <v>0</v>
      </c>
      <c r="E35" s="34">
        <v>18</v>
      </c>
      <c r="F35" s="34">
        <v>0</v>
      </c>
      <c r="G35" s="34">
        <v>17</v>
      </c>
      <c r="H35" s="34">
        <v>6</v>
      </c>
      <c r="I35" s="34">
        <v>0</v>
      </c>
      <c r="J35" s="36"/>
    </row>
    <row r="36" spans="1:13" x14ac:dyDescent="0.25">
      <c r="A36" s="68" t="s">
        <v>126</v>
      </c>
      <c r="B36" s="69" t="s">
        <v>54</v>
      </c>
      <c r="C36" s="34">
        <v>0</v>
      </c>
      <c r="D36" s="34">
        <v>0</v>
      </c>
      <c r="E36" s="34">
        <v>17</v>
      </c>
      <c r="F36" s="34">
        <v>0</v>
      </c>
      <c r="G36" s="34">
        <v>5</v>
      </c>
      <c r="H36" s="34">
        <v>0</v>
      </c>
      <c r="I36" s="34">
        <v>0</v>
      </c>
      <c r="J36" s="36"/>
    </row>
    <row r="37" spans="1:13" x14ac:dyDescent="0.25">
      <c r="A37" s="68" t="s">
        <v>129</v>
      </c>
      <c r="B37" s="69" t="s">
        <v>57</v>
      </c>
      <c r="C37" s="34">
        <v>2</v>
      </c>
      <c r="D37" s="34">
        <v>0</v>
      </c>
      <c r="E37" s="34">
        <v>74</v>
      </c>
      <c r="F37" s="34">
        <v>15</v>
      </c>
      <c r="G37" s="34">
        <v>79</v>
      </c>
      <c r="H37" s="34">
        <v>1</v>
      </c>
      <c r="I37" s="34">
        <v>0</v>
      </c>
      <c r="J37" s="36"/>
    </row>
    <row r="38" spans="1:13" x14ac:dyDescent="0.25">
      <c r="A38" s="68" t="s">
        <v>128</v>
      </c>
      <c r="B38" s="69" t="s">
        <v>56</v>
      </c>
      <c r="C38" s="34">
        <v>1</v>
      </c>
      <c r="D38" s="34">
        <v>2</v>
      </c>
      <c r="E38" s="34">
        <v>68</v>
      </c>
      <c r="F38" s="34">
        <v>1</v>
      </c>
      <c r="G38" s="34">
        <v>28</v>
      </c>
      <c r="H38" s="34">
        <v>1</v>
      </c>
      <c r="I38" s="34">
        <v>0</v>
      </c>
      <c r="J38" s="36"/>
    </row>
    <row r="39" spans="1:13" x14ac:dyDescent="0.25">
      <c r="A39" s="68" t="s">
        <v>127</v>
      </c>
      <c r="B39" s="69" t="s">
        <v>55</v>
      </c>
      <c r="C39" s="34">
        <v>0</v>
      </c>
      <c r="D39" s="34">
        <v>1</v>
      </c>
      <c r="E39" s="34">
        <v>7</v>
      </c>
      <c r="F39" s="34">
        <v>0</v>
      </c>
      <c r="G39" s="34">
        <v>11</v>
      </c>
      <c r="H39" s="34">
        <v>0</v>
      </c>
      <c r="I39" s="34">
        <v>0</v>
      </c>
      <c r="J39" s="36"/>
    </row>
    <row r="40" spans="1:13" x14ac:dyDescent="0.25">
      <c r="A40" s="68" t="s">
        <v>125</v>
      </c>
      <c r="B40" s="69" t="s">
        <v>53</v>
      </c>
      <c r="C40" s="34">
        <v>0</v>
      </c>
      <c r="D40" s="34">
        <v>0</v>
      </c>
      <c r="E40" s="34">
        <v>6</v>
      </c>
      <c r="F40" s="34">
        <v>1</v>
      </c>
      <c r="G40" s="34">
        <v>2</v>
      </c>
      <c r="H40" s="34">
        <v>0</v>
      </c>
      <c r="I40" s="34">
        <v>0</v>
      </c>
      <c r="J40" s="36"/>
    </row>
    <row r="41" spans="1:13" x14ac:dyDescent="0.25">
      <c r="A41" s="68" t="s">
        <v>130</v>
      </c>
      <c r="B41" s="69" t="s">
        <v>58</v>
      </c>
      <c r="C41" s="34">
        <v>3</v>
      </c>
      <c r="D41" s="34">
        <v>0</v>
      </c>
      <c r="E41" s="34">
        <v>16</v>
      </c>
      <c r="F41" s="34">
        <v>3</v>
      </c>
      <c r="G41" s="34">
        <v>0</v>
      </c>
      <c r="H41" s="34">
        <v>0</v>
      </c>
      <c r="I41" s="34">
        <v>0</v>
      </c>
      <c r="J41" s="36"/>
    </row>
    <row r="42" spans="1:13" x14ac:dyDescent="0.25">
      <c r="A42" s="68" t="s">
        <v>122</v>
      </c>
      <c r="B42" s="69" t="s">
        <v>50</v>
      </c>
      <c r="C42" s="34">
        <v>0</v>
      </c>
      <c r="D42" s="34">
        <v>0</v>
      </c>
      <c r="E42" s="34">
        <v>8</v>
      </c>
      <c r="F42" s="34">
        <v>2</v>
      </c>
      <c r="G42" s="34">
        <v>0</v>
      </c>
      <c r="H42" s="34">
        <v>0</v>
      </c>
      <c r="I42" s="34">
        <v>0</v>
      </c>
      <c r="J42" s="36"/>
    </row>
    <row r="43" spans="1:13" x14ac:dyDescent="0.25">
      <c r="A43" s="72"/>
      <c r="B43" s="69" t="s">
        <v>59</v>
      </c>
      <c r="C43" s="34">
        <v>105</v>
      </c>
      <c r="D43" s="34">
        <v>36</v>
      </c>
      <c r="E43" s="34">
        <v>766</v>
      </c>
      <c r="F43" s="34">
        <v>222</v>
      </c>
      <c r="G43" s="34">
        <v>659</v>
      </c>
      <c r="H43" s="34">
        <v>32</v>
      </c>
      <c r="I43" s="34">
        <v>7</v>
      </c>
      <c r="J43" s="36"/>
      <c r="K43" s="86">
        <f>SUM(C43:I43)</f>
        <v>1827</v>
      </c>
    </row>
    <row r="44" spans="1:13" x14ac:dyDescent="0.25">
      <c r="A44" s="71"/>
      <c r="C44" s="36"/>
      <c r="D44" s="36"/>
      <c r="E44" s="36"/>
      <c r="F44" s="36"/>
      <c r="G44" s="36"/>
      <c r="H44" s="36"/>
      <c r="I44" s="36"/>
      <c r="J44" s="36"/>
    </row>
    <row r="45" spans="1:13" x14ac:dyDescent="0.25">
      <c r="A45" s="120" t="s">
        <v>390</v>
      </c>
      <c r="B45" s="120"/>
      <c r="C45" s="120"/>
      <c r="D45" s="120"/>
      <c r="E45" s="120"/>
      <c r="F45" s="120"/>
      <c r="G45" s="120"/>
      <c r="H45" s="120"/>
      <c r="I45" s="120"/>
      <c r="J45" s="36"/>
    </row>
    <row r="46" spans="1:13" x14ac:dyDescent="0.25">
      <c r="A46" s="114"/>
      <c r="B46" s="114"/>
      <c r="C46" s="114"/>
      <c r="D46" s="114"/>
      <c r="E46" s="114"/>
      <c r="F46" s="114"/>
      <c r="G46" s="114"/>
      <c r="H46" s="114"/>
      <c r="I46" s="114"/>
      <c r="J46" s="36"/>
    </row>
    <row r="47" spans="1:13" x14ac:dyDescent="0.25">
      <c r="A47" s="115" t="s">
        <v>0</v>
      </c>
      <c r="B47" s="115" t="s">
        <v>4</v>
      </c>
      <c r="C47" s="117" t="s">
        <v>79</v>
      </c>
      <c r="D47" s="118"/>
      <c r="E47" s="118"/>
      <c r="F47" s="118"/>
      <c r="G47" s="118"/>
      <c r="H47" s="118"/>
      <c r="I47" s="119"/>
      <c r="J47" s="36"/>
      <c r="K47" s="87" t="s">
        <v>0</v>
      </c>
      <c r="L47" s="87" t="s">
        <v>449</v>
      </c>
      <c r="M47" s="87" t="s">
        <v>400</v>
      </c>
    </row>
    <row r="48" spans="1:13" x14ac:dyDescent="0.25">
      <c r="A48" s="116"/>
      <c r="B48" s="116"/>
      <c r="C48" s="85" t="s">
        <v>80</v>
      </c>
      <c r="D48" s="85" t="s">
        <v>81</v>
      </c>
      <c r="E48" s="85" t="s">
        <v>82</v>
      </c>
      <c r="F48" s="85" t="s">
        <v>83</v>
      </c>
      <c r="G48" s="85" t="s">
        <v>84</v>
      </c>
      <c r="H48" s="85" t="s">
        <v>399</v>
      </c>
      <c r="I48" s="85" t="s">
        <v>78</v>
      </c>
      <c r="J48" s="36"/>
      <c r="K48" s="89">
        <v>1</v>
      </c>
      <c r="L48" s="88" t="s">
        <v>80</v>
      </c>
      <c r="M48" s="90">
        <v>105</v>
      </c>
    </row>
    <row r="49" spans="1:13" x14ac:dyDescent="0.25">
      <c r="A49" s="72">
        <v>1</v>
      </c>
      <c r="B49" s="69" t="s">
        <v>9</v>
      </c>
      <c r="C49" s="34">
        <v>0</v>
      </c>
      <c r="D49" s="34">
        <v>0</v>
      </c>
      <c r="E49" s="34">
        <v>23</v>
      </c>
      <c r="F49" s="34">
        <v>1</v>
      </c>
      <c r="G49" s="34">
        <v>15</v>
      </c>
      <c r="H49" s="34">
        <v>1</v>
      </c>
      <c r="I49" s="34">
        <v>0</v>
      </c>
      <c r="J49" s="36"/>
      <c r="K49" s="89">
        <v>2</v>
      </c>
      <c r="L49" s="88" t="s">
        <v>81</v>
      </c>
      <c r="M49" s="90">
        <v>36</v>
      </c>
    </row>
    <row r="50" spans="1:13" x14ac:dyDescent="0.25">
      <c r="A50" s="72">
        <v>2</v>
      </c>
      <c r="B50" s="69" t="s">
        <v>10</v>
      </c>
      <c r="C50" s="34">
        <v>3</v>
      </c>
      <c r="D50" s="34">
        <v>7</v>
      </c>
      <c r="E50" s="34">
        <v>152</v>
      </c>
      <c r="F50" s="34">
        <v>32</v>
      </c>
      <c r="G50" s="34">
        <v>64</v>
      </c>
      <c r="H50" s="34">
        <v>15</v>
      </c>
      <c r="I50" s="34">
        <v>0</v>
      </c>
      <c r="J50" s="36"/>
      <c r="K50" s="89">
        <v>3</v>
      </c>
      <c r="L50" s="88" t="s">
        <v>82</v>
      </c>
      <c r="M50" s="90">
        <v>766</v>
      </c>
    </row>
    <row r="51" spans="1:13" x14ac:dyDescent="0.25">
      <c r="A51" s="72">
        <v>3</v>
      </c>
      <c r="B51" s="69" t="s">
        <v>11</v>
      </c>
      <c r="C51" s="34">
        <v>22</v>
      </c>
      <c r="D51" s="34">
        <v>0</v>
      </c>
      <c r="E51" s="34">
        <v>13</v>
      </c>
      <c r="F51" s="34">
        <v>38</v>
      </c>
      <c r="G51" s="34">
        <v>0</v>
      </c>
      <c r="H51" s="34">
        <v>3</v>
      </c>
      <c r="I51" s="34">
        <v>0</v>
      </c>
      <c r="J51" s="36"/>
      <c r="K51" s="89">
        <v>4</v>
      </c>
      <c r="L51" s="88" t="s">
        <v>83</v>
      </c>
      <c r="M51" s="90">
        <v>222</v>
      </c>
    </row>
    <row r="52" spans="1:13" x14ac:dyDescent="0.25">
      <c r="A52" s="72">
        <v>4</v>
      </c>
      <c r="B52" s="69" t="s">
        <v>12</v>
      </c>
      <c r="C52" s="34">
        <v>3</v>
      </c>
      <c r="D52" s="34">
        <v>10</v>
      </c>
      <c r="E52" s="34">
        <v>41</v>
      </c>
      <c r="F52" s="34">
        <v>14</v>
      </c>
      <c r="G52" s="34">
        <v>38</v>
      </c>
      <c r="H52" s="34">
        <v>1</v>
      </c>
      <c r="I52" s="34">
        <v>1</v>
      </c>
      <c r="J52" s="36"/>
      <c r="K52" s="89">
        <v>5</v>
      </c>
      <c r="L52" s="88" t="s">
        <v>84</v>
      </c>
      <c r="M52" s="90">
        <v>659</v>
      </c>
    </row>
    <row r="53" spans="1:13" x14ac:dyDescent="0.25">
      <c r="A53" s="72">
        <v>5</v>
      </c>
      <c r="B53" s="69" t="s">
        <v>13</v>
      </c>
      <c r="C53" s="34">
        <v>1</v>
      </c>
      <c r="D53" s="34">
        <v>0</v>
      </c>
      <c r="E53" s="34">
        <v>7</v>
      </c>
      <c r="F53" s="34">
        <v>4</v>
      </c>
      <c r="G53" s="34">
        <v>4</v>
      </c>
      <c r="H53" s="34">
        <v>0</v>
      </c>
      <c r="I53" s="34">
        <v>1</v>
      </c>
      <c r="J53" s="36"/>
      <c r="K53" s="89">
        <v>6</v>
      </c>
      <c r="L53" s="88" t="s">
        <v>399</v>
      </c>
      <c r="M53" s="90">
        <v>32</v>
      </c>
    </row>
    <row r="54" spans="1:13" x14ac:dyDescent="0.25">
      <c r="A54" s="72">
        <v>6</v>
      </c>
      <c r="B54" s="69" t="s">
        <v>14</v>
      </c>
      <c r="C54" s="34">
        <v>2</v>
      </c>
      <c r="D54" s="34">
        <v>1</v>
      </c>
      <c r="E54" s="34">
        <v>1</v>
      </c>
      <c r="F54" s="34">
        <v>5</v>
      </c>
      <c r="G54" s="34">
        <v>1</v>
      </c>
      <c r="H54" s="34">
        <v>1</v>
      </c>
      <c r="I54" s="34">
        <v>0</v>
      </c>
      <c r="J54" s="36"/>
      <c r="K54" s="89">
        <v>7</v>
      </c>
      <c r="L54" s="88" t="s">
        <v>78</v>
      </c>
      <c r="M54" s="90">
        <v>7</v>
      </c>
    </row>
    <row r="55" spans="1:13" x14ac:dyDescent="0.25">
      <c r="A55" s="72">
        <v>7</v>
      </c>
      <c r="B55" s="69" t="s">
        <v>15</v>
      </c>
      <c r="C55" s="34">
        <v>0</v>
      </c>
      <c r="D55" s="34">
        <v>1</v>
      </c>
      <c r="E55" s="34">
        <v>49</v>
      </c>
      <c r="F55" s="34">
        <v>4</v>
      </c>
      <c r="G55" s="34">
        <v>17</v>
      </c>
      <c r="H55" s="34">
        <v>1</v>
      </c>
      <c r="I55" s="34">
        <v>2</v>
      </c>
      <c r="J55" s="36"/>
      <c r="K55" s="89"/>
      <c r="L55" s="88" t="s">
        <v>59</v>
      </c>
      <c r="M55" s="90">
        <f>SUM(M48:M54)</f>
        <v>1827</v>
      </c>
    </row>
    <row r="56" spans="1:13" x14ac:dyDescent="0.25">
      <c r="A56" s="72">
        <v>8</v>
      </c>
      <c r="B56" s="69" t="s">
        <v>19</v>
      </c>
      <c r="C56" s="34">
        <v>27</v>
      </c>
      <c r="D56" s="34">
        <v>4</v>
      </c>
      <c r="E56" s="34">
        <v>17</v>
      </c>
      <c r="F56" s="34">
        <v>16</v>
      </c>
      <c r="G56" s="34">
        <v>51</v>
      </c>
      <c r="H56" s="34">
        <v>0</v>
      </c>
      <c r="I56" s="34">
        <v>1</v>
      </c>
      <c r="J56" s="36"/>
    </row>
    <row r="57" spans="1:13" x14ac:dyDescent="0.25">
      <c r="A57" s="72">
        <v>9</v>
      </c>
      <c r="B57" s="69" t="s">
        <v>17</v>
      </c>
      <c r="C57" s="34">
        <v>5</v>
      </c>
      <c r="D57" s="34">
        <v>0</v>
      </c>
      <c r="E57" s="34">
        <v>27</v>
      </c>
      <c r="F57" s="34">
        <v>10</v>
      </c>
      <c r="G57" s="34">
        <v>17</v>
      </c>
      <c r="H57" s="34">
        <v>0</v>
      </c>
      <c r="I57" s="34">
        <v>0</v>
      </c>
      <c r="J57" s="36"/>
      <c r="K57" s="87" t="s">
        <v>0</v>
      </c>
      <c r="L57" s="87" t="s">
        <v>4</v>
      </c>
      <c r="M57" s="87" t="s">
        <v>400</v>
      </c>
    </row>
    <row r="58" spans="1:13" x14ac:dyDescent="0.25">
      <c r="A58" s="72">
        <v>10</v>
      </c>
      <c r="B58" s="69" t="s">
        <v>18</v>
      </c>
      <c r="C58" s="34">
        <v>22</v>
      </c>
      <c r="D58" s="34">
        <v>12</v>
      </c>
      <c r="E58" s="34">
        <v>407</v>
      </c>
      <c r="F58" s="34">
        <v>68</v>
      </c>
      <c r="G58" s="34">
        <v>425</v>
      </c>
      <c r="H58" s="34">
        <v>10</v>
      </c>
      <c r="I58" s="34">
        <v>2</v>
      </c>
      <c r="J58" s="36"/>
      <c r="K58" s="89">
        <v>1</v>
      </c>
      <c r="L58" s="69" t="s">
        <v>9</v>
      </c>
      <c r="M58" s="90">
        <f>SUM(C49:I49)</f>
        <v>40</v>
      </c>
    </row>
    <row r="59" spans="1:13" x14ac:dyDescent="0.25">
      <c r="A59" s="72">
        <v>11</v>
      </c>
      <c r="B59" s="69" t="s">
        <v>20</v>
      </c>
      <c r="C59" s="34">
        <v>20</v>
      </c>
      <c r="D59" s="34">
        <v>1</v>
      </c>
      <c r="E59" s="34">
        <v>11</v>
      </c>
      <c r="F59" s="34">
        <v>26</v>
      </c>
      <c r="G59" s="34">
        <v>16</v>
      </c>
      <c r="H59" s="34">
        <v>0</v>
      </c>
      <c r="I59" s="34">
        <v>0</v>
      </c>
      <c r="J59" s="36"/>
      <c r="K59" s="89">
        <v>2</v>
      </c>
      <c r="L59" s="69" t="s">
        <v>10</v>
      </c>
      <c r="M59" s="90">
        <f t="shared" ref="M59:M69" si="0">SUM(C50:I50)</f>
        <v>273</v>
      </c>
    </row>
    <row r="60" spans="1:13" x14ac:dyDescent="0.25">
      <c r="A60" s="72">
        <v>12</v>
      </c>
      <c r="B60" s="69" t="s">
        <v>16</v>
      </c>
      <c r="C60" s="34">
        <v>0</v>
      </c>
      <c r="D60" s="34">
        <v>0</v>
      </c>
      <c r="E60" s="34">
        <v>18</v>
      </c>
      <c r="F60" s="34">
        <v>4</v>
      </c>
      <c r="G60" s="34">
        <v>11</v>
      </c>
      <c r="H60" s="34">
        <v>0</v>
      </c>
      <c r="I60" s="34">
        <v>0</v>
      </c>
      <c r="J60" s="36"/>
      <c r="K60" s="89">
        <v>3</v>
      </c>
      <c r="L60" s="69" t="s">
        <v>11</v>
      </c>
      <c r="M60" s="90">
        <f t="shared" si="0"/>
        <v>76</v>
      </c>
    </row>
    <row r="61" spans="1:13" x14ac:dyDescent="0.25">
      <c r="A61" s="72"/>
      <c r="B61" s="69" t="s">
        <v>59</v>
      </c>
      <c r="C61" s="34">
        <v>105</v>
      </c>
      <c r="D61" s="34">
        <v>36</v>
      </c>
      <c r="E61" s="34">
        <v>766</v>
      </c>
      <c r="F61" s="34">
        <v>222</v>
      </c>
      <c r="G61" s="34">
        <v>659</v>
      </c>
      <c r="H61" s="34">
        <v>32</v>
      </c>
      <c r="I61" s="34">
        <v>7</v>
      </c>
      <c r="J61" s="36"/>
      <c r="K61" s="89">
        <v>4</v>
      </c>
      <c r="L61" s="69" t="s">
        <v>12</v>
      </c>
      <c r="M61" s="90">
        <f t="shared" si="0"/>
        <v>108</v>
      </c>
    </row>
    <row r="62" spans="1:13" x14ac:dyDescent="0.25">
      <c r="A62" s="113" t="s">
        <v>391</v>
      </c>
      <c r="B62" s="113"/>
      <c r="C62" s="113"/>
      <c r="D62" s="113"/>
      <c r="E62" s="113"/>
      <c r="F62" s="113"/>
      <c r="G62" s="113"/>
      <c r="H62" s="113"/>
      <c r="I62" s="113"/>
      <c r="J62" s="36"/>
      <c r="K62" s="89">
        <v>5</v>
      </c>
      <c r="L62" s="69" t="s">
        <v>13</v>
      </c>
      <c r="M62" s="90">
        <f t="shared" si="0"/>
        <v>17</v>
      </c>
    </row>
    <row r="63" spans="1:13" x14ac:dyDescent="0.25">
      <c r="A63" s="114"/>
      <c r="B63" s="114"/>
      <c r="C63" s="114"/>
      <c r="D63" s="114"/>
      <c r="E63" s="114"/>
      <c r="F63" s="114"/>
      <c r="G63" s="114"/>
      <c r="H63" s="114"/>
      <c r="I63" s="114"/>
      <c r="J63" s="91"/>
      <c r="K63" s="89">
        <v>6</v>
      </c>
      <c r="L63" s="69" t="s">
        <v>14</v>
      </c>
      <c r="M63" s="90">
        <f t="shared" si="0"/>
        <v>11</v>
      </c>
    </row>
    <row r="64" spans="1:13" x14ac:dyDescent="0.25">
      <c r="A64" s="115" t="s">
        <v>0</v>
      </c>
      <c r="B64" s="115" t="s">
        <v>2</v>
      </c>
      <c r="C64" s="117" t="s">
        <v>79</v>
      </c>
      <c r="D64" s="118"/>
      <c r="E64" s="118"/>
      <c r="F64" s="118"/>
      <c r="G64" s="118"/>
      <c r="H64" s="118"/>
      <c r="I64" s="119"/>
      <c r="J64" s="92"/>
      <c r="K64" s="89">
        <v>7</v>
      </c>
      <c r="L64" s="69" t="s">
        <v>15</v>
      </c>
      <c r="M64" s="90">
        <f t="shared" si="0"/>
        <v>74</v>
      </c>
    </row>
    <row r="65" spans="1:13" x14ac:dyDescent="0.25">
      <c r="A65" s="116"/>
      <c r="B65" s="116"/>
      <c r="C65" s="85" t="s">
        <v>80</v>
      </c>
      <c r="D65" s="85" t="s">
        <v>81</v>
      </c>
      <c r="E65" s="85" t="s">
        <v>82</v>
      </c>
      <c r="F65" s="85" t="s">
        <v>83</v>
      </c>
      <c r="G65" s="85" t="s">
        <v>84</v>
      </c>
      <c r="H65" s="85" t="s">
        <v>399</v>
      </c>
      <c r="I65" s="85" t="s">
        <v>78</v>
      </c>
      <c r="J65" s="93"/>
      <c r="K65" s="89">
        <v>8</v>
      </c>
      <c r="L65" s="69" t="s">
        <v>19</v>
      </c>
      <c r="M65" s="90">
        <f t="shared" si="0"/>
        <v>116</v>
      </c>
    </row>
    <row r="66" spans="1:13" x14ac:dyDescent="0.25">
      <c r="A66" s="72">
        <v>1</v>
      </c>
      <c r="B66" s="69" t="s">
        <v>5</v>
      </c>
      <c r="C66" s="34">
        <v>38</v>
      </c>
      <c r="D66" s="34">
        <v>15</v>
      </c>
      <c r="E66" s="34">
        <v>495</v>
      </c>
      <c r="F66" s="34">
        <v>74</v>
      </c>
      <c r="G66" s="34">
        <v>411</v>
      </c>
      <c r="H66" s="34">
        <v>19</v>
      </c>
      <c r="I66" s="34">
        <v>5</v>
      </c>
      <c r="J66" s="36"/>
      <c r="K66" s="89">
        <v>9</v>
      </c>
      <c r="L66" s="69" t="s">
        <v>17</v>
      </c>
      <c r="M66" s="90">
        <f t="shared" si="0"/>
        <v>59</v>
      </c>
    </row>
    <row r="67" spans="1:13" x14ac:dyDescent="0.25">
      <c r="A67" s="72">
        <v>2</v>
      </c>
      <c r="B67" s="69" t="s">
        <v>6</v>
      </c>
      <c r="C67" s="34">
        <v>6</v>
      </c>
      <c r="D67" s="34">
        <v>18</v>
      </c>
      <c r="E67" s="34">
        <v>210</v>
      </c>
      <c r="F67" s="34">
        <v>66</v>
      </c>
      <c r="G67" s="34">
        <v>214</v>
      </c>
      <c r="H67" s="34">
        <v>5</v>
      </c>
      <c r="I67" s="34">
        <v>0</v>
      </c>
      <c r="J67" s="36"/>
      <c r="K67" s="89">
        <v>10</v>
      </c>
      <c r="L67" s="69" t="s">
        <v>18</v>
      </c>
      <c r="M67" s="90">
        <f t="shared" si="0"/>
        <v>946</v>
      </c>
    </row>
    <row r="68" spans="1:13" x14ac:dyDescent="0.25">
      <c r="A68" s="72">
        <v>3</v>
      </c>
      <c r="B68" s="69" t="s">
        <v>7</v>
      </c>
      <c r="C68" s="34">
        <v>15</v>
      </c>
      <c r="D68" s="34">
        <v>3</v>
      </c>
      <c r="E68" s="34">
        <v>45</v>
      </c>
      <c r="F68" s="34">
        <v>25</v>
      </c>
      <c r="G68" s="34">
        <v>32</v>
      </c>
      <c r="H68" s="34">
        <v>5</v>
      </c>
      <c r="I68" s="34">
        <v>2</v>
      </c>
      <c r="J68" s="36"/>
      <c r="K68" s="89">
        <v>11</v>
      </c>
      <c r="L68" s="69" t="s">
        <v>20</v>
      </c>
      <c r="M68" s="90">
        <f t="shared" si="0"/>
        <v>74</v>
      </c>
    </row>
    <row r="69" spans="1:13" x14ac:dyDescent="0.25">
      <c r="A69" s="72">
        <v>4</v>
      </c>
      <c r="B69" s="69" t="s">
        <v>8</v>
      </c>
      <c r="C69" s="34">
        <v>46</v>
      </c>
      <c r="D69" s="34">
        <v>0</v>
      </c>
      <c r="E69" s="34">
        <v>16</v>
      </c>
      <c r="F69" s="34">
        <v>57</v>
      </c>
      <c r="G69" s="34">
        <v>2</v>
      </c>
      <c r="H69" s="34">
        <v>3</v>
      </c>
      <c r="I69" s="34">
        <v>0</v>
      </c>
      <c r="J69" s="36"/>
      <c r="K69" s="89">
        <v>12</v>
      </c>
      <c r="L69" s="69" t="s">
        <v>16</v>
      </c>
      <c r="M69" s="90">
        <f t="shared" si="0"/>
        <v>33</v>
      </c>
    </row>
    <row r="70" spans="1:13" x14ac:dyDescent="0.25">
      <c r="A70" s="72"/>
      <c r="B70" s="69" t="s">
        <v>59</v>
      </c>
      <c r="C70" s="34">
        <v>105</v>
      </c>
      <c r="D70" s="34">
        <v>36</v>
      </c>
      <c r="E70" s="34">
        <v>766</v>
      </c>
      <c r="F70" s="34">
        <v>222</v>
      </c>
      <c r="G70" s="34">
        <v>659</v>
      </c>
      <c r="H70" s="34">
        <v>32</v>
      </c>
      <c r="I70" s="34">
        <v>7</v>
      </c>
      <c r="J70" s="36"/>
      <c r="K70" s="89"/>
      <c r="L70" s="88" t="s">
        <v>59</v>
      </c>
      <c r="M70" s="90">
        <f>SUM(M58:M69)</f>
        <v>1827</v>
      </c>
    </row>
    <row r="72" spans="1:13" x14ac:dyDescent="0.25">
      <c r="K72" s="87" t="s">
        <v>0</v>
      </c>
      <c r="L72" s="87" t="s">
        <v>2</v>
      </c>
      <c r="M72" s="87" t="s">
        <v>400</v>
      </c>
    </row>
    <row r="73" spans="1:13" x14ac:dyDescent="0.25">
      <c r="K73" s="89">
        <v>1</v>
      </c>
      <c r="L73" s="69" t="s">
        <v>5</v>
      </c>
      <c r="M73" s="90">
        <f>SUM(C66:I66)</f>
        <v>1057</v>
      </c>
    </row>
    <row r="74" spans="1:13" x14ac:dyDescent="0.25">
      <c r="K74" s="89">
        <v>2</v>
      </c>
      <c r="L74" s="69" t="s">
        <v>6</v>
      </c>
      <c r="M74" s="90">
        <f t="shared" ref="M74:M76" si="1">SUM(C67:I67)</f>
        <v>519</v>
      </c>
    </row>
    <row r="75" spans="1:13" x14ac:dyDescent="0.25">
      <c r="K75" s="89">
        <v>3</v>
      </c>
      <c r="L75" s="69" t="s">
        <v>7</v>
      </c>
      <c r="M75" s="90">
        <f t="shared" si="1"/>
        <v>127</v>
      </c>
    </row>
    <row r="76" spans="1:13" x14ac:dyDescent="0.25">
      <c r="K76" s="89">
        <v>4</v>
      </c>
      <c r="L76" s="69" t="s">
        <v>8</v>
      </c>
      <c r="M76" s="90">
        <f t="shared" si="1"/>
        <v>124</v>
      </c>
    </row>
    <row r="77" spans="1:13" x14ac:dyDescent="0.25">
      <c r="K77" s="89"/>
      <c r="L77" s="88" t="s">
        <v>59</v>
      </c>
      <c r="M77" s="90">
        <f>SUM(M73:M76)</f>
        <v>1827</v>
      </c>
    </row>
  </sheetData>
  <mergeCells count="12">
    <mergeCell ref="A62:I63"/>
    <mergeCell ref="A64:A65"/>
    <mergeCell ref="B64:B65"/>
    <mergeCell ref="C64:I64"/>
    <mergeCell ref="A1:I2"/>
    <mergeCell ref="A3:A4"/>
    <mergeCell ref="B3:B4"/>
    <mergeCell ref="C3:I3"/>
    <mergeCell ref="A45:I46"/>
    <mergeCell ref="A47:A48"/>
    <mergeCell ref="B47:B48"/>
    <mergeCell ref="C47:I47"/>
  </mergeCells>
  <pageMargins left="0.31496062992125984" right="0" top="0.59055118110236227" bottom="0.35433070866141736" header="0.31496062992125984" footer="0.31496062992125984"/>
  <pageSetup paperSize="9" scale="85" firstPageNumber="208" orientation="landscape" useFirstPageNumber="1" r:id="rId1"/>
  <headerFooter>
    <oddFooter>&amp;C&amp;P</oddFooter>
  </headerFooter>
  <rowBreaks count="2" manualBreakCount="2">
    <brk id="44" max="8" man="1"/>
    <brk id="61" max="7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B7F9-7986-41A2-B40B-EECB53AB1C62}">
  <dimension ref="A1:P108"/>
  <sheetViews>
    <sheetView view="pageBreakPreview" zoomScale="60" zoomScaleNormal="55" workbookViewId="0">
      <selection activeCell="N75" sqref="N75:P108"/>
    </sheetView>
  </sheetViews>
  <sheetFormatPr defaultRowHeight="12" x14ac:dyDescent="0.25"/>
  <cols>
    <col min="1" max="1" width="7.77734375" style="71" customWidth="1"/>
    <col min="2" max="2" width="27.109375" style="66" customWidth="1"/>
    <col min="3" max="13" width="12.44140625" style="66" customWidth="1"/>
    <col min="14" max="14" width="4.77734375" style="66" customWidth="1"/>
    <col min="15" max="15" width="40" style="66" customWidth="1"/>
    <col min="16" max="16" width="22.21875" style="66" customWidth="1"/>
    <col min="17" max="16384" width="8.88671875" style="66"/>
  </cols>
  <sheetData>
    <row r="1" spans="1:15" x14ac:dyDescent="0.25">
      <c r="A1" s="121" t="s">
        <v>392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22"/>
      <c r="M1" s="91"/>
    </row>
    <row r="2" spans="1:15" x14ac:dyDescent="0.25">
      <c r="A2" s="123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24"/>
      <c r="M2" s="91"/>
    </row>
    <row r="3" spans="1:15" x14ac:dyDescent="0.25">
      <c r="A3" s="115" t="s">
        <v>0</v>
      </c>
      <c r="B3" s="115" t="s">
        <v>60</v>
      </c>
      <c r="C3" s="117" t="s">
        <v>79</v>
      </c>
      <c r="D3" s="118"/>
      <c r="E3" s="118"/>
      <c r="F3" s="118"/>
      <c r="G3" s="118"/>
      <c r="H3" s="118"/>
      <c r="I3" s="118"/>
      <c r="J3" s="118"/>
      <c r="K3" s="118"/>
      <c r="L3" s="119"/>
      <c r="M3" s="92"/>
    </row>
    <row r="4" spans="1:15" ht="48" customHeight="1" x14ac:dyDescent="0.25">
      <c r="A4" s="116"/>
      <c r="B4" s="116"/>
      <c r="C4" s="33" t="s">
        <v>86</v>
      </c>
      <c r="D4" s="33" t="s">
        <v>87</v>
      </c>
      <c r="E4" s="33" t="s">
        <v>88</v>
      </c>
      <c r="F4" s="33" t="s">
        <v>89</v>
      </c>
      <c r="G4" s="33" t="s">
        <v>90</v>
      </c>
      <c r="H4" s="33" t="s">
        <v>370</v>
      </c>
      <c r="I4" s="33" t="s">
        <v>140</v>
      </c>
      <c r="J4" s="33" t="s">
        <v>91</v>
      </c>
      <c r="K4" s="33" t="s">
        <v>92</v>
      </c>
      <c r="L4" s="33" t="s">
        <v>78</v>
      </c>
      <c r="M4" s="94"/>
    </row>
    <row r="5" spans="1:15" x14ac:dyDescent="0.25">
      <c r="A5" s="68" t="s">
        <v>110</v>
      </c>
      <c r="B5" s="69" t="s">
        <v>38</v>
      </c>
      <c r="C5" s="34">
        <v>18</v>
      </c>
      <c r="D5" s="34">
        <v>3</v>
      </c>
      <c r="E5" s="34">
        <v>148</v>
      </c>
      <c r="F5" s="34">
        <v>0</v>
      </c>
      <c r="G5" s="34">
        <v>0</v>
      </c>
      <c r="H5" s="34">
        <v>1</v>
      </c>
      <c r="I5" s="34">
        <v>1</v>
      </c>
      <c r="J5" s="34">
        <v>0</v>
      </c>
      <c r="K5" s="34">
        <v>0</v>
      </c>
      <c r="L5" s="34">
        <v>0</v>
      </c>
      <c r="M5" s="36"/>
      <c r="O5" s="66" t="s">
        <v>392</v>
      </c>
    </row>
    <row r="6" spans="1:15" x14ac:dyDescent="0.25">
      <c r="A6" s="68" t="s">
        <v>113</v>
      </c>
      <c r="B6" s="69" t="s">
        <v>41</v>
      </c>
      <c r="C6" s="34">
        <v>17</v>
      </c>
      <c r="D6" s="34">
        <v>14</v>
      </c>
      <c r="E6" s="34">
        <v>31</v>
      </c>
      <c r="F6" s="34">
        <v>8</v>
      </c>
      <c r="G6" s="34">
        <v>0</v>
      </c>
      <c r="H6" s="34">
        <v>4</v>
      </c>
      <c r="I6" s="34">
        <v>8</v>
      </c>
      <c r="J6" s="34">
        <v>8</v>
      </c>
      <c r="K6" s="34">
        <v>5</v>
      </c>
      <c r="L6" s="34">
        <v>0</v>
      </c>
      <c r="M6" s="36"/>
      <c r="O6" s="66" t="s">
        <v>393</v>
      </c>
    </row>
    <row r="7" spans="1:15" x14ac:dyDescent="0.25">
      <c r="A7" s="68" t="s">
        <v>119</v>
      </c>
      <c r="B7" s="69" t="s">
        <v>47</v>
      </c>
      <c r="C7" s="34">
        <v>72</v>
      </c>
      <c r="D7" s="34">
        <v>1</v>
      </c>
      <c r="E7" s="34">
        <v>253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1</v>
      </c>
      <c r="L7" s="34">
        <v>0</v>
      </c>
      <c r="M7" s="36"/>
      <c r="O7" s="66" t="s">
        <v>394</v>
      </c>
    </row>
    <row r="8" spans="1:15" x14ac:dyDescent="0.25">
      <c r="A8" s="68" t="s">
        <v>121</v>
      </c>
      <c r="B8" s="69" t="s">
        <v>49</v>
      </c>
      <c r="C8" s="34">
        <v>22</v>
      </c>
      <c r="D8" s="34">
        <v>2</v>
      </c>
      <c r="E8" s="34">
        <v>68</v>
      </c>
      <c r="F8" s="34">
        <v>0</v>
      </c>
      <c r="G8" s="34">
        <v>0</v>
      </c>
      <c r="H8" s="34">
        <v>6</v>
      </c>
      <c r="I8" s="34">
        <v>0</v>
      </c>
      <c r="J8" s="34">
        <v>0</v>
      </c>
      <c r="K8" s="34">
        <v>0</v>
      </c>
      <c r="L8" s="34">
        <v>0</v>
      </c>
      <c r="M8" s="36"/>
    </row>
    <row r="9" spans="1:15" x14ac:dyDescent="0.25">
      <c r="A9" s="68" t="s">
        <v>95</v>
      </c>
      <c r="B9" s="69" t="s">
        <v>23</v>
      </c>
      <c r="C9" s="34">
        <v>17</v>
      </c>
      <c r="D9" s="34">
        <v>9</v>
      </c>
      <c r="E9" s="34">
        <v>15</v>
      </c>
      <c r="F9" s="34">
        <v>0</v>
      </c>
      <c r="G9" s="34">
        <v>1</v>
      </c>
      <c r="H9" s="34">
        <v>1</v>
      </c>
      <c r="I9" s="34">
        <v>212</v>
      </c>
      <c r="J9" s="34">
        <v>4</v>
      </c>
      <c r="K9" s="34">
        <v>3</v>
      </c>
      <c r="L9" s="34">
        <v>0</v>
      </c>
      <c r="M9" s="36"/>
    </row>
    <row r="10" spans="1:15" x14ac:dyDescent="0.25">
      <c r="A10" s="68" t="s">
        <v>101</v>
      </c>
      <c r="B10" s="69" t="s">
        <v>29</v>
      </c>
      <c r="C10" s="34">
        <v>39</v>
      </c>
      <c r="D10" s="34">
        <v>33</v>
      </c>
      <c r="E10" s="34">
        <v>28</v>
      </c>
      <c r="F10" s="34">
        <v>0</v>
      </c>
      <c r="G10" s="34">
        <v>0</v>
      </c>
      <c r="H10" s="34">
        <v>4</v>
      </c>
      <c r="I10" s="34">
        <v>202</v>
      </c>
      <c r="J10" s="34">
        <v>1</v>
      </c>
      <c r="K10" s="34">
        <v>0</v>
      </c>
      <c r="L10" s="34">
        <v>1</v>
      </c>
      <c r="M10" s="36"/>
    </row>
    <row r="11" spans="1:15" x14ac:dyDescent="0.25">
      <c r="A11" s="68" t="s">
        <v>106</v>
      </c>
      <c r="B11" s="69" t="s">
        <v>34</v>
      </c>
      <c r="C11" s="34">
        <v>32</v>
      </c>
      <c r="D11" s="34">
        <v>7</v>
      </c>
      <c r="E11" s="34">
        <v>12</v>
      </c>
      <c r="F11" s="34">
        <v>1</v>
      </c>
      <c r="G11" s="34">
        <v>0</v>
      </c>
      <c r="H11" s="34">
        <v>0</v>
      </c>
      <c r="I11" s="34">
        <v>14</v>
      </c>
      <c r="J11" s="34">
        <v>0</v>
      </c>
      <c r="K11" s="34">
        <v>0</v>
      </c>
      <c r="L11" s="34">
        <v>0</v>
      </c>
      <c r="M11" s="36"/>
    </row>
    <row r="12" spans="1:15" x14ac:dyDescent="0.25">
      <c r="A12" s="68" t="s">
        <v>103</v>
      </c>
      <c r="B12" s="69" t="s">
        <v>31</v>
      </c>
      <c r="C12" s="34">
        <v>35</v>
      </c>
      <c r="D12" s="34">
        <v>8</v>
      </c>
      <c r="E12" s="34">
        <v>26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2</v>
      </c>
      <c r="M12" s="36"/>
    </row>
    <row r="13" spans="1:15" x14ac:dyDescent="0.25">
      <c r="A13" s="68" t="s">
        <v>99</v>
      </c>
      <c r="B13" s="69" t="s">
        <v>27</v>
      </c>
      <c r="C13" s="34">
        <v>32</v>
      </c>
      <c r="D13" s="34">
        <v>26</v>
      </c>
      <c r="E13" s="34">
        <v>29</v>
      </c>
      <c r="F13" s="34">
        <v>1</v>
      </c>
      <c r="G13" s="34">
        <v>0</v>
      </c>
      <c r="H13" s="34">
        <v>1</v>
      </c>
      <c r="I13" s="34">
        <v>0</v>
      </c>
      <c r="J13" s="34">
        <v>1</v>
      </c>
      <c r="K13" s="34">
        <v>0</v>
      </c>
      <c r="L13" s="34">
        <v>0</v>
      </c>
      <c r="M13" s="36"/>
    </row>
    <row r="14" spans="1:15" x14ac:dyDescent="0.25">
      <c r="A14" s="68" t="s">
        <v>94</v>
      </c>
      <c r="B14" s="69" t="s">
        <v>22</v>
      </c>
      <c r="C14" s="34">
        <v>5</v>
      </c>
      <c r="D14" s="34">
        <v>0</v>
      </c>
      <c r="E14" s="34">
        <v>455</v>
      </c>
      <c r="F14" s="34">
        <v>0</v>
      </c>
      <c r="G14" s="34">
        <v>0</v>
      </c>
      <c r="H14" s="34">
        <v>30</v>
      </c>
      <c r="I14" s="34">
        <v>132</v>
      </c>
      <c r="J14" s="34">
        <v>0</v>
      </c>
      <c r="K14" s="34">
        <v>0</v>
      </c>
      <c r="L14" s="34">
        <v>0</v>
      </c>
      <c r="M14" s="36"/>
    </row>
    <row r="15" spans="1:15" x14ac:dyDescent="0.25">
      <c r="A15" s="68" t="s">
        <v>97</v>
      </c>
      <c r="B15" s="69" t="s">
        <v>25</v>
      </c>
      <c r="C15" s="34">
        <v>3</v>
      </c>
      <c r="D15" s="34">
        <v>0</v>
      </c>
      <c r="E15" s="34">
        <v>1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6"/>
    </row>
    <row r="16" spans="1:15" x14ac:dyDescent="0.25">
      <c r="A16" s="68" t="s">
        <v>117</v>
      </c>
      <c r="B16" s="69" t="s">
        <v>45</v>
      </c>
      <c r="C16" s="34">
        <v>16</v>
      </c>
      <c r="D16" s="34">
        <v>1</v>
      </c>
      <c r="E16" s="34">
        <v>3</v>
      </c>
      <c r="F16" s="34">
        <v>0</v>
      </c>
      <c r="G16" s="34">
        <v>0</v>
      </c>
      <c r="H16" s="34">
        <v>0</v>
      </c>
      <c r="I16" s="34">
        <v>7</v>
      </c>
      <c r="J16" s="34">
        <v>0</v>
      </c>
      <c r="K16" s="34">
        <v>0</v>
      </c>
      <c r="L16" s="34">
        <v>0</v>
      </c>
      <c r="M16" s="36"/>
    </row>
    <row r="17" spans="1:13" x14ac:dyDescent="0.25">
      <c r="A17" s="68" t="s">
        <v>114</v>
      </c>
      <c r="B17" s="69" t="s">
        <v>42</v>
      </c>
      <c r="C17" s="34">
        <v>21</v>
      </c>
      <c r="D17" s="34">
        <v>9</v>
      </c>
      <c r="E17" s="34">
        <v>18</v>
      </c>
      <c r="F17" s="34">
        <v>4</v>
      </c>
      <c r="G17" s="34">
        <v>3</v>
      </c>
      <c r="H17" s="34">
        <v>3</v>
      </c>
      <c r="I17" s="34">
        <v>3</v>
      </c>
      <c r="J17" s="34">
        <v>3</v>
      </c>
      <c r="K17" s="34">
        <v>5</v>
      </c>
      <c r="L17" s="34">
        <v>3</v>
      </c>
      <c r="M17" s="36"/>
    </row>
    <row r="18" spans="1:13" x14ac:dyDescent="0.25">
      <c r="A18" s="68" t="s">
        <v>112</v>
      </c>
      <c r="B18" s="69" t="s">
        <v>40</v>
      </c>
      <c r="C18" s="34">
        <v>22</v>
      </c>
      <c r="D18" s="34">
        <v>25</v>
      </c>
      <c r="E18" s="34">
        <v>22</v>
      </c>
      <c r="F18" s="34">
        <v>11</v>
      </c>
      <c r="G18" s="34">
        <v>13</v>
      </c>
      <c r="H18" s="34">
        <v>20</v>
      </c>
      <c r="I18" s="34">
        <v>248</v>
      </c>
      <c r="J18" s="34">
        <v>15</v>
      </c>
      <c r="K18" s="34">
        <v>12</v>
      </c>
      <c r="L18" s="34">
        <v>27</v>
      </c>
      <c r="M18" s="36"/>
    </row>
    <row r="19" spans="1:13" x14ac:dyDescent="0.25">
      <c r="A19" s="68" t="s">
        <v>116</v>
      </c>
      <c r="B19" s="69" t="s">
        <v>44</v>
      </c>
      <c r="C19" s="34">
        <v>189</v>
      </c>
      <c r="D19" s="34">
        <v>154</v>
      </c>
      <c r="E19" s="34">
        <v>237</v>
      </c>
      <c r="F19" s="34">
        <v>53</v>
      </c>
      <c r="G19" s="34">
        <v>61</v>
      </c>
      <c r="H19" s="34">
        <v>64</v>
      </c>
      <c r="I19" s="34">
        <v>72</v>
      </c>
      <c r="J19" s="34">
        <v>36</v>
      </c>
      <c r="K19" s="34">
        <v>49</v>
      </c>
      <c r="L19" s="34">
        <v>43</v>
      </c>
      <c r="M19" s="36"/>
    </row>
    <row r="20" spans="1:13" x14ac:dyDescent="0.25">
      <c r="A20" s="68" t="s">
        <v>107</v>
      </c>
      <c r="B20" s="69" t="s">
        <v>35</v>
      </c>
      <c r="C20" s="34">
        <v>80</v>
      </c>
      <c r="D20" s="34">
        <v>51</v>
      </c>
      <c r="E20" s="34">
        <v>3</v>
      </c>
      <c r="F20" s="34">
        <v>3</v>
      </c>
      <c r="G20" s="34">
        <v>4</v>
      </c>
      <c r="H20" s="34">
        <v>3</v>
      </c>
      <c r="I20" s="34">
        <v>3</v>
      </c>
      <c r="J20" s="34">
        <v>5</v>
      </c>
      <c r="K20" s="34">
        <v>4</v>
      </c>
      <c r="L20" s="34">
        <v>3</v>
      </c>
      <c r="M20" s="36"/>
    </row>
    <row r="21" spans="1:13" x14ac:dyDescent="0.25">
      <c r="A21" s="68" t="s">
        <v>100</v>
      </c>
      <c r="B21" s="69" t="s">
        <v>28</v>
      </c>
      <c r="C21" s="34">
        <v>3</v>
      </c>
      <c r="D21" s="34">
        <v>4</v>
      </c>
      <c r="E21" s="34">
        <v>10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1</v>
      </c>
      <c r="L21" s="34">
        <v>0</v>
      </c>
      <c r="M21" s="36"/>
    </row>
    <row r="22" spans="1:13" x14ac:dyDescent="0.25">
      <c r="A22" s="68" t="s">
        <v>108</v>
      </c>
      <c r="B22" s="69" t="s">
        <v>36</v>
      </c>
      <c r="C22" s="34">
        <v>3</v>
      </c>
      <c r="D22" s="34">
        <v>1</v>
      </c>
      <c r="E22" s="34">
        <v>5</v>
      </c>
      <c r="F22" s="34">
        <v>0</v>
      </c>
      <c r="G22" s="34">
        <v>1</v>
      </c>
      <c r="H22" s="34">
        <v>1</v>
      </c>
      <c r="I22" s="34">
        <v>1</v>
      </c>
      <c r="J22" s="34">
        <v>2</v>
      </c>
      <c r="K22" s="34">
        <v>0</v>
      </c>
      <c r="L22" s="34">
        <v>0</v>
      </c>
      <c r="M22" s="36"/>
    </row>
    <row r="23" spans="1:13" x14ac:dyDescent="0.25">
      <c r="A23" s="68" t="s">
        <v>104</v>
      </c>
      <c r="B23" s="69" t="s">
        <v>32</v>
      </c>
      <c r="C23" s="34">
        <v>31</v>
      </c>
      <c r="D23" s="34">
        <v>9</v>
      </c>
      <c r="E23" s="34">
        <v>31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18</v>
      </c>
      <c r="L23" s="34">
        <v>0</v>
      </c>
      <c r="M23" s="36"/>
    </row>
    <row r="24" spans="1:13" x14ac:dyDescent="0.25">
      <c r="A24" s="68" t="s">
        <v>105</v>
      </c>
      <c r="B24" s="69" t="s">
        <v>33</v>
      </c>
      <c r="C24" s="34">
        <v>47</v>
      </c>
      <c r="D24" s="34">
        <v>0</v>
      </c>
      <c r="E24" s="34">
        <v>2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6"/>
    </row>
    <row r="25" spans="1:13" x14ac:dyDescent="0.25">
      <c r="A25" s="68" t="s">
        <v>109</v>
      </c>
      <c r="B25" s="69" t="s">
        <v>37</v>
      </c>
      <c r="C25" s="34">
        <v>2</v>
      </c>
      <c r="D25" s="34">
        <v>20</v>
      </c>
      <c r="E25" s="34">
        <v>77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6"/>
    </row>
    <row r="26" spans="1:13" x14ac:dyDescent="0.25">
      <c r="A26" s="68" t="s">
        <v>96</v>
      </c>
      <c r="B26" s="69" t="s">
        <v>24</v>
      </c>
      <c r="C26" s="34">
        <v>4</v>
      </c>
      <c r="D26" s="34">
        <v>3</v>
      </c>
      <c r="E26" s="34">
        <v>45</v>
      </c>
      <c r="F26" s="34">
        <v>0</v>
      </c>
      <c r="G26" s="34">
        <v>0</v>
      </c>
      <c r="H26" s="34">
        <v>1</v>
      </c>
      <c r="I26" s="34">
        <v>7</v>
      </c>
      <c r="J26" s="34">
        <v>0</v>
      </c>
      <c r="K26" s="34">
        <v>0</v>
      </c>
      <c r="L26" s="34">
        <v>2</v>
      </c>
      <c r="M26" s="36"/>
    </row>
    <row r="27" spans="1:13" x14ac:dyDescent="0.25">
      <c r="A27" s="68" t="s">
        <v>120</v>
      </c>
      <c r="B27" s="69" t="s">
        <v>48</v>
      </c>
      <c r="C27" s="34">
        <v>111</v>
      </c>
      <c r="D27" s="34">
        <v>12</v>
      </c>
      <c r="E27" s="34">
        <v>74</v>
      </c>
      <c r="F27" s="34">
        <v>4</v>
      </c>
      <c r="G27" s="34">
        <v>5</v>
      </c>
      <c r="H27" s="34">
        <v>5</v>
      </c>
      <c r="I27" s="34">
        <v>7</v>
      </c>
      <c r="J27" s="34">
        <v>6</v>
      </c>
      <c r="K27" s="34">
        <v>7</v>
      </c>
      <c r="L27" s="34">
        <v>5</v>
      </c>
      <c r="M27" s="36"/>
    </row>
    <row r="28" spans="1:13" x14ac:dyDescent="0.25">
      <c r="A28" s="68" t="s">
        <v>102</v>
      </c>
      <c r="B28" s="69" t="s">
        <v>30</v>
      </c>
      <c r="C28" s="34">
        <v>23</v>
      </c>
      <c r="D28" s="34">
        <v>89</v>
      </c>
      <c r="E28" s="34">
        <v>12</v>
      </c>
      <c r="F28" s="34">
        <v>8</v>
      </c>
      <c r="G28" s="34">
        <v>16</v>
      </c>
      <c r="H28" s="34">
        <v>43</v>
      </c>
      <c r="I28" s="34">
        <v>12</v>
      </c>
      <c r="J28" s="34">
        <v>28</v>
      </c>
      <c r="K28" s="34">
        <v>14</v>
      </c>
      <c r="L28" s="34">
        <v>5</v>
      </c>
      <c r="M28" s="36"/>
    </row>
    <row r="29" spans="1:13" x14ac:dyDescent="0.25">
      <c r="A29" s="68" t="s">
        <v>98</v>
      </c>
      <c r="B29" s="69" t="s">
        <v>26</v>
      </c>
      <c r="C29" s="34">
        <v>153</v>
      </c>
      <c r="D29" s="34">
        <v>53</v>
      </c>
      <c r="E29" s="34">
        <v>143</v>
      </c>
      <c r="F29" s="34">
        <v>2</v>
      </c>
      <c r="G29" s="34">
        <v>7</v>
      </c>
      <c r="H29" s="34">
        <v>2</v>
      </c>
      <c r="I29" s="34">
        <v>7</v>
      </c>
      <c r="J29" s="34">
        <v>9</v>
      </c>
      <c r="K29" s="34">
        <v>11</v>
      </c>
      <c r="L29" s="34">
        <v>7</v>
      </c>
      <c r="M29" s="36"/>
    </row>
    <row r="30" spans="1:13" x14ac:dyDescent="0.25">
      <c r="A30" s="68" t="s">
        <v>93</v>
      </c>
      <c r="B30" s="69" t="s">
        <v>21</v>
      </c>
      <c r="C30" s="34">
        <v>3</v>
      </c>
      <c r="D30" s="34">
        <v>1</v>
      </c>
      <c r="E30" s="34">
        <v>8</v>
      </c>
      <c r="F30" s="34">
        <v>0</v>
      </c>
      <c r="G30" s="34">
        <v>0</v>
      </c>
      <c r="H30" s="34">
        <v>5</v>
      </c>
      <c r="I30" s="34">
        <v>5</v>
      </c>
      <c r="J30" s="34">
        <v>7</v>
      </c>
      <c r="K30" s="34">
        <v>5</v>
      </c>
      <c r="L30" s="34">
        <v>0</v>
      </c>
      <c r="M30" s="36"/>
    </row>
    <row r="31" spans="1:13" x14ac:dyDescent="0.25">
      <c r="A31" s="68" t="s">
        <v>115</v>
      </c>
      <c r="B31" s="69" t="s">
        <v>43</v>
      </c>
      <c r="C31" s="34">
        <v>40</v>
      </c>
      <c r="D31" s="34">
        <v>14</v>
      </c>
      <c r="E31" s="34">
        <v>18</v>
      </c>
      <c r="F31" s="34">
        <v>4</v>
      </c>
      <c r="G31" s="34">
        <v>6</v>
      </c>
      <c r="H31" s="34">
        <v>6</v>
      </c>
      <c r="I31" s="34">
        <v>6</v>
      </c>
      <c r="J31" s="34">
        <v>6</v>
      </c>
      <c r="K31" s="34">
        <v>6</v>
      </c>
      <c r="L31" s="34">
        <v>9</v>
      </c>
      <c r="M31" s="36"/>
    </row>
    <row r="32" spans="1:13" x14ac:dyDescent="0.25">
      <c r="A32" s="68" t="s">
        <v>111</v>
      </c>
      <c r="B32" s="69" t="s">
        <v>39</v>
      </c>
      <c r="C32" s="34">
        <v>44</v>
      </c>
      <c r="D32" s="34">
        <v>40</v>
      </c>
      <c r="E32" s="34">
        <v>233</v>
      </c>
      <c r="F32" s="34">
        <v>2</v>
      </c>
      <c r="G32" s="34">
        <v>3</v>
      </c>
      <c r="H32" s="34">
        <v>25</v>
      </c>
      <c r="I32" s="34">
        <v>91</v>
      </c>
      <c r="J32" s="34">
        <v>6</v>
      </c>
      <c r="K32" s="34">
        <v>9</v>
      </c>
      <c r="L32" s="34">
        <v>2</v>
      </c>
      <c r="M32" s="36"/>
    </row>
    <row r="33" spans="1:13" x14ac:dyDescent="0.25">
      <c r="A33" s="68" t="s">
        <v>118</v>
      </c>
      <c r="B33" s="69" t="s">
        <v>46</v>
      </c>
      <c r="C33" s="34">
        <v>42</v>
      </c>
      <c r="D33" s="34">
        <v>7</v>
      </c>
      <c r="E33" s="34">
        <v>15</v>
      </c>
      <c r="F33" s="34">
        <v>5</v>
      </c>
      <c r="G33" s="34">
        <v>4</v>
      </c>
      <c r="H33" s="34">
        <v>4</v>
      </c>
      <c r="I33" s="34">
        <v>40</v>
      </c>
      <c r="J33" s="34">
        <v>4</v>
      </c>
      <c r="K33" s="34">
        <v>5</v>
      </c>
      <c r="L33" s="34">
        <v>4</v>
      </c>
      <c r="M33" s="36"/>
    </row>
    <row r="34" spans="1:13" x14ac:dyDescent="0.25">
      <c r="A34" s="68" t="s">
        <v>124</v>
      </c>
      <c r="B34" s="69" t="s">
        <v>52</v>
      </c>
      <c r="C34" s="34">
        <v>9</v>
      </c>
      <c r="D34" s="34">
        <v>17</v>
      </c>
      <c r="E34" s="34">
        <v>2</v>
      </c>
      <c r="F34" s="34">
        <v>0</v>
      </c>
      <c r="G34" s="34">
        <v>8</v>
      </c>
      <c r="H34" s="34">
        <v>2</v>
      </c>
      <c r="I34" s="34">
        <v>9</v>
      </c>
      <c r="J34" s="34">
        <v>0</v>
      </c>
      <c r="K34" s="34">
        <v>17</v>
      </c>
      <c r="L34" s="34">
        <v>0</v>
      </c>
      <c r="M34" s="36"/>
    </row>
    <row r="35" spans="1:13" x14ac:dyDescent="0.25">
      <c r="A35" s="68" t="s">
        <v>123</v>
      </c>
      <c r="B35" s="69" t="s">
        <v>51</v>
      </c>
      <c r="C35" s="34">
        <v>15</v>
      </c>
      <c r="D35" s="34">
        <v>13</v>
      </c>
      <c r="E35" s="34">
        <v>54</v>
      </c>
      <c r="F35" s="34">
        <v>0</v>
      </c>
      <c r="G35" s="34">
        <v>2</v>
      </c>
      <c r="H35" s="34">
        <v>0</v>
      </c>
      <c r="I35" s="34">
        <v>7</v>
      </c>
      <c r="J35" s="34">
        <v>0</v>
      </c>
      <c r="K35" s="34">
        <v>7</v>
      </c>
      <c r="L35" s="34">
        <v>0</v>
      </c>
      <c r="M35" s="36"/>
    </row>
    <row r="36" spans="1:13" x14ac:dyDescent="0.25">
      <c r="A36" s="68" t="s">
        <v>126</v>
      </c>
      <c r="B36" s="69" t="s">
        <v>54</v>
      </c>
      <c r="C36" s="34">
        <v>16</v>
      </c>
      <c r="D36" s="34">
        <v>7</v>
      </c>
      <c r="E36" s="34">
        <v>8</v>
      </c>
      <c r="F36" s="34">
        <v>0</v>
      </c>
      <c r="G36" s="34">
        <v>4</v>
      </c>
      <c r="H36" s="34">
        <v>11</v>
      </c>
      <c r="I36" s="34">
        <v>0</v>
      </c>
      <c r="J36" s="34">
        <v>2</v>
      </c>
      <c r="K36" s="34">
        <v>0</v>
      </c>
      <c r="L36" s="34">
        <v>0</v>
      </c>
      <c r="M36" s="36"/>
    </row>
    <row r="37" spans="1:13" x14ac:dyDescent="0.25">
      <c r="A37" s="68" t="s">
        <v>129</v>
      </c>
      <c r="B37" s="69" t="s">
        <v>57</v>
      </c>
      <c r="C37" s="34">
        <v>148</v>
      </c>
      <c r="D37" s="34">
        <v>143</v>
      </c>
      <c r="E37" s="34">
        <v>104</v>
      </c>
      <c r="F37" s="34">
        <v>17</v>
      </c>
      <c r="G37" s="34">
        <v>14</v>
      </c>
      <c r="H37" s="34">
        <v>30</v>
      </c>
      <c r="I37" s="34">
        <v>17</v>
      </c>
      <c r="J37" s="34">
        <v>16</v>
      </c>
      <c r="K37" s="34">
        <v>51</v>
      </c>
      <c r="L37" s="34">
        <v>32</v>
      </c>
      <c r="M37" s="36"/>
    </row>
    <row r="38" spans="1:13" x14ac:dyDescent="0.25">
      <c r="A38" s="68" t="s">
        <v>128</v>
      </c>
      <c r="B38" s="69" t="s">
        <v>56</v>
      </c>
      <c r="C38" s="34">
        <v>61</v>
      </c>
      <c r="D38" s="34">
        <v>15</v>
      </c>
      <c r="E38" s="34">
        <v>320</v>
      </c>
      <c r="F38" s="34">
        <v>0</v>
      </c>
      <c r="G38" s="34">
        <v>1</v>
      </c>
      <c r="H38" s="34">
        <v>1</v>
      </c>
      <c r="I38" s="34">
        <v>47</v>
      </c>
      <c r="J38" s="34">
        <v>1</v>
      </c>
      <c r="K38" s="34">
        <v>4</v>
      </c>
      <c r="L38" s="34">
        <v>2</v>
      </c>
      <c r="M38" s="36"/>
    </row>
    <row r="39" spans="1:13" x14ac:dyDescent="0.25">
      <c r="A39" s="68" t="s">
        <v>127</v>
      </c>
      <c r="B39" s="69" t="s">
        <v>55</v>
      </c>
      <c r="C39" s="34">
        <v>27</v>
      </c>
      <c r="D39" s="34">
        <v>9</v>
      </c>
      <c r="E39" s="34">
        <v>15</v>
      </c>
      <c r="F39" s="34">
        <v>0</v>
      </c>
      <c r="G39" s="34">
        <v>0</v>
      </c>
      <c r="H39" s="34">
        <v>0</v>
      </c>
      <c r="I39" s="34">
        <v>0</v>
      </c>
      <c r="J39" s="34">
        <v>4</v>
      </c>
      <c r="K39" s="34">
        <v>2</v>
      </c>
      <c r="L39" s="34">
        <v>0</v>
      </c>
      <c r="M39" s="36"/>
    </row>
    <row r="40" spans="1:13" x14ac:dyDescent="0.25">
      <c r="A40" s="68" t="s">
        <v>125</v>
      </c>
      <c r="B40" s="69" t="s">
        <v>53</v>
      </c>
      <c r="C40" s="34">
        <v>8</v>
      </c>
      <c r="D40" s="34">
        <v>34</v>
      </c>
      <c r="E40" s="34">
        <v>2</v>
      </c>
      <c r="F40" s="34">
        <v>0</v>
      </c>
      <c r="G40" s="34">
        <v>4</v>
      </c>
      <c r="H40" s="34">
        <v>4</v>
      </c>
      <c r="I40" s="34">
        <v>4</v>
      </c>
      <c r="J40" s="34">
        <v>0</v>
      </c>
      <c r="K40" s="34">
        <v>0</v>
      </c>
      <c r="L40" s="34">
        <v>4</v>
      </c>
      <c r="M40" s="36"/>
    </row>
    <row r="41" spans="1:13" x14ac:dyDescent="0.25">
      <c r="A41" s="68" t="s">
        <v>130</v>
      </c>
      <c r="B41" s="69" t="s">
        <v>58</v>
      </c>
      <c r="C41" s="34">
        <v>88</v>
      </c>
      <c r="D41" s="34">
        <v>134</v>
      </c>
      <c r="E41" s="34">
        <v>20</v>
      </c>
      <c r="F41" s="34">
        <v>5</v>
      </c>
      <c r="G41" s="34">
        <v>40</v>
      </c>
      <c r="H41" s="34">
        <v>10</v>
      </c>
      <c r="I41" s="34">
        <v>16</v>
      </c>
      <c r="J41" s="34">
        <v>17</v>
      </c>
      <c r="K41" s="34">
        <v>17</v>
      </c>
      <c r="L41" s="34">
        <v>6</v>
      </c>
      <c r="M41" s="36"/>
    </row>
    <row r="42" spans="1:13" x14ac:dyDescent="0.25">
      <c r="A42" s="68" t="s">
        <v>122</v>
      </c>
      <c r="B42" s="69" t="s">
        <v>50</v>
      </c>
      <c r="C42" s="34">
        <v>6</v>
      </c>
      <c r="D42" s="34">
        <v>1</v>
      </c>
      <c r="E42" s="34">
        <v>2</v>
      </c>
      <c r="F42" s="34">
        <v>0</v>
      </c>
      <c r="G42" s="34">
        <v>0</v>
      </c>
      <c r="H42" s="34">
        <v>1</v>
      </c>
      <c r="I42" s="34">
        <v>61</v>
      </c>
      <c r="J42" s="34">
        <v>0</v>
      </c>
      <c r="K42" s="34">
        <v>1</v>
      </c>
      <c r="L42" s="34">
        <v>0</v>
      </c>
      <c r="M42" s="36"/>
    </row>
    <row r="43" spans="1:13" x14ac:dyDescent="0.25">
      <c r="A43" s="70"/>
      <c r="B43" s="69" t="s">
        <v>59</v>
      </c>
      <c r="C43" s="34">
        <v>1504</v>
      </c>
      <c r="D43" s="34">
        <v>969</v>
      </c>
      <c r="E43" s="34">
        <v>2549</v>
      </c>
      <c r="F43" s="34">
        <v>128</v>
      </c>
      <c r="G43" s="34">
        <v>197</v>
      </c>
      <c r="H43" s="34">
        <v>288</v>
      </c>
      <c r="I43" s="34">
        <v>1239</v>
      </c>
      <c r="J43" s="34">
        <v>181</v>
      </c>
      <c r="K43" s="34">
        <v>254</v>
      </c>
      <c r="L43" s="34">
        <v>157</v>
      </c>
      <c r="M43" s="36"/>
    </row>
    <row r="44" spans="1:13" x14ac:dyDescent="0.25"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</row>
    <row r="45" spans="1:13" x14ac:dyDescent="0.25"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</row>
    <row r="46" spans="1:13" x14ac:dyDescent="0.25">
      <c r="A46" s="120" t="s">
        <v>393</v>
      </c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73"/>
    </row>
    <row r="47" spans="1:13" x14ac:dyDescent="0.25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91"/>
    </row>
    <row r="48" spans="1:13" x14ac:dyDescent="0.25">
      <c r="A48" s="115" t="s">
        <v>0</v>
      </c>
      <c r="B48" s="115" t="s">
        <v>85</v>
      </c>
      <c r="C48" s="117" t="s">
        <v>79</v>
      </c>
      <c r="D48" s="118"/>
      <c r="E48" s="118"/>
      <c r="F48" s="118"/>
      <c r="G48" s="118"/>
      <c r="H48" s="118"/>
      <c r="I48" s="118"/>
      <c r="J48" s="118"/>
      <c r="K48" s="118"/>
      <c r="L48" s="119"/>
      <c r="M48" s="92"/>
    </row>
    <row r="49" spans="1:15" ht="41.4" customHeight="1" x14ac:dyDescent="0.25">
      <c r="A49" s="116"/>
      <c r="B49" s="116"/>
      <c r="C49" s="33" t="s">
        <v>86</v>
      </c>
      <c r="D49" s="33" t="s">
        <v>87</v>
      </c>
      <c r="E49" s="33" t="s">
        <v>88</v>
      </c>
      <c r="F49" s="33" t="s">
        <v>89</v>
      </c>
      <c r="G49" s="33" t="s">
        <v>90</v>
      </c>
      <c r="H49" s="33" t="s">
        <v>370</v>
      </c>
      <c r="I49" s="33" t="s">
        <v>140</v>
      </c>
      <c r="J49" s="33" t="s">
        <v>91</v>
      </c>
      <c r="K49" s="33" t="s">
        <v>92</v>
      </c>
      <c r="L49" s="33" t="s">
        <v>78</v>
      </c>
      <c r="M49" s="94"/>
    </row>
    <row r="50" spans="1:15" x14ac:dyDescent="0.25">
      <c r="A50" s="72">
        <v>1</v>
      </c>
      <c r="B50" s="69" t="s">
        <v>9</v>
      </c>
      <c r="C50" s="34">
        <v>27</v>
      </c>
      <c r="D50" s="34">
        <v>13</v>
      </c>
      <c r="E50" s="34">
        <v>41</v>
      </c>
      <c r="F50" s="34">
        <v>0</v>
      </c>
      <c r="G50" s="34">
        <v>1</v>
      </c>
      <c r="H50" s="34">
        <v>3</v>
      </c>
      <c r="I50" s="34">
        <v>4</v>
      </c>
      <c r="J50" s="34">
        <v>2</v>
      </c>
      <c r="K50" s="34">
        <v>5</v>
      </c>
      <c r="L50" s="34">
        <v>2</v>
      </c>
      <c r="M50" s="36"/>
    </row>
    <row r="51" spans="1:15" x14ac:dyDescent="0.25">
      <c r="A51" s="72">
        <v>2</v>
      </c>
      <c r="B51" s="69" t="s">
        <v>10</v>
      </c>
      <c r="C51" s="34">
        <v>204</v>
      </c>
      <c r="D51" s="34">
        <v>104</v>
      </c>
      <c r="E51" s="34">
        <v>203</v>
      </c>
      <c r="F51" s="34">
        <v>13</v>
      </c>
      <c r="G51" s="34">
        <v>8</v>
      </c>
      <c r="H51" s="34">
        <v>18</v>
      </c>
      <c r="I51" s="34">
        <v>24</v>
      </c>
      <c r="J51" s="34">
        <v>14</v>
      </c>
      <c r="K51" s="34">
        <v>10</v>
      </c>
      <c r="L51" s="34">
        <v>9</v>
      </c>
      <c r="M51" s="36"/>
    </row>
    <row r="52" spans="1:15" x14ac:dyDescent="0.25">
      <c r="A52" s="72">
        <v>3</v>
      </c>
      <c r="B52" s="69" t="s">
        <v>11</v>
      </c>
      <c r="C52" s="34">
        <v>76</v>
      </c>
      <c r="D52" s="34">
        <v>74</v>
      </c>
      <c r="E52" s="34">
        <v>60</v>
      </c>
      <c r="F52" s="34">
        <v>60</v>
      </c>
      <c r="G52" s="34">
        <v>64</v>
      </c>
      <c r="H52" s="34">
        <v>66</v>
      </c>
      <c r="I52" s="34">
        <v>65</v>
      </c>
      <c r="J52" s="34">
        <v>48</v>
      </c>
      <c r="K52" s="34">
        <v>55</v>
      </c>
      <c r="L52" s="34">
        <v>54</v>
      </c>
      <c r="M52" s="36"/>
      <c r="O52" s="66" t="s">
        <v>86</v>
      </c>
    </row>
    <row r="53" spans="1:15" x14ac:dyDescent="0.25">
      <c r="A53" s="72">
        <v>4</v>
      </c>
      <c r="B53" s="69" t="s">
        <v>12</v>
      </c>
      <c r="C53" s="34">
        <v>73</v>
      </c>
      <c r="D53" s="34">
        <v>46</v>
      </c>
      <c r="E53" s="34">
        <v>215</v>
      </c>
      <c r="F53" s="34">
        <v>2</v>
      </c>
      <c r="G53" s="34">
        <v>3</v>
      </c>
      <c r="H53" s="34">
        <v>8</v>
      </c>
      <c r="I53" s="34">
        <v>50</v>
      </c>
      <c r="J53" s="34">
        <v>12</v>
      </c>
      <c r="K53" s="34">
        <v>6</v>
      </c>
      <c r="L53" s="34">
        <v>2</v>
      </c>
      <c r="M53" s="36"/>
      <c r="O53" s="66" t="s">
        <v>87</v>
      </c>
    </row>
    <row r="54" spans="1:15" x14ac:dyDescent="0.25">
      <c r="A54" s="72">
        <v>5</v>
      </c>
      <c r="B54" s="69" t="s">
        <v>13</v>
      </c>
      <c r="C54" s="34">
        <v>39</v>
      </c>
      <c r="D54" s="34">
        <v>35</v>
      </c>
      <c r="E54" s="34">
        <v>111</v>
      </c>
      <c r="F54" s="34">
        <v>1</v>
      </c>
      <c r="G54" s="34">
        <v>4</v>
      </c>
      <c r="H54" s="34">
        <v>7</v>
      </c>
      <c r="I54" s="34">
        <v>15</v>
      </c>
      <c r="J54" s="34">
        <v>1</v>
      </c>
      <c r="K54" s="34">
        <v>5</v>
      </c>
      <c r="L54" s="34">
        <v>3</v>
      </c>
      <c r="M54" s="36"/>
      <c r="O54" s="66" t="s">
        <v>88</v>
      </c>
    </row>
    <row r="55" spans="1:15" x14ac:dyDescent="0.25">
      <c r="A55" s="72">
        <v>6</v>
      </c>
      <c r="B55" s="69" t="s">
        <v>14</v>
      </c>
      <c r="C55" s="34">
        <v>3</v>
      </c>
      <c r="D55" s="34">
        <v>6</v>
      </c>
      <c r="E55" s="34">
        <v>2</v>
      </c>
      <c r="F55" s="34">
        <v>3</v>
      </c>
      <c r="G55" s="34">
        <v>5</v>
      </c>
      <c r="H55" s="34">
        <v>5</v>
      </c>
      <c r="I55" s="34">
        <v>5</v>
      </c>
      <c r="J55" s="34">
        <v>5</v>
      </c>
      <c r="K55" s="34">
        <v>6</v>
      </c>
      <c r="L55" s="34">
        <v>4</v>
      </c>
      <c r="M55" s="36"/>
      <c r="O55" s="66" t="s">
        <v>89</v>
      </c>
    </row>
    <row r="56" spans="1:15" x14ac:dyDescent="0.25">
      <c r="A56" s="72">
        <v>7</v>
      </c>
      <c r="B56" s="69" t="s">
        <v>15</v>
      </c>
      <c r="C56" s="34">
        <v>125</v>
      </c>
      <c r="D56" s="34">
        <v>31</v>
      </c>
      <c r="E56" s="34">
        <v>303</v>
      </c>
      <c r="F56" s="34">
        <v>0</v>
      </c>
      <c r="G56" s="34">
        <v>3</v>
      </c>
      <c r="H56" s="34">
        <v>0</v>
      </c>
      <c r="I56" s="34">
        <v>38</v>
      </c>
      <c r="J56" s="34">
        <v>1</v>
      </c>
      <c r="K56" s="34">
        <v>0</v>
      </c>
      <c r="L56" s="34">
        <v>5</v>
      </c>
      <c r="M56" s="36"/>
      <c r="O56" s="66" t="s">
        <v>90</v>
      </c>
    </row>
    <row r="57" spans="1:15" x14ac:dyDescent="0.25">
      <c r="A57" s="72">
        <v>8</v>
      </c>
      <c r="B57" s="69" t="s">
        <v>19</v>
      </c>
      <c r="C57" s="34">
        <v>202</v>
      </c>
      <c r="D57" s="34">
        <v>164</v>
      </c>
      <c r="E57" s="34">
        <v>850</v>
      </c>
      <c r="F57" s="34">
        <v>0</v>
      </c>
      <c r="G57" s="34">
        <v>6</v>
      </c>
      <c r="H57" s="34">
        <v>29</v>
      </c>
      <c r="I57" s="34">
        <v>723</v>
      </c>
      <c r="J57" s="34">
        <v>9</v>
      </c>
      <c r="K57" s="34">
        <v>11</v>
      </c>
      <c r="L57" s="34">
        <v>4</v>
      </c>
      <c r="M57" s="36"/>
      <c r="O57" s="66" t="s">
        <v>370</v>
      </c>
    </row>
    <row r="58" spans="1:15" x14ac:dyDescent="0.25">
      <c r="A58" s="72">
        <v>9</v>
      </c>
      <c r="B58" s="69" t="s">
        <v>17</v>
      </c>
      <c r="C58" s="34">
        <v>92</v>
      </c>
      <c r="D58" s="34">
        <v>49</v>
      </c>
      <c r="E58" s="34">
        <v>160</v>
      </c>
      <c r="F58" s="34">
        <v>3</v>
      </c>
      <c r="G58" s="34">
        <v>26</v>
      </c>
      <c r="H58" s="34">
        <v>12</v>
      </c>
      <c r="I58" s="34">
        <v>54</v>
      </c>
      <c r="J58" s="34">
        <v>13</v>
      </c>
      <c r="K58" s="34">
        <v>15</v>
      </c>
      <c r="L58" s="34">
        <v>4</v>
      </c>
      <c r="M58" s="36"/>
      <c r="O58" s="66" t="s">
        <v>140</v>
      </c>
    </row>
    <row r="59" spans="1:15" x14ac:dyDescent="0.25">
      <c r="A59" s="72">
        <v>10</v>
      </c>
      <c r="B59" s="69" t="s">
        <v>18</v>
      </c>
      <c r="C59" s="34">
        <v>493</v>
      </c>
      <c r="D59" s="34">
        <v>284</v>
      </c>
      <c r="E59" s="34">
        <v>423</v>
      </c>
      <c r="F59" s="34">
        <v>8</v>
      </c>
      <c r="G59" s="34">
        <v>23</v>
      </c>
      <c r="H59" s="34">
        <v>51</v>
      </c>
      <c r="I59" s="34">
        <v>146</v>
      </c>
      <c r="J59" s="34">
        <v>20</v>
      </c>
      <c r="K59" s="34">
        <v>67</v>
      </c>
      <c r="L59" s="34">
        <v>36</v>
      </c>
      <c r="M59" s="36"/>
      <c r="O59" s="66" t="s">
        <v>91</v>
      </c>
    </row>
    <row r="60" spans="1:15" x14ac:dyDescent="0.25">
      <c r="A60" s="72">
        <v>11</v>
      </c>
      <c r="B60" s="69" t="s">
        <v>20</v>
      </c>
      <c r="C60" s="34">
        <v>136</v>
      </c>
      <c r="D60" s="34">
        <v>146</v>
      </c>
      <c r="E60" s="34">
        <v>142</v>
      </c>
      <c r="F60" s="34">
        <v>35</v>
      </c>
      <c r="G60" s="34">
        <v>51</v>
      </c>
      <c r="H60" s="34">
        <v>83</v>
      </c>
      <c r="I60" s="34">
        <v>107</v>
      </c>
      <c r="J60" s="34">
        <v>54</v>
      </c>
      <c r="K60" s="34">
        <v>67</v>
      </c>
      <c r="L60" s="34">
        <v>33</v>
      </c>
      <c r="M60" s="36"/>
      <c r="O60" s="66" t="s">
        <v>92</v>
      </c>
    </row>
    <row r="61" spans="1:15" x14ac:dyDescent="0.25">
      <c r="A61" s="72">
        <v>12</v>
      </c>
      <c r="B61" s="69" t="s">
        <v>16</v>
      </c>
      <c r="C61" s="34">
        <v>34</v>
      </c>
      <c r="D61" s="34">
        <v>17</v>
      </c>
      <c r="E61" s="34">
        <v>39</v>
      </c>
      <c r="F61" s="34">
        <v>3</v>
      </c>
      <c r="G61" s="34">
        <v>3</v>
      </c>
      <c r="H61" s="34">
        <v>6</v>
      </c>
      <c r="I61" s="34">
        <v>8</v>
      </c>
      <c r="J61" s="34">
        <v>2</v>
      </c>
      <c r="K61" s="34">
        <v>7</v>
      </c>
      <c r="L61" s="34">
        <v>1</v>
      </c>
      <c r="M61" s="36"/>
      <c r="O61" s="66" t="s">
        <v>78</v>
      </c>
    </row>
    <row r="62" spans="1:15" x14ac:dyDescent="0.25">
      <c r="A62" s="72"/>
      <c r="B62" s="69" t="s">
        <v>59</v>
      </c>
      <c r="C62" s="34">
        <v>1504</v>
      </c>
      <c r="D62" s="34">
        <v>969</v>
      </c>
      <c r="E62" s="34">
        <v>2549</v>
      </c>
      <c r="F62" s="34">
        <v>128</v>
      </c>
      <c r="G62" s="34">
        <v>197</v>
      </c>
      <c r="H62" s="34">
        <v>288</v>
      </c>
      <c r="I62" s="34">
        <v>1239</v>
      </c>
      <c r="J62" s="34">
        <v>181</v>
      </c>
      <c r="K62" s="34">
        <v>254</v>
      </c>
      <c r="L62" s="34">
        <v>157</v>
      </c>
      <c r="M62" s="36"/>
    </row>
    <row r="63" spans="1:15" x14ac:dyDescent="0.25"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</row>
    <row r="64" spans="1:15" x14ac:dyDescent="0.25">
      <c r="A64" s="120" t="s">
        <v>394</v>
      </c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73"/>
    </row>
    <row r="65" spans="1:16" x14ac:dyDescent="0.2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91"/>
    </row>
    <row r="66" spans="1:16" x14ac:dyDescent="0.25">
      <c r="A66" s="115" t="s">
        <v>0</v>
      </c>
      <c r="B66" s="115" t="s">
        <v>61</v>
      </c>
      <c r="C66" s="117" t="s">
        <v>79</v>
      </c>
      <c r="D66" s="118"/>
      <c r="E66" s="118"/>
      <c r="F66" s="118"/>
      <c r="G66" s="118"/>
      <c r="H66" s="118"/>
      <c r="I66" s="118"/>
      <c r="J66" s="118"/>
      <c r="K66" s="118"/>
      <c r="L66" s="119"/>
      <c r="M66" s="92"/>
    </row>
    <row r="67" spans="1:16" ht="41.4" customHeight="1" x14ac:dyDescent="0.25">
      <c r="A67" s="116"/>
      <c r="B67" s="116"/>
      <c r="C67" s="33" t="s">
        <v>86</v>
      </c>
      <c r="D67" s="33" t="s">
        <v>87</v>
      </c>
      <c r="E67" s="33" t="s">
        <v>88</v>
      </c>
      <c r="F67" s="33" t="s">
        <v>89</v>
      </c>
      <c r="G67" s="33" t="s">
        <v>90</v>
      </c>
      <c r="H67" s="33" t="s">
        <v>140</v>
      </c>
      <c r="I67" s="33" t="s">
        <v>370</v>
      </c>
      <c r="J67" s="33" t="s">
        <v>91</v>
      </c>
      <c r="K67" s="33" t="s">
        <v>92</v>
      </c>
      <c r="L67" s="33" t="s">
        <v>78</v>
      </c>
      <c r="M67" s="94"/>
    </row>
    <row r="68" spans="1:16" x14ac:dyDescent="0.25">
      <c r="A68" s="72">
        <v>1</v>
      </c>
      <c r="B68" s="69" t="s">
        <v>5</v>
      </c>
      <c r="C68" s="34">
        <v>888</v>
      </c>
      <c r="D68" s="34">
        <v>515</v>
      </c>
      <c r="E68" s="34">
        <v>1714</v>
      </c>
      <c r="F68" s="34">
        <v>7</v>
      </c>
      <c r="G68" s="34">
        <v>45</v>
      </c>
      <c r="H68" s="34">
        <v>84</v>
      </c>
      <c r="I68" s="34">
        <v>851</v>
      </c>
      <c r="J68" s="34">
        <v>29</v>
      </c>
      <c r="K68" s="34">
        <v>59</v>
      </c>
      <c r="L68" s="34">
        <v>37</v>
      </c>
      <c r="M68" s="36"/>
    </row>
    <row r="69" spans="1:16" x14ac:dyDescent="0.25">
      <c r="A69" s="72">
        <v>2</v>
      </c>
      <c r="B69" s="69" t="s">
        <v>6</v>
      </c>
      <c r="C69" s="34">
        <v>393</v>
      </c>
      <c r="D69" s="34">
        <v>238</v>
      </c>
      <c r="E69" s="34">
        <v>604</v>
      </c>
      <c r="F69" s="34">
        <v>7</v>
      </c>
      <c r="G69" s="34">
        <v>17</v>
      </c>
      <c r="H69" s="34">
        <v>66</v>
      </c>
      <c r="I69" s="34">
        <v>234</v>
      </c>
      <c r="J69" s="34">
        <v>37</v>
      </c>
      <c r="K69" s="34">
        <v>51</v>
      </c>
      <c r="L69" s="34">
        <v>7</v>
      </c>
      <c r="M69" s="36"/>
    </row>
    <row r="70" spans="1:16" x14ac:dyDescent="0.25">
      <c r="A70" s="72">
        <v>3</v>
      </c>
      <c r="B70" s="69" t="s">
        <v>7</v>
      </c>
      <c r="C70" s="34">
        <v>138</v>
      </c>
      <c r="D70" s="34">
        <v>125</v>
      </c>
      <c r="E70" s="34">
        <v>162</v>
      </c>
      <c r="F70" s="34">
        <v>38</v>
      </c>
      <c r="G70" s="34">
        <v>56</v>
      </c>
      <c r="H70" s="34">
        <v>52</v>
      </c>
      <c r="I70" s="34">
        <v>64</v>
      </c>
      <c r="J70" s="34">
        <v>32</v>
      </c>
      <c r="K70" s="34">
        <v>61</v>
      </c>
      <c r="L70" s="34">
        <v>56</v>
      </c>
      <c r="M70" s="36"/>
    </row>
    <row r="71" spans="1:16" x14ac:dyDescent="0.25">
      <c r="A71" s="72">
        <v>4</v>
      </c>
      <c r="B71" s="69" t="s">
        <v>8</v>
      </c>
      <c r="C71" s="34">
        <v>85</v>
      </c>
      <c r="D71" s="34">
        <v>91</v>
      </c>
      <c r="E71" s="34">
        <v>69</v>
      </c>
      <c r="F71" s="34">
        <v>76</v>
      </c>
      <c r="G71" s="34">
        <v>79</v>
      </c>
      <c r="H71" s="34">
        <v>86</v>
      </c>
      <c r="I71" s="34">
        <v>90</v>
      </c>
      <c r="J71" s="34">
        <v>83</v>
      </c>
      <c r="K71" s="34">
        <v>83</v>
      </c>
      <c r="L71" s="34">
        <v>57</v>
      </c>
      <c r="M71" s="36"/>
    </row>
    <row r="72" spans="1:16" x14ac:dyDescent="0.25">
      <c r="A72" s="72"/>
      <c r="B72" s="69" t="s">
        <v>59</v>
      </c>
      <c r="C72" s="34">
        <v>1504</v>
      </c>
      <c r="D72" s="34">
        <v>969</v>
      </c>
      <c r="E72" s="34">
        <v>2549</v>
      </c>
      <c r="F72" s="34">
        <v>128</v>
      </c>
      <c r="G72" s="34">
        <v>197</v>
      </c>
      <c r="H72" s="34">
        <v>288</v>
      </c>
      <c r="I72" s="34">
        <v>1239</v>
      </c>
      <c r="J72" s="34">
        <v>181</v>
      </c>
      <c r="K72" s="34">
        <v>254</v>
      </c>
      <c r="L72" s="34">
        <v>157</v>
      </c>
      <c r="M72" s="36"/>
    </row>
    <row r="75" spans="1:16" x14ac:dyDescent="0.25">
      <c r="N75" s="87" t="s">
        <v>0</v>
      </c>
      <c r="O75" s="87" t="s">
        <v>449</v>
      </c>
      <c r="P75" s="87" t="s">
        <v>400</v>
      </c>
    </row>
    <row r="76" spans="1:16" x14ac:dyDescent="0.25">
      <c r="N76" s="89">
        <v>1</v>
      </c>
      <c r="O76" s="69" t="s">
        <v>86</v>
      </c>
      <c r="P76" s="90">
        <v>1504</v>
      </c>
    </row>
    <row r="77" spans="1:16" x14ac:dyDescent="0.25">
      <c r="N77" s="89">
        <v>2</v>
      </c>
      <c r="O77" s="69" t="s">
        <v>87</v>
      </c>
      <c r="P77" s="90">
        <v>969</v>
      </c>
    </row>
    <row r="78" spans="1:16" x14ac:dyDescent="0.25">
      <c r="N78" s="89">
        <v>3</v>
      </c>
      <c r="O78" s="69" t="s">
        <v>88</v>
      </c>
      <c r="P78" s="90">
        <v>2549</v>
      </c>
    </row>
    <row r="79" spans="1:16" x14ac:dyDescent="0.25">
      <c r="N79" s="89">
        <v>4</v>
      </c>
      <c r="O79" s="69" t="s">
        <v>89</v>
      </c>
      <c r="P79" s="90">
        <v>128</v>
      </c>
    </row>
    <row r="80" spans="1:16" x14ac:dyDescent="0.25">
      <c r="N80" s="89">
        <v>5</v>
      </c>
      <c r="O80" s="69" t="s">
        <v>90</v>
      </c>
      <c r="P80" s="90">
        <v>197</v>
      </c>
    </row>
    <row r="81" spans="14:16" x14ac:dyDescent="0.25">
      <c r="N81" s="89">
        <v>6</v>
      </c>
      <c r="O81" s="69" t="s">
        <v>370</v>
      </c>
      <c r="P81" s="90">
        <v>288</v>
      </c>
    </row>
    <row r="82" spans="14:16" x14ac:dyDescent="0.25">
      <c r="N82" s="89">
        <v>7</v>
      </c>
      <c r="O82" s="69" t="s">
        <v>140</v>
      </c>
      <c r="P82" s="90">
        <v>1239</v>
      </c>
    </row>
    <row r="83" spans="14:16" x14ac:dyDescent="0.25">
      <c r="N83" s="89">
        <v>8</v>
      </c>
      <c r="O83" s="69" t="s">
        <v>91</v>
      </c>
      <c r="P83" s="90">
        <v>181</v>
      </c>
    </row>
    <row r="84" spans="14:16" x14ac:dyDescent="0.25">
      <c r="N84" s="89">
        <v>9</v>
      </c>
      <c r="O84" s="69" t="s">
        <v>92</v>
      </c>
      <c r="P84" s="90">
        <v>254</v>
      </c>
    </row>
    <row r="85" spans="14:16" x14ac:dyDescent="0.25">
      <c r="N85" s="89">
        <v>10</v>
      </c>
      <c r="O85" s="69" t="s">
        <v>78</v>
      </c>
      <c r="P85" s="90">
        <v>157</v>
      </c>
    </row>
    <row r="86" spans="14:16" x14ac:dyDescent="0.25">
      <c r="N86" s="89"/>
      <c r="O86" s="88" t="s">
        <v>59</v>
      </c>
      <c r="P86" s="90">
        <f>SUM(P76:P85)</f>
        <v>7466</v>
      </c>
    </row>
    <row r="88" spans="14:16" x14ac:dyDescent="0.25">
      <c r="N88" s="87" t="s">
        <v>0</v>
      </c>
      <c r="O88" s="87" t="s">
        <v>4</v>
      </c>
      <c r="P88" s="87" t="s">
        <v>400</v>
      </c>
    </row>
    <row r="89" spans="14:16" x14ac:dyDescent="0.25">
      <c r="N89" s="89">
        <v>1</v>
      </c>
      <c r="O89" s="69" t="s">
        <v>9</v>
      </c>
      <c r="P89" s="90">
        <f>SUM(C50:L50)</f>
        <v>98</v>
      </c>
    </row>
    <row r="90" spans="14:16" x14ac:dyDescent="0.25">
      <c r="N90" s="89">
        <v>2</v>
      </c>
      <c r="O90" s="69" t="s">
        <v>10</v>
      </c>
      <c r="P90" s="90">
        <f t="shared" ref="P90:P100" si="0">SUM(C51:L51)</f>
        <v>607</v>
      </c>
    </row>
    <row r="91" spans="14:16" x14ac:dyDescent="0.25">
      <c r="N91" s="89">
        <v>3</v>
      </c>
      <c r="O91" s="69" t="s">
        <v>11</v>
      </c>
      <c r="P91" s="90">
        <f t="shared" si="0"/>
        <v>622</v>
      </c>
    </row>
    <row r="92" spans="14:16" x14ac:dyDescent="0.25">
      <c r="N92" s="89">
        <v>4</v>
      </c>
      <c r="O92" s="69" t="s">
        <v>12</v>
      </c>
      <c r="P92" s="90">
        <f t="shared" si="0"/>
        <v>417</v>
      </c>
    </row>
    <row r="93" spans="14:16" x14ac:dyDescent="0.25">
      <c r="N93" s="89">
        <v>5</v>
      </c>
      <c r="O93" s="69" t="s">
        <v>13</v>
      </c>
      <c r="P93" s="90">
        <f t="shared" si="0"/>
        <v>221</v>
      </c>
    </row>
    <row r="94" spans="14:16" x14ac:dyDescent="0.25">
      <c r="N94" s="89">
        <v>6</v>
      </c>
      <c r="O94" s="69" t="s">
        <v>14</v>
      </c>
      <c r="P94" s="90">
        <f t="shared" si="0"/>
        <v>44</v>
      </c>
    </row>
    <row r="95" spans="14:16" x14ac:dyDescent="0.25">
      <c r="N95" s="89">
        <v>7</v>
      </c>
      <c r="O95" s="69" t="s">
        <v>15</v>
      </c>
      <c r="P95" s="90">
        <f t="shared" si="0"/>
        <v>506</v>
      </c>
    </row>
    <row r="96" spans="14:16" x14ac:dyDescent="0.25">
      <c r="N96" s="89">
        <v>8</v>
      </c>
      <c r="O96" s="69" t="s">
        <v>19</v>
      </c>
      <c r="P96" s="90">
        <f t="shared" si="0"/>
        <v>1998</v>
      </c>
    </row>
    <row r="97" spans="14:16" x14ac:dyDescent="0.25">
      <c r="N97" s="89">
        <v>9</v>
      </c>
      <c r="O97" s="69" t="s">
        <v>17</v>
      </c>
      <c r="P97" s="90">
        <f t="shared" si="0"/>
        <v>428</v>
      </c>
    </row>
    <row r="98" spans="14:16" x14ac:dyDescent="0.25">
      <c r="N98" s="89">
        <v>10</v>
      </c>
      <c r="O98" s="69" t="s">
        <v>18</v>
      </c>
      <c r="P98" s="90">
        <f t="shared" si="0"/>
        <v>1551</v>
      </c>
    </row>
    <row r="99" spans="14:16" x14ac:dyDescent="0.25">
      <c r="N99" s="89">
        <v>11</v>
      </c>
      <c r="O99" s="69" t="s">
        <v>20</v>
      </c>
      <c r="P99" s="90">
        <f t="shared" si="0"/>
        <v>854</v>
      </c>
    </row>
    <row r="100" spans="14:16" x14ac:dyDescent="0.25">
      <c r="N100" s="89">
        <v>12</v>
      </c>
      <c r="O100" s="69" t="s">
        <v>16</v>
      </c>
      <c r="P100" s="90">
        <f t="shared" si="0"/>
        <v>120</v>
      </c>
    </row>
    <row r="101" spans="14:16" x14ac:dyDescent="0.25">
      <c r="N101" s="89"/>
      <c r="O101" s="88" t="s">
        <v>59</v>
      </c>
      <c r="P101" s="90">
        <f>SUM(P89:P100)</f>
        <v>7466</v>
      </c>
    </row>
    <row r="103" spans="14:16" x14ac:dyDescent="0.25">
      <c r="N103" s="87" t="s">
        <v>0</v>
      </c>
      <c r="O103" s="87" t="s">
        <v>2</v>
      </c>
      <c r="P103" s="87" t="s">
        <v>400</v>
      </c>
    </row>
    <row r="104" spans="14:16" x14ac:dyDescent="0.25">
      <c r="N104" s="89">
        <v>1</v>
      </c>
      <c r="O104" s="69" t="s">
        <v>5</v>
      </c>
      <c r="P104" s="90">
        <f>SUM(C68:L68)</f>
        <v>4229</v>
      </c>
    </row>
    <row r="105" spans="14:16" x14ac:dyDescent="0.25">
      <c r="N105" s="89">
        <v>2</v>
      </c>
      <c r="O105" s="69" t="s">
        <v>6</v>
      </c>
      <c r="P105" s="90">
        <f t="shared" ref="P105:P107" si="1">SUM(C69:L69)</f>
        <v>1654</v>
      </c>
    </row>
    <row r="106" spans="14:16" x14ac:dyDescent="0.25">
      <c r="N106" s="89">
        <v>3</v>
      </c>
      <c r="O106" s="69" t="s">
        <v>7</v>
      </c>
      <c r="P106" s="90">
        <f t="shared" si="1"/>
        <v>784</v>
      </c>
    </row>
    <row r="107" spans="14:16" x14ac:dyDescent="0.25">
      <c r="N107" s="89">
        <v>4</v>
      </c>
      <c r="O107" s="69" t="s">
        <v>8</v>
      </c>
      <c r="P107" s="90">
        <f t="shared" si="1"/>
        <v>799</v>
      </c>
    </row>
    <row r="108" spans="14:16" x14ac:dyDescent="0.25">
      <c r="N108" s="89"/>
      <c r="O108" s="88" t="s">
        <v>59</v>
      </c>
      <c r="P108" s="90">
        <f>SUM(P104:P107)</f>
        <v>7466</v>
      </c>
    </row>
  </sheetData>
  <mergeCells count="12">
    <mergeCell ref="A64:L65"/>
    <mergeCell ref="A66:A67"/>
    <mergeCell ref="B66:B67"/>
    <mergeCell ref="C66:L66"/>
    <mergeCell ref="A1:L2"/>
    <mergeCell ref="A3:A4"/>
    <mergeCell ref="B3:B4"/>
    <mergeCell ref="C3:L3"/>
    <mergeCell ref="A46:L47"/>
    <mergeCell ref="A48:A49"/>
    <mergeCell ref="B48:B49"/>
    <mergeCell ref="C48:L48"/>
  </mergeCells>
  <pageMargins left="0.31496062992125984" right="0" top="0.59055118110236227" bottom="0.35433070866141736" header="0.31496062992125984" footer="0.31496062992125984"/>
  <pageSetup paperSize="9" scale="80" firstPageNumber="211" orientation="landscape" useFirstPageNumber="1" r:id="rId1"/>
  <headerFooter>
    <oddFooter>&amp;C&amp;P</oddFooter>
  </headerFooter>
  <rowBreaks count="2" manualBreakCount="2">
    <brk id="45" max="11" man="1"/>
    <brk id="63" max="11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E796-28AD-42C2-AE77-4273CC3AEB72}">
  <dimension ref="A1:H99"/>
  <sheetViews>
    <sheetView view="pageBreakPreview" zoomScale="60" zoomScaleNormal="55" workbookViewId="0">
      <selection activeCell="F79" sqref="F79:H92"/>
    </sheetView>
  </sheetViews>
  <sheetFormatPr defaultRowHeight="12" x14ac:dyDescent="0.25"/>
  <cols>
    <col min="1" max="1" width="7.77734375" style="71" customWidth="1"/>
    <col min="2" max="2" width="27.109375" style="66" customWidth="1"/>
    <col min="3" max="3" width="12.44140625" style="66" customWidth="1"/>
    <col min="4" max="5" width="13.77734375" style="66" customWidth="1"/>
    <col min="6" max="6" width="4.6640625" style="66" customWidth="1"/>
    <col min="7" max="7" width="40" style="66" customWidth="1"/>
    <col min="8" max="8" width="22.21875" style="66" customWidth="1"/>
    <col min="9" max="16384" width="8.88671875" style="66"/>
  </cols>
  <sheetData>
    <row r="1" spans="1:7" x14ac:dyDescent="0.25">
      <c r="A1" s="120" t="s">
        <v>395</v>
      </c>
      <c r="B1" s="120"/>
      <c r="C1" s="120"/>
      <c r="D1" s="120"/>
      <c r="E1" s="73"/>
    </row>
    <row r="2" spans="1:7" x14ac:dyDescent="0.25">
      <c r="A2" s="114"/>
      <c r="B2" s="114"/>
      <c r="C2" s="114"/>
      <c r="D2" s="114"/>
      <c r="E2" s="91"/>
    </row>
    <row r="3" spans="1:7" x14ac:dyDescent="0.25">
      <c r="A3" s="115" t="s">
        <v>0</v>
      </c>
      <c r="B3" s="115" t="s">
        <v>60</v>
      </c>
      <c r="C3" s="117" t="s">
        <v>79</v>
      </c>
      <c r="D3" s="119"/>
      <c r="E3" s="92"/>
    </row>
    <row r="4" spans="1:7" ht="48" customHeight="1" x14ac:dyDescent="0.25">
      <c r="A4" s="116"/>
      <c r="B4" s="116"/>
      <c r="C4" s="33" t="s">
        <v>371</v>
      </c>
      <c r="D4" s="33" t="s">
        <v>396</v>
      </c>
      <c r="E4" s="94"/>
    </row>
    <row r="5" spans="1:7" x14ac:dyDescent="0.25">
      <c r="A5" s="68" t="s">
        <v>110</v>
      </c>
      <c r="B5" s="69" t="s">
        <v>38</v>
      </c>
      <c r="C5" s="34">
        <v>273</v>
      </c>
      <c r="D5" s="34">
        <v>2</v>
      </c>
      <c r="E5" s="36"/>
      <c r="G5" s="66" t="s">
        <v>395</v>
      </c>
    </row>
    <row r="6" spans="1:7" x14ac:dyDescent="0.25">
      <c r="A6" s="68" t="s">
        <v>113</v>
      </c>
      <c r="B6" s="69" t="s">
        <v>41</v>
      </c>
      <c r="C6" s="34"/>
      <c r="D6" s="34">
        <v>0</v>
      </c>
      <c r="E6" s="36"/>
      <c r="G6" s="66" t="s">
        <v>397</v>
      </c>
    </row>
    <row r="7" spans="1:7" x14ac:dyDescent="0.25">
      <c r="A7" s="68" t="s">
        <v>119</v>
      </c>
      <c r="B7" s="69" t="s">
        <v>47</v>
      </c>
      <c r="C7" s="34"/>
      <c r="D7" s="34">
        <v>0</v>
      </c>
      <c r="E7" s="36"/>
      <c r="G7" s="66" t="s">
        <v>398</v>
      </c>
    </row>
    <row r="8" spans="1:7" x14ac:dyDescent="0.25">
      <c r="A8" s="68" t="s">
        <v>121</v>
      </c>
      <c r="B8" s="69" t="s">
        <v>49</v>
      </c>
      <c r="C8" s="34"/>
      <c r="D8" s="34">
        <v>0</v>
      </c>
      <c r="E8" s="36"/>
    </row>
    <row r="9" spans="1:7" x14ac:dyDescent="0.25">
      <c r="A9" s="68" t="s">
        <v>95</v>
      </c>
      <c r="B9" s="69" t="s">
        <v>23</v>
      </c>
      <c r="C9" s="34"/>
      <c r="D9" s="34">
        <v>0</v>
      </c>
      <c r="E9" s="36"/>
    </row>
    <row r="10" spans="1:7" x14ac:dyDescent="0.25">
      <c r="A10" s="68" t="s">
        <v>101</v>
      </c>
      <c r="B10" s="69" t="s">
        <v>29</v>
      </c>
      <c r="C10" s="34">
        <v>3</v>
      </c>
      <c r="D10" s="34">
        <v>0</v>
      </c>
      <c r="E10" s="36"/>
    </row>
    <row r="11" spans="1:7" x14ac:dyDescent="0.25">
      <c r="A11" s="68" t="s">
        <v>106</v>
      </c>
      <c r="B11" s="69" t="s">
        <v>34</v>
      </c>
      <c r="C11" s="34">
        <v>1</v>
      </c>
      <c r="D11" s="34">
        <v>0</v>
      </c>
      <c r="E11" s="36"/>
    </row>
    <row r="12" spans="1:7" x14ac:dyDescent="0.25">
      <c r="A12" s="68" t="s">
        <v>103</v>
      </c>
      <c r="B12" s="69" t="s">
        <v>31</v>
      </c>
      <c r="C12" s="34"/>
      <c r="D12" s="34">
        <v>0</v>
      </c>
      <c r="E12" s="36"/>
    </row>
    <row r="13" spans="1:7" x14ac:dyDescent="0.25">
      <c r="A13" s="68" t="s">
        <v>99</v>
      </c>
      <c r="B13" s="69" t="s">
        <v>27</v>
      </c>
      <c r="C13" s="34">
        <v>58</v>
      </c>
      <c r="D13" s="34">
        <v>84</v>
      </c>
      <c r="E13" s="36"/>
    </row>
    <row r="14" spans="1:7" x14ac:dyDescent="0.25">
      <c r="A14" s="68" t="s">
        <v>94</v>
      </c>
      <c r="B14" s="69" t="s">
        <v>22</v>
      </c>
      <c r="C14" s="34"/>
      <c r="D14" s="34">
        <v>0</v>
      </c>
      <c r="E14" s="36"/>
    </row>
    <row r="15" spans="1:7" x14ac:dyDescent="0.25">
      <c r="A15" s="68" t="s">
        <v>97</v>
      </c>
      <c r="B15" s="69" t="s">
        <v>25</v>
      </c>
      <c r="C15" s="34"/>
      <c r="D15" s="34">
        <v>0</v>
      </c>
      <c r="E15" s="36"/>
    </row>
    <row r="16" spans="1:7" x14ac:dyDescent="0.25">
      <c r="A16" s="68" t="s">
        <v>117</v>
      </c>
      <c r="B16" s="69" t="s">
        <v>45</v>
      </c>
      <c r="C16" s="34"/>
      <c r="D16" s="34">
        <v>0</v>
      </c>
      <c r="E16" s="36"/>
    </row>
    <row r="17" spans="1:5" x14ac:dyDescent="0.25">
      <c r="A17" s="68" t="s">
        <v>114</v>
      </c>
      <c r="B17" s="69" t="s">
        <v>42</v>
      </c>
      <c r="C17" s="34">
        <v>4</v>
      </c>
      <c r="D17" s="34">
        <v>0</v>
      </c>
      <c r="E17" s="36"/>
    </row>
    <row r="18" spans="1:5" x14ac:dyDescent="0.25">
      <c r="A18" s="68" t="s">
        <v>112</v>
      </c>
      <c r="B18" s="69" t="s">
        <v>40</v>
      </c>
      <c r="C18" s="34"/>
      <c r="D18" s="34">
        <v>6</v>
      </c>
      <c r="E18" s="36"/>
    </row>
    <row r="19" spans="1:5" x14ac:dyDescent="0.25">
      <c r="A19" s="68" t="s">
        <v>116</v>
      </c>
      <c r="B19" s="69" t="s">
        <v>44</v>
      </c>
      <c r="C19" s="34">
        <v>6</v>
      </c>
      <c r="D19" s="34">
        <v>15</v>
      </c>
      <c r="E19" s="36"/>
    </row>
    <row r="20" spans="1:5" x14ac:dyDescent="0.25">
      <c r="A20" s="68" t="s">
        <v>107</v>
      </c>
      <c r="B20" s="69" t="s">
        <v>35</v>
      </c>
      <c r="C20" s="34">
        <v>3</v>
      </c>
      <c r="D20" s="34">
        <v>0</v>
      </c>
      <c r="E20" s="36"/>
    </row>
    <row r="21" spans="1:5" x14ac:dyDescent="0.25">
      <c r="A21" s="68" t="s">
        <v>100</v>
      </c>
      <c r="B21" s="69" t="s">
        <v>28</v>
      </c>
      <c r="C21" s="34"/>
      <c r="D21" s="34">
        <v>0</v>
      </c>
      <c r="E21" s="36"/>
    </row>
    <row r="22" spans="1:5" x14ac:dyDescent="0.25">
      <c r="A22" s="68" t="s">
        <v>108</v>
      </c>
      <c r="B22" s="69" t="s">
        <v>36</v>
      </c>
      <c r="C22" s="34"/>
      <c r="D22" s="34">
        <v>0</v>
      </c>
      <c r="E22" s="36"/>
    </row>
    <row r="23" spans="1:5" x14ac:dyDescent="0.25">
      <c r="A23" s="68" t="s">
        <v>104</v>
      </c>
      <c r="B23" s="69" t="s">
        <v>32</v>
      </c>
      <c r="C23" s="34"/>
      <c r="D23" s="34">
        <v>0</v>
      </c>
      <c r="E23" s="36"/>
    </row>
    <row r="24" spans="1:5" x14ac:dyDescent="0.25">
      <c r="A24" s="68" t="s">
        <v>105</v>
      </c>
      <c r="B24" s="69" t="s">
        <v>33</v>
      </c>
      <c r="C24" s="34"/>
      <c r="D24" s="34">
        <v>0</v>
      </c>
      <c r="E24" s="36"/>
    </row>
    <row r="25" spans="1:5" x14ac:dyDescent="0.25">
      <c r="A25" s="68" t="s">
        <v>109</v>
      </c>
      <c r="B25" s="69" t="s">
        <v>37</v>
      </c>
      <c r="C25" s="34">
        <v>75</v>
      </c>
      <c r="D25" s="34">
        <v>9</v>
      </c>
      <c r="E25" s="36"/>
    </row>
    <row r="26" spans="1:5" x14ac:dyDescent="0.25">
      <c r="A26" s="68" t="s">
        <v>96</v>
      </c>
      <c r="B26" s="69" t="s">
        <v>24</v>
      </c>
      <c r="C26" s="34"/>
      <c r="D26" s="34">
        <v>0</v>
      </c>
      <c r="E26" s="36"/>
    </row>
    <row r="27" spans="1:5" x14ac:dyDescent="0.25">
      <c r="A27" s="68" t="s">
        <v>120</v>
      </c>
      <c r="B27" s="69" t="s">
        <v>48</v>
      </c>
      <c r="C27" s="34">
        <v>4</v>
      </c>
      <c r="D27" s="34">
        <v>0</v>
      </c>
      <c r="E27" s="36"/>
    </row>
    <row r="28" spans="1:5" x14ac:dyDescent="0.25">
      <c r="A28" s="68" t="s">
        <v>102</v>
      </c>
      <c r="B28" s="69" t="s">
        <v>30</v>
      </c>
      <c r="C28" s="34">
        <v>5</v>
      </c>
      <c r="D28" s="34">
        <v>7</v>
      </c>
      <c r="E28" s="36"/>
    </row>
    <row r="29" spans="1:5" x14ac:dyDescent="0.25">
      <c r="A29" s="68" t="s">
        <v>98</v>
      </c>
      <c r="B29" s="69" t="s">
        <v>26</v>
      </c>
      <c r="C29" s="34">
        <v>11</v>
      </c>
      <c r="D29" s="34">
        <v>0</v>
      </c>
      <c r="E29" s="36"/>
    </row>
    <row r="30" spans="1:5" x14ac:dyDescent="0.25">
      <c r="A30" s="68" t="s">
        <v>93</v>
      </c>
      <c r="B30" s="69" t="s">
        <v>21</v>
      </c>
      <c r="C30" s="34"/>
      <c r="D30" s="34">
        <v>0</v>
      </c>
      <c r="E30" s="36"/>
    </row>
    <row r="31" spans="1:5" x14ac:dyDescent="0.25">
      <c r="A31" s="68" t="s">
        <v>115</v>
      </c>
      <c r="B31" s="69" t="s">
        <v>43</v>
      </c>
      <c r="C31" s="34">
        <v>95</v>
      </c>
      <c r="D31" s="34">
        <v>57</v>
      </c>
      <c r="E31" s="36"/>
    </row>
    <row r="32" spans="1:5" x14ac:dyDescent="0.25">
      <c r="A32" s="68" t="s">
        <v>111</v>
      </c>
      <c r="B32" s="69" t="s">
        <v>39</v>
      </c>
      <c r="C32" s="34">
        <v>55</v>
      </c>
      <c r="D32" s="34">
        <v>47</v>
      </c>
      <c r="E32" s="36"/>
    </row>
    <row r="33" spans="1:5" x14ac:dyDescent="0.25">
      <c r="A33" s="68" t="s">
        <v>118</v>
      </c>
      <c r="B33" s="69" t="s">
        <v>46</v>
      </c>
      <c r="C33" s="34">
        <v>11</v>
      </c>
      <c r="D33" s="34">
        <v>2</v>
      </c>
      <c r="E33" s="36"/>
    </row>
    <row r="34" spans="1:5" x14ac:dyDescent="0.25">
      <c r="A34" s="68" t="s">
        <v>124</v>
      </c>
      <c r="B34" s="69" t="s">
        <v>52</v>
      </c>
      <c r="C34" s="34"/>
      <c r="D34" s="34">
        <v>0</v>
      </c>
      <c r="E34" s="36"/>
    </row>
    <row r="35" spans="1:5" x14ac:dyDescent="0.25">
      <c r="A35" s="68" t="s">
        <v>123</v>
      </c>
      <c r="B35" s="69" t="s">
        <v>51</v>
      </c>
      <c r="C35" s="34"/>
      <c r="D35" s="34">
        <v>0</v>
      </c>
      <c r="E35" s="36"/>
    </row>
    <row r="36" spans="1:5" x14ac:dyDescent="0.25">
      <c r="A36" s="68" t="s">
        <v>126</v>
      </c>
      <c r="B36" s="69" t="s">
        <v>54</v>
      </c>
      <c r="C36" s="34">
        <v>21</v>
      </c>
      <c r="D36" s="34">
        <v>11</v>
      </c>
      <c r="E36" s="36"/>
    </row>
    <row r="37" spans="1:5" x14ac:dyDescent="0.25">
      <c r="A37" s="68" t="s">
        <v>129</v>
      </c>
      <c r="B37" s="69" t="s">
        <v>57</v>
      </c>
      <c r="C37" s="34">
        <v>16</v>
      </c>
      <c r="D37" s="34">
        <v>4</v>
      </c>
      <c r="E37" s="36"/>
    </row>
    <row r="38" spans="1:5" x14ac:dyDescent="0.25">
      <c r="A38" s="68" t="s">
        <v>128</v>
      </c>
      <c r="B38" s="69" t="s">
        <v>56</v>
      </c>
      <c r="C38" s="34">
        <v>9</v>
      </c>
      <c r="D38" s="34">
        <v>2</v>
      </c>
      <c r="E38" s="36"/>
    </row>
    <row r="39" spans="1:5" x14ac:dyDescent="0.25">
      <c r="A39" s="68" t="s">
        <v>127</v>
      </c>
      <c r="B39" s="69" t="s">
        <v>55</v>
      </c>
      <c r="C39" s="34"/>
      <c r="D39" s="34">
        <v>0</v>
      </c>
      <c r="E39" s="36"/>
    </row>
    <row r="40" spans="1:5" x14ac:dyDescent="0.25">
      <c r="A40" s="68" t="s">
        <v>125</v>
      </c>
      <c r="B40" s="69" t="s">
        <v>53</v>
      </c>
      <c r="C40" s="34">
        <v>5</v>
      </c>
      <c r="D40" s="34">
        <v>0</v>
      </c>
      <c r="E40" s="36"/>
    </row>
    <row r="41" spans="1:5" x14ac:dyDescent="0.25">
      <c r="A41" s="68" t="s">
        <v>130</v>
      </c>
      <c r="B41" s="69" t="s">
        <v>58</v>
      </c>
      <c r="C41" s="34">
        <v>1</v>
      </c>
      <c r="D41" s="34">
        <v>6</v>
      </c>
      <c r="E41" s="36"/>
    </row>
    <row r="42" spans="1:5" x14ac:dyDescent="0.25">
      <c r="A42" s="68" t="s">
        <v>122</v>
      </c>
      <c r="B42" s="69" t="s">
        <v>50</v>
      </c>
      <c r="C42" s="34"/>
      <c r="D42" s="34">
        <v>0</v>
      </c>
      <c r="E42" s="36"/>
    </row>
    <row r="43" spans="1:5" x14ac:dyDescent="0.25">
      <c r="A43" s="70"/>
      <c r="B43" s="69" t="s">
        <v>59</v>
      </c>
      <c r="C43" s="34">
        <v>656</v>
      </c>
      <c r="D43" s="34">
        <v>252</v>
      </c>
      <c r="E43" s="36"/>
    </row>
    <row r="44" spans="1:5" x14ac:dyDescent="0.25">
      <c r="C44" s="35"/>
      <c r="D44" s="35"/>
      <c r="E44" s="35"/>
    </row>
    <row r="45" spans="1:5" x14ac:dyDescent="0.25">
      <c r="C45" s="35"/>
      <c r="D45" s="35"/>
      <c r="E45" s="35"/>
    </row>
    <row r="46" spans="1:5" x14ac:dyDescent="0.25">
      <c r="A46" s="120" t="s">
        <v>397</v>
      </c>
      <c r="B46" s="120"/>
      <c r="C46" s="120"/>
      <c r="D46" s="120"/>
      <c r="E46" s="73"/>
    </row>
    <row r="47" spans="1:5" x14ac:dyDescent="0.25">
      <c r="A47" s="114"/>
      <c r="B47" s="114"/>
      <c r="C47" s="114"/>
      <c r="D47" s="114"/>
      <c r="E47" s="91"/>
    </row>
    <row r="48" spans="1:5" x14ac:dyDescent="0.25">
      <c r="A48" s="115" t="s">
        <v>0</v>
      </c>
      <c r="B48" s="115" t="s">
        <v>85</v>
      </c>
      <c r="C48" s="117" t="s">
        <v>79</v>
      </c>
      <c r="D48" s="119"/>
      <c r="E48" s="92"/>
    </row>
    <row r="49" spans="1:5" ht="41.4" customHeight="1" x14ac:dyDescent="0.25">
      <c r="A49" s="116"/>
      <c r="B49" s="116"/>
      <c r="C49" s="33" t="s">
        <v>371</v>
      </c>
      <c r="D49" s="33" t="s">
        <v>396</v>
      </c>
      <c r="E49" s="94"/>
    </row>
    <row r="50" spans="1:5" x14ac:dyDescent="0.25">
      <c r="A50" s="72">
        <v>1</v>
      </c>
      <c r="B50" s="69" t="s">
        <v>9</v>
      </c>
      <c r="C50" s="34">
        <v>21</v>
      </c>
      <c r="D50" s="34">
        <v>19</v>
      </c>
      <c r="E50" s="36"/>
    </row>
    <row r="51" spans="1:5" x14ac:dyDescent="0.25">
      <c r="A51" s="72">
        <v>2</v>
      </c>
      <c r="B51" s="69" t="s">
        <v>10</v>
      </c>
      <c r="C51" s="34">
        <v>71</v>
      </c>
      <c r="D51" s="34">
        <v>7</v>
      </c>
      <c r="E51" s="36"/>
    </row>
    <row r="52" spans="1:5" x14ac:dyDescent="0.25">
      <c r="A52" s="72">
        <v>3</v>
      </c>
      <c r="B52" s="69" t="s">
        <v>11</v>
      </c>
      <c r="C52" s="34">
        <v>19</v>
      </c>
      <c r="D52" s="34">
        <v>25</v>
      </c>
      <c r="E52" s="36"/>
    </row>
    <row r="53" spans="1:5" x14ac:dyDescent="0.25">
      <c r="A53" s="72">
        <v>4</v>
      </c>
      <c r="B53" s="69" t="s">
        <v>12</v>
      </c>
      <c r="C53" s="34">
        <v>86</v>
      </c>
      <c r="D53" s="34">
        <v>61</v>
      </c>
      <c r="E53" s="36"/>
    </row>
    <row r="54" spans="1:5" x14ac:dyDescent="0.25">
      <c r="A54" s="72">
        <v>5</v>
      </c>
      <c r="B54" s="69" t="s">
        <v>13</v>
      </c>
      <c r="C54" s="34">
        <v>142</v>
      </c>
      <c r="D54" s="34">
        <v>2</v>
      </c>
      <c r="E54" s="36"/>
    </row>
    <row r="55" spans="1:5" x14ac:dyDescent="0.25">
      <c r="A55" s="72">
        <v>6</v>
      </c>
      <c r="B55" s="69" t="s">
        <v>14</v>
      </c>
      <c r="C55" s="34">
        <v>2</v>
      </c>
      <c r="D55" s="34">
        <v>1</v>
      </c>
      <c r="E55" s="36"/>
    </row>
    <row r="56" spans="1:5" x14ac:dyDescent="0.25">
      <c r="A56" s="72">
        <v>7</v>
      </c>
      <c r="B56" s="69" t="s">
        <v>15</v>
      </c>
      <c r="C56" s="34">
        <v>32</v>
      </c>
      <c r="D56" s="34">
        <v>22</v>
      </c>
      <c r="E56" s="36"/>
    </row>
    <row r="57" spans="1:5" x14ac:dyDescent="0.25">
      <c r="A57" s="72">
        <v>8</v>
      </c>
      <c r="B57" s="69" t="s">
        <v>19</v>
      </c>
      <c r="C57" s="34">
        <v>90</v>
      </c>
      <c r="D57" s="34">
        <v>38</v>
      </c>
      <c r="E57" s="36"/>
    </row>
    <row r="58" spans="1:5" x14ac:dyDescent="0.25">
      <c r="A58" s="72">
        <v>9</v>
      </c>
      <c r="B58" s="69" t="s">
        <v>17</v>
      </c>
      <c r="C58" s="34">
        <v>47</v>
      </c>
      <c r="D58" s="34">
        <v>52</v>
      </c>
      <c r="E58" s="36"/>
    </row>
    <row r="59" spans="1:5" x14ac:dyDescent="0.25">
      <c r="A59" s="72">
        <v>10</v>
      </c>
      <c r="B59" s="69" t="s">
        <v>18</v>
      </c>
      <c r="C59" s="34">
        <v>109</v>
      </c>
      <c r="D59" s="34">
        <v>5</v>
      </c>
      <c r="E59" s="36"/>
    </row>
    <row r="60" spans="1:5" x14ac:dyDescent="0.25">
      <c r="A60" s="72">
        <v>11</v>
      </c>
      <c r="B60" s="69" t="s">
        <v>20</v>
      </c>
      <c r="C60" s="34">
        <v>36</v>
      </c>
      <c r="D60" s="34">
        <v>18</v>
      </c>
      <c r="E60" s="36"/>
    </row>
    <row r="61" spans="1:5" x14ac:dyDescent="0.25">
      <c r="A61" s="72">
        <v>12</v>
      </c>
      <c r="B61" s="69" t="s">
        <v>16</v>
      </c>
      <c r="C61" s="34">
        <v>1</v>
      </c>
      <c r="D61" s="34">
        <v>2</v>
      </c>
      <c r="E61" s="36"/>
    </row>
    <row r="62" spans="1:5" x14ac:dyDescent="0.25">
      <c r="A62" s="72"/>
      <c r="B62" s="69" t="s">
        <v>59</v>
      </c>
      <c r="C62" s="34">
        <v>656</v>
      </c>
      <c r="D62" s="34">
        <v>252</v>
      </c>
      <c r="E62" s="36"/>
    </row>
    <row r="63" spans="1:5" x14ac:dyDescent="0.25">
      <c r="C63" s="36"/>
      <c r="D63" s="36"/>
      <c r="E63" s="36"/>
    </row>
    <row r="64" spans="1:5" x14ac:dyDescent="0.25">
      <c r="A64" s="120" t="s">
        <v>398</v>
      </c>
      <c r="B64" s="120"/>
      <c r="C64" s="120"/>
      <c r="D64" s="120"/>
      <c r="E64" s="73"/>
    </row>
    <row r="65" spans="1:8" x14ac:dyDescent="0.25">
      <c r="A65" s="114"/>
      <c r="B65" s="114"/>
      <c r="C65" s="114"/>
      <c r="D65" s="114"/>
      <c r="E65" s="91"/>
    </row>
    <row r="66" spans="1:8" x14ac:dyDescent="0.25">
      <c r="A66" s="115" t="s">
        <v>0</v>
      </c>
      <c r="B66" s="115" t="s">
        <v>61</v>
      </c>
      <c r="C66" s="117" t="s">
        <v>79</v>
      </c>
      <c r="D66" s="119"/>
      <c r="E66" s="92"/>
    </row>
    <row r="67" spans="1:8" ht="41.4" customHeight="1" x14ac:dyDescent="0.25">
      <c r="A67" s="116"/>
      <c r="B67" s="116"/>
      <c r="C67" s="33" t="s">
        <v>371</v>
      </c>
      <c r="D67" s="33" t="s">
        <v>396</v>
      </c>
      <c r="E67" s="94"/>
    </row>
    <row r="68" spans="1:8" x14ac:dyDescent="0.25">
      <c r="A68" s="72">
        <v>1</v>
      </c>
      <c r="B68" s="69" t="s">
        <v>5</v>
      </c>
      <c r="C68" s="34">
        <v>477</v>
      </c>
      <c r="D68" s="34">
        <v>109</v>
      </c>
      <c r="E68" s="36"/>
    </row>
    <row r="69" spans="1:8" x14ac:dyDescent="0.25">
      <c r="A69" s="72">
        <v>2</v>
      </c>
      <c r="B69" s="69" t="s">
        <v>6</v>
      </c>
      <c r="C69" s="34">
        <v>117</v>
      </c>
      <c r="D69" s="34">
        <v>96</v>
      </c>
      <c r="E69" s="36"/>
    </row>
    <row r="70" spans="1:8" x14ac:dyDescent="0.25">
      <c r="A70" s="72">
        <v>3</v>
      </c>
      <c r="B70" s="69" t="s">
        <v>7</v>
      </c>
      <c r="C70" s="34">
        <v>31</v>
      </c>
      <c r="D70" s="34">
        <v>17</v>
      </c>
      <c r="E70" s="36"/>
    </row>
    <row r="71" spans="1:8" x14ac:dyDescent="0.25">
      <c r="A71" s="72">
        <v>4</v>
      </c>
      <c r="B71" s="69" t="s">
        <v>8</v>
      </c>
      <c r="C71" s="34">
        <v>31</v>
      </c>
      <c r="D71" s="34">
        <v>30</v>
      </c>
      <c r="E71" s="36"/>
    </row>
    <row r="72" spans="1:8" x14ac:dyDescent="0.25">
      <c r="A72" s="72"/>
      <c r="B72" s="69" t="s">
        <v>59</v>
      </c>
      <c r="C72" s="34">
        <v>656</v>
      </c>
      <c r="D72" s="34">
        <v>252</v>
      </c>
      <c r="E72" s="36"/>
    </row>
    <row r="74" spans="1:8" x14ac:dyDescent="0.25">
      <c r="F74" s="87" t="s">
        <v>0</v>
      </c>
      <c r="G74" s="87" t="s">
        <v>449</v>
      </c>
      <c r="H74" s="87" t="s">
        <v>400</v>
      </c>
    </row>
    <row r="75" spans="1:8" x14ac:dyDescent="0.25">
      <c r="F75" s="89">
        <v>1</v>
      </c>
      <c r="G75" s="69" t="s">
        <v>371</v>
      </c>
      <c r="H75" s="90">
        <v>656</v>
      </c>
    </row>
    <row r="76" spans="1:8" x14ac:dyDescent="0.25">
      <c r="F76" s="89">
        <v>2</v>
      </c>
      <c r="G76" s="69" t="s">
        <v>396</v>
      </c>
      <c r="H76" s="90">
        <v>252</v>
      </c>
    </row>
    <row r="77" spans="1:8" x14ac:dyDescent="0.25">
      <c r="F77" s="89"/>
      <c r="G77" s="88" t="s">
        <v>59</v>
      </c>
      <c r="H77" s="90">
        <f>SUM(H75:H76)</f>
        <v>908</v>
      </c>
    </row>
    <row r="79" spans="1:8" x14ac:dyDescent="0.25">
      <c r="F79" s="87" t="s">
        <v>0</v>
      </c>
      <c r="G79" s="87" t="s">
        <v>4</v>
      </c>
      <c r="H79" s="87" t="s">
        <v>400</v>
      </c>
    </row>
    <row r="80" spans="1:8" x14ac:dyDescent="0.25">
      <c r="F80" s="89">
        <v>1</v>
      </c>
      <c r="G80" s="69" t="s">
        <v>9</v>
      </c>
      <c r="H80" s="90">
        <f>SUM(C50:D50)</f>
        <v>40</v>
      </c>
    </row>
    <row r="81" spans="6:8" x14ac:dyDescent="0.25">
      <c r="F81" s="89">
        <v>2</v>
      </c>
      <c r="G81" s="69" t="s">
        <v>10</v>
      </c>
      <c r="H81" s="90">
        <f t="shared" ref="H81:H91" si="0">SUM(C51:D51)</f>
        <v>78</v>
      </c>
    </row>
    <row r="82" spans="6:8" x14ac:dyDescent="0.25">
      <c r="F82" s="89">
        <v>3</v>
      </c>
      <c r="G82" s="69" t="s">
        <v>11</v>
      </c>
      <c r="H82" s="90">
        <f t="shared" si="0"/>
        <v>44</v>
      </c>
    </row>
    <row r="83" spans="6:8" x14ac:dyDescent="0.25">
      <c r="F83" s="89">
        <v>4</v>
      </c>
      <c r="G83" s="69" t="s">
        <v>12</v>
      </c>
      <c r="H83" s="90">
        <f t="shared" si="0"/>
        <v>147</v>
      </c>
    </row>
    <row r="84" spans="6:8" x14ac:dyDescent="0.25">
      <c r="F84" s="89">
        <v>5</v>
      </c>
      <c r="G84" s="69" t="s">
        <v>13</v>
      </c>
      <c r="H84" s="90">
        <f t="shared" si="0"/>
        <v>144</v>
      </c>
    </row>
    <row r="85" spans="6:8" x14ac:dyDescent="0.25">
      <c r="F85" s="89">
        <v>6</v>
      </c>
      <c r="G85" s="69" t="s">
        <v>14</v>
      </c>
      <c r="H85" s="90">
        <f t="shared" si="0"/>
        <v>3</v>
      </c>
    </row>
    <row r="86" spans="6:8" x14ac:dyDescent="0.25">
      <c r="F86" s="89">
        <v>7</v>
      </c>
      <c r="G86" s="69" t="s">
        <v>15</v>
      </c>
      <c r="H86" s="90">
        <f t="shared" si="0"/>
        <v>54</v>
      </c>
    </row>
    <row r="87" spans="6:8" x14ac:dyDescent="0.25">
      <c r="F87" s="89">
        <v>8</v>
      </c>
      <c r="G87" s="69" t="s">
        <v>19</v>
      </c>
      <c r="H87" s="90">
        <f t="shared" si="0"/>
        <v>128</v>
      </c>
    </row>
    <row r="88" spans="6:8" x14ac:dyDescent="0.25">
      <c r="F88" s="89">
        <v>9</v>
      </c>
      <c r="G88" s="69" t="s">
        <v>17</v>
      </c>
      <c r="H88" s="90">
        <f t="shared" si="0"/>
        <v>99</v>
      </c>
    </row>
    <row r="89" spans="6:8" x14ac:dyDescent="0.25">
      <c r="F89" s="89">
        <v>10</v>
      </c>
      <c r="G89" s="69" t="s">
        <v>18</v>
      </c>
      <c r="H89" s="90">
        <f t="shared" si="0"/>
        <v>114</v>
      </c>
    </row>
    <row r="90" spans="6:8" x14ac:dyDescent="0.25">
      <c r="F90" s="89">
        <v>11</v>
      </c>
      <c r="G90" s="69" t="s">
        <v>20</v>
      </c>
      <c r="H90" s="90">
        <f t="shared" si="0"/>
        <v>54</v>
      </c>
    </row>
    <row r="91" spans="6:8" x14ac:dyDescent="0.25">
      <c r="F91" s="89">
        <v>12</v>
      </c>
      <c r="G91" s="69" t="s">
        <v>16</v>
      </c>
      <c r="H91" s="90">
        <f t="shared" si="0"/>
        <v>3</v>
      </c>
    </row>
    <row r="92" spans="6:8" x14ac:dyDescent="0.25">
      <c r="F92" s="89"/>
      <c r="G92" s="88" t="s">
        <v>59</v>
      </c>
      <c r="H92" s="90">
        <f>SUM(H80:H91)</f>
        <v>908</v>
      </c>
    </row>
    <row r="94" spans="6:8" x14ac:dyDescent="0.25">
      <c r="F94" s="87" t="s">
        <v>0</v>
      </c>
      <c r="G94" s="87" t="s">
        <v>2</v>
      </c>
      <c r="H94" s="87" t="s">
        <v>400</v>
      </c>
    </row>
    <row r="95" spans="6:8" x14ac:dyDescent="0.25">
      <c r="F95" s="89">
        <v>1</v>
      </c>
      <c r="G95" s="69" t="s">
        <v>5</v>
      </c>
      <c r="H95" s="90">
        <f>SUM(C68:D68)</f>
        <v>586</v>
      </c>
    </row>
    <row r="96" spans="6:8" x14ac:dyDescent="0.25">
      <c r="F96" s="89">
        <v>2</v>
      </c>
      <c r="G96" s="69" t="s">
        <v>6</v>
      </c>
      <c r="H96" s="90">
        <f t="shared" ref="H96:H98" si="1">SUM(C69:D69)</f>
        <v>213</v>
      </c>
    </row>
    <row r="97" spans="6:8" x14ac:dyDescent="0.25">
      <c r="F97" s="89">
        <v>3</v>
      </c>
      <c r="G97" s="69" t="s">
        <v>7</v>
      </c>
      <c r="H97" s="90">
        <f t="shared" si="1"/>
        <v>48</v>
      </c>
    </row>
    <row r="98" spans="6:8" x14ac:dyDescent="0.25">
      <c r="F98" s="89">
        <v>4</v>
      </c>
      <c r="G98" s="69" t="s">
        <v>8</v>
      </c>
      <c r="H98" s="90">
        <f t="shared" si="1"/>
        <v>61</v>
      </c>
    </row>
    <row r="99" spans="6:8" x14ac:dyDescent="0.25">
      <c r="F99" s="89"/>
      <c r="G99" s="88" t="s">
        <v>59</v>
      </c>
      <c r="H99" s="90">
        <f>SUM(H95:H98)</f>
        <v>908</v>
      </c>
    </row>
  </sheetData>
  <mergeCells count="12">
    <mergeCell ref="A64:D65"/>
    <mergeCell ref="A66:A67"/>
    <mergeCell ref="B66:B67"/>
    <mergeCell ref="C66:D66"/>
    <mergeCell ref="A1:D2"/>
    <mergeCell ref="A3:A4"/>
    <mergeCell ref="B3:B4"/>
    <mergeCell ref="C3:D3"/>
    <mergeCell ref="A46:D47"/>
    <mergeCell ref="A48:A49"/>
    <mergeCell ref="B48:B49"/>
    <mergeCell ref="C48:D48"/>
  </mergeCells>
  <pageMargins left="0.31496062992125984" right="0" top="0.59055118110236227" bottom="0.35433070866141736" header="0.31496062992125984" footer="0.31496062992125984"/>
  <pageSetup paperSize="9" scale="80" firstPageNumber="214" orientation="landscape" useFirstPageNumber="1" r:id="rId1"/>
  <headerFooter>
    <oddFooter>&amp;C&amp;P</oddFooter>
  </headerFooter>
  <rowBreaks count="2" manualBreakCount="2">
    <brk id="45" max="11" man="1"/>
    <brk id="63" max="11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FF14-7482-44F4-AAC4-F6B395AB516D}">
  <dimension ref="B1:D13"/>
  <sheetViews>
    <sheetView view="pageBreakPreview" zoomScale="60" zoomScaleNormal="100" workbookViewId="0">
      <selection activeCell="E19" sqref="E19"/>
    </sheetView>
  </sheetViews>
  <sheetFormatPr defaultRowHeight="14.4" x14ac:dyDescent="0.3"/>
  <cols>
    <col min="1" max="1" width="3.109375" style="48" customWidth="1"/>
    <col min="2" max="2" width="20.109375" style="48" customWidth="1"/>
    <col min="3" max="3" width="1.6640625" style="48" customWidth="1"/>
    <col min="4" max="4" width="58.109375" style="48" customWidth="1"/>
    <col min="5" max="16384" width="8.88671875" style="48"/>
  </cols>
  <sheetData>
    <row r="1" spans="2:4" s="47" customFormat="1" x14ac:dyDescent="0.3">
      <c r="B1" s="47" t="s">
        <v>254</v>
      </c>
    </row>
    <row r="3" spans="2:4" ht="28.8" x14ac:dyDescent="0.3">
      <c r="B3" s="49" t="s">
        <v>255</v>
      </c>
      <c r="C3" s="48" t="s">
        <v>262</v>
      </c>
      <c r="D3" s="50" t="s">
        <v>263</v>
      </c>
    </row>
    <row r="4" spans="2:4" ht="43.2" x14ac:dyDescent="0.3">
      <c r="B4" s="49" t="s">
        <v>264</v>
      </c>
      <c r="C4" s="48" t="s">
        <v>262</v>
      </c>
      <c r="D4" s="50" t="s">
        <v>266</v>
      </c>
    </row>
    <row r="5" spans="2:4" ht="28.8" x14ac:dyDescent="0.3">
      <c r="B5" s="49" t="s">
        <v>265</v>
      </c>
      <c r="C5" s="48" t="s">
        <v>262</v>
      </c>
      <c r="D5" s="50" t="s">
        <v>270</v>
      </c>
    </row>
    <row r="6" spans="2:4" ht="28.8" x14ac:dyDescent="0.3">
      <c r="B6" s="49" t="s">
        <v>256</v>
      </c>
      <c r="C6" s="48" t="s">
        <v>262</v>
      </c>
      <c r="D6" s="50" t="s">
        <v>269</v>
      </c>
    </row>
    <row r="7" spans="2:4" x14ac:dyDescent="0.3">
      <c r="B7" s="49" t="s">
        <v>257</v>
      </c>
      <c r="C7" s="48" t="s">
        <v>262</v>
      </c>
      <c r="D7" s="50" t="s">
        <v>267</v>
      </c>
    </row>
    <row r="8" spans="2:4" ht="28.8" x14ac:dyDescent="0.3">
      <c r="B8" s="49" t="s">
        <v>258</v>
      </c>
      <c r="C8" s="48" t="s">
        <v>262</v>
      </c>
      <c r="D8" s="50" t="s">
        <v>271</v>
      </c>
    </row>
    <row r="9" spans="2:4" ht="28.8" x14ac:dyDescent="0.3">
      <c r="B9" s="49" t="s">
        <v>259</v>
      </c>
      <c r="C9" s="48" t="s">
        <v>262</v>
      </c>
      <c r="D9" s="50" t="s">
        <v>268</v>
      </c>
    </row>
    <row r="10" spans="2:4" ht="28.8" x14ac:dyDescent="0.3">
      <c r="B10" s="49" t="s">
        <v>260</v>
      </c>
      <c r="C10" s="48" t="s">
        <v>262</v>
      </c>
      <c r="D10" s="50" t="s">
        <v>272</v>
      </c>
    </row>
    <row r="11" spans="2:4" x14ac:dyDescent="0.3">
      <c r="B11" s="49" t="s">
        <v>261</v>
      </c>
      <c r="C11" s="48" t="s">
        <v>262</v>
      </c>
      <c r="D11" s="50" t="s">
        <v>273</v>
      </c>
    </row>
    <row r="12" spans="2:4" x14ac:dyDescent="0.3">
      <c r="B12" s="49"/>
    </row>
    <row r="13" spans="2:4" x14ac:dyDescent="0.3">
      <c r="B13" s="4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24</vt:i4>
      </vt:variant>
    </vt:vector>
  </HeadingPairs>
  <TitlesOfParts>
    <vt:vector size="49" baseType="lpstr">
      <vt:lpstr>Daftar Isi</vt:lpstr>
      <vt:lpstr>Unit Usaha</vt:lpstr>
      <vt:lpstr>Kapasitas</vt:lpstr>
      <vt:lpstr>Biaya</vt:lpstr>
      <vt:lpstr>Hasil (Kg)</vt:lpstr>
      <vt:lpstr>Hasil (Rp)</vt:lpstr>
      <vt:lpstr>NT</vt:lpstr>
      <vt:lpstr>BB</vt:lpstr>
      <vt:lpstr>Asal BB</vt:lpstr>
      <vt:lpstr>Jenis Ikan</vt:lpstr>
      <vt:lpstr>Pemasaran</vt:lpstr>
      <vt:lpstr>Tujuan Pemasaran</vt:lpstr>
      <vt:lpstr>Lahan</vt:lpstr>
      <vt:lpstr>Bangunan</vt:lpstr>
      <vt:lpstr>Modal</vt:lpstr>
      <vt:lpstr>DNT (L)</vt:lpstr>
      <vt:lpstr>DNT (P)</vt:lpstr>
      <vt:lpstr>DNTT (L)</vt:lpstr>
      <vt:lpstr>DNTT (P)</vt:lpstr>
      <vt:lpstr>K (L)</vt:lpstr>
      <vt:lpstr>K (P)</vt:lpstr>
      <vt:lpstr>Sertifikat Produk</vt:lpstr>
      <vt:lpstr>Ijin Usaha</vt:lpstr>
      <vt:lpstr>Sertifikat LB</vt:lpstr>
      <vt:lpstr>Gloss</vt:lpstr>
      <vt:lpstr>'Asal BB'!Print_Area</vt:lpstr>
      <vt:lpstr>Bangunan!Print_Area</vt:lpstr>
      <vt:lpstr>BB!Print_Area</vt:lpstr>
      <vt:lpstr>Biaya!Print_Area</vt:lpstr>
      <vt:lpstr>'Daftar Isi'!Print_Area</vt:lpstr>
      <vt:lpstr>'DNT (L)'!Print_Area</vt:lpstr>
      <vt:lpstr>'DNT (P)'!Print_Area</vt:lpstr>
      <vt:lpstr>'DNTT (L)'!Print_Area</vt:lpstr>
      <vt:lpstr>'DNTT (P)'!Print_Area</vt:lpstr>
      <vt:lpstr>'Hasil (Kg)'!Print_Area</vt:lpstr>
      <vt:lpstr>'Hasil (Rp)'!Print_Area</vt:lpstr>
      <vt:lpstr>'Ijin Usaha'!Print_Area</vt:lpstr>
      <vt:lpstr>'Jenis Ikan'!Print_Area</vt:lpstr>
      <vt:lpstr>'K (L)'!Print_Area</vt:lpstr>
      <vt:lpstr>'K (P)'!Print_Area</vt:lpstr>
      <vt:lpstr>Kapasitas!Print_Area</vt:lpstr>
      <vt:lpstr>Lahan!Print_Area</vt:lpstr>
      <vt:lpstr>Modal!Print_Area</vt:lpstr>
      <vt:lpstr>NT!Print_Area</vt:lpstr>
      <vt:lpstr>Pemasaran!Print_Area</vt:lpstr>
      <vt:lpstr>'Sertifikat LB'!Print_Area</vt:lpstr>
      <vt:lpstr>'Sertifikat Produk'!Print_Area</vt:lpstr>
      <vt:lpstr>'Tujuan Pemasaran'!Print_Area</vt:lpstr>
      <vt:lpstr>'Unit Usaha'!Print_Area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V55T</dc:creator>
  <cp:lastModifiedBy>LENOVO V55T</cp:lastModifiedBy>
  <cp:lastPrinted>2024-12-16T02:53:11Z</cp:lastPrinted>
  <dcterms:created xsi:type="dcterms:W3CDTF">2022-06-26T01:58:50Z</dcterms:created>
  <dcterms:modified xsi:type="dcterms:W3CDTF">2025-12-12T05:49:08Z</dcterms:modified>
</cp:coreProperties>
</file>