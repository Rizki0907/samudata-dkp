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sdi2/Downloads/"/>
    </mc:Choice>
  </mc:AlternateContent>
  <xr:revisionPtr revIDLastSave="0" documentId="13_ncr:1_{07029566-9747-5541-97E4-FD2B6F8CDB47}" xr6:coauthVersionLast="47" xr6:coauthVersionMax="47" xr10:uidLastSave="{00000000-0000-0000-0000-000000000000}"/>
  <bookViews>
    <workbookView xWindow="0" yWindow="780" windowWidth="34200" windowHeight="21460" activeTab="2" xr2:uid="{00000000-000D-0000-FFFF-FFFF00000000}"/>
  </bookViews>
  <sheets>
    <sheet name="LAUT" sheetId="1" r:id="rId1"/>
    <sheet name="PUD" sheetId="2" r:id="rId2"/>
    <sheet name="LAUT (2) FIX" sheetId="3" r:id="rId3"/>
    <sheet name="PUD (2) FIX" sheetId="4" r:id="rId4"/>
    <sheet name="LAUT (2) FIX COPY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2" i="5" l="1"/>
  <c r="C57" i="5" s="1"/>
  <c r="E49" i="3"/>
  <c r="Q66" i="5"/>
  <c r="P65" i="5"/>
  <c r="Q65" i="5" s="1"/>
  <c r="Q64" i="5"/>
  <c r="Q67" i="5" s="1"/>
  <c r="E56" i="5"/>
  <c r="AG49" i="5"/>
  <c r="AH49" i="5" s="1"/>
  <c r="AE49" i="5"/>
  <c r="AF49" i="5" s="1"/>
  <c r="AC49" i="5"/>
  <c r="AD49" i="5" s="1"/>
  <c r="Y49" i="5"/>
  <c r="Z49" i="5" s="1"/>
  <c r="W49" i="5"/>
  <c r="X49" i="5" s="1"/>
  <c r="U49" i="5"/>
  <c r="V49" i="5" s="1"/>
  <c r="Q49" i="5"/>
  <c r="R49" i="5" s="1"/>
  <c r="O49" i="5"/>
  <c r="P49" i="5" s="1"/>
  <c r="M49" i="5"/>
  <c r="N49" i="5" s="1"/>
  <c r="I49" i="5"/>
  <c r="J49" i="5" s="1"/>
  <c r="G49" i="5"/>
  <c r="H49" i="5" s="1"/>
  <c r="E49" i="5"/>
  <c r="F49" i="5" s="1"/>
  <c r="AG48" i="5"/>
  <c r="AH48" i="5" s="1"/>
  <c r="AF48" i="5"/>
  <c r="AE48" i="5"/>
  <c r="AC48" i="5"/>
  <c r="AD48" i="5" s="1"/>
  <c r="Y48" i="5"/>
  <c r="Z48" i="5" s="1"/>
  <c r="U48" i="5"/>
  <c r="V48" i="5" s="1"/>
  <c r="Q48" i="5"/>
  <c r="R48" i="5" s="1"/>
  <c r="O48" i="5"/>
  <c r="P48" i="5" s="1"/>
  <c r="M48" i="5"/>
  <c r="N48" i="5" s="1"/>
  <c r="I48" i="5"/>
  <c r="J48" i="5" s="1"/>
  <c r="G48" i="5"/>
  <c r="H48" i="5" s="1"/>
  <c r="E48" i="5"/>
  <c r="F48" i="5" s="1"/>
  <c r="AI45" i="5"/>
  <c r="AJ45" i="5" s="1"/>
  <c r="AH45" i="5"/>
  <c r="AF45" i="5"/>
  <c r="AD45" i="5"/>
  <c r="AA45" i="5"/>
  <c r="AB45" i="5" s="1"/>
  <c r="Z45" i="5"/>
  <c r="X45" i="5"/>
  <c r="V45" i="5"/>
  <c r="S45" i="5"/>
  <c r="T45" i="5" s="1"/>
  <c r="R45" i="5"/>
  <c r="P45" i="5"/>
  <c r="N45" i="5"/>
  <c r="K45" i="5"/>
  <c r="L45" i="5" s="1"/>
  <c r="J45" i="5"/>
  <c r="H45" i="5"/>
  <c r="F45" i="5"/>
  <c r="AI44" i="5"/>
  <c r="AJ44" i="5" s="1"/>
  <c r="AH44" i="5"/>
  <c r="AF44" i="5"/>
  <c r="AD44" i="5"/>
  <c r="AA44" i="5"/>
  <c r="AB44" i="5" s="1"/>
  <c r="Z44" i="5"/>
  <c r="X44" i="5"/>
  <c r="V44" i="5"/>
  <c r="S44" i="5"/>
  <c r="T44" i="5" s="1"/>
  <c r="R44" i="5"/>
  <c r="P44" i="5"/>
  <c r="N44" i="5"/>
  <c r="K44" i="5"/>
  <c r="C44" i="5" s="1"/>
  <c r="J44" i="5"/>
  <c r="H44" i="5"/>
  <c r="F44" i="5"/>
  <c r="AI43" i="5"/>
  <c r="AJ43" i="5" s="1"/>
  <c r="AH43" i="5"/>
  <c r="AF43" i="5"/>
  <c r="AD43" i="5"/>
  <c r="AA43" i="5"/>
  <c r="AB43" i="5" s="1"/>
  <c r="Z43" i="5"/>
  <c r="X43" i="5"/>
  <c r="V43" i="5"/>
  <c r="S43" i="5"/>
  <c r="R43" i="5"/>
  <c r="P43" i="5"/>
  <c r="N43" i="5"/>
  <c r="L43" i="5"/>
  <c r="K43" i="5"/>
  <c r="J43" i="5"/>
  <c r="H43" i="5"/>
  <c r="F43" i="5"/>
  <c r="AI42" i="5"/>
  <c r="AJ42" i="5" s="1"/>
  <c r="AH42" i="5"/>
  <c r="AF42" i="5"/>
  <c r="AD42" i="5"/>
  <c r="AA42" i="5"/>
  <c r="AB42" i="5" s="1"/>
  <c r="Z42" i="5"/>
  <c r="X42" i="5"/>
  <c r="V42" i="5"/>
  <c r="S42" i="5"/>
  <c r="T42" i="5" s="1"/>
  <c r="R42" i="5"/>
  <c r="P42" i="5"/>
  <c r="N42" i="5"/>
  <c r="K42" i="5"/>
  <c r="L42" i="5" s="1"/>
  <c r="J42" i="5"/>
  <c r="H42" i="5"/>
  <c r="F42" i="5"/>
  <c r="AI41" i="5"/>
  <c r="AJ41" i="5" s="1"/>
  <c r="AH41" i="5"/>
  <c r="AF41" i="5"/>
  <c r="AD41" i="5"/>
  <c r="AA41" i="5"/>
  <c r="AB41" i="5" s="1"/>
  <c r="Z41" i="5"/>
  <c r="X41" i="5"/>
  <c r="V41" i="5"/>
  <c r="T41" i="5"/>
  <c r="S41" i="5"/>
  <c r="R41" i="5"/>
  <c r="P41" i="5"/>
  <c r="N41" i="5"/>
  <c r="K41" i="5"/>
  <c r="L41" i="5" s="1"/>
  <c r="J41" i="5"/>
  <c r="H41" i="5"/>
  <c r="F41" i="5"/>
  <c r="AI40" i="5"/>
  <c r="AJ40" i="5" s="1"/>
  <c r="AH40" i="5"/>
  <c r="AF40" i="5"/>
  <c r="AD40" i="5"/>
  <c r="AA40" i="5"/>
  <c r="AB40" i="5" s="1"/>
  <c r="Z40" i="5"/>
  <c r="X40" i="5"/>
  <c r="V40" i="5"/>
  <c r="S40" i="5"/>
  <c r="T40" i="5" s="1"/>
  <c r="R40" i="5"/>
  <c r="P40" i="5"/>
  <c r="N40" i="5"/>
  <c r="K40" i="5"/>
  <c r="C40" i="5" s="1"/>
  <c r="J40" i="5"/>
  <c r="H40" i="5"/>
  <c r="F40" i="5"/>
  <c r="AI39" i="5"/>
  <c r="AJ39" i="5" s="1"/>
  <c r="AH39" i="5"/>
  <c r="AF39" i="5"/>
  <c r="AD39" i="5"/>
  <c r="AA39" i="5"/>
  <c r="AB39" i="5" s="1"/>
  <c r="Z39" i="5"/>
  <c r="X39" i="5"/>
  <c r="V39" i="5"/>
  <c r="S39" i="5"/>
  <c r="R39" i="5"/>
  <c r="P39" i="5"/>
  <c r="N39" i="5"/>
  <c r="K39" i="5"/>
  <c r="L39" i="5" s="1"/>
  <c r="J39" i="5"/>
  <c r="H39" i="5"/>
  <c r="F39" i="5"/>
  <c r="AJ38" i="5"/>
  <c r="AI38" i="5"/>
  <c r="AH38" i="5"/>
  <c r="AF38" i="5"/>
  <c r="AD38" i="5"/>
  <c r="AA38" i="5"/>
  <c r="AB38" i="5" s="1"/>
  <c r="Z38" i="5"/>
  <c r="X38" i="5"/>
  <c r="V38" i="5"/>
  <c r="S38" i="5"/>
  <c r="T38" i="5" s="1"/>
  <c r="R38" i="5"/>
  <c r="P38" i="5"/>
  <c r="N38" i="5"/>
  <c r="K38" i="5"/>
  <c r="L38" i="5" s="1"/>
  <c r="J38" i="5"/>
  <c r="H38" i="5"/>
  <c r="F38" i="5"/>
  <c r="C38" i="5"/>
  <c r="AI37" i="5"/>
  <c r="AJ37" i="5" s="1"/>
  <c r="AH37" i="5"/>
  <c r="AF37" i="5"/>
  <c r="AD37" i="5"/>
  <c r="AA37" i="5"/>
  <c r="AB37" i="5" s="1"/>
  <c r="Z37" i="5"/>
  <c r="X37" i="5"/>
  <c r="V37" i="5"/>
  <c r="S37" i="5"/>
  <c r="T37" i="5" s="1"/>
  <c r="R37" i="5"/>
  <c r="P37" i="5"/>
  <c r="N37" i="5"/>
  <c r="L37" i="5"/>
  <c r="K37" i="5"/>
  <c r="J37" i="5"/>
  <c r="H37" i="5"/>
  <c r="F37" i="5"/>
  <c r="AI36" i="5"/>
  <c r="AJ36" i="5" s="1"/>
  <c r="AH36" i="5"/>
  <c r="AF36" i="5"/>
  <c r="AD36" i="5"/>
  <c r="AA36" i="5"/>
  <c r="AB36" i="5" s="1"/>
  <c r="Z36" i="5"/>
  <c r="X36" i="5"/>
  <c r="V36" i="5"/>
  <c r="S36" i="5"/>
  <c r="T36" i="5" s="1"/>
  <c r="R36" i="5"/>
  <c r="P36" i="5"/>
  <c r="N36" i="5"/>
  <c r="K36" i="5"/>
  <c r="C36" i="5" s="1"/>
  <c r="J36" i="5"/>
  <c r="H36" i="5"/>
  <c r="F36" i="5"/>
  <c r="AI35" i="5"/>
  <c r="AJ35" i="5" s="1"/>
  <c r="AH35" i="5"/>
  <c r="AF35" i="5"/>
  <c r="AD35" i="5"/>
  <c r="AA35" i="5"/>
  <c r="AB35" i="5" s="1"/>
  <c r="Z35" i="5"/>
  <c r="X35" i="5"/>
  <c r="V35" i="5"/>
  <c r="S35" i="5"/>
  <c r="R35" i="5"/>
  <c r="P35" i="5"/>
  <c r="N35" i="5"/>
  <c r="K35" i="5"/>
  <c r="L35" i="5" s="1"/>
  <c r="J35" i="5"/>
  <c r="H35" i="5"/>
  <c r="F35" i="5"/>
  <c r="AI34" i="5"/>
  <c r="AJ34" i="5" s="1"/>
  <c r="AH34" i="5"/>
  <c r="AF34" i="5"/>
  <c r="AD34" i="5"/>
  <c r="AB34" i="5"/>
  <c r="AA34" i="5"/>
  <c r="Z34" i="5"/>
  <c r="X34" i="5"/>
  <c r="V34" i="5"/>
  <c r="S34" i="5"/>
  <c r="T34" i="5" s="1"/>
  <c r="R34" i="5"/>
  <c r="P34" i="5"/>
  <c r="N34" i="5"/>
  <c r="K34" i="5"/>
  <c r="L34" i="5" s="1"/>
  <c r="J34" i="5"/>
  <c r="H34" i="5"/>
  <c r="F34" i="5"/>
  <c r="AI33" i="5"/>
  <c r="AJ33" i="5" s="1"/>
  <c r="AH33" i="5"/>
  <c r="AF33" i="5"/>
  <c r="AD33" i="5"/>
  <c r="AA33" i="5"/>
  <c r="AB33" i="5" s="1"/>
  <c r="Z33" i="5"/>
  <c r="X33" i="5"/>
  <c r="V33" i="5"/>
  <c r="S33" i="5"/>
  <c r="T33" i="5" s="1"/>
  <c r="R33" i="5"/>
  <c r="P33" i="5"/>
  <c r="N33" i="5"/>
  <c r="K33" i="5"/>
  <c r="L33" i="5" s="1"/>
  <c r="J33" i="5"/>
  <c r="H33" i="5"/>
  <c r="F33" i="5"/>
  <c r="AI32" i="5"/>
  <c r="AJ32" i="5" s="1"/>
  <c r="AH32" i="5"/>
  <c r="AF32" i="5"/>
  <c r="AD32" i="5"/>
  <c r="AB32" i="5"/>
  <c r="AA32" i="5"/>
  <c r="Z32" i="5"/>
  <c r="X32" i="5"/>
  <c r="V32" i="5"/>
  <c r="S32" i="5"/>
  <c r="T32" i="5" s="1"/>
  <c r="R32" i="5"/>
  <c r="P32" i="5"/>
  <c r="N32" i="5"/>
  <c r="K32" i="5"/>
  <c r="J32" i="5"/>
  <c r="H32" i="5"/>
  <c r="F32" i="5"/>
  <c r="AI31" i="5"/>
  <c r="AJ31" i="5" s="1"/>
  <c r="AH31" i="5"/>
  <c r="AF31" i="5"/>
  <c r="AD31" i="5"/>
  <c r="AA31" i="5"/>
  <c r="AB31" i="5" s="1"/>
  <c r="Z31" i="5"/>
  <c r="X31" i="5"/>
  <c r="V31" i="5"/>
  <c r="S31" i="5"/>
  <c r="R31" i="5"/>
  <c r="P31" i="5"/>
  <c r="N31" i="5"/>
  <c r="K31" i="5"/>
  <c r="L31" i="5" s="1"/>
  <c r="J31" i="5"/>
  <c r="H31" i="5"/>
  <c r="F31" i="5"/>
  <c r="AI30" i="5"/>
  <c r="AJ30" i="5" s="1"/>
  <c r="AH30" i="5"/>
  <c r="AF30" i="5"/>
  <c r="AD30" i="5"/>
  <c r="AA30" i="5"/>
  <c r="AB30" i="5" s="1"/>
  <c r="Z30" i="5"/>
  <c r="X30" i="5"/>
  <c r="V30" i="5"/>
  <c r="S30" i="5"/>
  <c r="T30" i="5" s="1"/>
  <c r="R30" i="5"/>
  <c r="P30" i="5"/>
  <c r="N30" i="5"/>
  <c r="K30" i="5"/>
  <c r="L30" i="5" s="1"/>
  <c r="J30" i="5"/>
  <c r="H30" i="5"/>
  <c r="F30" i="5"/>
  <c r="AI29" i="5"/>
  <c r="AJ29" i="5" s="1"/>
  <c r="AH29" i="5"/>
  <c r="AF29" i="5"/>
  <c r="AD29" i="5"/>
  <c r="AA29" i="5"/>
  <c r="AB29" i="5" s="1"/>
  <c r="Z29" i="5"/>
  <c r="X29" i="5"/>
  <c r="V29" i="5"/>
  <c r="S29" i="5"/>
  <c r="T29" i="5" s="1"/>
  <c r="R29" i="5"/>
  <c r="P29" i="5"/>
  <c r="N29" i="5"/>
  <c r="K29" i="5"/>
  <c r="L29" i="5" s="1"/>
  <c r="J29" i="5"/>
  <c r="H29" i="5"/>
  <c r="F29" i="5"/>
  <c r="AI28" i="5"/>
  <c r="AJ28" i="5" s="1"/>
  <c r="AH28" i="5"/>
  <c r="AF28" i="5"/>
  <c r="AD28" i="5"/>
  <c r="AA28" i="5"/>
  <c r="AB28" i="5" s="1"/>
  <c r="Z28" i="5"/>
  <c r="X28" i="5"/>
  <c r="V28" i="5"/>
  <c r="S28" i="5"/>
  <c r="T28" i="5" s="1"/>
  <c r="R28" i="5"/>
  <c r="P28" i="5"/>
  <c r="N28" i="5"/>
  <c r="K28" i="5"/>
  <c r="J28" i="5"/>
  <c r="H28" i="5"/>
  <c r="F28" i="5"/>
  <c r="AI27" i="5"/>
  <c r="AJ27" i="5" s="1"/>
  <c r="AH27" i="5"/>
  <c r="AF27" i="5"/>
  <c r="AD27" i="5"/>
  <c r="AA27" i="5"/>
  <c r="AB27" i="5" s="1"/>
  <c r="Z27" i="5"/>
  <c r="X27" i="5"/>
  <c r="V27" i="5"/>
  <c r="S27" i="5"/>
  <c r="C27" i="5" s="1"/>
  <c r="R27" i="5"/>
  <c r="P27" i="5"/>
  <c r="N27" i="5"/>
  <c r="L27" i="5"/>
  <c r="K27" i="5"/>
  <c r="J27" i="5"/>
  <c r="H27" i="5"/>
  <c r="F27" i="5"/>
  <c r="AI26" i="5"/>
  <c r="AJ26" i="5" s="1"/>
  <c r="AH26" i="5"/>
  <c r="AF26" i="5"/>
  <c r="AD26" i="5"/>
  <c r="AA26" i="5"/>
  <c r="AB26" i="5" s="1"/>
  <c r="Z26" i="5"/>
  <c r="X26" i="5"/>
  <c r="V26" i="5"/>
  <c r="S26" i="5"/>
  <c r="T26" i="5" s="1"/>
  <c r="R26" i="5"/>
  <c r="P26" i="5"/>
  <c r="N26" i="5"/>
  <c r="K26" i="5"/>
  <c r="L26" i="5" s="1"/>
  <c r="J26" i="5"/>
  <c r="H26" i="5"/>
  <c r="F26" i="5"/>
  <c r="AI25" i="5"/>
  <c r="AJ25" i="5" s="1"/>
  <c r="AH25" i="5"/>
  <c r="AF25" i="5"/>
  <c r="AD25" i="5"/>
  <c r="AA25" i="5"/>
  <c r="AB25" i="5" s="1"/>
  <c r="Z25" i="5"/>
  <c r="X25" i="5"/>
  <c r="V25" i="5"/>
  <c r="T25" i="5"/>
  <c r="S25" i="5"/>
  <c r="R25" i="5"/>
  <c r="P25" i="5"/>
  <c r="N25" i="5"/>
  <c r="K25" i="5"/>
  <c r="L25" i="5" s="1"/>
  <c r="J25" i="5"/>
  <c r="H25" i="5"/>
  <c r="F25" i="5"/>
  <c r="AI24" i="5"/>
  <c r="AJ24" i="5" s="1"/>
  <c r="AH24" i="5"/>
  <c r="AF24" i="5"/>
  <c r="AD24" i="5"/>
  <c r="AA24" i="5"/>
  <c r="AB24" i="5" s="1"/>
  <c r="Z24" i="5"/>
  <c r="X24" i="5"/>
  <c r="V24" i="5"/>
  <c r="S24" i="5"/>
  <c r="T24" i="5" s="1"/>
  <c r="R24" i="5"/>
  <c r="P24" i="5"/>
  <c r="N24" i="5"/>
  <c r="K24" i="5"/>
  <c r="J24" i="5"/>
  <c r="H24" i="5"/>
  <c r="F24" i="5"/>
  <c r="AI23" i="5"/>
  <c r="AJ23" i="5" s="1"/>
  <c r="AH23" i="5"/>
  <c r="AF23" i="5"/>
  <c r="AD23" i="5"/>
  <c r="Z23" i="5"/>
  <c r="W23" i="5"/>
  <c r="AA23" i="5" s="1"/>
  <c r="AB23" i="5" s="1"/>
  <c r="V23" i="5"/>
  <c r="S23" i="5"/>
  <c r="T23" i="5" s="1"/>
  <c r="R23" i="5"/>
  <c r="P23" i="5"/>
  <c r="N23" i="5"/>
  <c r="K23" i="5"/>
  <c r="J23" i="5"/>
  <c r="H23" i="5"/>
  <c r="F23" i="5"/>
  <c r="AI22" i="5"/>
  <c r="AJ22" i="5" s="1"/>
  <c r="AH22" i="5"/>
  <c r="AF22" i="5"/>
  <c r="AD22" i="5"/>
  <c r="AA22" i="5"/>
  <c r="AB22" i="5" s="1"/>
  <c r="Z22" i="5"/>
  <c r="X22" i="5"/>
  <c r="V22" i="5"/>
  <c r="S22" i="5"/>
  <c r="T22" i="5" s="1"/>
  <c r="R22" i="5"/>
  <c r="P22" i="5"/>
  <c r="N22" i="5"/>
  <c r="L22" i="5"/>
  <c r="K22" i="5"/>
  <c r="J22" i="5"/>
  <c r="H22" i="5"/>
  <c r="F22" i="5"/>
  <c r="AI21" i="5"/>
  <c r="AJ21" i="5" s="1"/>
  <c r="AH21" i="5"/>
  <c r="AF21" i="5"/>
  <c r="AD21" i="5"/>
  <c r="AA21" i="5"/>
  <c r="Z21" i="5"/>
  <c r="X21" i="5"/>
  <c r="V21" i="5"/>
  <c r="S21" i="5"/>
  <c r="T21" i="5" s="1"/>
  <c r="R21" i="5"/>
  <c r="P21" i="5"/>
  <c r="N21" i="5"/>
  <c r="K21" i="5"/>
  <c r="L21" i="5" s="1"/>
  <c r="J21" i="5"/>
  <c r="H21" i="5"/>
  <c r="F21" i="5"/>
  <c r="AI20" i="5"/>
  <c r="AJ20" i="5" s="1"/>
  <c r="AH20" i="5"/>
  <c r="AF20" i="5"/>
  <c r="AD20" i="5"/>
  <c r="AA20" i="5"/>
  <c r="AB20" i="5" s="1"/>
  <c r="Z20" i="5"/>
  <c r="X20" i="5"/>
  <c r="V20" i="5"/>
  <c r="S20" i="5"/>
  <c r="T20" i="5" s="1"/>
  <c r="R20" i="5"/>
  <c r="P20" i="5"/>
  <c r="N20" i="5"/>
  <c r="K20" i="5"/>
  <c r="L20" i="5" s="1"/>
  <c r="J20" i="5"/>
  <c r="H20" i="5"/>
  <c r="F20" i="5"/>
  <c r="AI19" i="5"/>
  <c r="AH19" i="5"/>
  <c r="AF19" i="5"/>
  <c r="AD19" i="5"/>
  <c r="AA19" i="5"/>
  <c r="AB19" i="5" s="1"/>
  <c r="Z19" i="5"/>
  <c r="X19" i="5"/>
  <c r="V19" i="5"/>
  <c r="T19" i="5"/>
  <c r="S19" i="5"/>
  <c r="R19" i="5"/>
  <c r="P19" i="5"/>
  <c r="N19" i="5"/>
  <c r="K19" i="5"/>
  <c r="L19" i="5" s="1"/>
  <c r="J19" i="5"/>
  <c r="H19" i="5"/>
  <c r="F19" i="5"/>
  <c r="AI18" i="5"/>
  <c r="AJ18" i="5" s="1"/>
  <c r="AH18" i="5"/>
  <c r="AF18" i="5"/>
  <c r="AD18" i="5"/>
  <c r="AA18" i="5"/>
  <c r="AB18" i="5" s="1"/>
  <c r="Z18" i="5"/>
  <c r="X18" i="5"/>
  <c r="V18" i="5"/>
  <c r="S18" i="5"/>
  <c r="T18" i="5" s="1"/>
  <c r="R18" i="5"/>
  <c r="P18" i="5"/>
  <c r="N18" i="5"/>
  <c r="K18" i="5"/>
  <c r="C18" i="5" s="1"/>
  <c r="J18" i="5"/>
  <c r="H18" i="5"/>
  <c r="F18" i="5"/>
  <c r="AI17" i="5"/>
  <c r="AJ17" i="5" s="1"/>
  <c r="AH17" i="5"/>
  <c r="AF17" i="5"/>
  <c r="AD17" i="5"/>
  <c r="AA17" i="5"/>
  <c r="Z17" i="5"/>
  <c r="X17" i="5"/>
  <c r="V17" i="5"/>
  <c r="S17" i="5"/>
  <c r="T17" i="5" s="1"/>
  <c r="R17" i="5"/>
  <c r="P17" i="5"/>
  <c r="N17" i="5"/>
  <c r="K17" i="5"/>
  <c r="L17" i="5" s="1"/>
  <c r="J17" i="5"/>
  <c r="H17" i="5"/>
  <c r="F17" i="5"/>
  <c r="AJ16" i="5"/>
  <c r="AI16" i="5"/>
  <c r="AH16" i="5"/>
  <c r="AF16" i="5"/>
  <c r="AD16" i="5"/>
  <c r="AA16" i="5"/>
  <c r="AB16" i="5" s="1"/>
  <c r="Z16" i="5"/>
  <c r="X16" i="5"/>
  <c r="V16" i="5"/>
  <c r="S16" i="5"/>
  <c r="T16" i="5" s="1"/>
  <c r="R16" i="5"/>
  <c r="P16" i="5"/>
  <c r="N16" i="5"/>
  <c r="K16" i="5"/>
  <c r="L16" i="5" s="1"/>
  <c r="J16" i="5"/>
  <c r="H16" i="5"/>
  <c r="F16" i="5"/>
  <c r="AI15" i="5"/>
  <c r="AH15" i="5"/>
  <c r="AF15" i="5"/>
  <c r="AD15" i="5"/>
  <c r="AA15" i="5"/>
  <c r="AB15" i="5" s="1"/>
  <c r="Z15" i="5"/>
  <c r="X15" i="5"/>
  <c r="V15" i="5"/>
  <c r="S15" i="5"/>
  <c r="T15" i="5" s="1"/>
  <c r="R15" i="5"/>
  <c r="P15" i="5"/>
  <c r="N15" i="5"/>
  <c r="K15" i="5"/>
  <c r="L15" i="5" s="1"/>
  <c r="J15" i="5"/>
  <c r="H15" i="5"/>
  <c r="F15" i="5"/>
  <c r="AI14" i="5"/>
  <c r="AJ14" i="5" s="1"/>
  <c r="AH14" i="5"/>
  <c r="AF14" i="5"/>
  <c r="AD14" i="5"/>
  <c r="AA14" i="5"/>
  <c r="AB14" i="5" s="1"/>
  <c r="Z14" i="5"/>
  <c r="X14" i="5"/>
  <c r="V14" i="5"/>
  <c r="S14" i="5"/>
  <c r="T14" i="5" s="1"/>
  <c r="R14" i="5"/>
  <c r="P14" i="5"/>
  <c r="N14" i="5"/>
  <c r="L14" i="5"/>
  <c r="K14" i="5"/>
  <c r="J14" i="5"/>
  <c r="H14" i="5"/>
  <c r="F14" i="5"/>
  <c r="AI13" i="5"/>
  <c r="AJ13" i="5" s="1"/>
  <c r="AH13" i="5"/>
  <c r="AF13" i="5"/>
  <c r="AD13" i="5"/>
  <c r="AA13" i="5"/>
  <c r="AB13" i="5" s="1"/>
  <c r="Z13" i="5"/>
  <c r="X13" i="5"/>
  <c r="V13" i="5"/>
  <c r="S13" i="5"/>
  <c r="T13" i="5" s="1"/>
  <c r="R13" i="5"/>
  <c r="P13" i="5"/>
  <c r="N13" i="5"/>
  <c r="K13" i="5"/>
  <c r="L13" i="5" s="1"/>
  <c r="J13" i="5"/>
  <c r="H13" i="5"/>
  <c r="F13" i="5"/>
  <c r="AI12" i="5"/>
  <c r="AJ12" i="5" s="1"/>
  <c r="AH12" i="5"/>
  <c r="AF12" i="5"/>
  <c r="AD12" i="5"/>
  <c r="AA12" i="5"/>
  <c r="AB12" i="5" s="1"/>
  <c r="Z12" i="5"/>
  <c r="X12" i="5"/>
  <c r="V12" i="5"/>
  <c r="S12" i="5"/>
  <c r="T12" i="5" s="1"/>
  <c r="R12" i="5"/>
  <c r="P12" i="5"/>
  <c r="N12" i="5"/>
  <c r="K12" i="5"/>
  <c r="L12" i="5" s="1"/>
  <c r="J12" i="5"/>
  <c r="H12" i="5"/>
  <c r="F12" i="5"/>
  <c r="AI11" i="5"/>
  <c r="AJ11" i="5" s="1"/>
  <c r="AH11" i="5"/>
  <c r="AF11" i="5"/>
  <c r="AD11" i="5"/>
  <c r="AA11" i="5"/>
  <c r="AB11" i="5" s="1"/>
  <c r="Z11" i="5"/>
  <c r="X11" i="5"/>
  <c r="V11" i="5"/>
  <c r="T11" i="5"/>
  <c r="S11" i="5"/>
  <c r="R11" i="5"/>
  <c r="P11" i="5"/>
  <c r="N11" i="5"/>
  <c r="K11" i="5"/>
  <c r="J11" i="5"/>
  <c r="H11" i="5"/>
  <c r="F11" i="5"/>
  <c r="AI10" i="5"/>
  <c r="AJ10" i="5" s="1"/>
  <c r="AH10" i="5"/>
  <c r="AF10" i="5"/>
  <c r="AD10" i="5"/>
  <c r="AA10" i="5"/>
  <c r="AB10" i="5" s="1"/>
  <c r="Z10" i="5"/>
  <c r="X10" i="5"/>
  <c r="V10" i="5"/>
  <c r="S10" i="5"/>
  <c r="T10" i="5" s="1"/>
  <c r="R10" i="5"/>
  <c r="P10" i="5"/>
  <c r="N10" i="5"/>
  <c r="K10" i="5"/>
  <c r="C10" i="5" s="1"/>
  <c r="J10" i="5"/>
  <c r="H10" i="5"/>
  <c r="F10" i="5"/>
  <c r="AI9" i="5"/>
  <c r="AJ9" i="5" s="1"/>
  <c r="AH9" i="5"/>
  <c r="AF9" i="5"/>
  <c r="AD9" i="5"/>
  <c r="AA9" i="5"/>
  <c r="AB9" i="5" s="1"/>
  <c r="Z9" i="5"/>
  <c r="X9" i="5"/>
  <c r="V9" i="5"/>
  <c r="S9" i="5"/>
  <c r="T9" i="5" s="1"/>
  <c r="R9" i="5"/>
  <c r="P9" i="5"/>
  <c r="N9" i="5"/>
  <c r="K9" i="5"/>
  <c r="L9" i="5" s="1"/>
  <c r="J9" i="5"/>
  <c r="H9" i="5"/>
  <c r="F9" i="5"/>
  <c r="AJ8" i="5"/>
  <c r="AI8" i="5"/>
  <c r="AH8" i="5"/>
  <c r="AF8" i="5"/>
  <c r="AD8" i="5"/>
  <c r="AA8" i="5"/>
  <c r="AB8" i="5" s="1"/>
  <c r="Z8" i="5"/>
  <c r="X8" i="5"/>
  <c r="V8" i="5"/>
  <c r="S8" i="5"/>
  <c r="T8" i="5" s="1"/>
  <c r="R8" i="5"/>
  <c r="P8" i="5"/>
  <c r="N8" i="5"/>
  <c r="K8" i="5"/>
  <c r="L8" i="5" s="1"/>
  <c r="J8" i="5"/>
  <c r="H8" i="5"/>
  <c r="F8" i="5"/>
  <c r="AI7" i="5"/>
  <c r="AH7" i="5"/>
  <c r="AF7" i="5"/>
  <c r="AD7" i="5"/>
  <c r="AA7" i="5"/>
  <c r="AB7" i="5" s="1"/>
  <c r="Z7" i="5"/>
  <c r="X7" i="5"/>
  <c r="V7" i="5"/>
  <c r="S7" i="5"/>
  <c r="T7" i="5" s="1"/>
  <c r="R7" i="5"/>
  <c r="P7" i="5"/>
  <c r="N7" i="5"/>
  <c r="K7" i="5"/>
  <c r="L7" i="5" s="1"/>
  <c r="J7" i="5"/>
  <c r="H7" i="5"/>
  <c r="F7" i="5"/>
  <c r="AI6" i="5"/>
  <c r="AJ6" i="5" s="1"/>
  <c r="AH6" i="5"/>
  <c r="AF6" i="5"/>
  <c r="AD6" i="5"/>
  <c r="AA6" i="5"/>
  <c r="AB6" i="5" s="1"/>
  <c r="Z6" i="5"/>
  <c r="X6" i="5"/>
  <c r="V6" i="5"/>
  <c r="S6" i="5"/>
  <c r="T6" i="5" s="1"/>
  <c r="R6" i="5"/>
  <c r="P6" i="5"/>
  <c r="N6" i="5"/>
  <c r="L6" i="5"/>
  <c r="K6" i="5"/>
  <c r="J6" i="5"/>
  <c r="H6" i="5"/>
  <c r="F6" i="5"/>
  <c r="AI5" i="5"/>
  <c r="AJ5" i="5" s="1"/>
  <c r="AH5" i="5"/>
  <c r="AF5" i="5"/>
  <c r="AD5" i="5"/>
  <c r="AA5" i="5"/>
  <c r="AB5" i="5" s="1"/>
  <c r="Z5" i="5"/>
  <c r="X5" i="5"/>
  <c r="V5" i="5"/>
  <c r="S5" i="5"/>
  <c r="T5" i="5" s="1"/>
  <c r="R5" i="5"/>
  <c r="P5" i="5"/>
  <c r="N5" i="5"/>
  <c r="K5" i="5"/>
  <c r="L5" i="5" s="1"/>
  <c r="J5" i="5"/>
  <c r="H5" i="5"/>
  <c r="F5" i="5"/>
  <c r="AI4" i="5"/>
  <c r="AJ4" i="5" s="1"/>
  <c r="AH4" i="5"/>
  <c r="AF4" i="5"/>
  <c r="AD4" i="5"/>
  <c r="AA4" i="5"/>
  <c r="AB4" i="5" s="1"/>
  <c r="Z4" i="5"/>
  <c r="X4" i="5"/>
  <c r="V4" i="5"/>
  <c r="S4" i="5"/>
  <c r="T4" i="5" s="1"/>
  <c r="R4" i="5"/>
  <c r="P4" i="5"/>
  <c r="N4" i="5"/>
  <c r="K4" i="5"/>
  <c r="J4" i="5"/>
  <c r="H4" i="5"/>
  <c r="F4" i="5"/>
  <c r="AI3" i="5"/>
  <c r="AH3" i="5"/>
  <c r="AF3" i="5"/>
  <c r="AD3" i="5"/>
  <c r="AA3" i="5"/>
  <c r="AB3" i="5" s="1"/>
  <c r="Z3" i="5"/>
  <c r="X3" i="5"/>
  <c r="V3" i="5"/>
  <c r="T3" i="5"/>
  <c r="S3" i="5"/>
  <c r="R3" i="5"/>
  <c r="P3" i="5"/>
  <c r="N3" i="5"/>
  <c r="K3" i="5"/>
  <c r="J3" i="5"/>
  <c r="H3" i="5"/>
  <c r="F3" i="5"/>
  <c r="AI2" i="5"/>
  <c r="AJ2" i="5" s="1"/>
  <c r="AH2" i="5"/>
  <c r="AF2" i="5"/>
  <c r="AD2" i="5"/>
  <c r="AA2" i="5"/>
  <c r="AB2" i="5" s="1"/>
  <c r="Z2" i="5"/>
  <c r="X2" i="5"/>
  <c r="V2" i="5"/>
  <c r="S2" i="5"/>
  <c r="R2" i="5"/>
  <c r="P2" i="5"/>
  <c r="N2" i="5"/>
  <c r="K2" i="5"/>
  <c r="C2" i="5" s="1"/>
  <c r="J2" i="5"/>
  <c r="H2" i="5"/>
  <c r="F2" i="5"/>
  <c r="AF11" i="4"/>
  <c r="AD11" i="4"/>
  <c r="AB11" i="4"/>
  <c r="X11" i="4"/>
  <c r="V11" i="4"/>
  <c r="T11" i="4"/>
  <c r="P11" i="4"/>
  <c r="N11" i="4"/>
  <c r="L11" i="4"/>
  <c r="H11" i="4"/>
  <c r="F11" i="4"/>
  <c r="D11" i="4"/>
  <c r="D6" i="4"/>
  <c r="AF15" i="4"/>
  <c r="AD15" i="4"/>
  <c r="AB15" i="4"/>
  <c r="AD32" i="4"/>
  <c r="AB32" i="4"/>
  <c r="X32" i="4"/>
  <c r="V32" i="4"/>
  <c r="T32" i="4"/>
  <c r="P32" i="4"/>
  <c r="N32" i="4"/>
  <c r="L32" i="4"/>
  <c r="H32" i="4"/>
  <c r="F32" i="4"/>
  <c r="D32" i="4"/>
  <c r="AF16" i="4"/>
  <c r="AC17" i="4"/>
  <c r="AF9" i="4"/>
  <c r="AB73" i="1"/>
  <c r="AA72" i="1"/>
  <c r="AA65" i="1"/>
  <c r="AA66" i="1"/>
  <c r="Z65" i="1"/>
  <c r="Z66" i="1"/>
  <c r="X65" i="1"/>
  <c r="X66" i="1"/>
  <c r="X64" i="1"/>
  <c r="V65" i="1"/>
  <c r="V66" i="1"/>
  <c r="V64" i="1"/>
  <c r="T65" i="1"/>
  <c r="T66" i="1"/>
  <c r="T64" i="1"/>
  <c r="R65" i="1"/>
  <c r="R66" i="1"/>
  <c r="R64" i="1"/>
  <c r="P65" i="1"/>
  <c r="P66" i="1"/>
  <c r="P64" i="1"/>
  <c r="N65" i="1"/>
  <c r="N66" i="1"/>
  <c r="N64" i="1"/>
  <c r="L65" i="1"/>
  <c r="L66" i="1"/>
  <c r="L64" i="1"/>
  <c r="J65" i="1"/>
  <c r="J66" i="1"/>
  <c r="J64" i="1"/>
  <c r="H65" i="1"/>
  <c r="H66" i="1"/>
  <c r="H64" i="1"/>
  <c r="F65" i="1"/>
  <c r="F66" i="1"/>
  <c r="F64" i="1"/>
  <c r="D65" i="1"/>
  <c r="AB65" i="1" s="1"/>
  <c r="D66" i="1"/>
  <c r="AB66" i="1" s="1"/>
  <c r="D64" i="1"/>
  <c r="D45" i="5" l="1"/>
  <c r="D9" i="5"/>
  <c r="D22" i="5"/>
  <c r="D30" i="5"/>
  <c r="D26" i="5"/>
  <c r="C42" i="5"/>
  <c r="S48" i="5"/>
  <c r="T48" i="5" s="1"/>
  <c r="D5" i="5"/>
  <c r="L10" i="5"/>
  <c r="K48" i="5"/>
  <c r="L48" i="5" s="1"/>
  <c r="D20" i="5"/>
  <c r="C6" i="5"/>
  <c r="C7" i="5"/>
  <c r="C11" i="5"/>
  <c r="C21" i="5"/>
  <c r="C22" i="5"/>
  <c r="C32" i="5"/>
  <c r="C34" i="5"/>
  <c r="C30" i="5"/>
  <c r="C43" i="5"/>
  <c r="C39" i="5"/>
  <c r="C17" i="5"/>
  <c r="C24" i="5"/>
  <c r="L2" i="5"/>
  <c r="L18" i="5"/>
  <c r="D18" i="5" s="1"/>
  <c r="C35" i="5"/>
  <c r="D6" i="5"/>
  <c r="C28" i="5"/>
  <c r="C3" i="5"/>
  <c r="C19" i="5"/>
  <c r="C26" i="5"/>
  <c r="K49" i="5"/>
  <c r="L49" i="5" s="1"/>
  <c r="D8" i="5"/>
  <c r="C14" i="5"/>
  <c r="C15" i="5"/>
  <c r="C31" i="5"/>
  <c r="D34" i="5"/>
  <c r="D25" i="5"/>
  <c r="D43" i="5"/>
  <c r="D41" i="5"/>
  <c r="D14" i="5"/>
  <c r="D37" i="5"/>
  <c r="D21" i="5"/>
  <c r="D12" i="5"/>
  <c r="C23" i="5"/>
  <c r="D33" i="5"/>
  <c r="D42" i="5"/>
  <c r="D16" i="5"/>
  <c r="D10" i="5"/>
  <c r="D13" i="5"/>
  <c r="D29" i="5"/>
  <c r="D38" i="5"/>
  <c r="AJ15" i="5"/>
  <c r="D15" i="5" s="1"/>
  <c r="AJ19" i="5"/>
  <c r="D19" i="5" s="1"/>
  <c r="L24" i="5"/>
  <c r="D24" i="5" s="1"/>
  <c r="C25" i="5"/>
  <c r="L36" i="5"/>
  <c r="D36" i="5" s="1"/>
  <c r="C37" i="5"/>
  <c r="C41" i="5"/>
  <c r="S49" i="5"/>
  <c r="T49" i="5" s="1"/>
  <c r="AA49" i="5"/>
  <c r="AB49" i="5" s="1"/>
  <c r="AI49" i="5"/>
  <c r="AJ49" i="5" s="1"/>
  <c r="L3" i="5"/>
  <c r="D3" i="5" s="1"/>
  <c r="C4" i="5"/>
  <c r="C48" i="5" s="1"/>
  <c r="C8" i="5"/>
  <c r="L11" i="5"/>
  <c r="D11" i="5" s="1"/>
  <c r="C12" i="5"/>
  <c r="C16" i="5"/>
  <c r="C20" i="5"/>
  <c r="L23" i="5"/>
  <c r="D23" i="5" s="1"/>
  <c r="X23" i="5"/>
  <c r="AB17" i="5"/>
  <c r="D17" i="5" s="1"/>
  <c r="T35" i="5"/>
  <c r="D35" i="5" s="1"/>
  <c r="T39" i="5"/>
  <c r="D39" i="5" s="1"/>
  <c r="T43" i="5"/>
  <c r="T2" i="5"/>
  <c r="D2" i="5" s="1"/>
  <c r="AJ3" i="5"/>
  <c r="AJ7" i="5"/>
  <c r="D7" i="5" s="1"/>
  <c r="L28" i="5"/>
  <c r="D28" i="5" s="1"/>
  <c r="C29" i="5"/>
  <c r="L32" i="5"/>
  <c r="D32" i="5" s="1"/>
  <c r="C33" i="5"/>
  <c r="L40" i="5"/>
  <c r="D40" i="5" s="1"/>
  <c r="L44" i="5"/>
  <c r="D44" i="5" s="1"/>
  <c r="C45" i="5"/>
  <c r="W48" i="5"/>
  <c r="X48" i="5" s="1"/>
  <c r="C5" i="5"/>
  <c r="C13" i="5"/>
  <c r="AB21" i="5"/>
  <c r="T31" i="5"/>
  <c r="D31" i="5" s="1"/>
  <c r="L4" i="5"/>
  <c r="D4" i="5" s="1"/>
  <c r="T27" i="5"/>
  <c r="D27" i="5" s="1"/>
  <c r="AA48" i="5"/>
  <c r="AB48" i="5" s="1"/>
  <c r="AI48" i="5"/>
  <c r="AJ48" i="5" s="1"/>
  <c r="C9" i="5"/>
  <c r="AF2" i="4"/>
  <c r="AD2" i="4"/>
  <c r="AB2" i="4"/>
  <c r="X2" i="4"/>
  <c r="V2" i="4"/>
  <c r="W23" i="3"/>
  <c r="Y64" i="1"/>
  <c r="P58" i="1"/>
  <c r="Z64" i="1" l="1"/>
  <c r="AB64" i="1" s="1"/>
  <c r="AB67" i="1" s="1"/>
  <c r="AA64" i="1"/>
  <c r="AA67" i="1" s="1"/>
  <c r="D48" i="5"/>
  <c r="D49" i="5"/>
  <c r="C49" i="5"/>
  <c r="C54" i="5" s="1"/>
  <c r="AF20" i="4"/>
  <c r="AG20" i="4" s="1"/>
  <c r="AD20" i="4"/>
  <c r="AH33" i="4"/>
  <c r="AI33" i="4" s="1"/>
  <c r="AG33" i="4"/>
  <c r="AE33" i="4"/>
  <c r="AC33" i="4"/>
  <c r="Z33" i="4"/>
  <c r="AA33" i="4" s="1"/>
  <c r="Y33" i="4"/>
  <c r="W33" i="4"/>
  <c r="U33" i="4"/>
  <c r="R33" i="4"/>
  <c r="S33" i="4" s="1"/>
  <c r="Q33" i="4"/>
  <c r="O33" i="4"/>
  <c r="M33" i="4"/>
  <c r="J33" i="4"/>
  <c r="K33" i="4" s="1"/>
  <c r="I33" i="4"/>
  <c r="G33" i="4"/>
  <c r="E33" i="4"/>
  <c r="AH32" i="4"/>
  <c r="AI32" i="4" s="1"/>
  <c r="AG32" i="4"/>
  <c r="AE32" i="4"/>
  <c r="AC32" i="4"/>
  <c r="Z32" i="4"/>
  <c r="AA32" i="4" s="1"/>
  <c r="Y32" i="4"/>
  <c r="W32" i="4"/>
  <c r="U32" i="4"/>
  <c r="R32" i="4"/>
  <c r="S32" i="4" s="1"/>
  <c r="Q32" i="4"/>
  <c r="O32" i="4"/>
  <c r="M32" i="4"/>
  <c r="J32" i="4"/>
  <c r="I32" i="4"/>
  <c r="G32" i="4"/>
  <c r="E32" i="4"/>
  <c r="AH31" i="4"/>
  <c r="AI31" i="4" s="1"/>
  <c r="AG31" i="4"/>
  <c r="AE31" i="4"/>
  <c r="AC31" i="4"/>
  <c r="Z31" i="4"/>
  <c r="AA31" i="4" s="1"/>
  <c r="Y31" i="4"/>
  <c r="W31" i="4"/>
  <c r="U31" i="4"/>
  <c r="R31" i="4"/>
  <c r="S31" i="4" s="1"/>
  <c r="Q31" i="4"/>
  <c r="O31" i="4"/>
  <c r="M31" i="4"/>
  <c r="J31" i="4"/>
  <c r="I31" i="4"/>
  <c r="G31" i="4"/>
  <c r="E31" i="4"/>
  <c r="AH30" i="4"/>
  <c r="AI30" i="4" s="1"/>
  <c r="AG30" i="4"/>
  <c r="AE30" i="4"/>
  <c r="AC30" i="4"/>
  <c r="Z30" i="4"/>
  <c r="AA30" i="4" s="1"/>
  <c r="Y30" i="4"/>
  <c r="W30" i="4"/>
  <c r="U30" i="4"/>
  <c r="R30" i="4"/>
  <c r="S30" i="4" s="1"/>
  <c r="Q30" i="4"/>
  <c r="O30" i="4"/>
  <c r="M30" i="4"/>
  <c r="J30" i="4"/>
  <c r="I30" i="4"/>
  <c r="G30" i="4"/>
  <c r="E30" i="4"/>
  <c r="AH29" i="4"/>
  <c r="AI29" i="4" s="1"/>
  <c r="AG29" i="4"/>
  <c r="AE29" i="4"/>
  <c r="AC29" i="4"/>
  <c r="Z29" i="4"/>
  <c r="AA29" i="4" s="1"/>
  <c r="Y29" i="4"/>
  <c r="W29" i="4"/>
  <c r="U29" i="4"/>
  <c r="R29" i="4"/>
  <c r="S29" i="4" s="1"/>
  <c r="Q29" i="4"/>
  <c r="O29" i="4"/>
  <c r="M29" i="4"/>
  <c r="J29" i="4"/>
  <c r="K29" i="4" s="1"/>
  <c r="I29" i="4"/>
  <c r="G29" i="4"/>
  <c r="E29" i="4"/>
  <c r="AH28" i="4"/>
  <c r="AI28" i="4" s="1"/>
  <c r="AG28" i="4"/>
  <c r="AE28" i="4"/>
  <c r="AC28" i="4"/>
  <c r="Z28" i="4"/>
  <c r="AA28" i="4" s="1"/>
  <c r="Y28" i="4"/>
  <c r="W28" i="4"/>
  <c r="U28" i="4"/>
  <c r="R28" i="4"/>
  <c r="S28" i="4" s="1"/>
  <c r="Q28" i="4"/>
  <c r="O28" i="4"/>
  <c r="M28" i="4"/>
  <c r="J28" i="4"/>
  <c r="K28" i="4" s="1"/>
  <c r="I28" i="4"/>
  <c r="G28" i="4"/>
  <c r="E28" i="4"/>
  <c r="AH27" i="4"/>
  <c r="AI27" i="4" s="1"/>
  <c r="AG27" i="4"/>
  <c r="AE27" i="4"/>
  <c r="AC27" i="4"/>
  <c r="Z27" i="4"/>
  <c r="AA27" i="4" s="1"/>
  <c r="Y27" i="4"/>
  <c r="W27" i="4"/>
  <c r="U27" i="4"/>
  <c r="R27" i="4"/>
  <c r="S27" i="4" s="1"/>
  <c r="Q27" i="4"/>
  <c r="O27" i="4"/>
  <c r="M27" i="4"/>
  <c r="J27" i="4"/>
  <c r="I27" i="4"/>
  <c r="G27" i="4"/>
  <c r="E27" i="4"/>
  <c r="AH26" i="4"/>
  <c r="AI26" i="4" s="1"/>
  <c r="AG26" i="4"/>
  <c r="AE26" i="4"/>
  <c r="AC26" i="4"/>
  <c r="Z26" i="4"/>
  <c r="AA26" i="4" s="1"/>
  <c r="Y26" i="4"/>
  <c r="W26" i="4"/>
  <c r="U26" i="4"/>
  <c r="R26" i="4"/>
  <c r="S26" i="4" s="1"/>
  <c r="Q26" i="4"/>
  <c r="O26" i="4"/>
  <c r="M26" i="4"/>
  <c r="J26" i="4"/>
  <c r="K26" i="4" s="1"/>
  <c r="I26" i="4"/>
  <c r="G26" i="4"/>
  <c r="E26" i="4"/>
  <c r="AH25" i="4"/>
  <c r="AI25" i="4" s="1"/>
  <c r="AG25" i="4"/>
  <c r="AE25" i="4"/>
  <c r="AC25" i="4"/>
  <c r="Z25" i="4"/>
  <c r="AA25" i="4" s="1"/>
  <c r="Y25" i="4"/>
  <c r="W25" i="4"/>
  <c r="U25" i="4"/>
  <c r="R25" i="4"/>
  <c r="S25" i="4" s="1"/>
  <c r="Q25" i="4"/>
  <c r="O25" i="4"/>
  <c r="M25" i="4"/>
  <c r="J25" i="4"/>
  <c r="K25" i="4" s="1"/>
  <c r="I25" i="4"/>
  <c r="G25" i="4"/>
  <c r="E25" i="4"/>
  <c r="AH24" i="4"/>
  <c r="AI24" i="4" s="1"/>
  <c r="AG24" i="4"/>
  <c r="AE24" i="4"/>
  <c r="AC24" i="4"/>
  <c r="Z24" i="4"/>
  <c r="AA24" i="4" s="1"/>
  <c r="Y24" i="4"/>
  <c r="W24" i="4"/>
  <c r="U24" i="4"/>
  <c r="R24" i="4"/>
  <c r="S24" i="4" s="1"/>
  <c r="Q24" i="4"/>
  <c r="O24" i="4"/>
  <c r="M24" i="4"/>
  <c r="J24" i="4"/>
  <c r="I24" i="4"/>
  <c r="G24" i="4"/>
  <c r="E24" i="4"/>
  <c r="AH23" i="4"/>
  <c r="AI23" i="4" s="1"/>
  <c r="AG23" i="4"/>
  <c r="AE23" i="4"/>
  <c r="AC23" i="4"/>
  <c r="Z23" i="4"/>
  <c r="AA23" i="4" s="1"/>
  <c r="Y23" i="4"/>
  <c r="W23" i="4"/>
  <c r="U23" i="4"/>
  <c r="R23" i="4"/>
  <c r="S23" i="4" s="1"/>
  <c r="Q23" i="4"/>
  <c r="O23" i="4"/>
  <c r="M23" i="4"/>
  <c r="J23" i="4"/>
  <c r="I23" i="4"/>
  <c r="G23" i="4"/>
  <c r="E23" i="4"/>
  <c r="AH22" i="4"/>
  <c r="AI22" i="4" s="1"/>
  <c r="AG22" i="4"/>
  <c r="AE22" i="4"/>
  <c r="AC22" i="4"/>
  <c r="Z22" i="4"/>
  <c r="AA22" i="4" s="1"/>
  <c r="Y22" i="4"/>
  <c r="W22" i="4"/>
  <c r="U22" i="4"/>
  <c r="R22" i="4"/>
  <c r="S22" i="4" s="1"/>
  <c r="Q22" i="4"/>
  <c r="O22" i="4"/>
  <c r="M22" i="4"/>
  <c r="J22" i="4"/>
  <c r="I22" i="4"/>
  <c r="G22" i="4"/>
  <c r="E22" i="4"/>
  <c r="AH21" i="4"/>
  <c r="AI21" i="4" s="1"/>
  <c r="AG21" i="4"/>
  <c r="AE21" i="4"/>
  <c r="AC21" i="4"/>
  <c r="Z21" i="4"/>
  <c r="AA21" i="4" s="1"/>
  <c r="Y21" i="4"/>
  <c r="W21" i="4"/>
  <c r="U21" i="4"/>
  <c r="R21" i="4"/>
  <c r="S21" i="4" s="1"/>
  <c r="Q21" i="4"/>
  <c r="O21" i="4"/>
  <c r="M21" i="4"/>
  <c r="J21" i="4"/>
  <c r="K21" i="4" s="1"/>
  <c r="I21" i="4"/>
  <c r="G21" i="4"/>
  <c r="E21" i="4"/>
  <c r="AE20" i="4"/>
  <c r="AB20" i="4"/>
  <c r="AH20" i="4" s="1"/>
  <c r="AI20" i="4" s="1"/>
  <c r="X20" i="4"/>
  <c r="Y20" i="4" s="1"/>
  <c r="V20" i="4"/>
  <c r="W20" i="4" s="1"/>
  <c r="T20" i="4"/>
  <c r="U20" i="4" s="1"/>
  <c r="P20" i="4"/>
  <c r="Q20" i="4" s="1"/>
  <c r="O20" i="4"/>
  <c r="M20" i="4"/>
  <c r="J20" i="4"/>
  <c r="K20" i="4" s="1"/>
  <c r="I20" i="4"/>
  <c r="G20" i="4"/>
  <c r="E20" i="4"/>
  <c r="AH19" i="4"/>
  <c r="AI19" i="4" s="1"/>
  <c r="AG19" i="4"/>
  <c r="AE19" i="4"/>
  <c r="AC19" i="4"/>
  <c r="Z19" i="4"/>
  <c r="AA19" i="4" s="1"/>
  <c r="Y19" i="4"/>
  <c r="W19" i="4"/>
  <c r="U19" i="4"/>
  <c r="R19" i="4"/>
  <c r="S19" i="4" s="1"/>
  <c r="Q19" i="4"/>
  <c r="O19" i="4"/>
  <c r="M19" i="4"/>
  <c r="J19" i="4"/>
  <c r="I19" i="4"/>
  <c r="G19" i="4"/>
  <c r="E19" i="4"/>
  <c r="AH18" i="4"/>
  <c r="AI18" i="4" s="1"/>
  <c r="AG18" i="4"/>
  <c r="AE18" i="4"/>
  <c r="AC18" i="4"/>
  <c r="Z18" i="4"/>
  <c r="AA18" i="4" s="1"/>
  <c r="Y18" i="4"/>
  <c r="W18" i="4"/>
  <c r="U18" i="4"/>
  <c r="R18" i="4"/>
  <c r="S18" i="4" s="1"/>
  <c r="Q18" i="4"/>
  <c r="O18" i="4"/>
  <c r="M18" i="4"/>
  <c r="J18" i="4"/>
  <c r="K18" i="4" s="1"/>
  <c r="I18" i="4"/>
  <c r="G18" i="4"/>
  <c r="E18" i="4"/>
  <c r="AF17" i="4"/>
  <c r="AH17" i="4" s="1"/>
  <c r="AE17" i="4"/>
  <c r="Z17" i="4"/>
  <c r="AA17" i="4" s="1"/>
  <c r="Y17" i="4"/>
  <c r="X17" i="4"/>
  <c r="V17" i="4"/>
  <c r="W17" i="4" s="1"/>
  <c r="T17" i="4"/>
  <c r="U17" i="4" s="1"/>
  <c r="P17" i="4"/>
  <c r="Q17" i="4" s="1"/>
  <c r="O17" i="4"/>
  <c r="N17" i="4"/>
  <c r="R17" i="4" s="1"/>
  <c r="S17" i="4" s="1"/>
  <c r="L17" i="4"/>
  <c r="M17" i="4" s="1"/>
  <c r="H17" i="4"/>
  <c r="I17" i="4" s="1"/>
  <c r="F17" i="4"/>
  <c r="G17" i="4" s="1"/>
  <c r="D17" i="4"/>
  <c r="E17" i="4" s="1"/>
  <c r="AG16" i="4"/>
  <c r="AE16" i="4"/>
  <c r="AB16" i="4"/>
  <c r="X16" i="4"/>
  <c r="Y16" i="4" s="1"/>
  <c r="V16" i="4"/>
  <c r="W16" i="4" s="1"/>
  <c r="T16" i="4"/>
  <c r="U16" i="4" s="1"/>
  <c r="Q16" i="4"/>
  <c r="P16" i="4"/>
  <c r="N16" i="4"/>
  <c r="O16" i="4" s="1"/>
  <c r="L16" i="4"/>
  <c r="M16" i="4" s="1"/>
  <c r="J16" i="4"/>
  <c r="K16" i="4" s="1"/>
  <c r="I16" i="4"/>
  <c r="H16" i="4"/>
  <c r="G16" i="4"/>
  <c r="F16" i="4"/>
  <c r="D16" i="4"/>
  <c r="E16" i="4" s="1"/>
  <c r="AH15" i="4"/>
  <c r="AI15" i="4" s="1"/>
  <c r="AG15" i="4"/>
  <c r="AE15" i="4"/>
  <c r="AC15" i="4"/>
  <c r="Y15" i="4"/>
  <c r="X15" i="4"/>
  <c r="V15" i="4"/>
  <c r="W15" i="4" s="1"/>
  <c r="T15" i="4"/>
  <c r="U15" i="4" s="1"/>
  <c r="R15" i="4"/>
  <c r="S15" i="4" s="1"/>
  <c r="Q15" i="4"/>
  <c r="P15" i="4"/>
  <c r="N15" i="4"/>
  <c r="O15" i="4" s="1"/>
  <c r="L15" i="4"/>
  <c r="M15" i="4" s="1"/>
  <c r="H15" i="4"/>
  <c r="I15" i="4" s="1"/>
  <c r="F15" i="4"/>
  <c r="G15" i="4" s="1"/>
  <c r="D15" i="4"/>
  <c r="E15" i="4" s="1"/>
  <c r="AH14" i="4"/>
  <c r="AI14" i="4" s="1"/>
  <c r="AG14" i="4"/>
  <c r="AE14" i="4"/>
  <c r="AC14" i="4"/>
  <c r="Z14" i="4"/>
  <c r="AA14" i="4" s="1"/>
  <c r="Y14" i="4"/>
  <c r="W14" i="4"/>
  <c r="U14" i="4"/>
  <c r="R14" i="4"/>
  <c r="S14" i="4" s="1"/>
  <c r="Q14" i="4"/>
  <c r="O14" i="4"/>
  <c r="M14" i="4"/>
  <c r="J14" i="4"/>
  <c r="I14" i="4"/>
  <c r="G14" i="4"/>
  <c r="E14" i="4"/>
  <c r="AH13" i="4"/>
  <c r="AI13" i="4" s="1"/>
  <c r="AG13" i="4"/>
  <c r="AE13" i="4"/>
  <c r="AC13" i="4"/>
  <c r="Z13" i="4"/>
  <c r="AA13" i="4" s="1"/>
  <c r="Y13" i="4"/>
  <c r="W13" i="4"/>
  <c r="U13" i="4"/>
  <c r="R13" i="4"/>
  <c r="S13" i="4" s="1"/>
  <c r="Q13" i="4"/>
  <c r="O13" i="4"/>
  <c r="M13" i="4"/>
  <c r="J13" i="4"/>
  <c r="K13" i="4" s="1"/>
  <c r="I13" i="4"/>
  <c r="G13" i="4"/>
  <c r="E13" i="4"/>
  <c r="AH12" i="4"/>
  <c r="AI12" i="4" s="1"/>
  <c r="AG12" i="4"/>
  <c r="AE12" i="4"/>
  <c r="AC12" i="4"/>
  <c r="Z12" i="4"/>
  <c r="AA12" i="4" s="1"/>
  <c r="Y12" i="4"/>
  <c r="W12" i="4"/>
  <c r="U12" i="4"/>
  <c r="R12" i="4"/>
  <c r="S12" i="4" s="1"/>
  <c r="Q12" i="4"/>
  <c r="O12" i="4"/>
  <c r="M12" i="4"/>
  <c r="J12" i="4"/>
  <c r="K12" i="4" s="1"/>
  <c r="I12" i="4"/>
  <c r="G12" i="4"/>
  <c r="E12" i="4"/>
  <c r="AH11" i="4"/>
  <c r="AI11" i="4" s="1"/>
  <c r="AG11" i="4"/>
  <c r="AE11" i="4"/>
  <c r="AC11" i="4"/>
  <c r="Z11" i="4"/>
  <c r="Y11" i="4"/>
  <c r="W11" i="4"/>
  <c r="U11" i="4"/>
  <c r="R11" i="4"/>
  <c r="S11" i="4" s="1"/>
  <c r="Q11" i="4"/>
  <c r="O11" i="4"/>
  <c r="M11" i="4"/>
  <c r="J11" i="4"/>
  <c r="K11" i="4" s="1"/>
  <c r="I11" i="4"/>
  <c r="G11" i="4"/>
  <c r="E11" i="4"/>
  <c r="AF10" i="4"/>
  <c r="AG10" i="4" s="1"/>
  <c r="AD10" i="4"/>
  <c r="AE10" i="4" s="1"/>
  <c r="AB10" i="4"/>
  <c r="AC10" i="4" s="1"/>
  <c r="X10" i="4"/>
  <c r="Y10" i="4" s="1"/>
  <c r="V10" i="4"/>
  <c r="W10" i="4" s="1"/>
  <c r="T10" i="4"/>
  <c r="U10" i="4" s="1"/>
  <c r="P10" i="4"/>
  <c r="Q10" i="4" s="1"/>
  <c r="N10" i="4"/>
  <c r="O10" i="4" s="1"/>
  <c r="L10" i="4"/>
  <c r="M10" i="4" s="1"/>
  <c r="H10" i="4"/>
  <c r="I10" i="4" s="1"/>
  <c r="F10" i="4"/>
  <c r="G10" i="4" s="1"/>
  <c r="D10" i="4"/>
  <c r="J10" i="4" s="1"/>
  <c r="AG9" i="4"/>
  <c r="AD9" i="4"/>
  <c r="AE9" i="4" s="1"/>
  <c r="AB9" i="4"/>
  <c r="AH9" i="4" s="1"/>
  <c r="AI9" i="4" s="1"/>
  <c r="Y9" i="4"/>
  <c r="X9" i="4"/>
  <c r="V9" i="4"/>
  <c r="W9" i="4" s="1"/>
  <c r="T9" i="4"/>
  <c r="Z9" i="4" s="1"/>
  <c r="AA9" i="4" s="1"/>
  <c r="P9" i="4"/>
  <c r="Q9" i="4" s="1"/>
  <c r="N9" i="4"/>
  <c r="O9" i="4" s="1"/>
  <c r="M9" i="4"/>
  <c r="L9" i="4"/>
  <c r="H9" i="4"/>
  <c r="I9" i="4" s="1"/>
  <c r="F9" i="4"/>
  <c r="G9" i="4" s="1"/>
  <c r="D9" i="4"/>
  <c r="J9" i="4" s="1"/>
  <c r="AH8" i="4"/>
  <c r="AI8" i="4" s="1"/>
  <c r="AG8" i="4"/>
  <c r="AE8" i="4"/>
  <c r="AC8" i="4"/>
  <c r="Z8" i="4"/>
  <c r="AA8" i="4" s="1"/>
  <c r="Y8" i="4"/>
  <c r="W8" i="4"/>
  <c r="U8" i="4"/>
  <c r="R8" i="4"/>
  <c r="S8" i="4" s="1"/>
  <c r="Q8" i="4"/>
  <c r="O8" i="4"/>
  <c r="M8" i="4"/>
  <c r="J8" i="4"/>
  <c r="K8" i="4" s="1"/>
  <c r="I8" i="4"/>
  <c r="G8" i="4"/>
  <c r="E8" i="4"/>
  <c r="AF7" i="4"/>
  <c r="AG7" i="4" s="1"/>
  <c r="AD7" i="4"/>
  <c r="AE7" i="4" s="1"/>
  <c r="AC7" i="4"/>
  <c r="AB7" i="4"/>
  <c r="Y7" i="4"/>
  <c r="X7" i="4"/>
  <c r="V7" i="4"/>
  <c r="W7" i="4" s="1"/>
  <c r="T7" i="4"/>
  <c r="Z7" i="4" s="1"/>
  <c r="AA7" i="4" s="1"/>
  <c r="Q7" i="4"/>
  <c r="O7" i="4"/>
  <c r="L7" i="4"/>
  <c r="R7" i="4" s="1"/>
  <c r="S7" i="4" s="1"/>
  <c r="H7" i="4"/>
  <c r="I7" i="4" s="1"/>
  <c r="F7" i="4"/>
  <c r="G7" i="4" s="1"/>
  <c r="D7" i="4"/>
  <c r="J7" i="4" s="1"/>
  <c r="AG6" i="4"/>
  <c r="AE6" i="4"/>
  <c r="AC6" i="4"/>
  <c r="AH6" i="4"/>
  <c r="AI6" i="4" s="1"/>
  <c r="Y6" i="4"/>
  <c r="W6" i="4"/>
  <c r="U6" i="4"/>
  <c r="Z6" i="4"/>
  <c r="AA6" i="4" s="1"/>
  <c r="Q6" i="4"/>
  <c r="O6" i="4"/>
  <c r="M6" i="4"/>
  <c r="R6" i="4"/>
  <c r="S6" i="4" s="1"/>
  <c r="I6" i="4"/>
  <c r="G6" i="4"/>
  <c r="E6" i="4"/>
  <c r="J6" i="4"/>
  <c r="AF5" i="4"/>
  <c r="AF34" i="4" s="1"/>
  <c r="AE5" i="4"/>
  <c r="AD5" i="4"/>
  <c r="AC5" i="4"/>
  <c r="Y5" i="4"/>
  <c r="V5" i="4"/>
  <c r="W5" i="4" s="1"/>
  <c r="T5" i="4"/>
  <c r="Z5" i="4" s="1"/>
  <c r="AA5" i="4" s="1"/>
  <c r="P5" i="4"/>
  <c r="Q5" i="4" s="1"/>
  <c r="N5" i="4"/>
  <c r="L5" i="4"/>
  <c r="H5" i="4"/>
  <c r="I5" i="4" s="1"/>
  <c r="F5" i="4"/>
  <c r="G5" i="4" s="1"/>
  <c r="D5" i="4"/>
  <c r="J5" i="4" s="1"/>
  <c r="AH4" i="4"/>
  <c r="AI4" i="4" s="1"/>
  <c r="AG4" i="4"/>
  <c r="AE4" i="4"/>
  <c r="AC4" i="4"/>
  <c r="Z4" i="4"/>
  <c r="AA4" i="4" s="1"/>
  <c r="Y4" i="4"/>
  <c r="W4" i="4"/>
  <c r="U4" i="4"/>
  <c r="R4" i="4"/>
  <c r="S4" i="4" s="1"/>
  <c r="Q4" i="4"/>
  <c r="O4" i="4"/>
  <c r="M4" i="4"/>
  <c r="J4" i="4"/>
  <c r="K4" i="4" s="1"/>
  <c r="I4" i="4"/>
  <c r="G4" i="4"/>
  <c r="E4" i="4"/>
  <c r="AH3" i="4"/>
  <c r="AI3" i="4" s="1"/>
  <c r="AG3" i="4"/>
  <c r="AE3" i="4"/>
  <c r="AC3" i="4"/>
  <c r="Z3" i="4"/>
  <c r="Y3" i="4"/>
  <c r="W3" i="4"/>
  <c r="U3" i="4"/>
  <c r="R3" i="4"/>
  <c r="S3" i="4" s="1"/>
  <c r="Q3" i="4"/>
  <c r="O3" i="4"/>
  <c r="M3" i="4"/>
  <c r="J3" i="4"/>
  <c r="K3" i="4" s="1"/>
  <c r="I3" i="4"/>
  <c r="G3" i="4"/>
  <c r="E3" i="4"/>
  <c r="AI2" i="4"/>
  <c r="AH2" i="4"/>
  <c r="AG2" i="4"/>
  <c r="AE2" i="4"/>
  <c r="AC2" i="4"/>
  <c r="Y2" i="4"/>
  <c r="X34" i="4"/>
  <c r="W2" i="4"/>
  <c r="U2" i="4"/>
  <c r="R2" i="4"/>
  <c r="Q2" i="4"/>
  <c r="O2" i="4"/>
  <c r="M2" i="4"/>
  <c r="J2" i="4"/>
  <c r="K2" i="4" s="1"/>
  <c r="I2" i="4"/>
  <c r="G2" i="4"/>
  <c r="E2" i="4"/>
  <c r="Q66" i="3"/>
  <c r="Q65" i="3"/>
  <c r="P65" i="3"/>
  <c r="Q64" i="3"/>
  <c r="Q67" i="3" s="1"/>
  <c r="AG49" i="3"/>
  <c r="AH49" i="3" s="1"/>
  <c r="AE49" i="3"/>
  <c r="AF49" i="3" s="1"/>
  <c r="AC49" i="3"/>
  <c r="AD49" i="3" s="1"/>
  <c r="Y49" i="3"/>
  <c r="Z49" i="3" s="1"/>
  <c r="W49" i="3"/>
  <c r="X49" i="3" s="1"/>
  <c r="U49" i="3"/>
  <c r="V49" i="3" s="1"/>
  <c r="Q49" i="3"/>
  <c r="R49" i="3" s="1"/>
  <c r="O49" i="3"/>
  <c r="P49" i="3" s="1"/>
  <c r="M49" i="3"/>
  <c r="N49" i="3" s="1"/>
  <c r="I49" i="3"/>
  <c r="J49" i="3" s="1"/>
  <c r="G49" i="3"/>
  <c r="H49" i="3" s="1"/>
  <c r="F49" i="3"/>
  <c r="AG48" i="3"/>
  <c r="AH48" i="3" s="1"/>
  <c r="AE48" i="3"/>
  <c r="AF48" i="3" s="1"/>
  <c r="AC48" i="3"/>
  <c r="AD48" i="3" s="1"/>
  <c r="Y48" i="3"/>
  <c r="Z48" i="3" s="1"/>
  <c r="W48" i="3"/>
  <c r="X48" i="3" s="1"/>
  <c r="U48" i="3"/>
  <c r="V48" i="3" s="1"/>
  <c r="Q48" i="3"/>
  <c r="R48" i="3" s="1"/>
  <c r="O48" i="3"/>
  <c r="P48" i="3" s="1"/>
  <c r="M48" i="3"/>
  <c r="N48" i="3" s="1"/>
  <c r="I48" i="3"/>
  <c r="J48" i="3" s="1"/>
  <c r="G48" i="3"/>
  <c r="H48" i="3" s="1"/>
  <c r="E48" i="3"/>
  <c r="F48" i="3" s="1"/>
  <c r="AI45" i="3"/>
  <c r="AJ45" i="3" s="1"/>
  <c r="AH45" i="3"/>
  <c r="AF45" i="3"/>
  <c r="AD45" i="3"/>
  <c r="AA45" i="3"/>
  <c r="AB45" i="3" s="1"/>
  <c r="Z45" i="3"/>
  <c r="X45" i="3"/>
  <c r="V45" i="3"/>
  <c r="S45" i="3"/>
  <c r="T45" i="3" s="1"/>
  <c r="R45" i="3"/>
  <c r="P45" i="3"/>
  <c r="N45" i="3"/>
  <c r="K45" i="3"/>
  <c r="J45" i="3"/>
  <c r="H45" i="3"/>
  <c r="F45" i="3"/>
  <c r="AI44" i="3"/>
  <c r="AJ44" i="3" s="1"/>
  <c r="AH44" i="3"/>
  <c r="AF44" i="3"/>
  <c r="AD44" i="3"/>
  <c r="AA44" i="3"/>
  <c r="AB44" i="3" s="1"/>
  <c r="Z44" i="3"/>
  <c r="X44" i="3"/>
  <c r="V44" i="3"/>
  <c r="S44" i="3"/>
  <c r="T44" i="3" s="1"/>
  <c r="R44" i="3"/>
  <c r="P44" i="3"/>
  <c r="N44" i="3"/>
  <c r="L44" i="3"/>
  <c r="K44" i="3"/>
  <c r="J44" i="3"/>
  <c r="H44" i="3"/>
  <c r="F44" i="3"/>
  <c r="AI43" i="3"/>
  <c r="AJ43" i="3" s="1"/>
  <c r="AH43" i="3"/>
  <c r="AF43" i="3"/>
  <c r="AD43" i="3"/>
  <c r="AA43" i="3"/>
  <c r="AB43" i="3" s="1"/>
  <c r="Z43" i="3"/>
  <c r="X43" i="3"/>
  <c r="V43" i="3"/>
  <c r="T43" i="3"/>
  <c r="S43" i="3"/>
  <c r="R43" i="3"/>
  <c r="P43" i="3"/>
  <c r="N43" i="3"/>
  <c r="K43" i="3"/>
  <c r="J43" i="3"/>
  <c r="H43" i="3"/>
  <c r="F43" i="3"/>
  <c r="AI42" i="3"/>
  <c r="AJ42" i="3" s="1"/>
  <c r="AH42" i="3"/>
  <c r="AF42" i="3"/>
  <c r="AD42" i="3"/>
  <c r="AA42" i="3"/>
  <c r="AB42" i="3" s="1"/>
  <c r="Z42" i="3"/>
  <c r="X42" i="3"/>
  <c r="V42" i="3"/>
  <c r="S42" i="3"/>
  <c r="T42" i="3" s="1"/>
  <c r="R42" i="3"/>
  <c r="P42" i="3"/>
  <c r="N42" i="3"/>
  <c r="K42" i="3"/>
  <c r="C42" i="3" s="1"/>
  <c r="J42" i="3"/>
  <c r="H42" i="3"/>
  <c r="F42" i="3"/>
  <c r="AI41" i="3"/>
  <c r="AJ41" i="3" s="1"/>
  <c r="AH41" i="3"/>
  <c r="AF41" i="3"/>
  <c r="AD41" i="3"/>
  <c r="AA41" i="3"/>
  <c r="AB41" i="3" s="1"/>
  <c r="Z41" i="3"/>
  <c r="X41" i="3"/>
  <c r="V41" i="3"/>
  <c r="S41" i="3"/>
  <c r="T41" i="3" s="1"/>
  <c r="R41" i="3"/>
  <c r="P41" i="3"/>
  <c r="N41" i="3"/>
  <c r="L41" i="3"/>
  <c r="K41" i="3"/>
  <c r="J41" i="3"/>
  <c r="H41" i="3"/>
  <c r="F41" i="3"/>
  <c r="AI40" i="3"/>
  <c r="AJ40" i="3" s="1"/>
  <c r="AH40" i="3"/>
  <c r="AF40" i="3"/>
  <c r="AD40" i="3"/>
  <c r="AA40" i="3"/>
  <c r="AB40" i="3" s="1"/>
  <c r="Z40" i="3"/>
  <c r="X40" i="3"/>
  <c r="V40" i="3"/>
  <c r="S40" i="3"/>
  <c r="T40" i="3" s="1"/>
  <c r="R40" i="3"/>
  <c r="P40" i="3"/>
  <c r="N40" i="3"/>
  <c r="K40" i="3"/>
  <c r="J40" i="3"/>
  <c r="H40" i="3"/>
  <c r="F40" i="3"/>
  <c r="AI39" i="3"/>
  <c r="AJ39" i="3" s="1"/>
  <c r="AH39" i="3"/>
  <c r="AF39" i="3"/>
  <c r="AD39" i="3"/>
  <c r="AA39" i="3"/>
  <c r="AB39" i="3" s="1"/>
  <c r="Z39" i="3"/>
  <c r="X39" i="3"/>
  <c r="V39" i="3"/>
  <c r="S39" i="3"/>
  <c r="T39" i="3" s="1"/>
  <c r="R39" i="3"/>
  <c r="P39" i="3"/>
  <c r="N39" i="3"/>
  <c r="K39" i="3"/>
  <c r="J39" i="3"/>
  <c r="H39" i="3"/>
  <c r="F39" i="3"/>
  <c r="AJ38" i="3"/>
  <c r="AI38" i="3"/>
  <c r="AH38" i="3"/>
  <c r="AF38" i="3"/>
  <c r="AD38" i="3"/>
  <c r="AA38" i="3"/>
  <c r="AB38" i="3" s="1"/>
  <c r="Z38" i="3"/>
  <c r="X38" i="3"/>
  <c r="V38" i="3"/>
  <c r="S38" i="3"/>
  <c r="T38" i="3" s="1"/>
  <c r="R38" i="3"/>
  <c r="P38" i="3"/>
  <c r="N38" i="3"/>
  <c r="K38" i="3"/>
  <c r="J38" i="3"/>
  <c r="H38" i="3"/>
  <c r="F38" i="3"/>
  <c r="AI37" i="3"/>
  <c r="AJ37" i="3" s="1"/>
  <c r="AH37" i="3"/>
  <c r="AF37" i="3"/>
  <c r="AD37" i="3"/>
  <c r="AA37" i="3"/>
  <c r="AB37" i="3" s="1"/>
  <c r="Z37" i="3"/>
  <c r="X37" i="3"/>
  <c r="V37" i="3"/>
  <c r="S37" i="3"/>
  <c r="T37" i="3" s="1"/>
  <c r="R37" i="3"/>
  <c r="P37" i="3"/>
  <c r="N37" i="3"/>
  <c r="K37" i="3"/>
  <c r="L37" i="3" s="1"/>
  <c r="J37" i="3"/>
  <c r="H37" i="3"/>
  <c r="F37" i="3"/>
  <c r="AJ36" i="3"/>
  <c r="AI36" i="3"/>
  <c r="AH36" i="3"/>
  <c r="AF36" i="3"/>
  <c r="AD36" i="3"/>
  <c r="AA36" i="3"/>
  <c r="AB36" i="3" s="1"/>
  <c r="Z36" i="3"/>
  <c r="X36" i="3"/>
  <c r="V36" i="3"/>
  <c r="S36" i="3"/>
  <c r="T36" i="3" s="1"/>
  <c r="R36" i="3"/>
  <c r="P36" i="3"/>
  <c r="N36" i="3"/>
  <c r="L36" i="3"/>
  <c r="K36" i="3"/>
  <c r="J36" i="3"/>
  <c r="H36" i="3"/>
  <c r="F36" i="3"/>
  <c r="AI35" i="3"/>
  <c r="AJ35" i="3" s="1"/>
  <c r="AH35" i="3"/>
  <c r="AF35" i="3"/>
  <c r="AD35" i="3"/>
  <c r="AA35" i="3"/>
  <c r="AB35" i="3" s="1"/>
  <c r="Z35" i="3"/>
  <c r="X35" i="3"/>
  <c r="V35" i="3"/>
  <c r="S35" i="3"/>
  <c r="T35" i="3" s="1"/>
  <c r="R35" i="3"/>
  <c r="P35" i="3"/>
  <c r="N35" i="3"/>
  <c r="K35" i="3"/>
  <c r="J35" i="3"/>
  <c r="H35" i="3"/>
  <c r="F35" i="3"/>
  <c r="AI34" i="3"/>
  <c r="AJ34" i="3" s="1"/>
  <c r="AH34" i="3"/>
  <c r="AF34" i="3"/>
  <c r="AD34" i="3"/>
  <c r="AA34" i="3"/>
  <c r="AB34" i="3" s="1"/>
  <c r="Z34" i="3"/>
  <c r="X34" i="3"/>
  <c r="V34" i="3"/>
  <c r="S34" i="3"/>
  <c r="T34" i="3" s="1"/>
  <c r="R34" i="3"/>
  <c r="P34" i="3"/>
  <c r="N34" i="3"/>
  <c r="K34" i="3"/>
  <c r="J34" i="3"/>
  <c r="H34" i="3"/>
  <c r="F34" i="3"/>
  <c r="AI33" i="3"/>
  <c r="AJ33" i="3" s="1"/>
  <c r="AH33" i="3"/>
  <c r="AF33" i="3"/>
  <c r="AD33" i="3"/>
  <c r="AA33" i="3"/>
  <c r="AB33" i="3" s="1"/>
  <c r="Z33" i="3"/>
  <c r="X33" i="3"/>
  <c r="V33" i="3"/>
  <c r="S33" i="3"/>
  <c r="R33" i="3"/>
  <c r="P33" i="3"/>
  <c r="N33" i="3"/>
  <c r="K33" i="3"/>
  <c r="L33" i="3" s="1"/>
  <c r="J33" i="3"/>
  <c r="H33" i="3"/>
  <c r="F33" i="3"/>
  <c r="AJ32" i="3"/>
  <c r="AI32" i="3"/>
  <c r="AH32" i="3"/>
  <c r="AF32" i="3"/>
  <c r="AD32" i="3"/>
  <c r="AA32" i="3"/>
  <c r="AB32" i="3" s="1"/>
  <c r="Z32" i="3"/>
  <c r="X32" i="3"/>
  <c r="V32" i="3"/>
  <c r="S32" i="3"/>
  <c r="T32" i="3" s="1"/>
  <c r="R32" i="3"/>
  <c r="P32" i="3"/>
  <c r="N32" i="3"/>
  <c r="K32" i="3"/>
  <c r="C32" i="3" s="1"/>
  <c r="J32" i="3"/>
  <c r="H32" i="3"/>
  <c r="F32" i="3"/>
  <c r="AI31" i="3"/>
  <c r="AJ31" i="3" s="1"/>
  <c r="AH31" i="3"/>
  <c r="AF31" i="3"/>
  <c r="AD31" i="3"/>
  <c r="AA31" i="3"/>
  <c r="AB31" i="3" s="1"/>
  <c r="Z31" i="3"/>
  <c r="X31" i="3"/>
  <c r="V31" i="3"/>
  <c r="S31" i="3"/>
  <c r="T31" i="3" s="1"/>
  <c r="R31" i="3"/>
  <c r="P31" i="3"/>
  <c r="N31" i="3"/>
  <c r="K31" i="3"/>
  <c r="J31" i="3"/>
  <c r="H31" i="3"/>
  <c r="F31" i="3"/>
  <c r="AI30" i="3"/>
  <c r="AJ30" i="3" s="1"/>
  <c r="AH30" i="3"/>
  <c r="AF30" i="3"/>
  <c r="AD30" i="3"/>
  <c r="AA30" i="3"/>
  <c r="AB30" i="3" s="1"/>
  <c r="Z30" i="3"/>
  <c r="X30" i="3"/>
  <c r="V30" i="3"/>
  <c r="S30" i="3"/>
  <c r="T30" i="3" s="1"/>
  <c r="R30" i="3"/>
  <c r="P30" i="3"/>
  <c r="N30" i="3"/>
  <c r="K30" i="3"/>
  <c r="J30" i="3"/>
  <c r="H30" i="3"/>
  <c r="F30" i="3"/>
  <c r="AI29" i="3"/>
  <c r="AJ29" i="3" s="1"/>
  <c r="AH29" i="3"/>
  <c r="AF29" i="3"/>
  <c r="AD29" i="3"/>
  <c r="AA29" i="3"/>
  <c r="AB29" i="3" s="1"/>
  <c r="Z29" i="3"/>
  <c r="X29" i="3"/>
  <c r="V29" i="3"/>
  <c r="S29" i="3"/>
  <c r="T29" i="3" s="1"/>
  <c r="R29" i="3"/>
  <c r="P29" i="3"/>
  <c r="N29" i="3"/>
  <c r="L29" i="3"/>
  <c r="K29" i="3"/>
  <c r="J29" i="3"/>
  <c r="H29" i="3"/>
  <c r="F29" i="3"/>
  <c r="AI28" i="3"/>
  <c r="AJ28" i="3" s="1"/>
  <c r="AH28" i="3"/>
  <c r="AF28" i="3"/>
  <c r="AD28" i="3"/>
  <c r="AA28" i="3"/>
  <c r="AB28" i="3" s="1"/>
  <c r="Z28" i="3"/>
  <c r="X28" i="3"/>
  <c r="V28" i="3"/>
  <c r="S28" i="3"/>
  <c r="T28" i="3" s="1"/>
  <c r="R28" i="3"/>
  <c r="P28" i="3"/>
  <c r="N28" i="3"/>
  <c r="K28" i="3"/>
  <c r="J28" i="3"/>
  <c r="H28" i="3"/>
  <c r="F28" i="3"/>
  <c r="AI27" i="3"/>
  <c r="AJ27" i="3" s="1"/>
  <c r="AH27" i="3"/>
  <c r="AF27" i="3"/>
  <c r="AD27" i="3"/>
  <c r="AA27" i="3"/>
  <c r="AB27" i="3" s="1"/>
  <c r="Z27" i="3"/>
  <c r="X27" i="3"/>
  <c r="V27" i="3"/>
  <c r="S27" i="3"/>
  <c r="T27" i="3" s="1"/>
  <c r="R27" i="3"/>
  <c r="P27" i="3"/>
  <c r="N27" i="3"/>
  <c r="K27" i="3"/>
  <c r="J27" i="3"/>
  <c r="H27" i="3"/>
  <c r="F27" i="3"/>
  <c r="AI26" i="3"/>
  <c r="AJ26" i="3" s="1"/>
  <c r="AH26" i="3"/>
  <c r="AF26" i="3"/>
  <c r="AD26" i="3"/>
  <c r="AA26" i="3"/>
  <c r="AB26" i="3" s="1"/>
  <c r="Z26" i="3"/>
  <c r="X26" i="3"/>
  <c r="V26" i="3"/>
  <c r="S26" i="3"/>
  <c r="T26" i="3" s="1"/>
  <c r="R26" i="3"/>
  <c r="P26" i="3"/>
  <c r="N26" i="3"/>
  <c r="K26" i="3"/>
  <c r="J26" i="3"/>
  <c r="H26" i="3"/>
  <c r="F26" i="3"/>
  <c r="AI25" i="3"/>
  <c r="AJ25" i="3" s="1"/>
  <c r="AH25" i="3"/>
  <c r="AF25" i="3"/>
  <c r="AD25" i="3"/>
  <c r="AA25" i="3"/>
  <c r="Z25" i="3"/>
  <c r="X25" i="3"/>
  <c r="V25" i="3"/>
  <c r="T25" i="3"/>
  <c r="S25" i="3"/>
  <c r="R25" i="3"/>
  <c r="P25" i="3"/>
  <c r="N25" i="3"/>
  <c r="K25" i="3"/>
  <c r="L25" i="3" s="1"/>
  <c r="J25" i="3"/>
  <c r="H25" i="3"/>
  <c r="F25" i="3"/>
  <c r="AI24" i="3"/>
  <c r="AJ24" i="3" s="1"/>
  <c r="AH24" i="3"/>
  <c r="AF24" i="3"/>
  <c r="AD24" i="3"/>
  <c r="AA24" i="3"/>
  <c r="AB24" i="3" s="1"/>
  <c r="Z24" i="3"/>
  <c r="X24" i="3"/>
  <c r="V24" i="3"/>
  <c r="S24" i="3"/>
  <c r="T24" i="3" s="1"/>
  <c r="R24" i="3"/>
  <c r="P24" i="3"/>
  <c r="N24" i="3"/>
  <c r="K24" i="3"/>
  <c r="L24" i="3" s="1"/>
  <c r="J24" i="3"/>
  <c r="H24" i="3"/>
  <c r="F24" i="3"/>
  <c r="AI23" i="3"/>
  <c r="AJ23" i="3" s="1"/>
  <c r="AH23" i="3"/>
  <c r="AF23" i="3"/>
  <c r="AD23" i="3"/>
  <c r="AA23" i="3"/>
  <c r="AB23" i="3" s="1"/>
  <c r="Z23" i="3"/>
  <c r="X23" i="3"/>
  <c r="V23" i="3"/>
  <c r="S23" i="3"/>
  <c r="T23" i="3" s="1"/>
  <c r="R23" i="3"/>
  <c r="P23" i="3"/>
  <c r="N23" i="3"/>
  <c r="K23" i="3"/>
  <c r="J23" i="3"/>
  <c r="H23" i="3"/>
  <c r="F23" i="3"/>
  <c r="AI22" i="3"/>
  <c r="AJ22" i="3" s="1"/>
  <c r="AH22" i="3"/>
  <c r="AF22" i="3"/>
  <c r="AD22" i="3"/>
  <c r="AB22" i="3"/>
  <c r="AA22" i="3"/>
  <c r="Z22" i="3"/>
  <c r="X22" i="3"/>
  <c r="V22" i="3"/>
  <c r="S22" i="3"/>
  <c r="T22" i="3" s="1"/>
  <c r="R22" i="3"/>
  <c r="P22" i="3"/>
  <c r="N22" i="3"/>
  <c r="K22" i="3"/>
  <c r="J22" i="3"/>
  <c r="H22" i="3"/>
  <c r="F22" i="3"/>
  <c r="AI21" i="3"/>
  <c r="AJ21" i="3" s="1"/>
  <c r="AH21" i="3"/>
  <c r="AF21" i="3"/>
  <c r="AD21" i="3"/>
  <c r="AA21" i="3"/>
  <c r="Z21" i="3"/>
  <c r="X21" i="3"/>
  <c r="V21" i="3"/>
  <c r="S21" i="3"/>
  <c r="T21" i="3" s="1"/>
  <c r="R21" i="3"/>
  <c r="P21" i="3"/>
  <c r="N21" i="3"/>
  <c r="L21" i="3"/>
  <c r="K21" i="3"/>
  <c r="J21" i="3"/>
  <c r="H21" i="3"/>
  <c r="F21" i="3"/>
  <c r="AI20" i="3"/>
  <c r="AJ20" i="3" s="1"/>
  <c r="AH20" i="3"/>
  <c r="AF20" i="3"/>
  <c r="AD20" i="3"/>
  <c r="AA20" i="3"/>
  <c r="AB20" i="3" s="1"/>
  <c r="Z20" i="3"/>
  <c r="X20" i="3"/>
  <c r="V20" i="3"/>
  <c r="S20" i="3"/>
  <c r="T20" i="3" s="1"/>
  <c r="R20" i="3"/>
  <c r="P20" i="3"/>
  <c r="N20" i="3"/>
  <c r="K20" i="3"/>
  <c r="J20" i="3"/>
  <c r="H20" i="3"/>
  <c r="F20" i="3"/>
  <c r="AI19" i="3"/>
  <c r="AJ19" i="3" s="1"/>
  <c r="AH19" i="3"/>
  <c r="AF19" i="3"/>
  <c r="AD19" i="3"/>
  <c r="AA19" i="3"/>
  <c r="AB19" i="3" s="1"/>
  <c r="Z19" i="3"/>
  <c r="X19" i="3"/>
  <c r="V19" i="3"/>
  <c r="S19" i="3"/>
  <c r="T19" i="3" s="1"/>
  <c r="R19" i="3"/>
  <c r="P19" i="3"/>
  <c r="N19" i="3"/>
  <c r="K19" i="3"/>
  <c r="J19" i="3"/>
  <c r="H19" i="3"/>
  <c r="F19" i="3"/>
  <c r="AI18" i="3"/>
  <c r="AJ18" i="3" s="1"/>
  <c r="AH18" i="3"/>
  <c r="AF18" i="3"/>
  <c r="AD18" i="3"/>
  <c r="AA18" i="3"/>
  <c r="AB18" i="3" s="1"/>
  <c r="Z18" i="3"/>
  <c r="X18" i="3"/>
  <c r="V18" i="3"/>
  <c r="S18" i="3"/>
  <c r="T18" i="3" s="1"/>
  <c r="R18" i="3"/>
  <c r="P18" i="3"/>
  <c r="N18" i="3"/>
  <c r="K18" i="3"/>
  <c r="J18" i="3"/>
  <c r="H18" i="3"/>
  <c r="F18" i="3"/>
  <c r="AI17" i="3"/>
  <c r="AJ17" i="3" s="1"/>
  <c r="AH17" i="3"/>
  <c r="AF17" i="3"/>
  <c r="AD17" i="3"/>
  <c r="AA17" i="3"/>
  <c r="AB17" i="3" s="1"/>
  <c r="Z17" i="3"/>
  <c r="X17" i="3"/>
  <c r="V17" i="3"/>
  <c r="S17" i="3"/>
  <c r="T17" i="3" s="1"/>
  <c r="R17" i="3"/>
  <c r="P17" i="3"/>
  <c r="N17" i="3"/>
  <c r="K17" i="3"/>
  <c r="J17" i="3"/>
  <c r="H17" i="3"/>
  <c r="F17" i="3"/>
  <c r="AI16" i="3"/>
  <c r="AJ16" i="3" s="1"/>
  <c r="AH16" i="3"/>
  <c r="AF16" i="3"/>
  <c r="AD16" i="3"/>
  <c r="AA16" i="3"/>
  <c r="AB16" i="3" s="1"/>
  <c r="Z16" i="3"/>
  <c r="X16" i="3"/>
  <c r="V16" i="3"/>
  <c r="S16" i="3"/>
  <c r="T16" i="3" s="1"/>
  <c r="R16" i="3"/>
  <c r="P16" i="3"/>
  <c r="N16" i="3"/>
  <c r="K16" i="3"/>
  <c r="J16" i="3"/>
  <c r="H16" i="3"/>
  <c r="F16" i="3"/>
  <c r="AI15" i="3"/>
  <c r="AJ15" i="3" s="1"/>
  <c r="AH15" i="3"/>
  <c r="AF15" i="3"/>
  <c r="AD15" i="3"/>
  <c r="AA15" i="3"/>
  <c r="AB15" i="3" s="1"/>
  <c r="Z15" i="3"/>
  <c r="X15" i="3"/>
  <c r="V15" i="3"/>
  <c r="T15" i="3"/>
  <c r="S15" i="3"/>
  <c r="R15" i="3"/>
  <c r="P15" i="3"/>
  <c r="N15" i="3"/>
  <c r="K15" i="3"/>
  <c r="J15" i="3"/>
  <c r="H15" i="3"/>
  <c r="F15" i="3"/>
  <c r="AJ14" i="3"/>
  <c r="AI14" i="3"/>
  <c r="AH14" i="3"/>
  <c r="AF14" i="3"/>
  <c r="AD14" i="3"/>
  <c r="AA14" i="3"/>
  <c r="AB14" i="3" s="1"/>
  <c r="Z14" i="3"/>
  <c r="X14" i="3"/>
  <c r="V14" i="3"/>
  <c r="S14" i="3"/>
  <c r="T14" i="3" s="1"/>
  <c r="R14" i="3"/>
  <c r="P14" i="3"/>
  <c r="N14" i="3"/>
  <c r="K14" i="3"/>
  <c r="J14" i="3"/>
  <c r="H14" i="3"/>
  <c r="F14" i="3"/>
  <c r="AI13" i="3"/>
  <c r="AJ13" i="3" s="1"/>
  <c r="AH13" i="3"/>
  <c r="AF13" i="3"/>
  <c r="AD13" i="3"/>
  <c r="AA13" i="3"/>
  <c r="AB13" i="3" s="1"/>
  <c r="Z13" i="3"/>
  <c r="X13" i="3"/>
  <c r="V13" i="3"/>
  <c r="S13" i="3"/>
  <c r="T13" i="3" s="1"/>
  <c r="R13" i="3"/>
  <c r="P13" i="3"/>
  <c r="N13" i="3"/>
  <c r="L13" i="3"/>
  <c r="K13" i="3"/>
  <c r="C13" i="3" s="1"/>
  <c r="J13" i="3"/>
  <c r="H13" i="3"/>
  <c r="F13" i="3"/>
  <c r="AI12" i="3"/>
  <c r="AJ12" i="3" s="1"/>
  <c r="AH12" i="3"/>
  <c r="AF12" i="3"/>
  <c r="AD12" i="3"/>
  <c r="AA12" i="3"/>
  <c r="AB12" i="3" s="1"/>
  <c r="Z12" i="3"/>
  <c r="X12" i="3"/>
  <c r="V12" i="3"/>
  <c r="S12" i="3"/>
  <c r="T12" i="3" s="1"/>
  <c r="R12" i="3"/>
  <c r="P12" i="3"/>
  <c r="N12" i="3"/>
  <c r="K12" i="3"/>
  <c r="J12" i="3"/>
  <c r="H12" i="3"/>
  <c r="F12" i="3"/>
  <c r="AI11" i="3"/>
  <c r="AJ11" i="3" s="1"/>
  <c r="AH11" i="3"/>
  <c r="AF11" i="3"/>
  <c r="AD11" i="3"/>
  <c r="AA11" i="3"/>
  <c r="AB11" i="3" s="1"/>
  <c r="Z11" i="3"/>
  <c r="X11" i="3"/>
  <c r="V11" i="3"/>
  <c r="S11" i="3"/>
  <c r="T11" i="3" s="1"/>
  <c r="R11" i="3"/>
  <c r="P11" i="3"/>
  <c r="N11" i="3"/>
  <c r="K11" i="3"/>
  <c r="J11" i="3"/>
  <c r="H11" i="3"/>
  <c r="F11" i="3"/>
  <c r="AI10" i="3"/>
  <c r="AJ10" i="3" s="1"/>
  <c r="AH10" i="3"/>
  <c r="AF10" i="3"/>
  <c r="AD10" i="3"/>
  <c r="AB10" i="3"/>
  <c r="AA10" i="3"/>
  <c r="Z10" i="3"/>
  <c r="X10" i="3"/>
  <c r="V10" i="3"/>
  <c r="S10" i="3"/>
  <c r="R10" i="3"/>
  <c r="P10" i="3"/>
  <c r="N10" i="3"/>
  <c r="K10" i="3"/>
  <c r="J10" i="3"/>
  <c r="H10" i="3"/>
  <c r="F10" i="3"/>
  <c r="AI9" i="3"/>
  <c r="AJ9" i="3" s="1"/>
  <c r="AH9" i="3"/>
  <c r="AF9" i="3"/>
  <c r="AD9" i="3"/>
  <c r="AA9" i="3"/>
  <c r="Z9" i="3"/>
  <c r="X9" i="3"/>
  <c r="V9" i="3"/>
  <c r="T9" i="3"/>
  <c r="S9" i="3"/>
  <c r="R9" i="3"/>
  <c r="P9" i="3"/>
  <c r="N9" i="3"/>
  <c r="K9" i="3"/>
  <c r="L9" i="3" s="1"/>
  <c r="J9" i="3"/>
  <c r="H9" i="3"/>
  <c r="F9" i="3"/>
  <c r="AI8" i="3"/>
  <c r="AJ8" i="3" s="1"/>
  <c r="AH8" i="3"/>
  <c r="AF8" i="3"/>
  <c r="AD8" i="3"/>
  <c r="AA8" i="3"/>
  <c r="AB8" i="3" s="1"/>
  <c r="Z8" i="3"/>
  <c r="X8" i="3"/>
  <c r="V8" i="3"/>
  <c r="S8" i="3"/>
  <c r="T8" i="3" s="1"/>
  <c r="R8" i="3"/>
  <c r="P8" i="3"/>
  <c r="N8" i="3"/>
  <c r="K8" i="3"/>
  <c r="L8" i="3" s="1"/>
  <c r="J8" i="3"/>
  <c r="H8" i="3"/>
  <c r="F8" i="3"/>
  <c r="AI7" i="3"/>
  <c r="AJ7" i="3" s="1"/>
  <c r="AH7" i="3"/>
  <c r="AF7" i="3"/>
  <c r="AD7" i="3"/>
  <c r="AA7" i="3"/>
  <c r="AB7" i="3" s="1"/>
  <c r="Z7" i="3"/>
  <c r="X7" i="3"/>
  <c r="V7" i="3"/>
  <c r="T7" i="3"/>
  <c r="S7" i="3"/>
  <c r="R7" i="3"/>
  <c r="P7" i="3"/>
  <c r="N7" i="3"/>
  <c r="K7" i="3"/>
  <c r="J7" i="3"/>
  <c r="H7" i="3"/>
  <c r="F7" i="3"/>
  <c r="AI6" i="3"/>
  <c r="AJ6" i="3" s="1"/>
  <c r="AH6" i="3"/>
  <c r="AF6" i="3"/>
  <c r="AD6" i="3"/>
  <c r="AB6" i="3"/>
  <c r="AA6" i="3"/>
  <c r="Z6" i="3"/>
  <c r="X6" i="3"/>
  <c r="V6" i="3"/>
  <c r="S6" i="3"/>
  <c r="T6" i="3" s="1"/>
  <c r="R6" i="3"/>
  <c r="P6" i="3"/>
  <c r="N6" i="3"/>
  <c r="K6" i="3"/>
  <c r="J6" i="3"/>
  <c r="H6" i="3"/>
  <c r="F6" i="3"/>
  <c r="AI5" i="3"/>
  <c r="AJ5" i="3" s="1"/>
  <c r="AH5" i="3"/>
  <c r="AF5" i="3"/>
  <c r="AD5" i="3"/>
  <c r="AA5" i="3"/>
  <c r="Z5" i="3"/>
  <c r="X5" i="3"/>
  <c r="V5" i="3"/>
  <c r="S5" i="3"/>
  <c r="T5" i="3" s="1"/>
  <c r="R5" i="3"/>
  <c r="P5" i="3"/>
  <c r="N5" i="3"/>
  <c r="L5" i="3"/>
  <c r="K5" i="3"/>
  <c r="J5" i="3"/>
  <c r="H5" i="3"/>
  <c r="F5" i="3"/>
  <c r="AI4" i="3"/>
  <c r="AJ4" i="3" s="1"/>
  <c r="AH4" i="3"/>
  <c r="AF4" i="3"/>
  <c r="AD4" i="3"/>
  <c r="AA4" i="3"/>
  <c r="Z4" i="3"/>
  <c r="X4" i="3"/>
  <c r="V4" i="3"/>
  <c r="S4" i="3"/>
  <c r="T4" i="3" s="1"/>
  <c r="R4" i="3"/>
  <c r="P4" i="3"/>
  <c r="N4" i="3"/>
  <c r="K4" i="3"/>
  <c r="J4" i="3"/>
  <c r="H4" i="3"/>
  <c r="F4" i="3"/>
  <c r="AI3" i="3"/>
  <c r="AH3" i="3"/>
  <c r="AF3" i="3"/>
  <c r="AD3" i="3"/>
  <c r="AA3" i="3"/>
  <c r="AB3" i="3" s="1"/>
  <c r="Z3" i="3"/>
  <c r="X3" i="3"/>
  <c r="V3" i="3"/>
  <c r="S3" i="3"/>
  <c r="T3" i="3" s="1"/>
  <c r="R3" i="3"/>
  <c r="P3" i="3"/>
  <c r="N3" i="3"/>
  <c r="K3" i="3"/>
  <c r="J3" i="3"/>
  <c r="H3" i="3"/>
  <c r="F3" i="3"/>
  <c r="AI2" i="3"/>
  <c r="AJ2" i="3" s="1"/>
  <c r="AH2" i="3"/>
  <c r="AF2" i="3"/>
  <c r="AD2" i="3"/>
  <c r="AA2" i="3"/>
  <c r="AB2" i="3" s="1"/>
  <c r="Z2" i="3"/>
  <c r="X2" i="3"/>
  <c r="V2" i="3"/>
  <c r="S2" i="3"/>
  <c r="R2" i="3"/>
  <c r="P2" i="3"/>
  <c r="N2" i="3"/>
  <c r="K2" i="3"/>
  <c r="J2" i="3"/>
  <c r="H2" i="3"/>
  <c r="F2" i="3"/>
  <c r="AD65" i="1"/>
  <c r="AD66" i="1"/>
  <c r="AD64" i="1"/>
  <c r="C21" i="3" l="1"/>
  <c r="C22" i="3"/>
  <c r="N34" i="4"/>
  <c r="D52" i="5"/>
  <c r="U5" i="4"/>
  <c r="H34" i="4"/>
  <c r="C38" i="3"/>
  <c r="Y34" i="4"/>
  <c r="Y50" i="5"/>
  <c r="Z50" i="5" s="1"/>
  <c r="E5" i="4"/>
  <c r="E7" i="4"/>
  <c r="U7" i="4"/>
  <c r="C9" i="3"/>
  <c r="L32" i="3"/>
  <c r="D32" i="3" s="1"/>
  <c r="C44" i="3"/>
  <c r="E9" i="4"/>
  <c r="P34" i="4"/>
  <c r="U9" i="4"/>
  <c r="J15" i="4"/>
  <c r="K15" i="4" s="1"/>
  <c r="Z16" i="4"/>
  <c r="AA16" i="4" s="1"/>
  <c r="AG17" i="4"/>
  <c r="R20" i="4"/>
  <c r="S20" i="4" s="1"/>
  <c r="C25" i="3"/>
  <c r="C11" i="3"/>
  <c r="C34" i="3"/>
  <c r="C40" i="3"/>
  <c r="R5" i="4"/>
  <c r="S5" i="4" s="1"/>
  <c r="AH16" i="4"/>
  <c r="AC16" i="4"/>
  <c r="J17" i="4"/>
  <c r="K17" i="4" s="1"/>
  <c r="AB70" i="1"/>
  <c r="AA73" i="1"/>
  <c r="AA75" i="1" s="1"/>
  <c r="AG34" i="4"/>
  <c r="AG50" i="5"/>
  <c r="AH50" i="5" s="1"/>
  <c r="AC9" i="4"/>
  <c r="C28" i="3"/>
  <c r="C36" i="3"/>
  <c r="L40" i="3"/>
  <c r="M5" i="4"/>
  <c r="AH5" i="4"/>
  <c r="AI5" i="4" s="1"/>
  <c r="M7" i="4"/>
  <c r="AH7" i="4"/>
  <c r="AI7" i="4" s="1"/>
  <c r="R9" i="4"/>
  <c r="S9" i="4" s="1"/>
  <c r="Z15" i="4"/>
  <c r="AA15" i="4" s="1"/>
  <c r="R16" i="4"/>
  <c r="S16" i="4" s="1"/>
  <c r="C15" i="3"/>
  <c r="C33" i="3"/>
  <c r="C20" i="3"/>
  <c r="C16" i="3"/>
  <c r="B23" i="4"/>
  <c r="C23" i="4" s="1"/>
  <c r="B24" i="4"/>
  <c r="C24" i="4" s="1"/>
  <c r="B30" i="4"/>
  <c r="C30" i="4" s="1"/>
  <c r="B31" i="4"/>
  <c r="C31" i="4" s="1"/>
  <c r="B8" i="4"/>
  <c r="C8" i="4" s="1"/>
  <c r="B32" i="4"/>
  <c r="C32" i="4" s="1"/>
  <c r="B14" i="4"/>
  <c r="C14" i="4" s="1"/>
  <c r="B27" i="4"/>
  <c r="C27" i="4" s="1"/>
  <c r="B4" i="4"/>
  <c r="C4" i="4" s="1"/>
  <c r="K14" i="4"/>
  <c r="B19" i="4"/>
  <c r="C19" i="4" s="1"/>
  <c r="B22" i="4"/>
  <c r="C22" i="4" s="1"/>
  <c r="B18" i="4"/>
  <c r="C18" i="4" s="1"/>
  <c r="Q50" i="3"/>
  <c r="R50" i="3" s="1"/>
  <c r="O50" i="3"/>
  <c r="P50" i="3" s="1"/>
  <c r="B3" i="4"/>
  <c r="C3" i="4" s="1"/>
  <c r="Y50" i="3"/>
  <c r="Z50" i="3" s="1"/>
  <c r="AG50" i="3"/>
  <c r="AH50" i="3" s="1"/>
  <c r="C4" i="3"/>
  <c r="C45" i="3"/>
  <c r="L45" i="3"/>
  <c r="C41" i="3"/>
  <c r="C37" i="3"/>
  <c r="C35" i="3"/>
  <c r="T33" i="3"/>
  <c r="C31" i="3"/>
  <c r="C24" i="3"/>
  <c r="C18" i="3"/>
  <c r="C17" i="3"/>
  <c r="L17" i="3"/>
  <c r="C12" i="3"/>
  <c r="C6" i="3"/>
  <c r="C8" i="3"/>
  <c r="AA49" i="3"/>
  <c r="AB49" i="3" s="1"/>
  <c r="C29" i="3"/>
  <c r="AD67" i="1"/>
  <c r="K24" i="4"/>
  <c r="K23" i="4"/>
  <c r="K27" i="4"/>
  <c r="K31" i="4"/>
  <c r="K32" i="4"/>
  <c r="B28" i="4"/>
  <c r="C28" i="4" s="1"/>
  <c r="B11" i="4"/>
  <c r="C11" i="4" s="1"/>
  <c r="AA11" i="4"/>
  <c r="B9" i="4"/>
  <c r="C9" i="4" s="1"/>
  <c r="K9" i="4"/>
  <c r="B5" i="4"/>
  <c r="C5" i="4" s="1"/>
  <c r="K5" i="4"/>
  <c r="B6" i="4"/>
  <c r="C6" i="4" s="1"/>
  <c r="K6" i="4"/>
  <c r="AI16" i="4"/>
  <c r="K10" i="4"/>
  <c r="B7" i="4"/>
  <c r="C7" i="4" s="1"/>
  <c r="K7" i="4"/>
  <c r="B17" i="4"/>
  <c r="C17" i="4" s="1"/>
  <c r="AI17" i="4"/>
  <c r="E10" i="4"/>
  <c r="AC20" i="4"/>
  <c r="O5" i="4"/>
  <c r="AG5" i="4"/>
  <c r="K30" i="4"/>
  <c r="R10" i="4"/>
  <c r="S10" i="4" s="1"/>
  <c r="Z10" i="4"/>
  <c r="AA10" i="4" s="1"/>
  <c r="AH10" i="4"/>
  <c r="AI10" i="4" s="1"/>
  <c r="B12" i="4"/>
  <c r="C12" i="4" s="1"/>
  <c r="Z20" i="4"/>
  <c r="AA20" i="4" s="1"/>
  <c r="B21" i="4"/>
  <c r="C21" i="4" s="1"/>
  <c r="B25" i="4"/>
  <c r="C25" i="4" s="1"/>
  <c r="B29" i="4"/>
  <c r="C29" i="4" s="1"/>
  <c r="B33" i="4"/>
  <c r="C33" i="4" s="1"/>
  <c r="D34" i="4"/>
  <c r="E50" i="5" s="1"/>
  <c r="L34" i="4"/>
  <c r="M50" i="5" s="1"/>
  <c r="T34" i="4"/>
  <c r="U50" i="5" s="1"/>
  <c r="AB34" i="4"/>
  <c r="AC50" i="5" s="1"/>
  <c r="F34" i="4"/>
  <c r="G50" i="5" s="1"/>
  <c r="H50" i="5" s="1"/>
  <c r="V34" i="4"/>
  <c r="W50" i="5" s="1"/>
  <c r="X50" i="5" s="1"/>
  <c r="AD34" i="4"/>
  <c r="AE50" i="5" s="1"/>
  <c r="AF50" i="5" s="1"/>
  <c r="Z2" i="4"/>
  <c r="AA3" i="4"/>
  <c r="K22" i="4"/>
  <c r="S2" i="4"/>
  <c r="K19" i="4"/>
  <c r="B13" i="4"/>
  <c r="C13" i="4" s="1"/>
  <c r="B26" i="4"/>
  <c r="C26" i="4" s="1"/>
  <c r="K48" i="3"/>
  <c r="L48" i="3" s="1"/>
  <c r="C3" i="3"/>
  <c r="L16" i="3"/>
  <c r="D16" i="3" s="1"/>
  <c r="C19" i="3"/>
  <c r="D33" i="3"/>
  <c r="C39" i="3"/>
  <c r="D8" i="3"/>
  <c r="D9" i="3"/>
  <c r="C14" i="3"/>
  <c r="D24" i="3"/>
  <c r="C27" i="3"/>
  <c r="C30" i="3"/>
  <c r="T10" i="3"/>
  <c r="S49" i="3"/>
  <c r="T49" i="3" s="1"/>
  <c r="L12" i="3"/>
  <c r="D12" i="3" s="1"/>
  <c r="D13" i="3"/>
  <c r="L28" i="3"/>
  <c r="D28" i="3" s="1"/>
  <c r="D29" i="3"/>
  <c r="AB21" i="3"/>
  <c r="D21" i="3" s="1"/>
  <c r="AJ3" i="3"/>
  <c r="AI49" i="3"/>
  <c r="AJ49" i="3" s="1"/>
  <c r="AB5" i="3"/>
  <c r="D5" i="3" s="1"/>
  <c r="C5" i="3"/>
  <c r="AB9" i="3"/>
  <c r="AB25" i="3"/>
  <c r="D25" i="3" s="1"/>
  <c r="D36" i="3"/>
  <c r="D37" i="3"/>
  <c r="C43" i="3"/>
  <c r="D17" i="3"/>
  <c r="AA48" i="3"/>
  <c r="AB48" i="3" s="1"/>
  <c r="C7" i="3"/>
  <c r="C10" i="3"/>
  <c r="L20" i="3"/>
  <c r="D20" i="3" s="1"/>
  <c r="C23" i="3"/>
  <c r="C26" i="3"/>
  <c r="D40" i="3"/>
  <c r="D41" i="3"/>
  <c r="S48" i="3"/>
  <c r="T48" i="3" s="1"/>
  <c r="T2" i="3"/>
  <c r="L4" i="3"/>
  <c r="AI48" i="3"/>
  <c r="AJ48" i="3" s="1"/>
  <c r="D44" i="3"/>
  <c r="D45" i="3"/>
  <c r="K49" i="3"/>
  <c r="L49" i="3" s="1"/>
  <c r="L3" i="3"/>
  <c r="D3" i="3" s="1"/>
  <c r="AB4" i="3"/>
  <c r="L7" i="3"/>
  <c r="D7" i="3" s="1"/>
  <c r="L11" i="3"/>
  <c r="D11" i="3" s="1"/>
  <c r="L15" i="3"/>
  <c r="D15" i="3" s="1"/>
  <c r="L19" i="3"/>
  <c r="D19" i="3" s="1"/>
  <c r="L23" i="3"/>
  <c r="D23" i="3" s="1"/>
  <c r="L27" i="3"/>
  <c r="D27" i="3" s="1"/>
  <c r="L31" i="3"/>
  <c r="D31" i="3" s="1"/>
  <c r="L35" i="3"/>
  <c r="D35" i="3" s="1"/>
  <c r="L39" i="3"/>
  <c r="D39" i="3" s="1"/>
  <c r="L43" i="3"/>
  <c r="D43" i="3" s="1"/>
  <c r="L14" i="3"/>
  <c r="D14" i="3" s="1"/>
  <c r="L30" i="3"/>
  <c r="D30" i="3" s="1"/>
  <c r="L38" i="3"/>
  <c r="D38" i="3" s="1"/>
  <c r="L2" i="3"/>
  <c r="L6" i="3"/>
  <c r="D6" i="3" s="1"/>
  <c r="L10" i="3"/>
  <c r="L18" i="3"/>
  <c r="D18" i="3" s="1"/>
  <c r="L22" i="3"/>
  <c r="D22" i="3" s="1"/>
  <c r="L26" i="3"/>
  <c r="D26" i="3" s="1"/>
  <c r="L34" i="3"/>
  <c r="D34" i="3" s="1"/>
  <c r="L42" i="3"/>
  <c r="D42" i="3" s="1"/>
  <c r="C2" i="3"/>
  <c r="I58" i="1"/>
  <c r="I59" i="1"/>
  <c r="I57" i="1"/>
  <c r="AF17" i="2"/>
  <c r="AF10" i="2"/>
  <c r="AF7" i="2"/>
  <c r="AF6" i="2"/>
  <c r="AF5" i="2"/>
  <c r="AD10" i="2"/>
  <c r="AD9" i="2"/>
  <c r="AD7" i="2"/>
  <c r="AD6" i="2"/>
  <c r="AD5" i="2"/>
  <c r="AB20" i="2"/>
  <c r="AB16" i="2"/>
  <c r="AB10" i="2"/>
  <c r="AB9" i="2"/>
  <c r="AB7" i="2"/>
  <c r="AB6" i="2"/>
  <c r="AB2" i="2"/>
  <c r="X20" i="2"/>
  <c r="X17" i="2"/>
  <c r="X16" i="2"/>
  <c r="X15" i="2"/>
  <c r="X10" i="2"/>
  <c r="X9" i="2"/>
  <c r="X7" i="2"/>
  <c r="X6" i="2"/>
  <c r="X2" i="2"/>
  <c r="V20" i="2"/>
  <c r="V17" i="2"/>
  <c r="V16" i="2"/>
  <c r="V15" i="2"/>
  <c r="V10" i="2"/>
  <c r="V9" i="2"/>
  <c r="V7" i="2"/>
  <c r="V6" i="2"/>
  <c r="V5" i="2"/>
  <c r="V2" i="2"/>
  <c r="T20" i="2"/>
  <c r="T17" i="2"/>
  <c r="T16" i="2"/>
  <c r="T15" i="2"/>
  <c r="T10" i="2"/>
  <c r="T9" i="2"/>
  <c r="T7" i="2"/>
  <c r="T6" i="2"/>
  <c r="T5" i="2"/>
  <c r="L17" i="2"/>
  <c r="L16" i="2"/>
  <c r="L15" i="2"/>
  <c r="L10" i="2"/>
  <c r="L9" i="2"/>
  <c r="L7" i="2"/>
  <c r="L6" i="2"/>
  <c r="L5" i="2"/>
  <c r="H17" i="2"/>
  <c r="H16" i="2"/>
  <c r="H15" i="2"/>
  <c r="H10" i="2"/>
  <c r="H9" i="2"/>
  <c r="H7" i="2"/>
  <c r="H6" i="2"/>
  <c r="H5" i="2"/>
  <c r="F17" i="2"/>
  <c r="F16" i="2"/>
  <c r="F15" i="2"/>
  <c r="F10" i="2"/>
  <c r="F9" i="2"/>
  <c r="F7" i="2"/>
  <c r="F6" i="2"/>
  <c r="F5" i="2"/>
  <c r="D17" i="2"/>
  <c r="D16" i="2"/>
  <c r="D15" i="2"/>
  <c r="D10" i="2"/>
  <c r="D9" i="2"/>
  <c r="D7" i="2"/>
  <c r="D6" i="2"/>
  <c r="D5" i="2"/>
  <c r="AD50" i="5" l="1"/>
  <c r="AI50" i="5"/>
  <c r="AJ50" i="5" s="1"/>
  <c r="D2" i="3"/>
  <c r="B16" i="4"/>
  <c r="C16" i="4" s="1"/>
  <c r="N50" i="5"/>
  <c r="S50" i="5"/>
  <c r="T50" i="5" s="1"/>
  <c r="J34" i="4"/>
  <c r="F50" i="5"/>
  <c r="I34" i="4"/>
  <c r="I50" i="5"/>
  <c r="J50" i="5" s="1"/>
  <c r="I60" i="1"/>
  <c r="B20" i="4"/>
  <c r="C20" i="4" s="1"/>
  <c r="I50" i="3"/>
  <c r="J50" i="3" s="1"/>
  <c r="B15" i="4"/>
  <c r="C15" i="4" s="1"/>
  <c r="O34" i="4"/>
  <c r="O50" i="5"/>
  <c r="P50" i="5" s="1"/>
  <c r="V50" i="5"/>
  <c r="AA50" i="5"/>
  <c r="AB50" i="5" s="1"/>
  <c r="Q34" i="4"/>
  <c r="Q50" i="5"/>
  <c r="R50" i="5" s="1"/>
  <c r="C49" i="3"/>
  <c r="C54" i="3" s="1"/>
  <c r="AD69" i="1"/>
  <c r="AE67" i="1"/>
  <c r="M34" i="4"/>
  <c r="M50" i="3"/>
  <c r="G34" i="4"/>
  <c r="G50" i="3"/>
  <c r="H50" i="3" s="1"/>
  <c r="AC34" i="4"/>
  <c r="AC50" i="3"/>
  <c r="AD50" i="3" s="1"/>
  <c r="W34" i="4"/>
  <c r="W50" i="3"/>
  <c r="X50" i="3" s="1"/>
  <c r="U34" i="4"/>
  <c r="U50" i="3"/>
  <c r="AE34" i="4"/>
  <c r="AE50" i="3"/>
  <c r="D4" i="3"/>
  <c r="D10" i="3"/>
  <c r="D49" i="3"/>
  <c r="E34" i="4"/>
  <c r="E50" i="3"/>
  <c r="AA2" i="4"/>
  <c r="Z34" i="4"/>
  <c r="AA34" i="4" s="1"/>
  <c r="B2" i="4"/>
  <c r="C2" i="4" s="1"/>
  <c r="R34" i="4"/>
  <c r="S34" i="4" s="1"/>
  <c r="B10" i="4"/>
  <c r="C10" i="4" s="1"/>
  <c r="AH34" i="4"/>
  <c r="AI34" i="4" s="1"/>
  <c r="K34" i="4"/>
  <c r="D48" i="3"/>
  <c r="C48" i="3"/>
  <c r="W15" i="2"/>
  <c r="AI4" i="2"/>
  <c r="AI23" i="2"/>
  <c r="AH3" i="2"/>
  <c r="AI3" i="2" s="1"/>
  <c r="AH4" i="2"/>
  <c r="AH5" i="2"/>
  <c r="AI5" i="2" s="1"/>
  <c r="AH6" i="2"/>
  <c r="AI6" i="2" s="1"/>
  <c r="AH7" i="2"/>
  <c r="AI7" i="2" s="1"/>
  <c r="AH8" i="2"/>
  <c r="AI8" i="2" s="1"/>
  <c r="AH9" i="2"/>
  <c r="AI9" i="2" s="1"/>
  <c r="AH10" i="2"/>
  <c r="AI10" i="2" s="1"/>
  <c r="AH11" i="2"/>
  <c r="AI11" i="2" s="1"/>
  <c r="AH12" i="2"/>
  <c r="AI12" i="2" s="1"/>
  <c r="AH13" i="2"/>
  <c r="AI13" i="2" s="1"/>
  <c r="AH14" i="2"/>
  <c r="AI14" i="2" s="1"/>
  <c r="AH15" i="2"/>
  <c r="AI15" i="2" s="1"/>
  <c r="AH16" i="2"/>
  <c r="AI16" i="2" s="1"/>
  <c r="AH17" i="2"/>
  <c r="AI17" i="2" s="1"/>
  <c r="AH18" i="2"/>
  <c r="AI18" i="2" s="1"/>
  <c r="AH19" i="2"/>
  <c r="AI19" i="2" s="1"/>
  <c r="AH20" i="2"/>
  <c r="AI20" i="2" s="1"/>
  <c r="AH21" i="2"/>
  <c r="AI21" i="2" s="1"/>
  <c r="AH22" i="2"/>
  <c r="AI22" i="2" s="1"/>
  <c r="AH23" i="2"/>
  <c r="AH24" i="2"/>
  <c r="AI24" i="2" s="1"/>
  <c r="AH25" i="2"/>
  <c r="AI25" i="2" s="1"/>
  <c r="AH26" i="2"/>
  <c r="AI26" i="2" s="1"/>
  <c r="AH27" i="2"/>
  <c r="AI27" i="2" s="1"/>
  <c r="AH28" i="2"/>
  <c r="AI28" i="2" s="1"/>
  <c r="AH29" i="2"/>
  <c r="AI29" i="2" s="1"/>
  <c r="AH30" i="2"/>
  <c r="AI30" i="2" s="1"/>
  <c r="AH31" i="2"/>
  <c r="AI31" i="2" s="1"/>
  <c r="AH32" i="2"/>
  <c r="AI32" i="2" s="1"/>
  <c r="AH33" i="2"/>
  <c r="AI33" i="2" s="1"/>
  <c r="AH2" i="2"/>
  <c r="AI2" i="2" s="1"/>
  <c r="AG3" i="2"/>
  <c r="AG4" i="2"/>
  <c r="AG5" i="2"/>
  <c r="AG6" i="2"/>
  <c r="AG7" i="2"/>
  <c r="AG8" i="2"/>
  <c r="AG9" i="2"/>
  <c r="AG10" i="2"/>
  <c r="AG11" i="2"/>
  <c r="AG12" i="2"/>
  <c r="AG13" i="2"/>
  <c r="AG14" i="2"/>
  <c r="AG15" i="2"/>
  <c r="AG16" i="2"/>
  <c r="AG17" i="2"/>
  <c r="AG18" i="2"/>
  <c r="AG19" i="2"/>
  <c r="AG20" i="2"/>
  <c r="AG21" i="2"/>
  <c r="AG22" i="2"/>
  <c r="AG23" i="2"/>
  <c r="AG24" i="2"/>
  <c r="AG25" i="2"/>
  <c r="AG26" i="2"/>
  <c r="AG27" i="2"/>
  <c r="AG28" i="2"/>
  <c r="AG29" i="2"/>
  <c r="AG30" i="2"/>
  <c r="AG31" i="2"/>
  <c r="AG32" i="2"/>
  <c r="AG33" i="2"/>
  <c r="AG2" i="2"/>
  <c r="AE3" i="2"/>
  <c r="AE4" i="2"/>
  <c r="AE5" i="2"/>
  <c r="AE6" i="2"/>
  <c r="AE7" i="2"/>
  <c r="AE8" i="2"/>
  <c r="AE9" i="2"/>
  <c r="AE10" i="2"/>
  <c r="AE11" i="2"/>
  <c r="AE12" i="2"/>
  <c r="AE13" i="2"/>
  <c r="AE14" i="2"/>
  <c r="AE15" i="2"/>
  <c r="AE16" i="2"/>
  <c r="AE17" i="2"/>
  <c r="AE18" i="2"/>
  <c r="AE19" i="2"/>
  <c r="AE20" i="2"/>
  <c r="AE21" i="2"/>
  <c r="AE22" i="2"/>
  <c r="AE23" i="2"/>
  <c r="AE24" i="2"/>
  <c r="AE25" i="2"/>
  <c r="AE26" i="2"/>
  <c r="AE27" i="2"/>
  <c r="AE28" i="2"/>
  <c r="AE29" i="2"/>
  <c r="AE30" i="2"/>
  <c r="AE31" i="2"/>
  <c r="AE32" i="2"/>
  <c r="AE33" i="2"/>
  <c r="AE2" i="2"/>
  <c r="AC3" i="2"/>
  <c r="AC4" i="2"/>
  <c r="AC5" i="2"/>
  <c r="AC6" i="2"/>
  <c r="AC7" i="2"/>
  <c r="AC8" i="2"/>
  <c r="AC9" i="2"/>
  <c r="AC10" i="2"/>
  <c r="AC11" i="2"/>
  <c r="AC12" i="2"/>
  <c r="AC13" i="2"/>
  <c r="AC14" i="2"/>
  <c r="AC15" i="2"/>
  <c r="AC16" i="2"/>
  <c r="AC17" i="2"/>
  <c r="AC18" i="2"/>
  <c r="AC19" i="2"/>
  <c r="AC20" i="2"/>
  <c r="AC21" i="2"/>
  <c r="AC22" i="2"/>
  <c r="AC23" i="2"/>
  <c r="AC24" i="2"/>
  <c r="AC25" i="2"/>
  <c r="AC26" i="2"/>
  <c r="AC27" i="2"/>
  <c r="AC28" i="2"/>
  <c r="AC29" i="2"/>
  <c r="AC30" i="2"/>
  <c r="AC31" i="2"/>
  <c r="AC32" i="2"/>
  <c r="AC33" i="2"/>
  <c r="AC2" i="2"/>
  <c r="Z3" i="2"/>
  <c r="AA3" i="2" s="1"/>
  <c r="Z4" i="2"/>
  <c r="AA4" i="2" s="1"/>
  <c r="Z5" i="2"/>
  <c r="AA5" i="2" s="1"/>
  <c r="Z6" i="2"/>
  <c r="AA6" i="2" s="1"/>
  <c r="Z7" i="2"/>
  <c r="AA7" i="2" s="1"/>
  <c r="Z8" i="2"/>
  <c r="AA8" i="2" s="1"/>
  <c r="Z9" i="2"/>
  <c r="AA9" i="2" s="1"/>
  <c r="Z10" i="2"/>
  <c r="AA10" i="2" s="1"/>
  <c r="Z11" i="2"/>
  <c r="AA11" i="2" s="1"/>
  <c r="Z12" i="2"/>
  <c r="AA12" i="2" s="1"/>
  <c r="Z13" i="2"/>
  <c r="AA13" i="2" s="1"/>
  <c r="Z14" i="2"/>
  <c r="AA14" i="2" s="1"/>
  <c r="Z15" i="2"/>
  <c r="Z16" i="2"/>
  <c r="AA16" i="2" s="1"/>
  <c r="Z17" i="2"/>
  <c r="AA17" i="2" s="1"/>
  <c r="Z18" i="2"/>
  <c r="AA18" i="2" s="1"/>
  <c r="Z19" i="2"/>
  <c r="AA19" i="2" s="1"/>
  <c r="Z20" i="2"/>
  <c r="AA20" i="2" s="1"/>
  <c r="Z21" i="2"/>
  <c r="AA21" i="2" s="1"/>
  <c r="Z22" i="2"/>
  <c r="AA22" i="2" s="1"/>
  <c r="Z23" i="2"/>
  <c r="AA23" i="2" s="1"/>
  <c r="Z24" i="2"/>
  <c r="AA24" i="2" s="1"/>
  <c r="Z25" i="2"/>
  <c r="AA25" i="2" s="1"/>
  <c r="Z26" i="2"/>
  <c r="AA26" i="2" s="1"/>
  <c r="Z27" i="2"/>
  <c r="AA27" i="2" s="1"/>
  <c r="Z28" i="2"/>
  <c r="AA28" i="2" s="1"/>
  <c r="Z29" i="2"/>
  <c r="AA29" i="2" s="1"/>
  <c r="Z30" i="2"/>
  <c r="AA30" i="2" s="1"/>
  <c r="Z31" i="2"/>
  <c r="AA31" i="2" s="1"/>
  <c r="Z32" i="2"/>
  <c r="AA32" i="2" s="1"/>
  <c r="Z33" i="2"/>
  <c r="AA33" i="2" s="1"/>
  <c r="Z2" i="2"/>
  <c r="AA2" i="2" s="1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2" i="2"/>
  <c r="S3" i="2"/>
  <c r="S8" i="2"/>
  <c r="S12" i="2"/>
  <c r="S23" i="2"/>
  <c r="S24" i="2"/>
  <c r="S27" i="2"/>
  <c r="S28" i="2"/>
  <c r="S31" i="2"/>
  <c r="Q3" i="2"/>
  <c r="Q4" i="2"/>
  <c r="Q6" i="2"/>
  <c r="Q8" i="2"/>
  <c r="Q11" i="2"/>
  <c r="Q12" i="2"/>
  <c r="Q13" i="2"/>
  <c r="Q14" i="2"/>
  <c r="Q18" i="2"/>
  <c r="Q19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2" i="2"/>
  <c r="O3" i="2"/>
  <c r="O4" i="2"/>
  <c r="O6" i="2"/>
  <c r="O8" i="2"/>
  <c r="O11" i="2"/>
  <c r="O12" i="2"/>
  <c r="O13" i="2"/>
  <c r="O14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2" i="2"/>
  <c r="R3" i="2"/>
  <c r="R4" i="2"/>
  <c r="S4" i="2" s="1"/>
  <c r="R6" i="2"/>
  <c r="S6" i="2" s="1"/>
  <c r="R8" i="2"/>
  <c r="R11" i="2"/>
  <c r="S11" i="2" s="1"/>
  <c r="R12" i="2"/>
  <c r="R13" i="2"/>
  <c r="S13" i="2" s="1"/>
  <c r="R14" i="2"/>
  <c r="S14" i="2" s="1"/>
  <c r="R18" i="2"/>
  <c r="S18" i="2" s="1"/>
  <c r="R19" i="2"/>
  <c r="S19" i="2" s="1"/>
  <c r="R21" i="2"/>
  <c r="S21" i="2" s="1"/>
  <c r="R22" i="2"/>
  <c r="S22" i="2" s="1"/>
  <c r="R23" i="2"/>
  <c r="R24" i="2"/>
  <c r="R25" i="2"/>
  <c r="S25" i="2" s="1"/>
  <c r="R26" i="2"/>
  <c r="S26" i="2" s="1"/>
  <c r="R27" i="2"/>
  <c r="R28" i="2"/>
  <c r="R29" i="2"/>
  <c r="S29" i="2" s="1"/>
  <c r="R30" i="2"/>
  <c r="S30" i="2" s="1"/>
  <c r="R31" i="2"/>
  <c r="R32" i="2"/>
  <c r="S32" i="2" s="1"/>
  <c r="R33" i="2"/>
  <c r="S33" i="2" s="1"/>
  <c r="R2" i="2"/>
  <c r="S2" i="2" s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2" i="2"/>
  <c r="J3" i="2"/>
  <c r="K3" i="2" s="1"/>
  <c r="J4" i="2"/>
  <c r="K4" i="2" s="1"/>
  <c r="J5" i="2"/>
  <c r="K5" i="2" s="1"/>
  <c r="J6" i="2"/>
  <c r="K6" i="2" s="1"/>
  <c r="J7" i="2"/>
  <c r="K7" i="2" s="1"/>
  <c r="J8" i="2"/>
  <c r="K8" i="2" s="1"/>
  <c r="J9" i="2"/>
  <c r="K9" i="2" s="1"/>
  <c r="J10" i="2"/>
  <c r="K10" i="2" s="1"/>
  <c r="J11" i="2"/>
  <c r="K11" i="2" s="1"/>
  <c r="J12" i="2"/>
  <c r="K12" i="2" s="1"/>
  <c r="J13" i="2"/>
  <c r="K13" i="2" s="1"/>
  <c r="J14" i="2"/>
  <c r="K14" i="2" s="1"/>
  <c r="J15" i="2"/>
  <c r="K15" i="2" s="1"/>
  <c r="J16" i="2"/>
  <c r="K16" i="2" s="1"/>
  <c r="J17" i="2"/>
  <c r="K17" i="2" s="1"/>
  <c r="J18" i="2"/>
  <c r="K18" i="2" s="1"/>
  <c r="J19" i="2"/>
  <c r="K19" i="2" s="1"/>
  <c r="J20" i="2"/>
  <c r="K20" i="2" s="1"/>
  <c r="J21" i="2"/>
  <c r="K21" i="2" s="1"/>
  <c r="J22" i="2"/>
  <c r="K22" i="2" s="1"/>
  <c r="J23" i="2"/>
  <c r="K23" i="2" s="1"/>
  <c r="J24" i="2"/>
  <c r="K24" i="2" s="1"/>
  <c r="J25" i="2"/>
  <c r="K25" i="2" s="1"/>
  <c r="J26" i="2"/>
  <c r="K26" i="2" s="1"/>
  <c r="J27" i="2"/>
  <c r="K27" i="2" s="1"/>
  <c r="J28" i="2"/>
  <c r="K28" i="2" s="1"/>
  <c r="J29" i="2"/>
  <c r="K29" i="2" s="1"/>
  <c r="J30" i="2"/>
  <c r="K30" i="2" s="1"/>
  <c r="J31" i="2"/>
  <c r="K31" i="2" s="1"/>
  <c r="J32" i="2"/>
  <c r="K32" i="2" s="1"/>
  <c r="J33" i="2"/>
  <c r="K33" i="2" s="1"/>
  <c r="J2" i="2"/>
  <c r="K2" i="2" s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2" i="2"/>
  <c r="K50" i="5" l="1"/>
  <c r="L50" i="5" s="1"/>
  <c r="D50" i="5" s="1"/>
  <c r="D52" i="3"/>
  <c r="N50" i="3"/>
  <c r="S50" i="3"/>
  <c r="T50" i="3" s="1"/>
  <c r="V50" i="3"/>
  <c r="AA50" i="3"/>
  <c r="AB50" i="3" s="1"/>
  <c r="AF50" i="3"/>
  <c r="AI50" i="3"/>
  <c r="AJ50" i="3" s="1"/>
  <c r="F50" i="3"/>
  <c r="K50" i="3"/>
  <c r="L50" i="3" s="1"/>
  <c r="B34" i="4"/>
  <c r="C50" i="5" s="1"/>
  <c r="Z34" i="2"/>
  <c r="AA34" i="2" s="1"/>
  <c r="J34" i="2"/>
  <c r="K34" i="2" s="1"/>
  <c r="AH34" i="2"/>
  <c r="AI34" i="2" s="1"/>
  <c r="AA15" i="2"/>
  <c r="C53" i="5" l="1"/>
  <c r="C55" i="5" s="1"/>
  <c r="D50" i="3"/>
  <c r="C34" i="4"/>
  <c r="C50" i="3"/>
  <c r="E49" i="1"/>
  <c r="F49" i="1" s="1"/>
  <c r="AH3" i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39" i="1"/>
  <c r="AH40" i="1"/>
  <c r="AH41" i="1"/>
  <c r="AH42" i="1"/>
  <c r="AH43" i="1"/>
  <c r="AH44" i="1"/>
  <c r="AH45" i="1"/>
  <c r="AH2" i="1"/>
  <c r="AF3" i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F34" i="1"/>
  <c r="AF35" i="1"/>
  <c r="AF36" i="1"/>
  <c r="AF37" i="1"/>
  <c r="AF38" i="1"/>
  <c r="AF39" i="1"/>
  <c r="AF40" i="1"/>
  <c r="AF41" i="1"/>
  <c r="AF42" i="1"/>
  <c r="AF43" i="1"/>
  <c r="AF44" i="1"/>
  <c r="AF45" i="1"/>
  <c r="AF2" i="1"/>
  <c r="AD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2" i="1"/>
  <c r="AI3" i="1"/>
  <c r="AJ3" i="1" s="1"/>
  <c r="AI4" i="1"/>
  <c r="AJ4" i="1" s="1"/>
  <c r="AI5" i="1"/>
  <c r="AJ5" i="1" s="1"/>
  <c r="AI6" i="1"/>
  <c r="AJ6" i="1" s="1"/>
  <c r="AI7" i="1"/>
  <c r="AI8" i="1"/>
  <c r="AJ8" i="1" s="1"/>
  <c r="AI9" i="1"/>
  <c r="AJ9" i="1" s="1"/>
  <c r="AI10" i="1"/>
  <c r="AJ10" i="1" s="1"/>
  <c r="AI11" i="1"/>
  <c r="AJ11" i="1" s="1"/>
  <c r="AI12" i="1"/>
  <c r="AJ12" i="1" s="1"/>
  <c r="AI13" i="1"/>
  <c r="AJ13" i="1" s="1"/>
  <c r="AI14" i="1"/>
  <c r="AJ14" i="1" s="1"/>
  <c r="AI15" i="1"/>
  <c r="AJ15" i="1" s="1"/>
  <c r="AI16" i="1"/>
  <c r="AJ16" i="1" s="1"/>
  <c r="AI17" i="1"/>
  <c r="AJ17" i="1" s="1"/>
  <c r="AI18" i="1"/>
  <c r="AJ18" i="1" s="1"/>
  <c r="AI19" i="1"/>
  <c r="AJ19" i="1" s="1"/>
  <c r="AI20" i="1"/>
  <c r="AJ20" i="1" s="1"/>
  <c r="AI21" i="1"/>
  <c r="AJ21" i="1" s="1"/>
  <c r="AI22" i="1"/>
  <c r="AJ22" i="1" s="1"/>
  <c r="AI24" i="1"/>
  <c r="AJ24" i="1" s="1"/>
  <c r="AI25" i="1"/>
  <c r="AJ25" i="1" s="1"/>
  <c r="AI26" i="1"/>
  <c r="AJ26" i="1" s="1"/>
  <c r="AI27" i="1"/>
  <c r="AJ27" i="1" s="1"/>
  <c r="AI28" i="1"/>
  <c r="AJ28" i="1" s="1"/>
  <c r="AI29" i="1"/>
  <c r="AJ29" i="1" s="1"/>
  <c r="AI30" i="1"/>
  <c r="AJ30" i="1" s="1"/>
  <c r="AI31" i="1"/>
  <c r="AJ31" i="1" s="1"/>
  <c r="AI32" i="1"/>
  <c r="AJ32" i="1" s="1"/>
  <c r="AI33" i="1"/>
  <c r="AJ33" i="1" s="1"/>
  <c r="AI34" i="1"/>
  <c r="AJ34" i="1" s="1"/>
  <c r="AI35" i="1"/>
  <c r="AJ35" i="1" s="1"/>
  <c r="AI36" i="1"/>
  <c r="AJ36" i="1" s="1"/>
  <c r="AI37" i="1"/>
  <c r="AJ37" i="1" s="1"/>
  <c r="AI38" i="1"/>
  <c r="AJ38" i="1" s="1"/>
  <c r="AI39" i="1"/>
  <c r="AJ39" i="1" s="1"/>
  <c r="AI40" i="1"/>
  <c r="AJ40" i="1" s="1"/>
  <c r="AI41" i="1"/>
  <c r="AJ41" i="1" s="1"/>
  <c r="AI42" i="1"/>
  <c r="AJ42" i="1" s="1"/>
  <c r="AI43" i="1"/>
  <c r="AJ43" i="1" s="1"/>
  <c r="AI44" i="1"/>
  <c r="AJ44" i="1" s="1"/>
  <c r="AI45" i="1"/>
  <c r="AJ45" i="1" s="1"/>
  <c r="AI2" i="1"/>
  <c r="AJ2" i="1" s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2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2" i="1"/>
  <c r="AA3" i="1"/>
  <c r="AB3" i="1" s="1"/>
  <c r="AA4" i="1"/>
  <c r="AB4" i="1" s="1"/>
  <c r="AA5" i="1"/>
  <c r="AB5" i="1" s="1"/>
  <c r="AA6" i="1"/>
  <c r="AB6" i="1" s="1"/>
  <c r="AA7" i="1"/>
  <c r="AB7" i="1" s="1"/>
  <c r="AA8" i="1"/>
  <c r="AB8" i="1" s="1"/>
  <c r="AA9" i="1"/>
  <c r="AA10" i="1"/>
  <c r="AB10" i="1" s="1"/>
  <c r="AA11" i="1"/>
  <c r="AB11" i="1" s="1"/>
  <c r="AA12" i="1"/>
  <c r="AB12" i="1" s="1"/>
  <c r="AA13" i="1"/>
  <c r="AB13" i="1" s="1"/>
  <c r="AA14" i="1"/>
  <c r="AB14" i="1" s="1"/>
  <c r="AA15" i="1"/>
  <c r="AB15" i="1" s="1"/>
  <c r="AA16" i="1"/>
  <c r="AB16" i="1" s="1"/>
  <c r="AA17" i="1"/>
  <c r="AB17" i="1" s="1"/>
  <c r="AA18" i="1"/>
  <c r="AB18" i="1" s="1"/>
  <c r="AA19" i="1"/>
  <c r="AB19" i="1" s="1"/>
  <c r="AA20" i="1"/>
  <c r="AB20" i="1" s="1"/>
  <c r="AA21" i="1"/>
  <c r="AB21" i="1" s="1"/>
  <c r="AA22" i="1"/>
  <c r="AB22" i="1" s="1"/>
  <c r="AA23" i="1"/>
  <c r="AB23" i="1" s="1"/>
  <c r="AA24" i="1"/>
  <c r="AB24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2" i="1"/>
  <c r="AB2" i="1" s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2" i="1"/>
  <c r="S3" i="1"/>
  <c r="T3" i="1" s="1"/>
  <c r="S4" i="1"/>
  <c r="T4" i="1" s="1"/>
  <c r="S5" i="1"/>
  <c r="T5" i="1" s="1"/>
  <c r="S6" i="1"/>
  <c r="T6" i="1" s="1"/>
  <c r="S7" i="1"/>
  <c r="T7" i="1" s="1"/>
  <c r="S8" i="1"/>
  <c r="T8" i="1" s="1"/>
  <c r="S9" i="1"/>
  <c r="T9" i="1" s="1"/>
  <c r="S10" i="1"/>
  <c r="T10" i="1" s="1"/>
  <c r="S11" i="1"/>
  <c r="T11" i="1" s="1"/>
  <c r="S12" i="1"/>
  <c r="T12" i="1" s="1"/>
  <c r="S13" i="1"/>
  <c r="T13" i="1" s="1"/>
  <c r="S14" i="1"/>
  <c r="T14" i="1" s="1"/>
  <c r="S15" i="1"/>
  <c r="T15" i="1" s="1"/>
  <c r="S16" i="1"/>
  <c r="T16" i="1" s="1"/>
  <c r="S17" i="1"/>
  <c r="T17" i="1" s="1"/>
  <c r="S18" i="1"/>
  <c r="T18" i="1" s="1"/>
  <c r="S19" i="1"/>
  <c r="T19" i="1" s="1"/>
  <c r="S20" i="1"/>
  <c r="T20" i="1" s="1"/>
  <c r="S21" i="1"/>
  <c r="T21" i="1" s="1"/>
  <c r="S22" i="1"/>
  <c r="T22" i="1" s="1"/>
  <c r="S23" i="1"/>
  <c r="T23" i="1" s="1"/>
  <c r="S24" i="1"/>
  <c r="T24" i="1" s="1"/>
  <c r="S25" i="1"/>
  <c r="T25" i="1" s="1"/>
  <c r="S26" i="1"/>
  <c r="T26" i="1" s="1"/>
  <c r="S27" i="1"/>
  <c r="T27" i="1" s="1"/>
  <c r="S28" i="1"/>
  <c r="T28" i="1" s="1"/>
  <c r="S29" i="1"/>
  <c r="T29" i="1" s="1"/>
  <c r="S30" i="1"/>
  <c r="T30" i="1" s="1"/>
  <c r="S31" i="1"/>
  <c r="T31" i="1" s="1"/>
  <c r="S32" i="1"/>
  <c r="T32" i="1" s="1"/>
  <c r="S33" i="1"/>
  <c r="T33" i="1" s="1"/>
  <c r="S34" i="1"/>
  <c r="T34" i="1" s="1"/>
  <c r="S35" i="1"/>
  <c r="T35" i="1" s="1"/>
  <c r="S36" i="1"/>
  <c r="T36" i="1" s="1"/>
  <c r="S37" i="1"/>
  <c r="T37" i="1" s="1"/>
  <c r="S38" i="1"/>
  <c r="T38" i="1" s="1"/>
  <c r="S39" i="1"/>
  <c r="T39" i="1" s="1"/>
  <c r="S40" i="1"/>
  <c r="T40" i="1" s="1"/>
  <c r="S41" i="1"/>
  <c r="T41" i="1" s="1"/>
  <c r="S42" i="1"/>
  <c r="T42" i="1" s="1"/>
  <c r="S43" i="1"/>
  <c r="T43" i="1" s="1"/>
  <c r="S44" i="1"/>
  <c r="T44" i="1" s="1"/>
  <c r="S45" i="1"/>
  <c r="T45" i="1" s="1"/>
  <c r="S2" i="1"/>
  <c r="T2" i="1" s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2" i="1"/>
  <c r="K3" i="1"/>
  <c r="L3" i="1" s="1"/>
  <c r="K4" i="1"/>
  <c r="L4" i="1" s="1"/>
  <c r="K5" i="1"/>
  <c r="L5" i="1" s="1"/>
  <c r="K6" i="1"/>
  <c r="L6" i="1" s="1"/>
  <c r="K7" i="1"/>
  <c r="L7" i="1" s="1"/>
  <c r="K8" i="1"/>
  <c r="L8" i="1" s="1"/>
  <c r="K9" i="1"/>
  <c r="L9" i="1" s="1"/>
  <c r="K10" i="1"/>
  <c r="L10" i="1" s="1"/>
  <c r="K11" i="1"/>
  <c r="L11" i="1" s="1"/>
  <c r="K12" i="1"/>
  <c r="L12" i="1" s="1"/>
  <c r="K13" i="1"/>
  <c r="L13" i="1" s="1"/>
  <c r="K14" i="1"/>
  <c r="L14" i="1" s="1"/>
  <c r="K15" i="1"/>
  <c r="L15" i="1" s="1"/>
  <c r="K16" i="1"/>
  <c r="L16" i="1" s="1"/>
  <c r="K17" i="1"/>
  <c r="L17" i="1" s="1"/>
  <c r="K18" i="1"/>
  <c r="L18" i="1" s="1"/>
  <c r="K19" i="1"/>
  <c r="L19" i="1" s="1"/>
  <c r="K20" i="1"/>
  <c r="L20" i="1" s="1"/>
  <c r="K21" i="1"/>
  <c r="L21" i="1" s="1"/>
  <c r="K22" i="1"/>
  <c r="L22" i="1" s="1"/>
  <c r="K23" i="1"/>
  <c r="L23" i="1" s="1"/>
  <c r="K24" i="1"/>
  <c r="L24" i="1" s="1"/>
  <c r="K25" i="1"/>
  <c r="L25" i="1" s="1"/>
  <c r="K26" i="1"/>
  <c r="L26" i="1" s="1"/>
  <c r="K27" i="1"/>
  <c r="L27" i="1" s="1"/>
  <c r="K28" i="1"/>
  <c r="L28" i="1" s="1"/>
  <c r="K29" i="1"/>
  <c r="L29" i="1" s="1"/>
  <c r="K30" i="1"/>
  <c r="L30" i="1" s="1"/>
  <c r="K31" i="1"/>
  <c r="L31" i="1" s="1"/>
  <c r="K32" i="1"/>
  <c r="L32" i="1" s="1"/>
  <c r="K33" i="1"/>
  <c r="L33" i="1" s="1"/>
  <c r="K34" i="1"/>
  <c r="L34" i="1" s="1"/>
  <c r="K35" i="1"/>
  <c r="L35" i="1" s="1"/>
  <c r="K36" i="1"/>
  <c r="L36" i="1" s="1"/>
  <c r="K37" i="1"/>
  <c r="L37" i="1" s="1"/>
  <c r="K38" i="1"/>
  <c r="L38" i="1" s="1"/>
  <c r="K39" i="1"/>
  <c r="L39" i="1" s="1"/>
  <c r="K40" i="1"/>
  <c r="L40" i="1" s="1"/>
  <c r="K41" i="1"/>
  <c r="L41" i="1" s="1"/>
  <c r="K42" i="1"/>
  <c r="L42" i="1" s="1"/>
  <c r="K43" i="1"/>
  <c r="L43" i="1" s="1"/>
  <c r="K44" i="1"/>
  <c r="L44" i="1" s="1"/>
  <c r="K45" i="1"/>
  <c r="L45" i="1" s="1"/>
  <c r="K2" i="1"/>
  <c r="L2" i="1" s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2" i="1"/>
  <c r="E48" i="1"/>
  <c r="F48" i="1" s="1"/>
  <c r="G49" i="1"/>
  <c r="H49" i="1" s="1"/>
  <c r="I49" i="1"/>
  <c r="J49" i="1" s="1"/>
  <c r="M49" i="1"/>
  <c r="N49" i="1" s="1"/>
  <c r="O49" i="1"/>
  <c r="P49" i="1" s="1"/>
  <c r="Q49" i="1"/>
  <c r="R49" i="1" s="1"/>
  <c r="U49" i="1"/>
  <c r="V49" i="1" s="1"/>
  <c r="W49" i="1"/>
  <c r="X49" i="1" s="1"/>
  <c r="Y49" i="1"/>
  <c r="Z49" i="1" s="1"/>
  <c r="AC49" i="1"/>
  <c r="AD49" i="1" s="1"/>
  <c r="AE49" i="1"/>
  <c r="AF49" i="1" s="1"/>
  <c r="AG49" i="1"/>
  <c r="AH49" i="1" s="1"/>
  <c r="G48" i="1"/>
  <c r="H48" i="1" s="1"/>
  <c r="I48" i="1"/>
  <c r="J48" i="1" s="1"/>
  <c r="M48" i="1"/>
  <c r="N48" i="1" s="1"/>
  <c r="O48" i="1"/>
  <c r="P48" i="1" s="1"/>
  <c r="Q48" i="1"/>
  <c r="R48" i="1" s="1"/>
  <c r="U48" i="1"/>
  <c r="V48" i="1" s="1"/>
  <c r="W48" i="1"/>
  <c r="X48" i="1" s="1"/>
  <c r="Y48" i="1"/>
  <c r="Z48" i="1" s="1"/>
  <c r="AC48" i="1"/>
  <c r="AD48" i="1" s="1"/>
  <c r="AE48" i="1"/>
  <c r="AF48" i="1" s="1"/>
  <c r="E53" i="5" l="1"/>
  <c r="C53" i="3"/>
  <c r="C55" i="3" s="1"/>
  <c r="C52" i="3"/>
  <c r="D14" i="1"/>
  <c r="D13" i="1"/>
  <c r="D22" i="1"/>
  <c r="D6" i="1"/>
  <c r="D45" i="1"/>
  <c r="D37" i="1"/>
  <c r="D21" i="1"/>
  <c r="D5" i="1"/>
  <c r="D36" i="1"/>
  <c r="D12" i="1"/>
  <c r="C2" i="1"/>
  <c r="D44" i="1"/>
  <c r="D38" i="1"/>
  <c r="D28" i="1"/>
  <c r="D29" i="1"/>
  <c r="D20" i="1"/>
  <c r="D30" i="1"/>
  <c r="D27" i="1"/>
  <c r="D19" i="1"/>
  <c r="D11" i="1"/>
  <c r="D3" i="1"/>
  <c r="D35" i="1"/>
  <c r="D43" i="1"/>
  <c r="D2" i="1"/>
  <c r="AI49" i="1"/>
  <c r="AJ49" i="1" s="1"/>
  <c r="AJ7" i="1"/>
  <c r="AA48" i="1"/>
  <c r="AB48" i="1" s="1"/>
  <c r="D4" i="1"/>
  <c r="AB9" i="1"/>
  <c r="D9" i="1" s="1"/>
  <c r="S48" i="1"/>
  <c r="T48" i="1" s="1"/>
  <c r="AA49" i="1"/>
  <c r="AB49" i="1" s="1"/>
  <c r="S49" i="1"/>
  <c r="T49" i="1" s="1"/>
  <c r="D42" i="1"/>
  <c r="D34" i="1"/>
  <c r="D26" i="1"/>
  <c r="D18" i="1"/>
  <c r="D10" i="1"/>
  <c r="D41" i="1"/>
  <c r="D33" i="1"/>
  <c r="D25" i="1"/>
  <c r="D17" i="1"/>
  <c r="D40" i="1"/>
  <c r="D32" i="1"/>
  <c r="D24" i="1"/>
  <c r="D16" i="1"/>
  <c r="D8" i="1"/>
  <c r="D39" i="1"/>
  <c r="D31" i="1"/>
  <c r="D15" i="1"/>
  <c r="D7" i="1"/>
  <c r="AG48" i="1" l="1"/>
  <c r="AH48" i="1" s="1"/>
  <c r="AH23" i="1"/>
  <c r="AI23" i="1"/>
  <c r="P9" i="2"/>
  <c r="Q9" i="2" s="1"/>
  <c r="N9" i="2"/>
  <c r="P7" i="2"/>
  <c r="Q7" i="2" s="1"/>
  <c r="N7" i="2"/>
  <c r="O7" i="2" l="1"/>
  <c r="R7" i="2"/>
  <c r="S7" i="2" s="1"/>
  <c r="R9" i="2"/>
  <c r="S9" i="2" s="1"/>
  <c r="O9" i="2"/>
  <c r="AD34" i="2"/>
  <c r="AF34" i="2"/>
  <c r="AJ23" i="1"/>
  <c r="D23" i="1" s="1"/>
  <c r="AI48" i="1"/>
  <c r="AJ48" i="1" s="1"/>
  <c r="P16" i="2"/>
  <c r="Q16" i="2" s="1"/>
  <c r="N16" i="2"/>
  <c r="P5" i="2"/>
  <c r="Q5" i="2" s="1"/>
  <c r="N5" i="2"/>
  <c r="P10" i="2"/>
  <c r="Q10" i="2" s="1"/>
  <c r="N10" i="2"/>
  <c r="P15" i="2"/>
  <c r="Q15" i="2" s="1"/>
  <c r="N15" i="2"/>
  <c r="P17" i="2"/>
  <c r="Q17" i="2" s="1"/>
  <c r="N17" i="2"/>
  <c r="P20" i="2"/>
  <c r="K48" i="1"/>
  <c r="L48" i="1" s="1"/>
  <c r="O15" i="2" l="1"/>
  <c r="R15" i="2"/>
  <c r="S15" i="2" s="1"/>
  <c r="O10" i="2"/>
  <c r="R10" i="2"/>
  <c r="S10" i="2" s="1"/>
  <c r="O5" i="2"/>
  <c r="R5" i="2"/>
  <c r="R20" i="2"/>
  <c r="S20" i="2" s="1"/>
  <c r="Q20" i="2"/>
  <c r="O17" i="2"/>
  <c r="R17" i="2"/>
  <c r="S17" i="2" s="1"/>
  <c r="O16" i="2"/>
  <c r="R16" i="2"/>
  <c r="S16" i="2" s="1"/>
  <c r="AG50" i="1"/>
  <c r="AH50" i="1" s="1"/>
  <c r="AG34" i="2"/>
  <c r="AE50" i="1"/>
  <c r="AF50" i="1" s="1"/>
  <c r="AE34" i="2"/>
  <c r="T34" i="2"/>
  <c r="X34" i="2"/>
  <c r="B15" i="2"/>
  <c r="C15" i="2" s="1"/>
  <c r="N34" i="2"/>
  <c r="P34" i="2"/>
  <c r="D34" i="2"/>
  <c r="F34" i="2"/>
  <c r="B7" i="2"/>
  <c r="C7" i="2" s="1"/>
  <c r="AB34" i="2"/>
  <c r="B11" i="2"/>
  <c r="C11" i="2" s="1"/>
  <c r="H34" i="2"/>
  <c r="V34" i="2"/>
  <c r="B17" i="2"/>
  <c r="C17" i="2" s="1"/>
  <c r="L34" i="2"/>
  <c r="D48" i="1"/>
  <c r="K49" i="1"/>
  <c r="C11" i="1"/>
  <c r="C4" i="1"/>
  <c r="C19" i="1"/>
  <c r="C35" i="1"/>
  <c r="C27" i="1"/>
  <c r="C24" i="1"/>
  <c r="C5" i="1"/>
  <c r="C43" i="1"/>
  <c r="C37" i="1"/>
  <c r="C45" i="1"/>
  <c r="C22" i="1"/>
  <c r="C12" i="1"/>
  <c r="C15" i="1"/>
  <c r="C3" i="1"/>
  <c r="C41" i="1"/>
  <c r="C39" i="1"/>
  <c r="C31" i="1"/>
  <c r="C7" i="1"/>
  <c r="C44" i="1"/>
  <c r="C38" i="1"/>
  <c r="C36" i="1"/>
  <c r="C30" i="1"/>
  <c r="C29" i="1"/>
  <c r="C28" i="1"/>
  <c r="C23" i="1"/>
  <c r="C21" i="1"/>
  <c r="C20" i="1"/>
  <c r="C14" i="1"/>
  <c r="C13" i="1"/>
  <c r="C6" i="1"/>
  <c r="C40" i="1"/>
  <c r="C32" i="1"/>
  <c r="C16" i="1"/>
  <c r="C42" i="1"/>
  <c r="C34" i="1"/>
  <c r="C10" i="1"/>
  <c r="C18" i="1"/>
  <c r="C33" i="1"/>
  <c r="C25" i="1"/>
  <c r="C17" i="1"/>
  <c r="C9" i="1"/>
  <c r="C26" i="1"/>
  <c r="C8" i="1"/>
  <c r="B20" i="2"/>
  <c r="C20" i="2" s="1"/>
  <c r="B19" i="2"/>
  <c r="C19" i="2" s="1"/>
  <c r="B25" i="2"/>
  <c r="C25" i="2" s="1"/>
  <c r="B24" i="2"/>
  <c r="C24" i="2" s="1"/>
  <c r="B18" i="2"/>
  <c r="C18" i="2" s="1"/>
  <c r="B26" i="2"/>
  <c r="C26" i="2" s="1"/>
  <c r="B4" i="2"/>
  <c r="C4" i="2" s="1"/>
  <c r="B3" i="2"/>
  <c r="C3" i="2" s="1"/>
  <c r="B12" i="2"/>
  <c r="C12" i="2" s="1"/>
  <c r="B30" i="2"/>
  <c r="C30" i="2" s="1"/>
  <c r="B31" i="2"/>
  <c r="C31" i="2" s="1"/>
  <c r="B2" i="2"/>
  <c r="C2" i="2" s="1"/>
  <c r="B32" i="2"/>
  <c r="C32" i="2" s="1"/>
  <c r="B27" i="2"/>
  <c r="C27" i="2" s="1"/>
  <c r="B29" i="2"/>
  <c r="C29" i="2" s="1"/>
  <c r="B22" i="2"/>
  <c r="C22" i="2" s="1"/>
  <c r="B33" i="2"/>
  <c r="C33" i="2" s="1"/>
  <c r="B28" i="2"/>
  <c r="C28" i="2" s="1"/>
  <c r="B14" i="2"/>
  <c r="C14" i="2" s="1"/>
  <c r="B21" i="2"/>
  <c r="C21" i="2" s="1"/>
  <c r="B13" i="2"/>
  <c r="C13" i="2" s="1"/>
  <c r="B6" i="2"/>
  <c r="C6" i="2" s="1"/>
  <c r="B23" i="2"/>
  <c r="C23" i="2" s="1"/>
  <c r="B9" i="2"/>
  <c r="C9" i="2" s="1"/>
  <c r="B8" i="2"/>
  <c r="C8" i="2" s="1"/>
  <c r="B16" i="2" l="1"/>
  <c r="C16" i="2" s="1"/>
  <c r="S5" i="2"/>
  <c r="R34" i="2"/>
  <c r="L49" i="1"/>
  <c r="D49" i="1" s="1"/>
  <c r="E50" i="1"/>
  <c r="F50" i="1" s="1"/>
  <c r="E34" i="2"/>
  <c r="Q50" i="1"/>
  <c r="R50" i="1" s="1"/>
  <c r="Q34" i="2"/>
  <c r="O50" i="1"/>
  <c r="P50" i="1" s="1"/>
  <c r="O34" i="2"/>
  <c r="M50" i="1"/>
  <c r="M34" i="2"/>
  <c r="I50" i="1"/>
  <c r="J50" i="1" s="1"/>
  <c r="I34" i="2"/>
  <c r="G50" i="1"/>
  <c r="H50" i="1" s="1"/>
  <c r="G34" i="2"/>
  <c r="AC50" i="1"/>
  <c r="AD50" i="1" s="1"/>
  <c r="AC34" i="2"/>
  <c r="Y50" i="1"/>
  <c r="Z50" i="1" s="1"/>
  <c r="Y34" i="2"/>
  <c r="W50" i="1"/>
  <c r="X50" i="1" s="1"/>
  <c r="W34" i="2"/>
  <c r="U50" i="1"/>
  <c r="V50" i="1" s="1"/>
  <c r="U34" i="2"/>
  <c r="B10" i="2"/>
  <c r="C10" i="2" s="1"/>
  <c r="B5" i="2"/>
  <c r="C49" i="1"/>
  <c r="C48" i="1"/>
  <c r="S34" i="2" l="1"/>
  <c r="B34" i="2"/>
  <c r="D52" i="1"/>
  <c r="S50" i="1"/>
  <c r="T50" i="1" s="1"/>
  <c r="N50" i="1"/>
  <c r="K50" i="1"/>
  <c r="L50" i="1" s="1"/>
  <c r="D50" i="1" s="1"/>
  <c r="AI50" i="1"/>
  <c r="AJ50" i="1" s="1"/>
  <c r="AA50" i="1"/>
  <c r="AB50" i="1" s="1"/>
  <c r="C5" i="2"/>
  <c r="C50" i="1" l="1"/>
  <c r="C52" i="1" s="1"/>
  <c r="C57" i="1" s="1"/>
  <c r="C34" i="2"/>
  <c r="B54" i="1"/>
</calcChain>
</file>

<file path=xl/sharedStrings.xml><?xml version="1.0" encoding="utf-8"?>
<sst xmlns="http://schemas.openxmlformats.org/spreadsheetml/2006/main" count="658" uniqueCount="98">
  <si>
    <t>Kabupaten/Kota</t>
  </si>
  <si>
    <t>Pacitan</t>
  </si>
  <si>
    <t>PPP Tamperan</t>
  </si>
  <si>
    <t>Trenggalek</t>
  </si>
  <si>
    <t>PPN Prigi</t>
  </si>
  <si>
    <t>Tulungagung</t>
  </si>
  <si>
    <t>PPP Popoh</t>
  </si>
  <si>
    <t>IPP Sine</t>
  </si>
  <si>
    <t>Blitar</t>
  </si>
  <si>
    <t>IPP Tambakrejo</t>
  </si>
  <si>
    <t>Malang</t>
  </si>
  <si>
    <t>PPP Pondokdadap</t>
  </si>
  <si>
    <t>Lumajang</t>
  </si>
  <si>
    <t>Jember</t>
  </si>
  <si>
    <t>IPP Puger</t>
  </si>
  <si>
    <t>Banyuwangi</t>
  </si>
  <si>
    <t>IPP Pancer</t>
  </si>
  <si>
    <t>IPP Grajagan</t>
  </si>
  <si>
    <t>PPP Muncar</t>
  </si>
  <si>
    <t>Situbondo</t>
  </si>
  <si>
    <t>Tuban</t>
  </si>
  <si>
    <t>PPP Bulu</t>
  </si>
  <si>
    <t>Lamongan</t>
  </si>
  <si>
    <t>PPN Brondong</t>
  </si>
  <si>
    <t>Gresik</t>
  </si>
  <si>
    <t>IPP Bawean</t>
  </si>
  <si>
    <t>IPP Campurejo</t>
  </si>
  <si>
    <t>Kota Surabaya</t>
  </si>
  <si>
    <t>Sidoarjo</t>
  </si>
  <si>
    <t>Pasuruan</t>
  </si>
  <si>
    <t>IPP Lekok</t>
  </si>
  <si>
    <t>Kota Pasuruan</t>
  </si>
  <si>
    <t>IPP Ngemplakrejo</t>
  </si>
  <si>
    <t>Probolinggo</t>
  </si>
  <si>
    <t>IPP Paiton</t>
  </si>
  <si>
    <t>Kota Probolinggo</t>
  </si>
  <si>
    <t>PPP Mayangan</t>
  </si>
  <si>
    <t>Bangkalan</t>
  </si>
  <si>
    <t>IPP Banyusangka</t>
  </si>
  <si>
    <t>Sampang</t>
  </si>
  <si>
    <t>IPP Camplong</t>
  </si>
  <si>
    <t>Pamekasan</t>
  </si>
  <si>
    <t>IPP Branta Pesisir</t>
  </si>
  <si>
    <t>Sumenep</t>
  </si>
  <si>
    <t>IPP Pasongsongan</t>
  </si>
  <si>
    <t>TOTAL</t>
  </si>
  <si>
    <t>PERAIRAN PANTAI</t>
  </si>
  <si>
    <t>Selatan Jawa</t>
  </si>
  <si>
    <t>Utara Jawa</t>
  </si>
  <si>
    <t>JANUARI</t>
  </si>
  <si>
    <t>FEBRUARI</t>
  </si>
  <si>
    <t>MARET</t>
  </si>
  <si>
    <t>TW I</t>
  </si>
  <si>
    <t>APRIL</t>
  </si>
  <si>
    <t>MEI</t>
  </si>
  <si>
    <t>JUNI</t>
  </si>
  <si>
    <t>TW II</t>
  </si>
  <si>
    <t>JULI</t>
  </si>
  <si>
    <t>AGUSTUS</t>
  </si>
  <si>
    <t>SEPTEMBER</t>
  </si>
  <si>
    <t>OKTOBER</t>
  </si>
  <si>
    <t>TW III</t>
  </si>
  <si>
    <t>NOVEMBER</t>
  </si>
  <si>
    <t>DESEMBER</t>
  </si>
  <si>
    <t>TWIV</t>
  </si>
  <si>
    <t>Mojokerto</t>
  </si>
  <si>
    <t>Jombang</t>
  </si>
  <si>
    <t>Nganjuk</t>
  </si>
  <si>
    <t>Madiun</t>
  </si>
  <si>
    <t>Magetan</t>
  </si>
  <si>
    <t>Ngawi</t>
  </si>
  <si>
    <t>Bojonegoro</t>
  </si>
  <si>
    <t>Kota Kediri</t>
  </si>
  <si>
    <t>Kota Mojokerto</t>
  </si>
  <si>
    <t>Kota Madiun</t>
  </si>
  <si>
    <t>Ponogoro</t>
  </si>
  <si>
    <t>Kediri</t>
  </si>
  <si>
    <t>Bondowoso</t>
  </si>
  <si>
    <t>TW IV</t>
  </si>
  <si>
    <t>NON PELABUHAN</t>
  </si>
  <si>
    <t>PELABUHAN</t>
  </si>
  <si>
    <t>PUD</t>
  </si>
  <si>
    <t>NILAI PRODUKSI</t>
  </si>
  <si>
    <t>PRODUKSI</t>
  </si>
  <si>
    <t>TOTAL PRODUKSI</t>
  </si>
  <si>
    <t>TOTAL NILAI PRODUKSI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</si>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</sst>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43" formatCode="_-* #,##0.00_-;\-* #,##0.00_-;_-* &quot;-&quot;??_-;_-@_-"/>
    <numFmt numFmtId="164" formatCode="_-* #,##0.00_-;\-* #,##0.00_-;_-* &quot;-&quot;_-;_-@_-"/>
  </numFmts>
  <fonts count="7" x14ac:knownFonts="1"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Tahoma"/>
      <family val="2"/>
    </font>
    <font>
      <sz val="12"/>
      <color rgb="FFFF0000"/>
      <name val="Tahoma"/>
      <family val="2"/>
    </font>
    <font>
      <sz val="12"/>
      <color rgb="FF000000"/>
      <name val="Tahoma"/>
      <family val="2"/>
    </font>
    <font>
      <b/>
      <sz val="11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64" fontId="2" fillId="0" borderId="0" xfId="1" applyNumberFormat="1" applyFont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2" borderId="0" xfId="1" applyNumberFormat="1" applyFont="1" applyFill="1" applyAlignment="1">
      <alignment vertical="center"/>
    </xf>
    <xf numFmtId="164" fontId="2" fillId="0" borderId="0" xfId="1" applyNumberFormat="1" applyFont="1" applyFill="1" applyAlignment="1">
      <alignment vertical="center"/>
    </xf>
    <xf numFmtId="164" fontId="3" fillId="2" borderId="0" xfId="1" applyNumberFormat="1" applyFont="1" applyFill="1" applyAlignment="1">
      <alignment vertical="center"/>
    </xf>
    <xf numFmtId="43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1" xfId="0" applyFont="1" applyBorder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vertical="center"/>
    </xf>
    <xf numFmtId="164" fontId="2" fillId="0" borderId="1" xfId="1" applyNumberFormat="1" applyFont="1" applyBorder="1" applyAlignment="1">
      <alignment vertical="center"/>
    </xf>
    <xf numFmtId="43" fontId="2" fillId="0" borderId="1" xfId="0" applyNumberFormat="1" applyFont="1" applyBorder="1" applyAlignment="1">
      <alignment vertical="center"/>
    </xf>
    <xf numFmtId="164" fontId="2" fillId="2" borderId="1" xfId="0" applyNumberFormat="1" applyFont="1" applyFill="1" applyBorder="1" applyAlignment="1">
      <alignment vertical="center"/>
    </xf>
    <xf numFmtId="0" fontId="5" fillId="0" borderId="0" xfId="0" applyFont="1"/>
    <xf numFmtId="0" fontId="6" fillId="0" borderId="0" xfId="0" applyFont="1"/>
    <xf numFmtId="4" fontId="2" fillId="0" borderId="0" xfId="0" applyNumberFormat="1" applyFont="1" applyAlignment="1">
      <alignment vertical="center"/>
    </xf>
    <xf numFmtId="164" fontId="2" fillId="0" borderId="1" xfId="0" applyNumberFormat="1" applyFont="1" applyBorder="1" applyAlignment="1">
      <alignment horizontal="center" vertical="center"/>
    </xf>
  </cellXfs>
  <cellStyles count="2">
    <cellStyle name="Ko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511"/>
  <sheetViews>
    <sheetView topLeftCell="A32" zoomScale="92" workbookViewId="0">
      <pane xSplit="1" topLeftCell="B1" activePane="topRight" state="frozen"/>
      <selection pane="topRight" activeCell="AD56" sqref="AD56"/>
    </sheetView>
  </sheetViews>
  <sheetFormatPr baseColWidth="10" defaultColWidth="20.83203125" defaultRowHeight="25" customHeight="1" x14ac:dyDescent="0.2"/>
  <cols>
    <col min="1" max="27" width="20.83203125" style="1"/>
    <col min="28" max="28" width="24.1640625" style="1" bestFit="1" customWidth="1"/>
    <col min="29" max="30" width="20.83203125" style="1"/>
    <col min="31" max="31" width="26" style="1" bestFit="1" customWidth="1"/>
    <col min="32" max="16384" width="20.83203125" style="1"/>
  </cols>
  <sheetData>
    <row r="1" spans="1:73" s="2" customFormat="1" ht="25" customHeight="1" x14ac:dyDescent="0.2">
      <c r="A1" s="2" t="s">
        <v>0</v>
      </c>
      <c r="B1" s="2" t="s">
        <v>46</v>
      </c>
      <c r="C1" s="2" t="s">
        <v>45</v>
      </c>
      <c r="D1" s="2" t="s">
        <v>82</v>
      </c>
      <c r="E1" s="2" t="s">
        <v>49</v>
      </c>
      <c r="F1" s="2" t="s">
        <v>82</v>
      </c>
      <c r="G1" s="2" t="s">
        <v>50</v>
      </c>
      <c r="H1" s="2" t="s">
        <v>82</v>
      </c>
      <c r="I1" s="2" t="s">
        <v>51</v>
      </c>
      <c r="J1" s="2" t="s">
        <v>82</v>
      </c>
      <c r="K1" s="2" t="s">
        <v>52</v>
      </c>
      <c r="L1" s="2" t="s">
        <v>82</v>
      </c>
      <c r="M1" s="2" t="s">
        <v>53</v>
      </c>
      <c r="N1" s="2" t="s">
        <v>82</v>
      </c>
      <c r="O1" s="2" t="s">
        <v>54</v>
      </c>
      <c r="P1" s="2" t="s">
        <v>82</v>
      </c>
      <c r="Q1" s="2" t="s">
        <v>55</v>
      </c>
      <c r="R1" s="2" t="s">
        <v>82</v>
      </c>
      <c r="S1" s="2" t="s">
        <v>56</v>
      </c>
      <c r="T1" s="2" t="s">
        <v>82</v>
      </c>
      <c r="U1" s="2" t="s">
        <v>57</v>
      </c>
      <c r="V1" s="2" t="s">
        <v>82</v>
      </c>
      <c r="W1" s="2" t="s">
        <v>58</v>
      </c>
      <c r="X1" s="2" t="s">
        <v>82</v>
      </c>
      <c r="Y1" s="2" t="s">
        <v>59</v>
      </c>
      <c r="Z1" s="2" t="s">
        <v>82</v>
      </c>
      <c r="AA1" s="2" t="s">
        <v>61</v>
      </c>
      <c r="AB1" s="2" t="s">
        <v>82</v>
      </c>
      <c r="AC1" s="2" t="s">
        <v>60</v>
      </c>
      <c r="AD1" s="2" t="s">
        <v>82</v>
      </c>
      <c r="AE1" s="2" t="s">
        <v>62</v>
      </c>
      <c r="AF1" s="2" t="s">
        <v>82</v>
      </c>
      <c r="AG1" s="2" t="s">
        <v>63</v>
      </c>
      <c r="AH1" s="2" t="s">
        <v>82</v>
      </c>
      <c r="AI1" s="2" t="s">
        <v>64</v>
      </c>
      <c r="AJ1" s="2" t="s">
        <v>82</v>
      </c>
    </row>
    <row r="2" spans="1:73" ht="25" customHeight="1" x14ac:dyDescent="0.2">
      <c r="A2" s="1" t="s">
        <v>1</v>
      </c>
      <c r="B2" s="1" t="s">
        <v>47</v>
      </c>
      <c r="C2" s="3">
        <f t="shared" ref="C2:C45" si="0">K2+S2+AA2+AI2</f>
        <v>7681.1149999999998</v>
      </c>
      <c r="D2" s="3">
        <f>L2+T2+AB2+AJ2</f>
        <v>145941185</v>
      </c>
      <c r="E2" s="3">
        <v>188.696</v>
      </c>
      <c r="F2" s="3">
        <f>E2*19000</f>
        <v>3585224</v>
      </c>
      <c r="G2" s="10">
        <v>231.34</v>
      </c>
      <c r="H2" s="3">
        <f>G2*19000</f>
        <v>4395460</v>
      </c>
      <c r="I2" s="3">
        <v>321.07799999999997</v>
      </c>
      <c r="J2" s="3">
        <f>I2*19000</f>
        <v>6100481.9999999991</v>
      </c>
      <c r="K2" s="3">
        <f>E2+G2+I2</f>
        <v>741.11400000000003</v>
      </c>
      <c r="L2" s="3">
        <f>K2*19000</f>
        <v>14081166</v>
      </c>
      <c r="M2" s="3">
        <v>638.54700000000003</v>
      </c>
      <c r="N2" s="3">
        <f>M2*19000</f>
        <v>12132393</v>
      </c>
      <c r="O2" s="3">
        <v>737.298</v>
      </c>
      <c r="P2" s="3">
        <f>O2*19000</f>
        <v>14008662</v>
      </c>
      <c r="Q2" s="3">
        <v>666.26199999999994</v>
      </c>
      <c r="R2" s="3">
        <f>Q2*19000</f>
        <v>12658977.999999998</v>
      </c>
      <c r="S2" s="3">
        <f>M2+O2+Q2</f>
        <v>2042.107</v>
      </c>
      <c r="T2" s="3">
        <f>S2*19000</f>
        <v>38800033</v>
      </c>
      <c r="U2" s="3">
        <v>937.3</v>
      </c>
      <c r="V2" s="3">
        <f>U2*19000</f>
        <v>17808700</v>
      </c>
      <c r="W2" s="3">
        <v>1622.1</v>
      </c>
      <c r="X2" s="3">
        <f>W2*19000</f>
        <v>30819900</v>
      </c>
      <c r="Y2" s="3">
        <v>1135.5999999999999</v>
      </c>
      <c r="Z2" s="3">
        <f>Y2*19000</f>
        <v>21576400</v>
      </c>
      <c r="AA2" s="3">
        <f>U2+W2+Y2</f>
        <v>3694.9999999999995</v>
      </c>
      <c r="AB2" s="3">
        <f>AA2*19000</f>
        <v>70204999.999999985</v>
      </c>
      <c r="AC2" s="3">
        <v>614.24400000000003</v>
      </c>
      <c r="AD2" s="3">
        <f>AC2*19000</f>
        <v>11670636</v>
      </c>
      <c r="AE2" s="6">
        <v>318.26</v>
      </c>
      <c r="AF2" s="3">
        <f>AE2*19000</f>
        <v>6046940</v>
      </c>
      <c r="AG2" s="6">
        <v>270.39</v>
      </c>
      <c r="AH2" s="3">
        <f>AG2*19000</f>
        <v>5137410</v>
      </c>
      <c r="AI2" s="3">
        <f>AC2+AE2+AG2</f>
        <v>1202.894</v>
      </c>
      <c r="AJ2" s="3">
        <f>AI2*19000</f>
        <v>22854986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ht="25" customHeight="1" x14ac:dyDescent="0.2">
      <c r="A3" s="1" t="s">
        <v>2</v>
      </c>
      <c r="B3" s="1" t="s">
        <v>47</v>
      </c>
      <c r="C3" s="3">
        <f t="shared" si="0"/>
        <v>6150.8999999999987</v>
      </c>
      <c r="D3" s="3">
        <f t="shared" ref="D3:D49" si="1">L3+T3+AB3+AJ3</f>
        <v>116867100</v>
      </c>
      <c r="E3" s="3">
        <v>273.81</v>
      </c>
      <c r="F3" s="3">
        <f t="shared" ref="F3:F45" si="2">E3*19000</f>
        <v>5202390</v>
      </c>
      <c r="G3" s="10">
        <v>212.63</v>
      </c>
      <c r="H3" s="3">
        <f t="shared" ref="H3:H45" si="3">G3*19000</f>
        <v>4039970</v>
      </c>
      <c r="I3" s="3">
        <v>337.55</v>
      </c>
      <c r="J3" s="3">
        <f t="shared" ref="J3:J45" si="4">I3*19000</f>
        <v>6413450</v>
      </c>
      <c r="K3" s="3">
        <f t="shared" ref="K3:K45" si="5">E3+G3+I3</f>
        <v>823.99</v>
      </c>
      <c r="L3" s="3">
        <f t="shared" ref="L3:L45" si="6">K3*19000</f>
        <v>15655810</v>
      </c>
      <c r="M3" s="3">
        <v>366.99</v>
      </c>
      <c r="N3" s="3">
        <f t="shared" ref="N3:N45" si="7">M3*19000</f>
        <v>6972810</v>
      </c>
      <c r="O3" s="3">
        <v>676.4</v>
      </c>
      <c r="P3" s="3">
        <f t="shared" ref="P3:P45" si="8">O3*19000</f>
        <v>12851600</v>
      </c>
      <c r="Q3" s="3">
        <v>948.06</v>
      </c>
      <c r="R3" s="3">
        <f t="shared" ref="R3:R45" si="9">Q3*19000</f>
        <v>18013140</v>
      </c>
      <c r="S3" s="3">
        <f t="shared" ref="S3:S45" si="10">M3+O3+Q3</f>
        <v>1991.4499999999998</v>
      </c>
      <c r="T3" s="3">
        <f t="shared" ref="T3:T45" si="11">S3*19000</f>
        <v>37837550</v>
      </c>
      <c r="U3" s="3">
        <v>785.06</v>
      </c>
      <c r="V3" s="3">
        <f t="shared" ref="V3:V45" si="12">U3*19000</f>
        <v>14916139.999999998</v>
      </c>
      <c r="W3" s="3">
        <v>775.52</v>
      </c>
      <c r="X3" s="3">
        <f t="shared" ref="X3:X45" si="13">W3*19000</f>
        <v>14734880</v>
      </c>
      <c r="Y3" s="3">
        <v>574.17999999999995</v>
      </c>
      <c r="Z3" s="3">
        <f t="shared" ref="Z3:Z45" si="14">Y3*19000</f>
        <v>10909419.999999998</v>
      </c>
      <c r="AA3" s="3">
        <f t="shared" ref="AA3:AA45" si="15">U3+W3+Y3</f>
        <v>2134.7599999999998</v>
      </c>
      <c r="AB3" s="3">
        <f t="shared" ref="AB3:AB45" si="16">AA3*19000</f>
        <v>40560439.999999993</v>
      </c>
      <c r="AC3" s="3">
        <v>476.06</v>
      </c>
      <c r="AD3" s="3">
        <f t="shared" ref="AD3:AD45" si="17">AC3*19000</f>
        <v>9045140</v>
      </c>
      <c r="AE3" s="3">
        <v>321.54000000000002</v>
      </c>
      <c r="AF3" s="3">
        <f t="shared" ref="AF3:AF45" si="18">AE3*19000</f>
        <v>6109260</v>
      </c>
      <c r="AG3" s="3">
        <v>403.1</v>
      </c>
      <c r="AH3" s="3">
        <f t="shared" ref="AH3:AH45" si="19">AG3*19000</f>
        <v>7658900</v>
      </c>
      <c r="AI3" s="3">
        <f t="shared" ref="AI3:AI45" si="20">AC3+AE3+AG3</f>
        <v>1200.7</v>
      </c>
      <c r="AJ3" s="3">
        <f t="shared" ref="AJ3:AJ45" si="21">AI3*19000</f>
        <v>22813300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ht="25" customHeight="1" x14ac:dyDescent="0.2">
      <c r="A4" s="1" t="s">
        <v>3</v>
      </c>
      <c r="B4" s="1" t="s">
        <v>47</v>
      </c>
      <c r="C4" s="3">
        <f t="shared" si="0"/>
        <v>290.98500000000001</v>
      </c>
      <c r="D4" s="3">
        <f t="shared" si="1"/>
        <v>5528715</v>
      </c>
      <c r="E4" s="3">
        <v>40.255000000000003</v>
      </c>
      <c r="F4" s="3">
        <f t="shared" si="2"/>
        <v>764845</v>
      </c>
      <c r="G4" s="10">
        <v>30.67</v>
      </c>
      <c r="H4" s="3">
        <f t="shared" si="3"/>
        <v>582730</v>
      </c>
      <c r="I4" s="3">
        <v>39.759</v>
      </c>
      <c r="J4" s="3">
        <f t="shared" si="4"/>
        <v>755421</v>
      </c>
      <c r="K4" s="3">
        <f t="shared" si="5"/>
        <v>110.68400000000001</v>
      </c>
      <c r="L4" s="3">
        <f t="shared" si="6"/>
        <v>2102996</v>
      </c>
      <c r="M4" s="3">
        <v>115.512</v>
      </c>
      <c r="N4" s="3">
        <f t="shared" si="7"/>
        <v>2194728</v>
      </c>
      <c r="O4" s="3">
        <v>45.521999999999998</v>
      </c>
      <c r="P4" s="3">
        <f t="shared" si="8"/>
        <v>864918</v>
      </c>
      <c r="Q4" s="3">
        <v>19.266999999999999</v>
      </c>
      <c r="R4" s="3">
        <f t="shared" si="9"/>
        <v>366073</v>
      </c>
      <c r="S4" s="3">
        <f t="shared" si="10"/>
        <v>180.30099999999999</v>
      </c>
      <c r="T4" s="3">
        <f t="shared" si="11"/>
        <v>3425718.9999999995</v>
      </c>
      <c r="U4" s="7"/>
      <c r="V4" s="3">
        <f t="shared" si="12"/>
        <v>0</v>
      </c>
      <c r="W4" s="7"/>
      <c r="X4" s="3">
        <f t="shared" si="13"/>
        <v>0</v>
      </c>
      <c r="Y4" s="7"/>
      <c r="Z4" s="3">
        <f t="shared" si="14"/>
        <v>0</v>
      </c>
      <c r="AA4" s="3">
        <f t="shared" si="15"/>
        <v>0</v>
      </c>
      <c r="AB4" s="3">
        <f t="shared" si="16"/>
        <v>0</v>
      </c>
      <c r="AC4" s="7"/>
      <c r="AD4" s="3">
        <f t="shared" si="17"/>
        <v>0</v>
      </c>
      <c r="AE4" s="7"/>
      <c r="AF4" s="3">
        <f t="shared" si="18"/>
        <v>0</v>
      </c>
      <c r="AG4" s="7"/>
      <c r="AH4" s="3">
        <f t="shared" si="19"/>
        <v>0</v>
      </c>
      <c r="AI4" s="3">
        <f t="shared" si="20"/>
        <v>0</v>
      </c>
      <c r="AJ4" s="3">
        <f t="shared" si="21"/>
        <v>0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spans="1:73" ht="25" customHeight="1" x14ac:dyDescent="0.2">
      <c r="A5" s="1" t="s">
        <v>4</v>
      </c>
      <c r="B5" s="1" t="s">
        <v>47</v>
      </c>
      <c r="C5" s="3">
        <f t="shared" si="0"/>
        <v>11910.61</v>
      </c>
      <c r="D5" s="3">
        <f t="shared" si="1"/>
        <v>226301590</v>
      </c>
      <c r="E5" s="3">
        <v>248.12</v>
      </c>
      <c r="F5" s="3">
        <f t="shared" si="2"/>
        <v>4714280</v>
      </c>
      <c r="G5" s="10">
        <v>98.99</v>
      </c>
      <c r="H5" s="3">
        <f t="shared" si="3"/>
        <v>1880810</v>
      </c>
      <c r="I5" s="3">
        <v>596.51</v>
      </c>
      <c r="J5" s="3">
        <f t="shared" si="4"/>
        <v>11333690</v>
      </c>
      <c r="K5" s="3">
        <f t="shared" si="5"/>
        <v>943.62</v>
      </c>
      <c r="L5" s="3">
        <f t="shared" si="6"/>
        <v>17928780</v>
      </c>
      <c r="M5" s="3">
        <v>1401.66</v>
      </c>
      <c r="N5" s="3">
        <f t="shared" si="7"/>
        <v>26631540</v>
      </c>
      <c r="O5" s="3">
        <v>697.17</v>
      </c>
      <c r="P5" s="3">
        <f t="shared" si="8"/>
        <v>13246230</v>
      </c>
      <c r="Q5" s="3">
        <v>373.86</v>
      </c>
      <c r="R5" s="3">
        <f t="shared" si="9"/>
        <v>7103340</v>
      </c>
      <c r="S5" s="3">
        <f t="shared" si="10"/>
        <v>2472.69</v>
      </c>
      <c r="T5" s="3">
        <f t="shared" si="11"/>
        <v>46981110</v>
      </c>
      <c r="U5" s="3">
        <v>4039.07</v>
      </c>
      <c r="V5" s="3">
        <f t="shared" si="12"/>
        <v>76742330</v>
      </c>
      <c r="W5" s="3">
        <v>1158.93</v>
      </c>
      <c r="X5" s="3">
        <f t="shared" si="13"/>
        <v>22019670</v>
      </c>
      <c r="Y5" s="3">
        <v>2002.21</v>
      </c>
      <c r="Z5" s="3">
        <f t="shared" si="14"/>
        <v>38041990</v>
      </c>
      <c r="AA5" s="3">
        <f t="shared" si="15"/>
        <v>7200.21</v>
      </c>
      <c r="AB5" s="3">
        <f t="shared" si="16"/>
        <v>136803990</v>
      </c>
      <c r="AC5" s="3">
        <v>975.22</v>
      </c>
      <c r="AD5" s="3">
        <f t="shared" si="17"/>
        <v>18529180</v>
      </c>
      <c r="AE5" s="3">
        <v>202.08</v>
      </c>
      <c r="AF5" s="3">
        <f t="shared" si="18"/>
        <v>3839520.0000000005</v>
      </c>
      <c r="AG5" s="3">
        <v>116.79</v>
      </c>
      <c r="AH5" s="3">
        <f t="shared" si="19"/>
        <v>2219010</v>
      </c>
      <c r="AI5" s="3">
        <f t="shared" si="20"/>
        <v>1294.0899999999999</v>
      </c>
      <c r="AJ5" s="3">
        <f t="shared" si="21"/>
        <v>24587710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</row>
    <row r="6" spans="1:73" ht="25" customHeight="1" x14ac:dyDescent="0.2">
      <c r="A6" s="1" t="s">
        <v>5</v>
      </c>
      <c r="B6" s="1" t="s">
        <v>47</v>
      </c>
      <c r="C6" s="3">
        <f t="shared" si="0"/>
        <v>9791.2000000000007</v>
      </c>
      <c r="D6" s="3">
        <f t="shared" si="1"/>
        <v>186032800</v>
      </c>
      <c r="E6" s="3">
        <v>1197.3</v>
      </c>
      <c r="F6" s="3">
        <f t="shared" si="2"/>
        <v>22748700</v>
      </c>
      <c r="G6" s="10">
        <v>821.5</v>
      </c>
      <c r="H6" s="3">
        <f t="shared" si="3"/>
        <v>15608500</v>
      </c>
      <c r="I6" s="3">
        <v>607</v>
      </c>
      <c r="J6" s="3">
        <f t="shared" si="4"/>
        <v>11533000</v>
      </c>
      <c r="K6" s="3">
        <f t="shared" si="5"/>
        <v>2625.8</v>
      </c>
      <c r="L6" s="3">
        <f t="shared" si="6"/>
        <v>49890200</v>
      </c>
      <c r="M6" s="3">
        <v>560.5</v>
      </c>
      <c r="N6" s="3">
        <f t="shared" si="7"/>
        <v>10649500</v>
      </c>
      <c r="O6" s="3">
        <v>985.8</v>
      </c>
      <c r="P6" s="3">
        <f t="shared" si="8"/>
        <v>18730200</v>
      </c>
      <c r="Q6" s="3">
        <v>905.9</v>
      </c>
      <c r="R6" s="3">
        <f t="shared" si="9"/>
        <v>17212100</v>
      </c>
      <c r="S6" s="3">
        <f t="shared" si="10"/>
        <v>2452.1999999999998</v>
      </c>
      <c r="T6" s="3">
        <f t="shared" si="11"/>
        <v>46591800</v>
      </c>
      <c r="U6" s="3">
        <v>796.8</v>
      </c>
      <c r="V6" s="3">
        <f t="shared" si="12"/>
        <v>15139200</v>
      </c>
      <c r="W6" s="3">
        <v>994.6</v>
      </c>
      <c r="X6" s="3">
        <f t="shared" si="13"/>
        <v>18897400</v>
      </c>
      <c r="Y6" s="3">
        <v>706.6</v>
      </c>
      <c r="Z6" s="3">
        <f t="shared" si="14"/>
        <v>13425400</v>
      </c>
      <c r="AA6" s="3">
        <f t="shared" si="15"/>
        <v>2498</v>
      </c>
      <c r="AB6" s="3">
        <f t="shared" si="16"/>
        <v>47462000</v>
      </c>
      <c r="AC6" s="3">
        <v>1121.7</v>
      </c>
      <c r="AD6" s="3">
        <f t="shared" si="17"/>
        <v>21312300</v>
      </c>
      <c r="AE6" s="6">
        <v>545</v>
      </c>
      <c r="AF6" s="3">
        <f t="shared" si="18"/>
        <v>10355000</v>
      </c>
      <c r="AG6" s="6">
        <v>548.5</v>
      </c>
      <c r="AH6" s="3">
        <f t="shared" si="19"/>
        <v>10421500</v>
      </c>
      <c r="AI6" s="3">
        <f t="shared" si="20"/>
        <v>2215.1999999999998</v>
      </c>
      <c r="AJ6" s="3">
        <f t="shared" si="21"/>
        <v>42088800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1:73" ht="25" customHeight="1" x14ac:dyDescent="0.2">
      <c r="A7" s="1" t="s">
        <v>6</v>
      </c>
      <c r="B7" s="1" t="s">
        <v>47</v>
      </c>
      <c r="C7" s="3">
        <f t="shared" si="0"/>
        <v>6596.66</v>
      </c>
      <c r="D7" s="3">
        <f t="shared" si="1"/>
        <v>125336540</v>
      </c>
      <c r="E7" s="3">
        <v>306.14</v>
      </c>
      <c r="F7" s="3">
        <f t="shared" si="2"/>
        <v>5816660</v>
      </c>
      <c r="G7" s="10">
        <v>215.62</v>
      </c>
      <c r="H7" s="3">
        <f t="shared" si="3"/>
        <v>4096780</v>
      </c>
      <c r="I7" s="3">
        <v>322.39999999999998</v>
      </c>
      <c r="J7" s="3">
        <f t="shared" si="4"/>
        <v>6125600</v>
      </c>
      <c r="K7" s="3">
        <f t="shared" si="5"/>
        <v>844.16</v>
      </c>
      <c r="L7" s="3">
        <f t="shared" si="6"/>
        <v>16039040</v>
      </c>
      <c r="M7" s="3">
        <v>313.57</v>
      </c>
      <c r="N7" s="3">
        <f t="shared" si="7"/>
        <v>5957830</v>
      </c>
      <c r="O7" s="3">
        <v>514.66</v>
      </c>
      <c r="P7" s="3">
        <f t="shared" si="8"/>
        <v>9778540</v>
      </c>
      <c r="Q7" s="3">
        <v>517.16999999999996</v>
      </c>
      <c r="R7" s="3">
        <f t="shared" si="9"/>
        <v>9826230</v>
      </c>
      <c r="S7" s="3">
        <f t="shared" si="10"/>
        <v>1345.4</v>
      </c>
      <c r="T7" s="3">
        <f t="shared" si="11"/>
        <v>25562600</v>
      </c>
      <c r="U7" s="3">
        <v>1114.67</v>
      </c>
      <c r="V7" s="3">
        <f t="shared" si="12"/>
        <v>21178730</v>
      </c>
      <c r="W7" s="3">
        <v>832.11</v>
      </c>
      <c r="X7" s="3">
        <f t="shared" si="13"/>
        <v>15810090</v>
      </c>
      <c r="Y7" s="3">
        <v>928.46</v>
      </c>
      <c r="Z7" s="3">
        <f t="shared" si="14"/>
        <v>17640740</v>
      </c>
      <c r="AA7" s="3">
        <f t="shared" si="15"/>
        <v>2875.2400000000002</v>
      </c>
      <c r="AB7" s="3">
        <f t="shared" si="16"/>
        <v>54629560.000000007</v>
      </c>
      <c r="AC7" s="3">
        <v>753.1</v>
      </c>
      <c r="AD7" s="3">
        <f t="shared" si="17"/>
        <v>14308900</v>
      </c>
      <c r="AE7" s="3">
        <v>376.8</v>
      </c>
      <c r="AF7" s="3">
        <f t="shared" si="18"/>
        <v>7159200</v>
      </c>
      <c r="AG7" s="3">
        <v>401.96</v>
      </c>
      <c r="AH7" s="3">
        <f t="shared" si="19"/>
        <v>7637240</v>
      </c>
      <c r="AI7" s="3">
        <f t="shared" si="20"/>
        <v>1531.8600000000001</v>
      </c>
      <c r="AJ7" s="3">
        <f t="shared" si="21"/>
        <v>29105340.000000004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1:73" ht="25" customHeight="1" x14ac:dyDescent="0.2">
      <c r="A8" s="1" t="s">
        <v>7</v>
      </c>
      <c r="B8" s="1" t="s">
        <v>47</v>
      </c>
      <c r="C8" s="3">
        <f t="shared" si="0"/>
        <v>4105.3900000000003</v>
      </c>
      <c r="D8" s="3">
        <f t="shared" si="1"/>
        <v>78002410</v>
      </c>
      <c r="E8" s="3">
        <v>289.02</v>
      </c>
      <c r="F8" s="3">
        <f t="shared" si="2"/>
        <v>5491380</v>
      </c>
      <c r="G8" s="10">
        <v>254.06</v>
      </c>
      <c r="H8" s="3">
        <f t="shared" si="3"/>
        <v>4827140</v>
      </c>
      <c r="I8" s="3">
        <v>195.52</v>
      </c>
      <c r="J8" s="3">
        <f t="shared" si="4"/>
        <v>3714880</v>
      </c>
      <c r="K8" s="3">
        <f t="shared" si="5"/>
        <v>738.59999999999991</v>
      </c>
      <c r="L8" s="3">
        <f t="shared" si="6"/>
        <v>14033399.999999998</v>
      </c>
      <c r="M8" s="3">
        <v>289.37</v>
      </c>
      <c r="N8" s="3">
        <f t="shared" si="7"/>
        <v>5498030</v>
      </c>
      <c r="O8" s="3">
        <v>313.49</v>
      </c>
      <c r="P8" s="3">
        <f t="shared" si="8"/>
        <v>5956310</v>
      </c>
      <c r="Q8" s="3">
        <v>236.59</v>
      </c>
      <c r="R8" s="3">
        <f t="shared" si="9"/>
        <v>4495210</v>
      </c>
      <c r="S8" s="3">
        <f t="shared" si="10"/>
        <v>839.45</v>
      </c>
      <c r="T8" s="3">
        <f t="shared" si="11"/>
        <v>15949550</v>
      </c>
      <c r="U8" s="3">
        <v>526.99</v>
      </c>
      <c r="V8" s="3">
        <f t="shared" si="12"/>
        <v>10012810</v>
      </c>
      <c r="W8" s="3">
        <v>483.47</v>
      </c>
      <c r="X8" s="3">
        <f t="shared" si="13"/>
        <v>9185930</v>
      </c>
      <c r="Y8" s="3">
        <v>448.08</v>
      </c>
      <c r="Z8" s="3">
        <f t="shared" si="14"/>
        <v>8513520</v>
      </c>
      <c r="AA8" s="3">
        <f t="shared" si="15"/>
        <v>1458.54</v>
      </c>
      <c r="AB8" s="3">
        <f t="shared" si="16"/>
        <v>27712260</v>
      </c>
      <c r="AC8" s="3">
        <v>375.35</v>
      </c>
      <c r="AD8" s="3">
        <f t="shared" si="17"/>
        <v>7131650</v>
      </c>
      <c r="AE8" s="3">
        <v>340.92</v>
      </c>
      <c r="AF8" s="3">
        <f t="shared" si="18"/>
        <v>6477480</v>
      </c>
      <c r="AG8" s="3">
        <v>352.53</v>
      </c>
      <c r="AH8" s="3">
        <f t="shared" si="19"/>
        <v>6698069.9999999991</v>
      </c>
      <c r="AI8" s="3">
        <f t="shared" si="20"/>
        <v>1068.8</v>
      </c>
      <c r="AJ8" s="3">
        <f t="shared" si="21"/>
        <v>20307200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spans="1:73" ht="25" customHeight="1" x14ac:dyDescent="0.2">
      <c r="A9" s="1" t="s">
        <v>8</v>
      </c>
      <c r="B9" s="1" t="s">
        <v>47</v>
      </c>
      <c r="C9" s="3">
        <f t="shared" si="0"/>
        <v>591.5</v>
      </c>
      <c r="D9" s="3">
        <f t="shared" si="1"/>
        <v>11238500</v>
      </c>
      <c r="E9" s="3">
        <v>25.5</v>
      </c>
      <c r="F9" s="3">
        <f t="shared" si="2"/>
        <v>484500</v>
      </c>
      <c r="G9" s="10">
        <v>38.200000000000003</v>
      </c>
      <c r="H9" s="3">
        <f t="shared" si="3"/>
        <v>725800</v>
      </c>
      <c r="I9" s="3">
        <v>54.7</v>
      </c>
      <c r="J9" s="3">
        <f t="shared" si="4"/>
        <v>1039300</v>
      </c>
      <c r="K9" s="3">
        <f t="shared" si="5"/>
        <v>118.4</v>
      </c>
      <c r="L9" s="3">
        <f t="shared" si="6"/>
        <v>2249600</v>
      </c>
      <c r="M9" s="3">
        <v>62.4</v>
      </c>
      <c r="N9" s="3">
        <f t="shared" si="7"/>
        <v>1185600</v>
      </c>
      <c r="O9" s="3">
        <v>47.3</v>
      </c>
      <c r="P9" s="3">
        <f t="shared" si="8"/>
        <v>898700</v>
      </c>
      <c r="Q9" s="3">
        <v>29.4</v>
      </c>
      <c r="R9" s="3">
        <f t="shared" si="9"/>
        <v>558600</v>
      </c>
      <c r="S9" s="3">
        <f t="shared" si="10"/>
        <v>139.1</v>
      </c>
      <c r="T9" s="3">
        <f t="shared" si="11"/>
        <v>2642900</v>
      </c>
      <c r="U9" s="3">
        <v>59.2</v>
      </c>
      <c r="V9" s="3">
        <f t="shared" si="12"/>
        <v>1124800</v>
      </c>
      <c r="W9" s="3">
        <v>63.6</v>
      </c>
      <c r="X9" s="3">
        <f t="shared" si="13"/>
        <v>1208400</v>
      </c>
      <c r="Y9" s="3">
        <v>68.7</v>
      </c>
      <c r="Z9" s="3">
        <f t="shared" si="14"/>
        <v>1305300</v>
      </c>
      <c r="AA9" s="3">
        <f t="shared" si="15"/>
        <v>191.5</v>
      </c>
      <c r="AB9" s="3">
        <f t="shared" si="16"/>
        <v>3638500</v>
      </c>
      <c r="AC9" s="3">
        <v>50</v>
      </c>
      <c r="AD9" s="3">
        <f t="shared" si="17"/>
        <v>950000</v>
      </c>
      <c r="AE9" s="6">
        <v>47.7</v>
      </c>
      <c r="AF9" s="3">
        <f t="shared" si="18"/>
        <v>906300</v>
      </c>
      <c r="AG9" s="6">
        <v>44.8</v>
      </c>
      <c r="AH9" s="3">
        <f t="shared" si="19"/>
        <v>851200</v>
      </c>
      <c r="AI9" s="3">
        <f t="shared" si="20"/>
        <v>142.5</v>
      </c>
      <c r="AJ9" s="3">
        <f t="shared" si="21"/>
        <v>2707500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</row>
    <row r="10" spans="1:73" ht="25" customHeight="1" x14ac:dyDescent="0.2">
      <c r="A10" s="1" t="s">
        <v>9</v>
      </c>
      <c r="B10" s="1" t="s">
        <v>47</v>
      </c>
      <c r="C10" s="3">
        <f t="shared" si="0"/>
        <v>2953.6499999999996</v>
      </c>
      <c r="D10" s="3">
        <f t="shared" si="1"/>
        <v>56119350</v>
      </c>
      <c r="E10" s="3">
        <v>98.01</v>
      </c>
      <c r="F10" s="3">
        <f t="shared" si="2"/>
        <v>1862190</v>
      </c>
      <c r="G10" s="10">
        <v>98.36</v>
      </c>
      <c r="H10" s="3">
        <f t="shared" si="3"/>
        <v>1868840</v>
      </c>
      <c r="I10" s="3">
        <v>48.31</v>
      </c>
      <c r="J10" s="3">
        <f t="shared" si="4"/>
        <v>917890</v>
      </c>
      <c r="K10" s="3">
        <f t="shared" si="5"/>
        <v>244.68</v>
      </c>
      <c r="L10" s="3">
        <f t="shared" si="6"/>
        <v>4648920</v>
      </c>
      <c r="M10" s="3">
        <v>174.18</v>
      </c>
      <c r="N10" s="3">
        <f t="shared" si="7"/>
        <v>3309420</v>
      </c>
      <c r="O10" s="3">
        <v>110.85</v>
      </c>
      <c r="P10" s="3">
        <f t="shared" si="8"/>
        <v>2106150</v>
      </c>
      <c r="Q10" s="3">
        <v>163.29</v>
      </c>
      <c r="R10" s="3">
        <f t="shared" si="9"/>
        <v>3102510</v>
      </c>
      <c r="S10" s="3">
        <f t="shared" si="10"/>
        <v>448.31999999999994</v>
      </c>
      <c r="T10" s="3">
        <f t="shared" si="11"/>
        <v>8518079.9999999981</v>
      </c>
      <c r="U10" s="3">
        <v>471.04</v>
      </c>
      <c r="V10" s="3">
        <f t="shared" si="12"/>
        <v>8949760</v>
      </c>
      <c r="W10" s="3">
        <v>419.21</v>
      </c>
      <c r="X10" s="3">
        <f t="shared" si="13"/>
        <v>7964990</v>
      </c>
      <c r="Y10" s="3">
        <v>336.85</v>
      </c>
      <c r="Z10" s="3">
        <f t="shared" si="14"/>
        <v>6400150</v>
      </c>
      <c r="AA10" s="3">
        <f t="shared" si="15"/>
        <v>1227.0999999999999</v>
      </c>
      <c r="AB10" s="3">
        <f t="shared" si="16"/>
        <v>23314900</v>
      </c>
      <c r="AC10" s="3">
        <v>370</v>
      </c>
      <c r="AD10" s="3">
        <f t="shared" si="17"/>
        <v>7030000</v>
      </c>
      <c r="AE10" s="3">
        <v>363.55</v>
      </c>
      <c r="AF10" s="3">
        <f t="shared" si="18"/>
        <v>6907450</v>
      </c>
      <c r="AG10" s="3">
        <v>300</v>
      </c>
      <c r="AH10" s="3">
        <f t="shared" si="19"/>
        <v>5700000</v>
      </c>
      <c r="AI10" s="3">
        <f t="shared" si="20"/>
        <v>1033.55</v>
      </c>
      <c r="AJ10" s="3">
        <f t="shared" si="21"/>
        <v>19637450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spans="1:73" ht="25" customHeight="1" x14ac:dyDescent="0.2">
      <c r="A11" s="1" t="s">
        <v>10</v>
      </c>
      <c r="B11" s="1" t="s">
        <v>47</v>
      </c>
      <c r="C11" s="3">
        <f t="shared" si="0"/>
        <v>8592.4230000000007</v>
      </c>
      <c r="D11" s="3">
        <f t="shared" si="1"/>
        <v>163256037</v>
      </c>
      <c r="E11" s="3">
        <v>1167.4649999999999</v>
      </c>
      <c r="F11" s="3">
        <f t="shared" si="2"/>
        <v>22181835</v>
      </c>
      <c r="G11" s="10">
        <v>639.33000000000004</v>
      </c>
      <c r="H11" s="3">
        <f t="shared" si="3"/>
        <v>12147270</v>
      </c>
      <c r="I11" s="3">
        <v>1382.2840000000001</v>
      </c>
      <c r="J11" s="3">
        <f t="shared" si="4"/>
        <v>26263396.000000004</v>
      </c>
      <c r="K11" s="3">
        <f t="shared" si="5"/>
        <v>3189.0790000000002</v>
      </c>
      <c r="L11" s="3">
        <f t="shared" si="6"/>
        <v>60592501</v>
      </c>
      <c r="M11" s="3">
        <v>1129.3430000000001</v>
      </c>
      <c r="N11" s="3">
        <f t="shared" si="7"/>
        <v>21457517</v>
      </c>
      <c r="O11" s="3">
        <v>883.27499999999998</v>
      </c>
      <c r="P11" s="3">
        <f t="shared" si="8"/>
        <v>16782225</v>
      </c>
      <c r="Q11" s="3">
        <v>896.16600000000005</v>
      </c>
      <c r="R11" s="3">
        <f t="shared" si="9"/>
        <v>17027154</v>
      </c>
      <c r="S11" s="3">
        <f t="shared" si="10"/>
        <v>2908.7840000000001</v>
      </c>
      <c r="T11" s="3">
        <f t="shared" si="11"/>
        <v>55266896</v>
      </c>
      <c r="U11" s="3">
        <v>925.35699999999997</v>
      </c>
      <c r="V11" s="3">
        <f t="shared" si="12"/>
        <v>17581783</v>
      </c>
      <c r="W11" s="3">
        <v>791.52499999999998</v>
      </c>
      <c r="X11" s="3">
        <f t="shared" si="13"/>
        <v>15038975</v>
      </c>
      <c r="Y11" s="3">
        <v>334.54700000000003</v>
      </c>
      <c r="Z11" s="3">
        <f t="shared" si="14"/>
        <v>6356393.0000000009</v>
      </c>
      <c r="AA11" s="3">
        <f t="shared" si="15"/>
        <v>2051.4290000000001</v>
      </c>
      <c r="AB11" s="3">
        <f t="shared" si="16"/>
        <v>38977151</v>
      </c>
      <c r="AC11" s="3">
        <v>199.03</v>
      </c>
      <c r="AD11" s="3">
        <f t="shared" si="17"/>
        <v>3781570</v>
      </c>
      <c r="AE11" s="3">
        <v>144.05000000000001</v>
      </c>
      <c r="AF11" s="3">
        <f t="shared" si="18"/>
        <v>2736950</v>
      </c>
      <c r="AG11" s="3">
        <v>100.051</v>
      </c>
      <c r="AH11" s="3">
        <f t="shared" si="19"/>
        <v>1900969</v>
      </c>
      <c r="AI11" s="3">
        <f t="shared" si="20"/>
        <v>443.13100000000003</v>
      </c>
      <c r="AJ11" s="3">
        <f t="shared" si="21"/>
        <v>8419489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spans="1:73" ht="25" customHeight="1" x14ac:dyDescent="0.2">
      <c r="A12" s="1" t="s">
        <v>11</v>
      </c>
      <c r="B12" s="1" t="s">
        <v>47</v>
      </c>
      <c r="C12" s="3">
        <f t="shared" si="0"/>
        <v>20895.099999999999</v>
      </c>
      <c r="D12" s="3">
        <f t="shared" si="1"/>
        <v>397006900</v>
      </c>
      <c r="E12" s="3">
        <v>43.71</v>
      </c>
      <c r="F12" s="3">
        <f t="shared" si="2"/>
        <v>830490</v>
      </c>
      <c r="G12" s="10">
        <v>763.88</v>
      </c>
      <c r="H12" s="3">
        <f t="shared" si="3"/>
        <v>14513720</v>
      </c>
      <c r="I12" s="3">
        <v>1575.94</v>
      </c>
      <c r="J12" s="3">
        <f t="shared" si="4"/>
        <v>29942860</v>
      </c>
      <c r="K12" s="3">
        <f t="shared" si="5"/>
        <v>2383.5300000000002</v>
      </c>
      <c r="L12" s="3">
        <f t="shared" si="6"/>
        <v>45287070.000000007</v>
      </c>
      <c r="M12" s="3">
        <v>1532.39</v>
      </c>
      <c r="N12" s="3">
        <f t="shared" si="7"/>
        <v>29115410.000000004</v>
      </c>
      <c r="O12" s="3">
        <v>1950.31</v>
      </c>
      <c r="P12" s="3">
        <f t="shared" si="8"/>
        <v>37055890</v>
      </c>
      <c r="Q12" s="3">
        <v>2475.56</v>
      </c>
      <c r="R12" s="3">
        <f t="shared" si="9"/>
        <v>47035640</v>
      </c>
      <c r="S12" s="3">
        <f t="shared" si="10"/>
        <v>5958.26</v>
      </c>
      <c r="T12" s="3">
        <f t="shared" si="11"/>
        <v>113206940</v>
      </c>
      <c r="U12" s="3">
        <v>2753.87</v>
      </c>
      <c r="V12" s="3">
        <f t="shared" si="12"/>
        <v>52323530</v>
      </c>
      <c r="W12" s="3">
        <v>2991.79</v>
      </c>
      <c r="X12" s="3">
        <f t="shared" si="13"/>
        <v>56844010</v>
      </c>
      <c r="Y12" s="3">
        <v>2431.71</v>
      </c>
      <c r="Z12" s="3">
        <f t="shared" si="14"/>
        <v>46202490</v>
      </c>
      <c r="AA12" s="3">
        <f t="shared" si="15"/>
        <v>8177.37</v>
      </c>
      <c r="AB12" s="3">
        <f t="shared" si="16"/>
        <v>155370030</v>
      </c>
      <c r="AC12" s="3">
        <v>1955.45</v>
      </c>
      <c r="AD12" s="3">
        <f t="shared" si="17"/>
        <v>37153550</v>
      </c>
      <c r="AE12" s="3">
        <v>1320.35</v>
      </c>
      <c r="AF12" s="3">
        <f t="shared" si="18"/>
        <v>25086650</v>
      </c>
      <c r="AG12" s="3">
        <v>1100.1400000000001</v>
      </c>
      <c r="AH12" s="3">
        <f t="shared" si="19"/>
        <v>20902660.000000004</v>
      </c>
      <c r="AI12" s="3">
        <f t="shared" si="20"/>
        <v>4375.9400000000005</v>
      </c>
      <c r="AJ12" s="3">
        <f t="shared" si="21"/>
        <v>83142860.000000015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spans="1:73" ht="25" customHeight="1" x14ac:dyDescent="0.2">
      <c r="A13" s="1" t="s">
        <v>12</v>
      </c>
      <c r="B13" s="1" t="s">
        <v>47</v>
      </c>
      <c r="C13" s="3">
        <f t="shared" si="0"/>
        <v>6365.4</v>
      </c>
      <c r="D13" s="3">
        <f t="shared" si="1"/>
        <v>120942600</v>
      </c>
      <c r="E13" s="3">
        <v>509</v>
      </c>
      <c r="F13" s="3">
        <f t="shared" si="2"/>
        <v>9671000</v>
      </c>
      <c r="G13" s="10">
        <v>488.9</v>
      </c>
      <c r="H13" s="3">
        <f t="shared" si="3"/>
        <v>9289100</v>
      </c>
      <c r="I13" s="3">
        <v>621.20000000000005</v>
      </c>
      <c r="J13" s="3">
        <f t="shared" si="4"/>
        <v>11802800</v>
      </c>
      <c r="K13" s="3">
        <f t="shared" si="5"/>
        <v>1619.1</v>
      </c>
      <c r="L13" s="3">
        <f t="shared" si="6"/>
        <v>30762900</v>
      </c>
      <c r="M13" s="3">
        <v>311.5</v>
      </c>
      <c r="N13" s="3">
        <f t="shared" si="7"/>
        <v>5918500</v>
      </c>
      <c r="O13" s="3">
        <v>336.4</v>
      </c>
      <c r="P13" s="3">
        <f t="shared" si="8"/>
        <v>6391600</v>
      </c>
      <c r="Q13" s="3">
        <v>336.4</v>
      </c>
      <c r="R13" s="3">
        <f t="shared" si="9"/>
        <v>6391600</v>
      </c>
      <c r="S13" s="3">
        <f t="shared" si="10"/>
        <v>984.3</v>
      </c>
      <c r="T13" s="3">
        <f t="shared" si="11"/>
        <v>18701700</v>
      </c>
      <c r="U13" s="3">
        <v>430.5</v>
      </c>
      <c r="V13" s="3">
        <f t="shared" si="12"/>
        <v>8179500</v>
      </c>
      <c r="W13" s="3">
        <v>612</v>
      </c>
      <c r="X13" s="3">
        <f t="shared" si="13"/>
        <v>11628000</v>
      </c>
      <c r="Y13" s="3">
        <v>871.2</v>
      </c>
      <c r="Z13" s="3">
        <f t="shared" si="14"/>
        <v>16552800</v>
      </c>
      <c r="AA13" s="3">
        <f t="shared" si="15"/>
        <v>1913.7</v>
      </c>
      <c r="AB13" s="3">
        <f t="shared" si="16"/>
        <v>36360300</v>
      </c>
      <c r="AC13" s="6">
        <v>511.4</v>
      </c>
      <c r="AD13" s="3">
        <f t="shared" si="17"/>
        <v>9716600</v>
      </c>
      <c r="AE13" s="6">
        <v>649.4</v>
      </c>
      <c r="AF13" s="3">
        <f t="shared" si="18"/>
        <v>12338600</v>
      </c>
      <c r="AG13" s="6">
        <v>687.5</v>
      </c>
      <c r="AH13" s="3">
        <f t="shared" si="19"/>
        <v>13062500</v>
      </c>
      <c r="AI13" s="3">
        <f t="shared" si="20"/>
        <v>1848.3</v>
      </c>
      <c r="AJ13" s="3">
        <f t="shared" si="21"/>
        <v>35117700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</row>
    <row r="14" spans="1:73" ht="25" customHeight="1" x14ac:dyDescent="0.2">
      <c r="A14" s="1" t="s">
        <v>13</v>
      </c>
      <c r="B14" s="1" t="s">
        <v>47</v>
      </c>
      <c r="C14" s="3">
        <f t="shared" si="0"/>
        <v>14517.2</v>
      </c>
      <c r="D14" s="3">
        <f t="shared" si="1"/>
        <v>275826800</v>
      </c>
      <c r="E14" s="3">
        <v>199.7</v>
      </c>
      <c r="F14" s="3">
        <f t="shared" si="2"/>
        <v>3794300</v>
      </c>
      <c r="G14" s="10">
        <v>207.5</v>
      </c>
      <c r="H14" s="3">
        <f t="shared" si="3"/>
        <v>3942500</v>
      </c>
      <c r="I14" s="3">
        <v>331.8</v>
      </c>
      <c r="J14" s="3">
        <f t="shared" si="4"/>
        <v>6304200</v>
      </c>
      <c r="K14" s="3">
        <f t="shared" si="5"/>
        <v>739</v>
      </c>
      <c r="L14" s="3">
        <f t="shared" si="6"/>
        <v>14041000</v>
      </c>
      <c r="M14" s="3">
        <v>418</v>
      </c>
      <c r="N14" s="3">
        <f t="shared" si="7"/>
        <v>7942000</v>
      </c>
      <c r="O14" s="3">
        <v>583.20000000000005</v>
      </c>
      <c r="P14" s="3">
        <f t="shared" si="8"/>
        <v>11080800</v>
      </c>
      <c r="Q14" s="3">
        <v>761.1</v>
      </c>
      <c r="R14" s="3">
        <f t="shared" si="9"/>
        <v>14460900</v>
      </c>
      <c r="S14" s="3">
        <f t="shared" si="10"/>
        <v>1762.3000000000002</v>
      </c>
      <c r="T14" s="3">
        <f t="shared" si="11"/>
        <v>33483700.000000004</v>
      </c>
      <c r="U14" s="3">
        <v>1254.8</v>
      </c>
      <c r="V14" s="3">
        <f t="shared" si="12"/>
        <v>23841200</v>
      </c>
      <c r="W14" s="3">
        <v>1832.7</v>
      </c>
      <c r="X14" s="3">
        <f t="shared" si="13"/>
        <v>34821300</v>
      </c>
      <c r="Y14" s="3">
        <v>2835.4</v>
      </c>
      <c r="Z14" s="3">
        <f t="shared" si="14"/>
        <v>53872600</v>
      </c>
      <c r="AA14" s="3">
        <f t="shared" si="15"/>
        <v>5922.9</v>
      </c>
      <c r="AB14" s="3">
        <f t="shared" si="16"/>
        <v>112535100</v>
      </c>
      <c r="AC14" s="6">
        <v>2547.5</v>
      </c>
      <c r="AD14" s="3">
        <f t="shared" si="17"/>
        <v>48402500</v>
      </c>
      <c r="AE14" s="6">
        <v>2132</v>
      </c>
      <c r="AF14" s="3">
        <f t="shared" si="18"/>
        <v>40508000</v>
      </c>
      <c r="AG14" s="6">
        <v>1413.5</v>
      </c>
      <c r="AH14" s="3">
        <f t="shared" si="19"/>
        <v>26856500</v>
      </c>
      <c r="AI14" s="3">
        <f t="shared" si="20"/>
        <v>6093</v>
      </c>
      <c r="AJ14" s="3">
        <f t="shared" si="21"/>
        <v>115767000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</row>
    <row r="15" spans="1:73" ht="25" customHeight="1" x14ac:dyDescent="0.2">
      <c r="A15" s="1" t="s">
        <v>14</v>
      </c>
      <c r="B15" s="1" t="s">
        <v>47</v>
      </c>
      <c r="C15" s="3">
        <f t="shared" si="0"/>
        <v>6964.5400000000009</v>
      </c>
      <c r="D15" s="3">
        <f t="shared" si="1"/>
        <v>132326260</v>
      </c>
      <c r="E15" s="3">
        <v>244.51</v>
      </c>
      <c r="F15" s="3">
        <f t="shared" si="2"/>
        <v>4645690</v>
      </c>
      <c r="G15" s="10">
        <v>252.17</v>
      </c>
      <c r="H15" s="3">
        <f t="shared" si="3"/>
        <v>4791230</v>
      </c>
      <c r="I15" s="3">
        <v>277.05</v>
      </c>
      <c r="J15" s="3">
        <f t="shared" si="4"/>
        <v>5263950</v>
      </c>
      <c r="K15" s="3">
        <f t="shared" si="5"/>
        <v>773.73</v>
      </c>
      <c r="L15" s="3">
        <f t="shared" si="6"/>
        <v>14700870</v>
      </c>
      <c r="M15" s="3">
        <v>342.51</v>
      </c>
      <c r="N15" s="3">
        <f t="shared" si="7"/>
        <v>6507690</v>
      </c>
      <c r="O15" s="3">
        <v>683.91</v>
      </c>
      <c r="P15" s="3">
        <f t="shared" si="8"/>
        <v>12994290</v>
      </c>
      <c r="Q15" s="3">
        <v>776.24</v>
      </c>
      <c r="R15" s="3">
        <f t="shared" si="9"/>
        <v>14748560</v>
      </c>
      <c r="S15" s="3">
        <f t="shared" si="10"/>
        <v>1802.66</v>
      </c>
      <c r="T15" s="3">
        <f t="shared" si="11"/>
        <v>34250540</v>
      </c>
      <c r="U15" s="3">
        <v>950.44</v>
      </c>
      <c r="V15" s="3">
        <f t="shared" si="12"/>
        <v>18058360</v>
      </c>
      <c r="W15" s="3">
        <v>876.17</v>
      </c>
      <c r="X15" s="3">
        <f t="shared" si="13"/>
        <v>16647230</v>
      </c>
      <c r="Y15" s="3">
        <v>760.6</v>
      </c>
      <c r="Z15" s="3">
        <f t="shared" si="14"/>
        <v>14451400</v>
      </c>
      <c r="AA15" s="3">
        <f t="shared" si="15"/>
        <v>2587.21</v>
      </c>
      <c r="AB15" s="3">
        <f t="shared" si="16"/>
        <v>49156990</v>
      </c>
      <c r="AC15" s="3">
        <v>612.91</v>
      </c>
      <c r="AD15" s="3">
        <f t="shared" si="17"/>
        <v>11645290</v>
      </c>
      <c r="AE15" s="3">
        <v>637.91999999999996</v>
      </c>
      <c r="AF15" s="3">
        <f t="shared" si="18"/>
        <v>12120480</v>
      </c>
      <c r="AG15" s="3">
        <v>550.11</v>
      </c>
      <c r="AH15" s="3">
        <f t="shared" si="19"/>
        <v>10452090</v>
      </c>
      <c r="AI15" s="3">
        <f t="shared" si="20"/>
        <v>1800.94</v>
      </c>
      <c r="AJ15" s="3">
        <f t="shared" si="21"/>
        <v>34217860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spans="1:73" ht="25" customHeight="1" x14ac:dyDescent="0.2">
      <c r="A16" s="1" t="s">
        <v>15</v>
      </c>
      <c r="B16" s="1" t="s">
        <v>47</v>
      </c>
      <c r="C16" s="6">
        <f t="shared" si="0"/>
        <v>52157.3</v>
      </c>
      <c r="D16" s="3">
        <f t="shared" si="1"/>
        <v>990988700</v>
      </c>
      <c r="E16" s="6">
        <v>6202.7</v>
      </c>
      <c r="F16" s="3">
        <f t="shared" si="2"/>
        <v>117851300</v>
      </c>
      <c r="G16" s="10">
        <v>3903.7</v>
      </c>
      <c r="H16" s="3">
        <f t="shared" si="3"/>
        <v>74170300</v>
      </c>
      <c r="I16" s="6">
        <v>3114.4</v>
      </c>
      <c r="J16" s="3">
        <f t="shared" si="4"/>
        <v>59173600</v>
      </c>
      <c r="K16" s="3">
        <f t="shared" si="5"/>
        <v>13220.8</v>
      </c>
      <c r="L16" s="3">
        <f t="shared" si="6"/>
        <v>251195200</v>
      </c>
      <c r="M16" s="6">
        <v>4436</v>
      </c>
      <c r="N16" s="3">
        <f t="shared" si="7"/>
        <v>84284000</v>
      </c>
      <c r="O16" s="6">
        <v>4907.2</v>
      </c>
      <c r="P16" s="3">
        <f t="shared" si="8"/>
        <v>93236800</v>
      </c>
      <c r="Q16" s="6">
        <v>5346.5</v>
      </c>
      <c r="R16" s="3">
        <f t="shared" si="9"/>
        <v>101583500</v>
      </c>
      <c r="S16" s="3">
        <f t="shared" si="10"/>
        <v>14689.7</v>
      </c>
      <c r="T16" s="3">
        <f t="shared" si="11"/>
        <v>279104300</v>
      </c>
      <c r="U16" s="6">
        <v>5532.7</v>
      </c>
      <c r="V16" s="3">
        <f t="shared" si="12"/>
        <v>105121300</v>
      </c>
      <c r="W16" s="6">
        <v>3630.6</v>
      </c>
      <c r="X16" s="3">
        <f t="shared" si="13"/>
        <v>68981400</v>
      </c>
      <c r="Y16" s="6">
        <v>4316.7</v>
      </c>
      <c r="Z16" s="3">
        <f t="shared" si="14"/>
        <v>82017300</v>
      </c>
      <c r="AA16" s="3">
        <f t="shared" si="15"/>
        <v>13480</v>
      </c>
      <c r="AB16" s="3">
        <f t="shared" si="16"/>
        <v>256120000</v>
      </c>
      <c r="AC16" s="6">
        <v>5041.1000000000004</v>
      </c>
      <c r="AD16" s="3">
        <f t="shared" si="17"/>
        <v>95780900</v>
      </c>
      <c r="AE16" s="6">
        <v>5725.7</v>
      </c>
      <c r="AF16" s="3">
        <f t="shared" si="18"/>
        <v>108788300</v>
      </c>
      <c r="AG16" s="7"/>
      <c r="AH16" s="3">
        <f t="shared" si="19"/>
        <v>0</v>
      </c>
      <c r="AI16" s="3">
        <f t="shared" si="20"/>
        <v>10766.8</v>
      </c>
      <c r="AJ16" s="3">
        <f t="shared" si="21"/>
        <v>204569200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spans="1:73" ht="25" customHeight="1" x14ac:dyDescent="0.2">
      <c r="A17" s="1" t="s">
        <v>16</v>
      </c>
      <c r="B17" s="1" t="s">
        <v>47</v>
      </c>
      <c r="C17" s="3">
        <f t="shared" si="0"/>
        <v>4947.1099999999997</v>
      </c>
      <c r="D17" s="3">
        <f t="shared" si="1"/>
        <v>93995090</v>
      </c>
      <c r="E17" s="3">
        <v>8.8699999999999992</v>
      </c>
      <c r="F17" s="3">
        <f t="shared" si="2"/>
        <v>168529.99999999997</v>
      </c>
      <c r="G17" s="10">
        <v>22.73</v>
      </c>
      <c r="H17" s="3">
        <f t="shared" si="3"/>
        <v>431870</v>
      </c>
      <c r="I17" s="3">
        <v>17.920000000000002</v>
      </c>
      <c r="J17" s="3">
        <f t="shared" si="4"/>
        <v>340480.00000000006</v>
      </c>
      <c r="K17" s="3">
        <f t="shared" si="5"/>
        <v>49.52</v>
      </c>
      <c r="L17" s="3">
        <f t="shared" si="6"/>
        <v>940880.00000000012</v>
      </c>
      <c r="M17" s="3">
        <v>35.31</v>
      </c>
      <c r="N17" s="3">
        <f t="shared" si="7"/>
        <v>670890</v>
      </c>
      <c r="O17" s="3">
        <v>33.409999999999997</v>
      </c>
      <c r="P17" s="3">
        <f t="shared" si="8"/>
        <v>634789.99999999988</v>
      </c>
      <c r="Q17" s="3">
        <v>707.59</v>
      </c>
      <c r="R17" s="3">
        <f t="shared" si="9"/>
        <v>13444210</v>
      </c>
      <c r="S17" s="3">
        <f t="shared" si="10"/>
        <v>776.31000000000006</v>
      </c>
      <c r="T17" s="3">
        <f t="shared" si="11"/>
        <v>14749890.000000002</v>
      </c>
      <c r="U17" s="3">
        <v>1077.8399999999999</v>
      </c>
      <c r="V17" s="3">
        <f t="shared" si="12"/>
        <v>20478960</v>
      </c>
      <c r="W17" s="3">
        <v>814.72</v>
      </c>
      <c r="X17" s="3">
        <f t="shared" si="13"/>
        <v>15479680</v>
      </c>
      <c r="Y17" s="3">
        <v>508.98</v>
      </c>
      <c r="Z17" s="3">
        <f t="shared" si="14"/>
        <v>9670620</v>
      </c>
      <c r="AA17" s="3">
        <f t="shared" si="15"/>
        <v>2401.54</v>
      </c>
      <c r="AB17" s="3">
        <f t="shared" si="16"/>
        <v>45629260</v>
      </c>
      <c r="AC17" s="3">
        <v>469.93</v>
      </c>
      <c r="AD17" s="3">
        <f t="shared" si="17"/>
        <v>8928670</v>
      </c>
      <c r="AE17" s="3">
        <v>625</v>
      </c>
      <c r="AF17" s="3">
        <f t="shared" si="18"/>
        <v>11875000</v>
      </c>
      <c r="AG17" s="3">
        <v>624.80999999999995</v>
      </c>
      <c r="AH17" s="3">
        <f t="shared" si="19"/>
        <v>11871389.999999998</v>
      </c>
      <c r="AI17" s="3">
        <f t="shared" si="20"/>
        <v>1719.74</v>
      </c>
      <c r="AJ17" s="3">
        <f t="shared" si="21"/>
        <v>32675060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</row>
    <row r="18" spans="1:73" ht="25" customHeight="1" x14ac:dyDescent="0.2">
      <c r="A18" s="1" t="s">
        <v>17</v>
      </c>
      <c r="B18" s="1" t="s">
        <v>47</v>
      </c>
      <c r="C18" s="3">
        <f t="shared" si="0"/>
        <v>4426.32</v>
      </c>
      <c r="D18" s="3">
        <f t="shared" si="1"/>
        <v>84100080</v>
      </c>
      <c r="E18" s="3">
        <v>117.17</v>
      </c>
      <c r="F18" s="3">
        <f t="shared" si="2"/>
        <v>2226230</v>
      </c>
      <c r="G18" s="10">
        <v>67.400000000000006</v>
      </c>
      <c r="H18" s="3">
        <f t="shared" si="3"/>
        <v>1280600</v>
      </c>
      <c r="I18" s="3">
        <v>112.47</v>
      </c>
      <c r="J18" s="3">
        <f t="shared" si="4"/>
        <v>2136930</v>
      </c>
      <c r="K18" s="3">
        <f t="shared" si="5"/>
        <v>297.03999999999996</v>
      </c>
      <c r="L18" s="3">
        <f t="shared" si="6"/>
        <v>5643759.9999999991</v>
      </c>
      <c r="M18" s="3">
        <v>60.91</v>
      </c>
      <c r="N18" s="3">
        <f t="shared" si="7"/>
        <v>1157290</v>
      </c>
      <c r="O18" s="3">
        <v>112.75</v>
      </c>
      <c r="P18" s="3">
        <f t="shared" si="8"/>
        <v>2142250</v>
      </c>
      <c r="Q18" s="3">
        <v>508.94</v>
      </c>
      <c r="R18" s="3">
        <f t="shared" si="9"/>
        <v>9669860</v>
      </c>
      <c r="S18" s="3">
        <f t="shared" si="10"/>
        <v>682.6</v>
      </c>
      <c r="T18" s="3">
        <f t="shared" si="11"/>
        <v>12969400</v>
      </c>
      <c r="U18" s="3">
        <v>612.86</v>
      </c>
      <c r="V18" s="3">
        <f t="shared" si="12"/>
        <v>11644340</v>
      </c>
      <c r="W18" s="3">
        <v>872.26</v>
      </c>
      <c r="X18" s="3">
        <f t="shared" si="13"/>
        <v>16572940</v>
      </c>
      <c r="Y18" s="3">
        <v>470.05</v>
      </c>
      <c r="Z18" s="3">
        <f t="shared" si="14"/>
        <v>8930950</v>
      </c>
      <c r="AA18" s="3">
        <f t="shared" si="15"/>
        <v>1955.1699999999998</v>
      </c>
      <c r="AB18" s="3">
        <f t="shared" si="16"/>
        <v>37148230</v>
      </c>
      <c r="AC18" s="3">
        <v>325.2</v>
      </c>
      <c r="AD18" s="3">
        <f t="shared" si="17"/>
        <v>6178800</v>
      </c>
      <c r="AE18" s="3">
        <v>559.11</v>
      </c>
      <c r="AF18" s="3">
        <f t="shared" si="18"/>
        <v>10623090</v>
      </c>
      <c r="AG18" s="3">
        <v>607.20000000000005</v>
      </c>
      <c r="AH18" s="3">
        <f t="shared" si="19"/>
        <v>11536800</v>
      </c>
      <c r="AI18" s="3">
        <f t="shared" si="20"/>
        <v>1491.51</v>
      </c>
      <c r="AJ18" s="3">
        <f t="shared" si="21"/>
        <v>28338690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spans="1:73" ht="25" customHeight="1" x14ac:dyDescent="0.2">
      <c r="A19" s="1" t="s">
        <v>18</v>
      </c>
      <c r="B19" s="1" t="s">
        <v>48</v>
      </c>
      <c r="C19" s="3">
        <f t="shared" si="0"/>
        <v>10579.619999999999</v>
      </c>
      <c r="D19" s="3">
        <f t="shared" si="1"/>
        <v>201012780</v>
      </c>
      <c r="E19" s="3">
        <v>586.21</v>
      </c>
      <c r="F19" s="3">
        <f t="shared" si="2"/>
        <v>11137990</v>
      </c>
      <c r="G19" s="10">
        <v>683.91</v>
      </c>
      <c r="H19" s="3">
        <f t="shared" si="3"/>
        <v>12994290</v>
      </c>
      <c r="I19" s="3">
        <v>683.91</v>
      </c>
      <c r="J19" s="3">
        <f t="shared" si="4"/>
        <v>12994290</v>
      </c>
      <c r="K19" s="3">
        <f t="shared" si="5"/>
        <v>1954.0299999999997</v>
      </c>
      <c r="L19" s="3">
        <f t="shared" si="6"/>
        <v>37126569.999999993</v>
      </c>
      <c r="M19" s="3">
        <v>781.61</v>
      </c>
      <c r="N19" s="3">
        <f t="shared" si="7"/>
        <v>14850590</v>
      </c>
      <c r="O19" s="3">
        <v>879.31</v>
      </c>
      <c r="P19" s="3">
        <f t="shared" si="8"/>
        <v>16706889.999999998</v>
      </c>
      <c r="Q19" s="3">
        <v>977.01</v>
      </c>
      <c r="R19" s="3">
        <f t="shared" si="9"/>
        <v>18563190</v>
      </c>
      <c r="S19" s="3">
        <f t="shared" si="10"/>
        <v>2637.9300000000003</v>
      </c>
      <c r="T19" s="3">
        <f t="shared" si="11"/>
        <v>50120670.000000007</v>
      </c>
      <c r="U19" s="3">
        <v>1074.72</v>
      </c>
      <c r="V19" s="3">
        <f t="shared" si="12"/>
        <v>20419680</v>
      </c>
      <c r="W19" s="3">
        <v>1074.72</v>
      </c>
      <c r="X19" s="3">
        <f t="shared" si="13"/>
        <v>20419680</v>
      </c>
      <c r="Y19" s="3">
        <v>977.02</v>
      </c>
      <c r="Z19" s="3">
        <f t="shared" si="14"/>
        <v>18563380</v>
      </c>
      <c r="AA19" s="3">
        <f t="shared" si="15"/>
        <v>3126.46</v>
      </c>
      <c r="AB19" s="3">
        <f t="shared" si="16"/>
        <v>59402740</v>
      </c>
      <c r="AC19" s="3">
        <v>898.86</v>
      </c>
      <c r="AD19" s="3">
        <f t="shared" si="17"/>
        <v>17078340</v>
      </c>
      <c r="AE19" s="3">
        <v>1082.3399999999999</v>
      </c>
      <c r="AF19" s="3">
        <f t="shared" si="18"/>
        <v>20564460</v>
      </c>
      <c r="AG19" s="3">
        <v>880</v>
      </c>
      <c r="AH19" s="3">
        <f t="shared" si="19"/>
        <v>16720000</v>
      </c>
      <c r="AI19" s="3">
        <f t="shared" si="20"/>
        <v>2861.2</v>
      </c>
      <c r="AJ19" s="3">
        <f t="shared" si="21"/>
        <v>54362800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ht="25" customHeight="1" x14ac:dyDescent="0.2">
      <c r="A20" s="1" t="s">
        <v>19</v>
      </c>
      <c r="B20" s="1" t="s">
        <v>48</v>
      </c>
      <c r="C20" s="3">
        <f t="shared" si="0"/>
        <v>19607.55</v>
      </c>
      <c r="D20" s="3">
        <f t="shared" si="1"/>
        <v>372543450</v>
      </c>
      <c r="E20" s="3">
        <v>1481.4</v>
      </c>
      <c r="F20" s="3">
        <f t="shared" si="2"/>
        <v>28146600</v>
      </c>
      <c r="G20" s="10">
        <v>1304.5</v>
      </c>
      <c r="H20" s="3">
        <f t="shared" si="3"/>
        <v>24785500</v>
      </c>
      <c r="I20" s="3">
        <v>1423.65</v>
      </c>
      <c r="J20" s="3">
        <f t="shared" si="4"/>
        <v>27049350</v>
      </c>
      <c r="K20" s="3">
        <f t="shared" si="5"/>
        <v>4209.55</v>
      </c>
      <c r="L20" s="3">
        <f t="shared" si="6"/>
        <v>79981450</v>
      </c>
      <c r="M20" s="3">
        <v>1613.2</v>
      </c>
      <c r="N20" s="3">
        <f t="shared" si="7"/>
        <v>30650800</v>
      </c>
      <c r="O20" s="3">
        <v>1528.8</v>
      </c>
      <c r="P20" s="3">
        <f t="shared" si="8"/>
        <v>29047200</v>
      </c>
      <c r="Q20" s="3">
        <v>1591.7</v>
      </c>
      <c r="R20" s="3">
        <f t="shared" si="9"/>
        <v>30242300</v>
      </c>
      <c r="S20" s="3">
        <f t="shared" si="10"/>
        <v>4733.7</v>
      </c>
      <c r="T20" s="3">
        <f t="shared" si="11"/>
        <v>89940300</v>
      </c>
      <c r="U20" s="3">
        <v>2003.8</v>
      </c>
      <c r="V20" s="3">
        <f t="shared" si="12"/>
        <v>38072200</v>
      </c>
      <c r="W20" s="3">
        <v>1710.2</v>
      </c>
      <c r="X20" s="3">
        <f t="shared" si="13"/>
        <v>32493800</v>
      </c>
      <c r="Y20" s="3">
        <v>2032.4</v>
      </c>
      <c r="Z20" s="3">
        <f t="shared" si="14"/>
        <v>38615600</v>
      </c>
      <c r="AA20" s="3">
        <f t="shared" si="15"/>
        <v>5746.4</v>
      </c>
      <c r="AB20" s="3">
        <f t="shared" si="16"/>
        <v>109181600</v>
      </c>
      <c r="AC20" s="6">
        <v>1616.7</v>
      </c>
      <c r="AD20" s="3">
        <f t="shared" si="17"/>
        <v>30717300</v>
      </c>
      <c r="AE20" s="6">
        <v>1601.6</v>
      </c>
      <c r="AF20" s="3">
        <f t="shared" si="18"/>
        <v>30430400</v>
      </c>
      <c r="AG20" s="6">
        <v>1699.6</v>
      </c>
      <c r="AH20" s="3">
        <f t="shared" si="19"/>
        <v>32292400</v>
      </c>
      <c r="AI20" s="3">
        <f t="shared" si="20"/>
        <v>4917.8999999999996</v>
      </c>
      <c r="AJ20" s="3">
        <f t="shared" si="21"/>
        <v>93440100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3" ht="25" customHeight="1" x14ac:dyDescent="0.2">
      <c r="A21" s="1" t="s">
        <v>20</v>
      </c>
      <c r="B21" s="1" t="s">
        <v>48</v>
      </c>
      <c r="C21" s="3">
        <f t="shared" si="0"/>
        <v>35233.4</v>
      </c>
      <c r="D21" s="3">
        <f t="shared" si="1"/>
        <v>669434600</v>
      </c>
      <c r="E21" s="3">
        <v>3019.7</v>
      </c>
      <c r="F21" s="3">
        <f t="shared" si="2"/>
        <v>57374300</v>
      </c>
      <c r="G21" s="10">
        <v>3342.9</v>
      </c>
      <c r="H21" s="3">
        <f t="shared" si="3"/>
        <v>63515100</v>
      </c>
      <c r="I21" s="3">
        <v>3112.8</v>
      </c>
      <c r="J21" s="3">
        <f t="shared" si="4"/>
        <v>59143200</v>
      </c>
      <c r="K21" s="3">
        <f t="shared" si="5"/>
        <v>9475.4000000000015</v>
      </c>
      <c r="L21" s="3">
        <f t="shared" si="6"/>
        <v>180032600.00000003</v>
      </c>
      <c r="M21" s="3">
        <v>2919.3</v>
      </c>
      <c r="N21" s="3">
        <f t="shared" si="7"/>
        <v>55466700</v>
      </c>
      <c r="O21" s="3">
        <v>2953.2</v>
      </c>
      <c r="P21" s="3">
        <f t="shared" si="8"/>
        <v>56110800</v>
      </c>
      <c r="Q21" s="3">
        <v>2755.4</v>
      </c>
      <c r="R21" s="3">
        <f t="shared" si="9"/>
        <v>52352600</v>
      </c>
      <c r="S21" s="3">
        <f t="shared" si="10"/>
        <v>8627.9</v>
      </c>
      <c r="T21" s="3">
        <f t="shared" si="11"/>
        <v>163930100</v>
      </c>
      <c r="U21" s="3">
        <v>2909.8</v>
      </c>
      <c r="V21" s="3">
        <f t="shared" si="12"/>
        <v>55286200</v>
      </c>
      <c r="W21" s="3">
        <v>3057.2</v>
      </c>
      <c r="X21" s="3">
        <f t="shared" si="13"/>
        <v>58086800</v>
      </c>
      <c r="Y21" s="3">
        <v>3184.1</v>
      </c>
      <c r="Z21" s="3">
        <f t="shared" si="14"/>
        <v>60497900</v>
      </c>
      <c r="AA21" s="3">
        <f t="shared" si="15"/>
        <v>9151.1</v>
      </c>
      <c r="AB21" s="3">
        <f t="shared" si="16"/>
        <v>173870900</v>
      </c>
      <c r="AC21" s="6">
        <v>2964.8</v>
      </c>
      <c r="AD21" s="3">
        <f t="shared" si="17"/>
        <v>56331200</v>
      </c>
      <c r="AE21" s="6">
        <v>2599.6999999999998</v>
      </c>
      <c r="AF21" s="3">
        <f t="shared" si="18"/>
        <v>49394300</v>
      </c>
      <c r="AG21" s="6">
        <v>2414.5</v>
      </c>
      <c r="AH21" s="3">
        <f t="shared" si="19"/>
        <v>45875500</v>
      </c>
      <c r="AI21" s="3">
        <f t="shared" si="20"/>
        <v>7979</v>
      </c>
      <c r="AJ21" s="3">
        <f t="shared" si="21"/>
        <v>151601000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spans="1:73" ht="25" customHeight="1" x14ac:dyDescent="0.2">
      <c r="A22" s="1" t="s">
        <v>21</v>
      </c>
      <c r="B22" s="1" t="s">
        <v>48</v>
      </c>
      <c r="C22" s="3">
        <f t="shared" si="0"/>
        <v>8005.9700000000012</v>
      </c>
      <c r="D22" s="3">
        <f t="shared" si="1"/>
        <v>152113430</v>
      </c>
      <c r="E22" s="3">
        <v>251.05</v>
      </c>
      <c r="F22" s="3">
        <f t="shared" si="2"/>
        <v>4769950</v>
      </c>
      <c r="G22" s="10">
        <v>273.22000000000003</v>
      </c>
      <c r="H22" s="3">
        <f t="shared" si="3"/>
        <v>5191180.0000000009</v>
      </c>
      <c r="I22" s="3">
        <v>318.04000000000002</v>
      </c>
      <c r="J22" s="3">
        <f t="shared" si="4"/>
        <v>6042760</v>
      </c>
      <c r="K22" s="3">
        <f t="shared" si="5"/>
        <v>842.31</v>
      </c>
      <c r="L22" s="3">
        <f t="shared" si="6"/>
        <v>16003889.999999998</v>
      </c>
      <c r="M22" s="3">
        <v>431.72</v>
      </c>
      <c r="N22" s="3">
        <f t="shared" si="7"/>
        <v>8202680.0000000009</v>
      </c>
      <c r="O22" s="3">
        <v>471.02</v>
      </c>
      <c r="P22" s="3">
        <f t="shared" si="8"/>
        <v>8949380</v>
      </c>
      <c r="Q22" s="3">
        <v>727.21</v>
      </c>
      <c r="R22" s="3">
        <f t="shared" si="9"/>
        <v>13816990</v>
      </c>
      <c r="S22" s="3">
        <f t="shared" si="10"/>
        <v>1629.95</v>
      </c>
      <c r="T22" s="3">
        <f t="shared" si="11"/>
        <v>30969050</v>
      </c>
      <c r="U22" s="3">
        <v>903.51</v>
      </c>
      <c r="V22" s="3">
        <f t="shared" si="12"/>
        <v>17166690</v>
      </c>
      <c r="W22" s="3">
        <v>977.93</v>
      </c>
      <c r="X22" s="3">
        <f t="shared" si="13"/>
        <v>18580670</v>
      </c>
      <c r="Y22" s="3">
        <v>941.17</v>
      </c>
      <c r="Z22" s="3">
        <f t="shared" si="14"/>
        <v>17882230</v>
      </c>
      <c r="AA22" s="3">
        <f t="shared" si="15"/>
        <v>2822.61</v>
      </c>
      <c r="AB22" s="3">
        <f t="shared" si="16"/>
        <v>53629590</v>
      </c>
      <c r="AC22" s="3">
        <v>947.8</v>
      </c>
      <c r="AD22" s="3">
        <f t="shared" si="17"/>
        <v>18008200</v>
      </c>
      <c r="AE22" s="3">
        <v>913.2</v>
      </c>
      <c r="AF22" s="3">
        <f t="shared" si="18"/>
        <v>17350800</v>
      </c>
      <c r="AG22" s="3">
        <v>850.1</v>
      </c>
      <c r="AH22" s="3">
        <f t="shared" si="19"/>
        <v>16151900</v>
      </c>
      <c r="AI22" s="3">
        <f t="shared" si="20"/>
        <v>2711.1</v>
      </c>
      <c r="AJ22" s="3">
        <f t="shared" si="21"/>
        <v>51510900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</row>
    <row r="23" spans="1:73" ht="25" customHeight="1" x14ac:dyDescent="0.2">
      <c r="A23" s="1" t="s">
        <v>22</v>
      </c>
      <c r="B23" s="1" t="s">
        <v>48</v>
      </c>
      <c r="C23" s="3">
        <f t="shared" si="0"/>
        <v>47886.64</v>
      </c>
      <c r="D23" s="3">
        <f t="shared" si="1"/>
        <v>909846160</v>
      </c>
      <c r="E23" s="3">
        <v>3867.5</v>
      </c>
      <c r="F23" s="3">
        <f t="shared" si="2"/>
        <v>73482500</v>
      </c>
      <c r="G23" s="10">
        <v>4652.5</v>
      </c>
      <c r="H23" s="3">
        <f t="shared" si="3"/>
        <v>88397500</v>
      </c>
      <c r="I23" s="3">
        <v>4694.54</v>
      </c>
      <c r="J23" s="3">
        <f t="shared" si="4"/>
        <v>89196260</v>
      </c>
      <c r="K23" s="3">
        <f t="shared" si="5"/>
        <v>13214.54</v>
      </c>
      <c r="L23" s="3">
        <f t="shared" si="6"/>
        <v>251076260.00000003</v>
      </c>
      <c r="M23" s="3">
        <v>3944.36</v>
      </c>
      <c r="N23" s="3">
        <f t="shared" si="7"/>
        <v>74942840</v>
      </c>
      <c r="O23" s="3">
        <v>4380.58</v>
      </c>
      <c r="P23" s="3">
        <f t="shared" si="8"/>
        <v>83231020</v>
      </c>
      <c r="Q23" s="3">
        <v>4811.41</v>
      </c>
      <c r="R23" s="3">
        <f t="shared" si="9"/>
        <v>91416790</v>
      </c>
      <c r="S23" s="3">
        <f t="shared" si="10"/>
        <v>13136.35</v>
      </c>
      <c r="T23" s="3">
        <f t="shared" si="11"/>
        <v>249590650</v>
      </c>
      <c r="U23" s="6">
        <v>3947.37</v>
      </c>
      <c r="V23" s="6">
        <f t="shared" si="12"/>
        <v>75000030</v>
      </c>
      <c r="W23" s="6">
        <v>4587.99</v>
      </c>
      <c r="X23" s="6">
        <f t="shared" si="13"/>
        <v>87171810</v>
      </c>
      <c r="Y23" s="6">
        <v>4569.55</v>
      </c>
      <c r="Z23" s="6">
        <f t="shared" si="14"/>
        <v>86821450</v>
      </c>
      <c r="AA23" s="6">
        <f t="shared" si="15"/>
        <v>13104.91</v>
      </c>
      <c r="AB23" s="6">
        <f t="shared" si="16"/>
        <v>248993290</v>
      </c>
      <c r="AC23" s="6">
        <v>4138.6899999999996</v>
      </c>
      <c r="AD23" s="6">
        <f t="shared" si="17"/>
        <v>78635109.999999985</v>
      </c>
      <c r="AE23" s="6">
        <v>4292.1499999999996</v>
      </c>
      <c r="AF23" s="3">
        <f t="shared" si="18"/>
        <v>81550850</v>
      </c>
      <c r="AG23" s="7"/>
      <c r="AH23" s="3">
        <f t="shared" si="19"/>
        <v>0</v>
      </c>
      <c r="AI23" s="3">
        <f t="shared" si="20"/>
        <v>8430.84</v>
      </c>
      <c r="AJ23" s="3">
        <f t="shared" si="21"/>
        <v>160185960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spans="1:73" ht="25" customHeight="1" x14ac:dyDescent="0.2">
      <c r="A24" s="1" t="s">
        <v>23</v>
      </c>
      <c r="B24" s="1" t="s">
        <v>48</v>
      </c>
      <c r="C24" s="3">
        <f t="shared" si="0"/>
        <v>55988.099999999991</v>
      </c>
      <c r="D24" s="3">
        <f t="shared" si="1"/>
        <v>1063773900</v>
      </c>
      <c r="E24" s="3">
        <v>4830.2299999999996</v>
      </c>
      <c r="F24" s="3">
        <f t="shared" si="2"/>
        <v>91774369.999999985</v>
      </c>
      <c r="G24" s="10">
        <v>3997</v>
      </c>
      <c r="H24" s="3">
        <f t="shared" si="3"/>
        <v>75943000</v>
      </c>
      <c r="I24" s="3">
        <v>5393</v>
      </c>
      <c r="J24" s="3">
        <f t="shared" si="4"/>
        <v>102467000</v>
      </c>
      <c r="K24" s="3">
        <f t="shared" si="5"/>
        <v>14220.23</v>
      </c>
      <c r="L24" s="3">
        <f t="shared" si="6"/>
        <v>270184370</v>
      </c>
      <c r="M24" s="3">
        <v>3328</v>
      </c>
      <c r="N24" s="3">
        <f t="shared" si="7"/>
        <v>63232000</v>
      </c>
      <c r="O24" s="3">
        <v>4380</v>
      </c>
      <c r="P24" s="3">
        <f t="shared" si="8"/>
        <v>83220000</v>
      </c>
      <c r="Q24" s="3">
        <v>2801</v>
      </c>
      <c r="R24" s="3">
        <f t="shared" si="9"/>
        <v>53219000</v>
      </c>
      <c r="S24" s="3">
        <f t="shared" si="10"/>
        <v>10509</v>
      </c>
      <c r="T24" s="3">
        <f t="shared" si="11"/>
        <v>199671000</v>
      </c>
      <c r="U24" s="3">
        <v>3528</v>
      </c>
      <c r="V24" s="3">
        <f t="shared" si="12"/>
        <v>67032000</v>
      </c>
      <c r="W24" s="3">
        <v>4588</v>
      </c>
      <c r="X24" s="3">
        <f t="shared" si="13"/>
        <v>87172000</v>
      </c>
      <c r="Y24" s="3">
        <v>4929</v>
      </c>
      <c r="Z24" s="3">
        <f t="shared" si="14"/>
        <v>93651000</v>
      </c>
      <c r="AA24" s="3">
        <f t="shared" si="15"/>
        <v>13045</v>
      </c>
      <c r="AB24" s="3">
        <f t="shared" si="16"/>
        <v>247855000</v>
      </c>
      <c r="AC24" s="3">
        <v>5280</v>
      </c>
      <c r="AD24" s="3">
        <f t="shared" si="17"/>
        <v>100320000</v>
      </c>
      <c r="AE24" s="3">
        <v>6398</v>
      </c>
      <c r="AF24" s="3">
        <f t="shared" si="18"/>
        <v>121562000</v>
      </c>
      <c r="AG24" s="3">
        <v>6535.87</v>
      </c>
      <c r="AH24" s="3">
        <f t="shared" si="19"/>
        <v>124181530</v>
      </c>
      <c r="AI24" s="3">
        <f t="shared" si="20"/>
        <v>18213.87</v>
      </c>
      <c r="AJ24" s="3">
        <f t="shared" si="21"/>
        <v>346063530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</row>
    <row r="25" spans="1:73" ht="25" customHeight="1" x14ac:dyDescent="0.2">
      <c r="A25" s="1" t="s">
        <v>24</v>
      </c>
      <c r="B25" s="1" t="s">
        <v>48</v>
      </c>
      <c r="C25" s="3">
        <f t="shared" si="0"/>
        <v>9905.2999999999993</v>
      </c>
      <c r="D25" s="3">
        <f t="shared" si="1"/>
        <v>188200700</v>
      </c>
      <c r="E25" s="3">
        <v>469.4</v>
      </c>
      <c r="F25" s="3">
        <f t="shared" si="2"/>
        <v>8918600</v>
      </c>
      <c r="G25" s="10">
        <v>605.5</v>
      </c>
      <c r="H25" s="3">
        <f t="shared" si="3"/>
        <v>11504500</v>
      </c>
      <c r="I25" s="3">
        <v>847.4</v>
      </c>
      <c r="J25" s="3">
        <f t="shared" si="4"/>
        <v>16100600</v>
      </c>
      <c r="K25" s="3">
        <f t="shared" si="5"/>
        <v>1922.3000000000002</v>
      </c>
      <c r="L25" s="3">
        <f t="shared" si="6"/>
        <v>36523700</v>
      </c>
      <c r="M25" s="3">
        <v>819.7</v>
      </c>
      <c r="N25" s="3">
        <f t="shared" si="7"/>
        <v>15574300</v>
      </c>
      <c r="O25" s="3">
        <v>814.2</v>
      </c>
      <c r="P25" s="3">
        <f t="shared" si="8"/>
        <v>15469800</v>
      </c>
      <c r="Q25" s="3">
        <v>570.6</v>
      </c>
      <c r="R25" s="3">
        <f t="shared" si="9"/>
        <v>10841400</v>
      </c>
      <c r="S25" s="3">
        <f t="shared" si="10"/>
        <v>2204.5</v>
      </c>
      <c r="T25" s="3">
        <f t="shared" si="11"/>
        <v>41885500</v>
      </c>
      <c r="U25" s="3">
        <v>636.29999999999995</v>
      </c>
      <c r="V25" s="3">
        <f t="shared" si="12"/>
        <v>12089700</v>
      </c>
      <c r="W25" s="3">
        <v>951</v>
      </c>
      <c r="X25" s="3">
        <f t="shared" si="13"/>
        <v>18069000</v>
      </c>
      <c r="Y25" s="3">
        <v>1273.9000000000001</v>
      </c>
      <c r="Z25" s="3">
        <f t="shared" si="14"/>
        <v>24204100</v>
      </c>
      <c r="AA25" s="3">
        <f t="shared" si="15"/>
        <v>2861.2</v>
      </c>
      <c r="AB25" s="3">
        <f t="shared" si="16"/>
        <v>54362800</v>
      </c>
      <c r="AC25" s="3">
        <v>1069.7</v>
      </c>
      <c r="AD25" s="3">
        <f t="shared" si="17"/>
        <v>20324300</v>
      </c>
      <c r="AE25" s="6">
        <v>971.1</v>
      </c>
      <c r="AF25" s="3">
        <f t="shared" si="18"/>
        <v>18450900</v>
      </c>
      <c r="AG25" s="6">
        <v>876.5</v>
      </c>
      <c r="AH25" s="3">
        <f t="shared" si="19"/>
        <v>16653500</v>
      </c>
      <c r="AI25" s="3">
        <f t="shared" si="20"/>
        <v>2917.3</v>
      </c>
      <c r="AJ25" s="3">
        <f t="shared" si="21"/>
        <v>55428700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</row>
    <row r="26" spans="1:73" ht="25" customHeight="1" x14ac:dyDescent="0.2">
      <c r="A26" s="1" t="s">
        <v>25</v>
      </c>
      <c r="B26" s="1" t="s">
        <v>48</v>
      </c>
      <c r="C26" s="3">
        <f t="shared" si="0"/>
        <v>5174.03</v>
      </c>
      <c r="D26" s="3">
        <f t="shared" si="1"/>
        <v>98306570</v>
      </c>
      <c r="E26" s="3">
        <v>205.87</v>
      </c>
      <c r="F26" s="3">
        <f t="shared" si="2"/>
        <v>3911530</v>
      </c>
      <c r="G26" s="10">
        <v>276.83999999999997</v>
      </c>
      <c r="H26" s="3">
        <f t="shared" si="3"/>
        <v>5259959.9999999991</v>
      </c>
      <c r="I26" s="3">
        <v>291.58999999999997</v>
      </c>
      <c r="J26" s="3">
        <f t="shared" si="4"/>
        <v>5540209.9999999991</v>
      </c>
      <c r="K26" s="3">
        <f t="shared" si="5"/>
        <v>774.3</v>
      </c>
      <c r="L26" s="3">
        <f t="shared" si="6"/>
        <v>14711700</v>
      </c>
      <c r="M26" s="3">
        <v>391.15</v>
      </c>
      <c r="N26" s="3">
        <f t="shared" si="7"/>
        <v>7431850</v>
      </c>
      <c r="O26" s="3">
        <v>443.48</v>
      </c>
      <c r="P26" s="3">
        <f t="shared" si="8"/>
        <v>8426120</v>
      </c>
      <c r="Q26" s="3">
        <v>402.57</v>
      </c>
      <c r="R26" s="3">
        <f t="shared" si="9"/>
        <v>7648830</v>
      </c>
      <c r="S26" s="3">
        <f t="shared" si="10"/>
        <v>1237.2</v>
      </c>
      <c r="T26" s="3">
        <f t="shared" si="11"/>
        <v>23506800</v>
      </c>
      <c r="U26" s="3">
        <v>520.16</v>
      </c>
      <c r="V26" s="3">
        <f t="shared" si="12"/>
        <v>9883040</v>
      </c>
      <c r="W26" s="3">
        <v>535.30999999999995</v>
      </c>
      <c r="X26" s="3">
        <f t="shared" si="13"/>
        <v>10170889.999999998</v>
      </c>
      <c r="Y26" s="3">
        <v>516.76</v>
      </c>
      <c r="Z26" s="3">
        <f t="shared" si="14"/>
        <v>9818440</v>
      </c>
      <c r="AA26" s="3">
        <f t="shared" si="15"/>
        <v>1572.2299999999998</v>
      </c>
      <c r="AB26" s="3">
        <f t="shared" si="16"/>
        <v>29872369.999999996</v>
      </c>
      <c r="AC26" s="3">
        <v>636.17999999999995</v>
      </c>
      <c r="AD26" s="3">
        <f t="shared" si="17"/>
        <v>12087419.999999998</v>
      </c>
      <c r="AE26" s="3">
        <v>501.29</v>
      </c>
      <c r="AF26" s="3">
        <f t="shared" si="18"/>
        <v>9524510</v>
      </c>
      <c r="AG26" s="3">
        <v>452.83</v>
      </c>
      <c r="AH26" s="3">
        <f t="shared" si="19"/>
        <v>8603770</v>
      </c>
      <c r="AI26" s="3">
        <f t="shared" si="20"/>
        <v>1590.3</v>
      </c>
      <c r="AJ26" s="3">
        <f t="shared" si="21"/>
        <v>30215700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ht="25" customHeight="1" x14ac:dyDescent="0.2">
      <c r="A27" s="1" t="s">
        <v>26</v>
      </c>
      <c r="B27" s="1" t="s">
        <v>48</v>
      </c>
      <c r="C27" s="3">
        <f t="shared" si="0"/>
        <v>3651.07</v>
      </c>
      <c r="D27" s="3">
        <f t="shared" si="1"/>
        <v>69370330</v>
      </c>
      <c r="E27" s="3">
        <v>163.31</v>
      </c>
      <c r="F27" s="3">
        <f t="shared" si="2"/>
        <v>3102890</v>
      </c>
      <c r="G27" s="10">
        <v>286.74</v>
      </c>
      <c r="H27" s="3">
        <f t="shared" si="3"/>
        <v>5448060</v>
      </c>
      <c r="I27" s="3">
        <v>341.02</v>
      </c>
      <c r="J27" s="3">
        <f t="shared" si="4"/>
        <v>6479380</v>
      </c>
      <c r="K27" s="3">
        <f t="shared" si="5"/>
        <v>791.06999999999994</v>
      </c>
      <c r="L27" s="3">
        <f t="shared" si="6"/>
        <v>15030329.999999998</v>
      </c>
      <c r="M27" s="3">
        <v>278.35000000000002</v>
      </c>
      <c r="N27" s="3">
        <f t="shared" si="7"/>
        <v>5288650</v>
      </c>
      <c r="O27" s="3">
        <v>219.07</v>
      </c>
      <c r="P27" s="3">
        <f t="shared" si="8"/>
        <v>4162330</v>
      </c>
      <c r="Q27" s="3">
        <v>235.03</v>
      </c>
      <c r="R27" s="3">
        <f t="shared" si="9"/>
        <v>4465570</v>
      </c>
      <c r="S27" s="3">
        <f t="shared" si="10"/>
        <v>732.45</v>
      </c>
      <c r="T27" s="3">
        <f t="shared" si="11"/>
        <v>13916550</v>
      </c>
      <c r="U27" s="3">
        <v>270.94</v>
      </c>
      <c r="V27" s="3">
        <f t="shared" si="12"/>
        <v>5147860</v>
      </c>
      <c r="W27" s="3">
        <v>365.93</v>
      </c>
      <c r="X27" s="3">
        <f t="shared" si="13"/>
        <v>6952670</v>
      </c>
      <c r="Y27" s="3">
        <v>258.83</v>
      </c>
      <c r="Z27" s="3">
        <f t="shared" si="14"/>
        <v>4917770</v>
      </c>
      <c r="AA27" s="3">
        <f t="shared" si="15"/>
        <v>895.7</v>
      </c>
      <c r="AB27" s="3">
        <f t="shared" si="16"/>
        <v>17018300</v>
      </c>
      <c r="AC27" s="3">
        <v>535.42999999999995</v>
      </c>
      <c r="AD27" s="3">
        <f t="shared" si="17"/>
        <v>10173169.999999998</v>
      </c>
      <c r="AE27" s="3">
        <v>444.87</v>
      </c>
      <c r="AF27" s="3">
        <f t="shared" si="18"/>
        <v>8452530</v>
      </c>
      <c r="AG27" s="3">
        <v>251.55</v>
      </c>
      <c r="AH27" s="3">
        <f t="shared" si="19"/>
        <v>4779450</v>
      </c>
      <c r="AI27" s="3">
        <f t="shared" si="20"/>
        <v>1231.8499999999999</v>
      </c>
      <c r="AJ27" s="3">
        <f t="shared" si="21"/>
        <v>23405150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ht="25" customHeight="1" x14ac:dyDescent="0.2">
      <c r="A28" s="1" t="s">
        <v>27</v>
      </c>
      <c r="B28" s="1" t="s">
        <v>48</v>
      </c>
      <c r="C28" s="3">
        <f t="shared" si="0"/>
        <v>8998.2000000000007</v>
      </c>
      <c r="D28" s="3">
        <f t="shared" si="1"/>
        <v>170965800</v>
      </c>
      <c r="E28" s="3">
        <v>246.5</v>
      </c>
      <c r="F28" s="3">
        <f t="shared" si="2"/>
        <v>4683500</v>
      </c>
      <c r="G28" s="10">
        <v>271</v>
      </c>
      <c r="H28" s="3">
        <f t="shared" si="3"/>
        <v>5149000</v>
      </c>
      <c r="I28" s="3">
        <v>505.5</v>
      </c>
      <c r="J28" s="3">
        <f t="shared" si="4"/>
        <v>9604500</v>
      </c>
      <c r="K28" s="3">
        <f t="shared" si="5"/>
        <v>1023</v>
      </c>
      <c r="L28" s="3">
        <f t="shared" si="6"/>
        <v>19437000</v>
      </c>
      <c r="M28" s="3">
        <v>1078.5999999999999</v>
      </c>
      <c r="N28" s="3">
        <f t="shared" si="7"/>
        <v>20493400</v>
      </c>
      <c r="O28" s="3">
        <v>1186.5999999999999</v>
      </c>
      <c r="P28" s="3">
        <f t="shared" si="8"/>
        <v>22545400</v>
      </c>
      <c r="Q28" s="3">
        <v>448.6</v>
      </c>
      <c r="R28" s="3">
        <f t="shared" si="9"/>
        <v>8523400</v>
      </c>
      <c r="S28" s="3">
        <f t="shared" si="10"/>
        <v>2713.7999999999997</v>
      </c>
      <c r="T28" s="3">
        <f t="shared" si="11"/>
        <v>51562199.999999993</v>
      </c>
      <c r="U28" s="3">
        <v>1460.9</v>
      </c>
      <c r="V28" s="3">
        <f t="shared" si="12"/>
        <v>27757100</v>
      </c>
      <c r="W28" s="3">
        <v>1617.4</v>
      </c>
      <c r="X28" s="3">
        <f t="shared" si="13"/>
        <v>30730600</v>
      </c>
      <c r="Y28" s="3">
        <v>943.4</v>
      </c>
      <c r="Z28" s="3">
        <f t="shared" si="14"/>
        <v>17924600</v>
      </c>
      <c r="AA28" s="3">
        <f t="shared" si="15"/>
        <v>4021.7000000000003</v>
      </c>
      <c r="AB28" s="3">
        <f t="shared" si="16"/>
        <v>76412300</v>
      </c>
      <c r="AC28" s="3">
        <v>451.2</v>
      </c>
      <c r="AD28" s="3">
        <f t="shared" si="17"/>
        <v>8572800</v>
      </c>
      <c r="AE28" s="6">
        <v>446.9</v>
      </c>
      <c r="AF28" s="3">
        <f t="shared" si="18"/>
        <v>8491100</v>
      </c>
      <c r="AG28" s="6">
        <v>341.6</v>
      </c>
      <c r="AH28" s="3">
        <f t="shared" si="19"/>
        <v>6490400</v>
      </c>
      <c r="AI28" s="3">
        <f t="shared" si="20"/>
        <v>1239.6999999999998</v>
      </c>
      <c r="AJ28" s="3">
        <f t="shared" si="21"/>
        <v>23554299.999999996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ht="25" customHeight="1" x14ac:dyDescent="0.2">
      <c r="A29" s="1" t="s">
        <v>28</v>
      </c>
      <c r="B29" s="1" t="s">
        <v>48</v>
      </c>
      <c r="C29" s="3">
        <f t="shared" si="0"/>
        <v>14695.2</v>
      </c>
      <c r="D29" s="3">
        <f t="shared" si="1"/>
        <v>279208800</v>
      </c>
      <c r="E29" s="3">
        <v>1354.4</v>
      </c>
      <c r="F29" s="3">
        <f t="shared" si="2"/>
        <v>25733600</v>
      </c>
      <c r="G29" s="10">
        <v>1372.3</v>
      </c>
      <c r="H29" s="3">
        <f t="shared" si="3"/>
        <v>26073700</v>
      </c>
      <c r="I29" s="3">
        <v>1372.5</v>
      </c>
      <c r="J29" s="3">
        <f t="shared" si="4"/>
        <v>26077500</v>
      </c>
      <c r="K29" s="3">
        <f t="shared" si="5"/>
        <v>4099.2</v>
      </c>
      <c r="L29" s="3">
        <f t="shared" si="6"/>
        <v>77884800</v>
      </c>
      <c r="M29" s="3">
        <v>1292.5</v>
      </c>
      <c r="N29" s="3">
        <f t="shared" si="7"/>
        <v>24557500</v>
      </c>
      <c r="O29" s="3">
        <v>1291.2</v>
      </c>
      <c r="P29" s="3">
        <f t="shared" si="8"/>
        <v>24532800</v>
      </c>
      <c r="Q29" s="3">
        <v>1289.5999999999999</v>
      </c>
      <c r="R29" s="3">
        <f t="shared" si="9"/>
        <v>24502400</v>
      </c>
      <c r="S29" s="3">
        <f t="shared" si="10"/>
        <v>3873.2999999999997</v>
      </c>
      <c r="T29" s="3">
        <f t="shared" si="11"/>
        <v>73592700</v>
      </c>
      <c r="U29" s="3">
        <v>1343.5</v>
      </c>
      <c r="V29" s="3">
        <f t="shared" si="12"/>
        <v>25526500</v>
      </c>
      <c r="W29" s="3">
        <v>1345.7</v>
      </c>
      <c r="X29" s="3">
        <f t="shared" si="13"/>
        <v>25568300</v>
      </c>
      <c r="Y29" s="3">
        <v>1345.4</v>
      </c>
      <c r="Z29" s="3">
        <f t="shared" si="14"/>
        <v>25562600</v>
      </c>
      <c r="AA29" s="3">
        <f t="shared" si="15"/>
        <v>4034.6</v>
      </c>
      <c r="AB29" s="3">
        <f t="shared" si="16"/>
        <v>76657400</v>
      </c>
      <c r="AC29" s="6">
        <v>1343.6</v>
      </c>
      <c r="AD29" s="3">
        <f t="shared" si="17"/>
        <v>25528400</v>
      </c>
      <c r="AE29" s="6">
        <v>1344.5</v>
      </c>
      <c r="AF29" s="3">
        <f t="shared" si="18"/>
        <v>25545500</v>
      </c>
      <c r="AG29" s="7"/>
      <c r="AH29" s="3">
        <f t="shared" si="19"/>
        <v>0</v>
      </c>
      <c r="AI29" s="3">
        <f t="shared" si="20"/>
        <v>2688.1</v>
      </c>
      <c r="AJ29" s="3">
        <f t="shared" si="21"/>
        <v>51073900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ht="25" customHeight="1" x14ac:dyDescent="0.2">
      <c r="A30" s="1" t="s">
        <v>29</v>
      </c>
      <c r="B30" s="1" t="s">
        <v>48</v>
      </c>
      <c r="C30" s="3">
        <f t="shared" si="0"/>
        <v>23946.800000000003</v>
      </c>
      <c r="D30" s="3">
        <f t="shared" si="1"/>
        <v>454989200</v>
      </c>
      <c r="E30" s="3">
        <v>2002.9</v>
      </c>
      <c r="F30" s="3">
        <f t="shared" si="2"/>
        <v>38055100</v>
      </c>
      <c r="G30" s="10">
        <v>2051.1</v>
      </c>
      <c r="H30" s="3">
        <f t="shared" si="3"/>
        <v>38970900</v>
      </c>
      <c r="I30" s="3">
        <v>1387.8</v>
      </c>
      <c r="J30" s="3">
        <f t="shared" si="4"/>
        <v>26368200</v>
      </c>
      <c r="K30" s="3">
        <f t="shared" si="5"/>
        <v>5441.8</v>
      </c>
      <c r="L30" s="3">
        <f t="shared" si="6"/>
        <v>103394200</v>
      </c>
      <c r="M30" s="3">
        <v>3924.7</v>
      </c>
      <c r="N30" s="3">
        <f t="shared" si="7"/>
        <v>74569300</v>
      </c>
      <c r="O30" s="3">
        <v>1668.7</v>
      </c>
      <c r="P30" s="3">
        <f t="shared" si="8"/>
        <v>31705300</v>
      </c>
      <c r="Q30" s="3">
        <v>2266.3000000000002</v>
      </c>
      <c r="R30" s="3">
        <f t="shared" si="9"/>
        <v>43059700</v>
      </c>
      <c r="S30" s="3">
        <f t="shared" si="10"/>
        <v>7859.7</v>
      </c>
      <c r="T30" s="3">
        <f t="shared" si="11"/>
        <v>149334300</v>
      </c>
      <c r="U30" s="6">
        <v>1500.5</v>
      </c>
      <c r="V30" s="3">
        <f t="shared" si="12"/>
        <v>28509500</v>
      </c>
      <c r="W30" s="6">
        <v>1955.8</v>
      </c>
      <c r="X30" s="3">
        <f t="shared" si="13"/>
        <v>37160200</v>
      </c>
      <c r="Y30" s="6">
        <v>1781.1</v>
      </c>
      <c r="Z30" s="3">
        <f t="shared" si="14"/>
        <v>33840900</v>
      </c>
      <c r="AA30" s="3">
        <f t="shared" si="15"/>
        <v>5237.3999999999996</v>
      </c>
      <c r="AB30" s="3">
        <f t="shared" si="16"/>
        <v>99510600</v>
      </c>
      <c r="AC30" s="6">
        <v>1880.6</v>
      </c>
      <c r="AD30" s="3">
        <f t="shared" si="17"/>
        <v>35731400</v>
      </c>
      <c r="AE30" s="6">
        <v>1940</v>
      </c>
      <c r="AF30" s="3">
        <f t="shared" si="18"/>
        <v>36860000</v>
      </c>
      <c r="AG30" s="6">
        <v>1587.3</v>
      </c>
      <c r="AH30" s="3">
        <f t="shared" si="19"/>
        <v>30158700</v>
      </c>
      <c r="AI30" s="3">
        <f t="shared" si="20"/>
        <v>5407.9</v>
      </c>
      <c r="AJ30" s="3">
        <f t="shared" si="21"/>
        <v>102750100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ht="25" customHeight="1" x14ac:dyDescent="0.2">
      <c r="A31" s="1" t="s">
        <v>30</v>
      </c>
      <c r="B31" s="1" t="s">
        <v>48</v>
      </c>
      <c r="C31" s="3">
        <f t="shared" si="0"/>
        <v>2375.6999999999998</v>
      </c>
      <c r="D31" s="3">
        <f t="shared" si="1"/>
        <v>45138300</v>
      </c>
      <c r="E31" s="3">
        <v>117.64</v>
      </c>
      <c r="F31" s="3">
        <f t="shared" si="2"/>
        <v>2235160</v>
      </c>
      <c r="G31" s="10">
        <v>105.76</v>
      </c>
      <c r="H31" s="3">
        <f t="shared" si="3"/>
        <v>2009440</v>
      </c>
      <c r="I31" s="3">
        <v>135.36000000000001</v>
      </c>
      <c r="J31" s="3">
        <f t="shared" si="4"/>
        <v>2571840.0000000005</v>
      </c>
      <c r="K31" s="3">
        <f t="shared" si="5"/>
        <v>358.76</v>
      </c>
      <c r="L31" s="3">
        <f t="shared" si="6"/>
        <v>6816440</v>
      </c>
      <c r="M31" s="3">
        <v>176.69</v>
      </c>
      <c r="N31" s="3">
        <f t="shared" si="7"/>
        <v>3357110</v>
      </c>
      <c r="O31" s="3">
        <v>232.8</v>
      </c>
      <c r="P31" s="3">
        <f t="shared" si="8"/>
        <v>4423200</v>
      </c>
      <c r="Q31" s="3">
        <v>222.9</v>
      </c>
      <c r="R31" s="3">
        <f t="shared" si="9"/>
        <v>4235100</v>
      </c>
      <c r="S31" s="3">
        <f t="shared" si="10"/>
        <v>632.39</v>
      </c>
      <c r="T31" s="3">
        <f t="shared" si="11"/>
        <v>12015410</v>
      </c>
      <c r="U31" s="3">
        <v>224.74</v>
      </c>
      <c r="V31" s="3">
        <f t="shared" si="12"/>
        <v>4270060</v>
      </c>
      <c r="W31" s="3">
        <v>227.51</v>
      </c>
      <c r="X31" s="3">
        <f t="shared" si="13"/>
        <v>4322690</v>
      </c>
      <c r="Y31" s="3">
        <v>243.47</v>
      </c>
      <c r="Z31" s="3">
        <f t="shared" si="14"/>
        <v>4625930</v>
      </c>
      <c r="AA31" s="3">
        <f t="shared" si="15"/>
        <v>695.72</v>
      </c>
      <c r="AB31" s="3">
        <f t="shared" si="16"/>
        <v>13218680</v>
      </c>
      <c r="AC31" s="3">
        <v>241.62</v>
      </c>
      <c r="AD31" s="3">
        <f t="shared" si="17"/>
        <v>4590780</v>
      </c>
      <c r="AE31" s="3">
        <v>247.21</v>
      </c>
      <c r="AF31" s="3">
        <f t="shared" si="18"/>
        <v>4696990</v>
      </c>
      <c r="AG31" s="3">
        <v>200</v>
      </c>
      <c r="AH31" s="3">
        <f t="shared" si="19"/>
        <v>3800000</v>
      </c>
      <c r="AI31" s="3">
        <f t="shared" si="20"/>
        <v>688.83</v>
      </c>
      <c r="AJ31" s="3">
        <f t="shared" si="21"/>
        <v>13087770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ht="25" customHeight="1" x14ac:dyDescent="0.2">
      <c r="A32" s="1" t="s">
        <v>31</v>
      </c>
      <c r="B32" s="1" t="s">
        <v>48</v>
      </c>
      <c r="C32" s="3">
        <f t="shared" si="0"/>
        <v>11036.6</v>
      </c>
      <c r="D32" s="3">
        <f t="shared" si="1"/>
        <v>209695400</v>
      </c>
      <c r="E32" s="3">
        <v>730.3</v>
      </c>
      <c r="F32" s="3">
        <f t="shared" si="2"/>
        <v>13875700</v>
      </c>
      <c r="G32" s="10">
        <v>843.5</v>
      </c>
      <c r="H32" s="3">
        <f t="shared" si="3"/>
        <v>16026500</v>
      </c>
      <c r="I32" s="3">
        <v>1444.8</v>
      </c>
      <c r="J32" s="3">
        <f t="shared" si="4"/>
        <v>27451200</v>
      </c>
      <c r="K32" s="3">
        <f t="shared" si="5"/>
        <v>3018.6</v>
      </c>
      <c r="L32" s="3">
        <f t="shared" si="6"/>
        <v>57353400</v>
      </c>
      <c r="M32" s="3">
        <v>1690.4</v>
      </c>
      <c r="N32" s="3">
        <f t="shared" si="7"/>
        <v>32117600</v>
      </c>
      <c r="O32" s="3">
        <v>1023.8</v>
      </c>
      <c r="P32" s="3">
        <f t="shared" si="8"/>
        <v>19452200</v>
      </c>
      <c r="Q32" s="3">
        <v>903</v>
      </c>
      <c r="R32" s="3">
        <f t="shared" si="9"/>
        <v>17157000</v>
      </c>
      <c r="S32" s="3">
        <f t="shared" si="10"/>
        <v>3617.2</v>
      </c>
      <c r="T32" s="3">
        <f t="shared" si="11"/>
        <v>68726800</v>
      </c>
      <c r="U32" s="3">
        <v>843.3</v>
      </c>
      <c r="V32" s="3">
        <f t="shared" si="12"/>
        <v>16022700</v>
      </c>
      <c r="W32" s="3">
        <v>823.9</v>
      </c>
      <c r="X32" s="3">
        <f t="shared" si="13"/>
        <v>15654100</v>
      </c>
      <c r="Y32" s="3">
        <v>821.5</v>
      </c>
      <c r="Z32" s="3">
        <f t="shared" si="14"/>
        <v>15608500</v>
      </c>
      <c r="AA32" s="3">
        <f t="shared" si="15"/>
        <v>2488.6999999999998</v>
      </c>
      <c r="AB32" s="3">
        <f t="shared" si="16"/>
        <v>47285300</v>
      </c>
      <c r="AC32" s="3">
        <v>672</v>
      </c>
      <c r="AD32" s="3">
        <f t="shared" si="17"/>
        <v>12768000</v>
      </c>
      <c r="AE32" s="6">
        <v>645.5</v>
      </c>
      <c r="AF32" s="3">
        <f t="shared" si="18"/>
        <v>12264500</v>
      </c>
      <c r="AG32" s="6">
        <v>594.6</v>
      </c>
      <c r="AH32" s="3">
        <f t="shared" si="19"/>
        <v>11297400</v>
      </c>
      <c r="AI32" s="3">
        <f t="shared" si="20"/>
        <v>1912.1</v>
      </c>
      <c r="AJ32" s="3">
        <f t="shared" si="21"/>
        <v>36329900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ht="25" customHeight="1" x14ac:dyDescent="0.2">
      <c r="A33" s="1" t="s">
        <v>32</v>
      </c>
      <c r="B33" s="1" t="s">
        <v>48</v>
      </c>
      <c r="C33" s="3">
        <f t="shared" si="0"/>
        <v>4350.7700000000004</v>
      </c>
      <c r="D33" s="3">
        <f t="shared" si="1"/>
        <v>82664630</v>
      </c>
      <c r="E33" s="3">
        <v>383.85</v>
      </c>
      <c r="F33" s="3">
        <f t="shared" si="2"/>
        <v>7293150</v>
      </c>
      <c r="G33" s="10">
        <v>199</v>
      </c>
      <c r="H33" s="3">
        <f t="shared" si="3"/>
        <v>3781000</v>
      </c>
      <c r="I33" s="3">
        <v>212.1</v>
      </c>
      <c r="J33" s="3">
        <f t="shared" si="4"/>
        <v>4029900</v>
      </c>
      <c r="K33" s="3">
        <f t="shared" si="5"/>
        <v>794.95</v>
      </c>
      <c r="L33" s="3">
        <f t="shared" si="6"/>
        <v>15104050</v>
      </c>
      <c r="M33" s="3">
        <v>379.56</v>
      </c>
      <c r="N33" s="3">
        <f t="shared" si="7"/>
        <v>7211640</v>
      </c>
      <c r="O33" s="3">
        <v>245.13</v>
      </c>
      <c r="P33" s="3">
        <f t="shared" si="8"/>
        <v>4657470</v>
      </c>
      <c r="Q33" s="3">
        <v>217.09</v>
      </c>
      <c r="R33" s="3">
        <f t="shared" si="9"/>
        <v>4124710</v>
      </c>
      <c r="S33" s="3">
        <f t="shared" si="10"/>
        <v>841.78000000000009</v>
      </c>
      <c r="T33" s="3">
        <f t="shared" si="11"/>
        <v>15993820.000000002</v>
      </c>
      <c r="U33" s="3">
        <v>389.93</v>
      </c>
      <c r="V33" s="3">
        <f t="shared" si="12"/>
        <v>7408670</v>
      </c>
      <c r="W33" s="3">
        <v>506.15</v>
      </c>
      <c r="X33" s="3">
        <f t="shared" si="13"/>
        <v>9616850</v>
      </c>
      <c r="Y33" s="3">
        <v>506.69</v>
      </c>
      <c r="Z33" s="3">
        <f t="shared" si="14"/>
        <v>9627110</v>
      </c>
      <c r="AA33" s="3">
        <f t="shared" si="15"/>
        <v>1402.77</v>
      </c>
      <c r="AB33" s="3">
        <f t="shared" si="16"/>
        <v>26652630</v>
      </c>
      <c r="AC33" s="3">
        <v>352.59</v>
      </c>
      <c r="AD33" s="3">
        <f t="shared" si="17"/>
        <v>6699209.9999999991</v>
      </c>
      <c r="AE33" s="3">
        <v>488.04</v>
      </c>
      <c r="AF33" s="3">
        <f t="shared" si="18"/>
        <v>9272760</v>
      </c>
      <c r="AG33" s="3">
        <v>470.64</v>
      </c>
      <c r="AH33" s="3">
        <f t="shared" si="19"/>
        <v>8942160</v>
      </c>
      <c r="AI33" s="3">
        <f t="shared" si="20"/>
        <v>1311.27</v>
      </c>
      <c r="AJ33" s="3">
        <f t="shared" si="21"/>
        <v>24914130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ht="25" customHeight="1" x14ac:dyDescent="0.2">
      <c r="A34" s="1" t="s">
        <v>33</v>
      </c>
      <c r="B34" s="1" t="s">
        <v>48</v>
      </c>
      <c r="C34" s="3">
        <f t="shared" si="0"/>
        <v>28800.100000000002</v>
      </c>
      <c r="D34" s="3">
        <f t="shared" si="1"/>
        <v>547201900</v>
      </c>
      <c r="E34" s="3">
        <v>2152.9</v>
      </c>
      <c r="F34" s="3">
        <f t="shared" si="2"/>
        <v>40905100</v>
      </c>
      <c r="G34" s="10">
        <v>2205.6</v>
      </c>
      <c r="H34" s="3">
        <f t="shared" si="3"/>
        <v>41906400</v>
      </c>
      <c r="I34" s="3">
        <v>2506.8000000000002</v>
      </c>
      <c r="J34" s="3">
        <f t="shared" si="4"/>
        <v>47629200</v>
      </c>
      <c r="K34" s="3">
        <f t="shared" si="5"/>
        <v>6865.3</v>
      </c>
      <c r="L34" s="3">
        <f t="shared" si="6"/>
        <v>130440700</v>
      </c>
      <c r="M34" s="3">
        <v>3814.4</v>
      </c>
      <c r="N34" s="3">
        <f t="shared" si="7"/>
        <v>72473600</v>
      </c>
      <c r="O34" s="3">
        <v>3745.1</v>
      </c>
      <c r="P34" s="3">
        <f t="shared" si="8"/>
        <v>71156900</v>
      </c>
      <c r="Q34" s="3">
        <v>2745.1</v>
      </c>
      <c r="R34" s="3">
        <f t="shared" si="9"/>
        <v>52156900</v>
      </c>
      <c r="S34" s="3">
        <f t="shared" si="10"/>
        <v>10304.6</v>
      </c>
      <c r="T34" s="3">
        <f t="shared" si="11"/>
        <v>195787400</v>
      </c>
      <c r="U34" s="3">
        <v>2305.3000000000002</v>
      </c>
      <c r="V34" s="3">
        <f t="shared" si="12"/>
        <v>43800700</v>
      </c>
      <c r="W34" s="3">
        <v>1902.5</v>
      </c>
      <c r="X34" s="3">
        <f t="shared" si="13"/>
        <v>36147500</v>
      </c>
      <c r="Y34" s="3">
        <v>2615.1</v>
      </c>
      <c r="Z34" s="3">
        <f t="shared" si="14"/>
        <v>49686900</v>
      </c>
      <c r="AA34" s="3">
        <f t="shared" si="15"/>
        <v>6822.9</v>
      </c>
      <c r="AB34" s="3">
        <f t="shared" si="16"/>
        <v>129635100</v>
      </c>
      <c r="AC34" s="6">
        <v>2389.1999999999998</v>
      </c>
      <c r="AD34" s="3">
        <f t="shared" si="17"/>
        <v>45394800</v>
      </c>
      <c r="AE34" s="6">
        <v>2418.1</v>
      </c>
      <c r="AF34" s="3">
        <f t="shared" si="18"/>
        <v>45943900</v>
      </c>
      <c r="AG34" s="7"/>
      <c r="AH34" s="3">
        <f t="shared" si="19"/>
        <v>0</v>
      </c>
      <c r="AI34" s="3">
        <f t="shared" si="20"/>
        <v>4807.2999999999993</v>
      </c>
      <c r="AJ34" s="3">
        <f t="shared" si="21"/>
        <v>91338699.999999985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ht="25" customHeight="1" x14ac:dyDescent="0.2">
      <c r="A35" s="1" t="s">
        <v>34</v>
      </c>
      <c r="B35" s="1" t="s">
        <v>48</v>
      </c>
      <c r="C35" s="3">
        <f t="shared" si="0"/>
        <v>1390.57</v>
      </c>
      <c r="D35" s="3">
        <f t="shared" si="1"/>
        <v>26420830</v>
      </c>
      <c r="E35" s="3">
        <v>44.03</v>
      </c>
      <c r="F35" s="3">
        <f t="shared" si="2"/>
        <v>836570</v>
      </c>
      <c r="G35" s="10">
        <v>142.76</v>
      </c>
      <c r="H35" s="3">
        <f t="shared" si="3"/>
        <v>2712440</v>
      </c>
      <c r="I35" s="3">
        <v>37.42</v>
      </c>
      <c r="J35" s="3">
        <f t="shared" si="4"/>
        <v>710980</v>
      </c>
      <c r="K35" s="3">
        <f t="shared" si="5"/>
        <v>224.20999999999998</v>
      </c>
      <c r="L35" s="3">
        <f t="shared" si="6"/>
        <v>4259990</v>
      </c>
      <c r="M35" s="3">
        <v>226.95</v>
      </c>
      <c r="N35" s="3">
        <f t="shared" si="7"/>
        <v>4312050</v>
      </c>
      <c r="O35" s="3">
        <v>166.82</v>
      </c>
      <c r="P35" s="3">
        <f t="shared" si="8"/>
        <v>3169580</v>
      </c>
      <c r="Q35" s="3">
        <v>239.55</v>
      </c>
      <c r="R35" s="3">
        <f t="shared" si="9"/>
        <v>4551450</v>
      </c>
      <c r="S35" s="3">
        <f t="shared" si="10"/>
        <v>633.31999999999994</v>
      </c>
      <c r="T35" s="3">
        <f t="shared" si="11"/>
        <v>12033079.999999998</v>
      </c>
      <c r="U35" s="3">
        <v>60.15</v>
      </c>
      <c r="V35" s="3">
        <f t="shared" si="12"/>
        <v>1142850</v>
      </c>
      <c r="W35" s="3">
        <v>71.23</v>
      </c>
      <c r="X35" s="3">
        <f t="shared" si="13"/>
        <v>1353370</v>
      </c>
      <c r="Y35" s="3">
        <v>45.68</v>
      </c>
      <c r="Z35" s="3">
        <f t="shared" si="14"/>
        <v>867920</v>
      </c>
      <c r="AA35" s="3">
        <f t="shared" si="15"/>
        <v>177.06</v>
      </c>
      <c r="AB35" s="3">
        <f t="shared" si="16"/>
        <v>3364140</v>
      </c>
      <c r="AC35" s="3">
        <v>108.9</v>
      </c>
      <c r="AD35" s="3">
        <f t="shared" si="17"/>
        <v>2069100</v>
      </c>
      <c r="AE35" s="3">
        <v>123.26</v>
      </c>
      <c r="AF35" s="3">
        <f t="shared" si="18"/>
        <v>2341940</v>
      </c>
      <c r="AG35" s="3">
        <v>123.82</v>
      </c>
      <c r="AH35" s="3">
        <f t="shared" si="19"/>
        <v>2352580</v>
      </c>
      <c r="AI35" s="3">
        <f t="shared" si="20"/>
        <v>355.98</v>
      </c>
      <c r="AJ35" s="3">
        <f t="shared" si="21"/>
        <v>6763620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ht="25" customHeight="1" x14ac:dyDescent="0.2">
      <c r="A36" s="1" t="s">
        <v>35</v>
      </c>
      <c r="B36" s="1" t="s">
        <v>48</v>
      </c>
      <c r="C36" s="3">
        <f t="shared" si="0"/>
        <v>924.14</v>
      </c>
      <c r="D36" s="3">
        <f t="shared" si="1"/>
        <v>17558660</v>
      </c>
      <c r="E36" s="3">
        <v>56.1</v>
      </c>
      <c r="F36" s="3">
        <f t="shared" si="2"/>
        <v>1065900</v>
      </c>
      <c r="G36" s="10">
        <v>68.8</v>
      </c>
      <c r="H36" s="3">
        <f t="shared" si="3"/>
        <v>1307200</v>
      </c>
      <c r="I36" s="3">
        <v>82.2</v>
      </c>
      <c r="J36" s="3">
        <f t="shared" si="4"/>
        <v>1561800</v>
      </c>
      <c r="K36" s="3">
        <f t="shared" si="5"/>
        <v>207.10000000000002</v>
      </c>
      <c r="L36" s="3">
        <f t="shared" si="6"/>
        <v>3934900.0000000005</v>
      </c>
      <c r="M36" s="3">
        <v>90.9</v>
      </c>
      <c r="N36" s="3">
        <f t="shared" si="7"/>
        <v>1727100</v>
      </c>
      <c r="O36" s="3">
        <v>96.52</v>
      </c>
      <c r="P36" s="3">
        <f t="shared" si="8"/>
        <v>1833880</v>
      </c>
      <c r="Q36" s="3">
        <v>107.73</v>
      </c>
      <c r="R36" s="3">
        <f t="shared" si="9"/>
        <v>2046870</v>
      </c>
      <c r="S36" s="3">
        <f t="shared" si="10"/>
        <v>295.15000000000003</v>
      </c>
      <c r="T36" s="3">
        <f t="shared" si="11"/>
        <v>5607850.0000000009</v>
      </c>
      <c r="U36" s="3">
        <v>77.52</v>
      </c>
      <c r="V36" s="3">
        <f t="shared" si="12"/>
        <v>1472880</v>
      </c>
      <c r="W36" s="3">
        <v>56.9</v>
      </c>
      <c r="X36" s="3">
        <f t="shared" si="13"/>
        <v>1081100</v>
      </c>
      <c r="Y36" s="3">
        <v>54.3</v>
      </c>
      <c r="Z36" s="3">
        <f t="shared" si="14"/>
        <v>1031700</v>
      </c>
      <c r="AA36" s="3">
        <f t="shared" si="15"/>
        <v>188.71999999999997</v>
      </c>
      <c r="AB36" s="3">
        <f t="shared" si="16"/>
        <v>3585679.9999999995</v>
      </c>
      <c r="AC36" s="6">
        <v>65.349999999999994</v>
      </c>
      <c r="AD36" s="3">
        <f t="shared" si="17"/>
        <v>1241650</v>
      </c>
      <c r="AE36" s="6">
        <v>78</v>
      </c>
      <c r="AF36" s="3">
        <f t="shared" si="18"/>
        <v>1482000</v>
      </c>
      <c r="AG36" s="6">
        <v>89.82</v>
      </c>
      <c r="AH36" s="3">
        <f t="shared" si="19"/>
        <v>1706579.9999999998</v>
      </c>
      <c r="AI36" s="3">
        <f t="shared" si="20"/>
        <v>233.17</v>
      </c>
      <c r="AJ36" s="3">
        <f t="shared" si="21"/>
        <v>4430230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ht="25" customHeight="1" x14ac:dyDescent="0.2">
      <c r="A37" s="1" t="s">
        <v>36</v>
      </c>
      <c r="B37" s="1" t="s">
        <v>48</v>
      </c>
      <c r="C37" s="3">
        <f t="shared" si="0"/>
        <v>30418.92</v>
      </c>
      <c r="D37" s="3">
        <f t="shared" si="1"/>
        <v>577959480</v>
      </c>
      <c r="E37" s="3">
        <v>4690.5</v>
      </c>
      <c r="F37" s="3">
        <f t="shared" si="2"/>
        <v>89119500</v>
      </c>
      <c r="G37" s="10">
        <v>591.37</v>
      </c>
      <c r="H37" s="3">
        <f t="shared" si="3"/>
        <v>11236030</v>
      </c>
      <c r="I37" s="3">
        <v>1994.42</v>
      </c>
      <c r="J37" s="3">
        <f t="shared" si="4"/>
        <v>37893980</v>
      </c>
      <c r="K37" s="3">
        <f t="shared" si="5"/>
        <v>7276.29</v>
      </c>
      <c r="L37" s="3">
        <f t="shared" si="6"/>
        <v>138249510</v>
      </c>
      <c r="M37" s="3">
        <v>1448.53</v>
      </c>
      <c r="N37" s="3">
        <f t="shared" si="7"/>
        <v>27522070</v>
      </c>
      <c r="O37" s="3">
        <v>3178.08</v>
      </c>
      <c r="P37" s="3">
        <f t="shared" si="8"/>
        <v>60383520</v>
      </c>
      <c r="Q37" s="3">
        <v>1895.76</v>
      </c>
      <c r="R37" s="3">
        <f t="shared" si="9"/>
        <v>36019440</v>
      </c>
      <c r="S37" s="3">
        <f t="shared" si="10"/>
        <v>6522.37</v>
      </c>
      <c r="T37" s="3">
        <f t="shared" si="11"/>
        <v>123925030</v>
      </c>
      <c r="U37" s="3">
        <v>3296.02</v>
      </c>
      <c r="V37" s="3">
        <f t="shared" si="12"/>
        <v>62624380</v>
      </c>
      <c r="W37" s="3">
        <v>953.64</v>
      </c>
      <c r="X37" s="3">
        <f t="shared" si="13"/>
        <v>18119160</v>
      </c>
      <c r="Y37" s="3">
        <v>3389.57</v>
      </c>
      <c r="Z37" s="3">
        <f t="shared" si="14"/>
        <v>64401830</v>
      </c>
      <c r="AA37" s="3">
        <f t="shared" si="15"/>
        <v>7639.23</v>
      </c>
      <c r="AB37" s="3">
        <f t="shared" si="16"/>
        <v>145145370</v>
      </c>
      <c r="AC37" s="3">
        <v>3408.89</v>
      </c>
      <c r="AD37" s="3">
        <f t="shared" si="17"/>
        <v>64768910</v>
      </c>
      <c r="AE37" s="3">
        <v>3253.58</v>
      </c>
      <c r="AF37" s="3">
        <f t="shared" si="18"/>
        <v>61818020</v>
      </c>
      <c r="AG37" s="3">
        <v>2318.56</v>
      </c>
      <c r="AH37" s="3">
        <f t="shared" si="19"/>
        <v>44052640</v>
      </c>
      <c r="AI37" s="3">
        <f t="shared" si="20"/>
        <v>8981.0299999999988</v>
      </c>
      <c r="AJ37" s="3">
        <f t="shared" si="21"/>
        <v>170639569.99999997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ht="25" customHeight="1" x14ac:dyDescent="0.2">
      <c r="A38" s="1" t="s">
        <v>37</v>
      </c>
      <c r="B38" s="1" t="s">
        <v>48</v>
      </c>
      <c r="C38" s="3">
        <f t="shared" si="0"/>
        <v>25712.1</v>
      </c>
      <c r="D38" s="3">
        <f t="shared" si="1"/>
        <v>488529900</v>
      </c>
      <c r="E38" s="3">
        <v>1033.4000000000001</v>
      </c>
      <c r="F38" s="3">
        <f t="shared" si="2"/>
        <v>19634600</v>
      </c>
      <c r="G38" s="10">
        <v>1173.7</v>
      </c>
      <c r="H38" s="3">
        <f t="shared" si="3"/>
        <v>22300300</v>
      </c>
      <c r="I38" s="3">
        <v>1015.2</v>
      </c>
      <c r="J38" s="3">
        <f t="shared" si="4"/>
        <v>19288800</v>
      </c>
      <c r="K38" s="3">
        <f t="shared" si="5"/>
        <v>3222.3</v>
      </c>
      <c r="L38" s="3">
        <f t="shared" si="6"/>
        <v>61223700</v>
      </c>
      <c r="M38" s="3">
        <v>1665.1</v>
      </c>
      <c r="N38" s="3">
        <f t="shared" si="7"/>
        <v>31636900</v>
      </c>
      <c r="O38" s="3">
        <v>2844.7</v>
      </c>
      <c r="P38" s="3">
        <f t="shared" si="8"/>
        <v>54049300</v>
      </c>
      <c r="Q38" s="3">
        <v>3079.2</v>
      </c>
      <c r="R38" s="3">
        <f t="shared" si="9"/>
        <v>58504800</v>
      </c>
      <c r="S38" s="3">
        <f t="shared" si="10"/>
        <v>7588.9999999999991</v>
      </c>
      <c r="T38" s="3">
        <f t="shared" si="11"/>
        <v>144190999.99999997</v>
      </c>
      <c r="U38" s="3">
        <v>3314.5</v>
      </c>
      <c r="V38" s="3">
        <f t="shared" si="12"/>
        <v>62975500</v>
      </c>
      <c r="W38" s="3">
        <v>3610.3</v>
      </c>
      <c r="X38" s="3">
        <f t="shared" si="13"/>
        <v>68595700</v>
      </c>
      <c r="Y38" s="3">
        <v>3006.2</v>
      </c>
      <c r="Z38" s="3">
        <f t="shared" si="14"/>
        <v>57117800</v>
      </c>
      <c r="AA38" s="3">
        <f t="shared" si="15"/>
        <v>9931</v>
      </c>
      <c r="AB38" s="3">
        <f t="shared" si="16"/>
        <v>188689000</v>
      </c>
      <c r="AC38" s="3">
        <v>2074.1999999999998</v>
      </c>
      <c r="AD38" s="3">
        <f t="shared" si="17"/>
        <v>39409800</v>
      </c>
      <c r="AE38" s="6">
        <v>1581.4</v>
      </c>
      <c r="AF38" s="3">
        <f t="shared" si="18"/>
        <v>30046600</v>
      </c>
      <c r="AG38" s="6">
        <v>1314.2</v>
      </c>
      <c r="AH38" s="3">
        <f t="shared" si="19"/>
        <v>24969800</v>
      </c>
      <c r="AI38" s="3">
        <f t="shared" si="20"/>
        <v>4969.8</v>
      </c>
      <c r="AJ38" s="3">
        <f t="shared" si="21"/>
        <v>94426200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ht="25" customHeight="1" x14ac:dyDescent="0.2">
      <c r="A39" s="1" t="s">
        <v>38</v>
      </c>
      <c r="B39" s="1" t="s">
        <v>48</v>
      </c>
      <c r="C39" s="3">
        <f t="shared" si="0"/>
        <v>1935.29</v>
      </c>
      <c r="D39" s="3">
        <f t="shared" si="1"/>
        <v>36770510</v>
      </c>
      <c r="E39" s="3">
        <v>155.74</v>
      </c>
      <c r="F39" s="3">
        <f t="shared" si="2"/>
        <v>2959060</v>
      </c>
      <c r="G39" s="10">
        <v>52.53</v>
      </c>
      <c r="H39" s="3">
        <f t="shared" si="3"/>
        <v>998070</v>
      </c>
      <c r="I39" s="3">
        <v>57.22</v>
      </c>
      <c r="J39" s="3">
        <f t="shared" si="4"/>
        <v>1087180</v>
      </c>
      <c r="K39" s="3">
        <f t="shared" si="5"/>
        <v>265.49</v>
      </c>
      <c r="L39" s="3">
        <f t="shared" si="6"/>
        <v>5044310</v>
      </c>
      <c r="M39" s="3">
        <v>100.26</v>
      </c>
      <c r="N39" s="3">
        <f t="shared" si="7"/>
        <v>1904940</v>
      </c>
      <c r="O39" s="3">
        <v>92.65</v>
      </c>
      <c r="P39" s="3">
        <f t="shared" si="8"/>
        <v>1760350</v>
      </c>
      <c r="Q39" s="3">
        <v>91.69</v>
      </c>
      <c r="R39" s="3">
        <f t="shared" si="9"/>
        <v>1742110</v>
      </c>
      <c r="S39" s="3">
        <f t="shared" si="10"/>
        <v>284.60000000000002</v>
      </c>
      <c r="T39" s="3">
        <f t="shared" si="11"/>
        <v>5407400</v>
      </c>
      <c r="U39" s="3">
        <v>254.12</v>
      </c>
      <c r="V39" s="3">
        <f t="shared" si="12"/>
        <v>4828280</v>
      </c>
      <c r="W39" s="3">
        <v>232.07</v>
      </c>
      <c r="X39" s="3">
        <f t="shared" si="13"/>
        <v>4409330</v>
      </c>
      <c r="Y39" s="3">
        <v>316.51</v>
      </c>
      <c r="Z39" s="3">
        <f t="shared" si="14"/>
        <v>6013690</v>
      </c>
      <c r="AA39" s="3">
        <f t="shared" si="15"/>
        <v>802.7</v>
      </c>
      <c r="AB39" s="3">
        <f t="shared" si="16"/>
        <v>15251300</v>
      </c>
      <c r="AC39" s="3">
        <v>250.11</v>
      </c>
      <c r="AD39" s="3">
        <f t="shared" si="17"/>
        <v>4752090</v>
      </c>
      <c r="AE39" s="3">
        <v>180.46</v>
      </c>
      <c r="AF39" s="3">
        <f t="shared" si="18"/>
        <v>3428740</v>
      </c>
      <c r="AG39" s="3">
        <v>151.93</v>
      </c>
      <c r="AH39" s="3">
        <f t="shared" si="19"/>
        <v>2886670</v>
      </c>
      <c r="AI39" s="3">
        <f t="shared" si="20"/>
        <v>582.5</v>
      </c>
      <c r="AJ39" s="3">
        <f t="shared" si="21"/>
        <v>11067500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ht="25" customHeight="1" x14ac:dyDescent="0.2">
      <c r="A40" s="1" t="s">
        <v>39</v>
      </c>
      <c r="B40" s="1" t="s">
        <v>48</v>
      </c>
      <c r="C40" s="3">
        <f t="shared" si="0"/>
        <v>16783.099999999999</v>
      </c>
      <c r="D40" s="3">
        <f t="shared" si="1"/>
        <v>318878900</v>
      </c>
      <c r="E40" s="3">
        <v>1061.8</v>
      </c>
      <c r="F40" s="3">
        <f t="shared" si="2"/>
        <v>20174200</v>
      </c>
      <c r="G40" s="10">
        <v>1150.9000000000001</v>
      </c>
      <c r="H40" s="3">
        <f t="shared" si="3"/>
        <v>21867100</v>
      </c>
      <c r="I40" s="3">
        <v>1191.9000000000001</v>
      </c>
      <c r="J40" s="3">
        <f t="shared" si="4"/>
        <v>22646100</v>
      </c>
      <c r="K40" s="3">
        <f t="shared" si="5"/>
        <v>3404.6</v>
      </c>
      <c r="L40" s="3">
        <f t="shared" si="6"/>
        <v>64687400</v>
      </c>
      <c r="M40" s="3">
        <v>1472.8</v>
      </c>
      <c r="N40" s="3">
        <f t="shared" si="7"/>
        <v>27983200</v>
      </c>
      <c r="O40" s="3">
        <v>1625.2</v>
      </c>
      <c r="P40" s="3">
        <f t="shared" si="8"/>
        <v>30878800</v>
      </c>
      <c r="Q40" s="3">
        <v>1745.6</v>
      </c>
      <c r="R40" s="3">
        <f t="shared" si="9"/>
        <v>33166400</v>
      </c>
      <c r="S40" s="3">
        <f t="shared" si="10"/>
        <v>4843.6000000000004</v>
      </c>
      <c r="T40" s="3">
        <f t="shared" si="11"/>
        <v>92028400</v>
      </c>
      <c r="U40" s="3">
        <v>1677.6</v>
      </c>
      <c r="V40" s="3">
        <f t="shared" si="12"/>
        <v>31874400</v>
      </c>
      <c r="W40" s="3">
        <v>1601.8</v>
      </c>
      <c r="X40" s="3">
        <f t="shared" si="13"/>
        <v>30434200</v>
      </c>
      <c r="Y40" s="3">
        <v>1492.5</v>
      </c>
      <c r="Z40" s="3">
        <f t="shared" si="14"/>
        <v>28357500</v>
      </c>
      <c r="AA40" s="3">
        <f t="shared" si="15"/>
        <v>4771.8999999999996</v>
      </c>
      <c r="AB40" s="3">
        <f t="shared" si="16"/>
        <v>90666100</v>
      </c>
      <c r="AC40" s="3">
        <v>1313.7</v>
      </c>
      <c r="AD40" s="3">
        <f t="shared" si="17"/>
        <v>24960300</v>
      </c>
      <c r="AE40" s="6">
        <v>1253.8</v>
      </c>
      <c r="AF40" s="3">
        <f t="shared" si="18"/>
        <v>23822200</v>
      </c>
      <c r="AG40" s="6">
        <v>1195.5</v>
      </c>
      <c r="AH40" s="3">
        <f t="shared" si="19"/>
        <v>22714500</v>
      </c>
      <c r="AI40" s="3">
        <f t="shared" si="20"/>
        <v>3763</v>
      </c>
      <c r="AJ40" s="3">
        <f t="shared" si="21"/>
        <v>71497000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ht="25" customHeight="1" x14ac:dyDescent="0.2">
      <c r="A41" s="1" t="s">
        <v>40</v>
      </c>
      <c r="B41" s="1" t="s">
        <v>48</v>
      </c>
      <c r="C41" s="3">
        <f t="shared" si="0"/>
        <v>2225.4699999999998</v>
      </c>
      <c r="D41" s="3">
        <f t="shared" si="1"/>
        <v>42283930</v>
      </c>
      <c r="E41" s="3">
        <v>170.2</v>
      </c>
      <c r="F41" s="3">
        <f t="shared" si="2"/>
        <v>3233800</v>
      </c>
      <c r="G41" s="10">
        <v>164.4</v>
      </c>
      <c r="H41" s="3">
        <f t="shared" si="3"/>
        <v>3123600</v>
      </c>
      <c r="I41" s="3">
        <v>232.73</v>
      </c>
      <c r="J41" s="3">
        <f t="shared" si="4"/>
        <v>4421870</v>
      </c>
      <c r="K41" s="3">
        <f t="shared" si="5"/>
        <v>567.33000000000004</v>
      </c>
      <c r="L41" s="3">
        <f t="shared" si="6"/>
        <v>10779270</v>
      </c>
      <c r="M41" s="3">
        <v>229.35</v>
      </c>
      <c r="N41" s="3">
        <f t="shared" si="7"/>
        <v>4357650</v>
      </c>
      <c r="O41" s="3">
        <v>204.36</v>
      </c>
      <c r="P41" s="3">
        <f t="shared" si="8"/>
        <v>3882840.0000000005</v>
      </c>
      <c r="Q41" s="3">
        <v>115.9</v>
      </c>
      <c r="R41" s="3">
        <f t="shared" si="9"/>
        <v>2202100</v>
      </c>
      <c r="S41" s="3">
        <f t="shared" si="10"/>
        <v>549.61</v>
      </c>
      <c r="T41" s="3">
        <f t="shared" si="11"/>
        <v>10442590</v>
      </c>
      <c r="U41" s="3">
        <v>196.23</v>
      </c>
      <c r="V41" s="3">
        <f t="shared" si="12"/>
        <v>3728370</v>
      </c>
      <c r="W41" s="3">
        <v>223.6</v>
      </c>
      <c r="X41" s="3">
        <f t="shared" si="13"/>
        <v>4248400</v>
      </c>
      <c r="Y41" s="3">
        <v>187.85</v>
      </c>
      <c r="Z41" s="3">
        <f t="shared" si="14"/>
        <v>3569150</v>
      </c>
      <c r="AA41" s="3">
        <f t="shared" si="15"/>
        <v>607.67999999999995</v>
      </c>
      <c r="AB41" s="3">
        <f t="shared" si="16"/>
        <v>11545919.999999998</v>
      </c>
      <c r="AC41" s="3">
        <v>178.73</v>
      </c>
      <c r="AD41" s="3">
        <f t="shared" si="17"/>
        <v>3395870</v>
      </c>
      <c r="AE41" s="3">
        <v>169.65</v>
      </c>
      <c r="AF41" s="3">
        <f t="shared" si="18"/>
        <v>3223350</v>
      </c>
      <c r="AG41" s="3">
        <v>152.47</v>
      </c>
      <c r="AH41" s="3">
        <f t="shared" si="19"/>
        <v>2896930</v>
      </c>
      <c r="AI41" s="3">
        <f t="shared" si="20"/>
        <v>500.85</v>
      </c>
      <c r="AJ41" s="3">
        <f t="shared" si="21"/>
        <v>9516150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ht="25" customHeight="1" x14ac:dyDescent="0.2">
      <c r="A42" s="1" t="s">
        <v>41</v>
      </c>
      <c r="B42" s="1" t="s">
        <v>48</v>
      </c>
      <c r="C42" s="3">
        <f t="shared" si="0"/>
        <v>18004.599999999999</v>
      </c>
      <c r="D42" s="3">
        <f t="shared" si="1"/>
        <v>342087400</v>
      </c>
      <c r="E42" s="3">
        <v>1013.1</v>
      </c>
      <c r="F42" s="3">
        <f t="shared" si="2"/>
        <v>19248900</v>
      </c>
      <c r="G42" s="10">
        <v>1284.5</v>
      </c>
      <c r="H42" s="3">
        <f t="shared" si="3"/>
        <v>24405500</v>
      </c>
      <c r="I42" s="3">
        <v>1246.3</v>
      </c>
      <c r="J42" s="3">
        <f t="shared" si="4"/>
        <v>23679700</v>
      </c>
      <c r="K42" s="3">
        <f t="shared" si="5"/>
        <v>3543.8999999999996</v>
      </c>
      <c r="L42" s="3">
        <f t="shared" si="6"/>
        <v>67334100</v>
      </c>
      <c r="M42" s="3">
        <v>1517.5</v>
      </c>
      <c r="N42" s="3">
        <f t="shared" si="7"/>
        <v>28832500</v>
      </c>
      <c r="O42" s="3">
        <v>1624.6</v>
      </c>
      <c r="P42" s="3">
        <f t="shared" si="8"/>
        <v>30867400</v>
      </c>
      <c r="Q42" s="3">
        <v>1870.3</v>
      </c>
      <c r="R42" s="3">
        <f t="shared" si="9"/>
        <v>35535700</v>
      </c>
      <c r="S42" s="3">
        <f t="shared" si="10"/>
        <v>5012.3999999999996</v>
      </c>
      <c r="T42" s="3">
        <f t="shared" si="11"/>
        <v>95235600</v>
      </c>
      <c r="U42" s="3">
        <v>1507.3</v>
      </c>
      <c r="V42" s="3">
        <f t="shared" si="12"/>
        <v>28638700</v>
      </c>
      <c r="W42" s="3">
        <v>1523</v>
      </c>
      <c r="X42" s="3">
        <f t="shared" si="13"/>
        <v>28937000</v>
      </c>
      <c r="Y42" s="3">
        <v>1555.8</v>
      </c>
      <c r="Z42" s="3">
        <f t="shared" si="14"/>
        <v>29560200</v>
      </c>
      <c r="AA42" s="3">
        <f t="shared" si="15"/>
        <v>4586.1000000000004</v>
      </c>
      <c r="AB42" s="3">
        <f t="shared" si="16"/>
        <v>87135900</v>
      </c>
      <c r="AC42" s="3">
        <v>1599.1</v>
      </c>
      <c r="AD42" s="3">
        <f t="shared" si="17"/>
        <v>30382900</v>
      </c>
      <c r="AE42" s="6">
        <v>1663.1</v>
      </c>
      <c r="AF42" s="3">
        <f t="shared" si="18"/>
        <v>31598900</v>
      </c>
      <c r="AG42" s="7">
        <v>1600</v>
      </c>
      <c r="AH42" s="3">
        <f t="shared" si="19"/>
        <v>30400000</v>
      </c>
      <c r="AI42" s="3">
        <f t="shared" si="20"/>
        <v>4862.2</v>
      </c>
      <c r="AJ42" s="3">
        <f t="shared" si="21"/>
        <v>92381800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ht="25" customHeight="1" x14ac:dyDescent="0.2">
      <c r="A43" s="1" t="s">
        <v>42</v>
      </c>
      <c r="B43" s="1" t="s">
        <v>48</v>
      </c>
      <c r="C43" s="3">
        <f t="shared" si="0"/>
        <v>7157.46</v>
      </c>
      <c r="D43" s="3">
        <f t="shared" si="1"/>
        <v>135991740</v>
      </c>
      <c r="E43" s="3">
        <v>615.5</v>
      </c>
      <c r="F43" s="3">
        <f t="shared" si="2"/>
        <v>11694500</v>
      </c>
      <c r="G43" s="10">
        <v>575.32000000000005</v>
      </c>
      <c r="H43" s="3">
        <f t="shared" si="3"/>
        <v>10931080.000000002</v>
      </c>
      <c r="I43" s="3">
        <v>528.78</v>
      </c>
      <c r="J43" s="3">
        <f t="shared" si="4"/>
        <v>10046820</v>
      </c>
      <c r="K43" s="3">
        <f t="shared" si="5"/>
        <v>1719.6000000000001</v>
      </c>
      <c r="L43" s="3">
        <f t="shared" si="6"/>
        <v>32672400.000000004</v>
      </c>
      <c r="M43" s="3">
        <v>451.33</v>
      </c>
      <c r="N43" s="3">
        <f t="shared" si="7"/>
        <v>8575270</v>
      </c>
      <c r="O43" s="3">
        <v>716.32</v>
      </c>
      <c r="P43" s="3">
        <f t="shared" si="8"/>
        <v>13610080.000000002</v>
      </c>
      <c r="Q43" s="3">
        <v>514.78</v>
      </c>
      <c r="R43" s="3">
        <f t="shared" si="9"/>
        <v>9780820</v>
      </c>
      <c r="S43" s="3">
        <f t="shared" si="10"/>
        <v>1682.43</v>
      </c>
      <c r="T43" s="3">
        <f t="shared" si="11"/>
        <v>31966170</v>
      </c>
      <c r="U43" s="3">
        <v>567.59</v>
      </c>
      <c r="V43" s="3">
        <f t="shared" si="12"/>
        <v>10784210</v>
      </c>
      <c r="W43" s="3">
        <v>658.44</v>
      </c>
      <c r="X43" s="3">
        <f t="shared" si="13"/>
        <v>12510360.000000002</v>
      </c>
      <c r="Y43" s="3">
        <v>661.52</v>
      </c>
      <c r="Z43" s="3">
        <f t="shared" si="14"/>
        <v>12568880</v>
      </c>
      <c r="AA43" s="3">
        <f t="shared" si="15"/>
        <v>1887.5500000000002</v>
      </c>
      <c r="AB43" s="3">
        <f t="shared" si="16"/>
        <v>35863450</v>
      </c>
      <c r="AC43" s="3">
        <v>694.44</v>
      </c>
      <c r="AD43" s="3">
        <f t="shared" si="17"/>
        <v>13194360.000000002</v>
      </c>
      <c r="AE43" s="3">
        <v>660.44</v>
      </c>
      <c r="AF43" s="3">
        <f t="shared" si="18"/>
        <v>12548360.000000002</v>
      </c>
      <c r="AG43" s="3">
        <v>513</v>
      </c>
      <c r="AH43" s="3">
        <f t="shared" si="19"/>
        <v>9747000</v>
      </c>
      <c r="AI43" s="3">
        <f t="shared" si="20"/>
        <v>1867.88</v>
      </c>
      <c r="AJ43" s="3">
        <f t="shared" si="21"/>
        <v>35489720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ht="25" customHeight="1" x14ac:dyDescent="0.2">
      <c r="A44" s="1" t="s">
        <v>43</v>
      </c>
      <c r="B44" s="1" t="s">
        <v>48</v>
      </c>
      <c r="C44" s="3">
        <f t="shared" si="0"/>
        <v>40058.300000000003</v>
      </c>
      <c r="D44" s="3">
        <f t="shared" si="1"/>
        <v>761107700</v>
      </c>
      <c r="E44" s="3">
        <v>4651.3</v>
      </c>
      <c r="F44" s="3">
        <f t="shared" si="2"/>
        <v>88374700</v>
      </c>
      <c r="G44" s="10">
        <v>4322.1000000000004</v>
      </c>
      <c r="H44" s="3">
        <f t="shared" si="3"/>
        <v>82119900</v>
      </c>
      <c r="I44" s="3">
        <v>3739.8</v>
      </c>
      <c r="J44" s="3">
        <f t="shared" si="4"/>
        <v>71056200</v>
      </c>
      <c r="K44" s="3">
        <f t="shared" si="5"/>
        <v>12713.2</v>
      </c>
      <c r="L44" s="3">
        <f t="shared" si="6"/>
        <v>241550800</v>
      </c>
      <c r="M44" s="3">
        <v>2519</v>
      </c>
      <c r="N44" s="3">
        <f t="shared" si="7"/>
        <v>47861000</v>
      </c>
      <c r="O44" s="3">
        <v>5137.3999999999996</v>
      </c>
      <c r="P44" s="3">
        <f t="shared" si="8"/>
        <v>97610600</v>
      </c>
      <c r="Q44" s="3">
        <v>3836.3</v>
      </c>
      <c r="R44" s="3">
        <f t="shared" si="9"/>
        <v>72889700</v>
      </c>
      <c r="S44" s="3">
        <f t="shared" si="10"/>
        <v>11492.7</v>
      </c>
      <c r="T44" s="3">
        <f t="shared" si="11"/>
        <v>218361300</v>
      </c>
      <c r="U44" s="3">
        <v>2485.6999999999998</v>
      </c>
      <c r="V44" s="3">
        <f t="shared" si="12"/>
        <v>47228300</v>
      </c>
      <c r="W44" s="3">
        <v>2794</v>
      </c>
      <c r="X44" s="3">
        <f t="shared" si="13"/>
        <v>53086000</v>
      </c>
      <c r="Y44" s="3">
        <v>4095.4</v>
      </c>
      <c r="Z44" s="3">
        <f t="shared" si="14"/>
        <v>77812600</v>
      </c>
      <c r="AA44" s="3">
        <f t="shared" si="15"/>
        <v>9375.1</v>
      </c>
      <c r="AB44" s="3">
        <f t="shared" si="16"/>
        <v>178126900</v>
      </c>
      <c r="AC44" s="3">
        <v>2485.4</v>
      </c>
      <c r="AD44" s="3">
        <f t="shared" si="17"/>
        <v>47222600</v>
      </c>
      <c r="AE44" s="6">
        <v>2287.8000000000002</v>
      </c>
      <c r="AF44" s="3">
        <f t="shared" si="18"/>
        <v>43468200</v>
      </c>
      <c r="AG44" s="6">
        <v>1704.1</v>
      </c>
      <c r="AH44" s="3">
        <f t="shared" si="19"/>
        <v>32377900</v>
      </c>
      <c r="AI44" s="3">
        <f t="shared" si="20"/>
        <v>6477.3000000000011</v>
      </c>
      <c r="AJ44" s="3">
        <f t="shared" si="21"/>
        <v>123068700.00000001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ht="25" customHeight="1" x14ac:dyDescent="0.2">
      <c r="A45" s="1" t="s">
        <v>44</v>
      </c>
      <c r="B45" s="1" t="s">
        <v>48</v>
      </c>
      <c r="C45" s="3">
        <f t="shared" si="0"/>
        <v>7745.24</v>
      </c>
      <c r="D45" s="3">
        <f t="shared" si="1"/>
        <v>147159560</v>
      </c>
      <c r="E45" s="3">
        <v>138.58000000000001</v>
      </c>
      <c r="F45" s="3">
        <f t="shared" si="2"/>
        <v>2633020.0000000005</v>
      </c>
      <c r="G45" s="10">
        <v>36.33</v>
      </c>
      <c r="H45" s="3">
        <f t="shared" si="3"/>
        <v>690270</v>
      </c>
      <c r="I45" s="3">
        <v>96.03</v>
      </c>
      <c r="J45" s="3">
        <f t="shared" si="4"/>
        <v>1824570</v>
      </c>
      <c r="K45" s="3">
        <f t="shared" si="5"/>
        <v>270.94000000000005</v>
      </c>
      <c r="L45" s="3">
        <f t="shared" si="6"/>
        <v>5147860.0000000009</v>
      </c>
      <c r="M45" s="3">
        <v>292.20999999999998</v>
      </c>
      <c r="N45" s="3">
        <f t="shared" si="7"/>
        <v>5551990</v>
      </c>
      <c r="O45" s="3">
        <v>150.47999999999999</v>
      </c>
      <c r="P45" s="3">
        <f t="shared" si="8"/>
        <v>2859120</v>
      </c>
      <c r="Q45" s="3">
        <v>162.63</v>
      </c>
      <c r="R45" s="3">
        <f t="shared" si="9"/>
        <v>3089970</v>
      </c>
      <c r="S45" s="3">
        <f t="shared" si="10"/>
        <v>605.31999999999994</v>
      </c>
      <c r="T45" s="3">
        <f t="shared" si="11"/>
        <v>11501079.999999998</v>
      </c>
      <c r="U45" s="3">
        <v>980.24</v>
      </c>
      <c r="V45" s="3">
        <f t="shared" si="12"/>
        <v>18624560</v>
      </c>
      <c r="W45" s="3">
        <v>1074.1099999999999</v>
      </c>
      <c r="X45" s="3">
        <f t="shared" si="13"/>
        <v>20408089.999999996</v>
      </c>
      <c r="Y45" s="3">
        <v>1180.04</v>
      </c>
      <c r="Z45" s="3">
        <f t="shared" si="14"/>
        <v>22420760</v>
      </c>
      <c r="AA45" s="3">
        <f t="shared" si="15"/>
        <v>3234.39</v>
      </c>
      <c r="AB45" s="3">
        <f t="shared" si="16"/>
        <v>61453410</v>
      </c>
      <c r="AC45" s="3">
        <v>1516.39</v>
      </c>
      <c r="AD45" s="3">
        <f t="shared" si="17"/>
        <v>28811410.000000004</v>
      </c>
      <c r="AE45" s="3">
        <v>1308.2</v>
      </c>
      <c r="AF45" s="3">
        <f t="shared" si="18"/>
        <v>24855800</v>
      </c>
      <c r="AG45" s="3">
        <v>810</v>
      </c>
      <c r="AH45" s="3">
        <f t="shared" si="19"/>
        <v>15390000</v>
      </c>
      <c r="AI45" s="3">
        <f t="shared" si="20"/>
        <v>3634.59</v>
      </c>
      <c r="AJ45" s="3">
        <f t="shared" si="21"/>
        <v>69057210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ht="25" customHeight="1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ht="25" customHeight="1" x14ac:dyDescent="0.2">
      <c r="C47" s="9" t="s">
        <v>83</v>
      </c>
      <c r="D47" s="3" t="s">
        <v>82</v>
      </c>
      <c r="E47" s="9" t="s">
        <v>83</v>
      </c>
      <c r="F47" s="3" t="s">
        <v>82</v>
      </c>
      <c r="G47" s="9" t="s">
        <v>83</v>
      </c>
      <c r="H47" s="3" t="s">
        <v>82</v>
      </c>
      <c r="I47" s="9" t="s">
        <v>83</v>
      </c>
      <c r="J47" s="3" t="s">
        <v>82</v>
      </c>
      <c r="K47" s="9" t="s">
        <v>83</v>
      </c>
      <c r="L47" s="3" t="s">
        <v>82</v>
      </c>
      <c r="M47" s="9" t="s">
        <v>83</v>
      </c>
      <c r="N47" s="3" t="s">
        <v>82</v>
      </c>
      <c r="O47" s="9" t="s">
        <v>83</v>
      </c>
      <c r="P47" s="3" t="s">
        <v>82</v>
      </c>
      <c r="Q47" s="9" t="s">
        <v>83</v>
      </c>
      <c r="R47" s="3" t="s">
        <v>82</v>
      </c>
      <c r="S47" s="9" t="s">
        <v>83</v>
      </c>
      <c r="T47" s="3" t="s">
        <v>82</v>
      </c>
      <c r="U47" s="9" t="s">
        <v>83</v>
      </c>
      <c r="V47" s="3" t="s">
        <v>82</v>
      </c>
      <c r="W47" s="9" t="s">
        <v>83</v>
      </c>
      <c r="X47" s="3" t="s">
        <v>82</v>
      </c>
      <c r="Y47" s="9" t="s">
        <v>83</v>
      </c>
      <c r="Z47" s="3" t="s">
        <v>82</v>
      </c>
      <c r="AA47" s="9" t="s">
        <v>83</v>
      </c>
      <c r="AB47" s="3" t="s">
        <v>82</v>
      </c>
      <c r="AC47" s="9" t="s">
        <v>83</v>
      </c>
      <c r="AD47" s="3" t="s">
        <v>82</v>
      </c>
      <c r="AE47" s="9" t="s">
        <v>83</v>
      </c>
      <c r="AF47" s="3" t="s">
        <v>82</v>
      </c>
      <c r="AG47" s="9" t="s">
        <v>83</v>
      </c>
      <c r="AH47" s="3" t="s">
        <v>82</v>
      </c>
      <c r="AI47" s="9" t="s">
        <v>83</v>
      </c>
      <c r="AJ47" s="3" t="s">
        <v>82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</row>
    <row r="48" spans="1:73" ht="25" customHeight="1" x14ac:dyDescent="0.2">
      <c r="B48" s="1" t="s">
        <v>79</v>
      </c>
      <c r="C48" s="4">
        <f>C2+C4+C6+C9+C11+C13+C14+C16+C20+C21+C23+C25+C28+C29+C30+C32+C34+C36+C38+C40+C42+C44</f>
        <v>401579.15299999987</v>
      </c>
      <c r="D48" s="3">
        <f t="shared" si="1"/>
        <v>7630003907</v>
      </c>
      <c r="E48" s="4">
        <f>E2+E4+E6+E9+E11+E13+E14+E16+E20+E21+E23+E25+E28+E29+E30+E32+E34+E36+E38+E40+E42+E44</f>
        <v>32671.316000000003</v>
      </c>
      <c r="F48" s="3">
        <f>E48*19000</f>
        <v>620755004</v>
      </c>
      <c r="G48" s="4">
        <f t="shared" ref="G48" si="22">G2+G4+G6+G9+G11+G13+G14+G16+G20+G21+G23+G25+G28+G29+G30+G32+G34+G36+G38+G40+G42+G44</f>
        <v>31010.04</v>
      </c>
      <c r="H48" s="3">
        <f t="shared" ref="H48:H50" si="23">G48*19000</f>
        <v>589190760</v>
      </c>
      <c r="I48" s="4">
        <f t="shared" ref="I48" si="24">I2+I4+I6+I9+I11+I13+I14+I16+I20+I21+I23+I25+I28+I29+I30+I32+I34+I36+I38+I40+I42+I44</f>
        <v>31043.411</v>
      </c>
      <c r="J48" s="3">
        <f t="shared" ref="J48:J50" si="25">I48*19000</f>
        <v>589824809</v>
      </c>
      <c r="K48" s="4">
        <f t="shared" ref="K48" si="26">K2+K4+K6+K9+K11+K13+K14+K16+K20+K21+K23+K25+K28+K29+K30+K32+K34+K36+K38+K40+K42+K44</f>
        <v>94724.767000000007</v>
      </c>
      <c r="L48" s="3">
        <f t="shared" ref="L48:L49" si="27">K48*19000</f>
        <v>1799770573.0000002</v>
      </c>
      <c r="M48" s="4">
        <f t="shared" ref="M48" si="28">M2+M4+M6+M9+M11+M13+M14+M16+M20+M21+M23+M25+M28+M29+M30+M32+M34+M36+M38+M40+M42+M44</f>
        <v>36034.262000000002</v>
      </c>
      <c r="N48" s="3">
        <f t="shared" ref="N48:N50" si="29">M48*19000</f>
        <v>684650978</v>
      </c>
      <c r="O48" s="4">
        <f t="shared" ref="O48" si="30">O2+O4+O6+O9+O11+O13+O14+O16+O20+O21+O23+O25+O28+O29+O30+O32+O34+O36+O38+O40+O42+O44</f>
        <v>38446.595000000001</v>
      </c>
      <c r="P48" s="3">
        <f t="shared" ref="P48:P50" si="31">O48*19000</f>
        <v>730485305</v>
      </c>
      <c r="Q48" s="4">
        <f t="shared" ref="Q48" si="32">Q2+Q4+Q6+Q9+Q11+Q13+Q14+Q16+Q20+Q21+Q23+Q25+Q28+Q29+Q30+Q32+Q34+Q36+Q38+Q40+Q42+Q44</f>
        <v>36981.834999999999</v>
      </c>
      <c r="R48" s="3">
        <f t="shared" ref="R48:R50" si="33">Q48*19000</f>
        <v>702654865</v>
      </c>
      <c r="S48" s="4">
        <f t="shared" ref="S48" si="34">S2+S4+S6+S9+S11+S13+S14+S16+S20+S21+S23+S25+S28+S29+S30+S32+S34+S36+S38+S40+S42+S44</f>
        <v>111462.692</v>
      </c>
      <c r="T48" s="3">
        <f t="shared" ref="T48:T50" si="35">S48*19000</f>
        <v>2117791148</v>
      </c>
      <c r="U48" s="4">
        <f t="shared" ref="U48" si="36">U2+U4+U6+U9+U11+U13+U14+U16+U20+U21+U23+U25+U28+U29+U30+U32+U34+U36+U38+U40+U42+U44</f>
        <v>35950.046999999991</v>
      </c>
      <c r="V48" s="3">
        <f t="shared" ref="V48:V50" si="37">U48*19000</f>
        <v>683050892.99999988</v>
      </c>
      <c r="W48" s="4">
        <f t="shared" ref="W48" si="38">W2+W4+W6+W9+W11+W13+W14+W16+W20+W21+W23+W25+W28+W29+W30+W32+W34+W36+W38+W40+W42+W44</f>
        <v>37084.815000000002</v>
      </c>
      <c r="X48" s="3">
        <f t="shared" ref="X48:X50" si="39">W48*19000</f>
        <v>704611485</v>
      </c>
      <c r="Y48" s="4">
        <f t="shared" ref="Y48" si="40">Y2+Y4+Y6+Y9+Y11+Y13+Y14+Y16+Y20+Y21+Y23+Y25+Y28+Y29+Y30+Y32+Y34+Y36+Y38+Y40+Y42+Y44</f>
        <v>39039.397000000004</v>
      </c>
      <c r="Z48" s="3">
        <f t="shared" ref="Z48:Z50" si="41">Y48*19000</f>
        <v>741748543.00000012</v>
      </c>
      <c r="AA48" s="4">
        <f t="shared" ref="AA48" si="42">AA2+AA4+AA6+AA9+AA11+AA13+AA14+AA16+AA20+AA21+AA23+AA25+AA28+AA29+AA30+AA32+AA34+AA36+AA38+AA40+AA42+AA44</f>
        <v>112074.25899999999</v>
      </c>
      <c r="AB48" s="3">
        <f t="shared" ref="AB48:AB50" si="43">AA48*19000</f>
        <v>2129410920.9999998</v>
      </c>
      <c r="AC48" s="4">
        <f t="shared" ref="AC48" si="44">AC2+AC4+AC6+AC9+AC11+AC13+AC14+AC16+AC20+AC21+AC23+AC25+AC28+AC29+AC30+AC32+AC34+AC36+AC38+AC40+AC42+AC44</f>
        <v>34149.214</v>
      </c>
      <c r="AD48" s="3">
        <f t="shared" ref="AD48:AD50" si="45">AC48*19000</f>
        <v>648835066</v>
      </c>
      <c r="AE48" s="4">
        <f t="shared" ref="AE48" si="46">AE2+AE4+AE6+AE9+AE11+AE13+AE14+AE16+AE20+AE21+AE23+AE25+AE28+AE29+AE30+AE32+AE34+AE36+AE38+AE40+AE42+AE44</f>
        <v>32685.759999999995</v>
      </c>
      <c r="AF48" s="3">
        <f t="shared" ref="AF48:AF50" si="47">AE48*19000</f>
        <v>621029439.99999988</v>
      </c>
      <c r="AG48" s="4">
        <f t="shared" ref="AG48" si="48">AG2+AG4+AG6+AG9+AG11+AG13+AG14+AG16+AG20+AG21+AG23+AG25+AG28+AG29+AG30+AG32+AG34+AG36+AG38+AG40+AG42+AG44</f>
        <v>16482.460999999999</v>
      </c>
      <c r="AH48" s="3">
        <f t="shared" ref="AH48:AH50" si="49">AG48*19000</f>
        <v>313166759</v>
      </c>
      <c r="AI48" s="4">
        <f t="shared" ref="AI48" si="50">AI2+AI4+AI6+AI9+AI11+AI13+AI14+AI16+AI20+AI21+AI23+AI25+AI28+AI29+AI30+AI32+AI34+AI36+AI38+AI40+AI42+AI44</f>
        <v>83317.434999999998</v>
      </c>
      <c r="AJ48" s="3">
        <f>AI48*19000</f>
        <v>1583031265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</row>
    <row r="49" spans="2:73" ht="25" customHeight="1" x14ac:dyDescent="0.2">
      <c r="B49" s="1" t="s">
        <v>80</v>
      </c>
      <c r="C49" s="8">
        <f>C3+C5+C7+C8+C10+C12+C15+C17+C18+C19+C22+C24+C26+C27+C31+C33+C35+C37+C39+C41+C43+C45</f>
        <v>209948.48999999996</v>
      </c>
      <c r="D49" s="3">
        <f t="shared" si="1"/>
        <v>3989021310</v>
      </c>
      <c r="E49" s="8">
        <f>E3+E5+E7+E8+E10+E12+E15+E17+E18+E19+E22+E24+E26+E27+E31+E33+E35+E37+E39+E41+E43+E45</f>
        <v>13982.070000000002</v>
      </c>
      <c r="F49" s="3">
        <f>E49*19000</f>
        <v>265659330.00000003</v>
      </c>
      <c r="G49" s="8">
        <f t="shared" ref="G49" si="51">G3+G5+G7+G8+G10+G12+G15+G17+G18+G19+G22+G24+G26+G27+G31+G33+G35+G37+G39+G41+G43+G45</f>
        <v>9371.02</v>
      </c>
      <c r="H49" s="3">
        <f t="shared" si="23"/>
        <v>178049380</v>
      </c>
      <c r="I49" s="8">
        <f t="shared" ref="I49" si="52">I3+I5+I7+I8+I10+I12+I15+I17+I18+I19+I22+I24+I26+I27+I31+I33+I35+I37+I39+I41+I43+I45</f>
        <v>13805.29</v>
      </c>
      <c r="J49" s="3">
        <f t="shared" si="25"/>
        <v>262300510.00000003</v>
      </c>
      <c r="K49" s="8">
        <f t="shared" ref="K49" si="53">K3+K5+K7+K8+K10+K12+K15+K17+K18+K19+K22+K24+K26+K27+K31+K33+K35+K37+K39+K41+K43+K45</f>
        <v>37158.379999999997</v>
      </c>
      <c r="L49" s="3">
        <f t="shared" si="27"/>
        <v>706009220</v>
      </c>
      <c r="M49" s="8">
        <f t="shared" ref="M49" si="54">M3+M5+M7+M8+M10+M12+M15+M17+M18+M19+M22+M24+M26+M27+M31+M33+M35+M37+M39+M41+M43+M45</f>
        <v>13032.600000000002</v>
      </c>
      <c r="N49" s="3">
        <f t="shared" si="29"/>
        <v>247619400.00000003</v>
      </c>
      <c r="O49" s="8">
        <f t="shared" ref="O49" si="55">O3+O5+O7+O8+O10+O12+O15+O17+O18+O19+O22+O24+O26+O27+O31+O33+O35+O37+O39+O41+O43+O45</f>
        <v>16472.469999999998</v>
      </c>
      <c r="P49" s="3">
        <f t="shared" si="31"/>
        <v>312976929.99999994</v>
      </c>
      <c r="Q49" s="8">
        <f t="shared" ref="Q49" si="56">Q3+Q5+Q7+Q8+Q10+Q12+Q15+Q17+Q18+Q19+Q22+Q24+Q26+Q27+Q31+Q33+Q35+Q37+Q39+Q41+Q43+Q45</f>
        <v>15310.42</v>
      </c>
      <c r="R49" s="3">
        <f t="shared" si="33"/>
        <v>290897980</v>
      </c>
      <c r="S49" s="8">
        <f t="shared" ref="S49" si="57">S3+S5+S7+S8+S10+S12+S15+S17+S18+S19+S22+S24+S26+S27+S31+S33+S35+S37+S39+S41+S43+S45</f>
        <v>44815.49</v>
      </c>
      <c r="T49" s="3">
        <f t="shared" si="35"/>
        <v>851494310</v>
      </c>
      <c r="U49" s="8">
        <f t="shared" ref="U49" si="58">U3+U5+U7+U8+U10+U12+U15+U17+U18+U19+U22+U24+U26+U27+U31+U33+U35+U37+U39+U41+U43+U45</f>
        <v>24598.190000000002</v>
      </c>
      <c r="V49" s="3">
        <f t="shared" si="37"/>
        <v>467365610.00000006</v>
      </c>
      <c r="W49" s="8">
        <f t="shared" ref="W49" si="59">W3+W5+W7+W8+W10+W12+W15+W17+W18+W19+W22+W24+W26+W27+W31+W33+W35+W37+W39+W41+W43+W45</f>
        <v>20712.819999999996</v>
      </c>
      <c r="X49" s="3">
        <f t="shared" si="39"/>
        <v>393543579.99999994</v>
      </c>
      <c r="Y49" s="8">
        <f t="shared" ref="Y49" si="60">Y3+Y5+Y7+Y8+Y10+Y12+Y15+Y17+Y18+Y19+Y22+Y24+Y26+Y27+Y31+Y33+Y35+Y37+Y39+Y41+Y43+Y45</f>
        <v>22615.229999999996</v>
      </c>
      <c r="Z49" s="3">
        <f t="shared" si="41"/>
        <v>429689369.99999994</v>
      </c>
      <c r="AA49" s="8">
        <f t="shared" ref="AA49" si="61">AA3+AA5+AA7+AA8+AA10+AA12+AA15+AA17+AA18+AA19+AA22+AA24+AA26+AA27+AA31+AA33+AA35+AA37+AA39+AA41+AA43+AA45</f>
        <v>67926.240000000005</v>
      </c>
      <c r="AB49" s="3">
        <f t="shared" si="43"/>
        <v>1290598560</v>
      </c>
      <c r="AC49" s="8">
        <f t="shared" ref="AC49" si="62">AC3+AC5+AC7+AC8+AC10+AC12+AC15+AC17+AC18+AC19+AC22+AC24+AC26+AC27+AC31+AC33+AC35+AC37+AC39+AC41+AC43+AC45</f>
        <v>21363.16</v>
      </c>
      <c r="AD49" s="3">
        <f t="shared" si="45"/>
        <v>405900040</v>
      </c>
      <c r="AE49" s="8">
        <f t="shared" ref="AE49" si="63">AE3+AE5+AE7+AE8+AE10+AE12+AE15+AE17+AE18+AE19+AE22+AE24+AE26+AE27+AE31+AE33+AE35+AE37+AE39+AE41+AE43+AE45</f>
        <v>20517.810000000001</v>
      </c>
      <c r="AF49" s="3">
        <f t="shared" si="47"/>
        <v>389838390</v>
      </c>
      <c r="AG49" s="8">
        <f t="shared" ref="AG49" si="64">AG3+AG5+AG7+AG8+AG10+AG12+AG15+AG17+AG18+AG19+AG22+AG24+AG26+AG27+AG31+AG33+AG35+AG37+AG39+AG41+AG43+AG45</f>
        <v>18167.41</v>
      </c>
      <c r="AH49" s="3">
        <f t="shared" si="49"/>
        <v>345180790</v>
      </c>
      <c r="AI49" s="8">
        <f t="shared" ref="AI49" si="65">AI3+AI5+AI7+AI8+AI10+AI12+AI15+AI17+AI18+AI19+AI22+AI24+AI26+AI27+AI31+AI33+AI35+AI37+AI39+AI41+AI43+AI45</f>
        <v>60048.380000000005</v>
      </c>
      <c r="AJ49" s="3">
        <f t="shared" ref="AJ49" si="66">AI49*19000</f>
        <v>1140919220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</row>
    <row r="50" spans="2:73" ht="25" customHeight="1" x14ac:dyDescent="0.2">
      <c r="B50" s="1" t="s">
        <v>81</v>
      </c>
      <c r="C50" s="4">
        <f>PUD!B34</f>
        <v>14345.958069999997</v>
      </c>
      <c r="D50" s="3">
        <f>L50+T50+AB50+AJ50</f>
        <v>272573203.32999998</v>
      </c>
      <c r="E50" s="4">
        <f>PUD!D34</f>
        <v>1165.9910000000002</v>
      </c>
      <c r="F50" s="3">
        <f>E50*19000</f>
        <v>22153829.000000004</v>
      </c>
      <c r="G50" s="4">
        <f>PUD!F34</f>
        <v>1226.752</v>
      </c>
      <c r="H50" s="3">
        <f t="shared" si="23"/>
        <v>23308288</v>
      </c>
      <c r="I50" s="4">
        <f>PUD!H34</f>
        <v>1450.6800299999998</v>
      </c>
      <c r="J50" s="3">
        <f t="shared" si="25"/>
        <v>27562920.569999997</v>
      </c>
      <c r="K50" s="4">
        <f>E50+G50+I50</f>
        <v>3843.4230299999999</v>
      </c>
      <c r="L50" s="3">
        <f>K50*19000</f>
        <v>73025037.569999993</v>
      </c>
      <c r="M50" s="4">
        <f>PUD!L34</f>
        <v>1420.3251400000001</v>
      </c>
      <c r="N50" s="3">
        <f t="shared" si="29"/>
        <v>26986177.660000004</v>
      </c>
      <c r="O50" s="4">
        <f>PUD!N34</f>
        <v>1448.5969999999998</v>
      </c>
      <c r="P50" s="3">
        <f t="shared" si="31"/>
        <v>27523342.999999996</v>
      </c>
      <c r="Q50" s="4">
        <f>PUD!P34</f>
        <v>1268.7349999999997</v>
      </c>
      <c r="R50" s="3">
        <f t="shared" si="33"/>
        <v>24105964.999999993</v>
      </c>
      <c r="S50" s="4">
        <f>M50+O50+Q50</f>
        <v>4137.6571399999993</v>
      </c>
      <c r="T50" s="3">
        <f t="shared" si="35"/>
        <v>78615485.659999982</v>
      </c>
      <c r="U50" s="4">
        <f>PUD!T34</f>
        <v>1060.2183000000002</v>
      </c>
      <c r="V50" s="3">
        <f t="shared" si="37"/>
        <v>20144147.700000003</v>
      </c>
      <c r="W50" s="4">
        <f>PUD!V34</f>
        <v>1107.8700999999999</v>
      </c>
      <c r="X50" s="3">
        <f t="shared" si="39"/>
        <v>21049531.899999999</v>
      </c>
      <c r="Y50" s="4">
        <f>PUD!X34</f>
        <v>1120.0662</v>
      </c>
      <c r="Z50" s="3">
        <f t="shared" si="41"/>
        <v>21281257.800000001</v>
      </c>
      <c r="AA50" s="4">
        <f>U50+W50+Y50</f>
        <v>3288.1545999999998</v>
      </c>
      <c r="AB50" s="3">
        <f t="shared" si="43"/>
        <v>62474937.399999999</v>
      </c>
      <c r="AC50" s="4">
        <f>PUD!AB34</f>
        <v>1107.7900000000002</v>
      </c>
      <c r="AD50" s="3">
        <f t="shared" si="45"/>
        <v>21048010.000000004</v>
      </c>
      <c r="AE50" s="4">
        <f>PUD!AD34</f>
        <v>1065.135</v>
      </c>
      <c r="AF50" s="3">
        <f t="shared" si="47"/>
        <v>20237565</v>
      </c>
      <c r="AG50" s="4">
        <f>PUD!AF34</f>
        <v>903.79830000000027</v>
      </c>
      <c r="AH50" s="3">
        <f t="shared" si="49"/>
        <v>17172167.700000007</v>
      </c>
      <c r="AI50" s="4">
        <f>AC50+AE50+AG50</f>
        <v>3076.7233000000006</v>
      </c>
      <c r="AJ50" s="3">
        <f>AI50*19000</f>
        <v>58457742.70000001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</row>
    <row r="51" spans="2:73" ht="25" customHeight="1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</row>
    <row r="52" spans="2:73" ht="25" customHeight="1" x14ac:dyDescent="0.2">
      <c r="B52" s="3"/>
      <c r="C52" s="4">
        <f>SUM(C48:C51)</f>
        <v>625873.60106999986</v>
      </c>
      <c r="D52" s="4">
        <f>C48+C49</f>
        <v>611527.64299999981</v>
      </c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</row>
    <row r="53" spans="2:73" ht="25" customHeight="1" x14ac:dyDescent="0.2">
      <c r="B53" s="4">
        <v>634000.12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</row>
    <row r="54" spans="2:73" ht="25" customHeight="1" x14ac:dyDescent="0.2">
      <c r="B54" s="3">
        <f>B53-C52</f>
        <v>8126.5189300001366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</row>
    <row r="55" spans="2:73" ht="25" customHeight="1" x14ac:dyDescent="0.2">
      <c r="B55" s="3"/>
      <c r="C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</row>
    <row r="56" spans="2:73" ht="25" customHeight="1" x14ac:dyDescent="0.2">
      <c r="B56" s="3">
        <v>633866.09</v>
      </c>
      <c r="C56" s="4">
        <v>604844.30000000005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</row>
    <row r="57" spans="2:73" ht="25" customHeight="1" x14ac:dyDescent="0.2">
      <c r="C57" s="4">
        <f>C56-C52</f>
        <v>-21029.301069999812</v>
      </c>
      <c r="D57" s="3"/>
      <c r="E57" s="3">
        <v>119834.8</v>
      </c>
      <c r="F57" s="3">
        <v>32387.18</v>
      </c>
      <c r="G57" s="3">
        <v>11918.99</v>
      </c>
      <c r="I57" s="3">
        <f>SUM(E57:H57)</f>
        <v>164140.97</v>
      </c>
      <c r="J57" s="4"/>
      <c r="K57" s="4"/>
      <c r="L57" s="4"/>
      <c r="M57" s="4"/>
      <c r="N57" s="11">
        <v>34149.21</v>
      </c>
      <c r="P57" s="11">
        <v>34882.46</v>
      </c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</row>
    <row r="58" spans="2:73" ht="25" customHeight="1" x14ac:dyDescent="0.2">
      <c r="C58" s="4"/>
      <c r="D58" s="4"/>
      <c r="E58" s="3">
        <v>54893.18</v>
      </c>
      <c r="F58" s="3">
        <v>18743.88</v>
      </c>
      <c r="G58" s="3">
        <v>16956.73</v>
      </c>
      <c r="I58" s="3">
        <f t="shared" ref="I58:I59" si="67">SUM(E58:H58)</f>
        <v>90593.79</v>
      </c>
      <c r="J58" s="4"/>
      <c r="K58" s="4"/>
      <c r="L58" s="4"/>
      <c r="M58" s="4"/>
      <c r="N58" s="11">
        <v>21363.16</v>
      </c>
      <c r="P58" s="11">
        <f>18167.41</f>
        <v>18167.41</v>
      </c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</row>
    <row r="59" spans="2:73" ht="25" customHeight="1" x14ac:dyDescent="0.2">
      <c r="C59" s="4"/>
      <c r="D59" s="4"/>
      <c r="E59" s="3">
        <v>3944.49</v>
      </c>
      <c r="F59" s="3">
        <v>1369.87</v>
      </c>
      <c r="G59" s="3">
        <v>972.45</v>
      </c>
      <c r="I59" s="3">
        <f t="shared" si="67"/>
        <v>6286.8099999999995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</row>
    <row r="60" spans="2:73" ht="25" customHeight="1" x14ac:dyDescent="0.2">
      <c r="C60" s="4"/>
      <c r="D60" s="4"/>
      <c r="E60" s="3"/>
      <c r="F60" s="3"/>
      <c r="G60" s="3"/>
      <c r="I60" s="3">
        <f>SUM(I57:I59)</f>
        <v>261021.57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</row>
    <row r="61" spans="2:73" ht="25" customHeight="1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</row>
    <row r="62" spans="2:73" ht="25" customHeight="1" x14ac:dyDescent="0.2">
      <c r="B62" s="12"/>
      <c r="C62" s="21" t="s">
        <v>86</v>
      </c>
      <c r="D62" s="21"/>
      <c r="E62" s="21" t="s">
        <v>87</v>
      </c>
      <c r="F62" s="21"/>
      <c r="G62" s="21" t="s">
        <v>88</v>
      </c>
      <c r="H62" s="21"/>
      <c r="I62" s="21" t="s">
        <v>89</v>
      </c>
      <c r="J62" s="21"/>
      <c r="K62" s="21" t="s">
        <v>90</v>
      </c>
      <c r="L62" s="21"/>
      <c r="M62" s="21" t="s">
        <v>91</v>
      </c>
      <c r="N62" s="21"/>
      <c r="O62" s="21" t="s">
        <v>92</v>
      </c>
      <c r="P62" s="21"/>
      <c r="Q62" s="21" t="s">
        <v>93</v>
      </c>
      <c r="R62" s="21"/>
      <c r="S62" s="21" t="s">
        <v>94</v>
      </c>
      <c r="T62" s="21"/>
      <c r="U62" s="21" t="s">
        <v>95</v>
      </c>
      <c r="V62" s="21"/>
      <c r="W62" s="21" t="s">
        <v>96</v>
      </c>
      <c r="X62" s="21"/>
      <c r="Y62" s="21" t="s">
        <v>97</v>
      </c>
      <c r="Z62" s="21"/>
      <c r="AA62" s="14"/>
      <c r="AB62" s="1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</row>
    <row r="63" spans="2:73" ht="25" customHeight="1" x14ac:dyDescent="0.2">
      <c r="B63" s="12"/>
      <c r="C63" s="13" t="s">
        <v>83</v>
      </c>
      <c r="D63" s="15" t="s">
        <v>82</v>
      </c>
      <c r="E63" s="13" t="s">
        <v>83</v>
      </c>
      <c r="F63" s="15" t="s">
        <v>82</v>
      </c>
      <c r="G63" s="13" t="s">
        <v>83</v>
      </c>
      <c r="H63" s="15" t="s">
        <v>82</v>
      </c>
      <c r="I63" s="13" t="s">
        <v>83</v>
      </c>
      <c r="J63" s="15" t="s">
        <v>82</v>
      </c>
      <c r="K63" s="13" t="s">
        <v>83</v>
      </c>
      <c r="L63" s="15" t="s">
        <v>82</v>
      </c>
      <c r="M63" s="13" t="s">
        <v>83</v>
      </c>
      <c r="N63" s="15" t="s">
        <v>82</v>
      </c>
      <c r="O63" s="13" t="s">
        <v>83</v>
      </c>
      <c r="P63" s="15" t="s">
        <v>82</v>
      </c>
      <c r="Q63" s="13" t="s">
        <v>83</v>
      </c>
      <c r="R63" s="15" t="s">
        <v>82</v>
      </c>
      <c r="S63" s="13" t="s">
        <v>83</v>
      </c>
      <c r="T63" s="15" t="s">
        <v>82</v>
      </c>
      <c r="U63" s="13" t="s">
        <v>83</v>
      </c>
      <c r="V63" s="15" t="s">
        <v>82</v>
      </c>
      <c r="W63" s="13" t="s">
        <v>83</v>
      </c>
      <c r="X63" s="15" t="s">
        <v>82</v>
      </c>
      <c r="Y63" s="13" t="s">
        <v>83</v>
      </c>
      <c r="Z63" s="15" t="s">
        <v>82</v>
      </c>
      <c r="AA63" s="14" t="s">
        <v>84</v>
      </c>
      <c r="AB63" s="14" t="s">
        <v>85</v>
      </c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</row>
    <row r="64" spans="2:73" ht="25" customHeight="1" x14ac:dyDescent="0.2">
      <c r="B64" s="12" t="s">
        <v>79</v>
      </c>
      <c r="C64" s="14">
        <v>29026.65</v>
      </c>
      <c r="D64" s="14">
        <f>C64*19000</f>
        <v>551506350</v>
      </c>
      <c r="E64" s="14">
        <v>27959.473999999998</v>
      </c>
      <c r="F64" s="16">
        <f>E64*19000</f>
        <v>531230005.99999994</v>
      </c>
      <c r="G64" s="14">
        <v>30929.851999999999</v>
      </c>
      <c r="H64" s="16">
        <f>G64*19000</f>
        <v>587667188</v>
      </c>
      <c r="I64" s="14">
        <v>35601.817000000003</v>
      </c>
      <c r="J64" s="16">
        <f>I64*19000</f>
        <v>676434523</v>
      </c>
      <c r="K64" s="14">
        <v>36331.819000000003</v>
      </c>
      <c r="L64" s="16">
        <f>K64*19000</f>
        <v>690304561.00000012</v>
      </c>
      <c r="M64" s="14">
        <v>37365</v>
      </c>
      <c r="N64" s="16">
        <f>M64*19000</f>
        <v>709935000</v>
      </c>
      <c r="O64" s="14">
        <v>36418.31</v>
      </c>
      <c r="P64" s="16">
        <f>O64*19000</f>
        <v>691947890</v>
      </c>
      <c r="Q64" s="14">
        <v>39402.519999999997</v>
      </c>
      <c r="R64" s="16">
        <f>Q64*19000</f>
        <v>748647879.99999988</v>
      </c>
      <c r="S64" s="14">
        <v>44013.97</v>
      </c>
      <c r="T64" s="16">
        <f>S64*19000</f>
        <v>836265430</v>
      </c>
      <c r="U64" s="14">
        <v>32387.69</v>
      </c>
      <c r="V64" s="16">
        <f>U64*19000</f>
        <v>615366110</v>
      </c>
      <c r="W64" s="17">
        <v>31022.66</v>
      </c>
      <c r="X64" s="16">
        <f>W64*19000</f>
        <v>589430540</v>
      </c>
      <c r="Y64" s="14">
        <f>14882.46+760.53</f>
        <v>15642.99</v>
      </c>
      <c r="Z64" s="16">
        <f>Y64*19000</f>
        <v>297216810</v>
      </c>
      <c r="AA64" s="16">
        <f>C64+E64+G64+I64+K64+M64+O64+Q64+S64+U64+W64+Y64</f>
        <v>396102.75199999998</v>
      </c>
      <c r="AB64" s="16">
        <f>D64+F64+H64+J64+L64+N64+P64+R64+T64+V64+X64+Z64</f>
        <v>7525952288</v>
      </c>
      <c r="AC64" s="4"/>
      <c r="AD64" s="4">
        <f>SUM(C64:Y64)</f>
        <v>7229131580.7519989</v>
      </c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</row>
    <row r="65" spans="2:73" ht="25" customHeight="1" x14ac:dyDescent="0.2">
      <c r="B65" s="12" t="s">
        <v>80</v>
      </c>
      <c r="C65" s="14">
        <v>13917.26</v>
      </c>
      <c r="D65" s="14">
        <f t="shared" ref="D65:D66" si="68">C65*19000</f>
        <v>264427940</v>
      </c>
      <c r="E65" s="14">
        <v>9371.0110000000004</v>
      </c>
      <c r="F65" s="16">
        <f t="shared" ref="F65:F66" si="69">E65*19000</f>
        <v>178049209</v>
      </c>
      <c r="G65" s="14">
        <v>15085.344999999999</v>
      </c>
      <c r="H65" s="16">
        <f t="shared" ref="H65:H66" si="70">G65*19000</f>
        <v>286621555</v>
      </c>
      <c r="I65" s="14">
        <v>13032.593000000001</v>
      </c>
      <c r="J65" s="16">
        <f t="shared" ref="J65:J66" si="71">I65*19000</f>
        <v>247619267</v>
      </c>
      <c r="K65" s="14">
        <v>16340.752</v>
      </c>
      <c r="L65" s="16">
        <f t="shared" ref="L65:L66" si="72">K65*19000</f>
        <v>310474288</v>
      </c>
      <c r="M65" s="14">
        <v>13259.35</v>
      </c>
      <c r="N65" s="16">
        <f t="shared" ref="N65:N66" si="73">M65*19000</f>
        <v>251927650</v>
      </c>
      <c r="O65" s="14">
        <v>20516.43</v>
      </c>
      <c r="P65" s="16">
        <f t="shared" ref="P65:P66" si="74">O65*19000</f>
        <v>389812170</v>
      </c>
      <c r="Q65" s="14">
        <v>15285.92</v>
      </c>
      <c r="R65" s="16">
        <f t="shared" ref="R65:R66" si="75">Q65*19000</f>
        <v>290432480</v>
      </c>
      <c r="S65" s="14">
        <v>19090.830000000002</v>
      </c>
      <c r="T65" s="16">
        <f t="shared" ref="T65:T66" si="76">S65*19000</f>
        <v>362725770.00000006</v>
      </c>
      <c r="U65" s="14">
        <v>18743.88</v>
      </c>
      <c r="V65" s="16">
        <f t="shared" ref="V65:V66" si="77">U65*19000</f>
        <v>356133720</v>
      </c>
      <c r="W65" s="17">
        <v>20517.810000000001</v>
      </c>
      <c r="X65" s="16">
        <f t="shared" ref="X65:X66" si="78">W65*19000</f>
        <v>389838390</v>
      </c>
      <c r="Y65" s="14">
        <v>18167.41</v>
      </c>
      <c r="Z65" s="16">
        <f t="shared" ref="Z65:Z66" si="79">Y65*19000</f>
        <v>345180790</v>
      </c>
      <c r="AA65" s="16">
        <f t="shared" ref="AA65:AB66" si="80">C65+E65+G65+I65+K65+M65+O65+Q65+S65+U65+W65+Y65</f>
        <v>193328.59100000001</v>
      </c>
      <c r="AB65" s="16">
        <f t="shared" si="80"/>
        <v>3673243229</v>
      </c>
      <c r="AC65" s="4"/>
      <c r="AD65" s="4">
        <f>SUM(C65:Y65)</f>
        <v>3328255767.5910001</v>
      </c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</row>
    <row r="66" spans="2:73" ht="25" customHeight="1" x14ac:dyDescent="0.2">
      <c r="B66" s="12" t="s">
        <v>81</v>
      </c>
      <c r="C66" s="14">
        <v>1004.83</v>
      </c>
      <c r="D66" s="14">
        <f t="shared" si="68"/>
        <v>19091770</v>
      </c>
      <c r="E66" s="14">
        <v>1055.866</v>
      </c>
      <c r="F66" s="16">
        <f t="shared" si="69"/>
        <v>20061454</v>
      </c>
      <c r="G66" s="14">
        <v>2426.384</v>
      </c>
      <c r="H66" s="16">
        <f t="shared" si="70"/>
        <v>46101296</v>
      </c>
      <c r="I66" s="14">
        <v>3098.2759999999998</v>
      </c>
      <c r="J66" s="16">
        <f t="shared" si="71"/>
        <v>58867244</v>
      </c>
      <c r="K66" s="14">
        <v>1660.17</v>
      </c>
      <c r="L66" s="16">
        <f t="shared" si="72"/>
        <v>31543230</v>
      </c>
      <c r="M66" s="14">
        <v>1646.21</v>
      </c>
      <c r="N66" s="16">
        <f t="shared" si="73"/>
        <v>31277990</v>
      </c>
      <c r="O66" s="14">
        <v>1262.24</v>
      </c>
      <c r="P66" s="16">
        <f t="shared" si="74"/>
        <v>23982560</v>
      </c>
      <c r="Q66" s="14">
        <v>1327.31</v>
      </c>
      <c r="R66" s="16">
        <f t="shared" si="75"/>
        <v>25218890</v>
      </c>
      <c r="S66" s="14">
        <v>1354.94</v>
      </c>
      <c r="T66" s="16">
        <f t="shared" si="76"/>
        <v>25743860</v>
      </c>
      <c r="U66" s="17">
        <v>1107.79</v>
      </c>
      <c r="V66" s="16">
        <f t="shared" si="77"/>
        <v>21048010</v>
      </c>
      <c r="W66" s="17">
        <v>1065.1400000000001</v>
      </c>
      <c r="X66" s="16">
        <f t="shared" si="78"/>
        <v>20237660.000000004</v>
      </c>
      <c r="Y66" s="17">
        <v>903.8</v>
      </c>
      <c r="Z66" s="16">
        <f t="shared" si="79"/>
        <v>17172200</v>
      </c>
      <c r="AA66" s="16">
        <f t="shared" si="80"/>
        <v>17912.955999999998</v>
      </c>
      <c r="AB66" s="16">
        <f t="shared" si="80"/>
        <v>340346164</v>
      </c>
      <c r="AC66" s="4"/>
      <c r="AD66" s="4">
        <f>SUM(C66:Y66)</f>
        <v>323191876.95600003</v>
      </c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</row>
    <row r="67" spans="2:73" ht="25" customHeight="1" x14ac:dyDescent="0.2">
      <c r="C67" s="4"/>
      <c r="D67" s="4"/>
      <c r="E67" s="4"/>
      <c r="F67" s="8"/>
      <c r="G67" s="4"/>
      <c r="Q67" s="4"/>
      <c r="R67" s="4"/>
      <c r="S67" s="4"/>
      <c r="T67" s="4"/>
      <c r="U67" s="4"/>
      <c r="V67" s="4"/>
      <c r="X67" s="4"/>
      <c r="Y67" s="4">
        <v>15642.99</v>
      </c>
      <c r="AA67" s="8">
        <f>SUM(AA64:AA66)</f>
        <v>607344.299</v>
      </c>
      <c r="AB67" s="8">
        <f>SUM(AB64:AB66)</f>
        <v>11539541681</v>
      </c>
      <c r="AC67" s="4"/>
      <c r="AD67" s="4">
        <f>SUM(AD64:AD66)</f>
        <v>10880579225.298998</v>
      </c>
      <c r="AE67" s="4">
        <f>AD67*19000</f>
        <v>206731005280680.97</v>
      </c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</row>
    <row r="68" spans="2:73" ht="25" customHeight="1" x14ac:dyDescent="0.2">
      <c r="C68" s="4"/>
      <c r="D68" s="4"/>
      <c r="E68" s="4"/>
      <c r="F68" s="8"/>
      <c r="G68" s="4"/>
      <c r="Q68" s="4"/>
      <c r="R68" s="4"/>
      <c r="S68" s="4"/>
      <c r="T68" s="4"/>
      <c r="U68" s="4"/>
      <c r="V68" s="4"/>
      <c r="W68" s="4"/>
      <c r="X68" s="4"/>
      <c r="Y68" s="4"/>
      <c r="AC68" s="4"/>
      <c r="AD68" s="4">
        <v>607344.30000000005</v>
      </c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</row>
    <row r="69" spans="2:73" ht="25" customHeight="1" x14ac:dyDescent="0.2">
      <c r="C69" s="4"/>
      <c r="D69" s="4"/>
      <c r="E69" s="4"/>
      <c r="F69" s="8"/>
      <c r="G69" s="4"/>
      <c r="Q69" s="4"/>
      <c r="R69" s="4"/>
      <c r="S69" s="4"/>
      <c r="T69" s="4"/>
      <c r="U69" s="4"/>
      <c r="V69" s="4"/>
      <c r="X69" s="4"/>
      <c r="Y69" s="4"/>
      <c r="AA69" s="18">
        <v>382954.43</v>
      </c>
      <c r="AB69" s="19">
        <v>607355.53</v>
      </c>
      <c r="AC69" s="4"/>
      <c r="AD69" s="4">
        <f>AD67-AD68</f>
        <v>10879971880.998999</v>
      </c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</row>
    <row r="70" spans="2:73" ht="25" customHeight="1" x14ac:dyDescent="0.2">
      <c r="C70" s="4"/>
      <c r="D70" s="4"/>
      <c r="E70" s="4"/>
      <c r="F70" s="8"/>
      <c r="G70" s="4"/>
      <c r="H70" s="4"/>
      <c r="I70" s="4"/>
      <c r="J70" s="4"/>
      <c r="K70" s="4"/>
      <c r="L70" s="4"/>
      <c r="M70" s="4"/>
      <c r="O70" s="4">
        <v>11918.99</v>
      </c>
      <c r="Q70" s="4"/>
      <c r="R70" s="4"/>
      <c r="S70" s="4"/>
      <c r="T70" s="4"/>
      <c r="U70" s="4"/>
      <c r="V70" s="4"/>
      <c r="W70" s="4"/>
      <c r="X70" s="4"/>
      <c r="Y70" s="4"/>
      <c r="Z70" s="4"/>
      <c r="AA70" s="4">
        <v>210071.92</v>
      </c>
      <c r="AB70" s="4">
        <f>AA67-AB69</f>
        <v>-11.231000000028871</v>
      </c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</row>
    <row r="71" spans="2:73" ht="25" customHeight="1" x14ac:dyDescent="0.2">
      <c r="C71" s="4"/>
      <c r="D71" s="4"/>
      <c r="E71" s="4"/>
      <c r="F71" s="8"/>
      <c r="G71" s="4"/>
      <c r="H71" s="4"/>
      <c r="I71" s="4"/>
      <c r="J71" s="4"/>
      <c r="K71" s="4"/>
      <c r="L71" s="4"/>
      <c r="M71" s="4"/>
      <c r="O71" s="4">
        <v>16956.73</v>
      </c>
      <c r="Q71" s="4"/>
      <c r="R71" s="4"/>
      <c r="S71" s="4"/>
      <c r="T71" s="4"/>
      <c r="U71" s="4"/>
      <c r="V71" s="4"/>
      <c r="W71" s="4"/>
      <c r="X71" s="4"/>
      <c r="Y71" s="4"/>
      <c r="Z71" s="4"/>
      <c r="AA71" s="18">
        <v>13977.02</v>
      </c>
      <c r="AB71" s="4">
        <v>11766.8</v>
      </c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</row>
    <row r="72" spans="2:73" ht="25" customHeight="1" x14ac:dyDescent="0.2">
      <c r="C72" s="4"/>
      <c r="D72" s="4"/>
      <c r="E72" s="4"/>
      <c r="F72" s="8"/>
      <c r="G72" s="4"/>
      <c r="H72" s="4"/>
      <c r="I72" s="4"/>
      <c r="J72" s="4"/>
      <c r="K72" s="4"/>
      <c r="L72" s="4"/>
      <c r="M72" s="4"/>
      <c r="N72" s="4">
        <v>1369.87</v>
      </c>
      <c r="O72" s="4">
        <v>972.45</v>
      </c>
      <c r="P72" s="4">
        <v>903.8</v>
      </c>
      <c r="Q72" s="4"/>
      <c r="R72" s="4"/>
      <c r="S72" s="4"/>
      <c r="T72" s="4"/>
      <c r="U72" s="4"/>
      <c r="V72" s="4"/>
      <c r="W72" s="4"/>
      <c r="X72" s="4"/>
      <c r="Y72" s="4"/>
      <c r="Z72" s="4"/>
      <c r="AA72" s="4">
        <f>SUM(AA69:AA71)</f>
        <v>607003.37</v>
      </c>
      <c r="AB72" s="4">
        <v>11.231000000028899</v>
      </c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</row>
    <row r="73" spans="2:73" ht="25" customHeight="1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>
        <f>AA67-AA72</f>
        <v>340.92900000000373</v>
      </c>
      <c r="AB73" s="4">
        <f>AB71-AB72</f>
        <v>11755.56899999997</v>
      </c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</row>
    <row r="74" spans="2:73" ht="25" customHeight="1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>
        <v>21345.55</v>
      </c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</row>
    <row r="75" spans="2:73" ht="25" customHeight="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>
        <f>AA74+AA73</f>
        <v>21686.479000000003</v>
      </c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</row>
    <row r="76" spans="2:73" ht="25" customHeight="1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</row>
    <row r="77" spans="2:73" ht="25" customHeight="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</row>
    <row r="78" spans="2:73" ht="25" customHeight="1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</row>
    <row r="79" spans="2:73" ht="25" customHeight="1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</row>
    <row r="80" spans="2:73" ht="25" customHeight="1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</row>
    <row r="81" spans="3:73" ht="25" customHeight="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</row>
    <row r="82" spans="3:73" ht="25" customHeight="1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</row>
    <row r="83" spans="3:73" ht="25" customHeight="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</row>
    <row r="84" spans="3:73" ht="25" customHeight="1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</row>
    <row r="85" spans="3:73" ht="25" customHeight="1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</row>
    <row r="86" spans="3:73" ht="25" customHeight="1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</row>
    <row r="87" spans="3:73" ht="25" customHeight="1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</row>
    <row r="88" spans="3:73" ht="25" customHeight="1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</row>
    <row r="89" spans="3:73" ht="25" customHeight="1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</row>
    <row r="90" spans="3:73" ht="25" customHeight="1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</row>
    <row r="91" spans="3:73" ht="25" customHeight="1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</row>
    <row r="92" spans="3:73" ht="25" customHeight="1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</row>
    <row r="93" spans="3:73" ht="25" customHeight="1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</row>
    <row r="94" spans="3:73" ht="25" customHeight="1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</row>
    <row r="95" spans="3:73" ht="25" customHeight="1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</row>
    <row r="96" spans="3:73" ht="25" customHeight="1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</row>
    <row r="97" spans="3:73" ht="25" customHeight="1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</row>
    <row r="98" spans="3:73" ht="25" customHeight="1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</row>
    <row r="99" spans="3:73" ht="25" customHeight="1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</row>
    <row r="100" spans="3:73" ht="25" customHeight="1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</row>
    <row r="101" spans="3:73" ht="25" customHeight="1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</row>
    <row r="102" spans="3:73" ht="25" customHeight="1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</row>
    <row r="103" spans="3:73" ht="25" customHeight="1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</row>
    <row r="104" spans="3:73" ht="25" customHeight="1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</row>
    <row r="105" spans="3:73" ht="25" customHeight="1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</row>
    <row r="106" spans="3:73" ht="25" customHeight="1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</row>
    <row r="107" spans="3:73" ht="25" customHeight="1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</row>
    <row r="108" spans="3:73" ht="25" customHeight="1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</row>
    <row r="109" spans="3:73" ht="25" customHeight="1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</row>
    <row r="110" spans="3:73" ht="25" customHeight="1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</row>
    <row r="111" spans="3:73" ht="25" customHeight="1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</row>
    <row r="112" spans="3:73" ht="25" customHeight="1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</row>
    <row r="113" spans="3:73" ht="25" customHeight="1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</row>
    <row r="114" spans="3:73" ht="25" customHeight="1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</row>
    <row r="115" spans="3:73" ht="25" customHeight="1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</row>
    <row r="116" spans="3:73" ht="25" customHeight="1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</row>
    <row r="117" spans="3:73" ht="25" customHeight="1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</row>
    <row r="118" spans="3:73" ht="25" customHeight="1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</row>
    <row r="119" spans="3:73" ht="25" customHeight="1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</row>
    <row r="120" spans="3:73" ht="25" customHeight="1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</row>
    <row r="121" spans="3:73" ht="25" customHeight="1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</row>
    <row r="122" spans="3:73" ht="25" customHeight="1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</row>
    <row r="123" spans="3:73" ht="25" customHeight="1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</row>
    <row r="124" spans="3:73" ht="25" customHeight="1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</row>
    <row r="125" spans="3:73" ht="25" customHeight="1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</row>
    <row r="126" spans="3:73" ht="25" customHeight="1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</row>
    <row r="127" spans="3:73" ht="25" customHeight="1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</row>
    <row r="128" spans="3:73" ht="25" customHeight="1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</row>
    <row r="129" spans="3:73" ht="25" customHeight="1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</row>
    <row r="130" spans="3:73" ht="25" customHeight="1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</row>
    <row r="131" spans="3:73" ht="25" customHeight="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</row>
    <row r="132" spans="3:73" ht="25" customHeight="1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</row>
    <row r="133" spans="3:73" ht="25" customHeight="1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</row>
    <row r="134" spans="3:73" ht="25" customHeight="1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</row>
    <row r="135" spans="3:73" ht="25" customHeight="1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</row>
    <row r="136" spans="3:73" ht="25" customHeight="1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spans="3:73" ht="25" customHeight="1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spans="3:73" ht="25" customHeight="1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</row>
    <row r="139" spans="3:73" ht="25" customHeight="1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</row>
    <row r="140" spans="3:73" ht="25" customHeight="1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</row>
    <row r="141" spans="3:73" ht="25" customHeight="1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</row>
    <row r="142" spans="3:73" ht="25" customHeight="1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</row>
    <row r="143" spans="3:73" ht="25" customHeight="1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</row>
    <row r="144" spans="3:73" ht="25" customHeight="1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</row>
    <row r="145" spans="3:73" ht="25" customHeight="1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</row>
    <row r="146" spans="3:73" ht="25" customHeight="1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</row>
    <row r="147" spans="3:73" ht="25" customHeight="1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</row>
    <row r="148" spans="3:73" ht="25" customHeight="1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</row>
    <row r="149" spans="3:73" ht="25" customHeight="1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</row>
    <row r="150" spans="3:73" ht="25" customHeight="1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</row>
    <row r="151" spans="3:73" ht="25" customHeight="1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</row>
    <row r="152" spans="3:73" ht="25" customHeight="1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</row>
    <row r="153" spans="3:73" ht="25" customHeight="1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</row>
    <row r="154" spans="3:73" ht="25" customHeight="1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</row>
    <row r="155" spans="3:73" ht="25" customHeight="1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</row>
    <row r="156" spans="3:73" ht="25" customHeight="1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</row>
    <row r="157" spans="3:73" ht="25" customHeight="1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</row>
    <row r="158" spans="3:73" ht="25" customHeight="1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spans="3:73" ht="25" customHeight="1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spans="3:73" ht="25" customHeight="1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</row>
    <row r="161" spans="3:73" ht="25" customHeight="1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</row>
    <row r="162" spans="3:73" ht="25" customHeight="1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</row>
    <row r="163" spans="3:73" ht="25" customHeight="1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</row>
    <row r="164" spans="3:73" ht="25" customHeight="1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</row>
    <row r="165" spans="3:73" ht="25" customHeight="1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</row>
    <row r="166" spans="3:73" ht="25" customHeight="1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</row>
    <row r="167" spans="3:73" ht="25" customHeight="1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</row>
    <row r="168" spans="3:73" ht="25" customHeight="1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</row>
    <row r="169" spans="3:73" ht="25" customHeight="1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</row>
    <row r="170" spans="3:73" ht="25" customHeight="1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</row>
    <row r="171" spans="3:73" ht="25" customHeight="1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</row>
    <row r="172" spans="3:73" ht="25" customHeight="1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</row>
    <row r="173" spans="3:73" ht="25" customHeight="1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</row>
    <row r="174" spans="3:73" ht="25" customHeight="1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</row>
    <row r="175" spans="3:73" ht="25" customHeight="1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</row>
    <row r="176" spans="3:73" ht="25" customHeight="1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</row>
    <row r="177" spans="3:73" ht="25" customHeight="1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</row>
    <row r="178" spans="3:73" ht="25" customHeight="1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</row>
    <row r="179" spans="3:73" ht="25" customHeight="1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spans="3:73" ht="25" customHeight="1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spans="3:73" ht="25" customHeight="1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</row>
    <row r="182" spans="3:73" ht="25" customHeight="1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</row>
    <row r="183" spans="3:73" ht="25" customHeight="1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</row>
    <row r="184" spans="3:73" ht="25" customHeight="1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</row>
    <row r="185" spans="3:73" ht="25" customHeight="1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</row>
    <row r="186" spans="3:73" ht="25" customHeight="1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</row>
    <row r="187" spans="3:73" ht="25" customHeight="1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</row>
    <row r="188" spans="3:73" ht="25" customHeight="1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</row>
    <row r="189" spans="3:73" ht="25" customHeight="1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</row>
    <row r="190" spans="3:73" ht="25" customHeight="1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</row>
    <row r="191" spans="3:73" ht="25" customHeight="1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</row>
    <row r="192" spans="3:73" ht="25" customHeight="1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</row>
    <row r="193" spans="3:73" ht="25" customHeight="1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</row>
    <row r="194" spans="3:73" ht="25" customHeight="1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</row>
    <row r="195" spans="3:73" ht="25" customHeight="1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</row>
    <row r="196" spans="3:73" ht="25" customHeight="1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spans="3:73" ht="25" customHeight="1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spans="3:73" ht="25" customHeight="1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spans="3:73" ht="25" customHeight="1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spans="3:73" ht="25" customHeight="1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spans="3:73" ht="25" customHeight="1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spans="3:73" ht="25" customHeight="1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spans="3:73" ht="25" customHeight="1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spans="3:73" ht="25" customHeight="1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spans="3:73" ht="25" customHeight="1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spans="3:73" ht="25" customHeight="1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spans="3:73" ht="25" customHeight="1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spans="3:73" ht="25" customHeight="1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spans="3:73" ht="25" customHeight="1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</row>
    <row r="210" spans="3:73" ht="25" customHeight="1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spans="3:73" ht="25" customHeight="1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spans="3:73" ht="25" customHeight="1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spans="3:73" ht="25" customHeight="1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spans="3:73" ht="25" customHeight="1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spans="3:73" ht="25" customHeight="1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spans="3:73" ht="25" customHeight="1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spans="3:73" ht="25" customHeight="1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spans="3:73" ht="25" customHeight="1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spans="3:73" ht="25" customHeight="1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spans="3:73" ht="25" customHeight="1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spans="3:73" ht="25" customHeight="1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spans="3:73" ht="25" customHeight="1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spans="3:73" ht="25" customHeight="1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spans="3:73" ht="25" customHeight="1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spans="3:73" ht="25" customHeight="1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spans="3:73" ht="25" customHeight="1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spans="3:73" ht="25" customHeight="1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spans="3:73" ht="25" customHeight="1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29" spans="3:73" ht="25" customHeight="1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</row>
    <row r="230" spans="3:73" ht="25" customHeight="1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</row>
    <row r="231" spans="3:73" ht="25" customHeight="1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</row>
    <row r="232" spans="3:73" ht="25" customHeight="1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</row>
    <row r="233" spans="3:73" ht="25" customHeight="1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</row>
    <row r="234" spans="3:73" ht="25" customHeight="1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</row>
    <row r="235" spans="3:73" ht="25" customHeight="1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</row>
    <row r="236" spans="3:73" ht="25" customHeight="1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</row>
    <row r="237" spans="3:73" ht="25" customHeight="1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</row>
    <row r="238" spans="3:73" ht="25" customHeight="1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</row>
    <row r="239" spans="3:73" ht="25" customHeight="1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</row>
    <row r="240" spans="3:73" ht="25" customHeight="1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</row>
    <row r="241" spans="3:73" ht="25" customHeight="1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</row>
    <row r="242" spans="3:73" ht="25" customHeight="1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</row>
    <row r="243" spans="3:73" ht="25" customHeight="1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</row>
    <row r="244" spans="3:73" ht="25" customHeight="1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</row>
    <row r="245" spans="3:73" ht="25" customHeight="1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</row>
    <row r="246" spans="3:73" ht="25" customHeight="1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</row>
    <row r="247" spans="3:73" ht="25" customHeight="1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</row>
    <row r="248" spans="3:73" ht="25" customHeight="1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</row>
    <row r="249" spans="3:73" ht="25" customHeight="1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</row>
    <row r="250" spans="3:73" ht="25" customHeight="1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</row>
    <row r="251" spans="3:73" ht="25" customHeight="1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</row>
    <row r="252" spans="3:73" ht="25" customHeight="1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</row>
    <row r="253" spans="3:73" ht="25" customHeight="1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</row>
    <row r="254" spans="3:73" ht="25" customHeight="1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</row>
    <row r="255" spans="3:73" ht="25" customHeight="1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</row>
    <row r="256" spans="3:73" ht="25" customHeight="1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</row>
    <row r="257" spans="3:73" ht="25" customHeight="1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</row>
    <row r="258" spans="3:73" ht="25" customHeight="1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</row>
    <row r="259" spans="3:73" ht="25" customHeight="1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</row>
    <row r="260" spans="3:73" ht="25" customHeight="1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</row>
    <row r="261" spans="3:73" ht="25" customHeight="1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</row>
    <row r="262" spans="3:73" ht="25" customHeight="1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</row>
    <row r="263" spans="3:73" ht="25" customHeight="1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</row>
    <row r="264" spans="3:73" ht="25" customHeight="1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</row>
    <row r="265" spans="3:73" ht="25" customHeight="1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</row>
    <row r="266" spans="3:73" ht="25" customHeight="1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</row>
    <row r="267" spans="3:73" ht="25" customHeight="1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</row>
    <row r="268" spans="3:73" ht="25" customHeight="1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</row>
    <row r="269" spans="3:73" ht="25" customHeight="1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</row>
    <row r="270" spans="3:73" ht="25" customHeight="1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</row>
    <row r="271" spans="3:73" ht="25" customHeight="1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</row>
    <row r="272" spans="3:73" ht="25" customHeight="1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</row>
    <row r="273" spans="3:73" ht="25" customHeight="1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</row>
    <row r="274" spans="3:73" ht="25" customHeight="1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</row>
    <row r="275" spans="3:73" ht="25" customHeight="1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</row>
    <row r="276" spans="3:73" ht="25" customHeight="1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</row>
    <row r="277" spans="3:73" ht="25" customHeight="1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</row>
    <row r="278" spans="3:73" ht="25" customHeight="1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</row>
    <row r="279" spans="3:73" ht="25" customHeight="1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</row>
    <row r="280" spans="3:73" ht="25" customHeight="1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</row>
    <row r="281" spans="3:73" ht="25" customHeight="1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</row>
    <row r="282" spans="3:73" ht="25" customHeight="1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</row>
    <row r="283" spans="3:73" ht="25" customHeight="1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</row>
    <row r="284" spans="3:73" ht="25" customHeight="1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</row>
    <row r="285" spans="3:73" ht="25" customHeight="1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</row>
    <row r="286" spans="3:73" ht="25" customHeight="1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</row>
    <row r="287" spans="3:73" ht="25" customHeight="1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</row>
    <row r="288" spans="3:73" ht="25" customHeight="1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</row>
    <row r="289" spans="3:73" ht="25" customHeight="1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</row>
    <row r="290" spans="3:73" ht="25" customHeight="1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</row>
    <row r="291" spans="3:73" ht="25" customHeight="1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</row>
    <row r="292" spans="3:73" ht="25" customHeight="1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</row>
    <row r="293" spans="3:73" ht="25" customHeight="1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</row>
    <row r="294" spans="3:73" ht="25" customHeight="1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</row>
    <row r="295" spans="3:73" ht="25" customHeight="1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</row>
    <row r="296" spans="3:73" ht="25" customHeight="1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</row>
    <row r="297" spans="3:73" ht="25" customHeight="1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</row>
    <row r="298" spans="3:73" ht="25" customHeight="1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</row>
    <row r="299" spans="3:73" ht="25" customHeight="1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</row>
    <row r="300" spans="3:73" ht="25" customHeight="1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</row>
    <row r="301" spans="3:73" ht="25" customHeight="1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</row>
    <row r="302" spans="3:73" ht="25" customHeight="1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</row>
    <row r="303" spans="3:73" ht="25" customHeight="1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</row>
    <row r="304" spans="3:73" ht="25" customHeight="1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</row>
    <row r="305" spans="3:73" ht="25" customHeight="1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</row>
    <row r="306" spans="3:73" ht="25" customHeight="1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</row>
    <row r="307" spans="3:73" ht="25" customHeight="1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</row>
    <row r="308" spans="3:73" ht="25" customHeight="1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</row>
    <row r="309" spans="3:73" ht="25" customHeight="1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</row>
    <row r="310" spans="3:73" ht="25" customHeight="1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</row>
    <row r="311" spans="3:73" ht="25" customHeight="1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</row>
    <row r="312" spans="3:73" ht="25" customHeight="1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</row>
    <row r="313" spans="3:73" ht="25" customHeight="1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</row>
    <row r="314" spans="3:73" ht="25" customHeight="1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</row>
    <row r="315" spans="3:73" ht="25" customHeight="1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</row>
    <row r="316" spans="3:73" ht="25" customHeight="1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</row>
    <row r="317" spans="3:73" ht="25" customHeight="1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</row>
    <row r="318" spans="3:73" ht="25" customHeight="1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</row>
    <row r="319" spans="3:73" ht="25" customHeight="1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</row>
    <row r="320" spans="3:73" ht="25" customHeight="1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</row>
    <row r="321" spans="3:73" ht="25" customHeight="1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</row>
    <row r="322" spans="3:73" ht="25" customHeight="1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</row>
    <row r="323" spans="3:73" ht="25" customHeight="1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</row>
    <row r="324" spans="3:73" ht="25" customHeight="1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</row>
    <row r="325" spans="3:73" ht="25" customHeight="1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</row>
    <row r="326" spans="3:73" ht="25" customHeight="1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</row>
    <row r="327" spans="3:73" ht="25" customHeight="1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</row>
    <row r="328" spans="3:73" ht="25" customHeight="1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</row>
    <row r="329" spans="3:73" ht="25" customHeight="1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</row>
    <row r="330" spans="3:73" ht="25" customHeight="1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</row>
    <row r="331" spans="3:73" ht="25" customHeight="1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</row>
    <row r="332" spans="3:73" ht="25" customHeight="1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</row>
    <row r="333" spans="3:73" ht="25" customHeight="1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</row>
    <row r="334" spans="3:73" ht="25" customHeight="1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</row>
    <row r="335" spans="3:73" ht="25" customHeight="1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</row>
    <row r="336" spans="3:73" ht="25" customHeight="1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</row>
    <row r="337" spans="3:73" ht="25" customHeight="1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</row>
    <row r="338" spans="3:73" ht="25" customHeight="1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</row>
    <row r="339" spans="3:73" ht="25" customHeight="1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</row>
    <row r="340" spans="3:73" ht="25" customHeight="1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</row>
    <row r="341" spans="3:73" ht="25" customHeight="1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</row>
    <row r="342" spans="3:73" ht="25" customHeight="1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</row>
    <row r="343" spans="3:73" ht="25" customHeight="1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</row>
    <row r="344" spans="3:73" ht="25" customHeight="1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</row>
    <row r="345" spans="3:73" ht="25" customHeight="1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</row>
    <row r="346" spans="3:73" ht="25" customHeight="1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</row>
    <row r="347" spans="3:73" ht="25" customHeight="1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</row>
    <row r="348" spans="3:73" ht="25" customHeight="1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</row>
    <row r="349" spans="3:73" ht="25" customHeight="1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</row>
    <row r="350" spans="3:73" ht="25" customHeight="1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</row>
    <row r="351" spans="3:73" ht="25" customHeight="1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</row>
    <row r="352" spans="3:73" ht="25" customHeight="1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</row>
    <row r="353" spans="3:73" ht="25" customHeight="1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</row>
    <row r="354" spans="3:73" ht="25" customHeight="1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</row>
    <row r="355" spans="3:73" ht="25" customHeight="1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</row>
    <row r="356" spans="3:73" ht="25" customHeight="1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</row>
    <row r="357" spans="3:73" ht="25" customHeight="1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</row>
    <row r="358" spans="3:73" ht="25" customHeight="1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</row>
    <row r="359" spans="3:73" ht="25" customHeight="1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</row>
    <row r="360" spans="3:73" ht="25" customHeight="1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</row>
    <row r="361" spans="3:73" ht="25" customHeight="1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</row>
    <row r="362" spans="3:73" ht="25" customHeight="1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</row>
    <row r="363" spans="3:73" ht="25" customHeight="1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</row>
    <row r="364" spans="3:73" ht="25" customHeight="1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</row>
    <row r="365" spans="3:73" ht="25" customHeight="1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</row>
    <row r="366" spans="3:73" ht="25" customHeight="1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</row>
    <row r="367" spans="3:73" ht="25" customHeight="1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</row>
    <row r="368" spans="3:73" ht="25" customHeight="1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</row>
    <row r="369" spans="3:73" ht="25" customHeight="1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</row>
    <row r="370" spans="3:73" ht="25" customHeight="1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</row>
    <row r="371" spans="3:73" ht="25" customHeight="1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</row>
    <row r="372" spans="3:73" ht="25" customHeight="1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</row>
    <row r="373" spans="3:73" ht="25" customHeight="1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</row>
    <row r="374" spans="3:73" ht="25" customHeight="1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</row>
    <row r="375" spans="3:73" ht="25" customHeight="1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</row>
    <row r="376" spans="3:73" ht="25" customHeight="1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</row>
    <row r="377" spans="3:73" ht="25" customHeight="1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</row>
    <row r="378" spans="3:73" ht="25" customHeight="1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</row>
    <row r="379" spans="3:73" ht="25" customHeight="1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</row>
    <row r="380" spans="3:73" ht="25" customHeight="1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</row>
    <row r="381" spans="3:73" ht="25" customHeight="1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</row>
    <row r="382" spans="3:73" ht="25" customHeight="1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</row>
    <row r="383" spans="3:73" ht="25" customHeight="1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</row>
    <row r="384" spans="3:73" ht="25" customHeight="1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</row>
    <row r="385" spans="3:73" ht="25" customHeight="1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</row>
    <row r="386" spans="3:73" ht="25" customHeight="1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</row>
    <row r="387" spans="3:73" ht="25" customHeight="1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</row>
    <row r="388" spans="3:73" ht="25" customHeight="1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</row>
    <row r="389" spans="3:73" ht="25" customHeight="1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</row>
    <row r="390" spans="3:73" ht="25" customHeight="1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</row>
    <row r="391" spans="3:73" ht="25" customHeight="1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</row>
    <row r="392" spans="3:73" ht="25" customHeight="1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</row>
    <row r="393" spans="3:73" ht="25" customHeight="1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</row>
    <row r="394" spans="3:73" ht="25" customHeight="1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</row>
    <row r="395" spans="3:73" ht="25" customHeight="1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</row>
    <row r="396" spans="3:73" ht="25" customHeight="1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</row>
    <row r="397" spans="3:73" ht="25" customHeight="1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</row>
    <row r="398" spans="3:73" ht="25" customHeight="1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</row>
    <row r="399" spans="3:73" ht="25" customHeight="1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</row>
    <row r="400" spans="3:73" ht="25" customHeight="1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</row>
    <row r="401" spans="3:73" ht="25" customHeight="1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</row>
    <row r="402" spans="3:73" ht="25" customHeight="1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</row>
    <row r="403" spans="3:73" ht="25" customHeight="1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</row>
    <row r="404" spans="3:73" ht="25" customHeight="1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</row>
    <row r="405" spans="3:73" ht="25" customHeight="1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</row>
    <row r="406" spans="3:73" ht="25" customHeight="1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</row>
    <row r="407" spans="3:73" ht="25" customHeight="1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</row>
    <row r="408" spans="3:73" ht="25" customHeight="1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</row>
    <row r="409" spans="3:73" ht="25" customHeight="1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</row>
    <row r="410" spans="3:73" ht="25" customHeight="1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</row>
    <row r="411" spans="3:73" ht="25" customHeight="1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</row>
    <row r="412" spans="3:73" ht="25" customHeight="1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</row>
    <row r="413" spans="3:73" ht="25" customHeight="1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</row>
    <row r="414" spans="3:73" ht="25" customHeight="1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</row>
    <row r="415" spans="3:73" ht="25" customHeight="1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</row>
    <row r="416" spans="3:73" ht="25" customHeight="1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</row>
    <row r="417" spans="3:73" ht="25" customHeight="1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</row>
    <row r="418" spans="3:73" ht="25" customHeight="1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</row>
    <row r="419" spans="3:73" ht="25" customHeight="1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</row>
    <row r="420" spans="3:73" ht="25" customHeight="1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</row>
    <row r="421" spans="3:73" ht="25" customHeight="1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</row>
    <row r="422" spans="3:73" ht="25" customHeight="1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</row>
    <row r="423" spans="3:73" ht="25" customHeight="1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</row>
    <row r="424" spans="3:73" ht="25" customHeight="1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</row>
    <row r="425" spans="3:73" ht="25" customHeight="1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</row>
    <row r="426" spans="3:73" ht="25" customHeight="1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</row>
    <row r="427" spans="3:73" ht="25" customHeight="1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</row>
    <row r="428" spans="3:73" ht="25" customHeight="1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</row>
    <row r="429" spans="3:73" ht="25" customHeight="1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</row>
    <row r="430" spans="3:73" ht="25" customHeight="1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</row>
    <row r="431" spans="3:73" ht="25" customHeight="1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</row>
    <row r="432" spans="3:73" ht="25" customHeight="1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</row>
    <row r="433" spans="3:73" ht="25" customHeight="1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</row>
    <row r="434" spans="3:73" ht="25" customHeight="1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</row>
    <row r="435" spans="3:73" ht="25" customHeight="1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</row>
    <row r="436" spans="3:73" ht="25" customHeight="1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</row>
    <row r="437" spans="3:73" ht="25" customHeight="1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</row>
    <row r="438" spans="3:73" ht="25" customHeight="1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spans="3:73" ht="25" customHeight="1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spans="3:73" ht="25" customHeight="1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spans="3:73" ht="25" customHeight="1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spans="3:73" ht="25" customHeight="1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</row>
    <row r="443" spans="3:73" ht="25" customHeight="1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</row>
    <row r="444" spans="3:73" ht="25" customHeight="1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</row>
    <row r="445" spans="3:73" ht="25" customHeight="1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</row>
    <row r="446" spans="3:73" ht="25" customHeight="1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</row>
    <row r="447" spans="3:73" ht="25" customHeight="1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</row>
    <row r="448" spans="3:73" ht="25" customHeight="1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</row>
    <row r="449" spans="3:73" ht="25" customHeight="1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</row>
    <row r="450" spans="3:73" ht="25" customHeight="1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</row>
    <row r="451" spans="3:73" ht="25" customHeight="1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</row>
    <row r="452" spans="3:73" ht="25" customHeight="1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</row>
    <row r="453" spans="3:73" ht="25" customHeight="1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</row>
    <row r="454" spans="3:73" ht="25" customHeight="1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</row>
    <row r="455" spans="3:73" ht="25" customHeight="1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</row>
    <row r="456" spans="3:73" ht="25" customHeight="1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</row>
    <row r="457" spans="3:73" ht="25" customHeight="1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</row>
    <row r="458" spans="3:73" ht="25" customHeight="1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</row>
    <row r="459" spans="3:73" ht="25" customHeight="1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</row>
    <row r="460" spans="3:73" ht="25" customHeight="1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</row>
    <row r="461" spans="3:73" ht="25" customHeight="1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</row>
    <row r="462" spans="3:73" ht="25" customHeight="1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</row>
    <row r="463" spans="3:73" ht="25" customHeight="1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</row>
    <row r="464" spans="3:73" ht="25" customHeight="1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</row>
    <row r="465" spans="3:73" ht="25" customHeight="1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</row>
    <row r="466" spans="3:73" ht="25" customHeight="1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</row>
    <row r="467" spans="3:73" ht="25" customHeight="1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</row>
    <row r="468" spans="3:73" ht="25" customHeight="1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</row>
    <row r="469" spans="3:73" ht="25" customHeight="1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</row>
    <row r="470" spans="3:73" ht="25" customHeight="1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</row>
    <row r="471" spans="3:73" ht="25" customHeight="1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</row>
    <row r="472" spans="3:73" ht="25" customHeight="1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</row>
    <row r="473" spans="3:73" ht="25" customHeight="1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</row>
    <row r="474" spans="3:73" ht="25" customHeight="1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</row>
    <row r="475" spans="3:73" ht="25" customHeight="1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</row>
    <row r="476" spans="3:73" ht="25" customHeight="1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</row>
    <row r="477" spans="3:73" ht="25" customHeight="1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</row>
    <row r="478" spans="3:73" ht="25" customHeight="1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</row>
    <row r="479" spans="3:73" ht="25" customHeight="1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</row>
    <row r="480" spans="3:73" ht="25" customHeight="1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</row>
    <row r="481" spans="3:73" ht="25" customHeight="1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</row>
    <row r="482" spans="3:73" ht="25" customHeight="1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</row>
    <row r="483" spans="3:73" ht="25" customHeight="1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</row>
    <row r="484" spans="3:73" ht="25" customHeight="1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</row>
    <row r="485" spans="3:73" ht="25" customHeight="1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</row>
    <row r="486" spans="3:73" ht="25" customHeight="1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</row>
    <row r="487" spans="3:73" ht="25" customHeight="1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</row>
    <row r="488" spans="3:73" ht="25" customHeight="1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</row>
    <row r="489" spans="3:73" ht="25" customHeight="1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</row>
    <row r="490" spans="3:73" ht="25" customHeight="1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</row>
    <row r="491" spans="3:73" ht="25" customHeight="1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</row>
    <row r="492" spans="3:73" ht="25" customHeight="1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</row>
    <row r="493" spans="3:73" ht="25" customHeight="1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</row>
    <row r="494" spans="3:73" ht="25" customHeight="1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</row>
    <row r="495" spans="3:73" ht="25" customHeight="1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</row>
    <row r="496" spans="3:73" ht="25" customHeight="1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</row>
    <row r="497" spans="3:73" ht="25" customHeight="1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</row>
    <row r="498" spans="3:73" ht="25" customHeight="1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</row>
    <row r="499" spans="3:73" ht="25" customHeight="1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</row>
    <row r="500" spans="3:73" ht="25" customHeight="1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</row>
    <row r="501" spans="3:73" ht="25" customHeight="1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</row>
    <row r="502" spans="3:73" ht="25" customHeight="1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</row>
    <row r="503" spans="3:73" ht="25" customHeight="1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</row>
    <row r="504" spans="3:73" ht="25" customHeight="1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</row>
    <row r="505" spans="3:73" ht="25" customHeight="1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</row>
    <row r="506" spans="3:73" ht="25" customHeight="1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</row>
    <row r="507" spans="3:73" ht="25" customHeight="1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</row>
    <row r="508" spans="3:73" ht="25" customHeight="1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</row>
    <row r="509" spans="3:73" ht="25" customHeight="1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</row>
    <row r="510" spans="3:73" ht="25" customHeight="1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</row>
    <row r="511" spans="3:73" ht="25" customHeight="1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</row>
  </sheetData>
  <mergeCells count="12">
    <mergeCell ref="Y62:Z62"/>
    <mergeCell ref="C62:D62"/>
    <mergeCell ref="E62:F62"/>
    <mergeCell ref="G62:H62"/>
    <mergeCell ref="I62:J62"/>
    <mergeCell ref="K62:L62"/>
    <mergeCell ref="M62:N62"/>
    <mergeCell ref="O62:P62"/>
    <mergeCell ref="Q62:R62"/>
    <mergeCell ref="S62:T62"/>
    <mergeCell ref="U62:V62"/>
    <mergeCell ref="W62:X62"/>
  </mergeCells>
  <pageMargins left="0.7" right="0.7" top="0.75" bottom="0.75" header="0.3" footer="0.3"/>
  <pageSetup paperSize="14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35"/>
  <sheetViews>
    <sheetView topLeftCell="A4" zoomScale="75" workbookViewId="0">
      <pane xSplit="1" topLeftCell="B1" activePane="topRight" state="frozen"/>
      <selection pane="topRight" activeCell="A18" sqref="A18:XFD18"/>
    </sheetView>
  </sheetViews>
  <sheetFormatPr baseColWidth="10" defaultColWidth="20.83203125" defaultRowHeight="25" customHeight="1" x14ac:dyDescent="0.2"/>
  <cols>
    <col min="1" max="16384" width="20.83203125" style="1"/>
  </cols>
  <sheetData>
    <row r="1" spans="1:35" s="2" customFormat="1" ht="25" customHeight="1" x14ac:dyDescent="0.2">
      <c r="A1" s="2" t="s">
        <v>0</v>
      </c>
      <c r="B1" s="2" t="s">
        <v>45</v>
      </c>
      <c r="C1" s="2" t="s">
        <v>82</v>
      </c>
      <c r="D1" s="2" t="s">
        <v>49</v>
      </c>
      <c r="E1" s="2" t="s">
        <v>82</v>
      </c>
      <c r="F1" s="2" t="s">
        <v>50</v>
      </c>
      <c r="G1" s="2" t="s">
        <v>82</v>
      </c>
      <c r="H1" s="2" t="s">
        <v>51</v>
      </c>
      <c r="I1" s="2" t="s">
        <v>82</v>
      </c>
      <c r="J1" s="2" t="s">
        <v>52</v>
      </c>
      <c r="K1" s="2" t="s">
        <v>82</v>
      </c>
      <c r="L1" s="2" t="s">
        <v>53</v>
      </c>
      <c r="M1" s="2" t="s">
        <v>82</v>
      </c>
      <c r="N1" s="2" t="s">
        <v>54</v>
      </c>
      <c r="O1" s="2" t="s">
        <v>82</v>
      </c>
      <c r="P1" s="2" t="s">
        <v>55</v>
      </c>
      <c r="Q1" s="2" t="s">
        <v>82</v>
      </c>
      <c r="R1" s="2" t="s">
        <v>56</v>
      </c>
      <c r="S1" s="2" t="s">
        <v>82</v>
      </c>
      <c r="T1" s="2" t="s">
        <v>57</v>
      </c>
      <c r="U1" s="2" t="s">
        <v>82</v>
      </c>
      <c r="V1" s="2" t="s">
        <v>58</v>
      </c>
      <c r="W1" s="2" t="s">
        <v>82</v>
      </c>
      <c r="X1" s="2" t="s">
        <v>59</v>
      </c>
      <c r="Y1" s="2" t="s">
        <v>82</v>
      </c>
      <c r="Z1" s="2" t="s">
        <v>61</v>
      </c>
      <c r="AA1" s="2" t="s">
        <v>82</v>
      </c>
      <c r="AB1" s="2" t="s">
        <v>60</v>
      </c>
      <c r="AC1" s="2" t="s">
        <v>82</v>
      </c>
      <c r="AD1" s="2" t="s">
        <v>62</v>
      </c>
      <c r="AE1" s="2" t="s">
        <v>82</v>
      </c>
      <c r="AF1" s="2" t="s">
        <v>63</v>
      </c>
      <c r="AG1" s="2" t="s">
        <v>82</v>
      </c>
      <c r="AH1" s="2" t="s">
        <v>78</v>
      </c>
      <c r="AI1" s="2" t="s">
        <v>82</v>
      </c>
    </row>
    <row r="2" spans="1:35" ht="25" customHeight="1" x14ac:dyDescent="0.2">
      <c r="A2" s="1" t="s">
        <v>1</v>
      </c>
      <c r="B2" s="3">
        <f>J2+R2+Z2+AH2</f>
        <v>821.43799999999987</v>
      </c>
      <c r="C2" s="3">
        <f>B2*19000</f>
        <v>15607321.999999998</v>
      </c>
      <c r="D2" s="3">
        <v>5.8639999999999999</v>
      </c>
      <c r="E2" s="3">
        <f>D2*19000</f>
        <v>111416</v>
      </c>
      <c r="F2" s="3">
        <v>34.582000000000001</v>
      </c>
      <c r="G2" s="3">
        <f>F2*19000</f>
        <v>657058</v>
      </c>
      <c r="H2" s="3">
        <v>37.954000000000001</v>
      </c>
      <c r="I2" s="3">
        <f>H2*19000</f>
        <v>721126</v>
      </c>
      <c r="J2" s="3">
        <f>D2+F2+H2</f>
        <v>78.400000000000006</v>
      </c>
      <c r="K2" s="3">
        <f>J2*19000</f>
        <v>1489600</v>
      </c>
      <c r="L2" s="3">
        <v>36.173999999999999</v>
      </c>
      <c r="M2" s="3">
        <f>L2*19000</f>
        <v>687306</v>
      </c>
      <c r="N2" s="3">
        <v>46.881999999999998</v>
      </c>
      <c r="O2" s="3">
        <f>N2*19000</f>
        <v>890758</v>
      </c>
      <c r="P2" s="3">
        <v>105.90600000000001</v>
      </c>
      <c r="Q2" s="3">
        <f>P2*19000</f>
        <v>2012214</v>
      </c>
      <c r="R2" s="3">
        <f>L2+N2+P2</f>
        <v>188.96199999999999</v>
      </c>
      <c r="S2" s="3">
        <f>R2*19000</f>
        <v>3590278</v>
      </c>
      <c r="T2" s="3">
        <v>51.393999999999998</v>
      </c>
      <c r="U2" s="3">
        <f>T2*19000</f>
        <v>976486</v>
      </c>
      <c r="V2" s="3">
        <f>12.445+78.09+15.5</f>
        <v>106.035</v>
      </c>
      <c r="W2" s="3">
        <f>V2*19000</f>
        <v>2014665</v>
      </c>
      <c r="X2" s="3">
        <f>9.975+81.339+12.6</f>
        <v>103.91399999999999</v>
      </c>
      <c r="Y2" s="3">
        <f>X2*19000</f>
        <v>1974365.9999999998</v>
      </c>
      <c r="Z2" s="3">
        <f>T2+V2+X2</f>
        <v>261.34299999999996</v>
      </c>
      <c r="AA2" s="3">
        <f>Z2*19000</f>
        <v>4965516.9999999991</v>
      </c>
      <c r="AB2" s="3">
        <f>77.925+10.318+11.84</f>
        <v>100.083</v>
      </c>
      <c r="AC2" s="3">
        <f>AB2*19000</f>
        <v>1901577</v>
      </c>
      <c r="AD2" s="3">
        <v>90.46</v>
      </c>
      <c r="AE2" s="3">
        <f>AD2*19000</f>
        <v>1718739.9999999998</v>
      </c>
      <c r="AF2" s="6">
        <v>102.19</v>
      </c>
      <c r="AG2" s="6">
        <f>AF2*19000</f>
        <v>1941610</v>
      </c>
      <c r="AH2" s="6">
        <f>AB2+AD2+AF2</f>
        <v>292.733</v>
      </c>
      <c r="AI2" s="8">
        <f>AH2*19000</f>
        <v>5561927</v>
      </c>
    </row>
    <row r="3" spans="1:35" ht="25" customHeight="1" x14ac:dyDescent="0.2">
      <c r="A3" s="1" t="s">
        <v>3</v>
      </c>
      <c r="B3" s="3">
        <f t="shared" ref="B3:B34" si="0">J3+R3+Z3+AH3</f>
        <v>11</v>
      </c>
      <c r="C3" s="3">
        <f t="shared" ref="C3:C34" si="1">B3*19000</f>
        <v>209000</v>
      </c>
      <c r="D3" s="3">
        <v>2.1</v>
      </c>
      <c r="E3" s="3">
        <f t="shared" ref="E3:E34" si="2">D3*19000</f>
        <v>39900</v>
      </c>
      <c r="F3" s="3">
        <v>1.8</v>
      </c>
      <c r="G3" s="3">
        <f t="shared" ref="G3:G34" si="3">F3*19000</f>
        <v>34200</v>
      </c>
      <c r="H3" s="3">
        <v>1.7</v>
      </c>
      <c r="I3" s="3">
        <f t="shared" ref="I3:I33" si="4">H3*19000</f>
        <v>32300</v>
      </c>
      <c r="J3" s="3">
        <f t="shared" ref="J3:J33" si="5">D3+F3+H3</f>
        <v>5.6000000000000005</v>
      </c>
      <c r="K3" s="3">
        <f t="shared" ref="K3:K34" si="6">J3*19000</f>
        <v>106400.00000000001</v>
      </c>
      <c r="L3" s="3">
        <v>2.1</v>
      </c>
      <c r="M3" s="3">
        <f t="shared" ref="M3:M34" si="7">L3*19000</f>
        <v>39900</v>
      </c>
      <c r="N3" s="3">
        <v>1.8</v>
      </c>
      <c r="O3" s="3">
        <f t="shared" ref="O3:O34" si="8">N3*19000</f>
        <v>34200</v>
      </c>
      <c r="P3" s="3">
        <v>1.5</v>
      </c>
      <c r="Q3" s="3">
        <f t="shared" ref="Q3:Q34" si="9">P3*19000</f>
        <v>28500</v>
      </c>
      <c r="R3" s="3">
        <f t="shared" ref="R3:R33" si="10">L3+N3+P3</f>
        <v>5.4</v>
      </c>
      <c r="S3" s="3">
        <f t="shared" ref="S3:S34" si="11">R3*19000</f>
        <v>102600</v>
      </c>
      <c r="T3" s="5"/>
      <c r="U3" s="3">
        <f t="shared" ref="U3:U34" si="12">T3*19000</f>
        <v>0</v>
      </c>
      <c r="V3" s="5"/>
      <c r="W3" s="3">
        <f t="shared" ref="W3:W34" si="13">V3*19000</f>
        <v>0</v>
      </c>
      <c r="X3" s="5"/>
      <c r="Y3" s="3">
        <f t="shared" ref="Y3:Y34" si="14">X3*19000</f>
        <v>0</v>
      </c>
      <c r="Z3" s="3">
        <f t="shared" ref="Z3:Z33" si="15">T3+V3+X3</f>
        <v>0</v>
      </c>
      <c r="AA3" s="3">
        <f t="shared" ref="AA3:AA34" si="16">Z3*19000</f>
        <v>0</v>
      </c>
      <c r="AB3" s="5"/>
      <c r="AC3" s="3">
        <f t="shared" ref="AC3:AC34" si="17">AB3*19000</f>
        <v>0</v>
      </c>
      <c r="AD3" s="5"/>
      <c r="AE3" s="3">
        <f t="shared" ref="AE3:AE34" si="18">AD3*19000</f>
        <v>0</v>
      </c>
      <c r="AF3" s="5"/>
      <c r="AG3" s="5">
        <f t="shared" ref="AG3:AG34" si="19">AF3*19000</f>
        <v>0</v>
      </c>
      <c r="AH3" s="5">
        <f t="shared" ref="AH3:AH33" si="20">AB3+AD3+AF3</f>
        <v>0</v>
      </c>
      <c r="AI3" s="8">
        <f t="shared" ref="AI3:AI34" si="21">AH3*19000</f>
        <v>0</v>
      </c>
    </row>
    <row r="4" spans="1:35" ht="25" customHeight="1" x14ac:dyDescent="0.2">
      <c r="A4" s="1" t="s">
        <v>5</v>
      </c>
      <c r="B4" s="3">
        <f t="shared" si="0"/>
        <v>27.764999999999997</v>
      </c>
      <c r="C4" s="3">
        <f t="shared" si="1"/>
        <v>527535</v>
      </c>
      <c r="D4" s="3">
        <v>4.87</v>
      </c>
      <c r="E4" s="3">
        <f t="shared" si="2"/>
        <v>92530</v>
      </c>
      <c r="F4" s="3">
        <v>5.76</v>
      </c>
      <c r="G4" s="3">
        <f t="shared" si="3"/>
        <v>109440</v>
      </c>
      <c r="H4" s="3">
        <v>7.7</v>
      </c>
      <c r="I4" s="3">
        <f t="shared" si="4"/>
        <v>146300</v>
      </c>
      <c r="J4" s="3">
        <f t="shared" si="5"/>
        <v>18.329999999999998</v>
      </c>
      <c r="K4" s="3">
        <f t="shared" si="6"/>
        <v>348269.99999999994</v>
      </c>
      <c r="L4" s="3">
        <v>3.65</v>
      </c>
      <c r="M4" s="3">
        <f t="shared" si="7"/>
        <v>69350</v>
      </c>
      <c r="N4" s="3">
        <v>3.23</v>
      </c>
      <c r="O4" s="3">
        <f t="shared" si="8"/>
        <v>61370</v>
      </c>
      <c r="P4" s="3">
        <v>2</v>
      </c>
      <c r="Q4" s="3">
        <f t="shared" si="9"/>
        <v>38000</v>
      </c>
      <c r="R4" s="3">
        <f t="shared" si="10"/>
        <v>8.879999999999999</v>
      </c>
      <c r="S4" s="3">
        <f t="shared" si="11"/>
        <v>168719.99999999997</v>
      </c>
      <c r="T4" s="3">
        <v>8.2000000000000003E-2</v>
      </c>
      <c r="U4" s="3">
        <f t="shared" si="12"/>
        <v>1558</v>
      </c>
      <c r="V4" s="3">
        <v>0.14699999999999999</v>
      </c>
      <c r="W4" s="3">
        <f t="shared" si="13"/>
        <v>2793</v>
      </c>
      <c r="X4" s="3">
        <v>0.08</v>
      </c>
      <c r="Y4" s="3">
        <f t="shared" si="14"/>
        <v>1520</v>
      </c>
      <c r="Z4" s="3">
        <f t="shared" si="15"/>
        <v>0.309</v>
      </c>
      <c r="AA4" s="3">
        <f t="shared" si="16"/>
        <v>5871</v>
      </c>
      <c r="AB4" s="3">
        <v>9.9000000000000005E-2</v>
      </c>
      <c r="AC4" s="3">
        <f t="shared" si="17"/>
        <v>1881</v>
      </c>
      <c r="AD4" s="6">
        <v>8.2000000000000003E-2</v>
      </c>
      <c r="AE4" s="3">
        <f t="shared" si="18"/>
        <v>1558</v>
      </c>
      <c r="AF4" s="6">
        <v>6.5000000000000002E-2</v>
      </c>
      <c r="AG4" s="6">
        <f t="shared" si="19"/>
        <v>1235</v>
      </c>
      <c r="AH4" s="6">
        <f t="shared" si="20"/>
        <v>0.246</v>
      </c>
      <c r="AI4" s="8">
        <f t="shared" si="21"/>
        <v>4674</v>
      </c>
    </row>
    <row r="5" spans="1:35" ht="25" customHeight="1" x14ac:dyDescent="0.2">
      <c r="A5" s="1" t="s">
        <v>8</v>
      </c>
      <c r="B5" s="3">
        <f t="shared" si="0"/>
        <v>283.10000000000002</v>
      </c>
      <c r="C5" s="3">
        <f t="shared" si="1"/>
        <v>5378900</v>
      </c>
      <c r="D5" s="3">
        <f>11.1+16.8</f>
        <v>27.9</v>
      </c>
      <c r="E5" s="3">
        <f t="shared" si="2"/>
        <v>530100</v>
      </c>
      <c r="F5" s="3">
        <f>9.3+14.1</f>
        <v>23.4</v>
      </c>
      <c r="G5" s="3">
        <f t="shared" si="3"/>
        <v>444600</v>
      </c>
      <c r="H5" s="3">
        <f>10.8+8.7</f>
        <v>19.5</v>
      </c>
      <c r="I5" s="3">
        <f t="shared" si="4"/>
        <v>370500</v>
      </c>
      <c r="J5" s="3">
        <f t="shared" si="5"/>
        <v>70.8</v>
      </c>
      <c r="K5" s="3">
        <f t="shared" si="6"/>
        <v>1345200</v>
      </c>
      <c r="L5" s="3">
        <f>17.9+10.3</f>
        <v>28.2</v>
      </c>
      <c r="M5" s="3">
        <f t="shared" si="7"/>
        <v>535800</v>
      </c>
      <c r="N5" s="3">
        <f>11.2+6.7</f>
        <v>17.899999999999999</v>
      </c>
      <c r="O5" s="3">
        <f t="shared" si="8"/>
        <v>340100</v>
      </c>
      <c r="P5" s="3">
        <f>5.6+10</f>
        <v>15.6</v>
      </c>
      <c r="Q5" s="3">
        <f t="shared" si="9"/>
        <v>296400</v>
      </c>
      <c r="R5" s="3">
        <f t="shared" si="10"/>
        <v>61.699999999999996</v>
      </c>
      <c r="S5" s="3">
        <f t="shared" si="11"/>
        <v>1172300</v>
      </c>
      <c r="T5" s="3">
        <f>4.1+7</f>
        <v>11.1</v>
      </c>
      <c r="U5" s="3">
        <f t="shared" si="12"/>
        <v>210900</v>
      </c>
      <c r="V5" s="3">
        <f>3.7+10.5</f>
        <v>14.2</v>
      </c>
      <c r="W5" s="3">
        <f t="shared" si="13"/>
        <v>269800</v>
      </c>
      <c r="X5" s="3">
        <v>14.4</v>
      </c>
      <c r="Y5" s="3">
        <f t="shared" si="14"/>
        <v>273600</v>
      </c>
      <c r="Z5" s="3">
        <f t="shared" si="15"/>
        <v>39.699999999999996</v>
      </c>
      <c r="AA5" s="3">
        <f t="shared" si="16"/>
        <v>754299.99999999988</v>
      </c>
      <c r="AB5" s="3">
        <v>24.4</v>
      </c>
      <c r="AC5" s="3">
        <f t="shared" si="17"/>
        <v>463600</v>
      </c>
      <c r="AD5" s="6">
        <f>31.8+17.7</f>
        <v>49.5</v>
      </c>
      <c r="AE5" s="3">
        <f t="shared" si="18"/>
        <v>940500</v>
      </c>
      <c r="AF5" s="6">
        <f>27+10</f>
        <v>37</v>
      </c>
      <c r="AG5" s="6">
        <f t="shared" si="19"/>
        <v>703000</v>
      </c>
      <c r="AH5" s="6">
        <f t="shared" si="20"/>
        <v>110.9</v>
      </c>
      <c r="AI5" s="8">
        <f t="shared" si="21"/>
        <v>2107100</v>
      </c>
    </row>
    <row r="6" spans="1:35" ht="25" customHeight="1" x14ac:dyDescent="0.2">
      <c r="A6" s="1" t="s">
        <v>10</v>
      </c>
      <c r="B6" s="3">
        <f t="shared" si="0"/>
        <v>111.77607</v>
      </c>
      <c r="C6" s="3">
        <f t="shared" si="1"/>
        <v>2123745.33</v>
      </c>
      <c r="D6" s="3">
        <f>4.743+0.9486+3.7944</f>
        <v>9.4860000000000007</v>
      </c>
      <c r="E6" s="3">
        <f t="shared" si="2"/>
        <v>180234</v>
      </c>
      <c r="F6" s="3">
        <f>4.6035+0.9207+3.6828</f>
        <v>9.2070000000000007</v>
      </c>
      <c r="G6" s="3">
        <f t="shared" si="3"/>
        <v>174933</v>
      </c>
      <c r="H6" s="3">
        <f>4.64953+0.9207+3.6828</f>
        <v>9.2530300000000008</v>
      </c>
      <c r="I6" s="3">
        <f t="shared" si="4"/>
        <v>175807.57</v>
      </c>
      <c r="J6" s="3">
        <f t="shared" si="5"/>
        <v>27.94603</v>
      </c>
      <c r="K6" s="3">
        <f t="shared" si="6"/>
        <v>530974.57000000007</v>
      </c>
      <c r="L6" s="3">
        <f>4.57707+0.91541+3.66166</f>
        <v>9.1541399999999999</v>
      </c>
      <c r="M6" s="3">
        <f t="shared" si="7"/>
        <v>173928.66</v>
      </c>
      <c r="N6" s="3">
        <v>9.25</v>
      </c>
      <c r="O6" s="3">
        <f t="shared" si="8"/>
        <v>175750</v>
      </c>
      <c r="P6" s="3">
        <v>9.1259999999999994</v>
      </c>
      <c r="Q6" s="3">
        <f t="shared" si="9"/>
        <v>173394</v>
      </c>
      <c r="R6" s="3">
        <f t="shared" si="10"/>
        <v>27.530139999999996</v>
      </c>
      <c r="S6" s="3">
        <f t="shared" si="11"/>
        <v>523072.65999999992</v>
      </c>
      <c r="T6" s="3">
        <f>4.756+0.9513+3.805</f>
        <v>9.5122999999999998</v>
      </c>
      <c r="U6" s="3">
        <f t="shared" si="12"/>
        <v>180733.69999999998</v>
      </c>
      <c r="V6" s="3">
        <f>4.705+0.9411+3.764</f>
        <v>9.4100999999999999</v>
      </c>
      <c r="W6" s="3">
        <f t="shared" si="13"/>
        <v>178791.9</v>
      </c>
      <c r="X6" s="3">
        <f>4.711+0.9422+3.769</f>
        <v>9.4222000000000001</v>
      </c>
      <c r="Y6" s="3">
        <f t="shared" si="14"/>
        <v>179021.8</v>
      </c>
      <c r="Z6" s="3">
        <f t="shared" si="15"/>
        <v>28.3446</v>
      </c>
      <c r="AA6" s="3">
        <f t="shared" si="16"/>
        <v>538547.4</v>
      </c>
      <c r="AB6" s="3">
        <f>4.997+0.9994+3.9976</f>
        <v>9.9939999999999998</v>
      </c>
      <c r="AC6" s="3">
        <f t="shared" si="17"/>
        <v>189886</v>
      </c>
      <c r="AD6" s="3">
        <f>4.6965+0.9393+3.7572</f>
        <v>9.3930000000000007</v>
      </c>
      <c r="AE6" s="3">
        <f t="shared" si="18"/>
        <v>178467</v>
      </c>
      <c r="AF6" s="3">
        <f>4.2842+0.8568+3.4273</f>
        <v>8.5683000000000007</v>
      </c>
      <c r="AG6" s="6">
        <f t="shared" si="19"/>
        <v>162797.70000000001</v>
      </c>
      <c r="AH6" s="6">
        <f t="shared" si="20"/>
        <v>27.955300000000001</v>
      </c>
      <c r="AI6" s="8">
        <f t="shared" si="21"/>
        <v>531150.70000000007</v>
      </c>
    </row>
    <row r="7" spans="1:35" ht="25" customHeight="1" x14ac:dyDescent="0.2">
      <c r="A7" s="1" t="s">
        <v>12</v>
      </c>
      <c r="B7" s="3">
        <f t="shared" si="0"/>
        <v>905.05799999999999</v>
      </c>
      <c r="C7" s="3">
        <f t="shared" si="1"/>
        <v>17196102</v>
      </c>
      <c r="D7" s="3">
        <f>31.4+18.7+17.8</f>
        <v>67.899999999999991</v>
      </c>
      <c r="E7" s="3">
        <f t="shared" si="2"/>
        <v>1290099.9999999998</v>
      </c>
      <c r="F7" s="3">
        <f>36.1+31.3+17.4</f>
        <v>84.800000000000011</v>
      </c>
      <c r="G7" s="3">
        <f t="shared" si="3"/>
        <v>1611200.0000000002</v>
      </c>
      <c r="H7" s="3">
        <f>34.1+29.3+17.6</f>
        <v>81</v>
      </c>
      <c r="I7" s="3">
        <f t="shared" si="4"/>
        <v>1539000</v>
      </c>
      <c r="J7" s="3">
        <f t="shared" si="5"/>
        <v>233.7</v>
      </c>
      <c r="K7" s="3">
        <f t="shared" si="6"/>
        <v>4440300</v>
      </c>
      <c r="L7" s="3">
        <f>24.3+19.6+19.8</f>
        <v>63.7</v>
      </c>
      <c r="M7" s="3">
        <f t="shared" si="7"/>
        <v>1210300</v>
      </c>
      <c r="N7" s="3">
        <f>14.805+24.064+23.831</f>
        <v>62.7</v>
      </c>
      <c r="O7" s="3">
        <f t="shared" si="8"/>
        <v>1191300</v>
      </c>
      <c r="P7" s="3">
        <f>14.805+24.043+23.81</f>
        <v>62.658000000000001</v>
      </c>
      <c r="Q7" s="3">
        <f t="shared" si="9"/>
        <v>1190502</v>
      </c>
      <c r="R7" s="3">
        <f t="shared" si="10"/>
        <v>189.05799999999999</v>
      </c>
      <c r="S7" s="3">
        <f t="shared" si="11"/>
        <v>3592102</v>
      </c>
      <c r="T7" s="3">
        <f>34+36.7+15.4</f>
        <v>86.100000000000009</v>
      </c>
      <c r="U7" s="3">
        <f t="shared" si="12"/>
        <v>1635900.0000000002</v>
      </c>
      <c r="V7" s="3">
        <f>39.4+27.9+14.2</f>
        <v>81.5</v>
      </c>
      <c r="W7" s="3">
        <f t="shared" si="13"/>
        <v>1548500</v>
      </c>
      <c r="X7" s="3">
        <f>35.3+22.7+15.7</f>
        <v>73.7</v>
      </c>
      <c r="Y7" s="3">
        <f t="shared" si="14"/>
        <v>1400300</v>
      </c>
      <c r="Z7" s="3">
        <f t="shared" si="15"/>
        <v>241.3</v>
      </c>
      <c r="AA7" s="3">
        <f t="shared" si="16"/>
        <v>4584700</v>
      </c>
      <c r="AB7" s="3">
        <f>30.2+30.3+17</f>
        <v>77.5</v>
      </c>
      <c r="AC7" s="3">
        <f t="shared" si="17"/>
        <v>1472500</v>
      </c>
      <c r="AD7" s="6">
        <f>27.8+35.2+14.4</f>
        <v>77.400000000000006</v>
      </c>
      <c r="AE7" s="3">
        <f t="shared" si="18"/>
        <v>1470600</v>
      </c>
      <c r="AF7" s="6">
        <f>33.7+33.8+18.6</f>
        <v>86.1</v>
      </c>
      <c r="AG7" s="6">
        <f t="shared" si="19"/>
        <v>1635900</v>
      </c>
      <c r="AH7" s="6">
        <f t="shared" si="20"/>
        <v>241</v>
      </c>
      <c r="AI7" s="8">
        <f t="shared" si="21"/>
        <v>4579000</v>
      </c>
    </row>
    <row r="8" spans="1:35" ht="25" customHeight="1" x14ac:dyDescent="0.2">
      <c r="A8" s="1" t="s">
        <v>13</v>
      </c>
      <c r="B8" s="3">
        <f t="shared" si="0"/>
        <v>229.01</v>
      </c>
      <c r="C8" s="3">
        <f t="shared" si="1"/>
        <v>4351190</v>
      </c>
      <c r="D8" s="3">
        <v>8.5</v>
      </c>
      <c r="E8" s="3">
        <f t="shared" si="2"/>
        <v>161500</v>
      </c>
      <c r="F8" s="3">
        <v>9.3000000000000007</v>
      </c>
      <c r="G8" s="3">
        <f t="shared" si="3"/>
        <v>176700</v>
      </c>
      <c r="H8" s="3">
        <v>14.5</v>
      </c>
      <c r="I8" s="3">
        <f t="shared" si="4"/>
        <v>275500</v>
      </c>
      <c r="J8" s="3">
        <f t="shared" si="5"/>
        <v>32.299999999999997</v>
      </c>
      <c r="K8" s="3">
        <f t="shared" si="6"/>
        <v>613700</v>
      </c>
      <c r="L8" s="3">
        <v>15.1</v>
      </c>
      <c r="M8" s="3">
        <f t="shared" si="7"/>
        <v>286900</v>
      </c>
      <c r="N8" s="3">
        <v>18.899999999999999</v>
      </c>
      <c r="O8" s="3">
        <f t="shared" si="8"/>
        <v>359100</v>
      </c>
      <c r="P8" s="3">
        <v>22.3</v>
      </c>
      <c r="Q8" s="3">
        <f t="shared" si="9"/>
        <v>423700</v>
      </c>
      <c r="R8" s="3">
        <f t="shared" si="10"/>
        <v>56.3</v>
      </c>
      <c r="S8" s="3">
        <f t="shared" si="11"/>
        <v>1069700</v>
      </c>
      <c r="T8" s="3">
        <v>20.9</v>
      </c>
      <c r="U8" s="3">
        <f t="shared" si="12"/>
        <v>397100</v>
      </c>
      <c r="V8" s="3">
        <v>28</v>
      </c>
      <c r="W8" s="3">
        <f t="shared" si="13"/>
        <v>532000</v>
      </c>
      <c r="X8" s="3">
        <v>27.5</v>
      </c>
      <c r="Y8" s="3">
        <f t="shared" si="14"/>
        <v>522500</v>
      </c>
      <c r="Z8" s="3">
        <f t="shared" si="15"/>
        <v>76.400000000000006</v>
      </c>
      <c r="AA8" s="3">
        <f t="shared" si="16"/>
        <v>1451600</v>
      </c>
      <c r="AB8" s="3">
        <v>24.4</v>
      </c>
      <c r="AC8" s="3">
        <f t="shared" si="17"/>
        <v>463600</v>
      </c>
      <c r="AD8" s="6">
        <v>21.01</v>
      </c>
      <c r="AE8" s="3">
        <f t="shared" si="18"/>
        <v>399190.00000000006</v>
      </c>
      <c r="AF8" s="6">
        <v>18.600000000000001</v>
      </c>
      <c r="AG8" s="6">
        <f t="shared" si="19"/>
        <v>353400</v>
      </c>
      <c r="AH8" s="6">
        <f t="shared" si="20"/>
        <v>64.009999999999991</v>
      </c>
      <c r="AI8" s="8">
        <f t="shared" si="21"/>
        <v>1216189.9999999998</v>
      </c>
    </row>
    <row r="9" spans="1:35" ht="25" customHeight="1" x14ac:dyDescent="0.2">
      <c r="A9" s="1" t="s">
        <v>15</v>
      </c>
      <c r="B9" s="6">
        <f t="shared" si="0"/>
        <v>1043.8000000000002</v>
      </c>
      <c r="C9" s="3">
        <f t="shared" si="1"/>
        <v>19832200.000000004</v>
      </c>
      <c r="D9" s="6">
        <f>42+34.8</f>
        <v>76.8</v>
      </c>
      <c r="E9" s="3">
        <f t="shared" si="2"/>
        <v>1459200</v>
      </c>
      <c r="F9" s="6">
        <f>44.1+36.2</f>
        <v>80.300000000000011</v>
      </c>
      <c r="G9" s="3">
        <f t="shared" si="3"/>
        <v>1525700.0000000002</v>
      </c>
      <c r="H9" s="6">
        <f>43.6+39</f>
        <v>82.6</v>
      </c>
      <c r="I9" s="3">
        <f t="shared" si="4"/>
        <v>1569400</v>
      </c>
      <c r="J9" s="3">
        <f t="shared" si="5"/>
        <v>239.70000000000002</v>
      </c>
      <c r="K9" s="3">
        <f t="shared" si="6"/>
        <v>4554300</v>
      </c>
      <c r="L9" s="6">
        <f>47+40.2</f>
        <v>87.2</v>
      </c>
      <c r="M9" s="3">
        <f t="shared" si="7"/>
        <v>1656800</v>
      </c>
      <c r="N9" s="6">
        <f>46.9+41.8</f>
        <v>88.699999999999989</v>
      </c>
      <c r="O9" s="3">
        <f t="shared" si="8"/>
        <v>1685299.9999999998</v>
      </c>
      <c r="P9" s="6">
        <f>48.7+49.4</f>
        <v>98.1</v>
      </c>
      <c r="Q9" s="3">
        <f t="shared" si="9"/>
        <v>1863900</v>
      </c>
      <c r="R9" s="3">
        <f t="shared" si="10"/>
        <v>274</v>
      </c>
      <c r="S9" s="3">
        <f t="shared" si="11"/>
        <v>5206000</v>
      </c>
      <c r="T9" s="6">
        <f>48.7+44.3</f>
        <v>93</v>
      </c>
      <c r="U9" s="3">
        <f t="shared" si="12"/>
        <v>1767000</v>
      </c>
      <c r="V9" s="6">
        <f>56.5+46</f>
        <v>102.5</v>
      </c>
      <c r="W9" s="3">
        <f t="shared" si="13"/>
        <v>1947500</v>
      </c>
      <c r="X9" s="6">
        <f>58.4+50.8</f>
        <v>109.19999999999999</v>
      </c>
      <c r="Y9" s="3">
        <f t="shared" si="14"/>
        <v>2074799.9999999998</v>
      </c>
      <c r="Z9" s="3">
        <f t="shared" si="15"/>
        <v>304.7</v>
      </c>
      <c r="AA9" s="3">
        <f t="shared" si="16"/>
        <v>5789300</v>
      </c>
      <c r="AB9" s="6">
        <f>58.8+49.9</f>
        <v>108.69999999999999</v>
      </c>
      <c r="AC9" s="3">
        <f t="shared" si="17"/>
        <v>2065299.9999999998</v>
      </c>
      <c r="AD9" s="6">
        <f>67.1+49.6</f>
        <v>116.69999999999999</v>
      </c>
      <c r="AE9" s="3">
        <f t="shared" si="18"/>
        <v>2217300</v>
      </c>
      <c r="AF9" s="5"/>
      <c r="AG9" s="5">
        <f t="shared" si="19"/>
        <v>0</v>
      </c>
      <c r="AH9" s="5">
        <f t="shared" si="20"/>
        <v>225.39999999999998</v>
      </c>
      <c r="AI9" s="8">
        <f t="shared" si="21"/>
        <v>4282600</v>
      </c>
    </row>
    <row r="10" spans="1:35" ht="25" customHeight="1" x14ac:dyDescent="0.2">
      <c r="A10" s="1" t="s">
        <v>20</v>
      </c>
      <c r="B10" s="3">
        <f t="shared" si="0"/>
        <v>1688.6</v>
      </c>
      <c r="C10" s="3">
        <f t="shared" si="1"/>
        <v>32083400</v>
      </c>
      <c r="D10" s="3">
        <f>117.5+117.5</f>
        <v>235</v>
      </c>
      <c r="E10" s="3">
        <f t="shared" si="2"/>
        <v>4465000</v>
      </c>
      <c r="F10" s="3">
        <f>111.2+21.2</f>
        <v>132.4</v>
      </c>
      <c r="G10" s="3">
        <f t="shared" si="3"/>
        <v>2515600</v>
      </c>
      <c r="H10" s="3">
        <f>113.5+113.5</f>
        <v>227</v>
      </c>
      <c r="I10" s="3">
        <f t="shared" si="4"/>
        <v>4313000</v>
      </c>
      <c r="J10" s="3">
        <f t="shared" si="5"/>
        <v>594.4</v>
      </c>
      <c r="K10" s="3">
        <f t="shared" si="6"/>
        <v>11293600</v>
      </c>
      <c r="L10" s="3">
        <f>116+20.5</f>
        <v>136.5</v>
      </c>
      <c r="M10" s="3">
        <f t="shared" si="7"/>
        <v>2593500</v>
      </c>
      <c r="N10" s="3">
        <f>119.8+21.2</f>
        <v>141</v>
      </c>
      <c r="O10" s="3">
        <f t="shared" si="8"/>
        <v>2679000</v>
      </c>
      <c r="P10" s="3">
        <f>14.3+110.7</f>
        <v>125</v>
      </c>
      <c r="Q10" s="3">
        <f t="shared" si="9"/>
        <v>2375000</v>
      </c>
      <c r="R10" s="3">
        <f t="shared" si="10"/>
        <v>402.5</v>
      </c>
      <c r="S10" s="3">
        <f t="shared" si="11"/>
        <v>7647500</v>
      </c>
      <c r="T10" s="3">
        <f>101.8+11.7</f>
        <v>113.5</v>
      </c>
      <c r="U10" s="3">
        <f t="shared" si="12"/>
        <v>2156500</v>
      </c>
      <c r="V10" s="3">
        <f>102.5+12.4</f>
        <v>114.9</v>
      </c>
      <c r="W10" s="3">
        <f t="shared" si="13"/>
        <v>2183100</v>
      </c>
      <c r="X10" s="3">
        <f>106.4+12.4</f>
        <v>118.80000000000001</v>
      </c>
      <c r="Y10" s="3">
        <f t="shared" si="14"/>
        <v>2257200</v>
      </c>
      <c r="Z10" s="3">
        <f t="shared" si="15"/>
        <v>347.20000000000005</v>
      </c>
      <c r="AA10" s="3">
        <f t="shared" si="16"/>
        <v>6596800.0000000009</v>
      </c>
      <c r="AB10" s="3">
        <f>102.6+12.8</f>
        <v>115.39999999999999</v>
      </c>
      <c r="AC10" s="3">
        <f t="shared" si="17"/>
        <v>2192600</v>
      </c>
      <c r="AD10" s="6">
        <f>104.1+12.3</f>
        <v>116.39999999999999</v>
      </c>
      <c r="AE10" s="3">
        <f t="shared" si="18"/>
        <v>2211600</v>
      </c>
      <c r="AF10" s="6">
        <f>102.5+10.2</f>
        <v>112.7</v>
      </c>
      <c r="AG10" s="6">
        <f t="shared" si="19"/>
        <v>2141300</v>
      </c>
      <c r="AH10" s="6">
        <f t="shared" si="20"/>
        <v>344.5</v>
      </c>
      <c r="AI10" s="8">
        <f t="shared" si="21"/>
        <v>6545500</v>
      </c>
    </row>
    <row r="11" spans="1:35" ht="25" customHeight="1" x14ac:dyDescent="0.2">
      <c r="A11" s="1" t="s">
        <v>22</v>
      </c>
      <c r="B11" s="3">
        <f t="shared" si="0"/>
        <v>2848.19</v>
      </c>
      <c r="C11" s="3">
        <f t="shared" si="1"/>
        <v>54115610</v>
      </c>
      <c r="D11" s="3">
        <v>187.38</v>
      </c>
      <c r="E11" s="3">
        <f t="shared" si="2"/>
        <v>3560220</v>
      </c>
      <c r="F11" s="3">
        <v>301.5</v>
      </c>
      <c r="G11" s="3">
        <f t="shared" si="3"/>
        <v>5728500</v>
      </c>
      <c r="H11" s="3">
        <v>412.52</v>
      </c>
      <c r="I11" s="3">
        <f t="shared" si="4"/>
        <v>7837880</v>
      </c>
      <c r="J11" s="3">
        <f t="shared" si="5"/>
        <v>901.4</v>
      </c>
      <c r="K11" s="3">
        <f t="shared" si="6"/>
        <v>17126600</v>
      </c>
      <c r="L11" s="3">
        <v>480.41</v>
      </c>
      <c r="M11" s="3">
        <f t="shared" si="7"/>
        <v>9127790</v>
      </c>
      <c r="N11" s="3">
        <v>490.6</v>
      </c>
      <c r="O11" s="3">
        <f t="shared" si="8"/>
        <v>9321400</v>
      </c>
      <c r="P11" s="3">
        <v>277.88</v>
      </c>
      <c r="Q11" s="3">
        <f t="shared" si="9"/>
        <v>5279720</v>
      </c>
      <c r="R11" s="3">
        <f t="shared" si="10"/>
        <v>1248.8899999999999</v>
      </c>
      <c r="S11" s="3">
        <f t="shared" si="11"/>
        <v>23728909.999999996</v>
      </c>
      <c r="T11" s="6">
        <v>180.1</v>
      </c>
      <c r="U11" s="6">
        <f t="shared" si="12"/>
        <v>3421900</v>
      </c>
      <c r="V11" s="6">
        <v>154.4</v>
      </c>
      <c r="W11" s="6">
        <f t="shared" si="13"/>
        <v>2933600</v>
      </c>
      <c r="X11" s="6">
        <v>136.6</v>
      </c>
      <c r="Y11" s="3">
        <f t="shared" si="14"/>
        <v>2595400</v>
      </c>
      <c r="Z11" s="3">
        <f t="shared" si="15"/>
        <v>471.1</v>
      </c>
      <c r="AA11" s="3">
        <f t="shared" si="16"/>
        <v>8950900</v>
      </c>
      <c r="AB11" s="6">
        <v>112.2</v>
      </c>
      <c r="AC11" s="6">
        <f t="shared" si="17"/>
        <v>2131800</v>
      </c>
      <c r="AD11" s="6">
        <v>71.8</v>
      </c>
      <c r="AE11" s="6">
        <f t="shared" si="18"/>
        <v>1364200</v>
      </c>
      <c r="AF11" s="6">
        <v>42.8</v>
      </c>
      <c r="AG11" s="6">
        <f t="shared" si="19"/>
        <v>813200</v>
      </c>
      <c r="AH11" s="6">
        <f t="shared" si="20"/>
        <v>226.8</v>
      </c>
      <c r="AI11" s="8">
        <f t="shared" si="21"/>
        <v>4309200</v>
      </c>
    </row>
    <row r="12" spans="1:35" ht="25" customHeight="1" x14ac:dyDescent="0.2">
      <c r="A12" s="1" t="s">
        <v>24</v>
      </c>
      <c r="B12" s="3">
        <f t="shared" si="0"/>
        <v>937.7</v>
      </c>
      <c r="C12" s="3">
        <f t="shared" si="1"/>
        <v>17816300</v>
      </c>
      <c r="D12" s="3">
        <v>71</v>
      </c>
      <c r="E12" s="3">
        <f t="shared" si="2"/>
        <v>1349000</v>
      </c>
      <c r="F12" s="3">
        <v>82.8</v>
      </c>
      <c r="G12" s="3">
        <f t="shared" si="3"/>
        <v>1573200</v>
      </c>
      <c r="H12" s="3">
        <v>82.8</v>
      </c>
      <c r="I12" s="3">
        <f t="shared" si="4"/>
        <v>1573200</v>
      </c>
      <c r="J12" s="3">
        <f t="shared" si="5"/>
        <v>236.60000000000002</v>
      </c>
      <c r="K12" s="3">
        <f t="shared" si="6"/>
        <v>4495400</v>
      </c>
      <c r="L12" s="3">
        <v>85.7</v>
      </c>
      <c r="M12" s="3">
        <f t="shared" si="7"/>
        <v>1628300</v>
      </c>
      <c r="N12" s="3">
        <v>84.8</v>
      </c>
      <c r="O12" s="3">
        <f t="shared" si="8"/>
        <v>1611200</v>
      </c>
      <c r="P12" s="3">
        <v>80.3</v>
      </c>
      <c r="Q12" s="3">
        <f t="shared" si="9"/>
        <v>1525700</v>
      </c>
      <c r="R12" s="3">
        <f t="shared" si="10"/>
        <v>250.8</v>
      </c>
      <c r="S12" s="3">
        <f t="shared" si="11"/>
        <v>4765200</v>
      </c>
      <c r="T12" s="3">
        <v>45.3</v>
      </c>
      <c r="U12" s="3">
        <f t="shared" si="12"/>
        <v>860700</v>
      </c>
      <c r="V12" s="3">
        <v>61.1</v>
      </c>
      <c r="W12" s="3">
        <f t="shared" si="13"/>
        <v>1160900</v>
      </c>
      <c r="X12" s="3">
        <v>96.1</v>
      </c>
      <c r="Y12" s="3">
        <f t="shared" si="14"/>
        <v>1825900</v>
      </c>
      <c r="Z12" s="3">
        <f t="shared" si="15"/>
        <v>202.5</v>
      </c>
      <c r="AA12" s="3">
        <f t="shared" si="16"/>
        <v>3847500</v>
      </c>
      <c r="AB12" s="6">
        <v>81</v>
      </c>
      <c r="AC12" s="6">
        <f t="shared" si="17"/>
        <v>1539000</v>
      </c>
      <c r="AD12" s="6">
        <v>79</v>
      </c>
      <c r="AE12" s="6">
        <f t="shared" si="18"/>
        <v>1501000</v>
      </c>
      <c r="AF12" s="6">
        <v>87.8</v>
      </c>
      <c r="AG12" s="6">
        <f t="shared" si="19"/>
        <v>1668200</v>
      </c>
      <c r="AH12" s="6">
        <f t="shared" si="20"/>
        <v>247.8</v>
      </c>
      <c r="AI12" s="8">
        <f t="shared" si="21"/>
        <v>4708200</v>
      </c>
    </row>
    <row r="13" spans="1:35" ht="25" customHeight="1" x14ac:dyDescent="0.2">
      <c r="A13" s="1" t="s">
        <v>27</v>
      </c>
      <c r="B13" s="3">
        <f t="shared" si="0"/>
        <v>144.35</v>
      </c>
      <c r="C13" s="3">
        <f t="shared" si="1"/>
        <v>2742650</v>
      </c>
      <c r="D13" s="3">
        <v>9.1999999999999993</v>
      </c>
      <c r="E13" s="3">
        <f t="shared" si="2"/>
        <v>174800</v>
      </c>
      <c r="F13" s="3">
        <v>8.4</v>
      </c>
      <c r="G13" s="3">
        <f t="shared" si="3"/>
        <v>159600</v>
      </c>
      <c r="H13" s="3">
        <v>9.9</v>
      </c>
      <c r="I13" s="3">
        <f t="shared" si="4"/>
        <v>188100</v>
      </c>
      <c r="J13" s="3">
        <f t="shared" si="5"/>
        <v>27.5</v>
      </c>
      <c r="K13" s="3">
        <f t="shared" si="6"/>
        <v>522500</v>
      </c>
      <c r="L13" s="3">
        <v>13.6</v>
      </c>
      <c r="M13" s="3">
        <f t="shared" si="7"/>
        <v>258400</v>
      </c>
      <c r="N13" s="3">
        <v>15.5</v>
      </c>
      <c r="O13" s="3">
        <f t="shared" si="8"/>
        <v>294500</v>
      </c>
      <c r="P13" s="3">
        <v>12.1</v>
      </c>
      <c r="Q13" s="3">
        <f t="shared" si="9"/>
        <v>229900</v>
      </c>
      <c r="R13" s="3">
        <f t="shared" si="10"/>
        <v>41.2</v>
      </c>
      <c r="S13" s="3">
        <f t="shared" si="11"/>
        <v>782800</v>
      </c>
      <c r="T13" s="3">
        <v>13.6</v>
      </c>
      <c r="U13" s="3">
        <f t="shared" si="12"/>
        <v>258400</v>
      </c>
      <c r="V13" s="3">
        <v>15.65</v>
      </c>
      <c r="W13" s="3">
        <f t="shared" si="13"/>
        <v>297350</v>
      </c>
      <c r="X13" s="3">
        <v>9.9</v>
      </c>
      <c r="Y13" s="3">
        <f t="shared" si="14"/>
        <v>188100</v>
      </c>
      <c r="Z13" s="3">
        <f t="shared" si="15"/>
        <v>39.15</v>
      </c>
      <c r="AA13" s="3">
        <f t="shared" si="16"/>
        <v>743850</v>
      </c>
      <c r="AB13" s="6">
        <v>12.5</v>
      </c>
      <c r="AC13" s="6">
        <f t="shared" si="17"/>
        <v>237500</v>
      </c>
      <c r="AD13" s="6">
        <v>13.3</v>
      </c>
      <c r="AE13" s="6">
        <f t="shared" si="18"/>
        <v>252700</v>
      </c>
      <c r="AF13" s="6">
        <v>10.7</v>
      </c>
      <c r="AG13" s="6">
        <f t="shared" si="19"/>
        <v>203300</v>
      </c>
      <c r="AH13" s="6">
        <f t="shared" si="20"/>
        <v>36.5</v>
      </c>
      <c r="AI13" s="8">
        <f t="shared" si="21"/>
        <v>693500</v>
      </c>
    </row>
    <row r="14" spans="1:35" ht="25" customHeight="1" x14ac:dyDescent="0.2">
      <c r="A14" s="1" t="s">
        <v>28</v>
      </c>
      <c r="B14" s="3">
        <f t="shared" si="0"/>
        <v>564.1</v>
      </c>
      <c r="C14" s="3">
        <f t="shared" si="1"/>
        <v>10717900</v>
      </c>
      <c r="D14" s="3">
        <v>48.9</v>
      </c>
      <c r="E14" s="3">
        <f t="shared" si="2"/>
        <v>929100</v>
      </c>
      <c r="F14" s="3">
        <v>49</v>
      </c>
      <c r="G14" s="3">
        <f t="shared" si="3"/>
        <v>931000</v>
      </c>
      <c r="H14" s="3">
        <v>48.8</v>
      </c>
      <c r="I14" s="3">
        <f t="shared" si="4"/>
        <v>927200</v>
      </c>
      <c r="J14" s="3">
        <f t="shared" si="5"/>
        <v>146.69999999999999</v>
      </c>
      <c r="K14" s="3">
        <f t="shared" si="6"/>
        <v>2787300</v>
      </c>
      <c r="L14" s="3">
        <v>45.4</v>
      </c>
      <c r="M14" s="3">
        <f t="shared" si="7"/>
        <v>862600</v>
      </c>
      <c r="N14" s="3">
        <v>45.1</v>
      </c>
      <c r="O14" s="3">
        <f t="shared" si="8"/>
        <v>856900</v>
      </c>
      <c r="P14" s="3">
        <v>44.9</v>
      </c>
      <c r="Q14" s="3">
        <f t="shared" si="9"/>
        <v>853100</v>
      </c>
      <c r="R14" s="3">
        <f t="shared" si="10"/>
        <v>135.4</v>
      </c>
      <c r="S14" s="3">
        <f t="shared" si="11"/>
        <v>2572600</v>
      </c>
      <c r="T14" s="3">
        <v>45</v>
      </c>
      <c r="U14" s="3">
        <f t="shared" si="12"/>
        <v>855000</v>
      </c>
      <c r="V14" s="3">
        <v>45.2</v>
      </c>
      <c r="W14" s="3">
        <f t="shared" si="13"/>
        <v>858800</v>
      </c>
      <c r="X14" s="3">
        <v>45.2</v>
      </c>
      <c r="Y14" s="3">
        <f t="shared" si="14"/>
        <v>858800</v>
      </c>
      <c r="Z14" s="3">
        <f t="shared" si="15"/>
        <v>135.4</v>
      </c>
      <c r="AA14" s="3">
        <f t="shared" si="16"/>
        <v>2572600</v>
      </c>
      <c r="AB14" s="6">
        <v>48.8</v>
      </c>
      <c r="AC14" s="6">
        <f t="shared" si="17"/>
        <v>927200</v>
      </c>
      <c r="AD14" s="6">
        <v>48.8</v>
      </c>
      <c r="AE14" s="6">
        <f t="shared" si="18"/>
        <v>927200</v>
      </c>
      <c r="AF14" s="6">
        <v>49</v>
      </c>
      <c r="AG14" s="6">
        <f t="shared" si="19"/>
        <v>931000</v>
      </c>
      <c r="AH14" s="6">
        <f t="shared" si="20"/>
        <v>146.6</v>
      </c>
      <c r="AI14" s="8">
        <f t="shared" si="21"/>
        <v>2785400</v>
      </c>
    </row>
    <row r="15" spans="1:35" ht="25" customHeight="1" x14ac:dyDescent="0.2">
      <c r="A15" s="1" t="s">
        <v>29</v>
      </c>
      <c r="B15" s="3">
        <f t="shared" si="0"/>
        <v>283.7</v>
      </c>
      <c r="C15" s="3">
        <f t="shared" si="1"/>
        <v>5390300</v>
      </c>
      <c r="D15" s="3">
        <f>4.1+14.3</f>
        <v>18.399999999999999</v>
      </c>
      <c r="E15" s="3">
        <f t="shared" si="2"/>
        <v>349600</v>
      </c>
      <c r="F15" s="3">
        <f>3.7+18.1</f>
        <v>21.8</v>
      </c>
      <c r="G15" s="3">
        <f t="shared" si="3"/>
        <v>414200</v>
      </c>
      <c r="H15" s="3">
        <f>3.2+24.1</f>
        <v>27.3</v>
      </c>
      <c r="I15" s="3">
        <f t="shared" si="4"/>
        <v>518700</v>
      </c>
      <c r="J15" s="3">
        <f t="shared" si="5"/>
        <v>67.5</v>
      </c>
      <c r="K15" s="3">
        <f t="shared" si="6"/>
        <v>1282500</v>
      </c>
      <c r="L15" s="3">
        <f>6.7+18.7</f>
        <v>25.4</v>
      </c>
      <c r="M15" s="3">
        <f t="shared" si="7"/>
        <v>482600</v>
      </c>
      <c r="N15" s="3">
        <f>5.4+22.3</f>
        <v>27.700000000000003</v>
      </c>
      <c r="O15" s="3">
        <f t="shared" si="8"/>
        <v>526300</v>
      </c>
      <c r="P15" s="3">
        <f>7.3+17.2</f>
        <v>24.5</v>
      </c>
      <c r="Q15" s="3">
        <f t="shared" si="9"/>
        <v>465500</v>
      </c>
      <c r="R15" s="3">
        <f t="shared" si="10"/>
        <v>77.599999999999994</v>
      </c>
      <c r="S15" s="3">
        <f t="shared" si="11"/>
        <v>1474400</v>
      </c>
      <c r="T15" s="6">
        <f>4.9+20.3</f>
        <v>25.200000000000003</v>
      </c>
      <c r="U15" s="3">
        <f t="shared" si="12"/>
        <v>478800.00000000006</v>
      </c>
      <c r="V15" s="6">
        <f>5.7+17.2</f>
        <v>22.9</v>
      </c>
      <c r="W15" s="3">
        <f t="shared" si="13"/>
        <v>435100</v>
      </c>
      <c r="X15" s="6">
        <f>22.7+5.2</f>
        <v>27.9</v>
      </c>
      <c r="Y15" s="3">
        <f t="shared" si="14"/>
        <v>530100</v>
      </c>
      <c r="Z15" s="3">
        <f t="shared" si="15"/>
        <v>76</v>
      </c>
      <c r="AA15" s="3">
        <f t="shared" si="16"/>
        <v>1444000</v>
      </c>
      <c r="AB15" s="6">
        <v>22.6</v>
      </c>
      <c r="AC15" s="6">
        <f t="shared" si="17"/>
        <v>429400</v>
      </c>
      <c r="AD15" s="6">
        <v>20.100000000000001</v>
      </c>
      <c r="AE15" s="6">
        <f t="shared" si="18"/>
        <v>381900</v>
      </c>
      <c r="AF15" s="6">
        <v>19.899999999999999</v>
      </c>
      <c r="AG15" s="6">
        <f t="shared" si="19"/>
        <v>378100</v>
      </c>
      <c r="AH15" s="6">
        <f t="shared" si="20"/>
        <v>62.6</v>
      </c>
      <c r="AI15" s="8">
        <f t="shared" si="21"/>
        <v>1189400</v>
      </c>
    </row>
    <row r="16" spans="1:35" ht="25" customHeight="1" x14ac:dyDescent="0.2">
      <c r="A16" s="1" t="s">
        <v>33</v>
      </c>
      <c r="B16" s="3">
        <f t="shared" si="0"/>
        <v>175.49999999999997</v>
      </c>
      <c r="C16" s="3">
        <f t="shared" si="1"/>
        <v>3334499.9999999995</v>
      </c>
      <c r="D16" s="3">
        <f>11.7+1.2+4.2</f>
        <v>17.099999999999998</v>
      </c>
      <c r="E16" s="3">
        <f t="shared" si="2"/>
        <v>324899.99999999994</v>
      </c>
      <c r="F16" s="3">
        <f>12+1.2+4.5</f>
        <v>17.7</v>
      </c>
      <c r="G16" s="3">
        <f t="shared" si="3"/>
        <v>336300</v>
      </c>
      <c r="H16" s="3">
        <f>12.5+1.3+5.2</f>
        <v>19</v>
      </c>
      <c r="I16" s="3">
        <f t="shared" si="4"/>
        <v>361000</v>
      </c>
      <c r="J16" s="3">
        <f t="shared" si="5"/>
        <v>53.8</v>
      </c>
      <c r="K16" s="3">
        <f t="shared" si="6"/>
        <v>1022200</v>
      </c>
      <c r="L16" s="3">
        <f>12+1.3+4.3</f>
        <v>17.600000000000001</v>
      </c>
      <c r="M16" s="3">
        <f t="shared" si="7"/>
        <v>334400</v>
      </c>
      <c r="N16" s="3">
        <f>12.2+1.3+5.3</f>
        <v>18.8</v>
      </c>
      <c r="O16" s="3">
        <f t="shared" si="8"/>
        <v>357200</v>
      </c>
      <c r="P16" s="3">
        <f>11.6+0.6+4.2</f>
        <v>16.399999999999999</v>
      </c>
      <c r="Q16" s="3">
        <f t="shared" si="9"/>
        <v>311600</v>
      </c>
      <c r="R16" s="3">
        <f t="shared" si="10"/>
        <v>52.800000000000004</v>
      </c>
      <c r="S16" s="3">
        <f t="shared" si="11"/>
        <v>1003200.0000000001</v>
      </c>
      <c r="T16" s="3">
        <f>11.4+0.6+2.6</f>
        <v>14.6</v>
      </c>
      <c r="U16" s="3">
        <f t="shared" si="12"/>
        <v>277400</v>
      </c>
      <c r="V16" s="3">
        <f>7.1+0.5+2.5</f>
        <v>10.1</v>
      </c>
      <c r="W16" s="3">
        <f t="shared" si="13"/>
        <v>191900</v>
      </c>
      <c r="X16" s="3">
        <f>6.4+0.5+2.2</f>
        <v>9.1000000000000014</v>
      </c>
      <c r="Y16" s="3">
        <f t="shared" si="14"/>
        <v>172900.00000000003</v>
      </c>
      <c r="Z16" s="3">
        <f t="shared" si="15"/>
        <v>33.799999999999997</v>
      </c>
      <c r="AA16" s="3">
        <f t="shared" si="16"/>
        <v>642200</v>
      </c>
      <c r="AB16" s="6">
        <f>9.4+1.8+4</f>
        <v>15.200000000000001</v>
      </c>
      <c r="AC16" s="3">
        <f t="shared" si="17"/>
        <v>288800</v>
      </c>
      <c r="AD16" s="6">
        <v>19.899999999999999</v>
      </c>
      <c r="AE16" s="3">
        <f t="shared" si="18"/>
        <v>378100</v>
      </c>
      <c r="AF16" s="5"/>
      <c r="AG16" s="5">
        <f t="shared" si="19"/>
        <v>0</v>
      </c>
      <c r="AH16" s="5">
        <f t="shared" si="20"/>
        <v>35.1</v>
      </c>
      <c r="AI16" s="8">
        <f t="shared" si="21"/>
        <v>666900</v>
      </c>
    </row>
    <row r="17" spans="1:35" ht="25" customHeight="1" x14ac:dyDescent="0.2">
      <c r="A17" s="1" t="s">
        <v>35</v>
      </c>
      <c r="B17" s="3">
        <f t="shared" si="0"/>
        <v>14.937000000000001</v>
      </c>
      <c r="C17" s="3">
        <f t="shared" si="1"/>
        <v>283803</v>
      </c>
      <c r="D17" s="3">
        <f>0.06+0.386+0.865</f>
        <v>1.3109999999999999</v>
      </c>
      <c r="E17" s="3">
        <f t="shared" si="2"/>
        <v>24909</v>
      </c>
      <c r="F17" s="3">
        <f>0.064+0.402+0.937</f>
        <v>1.403</v>
      </c>
      <c r="G17" s="3">
        <f t="shared" si="3"/>
        <v>26657</v>
      </c>
      <c r="H17" s="3">
        <f>0.073+0.426+0.974</f>
        <v>1.4729999999999999</v>
      </c>
      <c r="I17" s="3">
        <f t="shared" si="4"/>
        <v>27986.999999999996</v>
      </c>
      <c r="J17" s="3">
        <f t="shared" si="5"/>
        <v>4.1869999999999994</v>
      </c>
      <c r="K17" s="3">
        <f t="shared" si="6"/>
        <v>79552.999999999985</v>
      </c>
      <c r="L17" s="3">
        <f>0.077+0.448+1.022</f>
        <v>1.5470000000000002</v>
      </c>
      <c r="M17" s="3">
        <f t="shared" si="7"/>
        <v>29393.000000000004</v>
      </c>
      <c r="N17" s="3">
        <f>0.08+0.453+1.032</f>
        <v>1.5649999999999999</v>
      </c>
      <c r="O17" s="3">
        <f t="shared" si="8"/>
        <v>29735</v>
      </c>
      <c r="P17" s="3">
        <f>0.082+0.459+1.044</f>
        <v>1.585</v>
      </c>
      <c r="Q17" s="3">
        <f t="shared" si="9"/>
        <v>30115</v>
      </c>
      <c r="R17" s="3">
        <f t="shared" si="10"/>
        <v>4.6970000000000001</v>
      </c>
      <c r="S17" s="3">
        <f t="shared" si="11"/>
        <v>89243</v>
      </c>
      <c r="T17" s="3">
        <f>0.065+0.25+0.635</f>
        <v>0.95</v>
      </c>
      <c r="U17" s="3">
        <f t="shared" si="12"/>
        <v>18050</v>
      </c>
      <c r="V17" s="3">
        <f>0.05+0.181+0.487</f>
        <v>0.71799999999999997</v>
      </c>
      <c r="W17" s="3">
        <f t="shared" si="13"/>
        <v>13642</v>
      </c>
      <c r="X17" s="3">
        <f>0.06+0.232+0.598</f>
        <v>0.89</v>
      </c>
      <c r="Y17" s="3">
        <f t="shared" si="14"/>
        <v>16910</v>
      </c>
      <c r="Z17" s="3">
        <f t="shared" si="15"/>
        <v>2.5579999999999998</v>
      </c>
      <c r="AA17" s="3">
        <f t="shared" si="16"/>
        <v>48602</v>
      </c>
      <c r="AB17" s="3">
        <v>1.03</v>
      </c>
      <c r="AC17" s="3">
        <f t="shared" si="17"/>
        <v>19570</v>
      </c>
      <c r="AD17" s="3">
        <v>1.1299999999999999</v>
      </c>
      <c r="AE17" s="3">
        <f t="shared" si="18"/>
        <v>21469.999999999996</v>
      </c>
      <c r="AF17" s="6">
        <f>0.935+0.085+0.315</f>
        <v>1.335</v>
      </c>
      <c r="AG17" s="6">
        <f t="shared" si="19"/>
        <v>25365</v>
      </c>
      <c r="AH17" s="6">
        <f t="shared" si="20"/>
        <v>3.4950000000000001</v>
      </c>
      <c r="AI17" s="8">
        <f t="shared" si="21"/>
        <v>66405</v>
      </c>
    </row>
    <row r="18" spans="1:35" ht="25" customHeight="1" x14ac:dyDescent="0.2">
      <c r="A18" s="1" t="s">
        <v>37</v>
      </c>
      <c r="B18" s="3">
        <f t="shared" si="0"/>
        <v>63.8</v>
      </c>
      <c r="C18" s="3">
        <f t="shared" si="1"/>
        <v>1212200</v>
      </c>
      <c r="D18" s="3">
        <v>6</v>
      </c>
      <c r="E18" s="3">
        <f t="shared" si="2"/>
        <v>114000</v>
      </c>
      <c r="F18" s="3">
        <v>4.9000000000000004</v>
      </c>
      <c r="G18" s="3">
        <f t="shared" si="3"/>
        <v>93100</v>
      </c>
      <c r="H18" s="3">
        <v>6.2</v>
      </c>
      <c r="I18" s="3">
        <f t="shared" si="4"/>
        <v>117800</v>
      </c>
      <c r="J18" s="3">
        <f t="shared" si="5"/>
        <v>17.100000000000001</v>
      </c>
      <c r="K18" s="3">
        <f t="shared" si="6"/>
        <v>324900</v>
      </c>
      <c r="L18" s="3">
        <v>7.9</v>
      </c>
      <c r="M18" s="3">
        <f t="shared" si="7"/>
        <v>150100</v>
      </c>
      <c r="N18" s="3">
        <v>8.5</v>
      </c>
      <c r="O18" s="3">
        <f t="shared" si="8"/>
        <v>161500</v>
      </c>
      <c r="P18" s="3">
        <v>7.7</v>
      </c>
      <c r="Q18" s="3">
        <f t="shared" si="9"/>
        <v>146300</v>
      </c>
      <c r="R18" s="3">
        <f t="shared" si="10"/>
        <v>24.099999999999998</v>
      </c>
      <c r="S18" s="3">
        <f t="shared" si="11"/>
        <v>457899.99999999994</v>
      </c>
      <c r="T18" s="3">
        <v>7</v>
      </c>
      <c r="U18" s="3">
        <f t="shared" si="12"/>
        <v>133000</v>
      </c>
      <c r="V18" s="3">
        <v>3.6</v>
      </c>
      <c r="W18" s="3">
        <f t="shared" si="13"/>
        <v>68400</v>
      </c>
      <c r="X18" s="3">
        <v>3.7</v>
      </c>
      <c r="Y18" s="3">
        <f t="shared" si="14"/>
        <v>70300</v>
      </c>
      <c r="Z18" s="3">
        <f t="shared" si="15"/>
        <v>14.3</v>
      </c>
      <c r="AA18" s="3">
        <f t="shared" si="16"/>
        <v>271700</v>
      </c>
      <c r="AB18" s="3">
        <v>3.1</v>
      </c>
      <c r="AC18" s="3">
        <f t="shared" si="17"/>
        <v>58900</v>
      </c>
      <c r="AD18" s="3">
        <v>2.5</v>
      </c>
      <c r="AE18" s="3">
        <f t="shared" si="18"/>
        <v>47500</v>
      </c>
      <c r="AF18" s="6">
        <v>2.7</v>
      </c>
      <c r="AG18" s="6">
        <f t="shared" si="19"/>
        <v>51300</v>
      </c>
      <c r="AH18" s="6">
        <f t="shared" si="20"/>
        <v>8.3000000000000007</v>
      </c>
      <c r="AI18" s="8">
        <f t="shared" si="21"/>
        <v>157700</v>
      </c>
    </row>
    <row r="19" spans="1:35" ht="25" customHeight="1" x14ac:dyDescent="0.2">
      <c r="A19" s="1" t="s">
        <v>39</v>
      </c>
      <c r="B19" s="3">
        <f t="shared" si="0"/>
        <v>22.2</v>
      </c>
      <c r="C19" s="3">
        <f t="shared" si="1"/>
        <v>421800</v>
      </c>
      <c r="D19" s="3">
        <v>1.2</v>
      </c>
      <c r="E19" s="3">
        <f t="shared" si="2"/>
        <v>22800</v>
      </c>
      <c r="F19" s="3">
        <v>1.3</v>
      </c>
      <c r="G19" s="3">
        <f t="shared" si="3"/>
        <v>24700</v>
      </c>
      <c r="H19" s="3">
        <v>1.5</v>
      </c>
      <c r="I19" s="3">
        <f t="shared" si="4"/>
        <v>28500</v>
      </c>
      <c r="J19" s="3">
        <f t="shared" si="5"/>
        <v>4</v>
      </c>
      <c r="K19" s="3">
        <f t="shared" si="6"/>
        <v>76000</v>
      </c>
      <c r="L19" s="3">
        <v>1.6</v>
      </c>
      <c r="M19" s="3">
        <f t="shared" si="7"/>
        <v>30400</v>
      </c>
      <c r="N19" s="3">
        <v>1.8</v>
      </c>
      <c r="O19" s="3">
        <f t="shared" si="8"/>
        <v>34200</v>
      </c>
      <c r="P19" s="3">
        <v>1.8</v>
      </c>
      <c r="Q19" s="3">
        <f t="shared" si="9"/>
        <v>34200</v>
      </c>
      <c r="R19" s="3">
        <f t="shared" si="10"/>
        <v>5.2</v>
      </c>
      <c r="S19" s="3">
        <f t="shared" si="11"/>
        <v>98800</v>
      </c>
      <c r="T19" s="3">
        <v>1.6</v>
      </c>
      <c r="U19" s="3">
        <f t="shared" si="12"/>
        <v>30400</v>
      </c>
      <c r="V19" s="3">
        <v>1.5</v>
      </c>
      <c r="W19" s="3">
        <f t="shared" si="13"/>
        <v>28500</v>
      </c>
      <c r="X19" s="3">
        <v>2.8</v>
      </c>
      <c r="Y19" s="3">
        <f t="shared" si="14"/>
        <v>53200</v>
      </c>
      <c r="Z19" s="3">
        <f t="shared" si="15"/>
        <v>5.9</v>
      </c>
      <c r="AA19" s="3">
        <f t="shared" si="16"/>
        <v>112100</v>
      </c>
      <c r="AB19" s="3">
        <v>2.5</v>
      </c>
      <c r="AC19" s="3">
        <f t="shared" si="17"/>
        <v>47500</v>
      </c>
      <c r="AD19" s="3">
        <v>2.4</v>
      </c>
      <c r="AE19" s="3">
        <f t="shared" si="18"/>
        <v>45600</v>
      </c>
      <c r="AF19" s="6">
        <v>2.2000000000000002</v>
      </c>
      <c r="AG19" s="6">
        <f t="shared" si="19"/>
        <v>41800</v>
      </c>
      <c r="AH19" s="6">
        <f t="shared" si="20"/>
        <v>7.1000000000000005</v>
      </c>
      <c r="AI19" s="8">
        <f t="shared" si="21"/>
        <v>134900</v>
      </c>
    </row>
    <row r="20" spans="1:35" ht="25" customHeight="1" x14ac:dyDescent="0.2">
      <c r="A20" s="1" t="s">
        <v>43</v>
      </c>
      <c r="B20" s="3">
        <f t="shared" si="0"/>
        <v>64.888999999999996</v>
      </c>
      <c r="C20" s="3">
        <f t="shared" si="1"/>
        <v>1232891</v>
      </c>
      <c r="D20" s="3">
        <v>9.1999999999999993</v>
      </c>
      <c r="E20" s="3">
        <f t="shared" si="2"/>
        <v>174800</v>
      </c>
      <c r="F20" s="3">
        <v>8.6</v>
      </c>
      <c r="G20" s="3">
        <f t="shared" si="3"/>
        <v>163400</v>
      </c>
      <c r="H20" s="3">
        <v>4.5</v>
      </c>
      <c r="I20" s="3">
        <f t="shared" si="4"/>
        <v>85500</v>
      </c>
      <c r="J20" s="3">
        <f t="shared" si="5"/>
        <v>22.299999999999997</v>
      </c>
      <c r="K20" s="3">
        <f t="shared" si="6"/>
        <v>423699.99999999994</v>
      </c>
      <c r="L20" s="3">
        <v>4.4000000000000004</v>
      </c>
      <c r="M20" s="3">
        <f t="shared" si="7"/>
        <v>83600</v>
      </c>
      <c r="N20" s="3">
        <v>6.1</v>
      </c>
      <c r="O20" s="3">
        <f t="shared" si="8"/>
        <v>115900</v>
      </c>
      <c r="P20" s="3">
        <f>1.52+5.76</f>
        <v>7.2799999999999994</v>
      </c>
      <c r="Q20" s="3">
        <f t="shared" si="9"/>
        <v>138320</v>
      </c>
      <c r="R20" s="3">
        <f t="shared" si="10"/>
        <v>17.78</v>
      </c>
      <c r="S20" s="3">
        <f t="shared" si="11"/>
        <v>337820</v>
      </c>
      <c r="T20" s="3">
        <f>1.1+5.6</f>
        <v>6.6999999999999993</v>
      </c>
      <c r="U20" s="3">
        <f t="shared" si="12"/>
        <v>127299.99999999999</v>
      </c>
      <c r="V20" s="3">
        <f>1.2+5.4</f>
        <v>6.6000000000000005</v>
      </c>
      <c r="W20" s="3">
        <f t="shared" si="13"/>
        <v>125400.00000000001</v>
      </c>
      <c r="X20" s="3">
        <f>0.8+5.5</f>
        <v>6.3</v>
      </c>
      <c r="Y20" s="3">
        <f t="shared" si="14"/>
        <v>119700</v>
      </c>
      <c r="Z20" s="3">
        <f t="shared" si="15"/>
        <v>19.600000000000001</v>
      </c>
      <c r="AA20" s="3">
        <f t="shared" si="16"/>
        <v>372400</v>
      </c>
      <c r="AB20" s="3">
        <f>3.909+1.3</f>
        <v>5.2089999999999996</v>
      </c>
      <c r="AC20" s="3">
        <f t="shared" si="17"/>
        <v>98971</v>
      </c>
      <c r="AD20" s="5"/>
      <c r="AE20" s="3">
        <f t="shared" si="18"/>
        <v>0</v>
      </c>
      <c r="AF20" s="5"/>
      <c r="AG20" s="5">
        <f t="shared" si="19"/>
        <v>0</v>
      </c>
      <c r="AH20" s="5">
        <f t="shared" si="20"/>
        <v>5.2089999999999996</v>
      </c>
      <c r="AI20" s="8">
        <f t="shared" si="21"/>
        <v>98971</v>
      </c>
    </row>
    <row r="21" spans="1:35" ht="25" customHeight="1" x14ac:dyDescent="0.2">
      <c r="A21" s="1" t="s">
        <v>65</v>
      </c>
      <c r="B21" s="3">
        <f t="shared" si="0"/>
        <v>162.39000000000001</v>
      </c>
      <c r="C21" s="3">
        <f t="shared" si="1"/>
        <v>3085410.0000000005</v>
      </c>
      <c r="D21" s="3">
        <v>13.33</v>
      </c>
      <c r="E21" s="3">
        <f t="shared" si="2"/>
        <v>253270</v>
      </c>
      <c r="F21" s="3">
        <v>13.95</v>
      </c>
      <c r="G21" s="3">
        <f t="shared" si="3"/>
        <v>265050</v>
      </c>
      <c r="H21" s="3">
        <v>19.2</v>
      </c>
      <c r="I21" s="3">
        <f t="shared" si="4"/>
        <v>364800</v>
      </c>
      <c r="J21" s="3">
        <f t="shared" si="5"/>
        <v>46.480000000000004</v>
      </c>
      <c r="K21" s="3">
        <f t="shared" si="6"/>
        <v>883120.00000000012</v>
      </c>
      <c r="L21" s="3">
        <v>13.7</v>
      </c>
      <c r="M21" s="3">
        <f t="shared" si="7"/>
        <v>260300</v>
      </c>
      <c r="N21" s="3">
        <v>22.2</v>
      </c>
      <c r="O21" s="3">
        <f t="shared" si="8"/>
        <v>421800</v>
      </c>
      <c r="P21" s="3">
        <v>22.4</v>
      </c>
      <c r="Q21" s="3">
        <f t="shared" si="9"/>
        <v>425600</v>
      </c>
      <c r="R21" s="3">
        <f t="shared" si="10"/>
        <v>58.3</v>
      </c>
      <c r="S21" s="3">
        <f t="shared" si="11"/>
        <v>1107700</v>
      </c>
      <c r="T21" s="3">
        <v>14.84</v>
      </c>
      <c r="U21" s="3">
        <f t="shared" si="12"/>
        <v>281960</v>
      </c>
      <c r="V21" s="3">
        <v>11.46</v>
      </c>
      <c r="W21" s="3">
        <f t="shared" si="13"/>
        <v>217740.00000000003</v>
      </c>
      <c r="X21" s="3">
        <v>15.73</v>
      </c>
      <c r="Y21" s="3">
        <f t="shared" si="14"/>
        <v>298870</v>
      </c>
      <c r="Z21" s="3">
        <f t="shared" si="15"/>
        <v>42.03</v>
      </c>
      <c r="AA21" s="3">
        <f t="shared" si="16"/>
        <v>798570</v>
      </c>
      <c r="AB21" s="3">
        <v>15.58</v>
      </c>
      <c r="AC21" s="3">
        <f t="shared" si="17"/>
        <v>296020</v>
      </c>
      <c r="AD21" s="5"/>
      <c r="AE21" s="3">
        <f t="shared" si="18"/>
        <v>0</v>
      </c>
      <c r="AF21" s="5"/>
      <c r="AG21" s="5">
        <f t="shared" si="19"/>
        <v>0</v>
      </c>
      <c r="AH21" s="5">
        <f t="shared" si="20"/>
        <v>15.58</v>
      </c>
      <c r="AI21" s="8">
        <f t="shared" si="21"/>
        <v>296020</v>
      </c>
    </row>
    <row r="22" spans="1:35" ht="25" customHeight="1" x14ac:dyDescent="0.2">
      <c r="A22" s="1" t="s">
        <v>66</v>
      </c>
      <c r="B22" s="3">
        <f t="shared" si="0"/>
        <v>151.4</v>
      </c>
      <c r="C22" s="3">
        <f t="shared" si="1"/>
        <v>2876600</v>
      </c>
      <c r="D22" s="3">
        <v>20.5</v>
      </c>
      <c r="E22" s="3">
        <f t="shared" si="2"/>
        <v>389500</v>
      </c>
      <c r="F22" s="3">
        <v>12.4</v>
      </c>
      <c r="G22" s="3">
        <f t="shared" si="3"/>
        <v>235600</v>
      </c>
      <c r="H22" s="3">
        <v>9.8000000000000007</v>
      </c>
      <c r="I22" s="3">
        <f t="shared" si="4"/>
        <v>186200</v>
      </c>
      <c r="J22" s="3">
        <f t="shared" si="5"/>
        <v>42.7</v>
      </c>
      <c r="K22" s="3">
        <f t="shared" si="6"/>
        <v>811300</v>
      </c>
      <c r="L22" s="3">
        <v>15.4</v>
      </c>
      <c r="M22" s="3">
        <f t="shared" si="7"/>
        <v>292600</v>
      </c>
      <c r="N22" s="3">
        <v>12.6</v>
      </c>
      <c r="O22" s="3">
        <f t="shared" si="8"/>
        <v>239400</v>
      </c>
      <c r="P22" s="3">
        <v>9.6999999999999993</v>
      </c>
      <c r="Q22" s="3">
        <f t="shared" si="9"/>
        <v>184300</v>
      </c>
      <c r="R22" s="3">
        <f t="shared" si="10"/>
        <v>37.700000000000003</v>
      </c>
      <c r="S22" s="3">
        <f t="shared" si="11"/>
        <v>716300</v>
      </c>
      <c r="T22" s="3">
        <v>9.9</v>
      </c>
      <c r="U22" s="3">
        <f t="shared" si="12"/>
        <v>188100</v>
      </c>
      <c r="V22" s="3">
        <v>14.1</v>
      </c>
      <c r="W22" s="3">
        <f t="shared" si="13"/>
        <v>267900</v>
      </c>
      <c r="X22" s="3">
        <v>12.9</v>
      </c>
      <c r="Y22" s="3">
        <f t="shared" si="14"/>
        <v>245100</v>
      </c>
      <c r="Z22" s="3">
        <f t="shared" si="15"/>
        <v>36.9</v>
      </c>
      <c r="AA22" s="3">
        <f t="shared" si="16"/>
        <v>701100</v>
      </c>
      <c r="AB22" s="3">
        <v>11.8</v>
      </c>
      <c r="AC22" s="3">
        <f t="shared" si="17"/>
        <v>224200</v>
      </c>
      <c r="AD22" s="3">
        <v>10.6</v>
      </c>
      <c r="AE22" s="3">
        <f t="shared" si="18"/>
        <v>201400</v>
      </c>
      <c r="AF22" s="6">
        <v>11.7</v>
      </c>
      <c r="AG22" s="6">
        <f t="shared" si="19"/>
        <v>222300</v>
      </c>
      <c r="AH22" s="6">
        <f t="shared" si="20"/>
        <v>34.099999999999994</v>
      </c>
      <c r="AI22" s="8">
        <f t="shared" si="21"/>
        <v>647899.99999999988</v>
      </c>
    </row>
    <row r="23" spans="1:35" ht="25" customHeight="1" x14ac:dyDescent="0.2">
      <c r="A23" s="1" t="s">
        <v>67</v>
      </c>
      <c r="B23" s="3">
        <f t="shared" si="0"/>
        <v>679.95</v>
      </c>
      <c r="C23" s="3">
        <f t="shared" si="1"/>
        <v>12919050</v>
      </c>
      <c r="D23" s="3">
        <v>70</v>
      </c>
      <c r="E23" s="3">
        <f t="shared" si="2"/>
        <v>1330000</v>
      </c>
      <c r="F23" s="3">
        <v>68.75</v>
      </c>
      <c r="G23" s="3">
        <f t="shared" si="3"/>
        <v>1306250</v>
      </c>
      <c r="H23" s="3">
        <v>68</v>
      </c>
      <c r="I23" s="3">
        <f t="shared" si="4"/>
        <v>1292000</v>
      </c>
      <c r="J23" s="3">
        <f t="shared" si="5"/>
        <v>206.75</v>
      </c>
      <c r="K23" s="3">
        <f t="shared" si="6"/>
        <v>3928250</v>
      </c>
      <c r="L23" s="3">
        <v>60</v>
      </c>
      <c r="M23" s="3">
        <f t="shared" si="7"/>
        <v>1140000</v>
      </c>
      <c r="N23" s="3">
        <v>57</v>
      </c>
      <c r="O23" s="3">
        <f t="shared" si="8"/>
        <v>1083000</v>
      </c>
      <c r="P23" s="3">
        <v>54</v>
      </c>
      <c r="Q23" s="3">
        <f t="shared" si="9"/>
        <v>1026000</v>
      </c>
      <c r="R23" s="3">
        <f t="shared" si="10"/>
        <v>171</v>
      </c>
      <c r="S23" s="3">
        <f t="shared" si="11"/>
        <v>3249000</v>
      </c>
      <c r="T23" s="3">
        <v>49.2</v>
      </c>
      <c r="U23" s="3">
        <f t="shared" si="12"/>
        <v>934800</v>
      </c>
      <c r="V23" s="3">
        <v>45</v>
      </c>
      <c r="W23" s="3">
        <f t="shared" si="13"/>
        <v>855000</v>
      </c>
      <c r="X23" s="3">
        <v>42</v>
      </c>
      <c r="Y23" s="3">
        <f t="shared" si="14"/>
        <v>798000</v>
      </c>
      <c r="Z23" s="3">
        <f t="shared" si="15"/>
        <v>136.19999999999999</v>
      </c>
      <c r="AA23" s="3">
        <f t="shared" si="16"/>
        <v>2587800</v>
      </c>
      <c r="AB23" s="3">
        <v>45</v>
      </c>
      <c r="AC23" s="3">
        <f t="shared" si="17"/>
        <v>855000</v>
      </c>
      <c r="AD23" s="6">
        <v>56</v>
      </c>
      <c r="AE23" s="3">
        <f t="shared" si="18"/>
        <v>1064000</v>
      </c>
      <c r="AF23" s="6">
        <v>65</v>
      </c>
      <c r="AG23" s="6">
        <f t="shared" si="19"/>
        <v>1235000</v>
      </c>
      <c r="AH23" s="6">
        <f t="shared" si="20"/>
        <v>166</v>
      </c>
      <c r="AI23" s="8">
        <f t="shared" si="21"/>
        <v>3154000</v>
      </c>
    </row>
    <row r="24" spans="1:35" ht="25" customHeight="1" x14ac:dyDescent="0.2">
      <c r="A24" s="1" t="s">
        <v>68</v>
      </c>
      <c r="B24" s="3">
        <f t="shared" si="0"/>
        <v>510.1</v>
      </c>
      <c r="C24" s="3">
        <f t="shared" si="1"/>
        <v>9691900</v>
      </c>
      <c r="D24" s="3">
        <v>41.2</v>
      </c>
      <c r="E24" s="3">
        <f t="shared" si="2"/>
        <v>782800</v>
      </c>
      <c r="F24" s="3">
        <v>41.1</v>
      </c>
      <c r="G24" s="3">
        <f t="shared" si="3"/>
        <v>780900</v>
      </c>
      <c r="H24" s="3">
        <v>42.4</v>
      </c>
      <c r="I24" s="3">
        <f t="shared" si="4"/>
        <v>805600</v>
      </c>
      <c r="J24" s="3">
        <f t="shared" si="5"/>
        <v>124.70000000000002</v>
      </c>
      <c r="K24" s="3">
        <f t="shared" si="6"/>
        <v>2369300.0000000005</v>
      </c>
      <c r="L24" s="3">
        <v>42.7</v>
      </c>
      <c r="M24" s="3">
        <f t="shared" si="7"/>
        <v>811300</v>
      </c>
      <c r="N24" s="3">
        <v>43.8</v>
      </c>
      <c r="O24" s="3">
        <f t="shared" si="8"/>
        <v>832200</v>
      </c>
      <c r="P24" s="3">
        <v>44.4</v>
      </c>
      <c r="Q24" s="3">
        <f t="shared" si="9"/>
        <v>843600</v>
      </c>
      <c r="R24" s="3">
        <f t="shared" si="10"/>
        <v>130.9</v>
      </c>
      <c r="S24" s="3">
        <f t="shared" si="11"/>
        <v>2487100</v>
      </c>
      <c r="T24" s="3">
        <v>43.9</v>
      </c>
      <c r="U24" s="3">
        <f t="shared" si="12"/>
        <v>834100</v>
      </c>
      <c r="V24" s="3">
        <v>43.5</v>
      </c>
      <c r="W24" s="3">
        <f t="shared" si="13"/>
        <v>826500</v>
      </c>
      <c r="X24" s="3">
        <v>42.5</v>
      </c>
      <c r="Y24" s="3">
        <f t="shared" si="14"/>
        <v>807500</v>
      </c>
      <c r="Z24" s="3">
        <f t="shared" si="15"/>
        <v>129.9</v>
      </c>
      <c r="AA24" s="3">
        <f t="shared" si="16"/>
        <v>2468100</v>
      </c>
      <c r="AB24" s="3">
        <v>42</v>
      </c>
      <c r="AC24" s="3">
        <f t="shared" si="17"/>
        <v>798000</v>
      </c>
      <c r="AD24" s="3">
        <v>41.5</v>
      </c>
      <c r="AE24" s="3">
        <f t="shared" si="18"/>
        <v>788500</v>
      </c>
      <c r="AF24" s="6">
        <v>41.1</v>
      </c>
      <c r="AG24" s="6">
        <f t="shared" si="19"/>
        <v>780900</v>
      </c>
      <c r="AH24" s="6">
        <f t="shared" si="20"/>
        <v>124.6</v>
      </c>
      <c r="AI24" s="8">
        <f t="shared" si="21"/>
        <v>2367400</v>
      </c>
    </row>
    <row r="25" spans="1:35" ht="25" customHeight="1" x14ac:dyDescent="0.2">
      <c r="A25" s="1" t="s">
        <v>69</v>
      </c>
      <c r="B25" s="3">
        <f t="shared" si="0"/>
        <v>47</v>
      </c>
      <c r="C25" s="3">
        <f t="shared" si="1"/>
        <v>893000</v>
      </c>
      <c r="D25" s="3">
        <v>4.0999999999999996</v>
      </c>
      <c r="E25" s="3">
        <f t="shared" si="2"/>
        <v>77900</v>
      </c>
      <c r="F25" s="3">
        <v>4.0999999999999996</v>
      </c>
      <c r="G25" s="3">
        <f t="shared" si="3"/>
        <v>77900</v>
      </c>
      <c r="H25" s="3">
        <v>4.0999999999999996</v>
      </c>
      <c r="I25" s="3">
        <f t="shared" si="4"/>
        <v>77900</v>
      </c>
      <c r="J25" s="3">
        <f t="shared" si="5"/>
        <v>12.299999999999999</v>
      </c>
      <c r="K25" s="3">
        <f t="shared" si="6"/>
        <v>233699.99999999997</v>
      </c>
      <c r="L25" s="3">
        <v>4</v>
      </c>
      <c r="M25" s="3">
        <f t="shared" si="7"/>
        <v>76000</v>
      </c>
      <c r="N25" s="3">
        <v>3.9</v>
      </c>
      <c r="O25" s="3">
        <f t="shared" si="8"/>
        <v>74100</v>
      </c>
      <c r="P25" s="3">
        <v>3.8</v>
      </c>
      <c r="Q25" s="3">
        <f t="shared" si="9"/>
        <v>72200</v>
      </c>
      <c r="R25" s="3">
        <f t="shared" si="10"/>
        <v>11.7</v>
      </c>
      <c r="S25" s="3">
        <f t="shared" si="11"/>
        <v>222300</v>
      </c>
      <c r="T25" s="3">
        <v>3.4</v>
      </c>
      <c r="U25" s="3">
        <f t="shared" si="12"/>
        <v>64600</v>
      </c>
      <c r="V25" s="3">
        <v>3.4</v>
      </c>
      <c r="W25" s="3">
        <f t="shared" si="13"/>
        <v>64600</v>
      </c>
      <c r="X25" s="3">
        <v>3.2</v>
      </c>
      <c r="Y25" s="3">
        <f t="shared" si="14"/>
        <v>60800</v>
      </c>
      <c r="Z25" s="3">
        <f t="shared" si="15"/>
        <v>10</v>
      </c>
      <c r="AA25" s="3">
        <f t="shared" si="16"/>
        <v>190000</v>
      </c>
      <c r="AB25" s="3">
        <v>4</v>
      </c>
      <c r="AC25" s="3">
        <f t="shared" si="17"/>
        <v>76000</v>
      </c>
      <c r="AD25" s="3">
        <v>4.0999999999999996</v>
      </c>
      <c r="AE25" s="3">
        <f t="shared" si="18"/>
        <v>77900</v>
      </c>
      <c r="AF25" s="6">
        <v>4.9000000000000004</v>
      </c>
      <c r="AG25" s="6">
        <f t="shared" si="19"/>
        <v>93100</v>
      </c>
      <c r="AH25" s="6">
        <f t="shared" si="20"/>
        <v>13</v>
      </c>
      <c r="AI25" s="8">
        <f t="shared" si="21"/>
        <v>247000</v>
      </c>
    </row>
    <row r="26" spans="1:35" ht="25" customHeight="1" x14ac:dyDescent="0.2">
      <c r="A26" s="1" t="s">
        <v>70</v>
      </c>
      <c r="B26" s="3">
        <f t="shared" si="0"/>
        <v>888.4</v>
      </c>
      <c r="C26" s="3">
        <f t="shared" si="1"/>
        <v>16879600</v>
      </c>
      <c r="D26" s="3">
        <v>73.900000000000006</v>
      </c>
      <c r="E26" s="3">
        <f t="shared" si="2"/>
        <v>1404100</v>
      </c>
      <c r="F26" s="3">
        <v>76.2</v>
      </c>
      <c r="G26" s="3">
        <f t="shared" si="3"/>
        <v>1447800</v>
      </c>
      <c r="H26" s="3">
        <v>78.599999999999994</v>
      </c>
      <c r="I26" s="3">
        <f t="shared" si="4"/>
        <v>1493400</v>
      </c>
      <c r="J26" s="3">
        <f t="shared" si="5"/>
        <v>228.70000000000002</v>
      </c>
      <c r="K26" s="3">
        <f t="shared" si="6"/>
        <v>4345300</v>
      </c>
      <c r="L26" s="3">
        <v>81</v>
      </c>
      <c r="M26" s="3">
        <f t="shared" si="7"/>
        <v>1539000</v>
      </c>
      <c r="N26" s="3">
        <v>81.5</v>
      </c>
      <c r="O26" s="3">
        <f t="shared" si="8"/>
        <v>1548500</v>
      </c>
      <c r="P26" s="3">
        <v>83.1</v>
      </c>
      <c r="Q26" s="3">
        <f t="shared" si="9"/>
        <v>1578900</v>
      </c>
      <c r="R26" s="3">
        <f t="shared" si="10"/>
        <v>245.6</v>
      </c>
      <c r="S26" s="3">
        <f t="shared" si="11"/>
        <v>4666400</v>
      </c>
      <c r="T26" s="3">
        <v>80.7</v>
      </c>
      <c r="U26" s="3">
        <f t="shared" si="12"/>
        <v>1533300</v>
      </c>
      <c r="V26" s="3">
        <v>77</v>
      </c>
      <c r="W26" s="3">
        <f t="shared" si="13"/>
        <v>1463000</v>
      </c>
      <c r="X26" s="3">
        <v>70</v>
      </c>
      <c r="Y26" s="3">
        <f t="shared" si="14"/>
        <v>1330000</v>
      </c>
      <c r="Z26" s="3">
        <f t="shared" si="15"/>
        <v>227.7</v>
      </c>
      <c r="AA26" s="3">
        <f t="shared" si="16"/>
        <v>4326300</v>
      </c>
      <c r="AB26" s="3">
        <v>68.2</v>
      </c>
      <c r="AC26" s="3">
        <f t="shared" si="17"/>
        <v>1295800</v>
      </c>
      <c r="AD26" s="6">
        <v>60.5</v>
      </c>
      <c r="AE26" s="3">
        <f t="shared" si="18"/>
        <v>1149500</v>
      </c>
      <c r="AF26" s="6">
        <v>57.7</v>
      </c>
      <c r="AG26" s="6">
        <f t="shared" si="19"/>
        <v>1096300</v>
      </c>
      <c r="AH26" s="6">
        <f t="shared" si="20"/>
        <v>186.39999999999998</v>
      </c>
      <c r="AI26" s="8">
        <f t="shared" si="21"/>
        <v>3541599.9999999995</v>
      </c>
    </row>
    <row r="27" spans="1:35" ht="25" customHeight="1" x14ac:dyDescent="0.2">
      <c r="A27" s="1" t="s">
        <v>71</v>
      </c>
      <c r="B27" s="3">
        <f t="shared" si="0"/>
        <v>1293.6999999999998</v>
      </c>
      <c r="C27" s="3">
        <f t="shared" si="1"/>
        <v>24580299.999999996</v>
      </c>
      <c r="D27" s="3">
        <v>103.3</v>
      </c>
      <c r="E27" s="3">
        <f t="shared" si="2"/>
        <v>1962700</v>
      </c>
      <c r="F27" s="3">
        <v>103</v>
      </c>
      <c r="G27" s="3">
        <f t="shared" si="3"/>
        <v>1957000</v>
      </c>
      <c r="H27" s="3">
        <v>103.1</v>
      </c>
      <c r="I27" s="3">
        <f t="shared" si="4"/>
        <v>1958900</v>
      </c>
      <c r="J27" s="3">
        <f t="shared" si="5"/>
        <v>309.39999999999998</v>
      </c>
      <c r="K27" s="3">
        <f t="shared" si="6"/>
        <v>5878600</v>
      </c>
      <c r="L27" s="3">
        <v>105.6</v>
      </c>
      <c r="M27" s="3">
        <f t="shared" si="7"/>
        <v>2006400</v>
      </c>
      <c r="N27" s="3">
        <v>103.2</v>
      </c>
      <c r="O27" s="3">
        <f t="shared" si="8"/>
        <v>1960800</v>
      </c>
      <c r="P27" s="3">
        <v>103.1</v>
      </c>
      <c r="Q27" s="3">
        <f t="shared" si="9"/>
        <v>1958900</v>
      </c>
      <c r="R27" s="3">
        <f t="shared" si="10"/>
        <v>311.89999999999998</v>
      </c>
      <c r="S27" s="3">
        <f t="shared" si="11"/>
        <v>5926100</v>
      </c>
      <c r="T27" s="3">
        <v>103.2</v>
      </c>
      <c r="U27" s="3">
        <f t="shared" si="12"/>
        <v>1960800</v>
      </c>
      <c r="V27" s="3">
        <v>102.8</v>
      </c>
      <c r="W27" s="3">
        <f t="shared" si="13"/>
        <v>1953200</v>
      </c>
      <c r="X27" s="3">
        <v>103.6</v>
      </c>
      <c r="Y27" s="3">
        <f t="shared" si="14"/>
        <v>1968400</v>
      </c>
      <c r="Z27" s="3">
        <f t="shared" si="15"/>
        <v>309.60000000000002</v>
      </c>
      <c r="AA27" s="3">
        <f t="shared" si="16"/>
        <v>5882400</v>
      </c>
      <c r="AB27" s="3">
        <v>123.8</v>
      </c>
      <c r="AC27" s="3">
        <f t="shared" si="17"/>
        <v>2352200</v>
      </c>
      <c r="AD27" s="3">
        <v>119.4</v>
      </c>
      <c r="AE27" s="3">
        <f t="shared" si="18"/>
        <v>2268600</v>
      </c>
      <c r="AF27" s="6">
        <v>119.6</v>
      </c>
      <c r="AG27" s="6">
        <f t="shared" si="19"/>
        <v>2272400</v>
      </c>
      <c r="AH27" s="6">
        <f t="shared" si="20"/>
        <v>362.79999999999995</v>
      </c>
      <c r="AI27" s="8">
        <f t="shared" si="21"/>
        <v>6893199.9999999991</v>
      </c>
    </row>
    <row r="28" spans="1:35" ht="25" customHeight="1" x14ac:dyDescent="0.2">
      <c r="A28" s="1" t="s">
        <v>72</v>
      </c>
      <c r="B28" s="3">
        <f t="shared" si="0"/>
        <v>30.400000000000002</v>
      </c>
      <c r="C28" s="3">
        <f t="shared" si="1"/>
        <v>577600</v>
      </c>
      <c r="D28" s="3">
        <v>2.7</v>
      </c>
      <c r="E28" s="3">
        <f t="shared" si="2"/>
        <v>51300</v>
      </c>
      <c r="F28" s="3">
        <v>2.8</v>
      </c>
      <c r="G28" s="3">
        <f t="shared" si="3"/>
        <v>53200</v>
      </c>
      <c r="H28" s="3">
        <v>2.8</v>
      </c>
      <c r="I28" s="3">
        <f t="shared" si="4"/>
        <v>53200</v>
      </c>
      <c r="J28" s="3">
        <f t="shared" si="5"/>
        <v>8.3000000000000007</v>
      </c>
      <c r="K28" s="3">
        <f t="shared" si="6"/>
        <v>157700</v>
      </c>
      <c r="L28" s="3">
        <v>3.3</v>
      </c>
      <c r="M28" s="3">
        <f t="shared" si="7"/>
        <v>62700</v>
      </c>
      <c r="N28" s="3">
        <v>3.1</v>
      </c>
      <c r="O28" s="3">
        <f t="shared" si="8"/>
        <v>58900</v>
      </c>
      <c r="P28" s="3">
        <v>2.6</v>
      </c>
      <c r="Q28" s="3">
        <f t="shared" si="9"/>
        <v>49400</v>
      </c>
      <c r="R28" s="3">
        <f t="shared" si="10"/>
        <v>9</v>
      </c>
      <c r="S28" s="3">
        <f t="shared" si="11"/>
        <v>171000</v>
      </c>
      <c r="T28" s="3">
        <v>2.7</v>
      </c>
      <c r="U28" s="3">
        <f t="shared" si="12"/>
        <v>51300</v>
      </c>
      <c r="V28" s="3">
        <v>2.6</v>
      </c>
      <c r="W28" s="3">
        <f t="shared" si="13"/>
        <v>49400</v>
      </c>
      <c r="X28" s="3">
        <v>2.6</v>
      </c>
      <c r="Y28" s="3">
        <f t="shared" si="14"/>
        <v>49400</v>
      </c>
      <c r="Z28" s="3">
        <f t="shared" si="15"/>
        <v>7.9</v>
      </c>
      <c r="AA28" s="3">
        <f t="shared" si="16"/>
        <v>150100</v>
      </c>
      <c r="AB28" s="3">
        <v>2.5</v>
      </c>
      <c r="AC28" s="3">
        <f t="shared" si="17"/>
        <v>47500</v>
      </c>
      <c r="AD28" s="6">
        <v>2.7</v>
      </c>
      <c r="AE28" s="3">
        <f t="shared" si="18"/>
        <v>51300</v>
      </c>
      <c r="AF28" s="5"/>
      <c r="AG28" s="5">
        <f t="shared" si="19"/>
        <v>0</v>
      </c>
      <c r="AH28" s="5">
        <f t="shared" si="20"/>
        <v>5.2</v>
      </c>
      <c r="AI28" s="8">
        <f t="shared" si="21"/>
        <v>98800</v>
      </c>
    </row>
    <row r="29" spans="1:35" ht="25" customHeight="1" x14ac:dyDescent="0.2">
      <c r="A29" s="1" t="s">
        <v>73</v>
      </c>
      <c r="B29" s="3">
        <f t="shared" si="0"/>
        <v>6.4849999999999994</v>
      </c>
      <c r="C29" s="3">
        <f t="shared" si="1"/>
        <v>123214.99999999999</v>
      </c>
      <c r="D29" s="3">
        <v>0.56999999999999995</v>
      </c>
      <c r="E29" s="3">
        <f t="shared" si="2"/>
        <v>10829.999999999998</v>
      </c>
      <c r="F29" s="3">
        <v>0.55000000000000004</v>
      </c>
      <c r="G29" s="3">
        <f t="shared" si="3"/>
        <v>10450</v>
      </c>
      <c r="H29" s="3">
        <v>0.53</v>
      </c>
      <c r="I29" s="3">
        <f t="shared" si="4"/>
        <v>10070</v>
      </c>
      <c r="J29" s="3">
        <f t="shared" si="5"/>
        <v>1.6500000000000001</v>
      </c>
      <c r="K29" s="3">
        <f t="shared" si="6"/>
        <v>31350.000000000004</v>
      </c>
      <c r="L29" s="3">
        <v>0.54</v>
      </c>
      <c r="M29" s="3">
        <f t="shared" si="7"/>
        <v>10260</v>
      </c>
      <c r="N29" s="3">
        <v>0.5</v>
      </c>
      <c r="O29" s="3">
        <f t="shared" si="8"/>
        <v>9500</v>
      </c>
      <c r="P29" s="3">
        <v>0.51</v>
      </c>
      <c r="Q29" s="3">
        <f t="shared" si="9"/>
        <v>9690</v>
      </c>
      <c r="R29" s="3">
        <f t="shared" si="10"/>
        <v>1.55</v>
      </c>
      <c r="S29" s="3">
        <f t="shared" si="11"/>
        <v>29450</v>
      </c>
      <c r="T29" s="3">
        <v>0.52</v>
      </c>
      <c r="U29" s="3">
        <f t="shared" si="12"/>
        <v>9880</v>
      </c>
      <c r="V29" s="3">
        <v>0.54</v>
      </c>
      <c r="W29" s="3">
        <f t="shared" si="13"/>
        <v>10260</v>
      </c>
      <c r="X29" s="3">
        <v>0.5</v>
      </c>
      <c r="Y29" s="3">
        <f t="shared" si="14"/>
        <v>9500</v>
      </c>
      <c r="Z29" s="3">
        <f t="shared" si="15"/>
        <v>1.56</v>
      </c>
      <c r="AA29" s="3">
        <f t="shared" si="16"/>
        <v>29640</v>
      </c>
      <c r="AB29" s="3">
        <v>0.54500000000000004</v>
      </c>
      <c r="AC29" s="3">
        <f t="shared" si="17"/>
        <v>10355</v>
      </c>
      <c r="AD29" s="6">
        <v>0.56000000000000005</v>
      </c>
      <c r="AE29" s="3">
        <f t="shared" si="18"/>
        <v>10640.000000000002</v>
      </c>
      <c r="AF29" s="6">
        <v>0.62</v>
      </c>
      <c r="AG29" s="6">
        <f t="shared" si="19"/>
        <v>11780</v>
      </c>
      <c r="AH29" s="6">
        <f t="shared" si="20"/>
        <v>1.7250000000000001</v>
      </c>
      <c r="AI29" s="8">
        <f t="shared" si="21"/>
        <v>32775</v>
      </c>
    </row>
    <row r="30" spans="1:35" ht="25" customHeight="1" x14ac:dyDescent="0.2">
      <c r="A30" s="1" t="s">
        <v>74</v>
      </c>
      <c r="B30" s="3">
        <f t="shared" si="0"/>
        <v>96.8</v>
      </c>
      <c r="C30" s="3">
        <f t="shared" si="1"/>
        <v>1839200</v>
      </c>
      <c r="D30" s="3">
        <v>8.4</v>
      </c>
      <c r="E30" s="3">
        <f t="shared" si="2"/>
        <v>159600</v>
      </c>
      <c r="F30" s="3">
        <v>8.3000000000000007</v>
      </c>
      <c r="G30" s="3">
        <f t="shared" si="3"/>
        <v>157700</v>
      </c>
      <c r="H30" s="3">
        <v>8.5</v>
      </c>
      <c r="I30" s="3">
        <f t="shared" si="4"/>
        <v>161500</v>
      </c>
      <c r="J30" s="3">
        <f t="shared" si="5"/>
        <v>25.200000000000003</v>
      </c>
      <c r="K30" s="3">
        <f t="shared" si="6"/>
        <v>478800.00000000006</v>
      </c>
      <c r="L30" s="3">
        <v>8.8000000000000007</v>
      </c>
      <c r="M30" s="3">
        <f t="shared" si="7"/>
        <v>167200</v>
      </c>
      <c r="N30" s="3">
        <v>9.1999999999999993</v>
      </c>
      <c r="O30" s="3">
        <f t="shared" si="8"/>
        <v>174800</v>
      </c>
      <c r="P30" s="3">
        <v>9</v>
      </c>
      <c r="Q30" s="3">
        <f t="shared" si="9"/>
        <v>171000</v>
      </c>
      <c r="R30" s="3">
        <f t="shared" si="10"/>
        <v>27</v>
      </c>
      <c r="S30" s="3">
        <f t="shared" si="11"/>
        <v>513000</v>
      </c>
      <c r="T30" s="3">
        <v>8.9</v>
      </c>
      <c r="U30" s="3">
        <f t="shared" si="12"/>
        <v>169100</v>
      </c>
      <c r="V30" s="3">
        <v>8.6999999999999993</v>
      </c>
      <c r="W30" s="3">
        <f t="shared" si="13"/>
        <v>165300</v>
      </c>
      <c r="X30" s="3">
        <v>8.1999999999999993</v>
      </c>
      <c r="Y30" s="3">
        <f t="shared" si="14"/>
        <v>155800</v>
      </c>
      <c r="Z30" s="3">
        <f t="shared" si="15"/>
        <v>25.8</v>
      </c>
      <c r="AA30" s="3">
        <f t="shared" si="16"/>
        <v>490200</v>
      </c>
      <c r="AB30" s="3">
        <v>6.7</v>
      </c>
      <c r="AC30" s="3">
        <f t="shared" si="17"/>
        <v>127300</v>
      </c>
      <c r="AD30" s="6">
        <v>6.1</v>
      </c>
      <c r="AE30" s="3">
        <f t="shared" si="18"/>
        <v>115900</v>
      </c>
      <c r="AF30" s="6">
        <v>6</v>
      </c>
      <c r="AG30" s="6">
        <f t="shared" si="19"/>
        <v>114000</v>
      </c>
      <c r="AH30" s="6">
        <f t="shared" si="20"/>
        <v>18.8</v>
      </c>
      <c r="AI30" s="8">
        <f t="shared" si="21"/>
        <v>357200</v>
      </c>
    </row>
    <row r="31" spans="1:35" ht="25" customHeight="1" x14ac:dyDescent="0.2">
      <c r="A31" s="1" t="s">
        <v>75</v>
      </c>
      <c r="B31" s="3">
        <f t="shared" si="0"/>
        <v>52.5</v>
      </c>
      <c r="C31" s="3">
        <f t="shared" si="1"/>
        <v>997500</v>
      </c>
      <c r="D31" s="3">
        <v>4.5999999999999996</v>
      </c>
      <c r="E31" s="3">
        <f t="shared" si="2"/>
        <v>87400</v>
      </c>
      <c r="F31" s="3">
        <v>1.5</v>
      </c>
      <c r="G31" s="3">
        <f t="shared" si="3"/>
        <v>28500</v>
      </c>
      <c r="H31" s="3">
        <v>3.7</v>
      </c>
      <c r="I31" s="3">
        <f t="shared" si="4"/>
        <v>70300</v>
      </c>
      <c r="J31" s="3">
        <f t="shared" si="5"/>
        <v>9.8000000000000007</v>
      </c>
      <c r="K31" s="3">
        <f t="shared" si="6"/>
        <v>186200</v>
      </c>
      <c r="L31" s="3">
        <v>3.3</v>
      </c>
      <c r="M31" s="3">
        <f t="shared" si="7"/>
        <v>62700</v>
      </c>
      <c r="N31" s="3">
        <v>4.3</v>
      </c>
      <c r="O31" s="3">
        <f t="shared" si="8"/>
        <v>81700</v>
      </c>
      <c r="P31" s="3">
        <v>4.0999999999999996</v>
      </c>
      <c r="Q31" s="3">
        <f t="shared" si="9"/>
        <v>77900</v>
      </c>
      <c r="R31" s="3">
        <f t="shared" si="10"/>
        <v>11.7</v>
      </c>
      <c r="S31" s="3">
        <f t="shared" si="11"/>
        <v>222300</v>
      </c>
      <c r="T31" s="3">
        <v>1.5</v>
      </c>
      <c r="U31" s="3">
        <f t="shared" si="12"/>
        <v>28500</v>
      </c>
      <c r="V31" s="3">
        <v>3.8</v>
      </c>
      <c r="W31" s="3">
        <f t="shared" si="13"/>
        <v>72200</v>
      </c>
      <c r="X31" s="3">
        <v>6.5</v>
      </c>
      <c r="Y31" s="3">
        <f t="shared" si="14"/>
        <v>123500</v>
      </c>
      <c r="Z31" s="3">
        <f t="shared" si="15"/>
        <v>11.8</v>
      </c>
      <c r="AA31" s="3">
        <f t="shared" si="16"/>
        <v>224200</v>
      </c>
      <c r="AB31" s="3">
        <v>6.4</v>
      </c>
      <c r="AC31" s="3">
        <f t="shared" si="17"/>
        <v>121600</v>
      </c>
      <c r="AD31" s="6">
        <v>6.4</v>
      </c>
      <c r="AE31" s="3">
        <f t="shared" si="18"/>
        <v>121600</v>
      </c>
      <c r="AF31" s="6">
        <v>6.4</v>
      </c>
      <c r="AG31" s="6">
        <f t="shared" si="19"/>
        <v>121600</v>
      </c>
      <c r="AH31" s="6">
        <f t="shared" si="20"/>
        <v>19.200000000000003</v>
      </c>
      <c r="AI31" s="8">
        <f t="shared" si="21"/>
        <v>364800.00000000006</v>
      </c>
    </row>
    <row r="32" spans="1:35" ht="25" customHeight="1" x14ac:dyDescent="0.2">
      <c r="A32" s="1" t="s">
        <v>76</v>
      </c>
      <c r="B32" s="6">
        <f t="shared" si="0"/>
        <v>73.930000000000007</v>
      </c>
      <c r="C32" s="3">
        <f t="shared" si="1"/>
        <v>1404670.0000000002</v>
      </c>
      <c r="D32" s="6">
        <v>7.1</v>
      </c>
      <c r="E32" s="3">
        <f t="shared" si="2"/>
        <v>134900</v>
      </c>
      <c r="F32" s="6">
        <v>6.72</v>
      </c>
      <c r="G32" s="3">
        <f t="shared" si="3"/>
        <v>127680</v>
      </c>
      <c r="H32" s="6">
        <v>6.87</v>
      </c>
      <c r="I32" s="3">
        <f t="shared" si="4"/>
        <v>130530</v>
      </c>
      <c r="J32" s="3">
        <f t="shared" si="5"/>
        <v>20.69</v>
      </c>
      <c r="K32" s="3">
        <f t="shared" si="6"/>
        <v>393110</v>
      </c>
      <c r="L32" s="6">
        <v>6.92</v>
      </c>
      <c r="M32" s="3">
        <f t="shared" si="7"/>
        <v>131480</v>
      </c>
      <c r="N32" s="6">
        <v>7.22</v>
      </c>
      <c r="O32" s="3">
        <f t="shared" si="8"/>
        <v>137180</v>
      </c>
      <c r="P32" s="6">
        <v>6.72</v>
      </c>
      <c r="Q32" s="3">
        <f t="shared" si="9"/>
        <v>127680</v>
      </c>
      <c r="R32" s="3">
        <f t="shared" si="10"/>
        <v>20.86</v>
      </c>
      <c r="S32" s="3">
        <f t="shared" si="11"/>
        <v>396340</v>
      </c>
      <c r="T32" s="6">
        <v>6.36</v>
      </c>
      <c r="U32" s="3">
        <f t="shared" si="12"/>
        <v>120840</v>
      </c>
      <c r="V32" s="6">
        <v>6.29</v>
      </c>
      <c r="W32" s="3">
        <f t="shared" si="13"/>
        <v>119510</v>
      </c>
      <c r="X32" s="6">
        <v>6.45</v>
      </c>
      <c r="Y32" s="3">
        <f t="shared" si="14"/>
        <v>122550</v>
      </c>
      <c r="Z32" s="3">
        <f t="shared" si="15"/>
        <v>19.100000000000001</v>
      </c>
      <c r="AA32" s="3">
        <f t="shared" si="16"/>
        <v>362900</v>
      </c>
      <c r="AB32" s="6">
        <v>6.53</v>
      </c>
      <c r="AC32" s="3">
        <f t="shared" si="17"/>
        <v>124070</v>
      </c>
      <c r="AD32" s="6">
        <v>6.75</v>
      </c>
      <c r="AE32" s="3">
        <f t="shared" si="18"/>
        <v>128250</v>
      </c>
      <c r="AF32" s="5"/>
      <c r="AG32" s="5">
        <f t="shared" si="19"/>
        <v>0</v>
      </c>
      <c r="AH32" s="5">
        <f t="shared" si="20"/>
        <v>13.280000000000001</v>
      </c>
      <c r="AI32" s="8">
        <f t="shared" si="21"/>
        <v>252320.00000000003</v>
      </c>
    </row>
    <row r="33" spans="1:35" ht="25" customHeight="1" x14ac:dyDescent="0.2">
      <c r="A33" s="1" t="s">
        <v>77</v>
      </c>
      <c r="B33" s="3">
        <f t="shared" si="0"/>
        <v>111.99000000000001</v>
      </c>
      <c r="C33" s="3">
        <f t="shared" si="1"/>
        <v>2127810</v>
      </c>
      <c r="D33" s="3">
        <v>8.18</v>
      </c>
      <c r="E33" s="3">
        <f t="shared" si="2"/>
        <v>155420</v>
      </c>
      <c r="F33" s="3">
        <v>8.43</v>
      </c>
      <c r="G33" s="3">
        <f t="shared" si="3"/>
        <v>160170</v>
      </c>
      <c r="H33" s="3">
        <v>7.88</v>
      </c>
      <c r="I33" s="3">
        <f t="shared" si="4"/>
        <v>149720</v>
      </c>
      <c r="J33" s="3">
        <f t="shared" si="5"/>
        <v>24.49</v>
      </c>
      <c r="K33" s="3">
        <f t="shared" si="6"/>
        <v>465309.99999999994</v>
      </c>
      <c r="L33" s="3">
        <v>9.73</v>
      </c>
      <c r="M33" s="3">
        <f t="shared" si="7"/>
        <v>184870</v>
      </c>
      <c r="N33" s="3">
        <v>9.25</v>
      </c>
      <c r="O33" s="3">
        <f t="shared" si="8"/>
        <v>175750</v>
      </c>
      <c r="P33" s="3">
        <v>8.67</v>
      </c>
      <c r="Q33" s="3">
        <f t="shared" si="9"/>
        <v>164730</v>
      </c>
      <c r="R33" s="3">
        <f t="shared" si="10"/>
        <v>27.65</v>
      </c>
      <c r="S33" s="3">
        <f t="shared" si="11"/>
        <v>525350</v>
      </c>
      <c r="T33" s="3">
        <v>9.4600000000000009</v>
      </c>
      <c r="U33" s="3">
        <f t="shared" si="12"/>
        <v>179740.00000000003</v>
      </c>
      <c r="V33" s="3">
        <v>10.220000000000001</v>
      </c>
      <c r="W33" s="3">
        <f t="shared" si="13"/>
        <v>194180</v>
      </c>
      <c r="X33" s="3">
        <v>10.38</v>
      </c>
      <c r="Y33" s="3">
        <f t="shared" si="14"/>
        <v>197220.00000000003</v>
      </c>
      <c r="Z33" s="3">
        <f t="shared" si="15"/>
        <v>30.060000000000002</v>
      </c>
      <c r="AA33" s="3">
        <f t="shared" si="16"/>
        <v>571140</v>
      </c>
      <c r="AB33" s="3">
        <v>10.02</v>
      </c>
      <c r="AC33" s="3">
        <f t="shared" si="17"/>
        <v>190380</v>
      </c>
      <c r="AD33" s="3">
        <v>10.65</v>
      </c>
      <c r="AE33" s="3">
        <f t="shared" si="18"/>
        <v>202350</v>
      </c>
      <c r="AF33" s="6">
        <v>9.1199999999999992</v>
      </c>
      <c r="AG33" s="6">
        <f t="shared" si="19"/>
        <v>173279.99999999997</v>
      </c>
      <c r="AH33" s="6">
        <f t="shared" si="20"/>
        <v>29.79</v>
      </c>
      <c r="AI33" s="8">
        <f t="shared" si="21"/>
        <v>566010</v>
      </c>
    </row>
    <row r="34" spans="1:35" ht="25" customHeight="1" x14ac:dyDescent="0.2">
      <c r="B34" s="3">
        <f t="shared" si="0"/>
        <v>14345.958069999997</v>
      </c>
      <c r="C34" s="3">
        <f t="shared" si="1"/>
        <v>272573203.32999992</v>
      </c>
      <c r="D34" s="3">
        <f>SUM(D2:D33)</f>
        <v>1165.9910000000002</v>
      </c>
      <c r="E34" s="3">
        <f t="shared" si="2"/>
        <v>22153829.000000004</v>
      </c>
      <c r="F34" s="3">
        <f t="shared" ref="F34:AF34" si="22">SUM(F2:F33)</f>
        <v>1226.752</v>
      </c>
      <c r="G34" s="3">
        <f t="shared" si="3"/>
        <v>23308288</v>
      </c>
      <c r="H34" s="3">
        <f t="shared" si="22"/>
        <v>1450.6800299999998</v>
      </c>
      <c r="I34" s="3">
        <f>H34*19000</f>
        <v>27562920.569999997</v>
      </c>
      <c r="J34" s="3">
        <f>SUM(J2:J33)</f>
        <v>3843.4230299999999</v>
      </c>
      <c r="K34" s="3">
        <f t="shared" si="6"/>
        <v>73025037.569999993</v>
      </c>
      <c r="L34" s="3">
        <f t="shared" si="22"/>
        <v>1420.3251400000001</v>
      </c>
      <c r="M34" s="3">
        <f t="shared" si="7"/>
        <v>26986177.660000004</v>
      </c>
      <c r="N34" s="3">
        <f t="shared" si="22"/>
        <v>1448.5969999999998</v>
      </c>
      <c r="O34" s="3">
        <f t="shared" si="8"/>
        <v>27523342.999999996</v>
      </c>
      <c r="P34" s="3">
        <f t="shared" si="22"/>
        <v>1268.7349999999997</v>
      </c>
      <c r="Q34" s="3">
        <f t="shared" si="9"/>
        <v>24105964.999999993</v>
      </c>
      <c r="R34" s="3">
        <f>SUM(R2:R33)</f>
        <v>4137.6571399999993</v>
      </c>
      <c r="S34" s="3">
        <f t="shared" si="11"/>
        <v>78615485.659999982</v>
      </c>
      <c r="T34" s="3">
        <f t="shared" si="22"/>
        <v>1060.2183000000002</v>
      </c>
      <c r="U34" s="3">
        <f t="shared" si="12"/>
        <v>20144147.700000003</v>
      </c>
      <c r="V34" s="3">
        <f t="shared" si="22"/>
        <v>1107.8700999999999</v>
      </c>
      <c r="W34" s="3">
        <f t="shared" si="13"/>
        <v>21049531.899999999</v>
      </c>
      <c r="X34" s="3">
        <f t="shared" si="22"/>
        <v>1120.0662</v>
      </c>
      <c r="Y34" s="3">
        <f t="shared" si="14"/>
        <v>21281257.800000001</v>
      </c>
      <c r="Z34" s="3">
        <f>SUM(Z2:Z33)</f>
        <v>3288.1546000000008</v>
      </c>
      <c r="AA34" s="3">
        <f t="shared" si="16"/>
        <v>62474937.400000013</v>
      </c>
      <c r="AB34" s="3">
        <f t="shared" si="22"/>
        <v>1107.7900000000002</v>
      </c>
      <c r="AC34" s="3">
        <f t="shared" si="17"/>
        <v>21048010.000000004</v>
      </c>
      <c r="AD34" s="3">
        <f t="shared" si="22"/>
        <v>1065.135</v>
      </c>
      <c r="AE34" s="3">
        <f t="shared" si="18"/>
        <v>20237565</v>
      </c>
      <c r="AF34" s="6">
        <f t="shared" si="22"/>
        <v>903.79830000000027</v>
      </c>
      <c r="AG34" s="6">
        <f t="shared" si="19"/>
        <v>17172167.700000007</v>
      </c>
      <c r="AH34" s="6">
        <f>SUM(AH2:AH33)</f>
        <v>3076.7232999999987</v>
      </c>
      <c r="AI34" s="8">
        <f t="shared" si="21"/>
        <v>58457742.699999973</v>
      </c>
    </row>
    <row r="35" spans="1:35" ht="25" customHeight="1" x14ac:dyDescent="0.2">
      <c r="B35" s="4"/>
      <c r="C35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BU511"/>
  <sheetViews>
    <sheetView tabSelected="1" zoomScale="82" zoomScaleNormal="82" workbookViewId="0">
      <pane xSplit="1" ySplit="1" topLeftCell="B44" activePane="bottomRight" state="frozen"/>
      <selection pane="topRight" activeCell="B1" sqref="B1"/>
      <selection pane="bottomLeft" activeCell="A2" sqref="A2"/>
      <selection pane="bottomRight" activeCell="C52" sqref="C52"/>
    </sheetView>
  </sheetViews>
  <sheetFormatPr baseColWidth="10" defaultColWidth="20.83203125" defaultRowHeight="25" customHeight="1" x14ac:dyDescent="0.2"/>
  <cols>
    <col min="1" max="16384" width="20.83203125" style="1"/>
  </cols>
  <sheetData>
    <row r="1" spans="1:73" s="2" customFormat="1" ht="25" customHeight="1" x14ac:dyDescent="0.2">
      <c r="A1" s="2" t="s">
        <v>0</v>
      </c>
      <c r="B1" s="2" t="s">
        <v>46</v>
      </c>
      <c r="C1" s="2" t="s">
        <v>45</v>
      </c>
      <c r="D1" s="2" t="s">
        <v>82</v>
      </c>
      <c r="E1" s="2" t="s">
        <v>49</v>
      </c>
      <c r="F1" s="2" t="s">
        <v>82</v>
      </c>
      <c r="G1" s="2" t="s">
        <v>50</v>
      </c>
      <c r="H1" s="2" t="s">
        <v>82</v>
      </c>
      <c r="I1" s="2" t="s">
        <v>51</v>
      </c>
      <c r="J1" s="2" t="s">
        <v>82</v>
      </c>
      <c r="K1" s="2" t="s">
        <v>52</v>
      </c>
      <c r="L1" s="2" t="s">
        <v>82</v>
      </c>
      <c r="M1" s="2" t="s">
        <v>53</v>
      </c>
      <c r="N1" s="2" t="s">
        <v>82</v>
      </c>
      <c r="O1" s="2" t="s">
        <v>54</v>
      </c>
      <c r="P1" s="2" t="s">
        <v>82</v>
      </c>
      <c r="Q1" s="2" t="s">
        <v>55</v>
      </c>
      <c r="R1" s="2" t="s">
        <v>82</v>
      </c>
      <c r="S1" s="2" t="s">
        <v>56</v>
      </c>
      <c r="T1" s="2" t="s">
        <v>82</v>
      </c>
      <c r="U1" s="2" t="s">
        <v>57</v>
      </c>
      <c r="V1" s="2" t="s">
        <v>82</v>
      </c>
      <c r="W1" s="2" t="s">
        <v>58</v>
      </c>
      <c r="X1" s="2" t="s">
        <v>82</v>
      </c>
      <c r="Y1" s="2" t="s">
        <v>59</v>
      </c>
      <c r="Z1" s="2" t="s">
        <v>82</v>
      </c>
      <c r="AA1" s="2" t="s">
        <v>61</v>
      </c>
      <c r="AB1" s="2" t="s">
        <v>82</v>
      </c>
      <c r="AC1" s="2" t="s">
        <v>60</v>
      </c>
      <c r="AD1" s="2" t="s">
        <v>82</v>
      </c>
      <c r="AE1" s="2" t="s">
        <v>62</v>
      </c>
      <c r="AF1" s="2" t="s">
        <v>82</v>
      </c>
      <c r="AG1" s="2" t="s">
        <v>63</v>
      </c>
      <c r="AH1" s="2" t="s">
        <v>82</v>
      </c>
      <c r="AI1" s="2" t="s">
        <v>64</v>
      </c>
      <c r="AJ1" s="2" t="s">
        <v>82</v>
      </c>
    </row>
    <row r="2" spans="1:73" ht="25" customHeight="1" x14ac:dyDescent="0.2">
      <c r="A2" s="1" t="s">
        <v>1</v>
      </c>
      <c r="B2" s="1" t="s">
        <v>47</v>
      </c>
      <c r="C2" s="3">
        <f t="shared" ref="C2:D45" si="0">K2+S2+AA2+AI2</f>
        <v>7686.4459999999999</v>
      </c>
      <c r="D2" s="3">
        <f>L2+T2+AB2+AJ2</f>
        <v>146042474</v>
      </c>
      <c r="E2" s="3">
        <v>188.696</v>
      </c>
      <c r="F2" s="3">
        <f>E2*19000</f>
        <v>3585224</v>
      </c>
      <c r="G2" s="10">
        <v>231.33500000000001</v>
      </c>
      <c r="H2" s="3">
        <f>G2*19000</f>
        <v>4395365</v>
      </c>
      <c r="I2" s="3">
        <v>321.07799999999997</v>
      </c>
      <c r="J2" s="3">
        <f>I2*19000</f>
        <v>6100481.9999999991</v>
      </c>
      <c r="K2" s="3">
        <f>E2+G2+I2</f>
        <v>741.10899999999992</v>
      </c>
      <c r="L2" s="3">
        <f>K2*19000</f>
        <v>14081070.999999998</v>
      </c>
      <c r="M2" s="3">
        <v>638.54700000000003</v>
      </c>
      <c r="N2" s="3">
        <f>M2*19000</f>
        <v>12132393</v>
      </c>
      <c r="O2" s="3">
        <v>737.928</v>
      </c>
      <c r="P2" s="3">
        <f>O2*19000</f>
        <v>14020632</v>
      </c>
      <c r="Q2" s="3">
        <v>666.26199999999994</v>
      </c>
      <c r="R2" s="3">
        <f>Q2*19000</f>
        <v>12658977.999999998</v>
      </c>
      <c r="S2" s="3">
        <f>M2+O2+Q2</f>
        <v>2042.7369999999999</v>
      </c>
      <c r="T2" s="3">
        <f>S2*19000</f>
        <v>38812003</v>
      </c>
      <c r="U2" s="3">
        <v>937.3</v>
      </c>
      <c r="V2" s="3">
        <f>U2*19000</f>
        <v>17808700</v>
      </c>
      <c r="W2" s="3">
        <v>1622.1</v>
      </c>
      <c r="X2" s="3">
        <f>W2*19000</f>
        <v>30819900</v>
      </c>
      <c r="Y2" s="3">
        <v>1135.5999999999999</v>
      </c>
      <c r="Z2" s="3">
        <f>Y2*19000</f>
        <v>21576400</v>
      </c>
      <c r="AA2" s="3">
        <f>U2+W2+Y2</f>
        <v>3694.9999999999995</v>
      </c>
      <c r="AB2" s="3">
        <f>AA2*19000</f>
        <v>70204999.999999985</v>
      </c>
      <c r="AC2" s="3">
        <v>612.79999999999995</v>
      </c>
      <c r="AD2" s="3">
        <f>AC2*19000</f>
        <v>11643200</v>
      </c>
      <c r="AE2" s="6">
        <v>324.39999999999998</v>
      </c>
      <c r="AF2" s="3">
        <f>AE2*19000</f>
        <v>6163600</v>
      </c>
      <c r="AG2" s="6">
        <v>270.39999999999998</v>
      </c>
      <c r="AH2" s="3">
        <f>AG2*19000</f>
        <v>5137600</v>
      </c>
      <c r="AI2" s="3">
        <f>AC2+AE2+AG2</f>
        <v>1207.5999999999999</v>
      </c>
      <c r="AJ2" s="3">
        <f>AI2*19000</f>
        <v>22944400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ht="25" customHeight="1" x14ac:dyDescent="0.2">
      <c r="A3" s="1" t="s">
        <v>2</v>
      </c>
      <c r="B3" s="1" t="s">
        <v>47</v>
      </c>
      <c r="C3" s="3">
        <f t="shared" si="0"/>
        <v>6150.896999999999</v>
      </c>
      <c r="D3" s="3">
        <f t="shared" si="0"/>
        <v>116867043</v>
      </c>
      <c r="E3" s="3">
        <v>273.80700000000002</v>
      </c>
      <c r="F3" s="3">
        <f t="shared" ref="F3:F45" si="1">E3*19000</f>
        <v>5202333</v>
      </c>
      <c r="G3" s="10">
        <v>212.62899999999999</v>
      </c>
      <c r="H3" s="3">
        <f t="shared" ref="H3:H45" si="2">G3*19000</f>
        <v>4039951</v>
      </c>
      <c r="I3" s="3">
        <v>337.54599999999999</v>
      </c>
      <c r="J3" s="3">
        <f t="shared" ref="J3:J45" si="3">I3*19000</f>
        <v>6413374</v>
      </c>
      <c r="K3" s="3">
        <f t="shared" ref="K3:K45" si="4">E3+G3+I3</f>
        <v>823.98199999999997</v>
      </c>
      <c r="L3" s="3">
        <f t="shared" ref="L3:L45" si="5">K3*19000</f>
        <v>15655658</v>
      </c>
      <c r="M3" s="3">
        <v>366.98899999999998</v>
      </c>
      <c r="N3" s="3">
        <f t="shared" ref="N3:N45" si="6">M3*19000</f>
        <v>6972791</v>
      </c>
      <c r="O3" s="3">
        <v>676.40099999999995</v>
      </c>
      <c r="P3" s="3">
        <f t="shared" ref="P3:P45" si="7">O3*19000</f>
        <v>12851619</v>
      </c>
      <c r="Q3" s="3">
        <v>948.06</v>
      </c>
      <c r="R3" s="3">
        <f t="shared" ref="R3:R45" si="8">Q3*19000</f>
        <v>18013140</v>
      </c>
      <c r="S3" s="3">
        <f t="shared" ref="S3:S45" si="9">M3+O3+Q3</f>
        <v>1991.4499999999998</v>
      </c>
      <c r="T3" s="3">
        <f t="shared" ref="T3:T45" si="10">S3*19000</f>
        <v>37837550</v>
      </c>
      <c r="U3" s="3">
        <v>785.05600000000004</v>
      </c>
      <c r="V3" s="3">
        <f t="shared" ref="V3:V45" si="11">U3*19000</f>
        <v>14916064</v>
      </c>
      <c r="W3" s="3">
        <v>775.52599999999995</v>
      </c>
      <c r="X3" s="3">
        <f t="shared" ref="X3:X45" si="12">W3*19000</f>
        <v>14734994</v>
      </c>
      <c r="Y3" s="3">
        <v>574.17999999999995</v>
      </c>
      <c r="Z3" s="3">
        <f t="shared" ref="Z3:Z45" si="13">Y3*19000</f>
        <v>10909419.999999998</v>
      </c>
      <c r="AA3" s="3">
        <f t="shared" ref="AA3:AA45" si="14">U3+W3+Y3</f>
        <v>2134.7619999999997</v>
      </c>
      <c r="AB3" s="3">
        <f t="shared" ref="AB3:AB45" si="15">AA3*19000</f>
        <v>40560477.999999993</v>
      </c>
      <c r="AC3" s="3">
        <v>476.06</v>
      </c>
      <c r="AD3" s="3">
        <f t="shared" ref="AD3:AD45" si="16">AC3*19000</f>
        <v>9045140</v>
      </c>
      <c r="AE3" s="3">
        <v>321.53899999999999</v>
      </c>
      <c r="AF3" s="3">
        <f t="shared" ref="AF3:AF45" si="17">AE3*19000</f>
        <v>6109241</v>
      </c>
      <c r="AG3" s="3">
        <v>403.10399999999998</v>
      </c>
      <c r="AH3" s="3">
        <f t="shared" ref="AH3:AH45" si="18">AG3*19000</f>
        <v>7658976</v>
      </c>
      <c r="AI3" s="3">
        <f t="shared" ref="AI3:AI45" si="19">AC3+AE3+AG3</f>
        <v>1200.703</v>
      </c>
      <c r="AJ3" s="3">
        <f t="shared" ref="AJ3:AJ45" si="20">AI3*19000</f>
        <v>22813357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ht="25" customHeight="1" x14ac:dyDescent="0.2">
      <c r="A4" s="1" t="s">
        <v>3</v>
      </c>
      <c r="B4" s="1" t="s">
        <v>47</v>
      </c>
      <c r="C4" s="3">
        <f t="shared" si="0"/>
        <v>802.28399999999999</v>
      </c>
      <c r="D4" s="3">
        <f t="shared" si="0"/>
        <v>15243396</v>
      </c>
      <c r="E4" s="3">
        <v>40.255000000000003</v>
      </c>
      <c r="F4" s="3">
        <f t="shared" si="1"/>
        <v>764845</v>
      </c>
      <c r="G4" s="10">
        <v>30.672999999999998</v>
      </c>
      <c r="H4" s="3">
        <f t="shared" si="2"/>
        <v>582787</v>
      </c>
      <c r="I4" s="3">
        <v>39.759</v>
      </c>
      <c r="J4" s="3">
        <f t="shared" si="3"/>
        <v>755421</v>
      </c>
      <c r="K4" s="3">
        <f t="shared" si="4"/>
        <v>110.687</v>
      </c>
      <c r="L4" s="3">
        <f t="shared" si="5"/>
        <v>2103053</v>
      </c>
      <c r="M4" s="3">
        <v>115.512</v>
      </c>
      <c r="N4" s="3">
        <f t="shared" si="6"/>
        <v>2194728</v>
      </c>
      <c r="O4" s="3">
        <v>45.521999999999998</v>
      </c>
      <c r="P4" s="3">
        <f t="shared" si="7"/>
        <v>864918</v>
      </c>
      <c r="Q4" s="3">
        <v>19.266999999999999</v>
      </c>
      <c r="R4" s="3">
        <f t="shared" si="8"/>
        <v>366073</v>
      </c>
      <c r="S4" s="3">
        <f t="shared" si="9"/>
        <v>180.30099999999999</v>
      </c>
      <c r="T4" s="3">
        <f t="shared" si="10"/>
        <v>3425718.9999999995</v>
      </c>
      <c r="U4" s="6">
        <v>115.812</v>
      </c>
      <c r="V4" s="6">
        <f t="shared" si="11"/>
        <v>2200428</v>
      </c>
      <c r="W4" s="6">
        <v>101.994</v>
      </c>
      <c r="X4" s="6">
        <f t="shared" si="12"/>
        <v>1937886</v>
      </c>
      <c r="Y4" s="6">
        <v>81.715000000000003</v>
      </c>
      <c r="Z4" s="6">
        <f t="shared" si="13"/>
        <v>1552585</v>
      </c>
      <c r="AA4" s="6">
        <f t="shared" si="14"/>
        <v>299.52099999999996</v>
      </c>
      <c r="AB4" s="6">
        <f t="shared" si="15"/>
        <v>5690898.9999999991</v>
      </c>
      <c r="AC4" s="6">
        <v>111.003</v>
      </c>
      <c r="AD4" s="6">
        <f t="shared" si="16"/>
        <v>2109057</v>
      </c>
      <c r="AE4" s="6">
        <v>60.893999999999998</v>
      </c>
      <c r="AF4" s="6">
        <f t="shared" si="17"/>
        <v>1156986</v>
      </c>
      <c r="AG4" s="6">
        <v>39.878</v>
      </c>
      <c r="AH4" s="6">
        <f t="shared" si="18"/>
        <v>757682</v>
      </c>
      <c r="AI4" s="6">
        <f t="shared" si="19"/>
        <v>211.77499999999998</v>
      </c>
      <c r="AJ4" s="6">
        <f t="shared" si="20"/>
        <v>4023724.9999999995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spans="1:73" ht="25" customHeight="1" x14ac:dyDescent="0.2">
      <c r="A5" s="1" t="s">
        <v>4</v>
      </c>
      <c r="B5" s="1" t="s">
        <v>47</v>
      </c>
      <c r="C5" s="3">
        <f t="shared" si="0"/>
        <v>11910.609</v>
      </c>
      <c r="D5" s="3">
        <f t="shared" si="0"/>
        <v>226301571</v>
      </c>
      <c r="E5" s="3">
        <v>248.12</v>
      </c>
      <c r="F5" s="3">
        <f t="shared" si="1"/>
        <v>4714280</v>
      </c>
      <c r="G5" s="10">
        <v>98.99</v>
      </c>
      <c r="H5" s="3">
        <f t="shared" si="2"/>
        <v>1880810</v>
      </c>
      <c r="I5" s="3">
        <v>596.51</v>
      </c>
      <c r="J5" s="3">
        <f t="shared" si="3"/>
        <v>11333690</v>
      </c>
      <c r="K5" s="3">
        <f t="shared" si="4"/>
        <v>943.62</v>
      </c>
      <c r="L5" s="3">
        <f t="shared" si="5"/>
        <v>17928780</v>
      </c>
      <c r="M5" s="3">
        <v>1401.66</v>
      </c>
      <c r="N5" s="3">
        <f t="shared" si="6"/>
        <v>26631540</v>
      </c>
      <c r="O5" s="3">
        <v>697.17</v>
      </c>
      <c r="P5" s="3">
        <f t="shared" si="7"/>
        <v>13246230</v>
      </c>
      <c r="Q5" s="3">
        <v>373.86</v>
      </c>
      <c r="R5" s="3">
        <f t="shared" si="8"/>
        <v>7103340</v>
      </c>
      <c r="S5" s="3">
        <f t="shared" si="9"/>
        <v>2472.69</v>
      </c>
      <c r="T5" s="3">
        <f t="shared" si="10"/>
        <v>46981110</v>
      </c>
      <c r="U5" s="3">
        <v>4039.07</v>
      </c>
      <c r="V5" s="3">
        <f t="shared" si="11"/>
        <v>76742330</v>
      </c>
      <c r="W5" s="3">
        <v>1158.93</v>
      </c>
      <c r="X5" s="3">
        <f t="shared" si="12"/>
        <v>22019670</v>
      </c>
      <c r="Y5" s="3">
        <v>2002.21</v>
      </c>
      <c r="Z5" s="3">
        <f t="shared" si="13"/>
        <v>38041990</v>
      </c>
      <c r="AA5" s="3">
        <f t="shared" si="14"/>
        <v>7200.21</v>
      </c>
      <c r="AB5" s="3">
        <f t="shared" si="15"/>
        <v>136803990</v>
      </c>
      <c r="AC5" s="3">
        <v>975.22</v>
      </c>
      <c r="AD5" s="3">
        <f t="shared" si="16"/>
        <v>18529180</v>
      </c>
      <c r="AE5" s="3">
        <v>202.08</v>
      </c>
      <c r="AF5" s="3">
        <f t="shared" si="17"/>
        <v>3839520.0000000005</v>
      </c>
      <c r="AG5" s="6">
        <v>116.789</v>
      </c>
      <c r="AH5" s="3">
        <f t="shared" si="18"/>
        <v>2218991</v>
      </c>
      <c r="AI5" s="3">
        <f t="shared" si="19"/>
        <v>1294.0889999999999</v>
      </c>
      <c r="AJ5" s="3">
        <f t="shared" si="20"/>
        <v>24587691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</row>
    <row r="6" spans="1:73" ht="25" customHeight="1" x14ac:dyDescent="0.2">
      <c r="A6" s="1" t="s">
        <v>5</v>
      </c>
      <c r="B6" s="1" t="s">
        <v>47</v>
      </c>
      <c r="C6" s="3">
        <f t="shared" si="0"/>
        <v>9791.2000000000007</v>
      </c>
      <c r="D6" s="3">
        <f t="shared" si="0"/>
        <v>186032800</v>
      </c>
      <c r="E6" s="3">
        <v>1197.3</v>
      </c>
      <c r="F6" s="3">
        <f t="shared" si="1"/>
        <v>22748700</v>
      </c>
      <c r="G6" s="10">
        <v>821.5</v>
      </c>
      <c r="H6" s="3">
        <f t="shared" si="2"/>
        <v>15608500</v>
      </c>
      <c r="I6" s="3">
        <v>607</v>
      </c>
      <c r="J6" s="3">
        <f t="shared" si="3"/>
        <v>11533000</v>
      </c>
      <c r="K6" s="3">
        <f t="shared" si="4"/>
        <v>2625.8</v>
      </c>
      <c r="L6" s="3">
        <f t="shared" si="5"/>
        <v>49890200</v>
      </c>
      <c r="M6" s="3">
        <v>560.5</v>
      </c>
      <c r="N6" s="3">
        <f t="shared" si="6"/>
        <v>10649500</v>
      </c>
      <c r="O6" s="3">
        <v>985.8</v>
      </c>
      <c r="P6" s="3">
        <f t="shared" si="7"/>
        <v>18730200</v>
      </c>
      <c r="Q6" s="3">
        <v>905.9</v>
      </c>
      <c r="R6" s="3">
        <f t="shared" si="8"/>
        <v>17212100</v>
      </c>
      <c r="S6" s="3">
        <f t="shared" si="9"/>
        <v>2452.1999999999998</v>
      </c>
      <c r="T6" s="3">
        <f t="shared" si="10"/>
        <v>46591800</v>
      </c>
      <c r="U6" s="3">
        <v>796.8</v>
      </c>
      <c r="V6" s="3">
        <f t="shared" si="11"/>
        <v>15139200</v>
      </c>
      <c r="W6" s="3">
        <v>994.6</v>
      </c>
      <c r="X6" s="3">
        <f t="shared" si="12"/>
        <v>18897400</v>
      </c>
      <c r="Y6" s="3">
        <v>706.6</v>
      </c>
      <c r="Z6" s="3">
        <f t="shared" si="13"/>
        <v>13425400</v>
      </c>
      <c r="AA6" s="3">
        <f t="shared" si="14"/>
        <v>2498</v>
      </c>
      <c r="AB6" s="3">
        <f t="shared" si="15"/>
        <v>47462000</v>
      </c>
      <c r="AC6" s="3">
        <v>1121.7</v>
      </c>
      <c r="AD6" s="3">
        <f t="shared" si="16"/>
        <v>21312300</v>
      </c>
      <c r="AE6" s="6">
        <v>545</v>
      </c>
      <c r="AF6" s="3">
        <f t="shared" si="17"/>
        <v>10355000</v>
      </c>
      <c r="AG6" s="6">
        <v>548.5</v>
      </c>
      <c r="AH6" s="3">
        <f t="shared" si="18"/>
        <v>10421500</v>
      </c>
      <c r="AI6" s="3">
        <f t="shared" si="19"/>
        <v>2215.1999999999998</v>
      </c>
      <c r="AJ6" s="3">
        <f t="shared" si="20"/>
        <v>42088800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1:73" ht="25" customHeight="1" x14ac:dyDescent="0.2">
      <c r="A7" s="1" t="s">
        <v>6</v>
      </c>
      <c r="B7" s="1" t="s">
        <v>47</v>
      </c>
      <c r="C7" s="3">
        <f t="shared" si="0"/>
        <v>6596.6560000000009</v>
      </c>
      <c r="D7" s="3">
        <f t="shared" si="0"/>
        <v>125336464</v>
      </c>
      <c r="E7" s="3">
        <v>306.14</v>
      </c>
      <c r="F7" s="3">
        <f t="shared" si="1"/>
        <v>5816660</v>
      </c>
      <c r="G7" s="10">
        <v>215.62</v>
      </c>
      <c r="H7" s="3">
        <f t="shared" si="2"/>
        <v>4096780</v>
      </c>
      <c r="I7" s="3">
        <v>322.39999999999998</v>
      </c>
      <c r="J7" s="3">
        <f t="shared" si="3"/>
        <v>6125600</v>
      </c>
      <c r="K7" s="3">
        <f t="shared" si="4"/>
        <v>844.16</v>
      </c>
      <c r="L7" s="3">
        <f t="shared" si="5"/>
        <v>16039040</v>
      </c>
      <c r="M7" s="3">
        <v>313.57</v>
      </c>
      <c r="N7" s="3">
        <f t="shared" si="6"/>
        <v>5957830</v>
      </c>
      <c r="O7" s="3">
        <v>514.66</v>
      </c>
      <c r="P7" s="3">
        <f t="shared" si="7"/>
        <v>9778540</v>
      </c>
      <c r="Q7" s="3">
        <v>517.16999999999996</v>
      </c>
      <c r="R7" s="3">
        <f t="shared" si="8"/>
        <v>9826230</v>
      </c>
      <c r="S7" s="3">
        <f t="shared" si="9"/>
        <v>1345.4</v>
      </c>
      <c r="T7" s="3">
        <f t="shared" si="10"/>
        <v>25562600</v>
      </c>
      <c r="U7" s="3">
        <v>1114.67</v>
      </c>
      <c r="V7" s="3">
        <f t="shared" si="11"/>
        <v>21178730</v>
      </c>
      <c r="W7" s="3">
        <v>832.11</v>
      </c>
      <c r="X7" s="3">
        <f t="shared" si="12"/>
        <v>15810090</v>
      </c>
      <c r="Y7" s="3">
        <v>928.46</v>
      </c>
      <c r="Z7" s="3">
        <f t="shared" si="13"/>
        <v>17640740</v>
      </c>
      <c r="AA7" s="3">
        <f t="shared" si="14"/>
        <v>2875.2400000000002</v>
      </c>
      <c r="AB7" s="3">
        <f t="shared" si="15"/>
        <v>54629560.000000007</v>
      </c>
      <c r="AC7" s="3">
        <v>753.1</v>
      </c>
      <c r="AD7" s="3">
        <f t="shared" si="16"/>
        <v>14308900</v>
      </c>
      <c r="AE7" s="3">
        <v>376.8</v>
      </c>
      <c r="AF7" s="3">
        <f t="shared" si="17"/>
        <v>7159200</v>
      </c>
      <c r="AG7" s="3">
        <v>401.95600000000002</v>
      </c>
      <c r="AH7" s="3">
        <f t="shared" si="18"/>
        <v>7637164</v>
      </c>
      <c r="AI7" s="3">
        <f t="shared" si="19"/>
        <v>1531.8560000000002</v>
      </c>
      <c r="AJ7" s="3">
        <f t="shared" si="20"/>
        <v>29105264.000000004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1:73" ht="25" customHeight="1" x14ac:dyDescent="0.2">
      <c r="A8" s="1" t="s">
        <v>7</v>
      </c>
      <c r="B8" s="1" t="s">
        <v>47</v>
      </c>
      <c r="C8" s="3">
        <f t="shared" si="0"/>
        <v>4105.3819999999996</v>
      </c>
      <c r="D8" s="3">
        <f t="shared" si="0"/>
        <v>78002258</v>
      </c>
      <c r="E8" s="3">
        <v>289.01600000000002</v>
      </c>
      <c r="F8" s="3">
        <f t="shared" si="1"/>
        <v>5491304</v>
      </c>
      <c r="G8" s="10">
        <v>254.05600000000001</v>
      </c>
      <c r="H8" s="3">
        <f t="shared" si="2"/>
        <v>4827064</v>
      </c>
      <c r="I8" s="3">
        <v>195.52</v>
      </c>
      <c r="J8" s="3">
        <f t="shared" si="3"/>
        <v>3714880</v>
      </c>
      <c r="K8" s="3">
        <f t="shared" si="4"/>
        <v>738.59199999999998</v>
      </c>
      <c r="L8" s="3">
        <f t="shared" si="5"/>
        <v>14033248</v>
      </c>
      <c r="M8" s="3">
        <v>289.37</v>
      </c>
      <c r="N8" s="3">
        <f t="shared" si="6"/>
        <v>5498030</v>
      </c>
      <c r="O8" s="3">
        <v>313.48599999999999</v>
      </c>
      <c r="P8" s="3">
        <f t="shared" si="7"/>
        <v>5956234</v>
      </c>
      <c r="Q8" s="3">
        <v>236.59</v>
      </c>
      <c r="R8" s="3">
        <f t="shared" si="8"/>
        <v>4495210</v>
      </c>
      <c r="S8" s="3">
        <f t="shared" si="9"/>
        <v>839.44600000000003</v>
      </c>
      <c r="T8" s="3">
        <f t="shared" si="10"/>
        <v>15949474</v>
      </c>
      <c r="U8" s="3">
        <v>526.99199999999996</v>
      </c>
      <c r="V8" s="3">
        <f t="shared" si="11"/>
        <v>10012848</v>
      </c>
      <c r="W8" s="3">
        <v>483.46699999999998</v>
      </c>
      <c r="X8" s="3">
        <f t="shared" si="12"/>
        <v>9185873</v>
      </c>
      <c r="Y8" s="3">
        <v>448.077</v>
      </c>
      <c r="Z8" s="3">
        <f t="shared" si="13"/>
        <v>8513463</v>
      </c>
      <c r="AA8" s="3">
        <f t="shared" si="14"/>
        <v>1458.5360000000001</v>
      </c>
      <c r="AB8" s="3">
        <f t="shared" si="15"/>
        <v>27712184</v>
      </c>
      <c r="AC8" s="3">
        <v>375.35399999999998</v>
      </c>
      <c r="AD8" s="3">
        <f t="shared" si="16"/>
        <v>7131726</v>
      </c>
      <c r="AE8" s="3">
        <v>340.92399999999998</v>
      </c>
      <c r="AF8" s="3">
        <f t="shared" si="17"/>
        <v>6477556</v>
      </c>
      <c r="AG8" s="3">
        <v>352.53</v>
      </c>
      <c r="AH8" s="3">
        <f t="shared" si="18"/>
        <v>6698069.9999999991</v>
      </c>
      <c r="AI8" s="3">
        <f t="shared" si="19"/>
        <v>1068.808</v>
      </c>
      <c r="AJ8" s="3">
        <f t="shared" si="20"/>
        <v>20307352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spans="1:73" ht="25" customHeight="1" x14ac:dyDescent="0.2">
      <c r="A9" s="1" t="s">
        <v>8</v>
      </c>
      <c r="B9" s="1" t="s">
        <v>47</v>
      </c>
      <c r="C9" s="3">
        <f t="shared" si="0"/>
        <v>591.5</v>
      </c>
      <c r="D9" s="3">
        <f t="shared" si="0"/>
        <v>11238500</v>
      </c>
      <c r="E9" s="3">
        <v>25.5</v>
      </c>
      <c r="F9" s="3">
        <f t="shared" si="1"/>
        <v>484500</v>
      </c>
      <c r="G9" s="10">
        <v>38.200000000000003</v>
      </c>
      <c r="H9" s="3">
        <f t="shared" si="2"/>
        <v>725800</v>
      </c>
      <c r="I9" s="3">
        <v>54.7</v>
      </c>
      <c r="J9" s="3">
        <f t="shared" si="3"/>
        <v>1039300</v>
      </c>
      <c r="K9" s="3">
        <f t="shared" si="4"/>
        <v>118.4</v>
      </c>
      <c r="L9" s="3">
        <f t="shared" si="5"/>
        <v>2249600</v>
      </c>
      <c r="M9" s="3">
        <v>62.4</v>
      </c>
      <c r="N9" s="3">
        <f t="shared" si="6"/>
        <v>1185600</v>
      </c>
      <c r="O9" s="3">
        <v>47.3</v>
      </c>
      <c r="P9" s="3">
        <f t="shared" si="7"/>
        <v>898700</v>
      </c>
      <c r="Q9" s="3">
        <v>29.4</v>
      </c>
      <c r="R9" s="3">
        <f t="shared" si="8"/>
        <v>558600</v>
      </c>
      <c r="S9" s="3">
        <f t="shared" si="9"/>
        <v>139.1</v>
      </c>
      <c r="T9" s="3">
        <f t="shared" si="10"/>
        <v>2642900</v>
      </c>
      <c r="U9" s="3">
        <v>59.2</v>
      </c>
      <c r="V9" s="3">
        <f t="shared" si="11"/>
        <v>1124800</v>
      </c>
      <c r="W9" s="3">
        <v>63.6</v>
      </c>
      <c r="X9" s="3">
        <f t="shared" si="12"/>
        <v>1208400</v>
      </c>
      <c r="Y9" s="3">
        <v>68.7</v>
      </c>
      <c r="Z9" s="3">
        <f t="shared" si="13"/>
        <v>1305300</v>
      </c>
      <c r="AA9" s="3">
        <f t="shared" si="14"/>
        <v>191.5</v>
      </c>
      <c r="AB9" s="3">
        <f t="shared" si="15"/>
        <v>3638500</v>
      </c>
      <c r="AC9" s="3">
        <v>50</v>
      </c>
      <c r="AD9" s="3">
        <f t="shared" si="16"/>
        <v>950000</v>
      </c>
      <c r="AE9" s="6">
        <v>47.7</v>
      </c>
      <c r="AF9" s="3">
        <f t="shared" si="17"/>
        <v>906300</v>
      </c>
      <c r="AG9" s="6">
        <v>44.8</v>
      </c>
      <c r="AH9" s="3">
        <f t="shared" si="18"/>
        <v>851200</v>
      </c>
      <c r="AI9" s="3">
        <f t="shared" si="19"/>
        <v>142.5</v>
      </c>
      <c r="AJ9" s="3">
        <f t="shared" si="20"/>
        <v>2707500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</row>
    <row r="10" spans="1:73" ht="25" customHeight="1" x14ac:dyDescent="0.2">
      <c r="A10" s="1" t="s">
        <v>9</v>
      </c>
      <c r="B10" s="1" t="s">
        <v>47</v>
      </c>
      <c r="C10" s="3">
        <f t="shared" si="0"/>
        <v>2953.6419999999998</v>
      </c>
      <c r="D10" s="3">
        <f t="shared" si="0"/>
        <v>56119198</v>
      </c>
      <c r="E10" s="3">
        <v>98.01</v>
      </c>
      <c r="F10" s="3">
        <f t="shared" si="1"/>
        <v>1862190</v>
      </c>
      <c r="G10" s="10">
        <v>98.355999999999995</v>
      </c>
      <c r="H10" s="3">
        <f t="shared" si="2"/>
        <v>1868764</v>
      </c>
      <c r="I10" s="3">
        <v>48.308999999999997</v>
      </c>
      <c r="J10" s="3">
        <f t="shared" si="3"/>
        <v>917871</v>
      </c>
      <c r="K10" s="3">
        <f t="shared" si="4"/>
        <v>244.67499999999998</v>
      </c>
      <c r="L10" s="3">
        <f t="shared" si="5"/>
        <v>4648825</v>
      </c>
      <c r="M10" s="3">
        <v>174.17500000000001</v>
      </c>
      <c r="N10" s="3">
        <f t="shared" si="6"/>
        <v>3309325</v>
      </c>
      <c r="O10" s="3">
        <v>110.852</v>
      </c>
      <c r="P10" s="3">
        <f t="shared" si="7"/>
        <v>2106188</v>
      </c>
      <c r="Q10" s="3">
        <v>163.29</v>
      </c>
      <c r="R10" s="3">
        <f t="shared" si="8"/>
        <v>3102510</v>
      </c>
      <c r="S10" s="3">
        <f t="shared" si="9"/>
        <v>448.31700000000001</v>
      </c>
      <c r="T10" s="3">
        <f t="shared" si="10"/>
        <v>8518023</v>
      </c>
      <c r="U10" s="3">
        <v>471.04</v>
      </c>
      <c r="V10" s="3">
        <f t="shared" si="11"/>
        <v>8949760</v>
      </c>
      <c r="W10" s="3">
        <v>419.21</v>
      </c>
      <c r="X10" s="3">
        <f t="shared" si="12"/>
        <v>7964990</v>
      </c>
      <c r="Y10" s="3">
        <v>336.85</v>
      </c>
      <c r="Z10" s="3">
        <f t="shared" si="13"/>
        <v>6400150</v>
      </c>
      <c r="AA10" s="3">
        <f t="shared" si="14"/>
        <v>1227.0999999999999</v>
      </c>
      <c r="AB10" s="3">
        <f t="shared" si="15"/>
        <v>23314900</v>
      </c>
      <c r="AC10" s="3">
        <v>370</v>
      </c>
      <c r="AD10" s="3">
        <f t="shared" si="16"/>
        <v>7030000</v>
      </c>
      <c r="AE10" s="3">
        <v>363.55</v>
      </c>
      <c r="AF10" s="3">
        <f t="shared" si="17"/>
        <v>6907450</v>
      </c>
      <c r="AG10" s="3">
        <v>300</v>
      </c>
      <c r="AH10" s="3">
        <f t="shared" si="18"/>
        <v>5700000</v>
      </c>
      <c r="AI10" s="3">
        <f t="shared" si="19"/>
        <v>1033.55</v>
      </c>
      <c r="AJ10" s="3">
        <f t="shared" si="20"/>
        <v>19637450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spans="1:73" ht="25" customHeight="1" x14ac:dyDescent="0.2">
      <c r="A11" s="1" t="s">
        <v>10</v>
      </c>
      <c r="B11" s="1" t="s">
        <v>47</v>
      </c>
      <c r="C11" s="3">
        <f t="shared" si="0"/>
        <v>8592.4179999999997</v>
      </c>
      <c r="D11" s="3">
        <f t="shared" si="0"/>
        <v>163255942</v>
      </c>
      <c r="E11" s="3">
        <v>1167.4649999999999</v>
      </c>
      <c r="F11" s="3">
        <f t="shared" si="1"/>
        <v>22181835</v>
      </c>
      <c r="G11" s="10">
        <v>639.32500000000005</v>
      </c>
      <c r="H11" s="3">
        <f t="shared" si="2"/>
        <v>12147175</v>
      </c>
      <c r="I11" s="3">
        <v>1382.2840000000001</v>
      </c>
      <c r="J11" s="3">
        <f t="shared" si="3"/>
        <v>26263396.000000004</v>
      </c>
      <c r="K11" s="3">
        <f t="shared" si="4"/>
        <v>3189.0740000000001</v>
      </c>
      <c r="L11" s="3">
        <f t="shared" si="5"/>
        <v>60592406</v>
      </c>
      <c r="M11" s="3">
        <v>1129.3430000000001</v>
      </c>
      <c r="N11" s="3">
        <f t="shared" si="6"/>
        <v>21457517</v>
      </c>
      <c r="O11" s="3">
        <v>883.27499999999998</v>
      </c>
      <c r="P11" s="3">
        <f t="shared" si="7"/>
        <v>16782225</v>
      </c>
      <c r="Q11" s="3">
        <v>896.16600000000005</v>
      </c>
      <c r="R11" s="3">
        <f t="shared" si="8"/>
        <v>17027154</v>
      </c>
      <c r="S11" s="3">
        <f t="shared" si="9"/>
        <v>2908.7840000000001</v>
      </c>
      <c r="T11" s="3">
        <f t="shared" si="10"/>
        <v>55266896</v>
      </c>
      <c r="U11" s="3">
        <v>925.35699999999997</v>
      </c>
      <c r="V11" s="3">
        <f t="shared" si="11"/>
        <v>17581783</v>
      </c>
      <c r="W11" s="3">
        <v>791.52499999999998</v>
      </c>
      <c r="X11" s="3">
        <f t="shared" si="12"/>
        <v>15038975</v>
      </c>
      <c r="Y11" s="3">
        <v>334.54700000000003</v>
      </c>
      <c r="Z11" s="3">
        <f t="shared" si="13"/>
        <v>6356393.0000000009</v>
      </c>
      <c r="AA11" s="3">
        <f t="shared" si="14"/>
        <v>2051.4290000000001</v>
      </c>
      <c r="AB11" s="3">
        <f t="shared" si="15"/>
        <v>38977151</v>
      </c>
      <c r="AC11" s="3">
        <v>199.03</v>
      </c>
      <c r="AD11" s="3">
        <f t="shared" si="16"/>
        <v>3781570</v>
      </c>
      <c r="AE11" s="3">
        <v>144.05000000000001</v>
      </c>
      <c r="AF11" s="3">
        <f t="shared" si="17"/>
        <v>2736950</v>
      </c>
      <c r="AG11" s="3">
        <v>100.051</v>
      </c>
      <c r="AH11" s="3">
        <f t="shared" si="18"/>
        <v>1900969</v>
      </c>
      <c r="AI11" s="3">
        <f t="shared" si="19"/>
        <v>443.13100000000003</v>
      </c>
      <c r="AJ11" s="3">
        <f t="shared" si="20"/>
        <v>8419489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spans="1:73" ht="25" customHeight="1" x14ac:dyDescent="0.2">
      <c r="A12" s="1" t="s">
        <v>11</v>
      </c>
      <c r="B12" s="1" t="s">
        <v>47</v>
      </c>
      <c r="C12" s="3">
        <f t="shared" si="0"/>
        <v>17256.496999999999</v>
      </c>
      <c r="D12" s="3">
        <f t="shared" si="0"/>
        <v>327873443</v>
      </c>
      <c r="E12" s="3">
        <v>43.707000000000001</v>
      </c>
      <c r="F12" s="3">
        <f t="shared" si="1"/>
        <v>830433</v>
      </c>
      <c r="G12" s="10">
        <v>763.87599999999998</v>
      </c>
      <c r="H12" s="3">
        <f t="shared" si="2"/>
        <v>14513644</v>
      </c>
      <c r="I12" s="3">
        <v>1575.942</v>
      </c>
      <c r="J12" s="3">
        <f t="shared" si="3"/>
        <v>29942898</v>
      </c>
      <c r="K12" s="3">
        <f t="shared" si="4"/>
        <v>2383.5250000000001</v>
      </c>
      <c r="L12" s="3">
        <f t="shared" si="5"/>
        <v>45286975</v>
      </c>
      <c r="M12" s="3">
        <v>1532.394</v>
      </c>
      <c r="N12" s="3">
        <f t="shared" si="6"/>
        <v>29115486</v>
      </c>
      <c r="O12" s="3">
        <v>1950.3109999999999</v>
      </c>
      <c r="P12" s="3">
        <f t="shared" si="7"/>
        <v>37055909</v>
      </c>
      <c r="Q12" s="3">
        <v>2475.5569999999998</v>
      </c>
      <c r="R12" s="3">
        <f t="shared" si="8"/>
        <v>47035582.999999993</v>
      </c>
      <c r="S12" s="3">
        <f t="shared" si="9"/>
        <v>5958.2619999999997</v>
      </c>
      <c r="T12" s="3">
        <f t="shared" si="10"/>
        <v>113206978</v>
      </c>
      <c r="U12" s="5">
        <v>2500.87</v>
      </c>
      <c r="V12" s="3">
        <f t="shared" si="11"/>
        <v>47516530</v>
      </c>
      <c r="W12" s="5">
        <v>1920.79</v>
      </c>
      <c r="X12" s="3">
        <f t="shared" si="12"/>
        <v>36495010</v>
      </c>
      <c r="Y12" s="5">
        <v>1600.71</v>
      </c>
      <c r="Z12" s="3">
        <f t="shared" si="13"/>
        <v>30413490</v>
      </c>
      <c r="AA12" s="3">
        <f t="shared" si="14"/>
        <v>6022.37</v>
      </c>
      <c r="AB12" s="3">
        <f t="shared" si="15"/>
        <v>114425030</v>
      </c>
      <c r="AC12" s="5">
        <v>1200.45</v>
      </c>
      <c r="AD12" s="3">
        <f t="shared" si="16"/>
        <v>22808550</v>
      </c>
      <c r="AE12" s="5">
        <v>991.75</v>
      </c>
      <c r="AF12" s="3">
        <f t="shared" si="17"/>
        <v>18843250</v>
      </c>
      <c r="AG12" s="5">
        <v>700.14</v>
      </c>
      <c r="AH12" s="3">
        <f t="shared" si="18"/>
        <v>13302660</v>
      </c>
      <c r="AI12" s="3">
        <f t="shared" si="19"/>
        <v>2892.3399999999997</v>
      </c>
      <c r="AJ12" s="3">
        <f t="shared" si="20"/>
        <v>54954459.999999993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spans="1:73" ht="25" customHeight="1" x14ac:dyDescent="0.2">
      <c r="A13" s="1" t="s">
        <v>12</v>
      </c>
      <c r="B13" s="1" t="s">
        <v>47</v>
      </c>
      <c r="C13" s="3">
        <f t="shared" si="0"/>
        <v>6365.4</v>
      </c>
      <c r="D13" s="3">
        <f t="shared" si="0"/>
        <v>120942600</v>
      </c>
      <c r="E13" s="3">
        <v>509</v>
      </c>
      <c r="F13" s="3">
        <f t="shared" si="1"/>
        <v>9671000</v>
      </c>
      <c r="G13" s="10">
        <v>488.9</v>
      </c>
      <c r="H13" s="3">
        <f t="shared" si="2"/>
        <v>9289100</v>
      </c>
      <c r="I13" s="3">
        <v>621.20000000000005</v>
      </c>
      <c r="J13" s="3">
        <f t="shared" si="3"/>
        <v>11802800</v>
      </c>
      <c r="K13" s="3">
        <f t="shared" si="4"/>
        <v>1619.1</v>
      </c>
      <c r="L13" s="3">
        <f t="shared" si="5"/>
        <v>30762900</v>
      </c>
      <c r="M13" s="3">
        <v>311.5</v>
      </c>
      <c r="N13" s="3">
        <f t="shared" si="6"/>
        <v>5918500</v>
      </c>
      <c r="O13" s="3">
        <v>336.4</v>
      </c>
      <c r="P13" s="3">
        <f t="shared" si="7"/>
        <v>6391600</v>
      </c>
      <c r="Q13" s="3">
        <v>336.4</v>
      </c>
      <c r="R13" s="3">
        <f t="shared" si="8"/>
        <v>6391600</v>
      </c>
      <c r="S13" s="3">
        <f t="shared" si="9"/>
        <v>984.3</v>
      </c>
      <c r="T13" s="3">
        <f t="shared" si="10"/>
        <v>18701700</v>
      </c>
      <c r="U13" s="3">
        <v>430.5</v>
      </c>
      <c r="V13" s="3">
        <f t="shared" si="11"/>
        <v>8179500</v>
      </c>
      <c r="W13" s="3">
        <v>612</v>
      </c>
      <c r="X13" s="3">
        <f t="shared" si="12"/>
        <v>11628000</v>
      </c>
      <c r="Y13" s="3">
        <v>871.2</v>
      </c>
      <c r="Z13" s="3">
        <f t="shared" si="13"/>
        <v>16552800</v>
      </c>
      <c r="AA13" s="3">
        <f t="shared" si="14"/>
        <v>1913.7</v>
      </c>
      <c r="AB13" s="3">
        <f t="shared" si="15"/>
        <v>36360300</v>
      </c>
      <c r="AC13" s="6">
        <v>511.4</v>
      </c>
      <c r="AD13" s="3">
        <f t="shared" si="16"/>
        <v>9716600</v>
      </c>
      <c r="AE13" s="6">
        <v>649.4</v>
      </c>
      <c r="AF13" s="3">
        <f t="shared" si="17"/>
        <v>12338600</v>
      </c>
      <c r="AG13" s="6">
        <v>687.5</v>
      </c>
      <c r="AH13" s="3">
        <f t="shared" si="18"/>
        <v>13062500</v>
      </c>
      <c r="AI13" s="3">
        <f t="shared" si="19"/>
        <v>1848.3</v>
      </c>
      <c r="AJ13" s="3">
        <f t="shared" si="20"/>
        <v>35117700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</row>
    <row r="14" spans="1:73" ht="25" customHeight="1" x14ac:dyDescent="0.2">
      <c r="A14" s="1" t="s">
        <v>13</v>
      </c>
      <c r="B14" s="1" t="s">
        <v>47</v>
      </c>
      <c r="C14" s="3">
        <f t="shared" si="0"/>
        <v>14517.2</v>
      </c>
      <c r="D14" s="3">
        <f t="shared" si="0"/>
        <v>275826800</v>
      </c>
      <c r="E14" s="3">
        <v>199.7</v>
      </c>
      <c r="F14" s="3">
        <f t="shared" si="1"/>
        <v>3794300</v>
      </c>
      <c r="G14" s="10">
        <v>207.5</v>
      </c>
      <c r="H14" s="3">
        <f t="shared" si="2"/>
        <v>3942500</v>
      </c>
      <c r="I14" s="3">
        <v>331.8</v>
      </c>
      <c r="J14" s="3">
        <f t="shared" si="3"/>
        <v>6304200</v>
      </c>
      <c r="K14" s="3">
        <f t="shared" si="4"/>
        <v>739</v>
      </c>
      <c r="L14" s="3">
        <f t="shared" si="5"/>
        <v>14041000</v>
      </c>
      <c r="M14" s="3">
        <v>418</v>
      </c>
      <c r="N14" s="3">
        <f t="shared" si="6"/>
        <v>7942000</v>
      </c>
      <c r="O14" s="3">
        <v>583.20000000000005</v>
      </c>
      <c r="P14" s="3">
        <f t="shared" si="7"/>
        <v>11080800</v>
      </c>
      <c r="Q14" s="3">
        <v>761.1</v>
      </c>
      <c r="R14" s="3">
        <f t="shared" si="8"/>
        <v>14460900</v>
      </c>
      <c r="S14" s="3">
        <f t="shared" si="9"/>
        <v>1762.3000000000002</v>
      </c>
      <c r="T14" s="3">
        <f t="shared" si="10"/>
        <v>33483700.000000004</v>
      </c>
      <c r="U14" s="3">
        <v>1254.8</v>
      </c>
      <c r="V14" s="3">
        <f t="shared" si="11"/>
        <v>23841200</v>
      </c>
      <c r="W14" s="3">
        <v>1832.7</v>
      </c>
      <c r="X14" s="3">
        <f t="shared" si="12"/>
        <v>34821300</v>
      </c>
      <c r="Y14" s="3">
        <v>2835.4</v>
      </c>
      <c r="Z14" s="3">
        <f t="shared" si="13"/>
        <v>53872600</v>
      </c>
      <c r="AA14" s="3">
        <f t="shared" si="14"/>
        <v>5922.9</v>
      </c>
      <c r="AB14" s="3">
        <f t="shared" si="15"/>
        <v>112535100</v>
      </c>
      <c r="AC14" s="6">
        <v>2547.5</v>
      </c>
      <c r="AD14" s="3">
        <f t="shared" si="16"/>
        <v>48402500</v>
      </c>
      <c r="AE14" s="6">
        <v>2132</v>
      </c>
      <c r="AF14" s="3">
        <f t="shared" si="17"/>
        <v>40508000</v>
      </c>
      <c r="AG14" s="6">
        <v>1413.5</v>
      </c>
      <c r="AH14" s="3">
        <f t="shared" si="18"/>
        <v>26856500</v>
      </c>
      <c r="AI14" s="3">
        <f t="shared" si="19"/>
        <v>6093</v>
      </c>
      <c r="AJ14" s="3">
        <f t="shared" si="20"/>
        <v>115767000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</row>
    <row r="15" spans="1:73" ht="25" customHeight="1" x14ac:dyDescent="0.2">
      <c r="A15" s="1" t="s">
        <v>14</v>
      </c>
      <c r="B15" s="1" t="s">
        <v>47</v>
      </c>
      <c r="C15" s="3">
        <f t="shared" si="0"/>
        <v>6863.51</v>
      </c>
      <c r="D15" s="3">
        <f t="shared" si="0"/>
        <v>130406690</v>
      </c>
      <c r="E15" s="3">
        <v>244.51</v>
      </c>
      <c r="F15" s="3">
        <f t="shared" si="1"/>
        <v>4645690</v>
      </c>
      <c r="G15" s="10">
        <v>252.17</v>
      </c>
      <c r="H15" s="3">
        <f t="shared" si="2"/>
        <v>4791230</v>
      </c>
      <c r="I15" s="3">
        <v>277.05</v>
      </c>
      <c r="J15" s="3">
        <f t="shared" si="3"/>
        <v>5263950</v>
      </c>
      <c r="K15" s="3">
        <f t="shared" si="4"/>
        <v>773.73</v>
      </c>
      <c r="L15" s="3">
        <f t="shared" si="5"/>
        <v>14700870</v>
      </c>
      <c r="M15" s="3">
        <v>342.51</v>
      </c>
      <c r="N15" s="3">
        <f t="shared" si="6"/>
        <v>6507690</v>
      </c>
      <c r="O15" s="3">
        <v>683.91</v>
      </c>
      <c r="P15" s="3">
        <f t="shared" si="7"/>
        <v>12994290</v>
      </c>
      <c r="Q15" s="3">
        <v>776.24</v>
      </c>
      <c r="R15" s="3">
        <f t="shared" si="8"/>
        <v>14748560</v>
      </c>
      <c r="S15" s="3">
        <f t="shared" si="9"/>
        <v>1802.66</v>
      </c>
      <c r="T15" s="3">
        <f t="shared" si="10"/>
        <v>34250540</v>
      </c>
      <c r="U15" s="3">
        <v>950.44</v>
      </c>
      <c r="V15" s="3">
        <f t="shared" si="11"/>
        <v>18058360</v>
      </c>
      <c r="W15" s="3">
        <v>876.17</v>
      </c>
      <c r="X15" s="3">
        <f t="shared" si="12"/>
        <v>16647230</v>
      </c>
      <c r="Y15" s="3">
        <v>760.6</v>
      </c>
      <c r="Z15" s="3">
        <f t="shared" si="13"/>
        <v>14451400</v>
      </c>
      <c r="AA15" s="3">
        <f t="shared" si="14"/>
        <v>2587.21</v>
      </c>
      <c r="AB15" s="3">
        <f t="shared" si="15"/>
        <v>49156990</v>
      </c>
      <c r="AC15" s="3">
        <v>612.91</v>
      </c>
      <c r="AD15" s="3">
        <f t="shared" si="16"/>
        <v>11645290</v>
      </c>
      <c r="AE15" s="5">
        <v>582</v>
      </c>
      <c r="AF15" s="3">
        <f t="shared" si="17"/>
        <v>11058000</v>
      </c>
      <c r="AG15" s="5">
        <v>505</v>
      </c>
      <c r="AH15" s="3">
        <f t="shared" si="18"/>
        <v>9595000</v>
      </c>
      <c r="AI15" s="3">
        <f t="shared" si="19"/>
        <v>1699.9099999999999</v>
      </c>
      <c r="AJ15" s="3">
        <f t="shared" si="20"/>
        <v>32298289.999999996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spans="1:73" ht="25" customHeight="1" x14ac:dyDescent="0.2">
      <c r="A16" s="1" t="s">
        <v>15</v>
      </c>
      <c r="B16" s="1" t="s">
        <v>47</v>
      </c>
      <c r="C16" s="6">
        <f t="shared" si="0"/>
        <v>61415.3</v>
      </c>
      <c r="D16" s="3">
        <f t="shared" si="0"/>
        <v>1166890700</v>
      </c>
      <c r="E16" s="6">
        <v>6202.7</v>
      </c>
      <c r="F16" s="3">
        <f t="shared" si="1"/>
        <v>117851300</v>
      </c>
      <c r="G16" s="10">
        <v>3903.7</v>
      </c>
      <c r="H16" s="3">
        <f t="shared" si="2"/>
        <v>74170300</v>
      </c>
      <c r="I16" s="6">
        <v>3114.4</v>
      </c>
      <c r="J16" s="3">
        <f t="shared" si="3"/>
        <v>59173600</v>
      </c>
      <c r="K16" s="3">
        <f t="shared" si="4"/>
        <v>13220.8</v>
      </c>
      <c r="L16" s="3">
        <f t="shared" si="5"/>
        <v>251195200</v>
      </c>
      <c r="M16" s="6">
        <v>4436</v>
      </c>
      <c r="N16" s="3">
        <f t="shared" si="6"/>
        <v>84284000</v>
      </c>
      <c r="O16" s="6">
        <v>4907.2</v>
      </c>
      <c r="P16" s="3">
        <f t="shared" si="7"/>
        <v>93236800</v>
      </c>
      <c r="Q16" s="6">
        <v>5346.5</v>
      </c>
      <c r="R16" s="3">
        <f t="shared" si="8"/>
        <v>101583500</v>
      </c>
      <c r="S16" s="3">
        <f t="shared" si="9"/>
        <v>14689.7</v>
      </c>
      <c r="T16" s="3">
        <f t="shared" si="10"/>
        <v>279104300</v>
      </c>
      <c r="U16" s="6">
        <v>5532.7</v>
      </c>
      <c r="V16" s="3">
        <f t="shared" si="11"/>
        <v>105121300</v>
      </c>
      <c r="W16" s="6">
        <v>3630.6</v>
      </c>
      <c r="X16" s="3">
        <f t="shared" si="12"/>
        <v>68981400</v>
      </c>
      <c r="Y16" s="6">
        <v>4316.7</v>
      </c>
      <c r="Z16" s="3">
        <f t="shared" si="13"/>
        <v>82017300</v>
      </c>
      <c r="AA16" s="3">
        <f t="shared" si="14"/>
        <v>13480</v>
      </c>
      <c r="AB16" s="3">
        <f t="shared" si="15"/>
        <v>256120000</v>
      </c>
      <c r="AC16" s="6">
        <v>6664.4</v>
      </c>
      <c r="AD16" s="3">
        <f t="shared" si="16"/>
        <v>126623600</v>
      </c>
      <c r="AE16" s="6">
        <v>7102.4</v>
      </c>
      <c r="AF16" s="3">
        <f t="shared" si="17"/>
        <v>134945600</v>
      </c>
      <c r="AG16" s="6">
        <v>6258</v>
      </c>
      <c r="AH16" s="3">
        <f t="shared" si="18"/>
        <v>118902000</v>
      </c>
      <c r="AI16" s="3">
        <f t="shared" si="19"/>
        <v>20024.8</v>
      </c>
      <c r="AJ16" s="3">
        <f t="shared" si="20"/>
        <v>380471200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spans="1:73" ht="25" customHeight="1" x14ac:dyDescent="0.2">
      <c r="A17" s="1" t="s">
        <v>16</v>
      </c>
      <c r="B17" s="1" t="s">
        <v>47</v>
      </c>
      <c r="C17" s="3">
        <f t="shared" si="0"/>
        <v>4262.6410000000005</v>
      </c>
      <c r="D17" s="3">
        <f t="shared" si="0"/>
        <v>80990179</v>
      </c>
      <c r="E17" s="3">
        <v>8.8710000000000004</v>
      </c>
      <c r="F17" s="3">
        <f t="shared" si="1"/>
        <v>168549</v>
      </c>
      <c r="G17" s="10">
        <v>22.733000000000001</v>
      </c>
      <c r="H17" s="3">
        <f t="shared" si="2"/>
        <v>431927</v>
      </c>
      <c r="I17" s="3">
        <v>17.923999999999999</v>
      </c>
      <c r="J17" s="3">
        <f t="shared" si="3"/>
        <v>340556</v>
      </c>
      <c r="K17" s="3">
        <f t="shared" si="4"/>
        <v>49.527999999999999</v>
      </c>
      <c r="L17" s="3">
        <f t="shared" si="5"/>
        <v>941032</v>
      </c>
      <c r="M17" s="3">
        <v>35.313000000000002</v>
      </c>
      <c r="N17" s="3">
        <f t="shared" si="6"/>
        <v>670947</v>
      </c>
      <c r="O17" s="3">
        <v>33.408999999999999</v>
      </c>
      <c r="P17" s="3">
        <f t="shared" si="7"/>
        <v>634771</v>
      </c>
      <c r="Q17" s="3">
        <v>707.91800000000001</v>
      </c>
      <c r="R17" s="3">
        <f t="shared" si="8"/>
        <v>13450442</v>
      </c>
      <c r="S17" s="3">
        <f t="shared" si="9"/>
        <v>776.64</v>
      </c>
      <c r="T17" s="3">
        <f t="shared" si="10"/>
        <v>14756160</v>
      </c>
      <c r="U17" s="3">
        <v>1077.8420000000001</v>
      </c>
      <c r="V17" s="3">
        <f t="shared" si="11"/>
        <v>20478998.000000004</v>
      </c>
      <c r="W17" s="3">
        <v>814.72</v>
      </c>
      <c r="X17" s="3">
        <f t="shared" si="12"/>
        <v>15479680</v>
      </c>
      <c r="Y17" s="3">
        <v>508.97899999999998</v>
      </c>
      <c r="Z17" s="3">
        <f t="shared" si="13"/>
        <v>9670601</v>
      </c>
      <c r="AA17" s="3">
        <f t="shared" si="14"/>
        <v>2401.5410000000002</v>
      </c>
      <c r="AB17" s="3">
        <f t="shared" si="15"/>
        <v>45629279</v>
      </c>
      <c r="AC17" s="3">
        <v>459.93200000000002</v>
      </c>
      <c r="AD17" s="3">
        <f t="shared" si="16"/>
        <v>8738708</v>
      </c>
      <c r="AE17" s="5">
        <v>325</v>
      </c>
      <c r="AF17" s="3">
        <f t="shared" si="17"/>
        <v>6175000</v>
      </c>
      <c r="AG17" s="5">
        <v>250</v>
      </c>
      <c r="AH17" s="3">
        <f t="shared" si="18"/>
        <v>4750000</v>
      </c>
      <c r="AI17" s="3">
        <f t="shared" si="19"/>
        <v>1034.932</v>
      </c>
      <c r="AJ17" s="3">
        <f t="shared" si="20"/>
        <v>19663708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</row>
    <row r="18" spans="1:73" ht="25" customHeight="1" x14ac:dyDescent="0.2">
      <c r="A18" s="1" t="s">
        <v>17</v>
      </c>
      <c r="B18" s="1" t="s">
        <v>47</v>
      </c>
      <c r="C18" s="3">
        <f t="shared" si="0"/>
        <v>4426.3230000000003</v>
      </c>
      <c r="D18" s="3">
        <f t="shared" si="0"/>
        <v>84100137</v>
      </c>
      <c r="E18" s="3">
        <v>117.17</v>
      </c>
      <c r="F18" s="3">
        <f t="shared" si="1"/>
        <v>2226230</v>
      </c>
      <c r="G18" s="10">
        <v>67.400000000000006</v>
      </c>
      <c r="H18" s="3">
        <f t="shared" si="2"/>
        <v>1280600</v>
      </c>
      <c r="I18" s="3">
        <v>112.47</v>
      </c>
      <c r="J18" s="3">
        <f t="shared" si="3"/>
        <v>2136930</v>
      </c>
      <c r="K18" s="3">
        <f t="shared" si="4"/>
        <v>297.03999999999996</v>
      </c>
      <c r="L18" s="3">
        <f t="shared" si="5"/>
        <v>5643759.9999999991</v>
      </c>
      <c r="M18" s="3">
        <v>60.91</v>
      </c>
      <c r="N18" s="3">
        <f t="shared" si="6"/>
        <v>1157290</v>
      </c>
      <c r="O18" s="3">
        <v>112.75</v>
      </c>
      <c r="P18" s="3">
        <f t="shared" si="7"/>
        <v>2142250</v>
      </c>
      <c r="Q18" s="3">
        <v>508.94</v>
      </c>
      <c r="R18" s="3">
        <f t="shared" si="8"/>
        <v>9669860</v>
      </c>
      <c r="S18" s="3">
        <f t="shared" si="9"/>
        <v>682.6</v>
      </c>
      <c r="T18" s="3">
        <f t="shared" si="10"/>
        <v>12969400</v>
      </c>
      <c r="U18" s="3">
        <v>612.86</v>
      </c>
      <c r="V18" s="3">
        <f t="shared" si="11"/>
        <v>11644340</v>
      </c>
      <c r="W18" s="3">
        <v>872.26</v>
      </c>
      <c r="X18" s="3">
        <f t="shared" si="12"/>
        <v>16572940</v>
      </c>
      <c r="Y18" s="3">
        <v>470.05</v>
      </c>
      <c r="Z18" s="3">
        <f t="shared" si="13"/>
        <v>8930950</v>
      </c>
      <c r="AA18" s="3">
        <f t="shared" si="14"/>
        <v>1955.1699999999998</v>
      </c>
      <c r="AB18" s="3">
        <f t="shared" si="15"/>
        <v>37148230</v>
      </c>
      <c r="AC18" s="3">
        <v>325.2</v>
      </c>
      <c r="AD18" s="3">
        <f t="shared" si="16"/>
        <v>6178800</v>
      </c>
      <c r="AE18" s="3">
        <v>559.11</v>
      </c>
      <c r="AF18" s="3">
        <f t="shared" si="17"/>
        <v>10623090</v>
      </c>
      <c r="AG18" s="3">
        <v>607.20299999999997</v>
      </c>
      <c r="AH18" s="3">
        <f t="shared" si="18"/>
        <v>11536857</v>
      </c>
      <c r="AI18" s="3">
        <f t="shared" si="19"/>
        <v>1491.5129999999999</v>
      </c>
      <c r="AJ18" s="3">
        <f t="shared" si="20"/>
        <v>28338747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spans="1:73" ht="25" customHeight="1" x14ac:dyDescent="0.2">
      <c r="A19" s="1" t="s">
        <v>18</v>
      </c>
      <c r="B19" s="1" t="s">
        <v>48</v>
      </c>
      <c r="C19" s="3">
        <f t="shared" si="0"/>
        <v>9821.2929999999997</v>
      </c>
      <c r="D19" s="3">
        <f t="shared" si="0"/>
        <v>186604567</v>
      </c>
      <c r="E19" s="3">
        <v>586.21100000000001</v>
      </c>
      <c r="F19" s="3">
        <f t="shared" si="1"/>
        <v>11138009</v>
      </c>
      <c r="G19" s="10">
        <v>683.91200000000003</v>
      </c>
      <c r="H19" s="3">
        <f t="shared" si="2"/>
        <v>12994328</v>
      </c>
      <c r="I19" s="3">
        <v>683.91200000000003</v>
      </c>
      <c r="J19" s="3">
        <f t="shared" si="3"/>
        <v>12994328</v>
      </c>
      <c r="K19" s="3">
        <f t="shared" si="4"/>
        <v>1954.0350000000001</v>
      </c>
      <c r="L19" s="3">
        <f t="shared" si="5"/>
        <v>37126665</v>
      </c>
      <c r="M19" s="3">
        <v>781.61400000000003</v>
      </c>
      <c r="N19" s="3">
        <f t="shared" si="6"/>
        <v>14850666</v>
      </c>
      <c r="O19" s="3">
        <v>879.31200000000001</v>
      </c>
      <c r="P19" s="3">
        <f t="shared" si="7"/>
        <v>16706928</v>
      </c>
      <c r="Q19" s="3">
        <v>977.01700000000005</v>
      </c>
      <c r="R19" s="3">
        <f t="shared" si="8"/>
        <v>18563323</v>
      </c>
      <c r="S19" s="3">
        <f t="shared" si="9"/>
        <v>2637.9430000000002</v>
      </c>
      <c r="T19" s="3">
        <f t="shared" si="10"/>
        <v>50120917.000000007</v>
      </c>
      <c r="U19" s="3">
        <v>1074.7190000000001</v>
      </c>
      <c r="V19" s="3">
        <f t="shared" si="11"/>
        <v>20419661</v>
      </c>
      <c r="W19" s="3">
        <v>1074.7190000000001</v>
      </c>
      <c r="X19" s="3">
        <f t="shared" si="12"/>
        <v>20419661</v>
      </c>
      <c r="Y19" s="3">
        <v>977.01700000000005</v>
      </c>
      <c r="Z19" s="3">
        <f t="shared" si="13"/>
        <v>18563323</v>
      </c>
      <c r="AA19" s="3">
        <f t="shared" si="14"/>
        <v>3126.4549999999999</v>
      </c>
      <c r="AB19" s="3">
        <f t="shared" si="15"/>
        <v>59402645</v>
      </c>
      <c r="AC19" s="3">
        <v>898.86</v>
      </c>
      <c r="AD19" s="3">
        <f t="shared" si="16"/>
        <v>17078340</v>
      </c>
      <c r="AE19" s="5">
        <v>701</v>
      </c>
      <c r="AF19" s="3">
        <f t="shared" si="17"/>
        <v>13319000</v>
      </c>
      <c r="AG19" s="5">
        <v>503</v>
      </c>
      <c r="AH19" s="3">
        <f t="shared" si="18"/>
        <v>9557000</v>
      </c>
      <c r="AI19" s="3">
        <f t="shared" si="19"/>
        <v>2102.86</v>
      </c>
      <c r="AJ19" s="3">
        <f t="shared" si="20"/>
        <v>39954340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ht="25" customHeight="1" x14ac:dyDescent="0.2">
      <c r="A20" s="1" t="s">
        <v>19</v>
      </c>
      <c r="B20" s="1" t="s">
        <v>48</v>
      </c>
      <c r="C20" s="3">
        <f t="shared" si="0"/>
        <v>19145.55</v>
      </c>
      <c r="D20" s="3">
        <f t="shared" si="0"/>
        <v>363765450</v>
      </c>
      <c r="E20" s="3">
        <v>1481.4</v>
      </c>
      <c r="F20" s="3">
        <f t="shared" si="1"/>
        <v>28146600</v>
      </c>
      <c r="G20" s="10">
        <v>1304.5</v>
      </c>
      <c r="H20" s="3">
        <f t="shared" si="2"/>
        <v>24785500</v>
      </c>
      <c r="I20" s="3">
        <v>1423.65</v>
      </c>
      <c r="J20" s="3">
        <f t="shared" si="3"/>
        <v>27049350</v>
      </c>
      <c r="K20" s="3">
        <f t="shared" si="4"/>
        <v>4209.55</v>
      </c>
      <c r="L20" s="3">
        <f t="shared" si="5"/>
        <v>79981450</v>
      </c>
      <c r="M20" s="3">
        <v>1613.2</v>
      </c>
      <c r="N20" s="3">
        <f t="shared" si="6"/>
        <v>30650800</v>
      </c>
      <c r="O20" s="3">
        <v>1528.8</v>
      </c>
      <c r="P20" s="3">
        <f t="shared" si="7"/>
        <v>29047200</v>
      </c>
      <c r="Q20" s="3">
        <v>1591.7</v>
      </c>
      <c r="R20" s="3">
        <f t="shared" si="8"/>
        <v>30242300</v>
      </c>
      <c r="S20" s="3">
        <f t="shared" si="9"/>
        <v>4733.7</v>
      </c>
      <c r="T20" s="3">
        <f t="shared" si="10"/>
        <v>89940300</v>
      </c>
      <c r="U20" s="3">
        <v>2003.8</v>
      </c>
      <c r="V20" s="3">
        <f t="shared" si="11"/>
        <v>38072200</v>
      </c>
      <c r="W20" s="3">
        <v>1710.2</v>
      </c>
      <c r="X20" s="3">
        <f t="shared" si="12"/>
        <v>32493800</v>
      </c>
      <c r="Y20" s="3">
        <v>2032.4</v>
      </c>
      <c r="Z20" s="3">
        <f t="shared" si="13"/>
        <v>38615600</v>
      </c>
      <c r="AA20" s="3">
        <f t="shared" si="14"/>
        <v>5746.4</v>
      </c>
      <c r="AB20" s="3">
        <f t="shared" si="15"/>
        <v>109181600</v>
      </c>
      <c r="AC20" s="6">
        <v>1616.7</v>
      </c>
      <c r="AD20" s="3">
        <f t="shared" si="16"/>
        <v>30717300</v>
      </c>
      <c r="AE20" s="6">
        <v>1350.6</v>
      </c>
      <c r="AF20" s="3">
        <f t="shared" si="17"/>
        <v>25661400</v>
      </c>
      <c r="AG20" s="6">
        <v>1488.6</v>
      </c>
      <c r="AH20" s="3">
        <f t="shared" si="18"/>
        <v>28283400</v>
      </c>
      <c r="AI20" s="3">
        <f t="shared" si="19"/>
        <v>4455.8999999999996</v>
      </c>
      <c r="AJ20" s="3">
        <f t="shared" si="20"/>
        <v>84662100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3" ht="25" customHeight="1" x14ac:dyDescent="0.2">
      <c r="A21" s="1" t="s">
        <v>20</v>
      </c>
      <c r="B21" s="1" t="s">
        <v>48</v>
      </c>
      <c r="C21" s="3">
        <f t="shared" si="0"/>
        <v>36069.699999999997</v>
      </c>
      <c r="D21" s="3">
        <f t="shared" si="0"/>
        <v>685324300</v>
      </c>
      <c r="E21" s="3">
        <v>3019.7</v>
      </c>
      <c r="F21" s="3">
        <f t="shared" si="1"/>
        <v>57374300</v>
      </c>
      <c r="G21" s="10">
        <v>3342.9</v>
      </c>
      <c r="H21" s="3">
        <f t="shared" si="2"/>
        <v>63515100</v>
      </c>
      <c r="I21" s="3">
        <v>3112.8</v>
      </c>
      <c r="J21" s="3">
        <f t="shared" si="3"/>
        <v>59143200</v>
      </c>
      <c r="K21" s="3">
        <f t="shared" si="4"/>
        <v>9475.4000000000015</v>
      </c>
      <c r="L21" s="3">
        <f t="shared" si="5"/>
        <v>180032600.00000003</v>
      </c>
      <c r="M21" s="3">
        <v>2919.3</v>
      </c>
      <c r="N21" s="3">
        <f t="shared" si="6"/>
        <v>55466700</v>
      </c>
      <c r="O21" s="3">
        <v>2953.2</v>
      </c>
      <c r="P21" s="3">
        <f t="shared" si="7"/>
        <v>56110800</v>
      </c>
      <c r="Q21" s="3">
        <v>2755.4</v>
      </c>
      <c r="R21" s="3">
        <f t="shared" si="8"/>
        <v>52352600</v>
      </c>
      <c r="S21" s="3">
        <f t="shared" si="9"/>
        <v>8627.9</v>
      </c>
      <c r="T21" s="3">
        <f t="shared" si="10"/>
        <v>163930100</v>
      </c>
      <c r="U21" s="3">
        <v>2909.8</v>
      </c>
      <c r="V21" s="3">
        <f t="shared" si="11"/>
        <v>55286200</v>
      </c>
      <c r="W21" s="3">
        <v>3057.2</v>
      </c>
      <c r="X21" s="3">
        <f t="shared" si="12"/>
        <v>58086800</v>
      </c>
      <c r="Y21" s="3">
        <v>3184.1</v>
      </c>
      <c r="Z21" s="3">
        <f t="shared" si="13"/>
        <v>60497900</v>
      </c>
      <c r="AA21" s="3">
        <f t="shared" si="14"/>
        <v>9151.1</v>
      </c>
      <c r="AB21" s="3">
        <f t="shared" si="15"/>
        <v>173870900</v>
      </c>
      <c r="AC21" s="6">
        <v>3503.3</v>
      </c>
      <c r="AD21" s="3">
        <f t="shared" si="16"/>
        <v>66562700</v>
      </c>
      <c r="AE21" s="6">
        <v>2897.5</v>
      </c>
      <c r="AF21" s="3">
        <f t="shared" si="17"/>
        <v>55052500</v>
      </c>
      <c r="AG21" s="6">
        <v>2414.5</v>
      </c>
      <c r="AH21" s="3">
        <f t="shared" si="18"/>
        <v>45875500</v>
      </c>
      <c r="AI21" s="3">
        <f t="shared" si="19"/>
        <v>8815.2999999999993</v>
      </c>
      <c r="AJ21" s="3">
        <f t="shared" si="20"/>
        <v>167490700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spans="1:73" ht="25" customHeight="1" x14ac:dyDescent="0.2">
      <c r="A22" s="1" t="s">
        <v>21</v>
      </c>
      <c r="B22" s="1" t="s">
        <v>48</v>
      </c>
      <c r="C22" s="3">
        <f t="shared" si="0"/>
        <v>8005.9700000000012</v>
      </c>
      <c r="D22" s="3">
        <f t="shared" si="0"/>
        <v>152113430</v>
      </c>
      <c r="E22" s="3">
        <v>251.05</v>
      </c>
      <c r="F22" s="3">
        <f t="shared" si="1"/>
        <v>4769950</v>
      </c>
      <c r="G22" s="10">
        <v>273.22000000000003</v>
      </c>
      <c r="H22" s="3">
        <f t="shared" si="2"/>
        <v>5191180.0000000009</v>
      </c>
      <c r="I22" s="3">
        <v>318.04000000000002</v>
      </c>
      <c r="J22" s="3">
        <f t="shared" si="3"/>
        <v>6042760</v>
      </c>
      <c r="K22" s="3">
        <f t="shared" si="4"/>
        <v>842.31</v>
      </c>
      <c r="L22" s="3">
        <f t="shared" si="5"/>
        <v>16003889.999999998</v>
      </c>
      <c r="M22" s="3">
        <v>431.72</v>
      </c>
      <c r="N22" s="3">
        <f t="shared" si="6"/>
        <v>8202680.0000000009</v>
      </c>
      <c r="O22" s="3">
        <v>471.02</v>
      </c>
      <c r="P22" s="3">
        <f t="shared" si="7"/>
        <v>8949380</v>
      </c>
      <c r="Q22" s="3">
        <v>727.21</v>
      </c>
      <c r="R22" s="3">
        <f t="shared" si="8"/>
        <v>13816990</v>
      </c>
      <c r="S22" s="3">
        <f t="shared" si="9"/>
        <v>1629.95</v>
      </c>
      <c r="T22" s="3">
        <f t="shared" si="10"/>
        <v>30969050</v>
      </c>
      <c r="U22" s="3">
        <v>903.51</v>
      </c>
      <c r="V22" s="3">
        <f t="shared" si="11"/>
        <v>17166690</v>
      </c>
      <c r="W22" s="3">
        <v>977.93</v>
      </c>
      <c r="X22" s="3">
        <f t="shared" si="12"/>
        <v>18580670</v>
      </c>
      <c r="Y22" s="3">
        <v>941.17</v>
      </c>
      <c r="Z22" s="3">
        <f t="shared" si="13"/>
        <v>17882230</v>
      </c>
      <c r="AA22" s="3">
        <f t="shared" si="14"/>
        <v>2822.61</v>
      </c>
      <c r="AB22" s="3">
        <f t="shared" si="15"/>
        <v>53629590</v>
      </c>
      <c r="AC22" s="3">
        <v>947.8</v>
      </c>
      <c r="AD22" s="3">
        <f t="shared" si="16"/>
        <v>18008200</v>
      </c>
      <c r="AE22" s="3">
        <v>913.2</v>
      </c>
      <c r="AF22" s="3">
        <f t="shared" si="17"/>
        <v>17350800</v>
      </c>
      <c r="AG22" s="3">
        <v>850.1</v>
      </c>
      <c r="AH22" s="3">
        <f t="shared" si="18"/>
        <v>16151900</v>
      </c>
      <c r="AI22" s="3">
        <f t="shared" si="19"/>
        <v>2711.1</v>
      </c>
      <c r="AJ22" s="3">
        <f t="shared" si="20"/>
        <v>51510900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</row>
    <row r="23" spans="1:73" ht="25" customHeight="1" x14ac:dyDescent="0.2">
      <c r="A23" s="1" t="s">
        <v>22</v>
      </c>
      <c r="B23" s="1" t="s">
        <v>48</v>
      </c>
      <c r="C23" s="6">
        <f t="shared" si="0"/>
        <v>23712.070000000003</v>
      </c>
      <c r="D23" s="3">
        <f t="shared" si="0"/>
        <v>450529330</v>
      </c>
      <c r="E23" s="3">
        <v>349.33</v>
      </c>
      <c r="F23" s="3">
        <f t="shared" si="1"/>
        <v>6637270</v>
      </c>
      <c r="G23" s="10">
        <v>582.76</v>
      </c>
      <c r="H23" s="3">
        <f t="shared" si="2"/>
        <v>11072440</v>
      </c>
      <c r="I23" s="3">
        <v>301.47000000000003</v>
      </c>
      <c r="J23" s="3">
        <f t="shared" si="3"/>
        <v>5727930.0000000009</v>
      </c>
      <c r="K23" s="3">
        <f t="shared" si="4"/>
        <v>1233.56</v>
      </c>
      <c r="L23" s="3">
        <f t="shared" si="5"/>
        <v>23437640</v>
      </c>
      <c r="M23" s="3">
        <v>616.16999999999996</v>
      </c>
      <c r="N23" s="3">
        <f t="shared" si="6"/>
        <v>11707230</v>
      </c>
      <c r="O23" s="3">
        <v>1110.47</v>
      </c>
      <c r="P23" s="3">
        <f t="shared" si="7"/>
        <v>21098930</v>
      </c>
      <c r="Q23" s="3">
        <v>1964.65</v>
      </c>
      <c r="R23" s="3">
        <f t="shared" si="8"/>
        <v>37328350</v>
      </c>
      <c r="S23" s="3">
        <f t="shared" si="9"/>
        <v>3691.29</v>
      </c>
      <c r="T23" s="3">
        <f t="shared" si="10"/>
        <v>70134510</v>
      </c>
      <c r="U23" s="6">
        <v>3947.37</v>
      </c>
      <c r="V23" s="6">
        <f t="shared" si="11"/>
        <v>75000030</v>
      </c>
      <c r="W23" s="6">
        <f>8691.17-W24</f>
        <v>4103.17</v>
      </c>
      <c r="X23" s="6">
        <f t="shared" si="12"/>
        <v>77960230</v>
      </c>
      <c r="Y23" s="6">
        <v>5569.55</v>
      </c>
      <c r="Z23" s="6">
        <f t="shared" si="13"/>
        <v>105821450</v>
      </c>
      <c r="AA23" s="6">
        <f t="shared" si="14"/>
        <v>13620.09</v>
      </c>
      <c r="AB23" s="6">
        <f t="shared" si="15"/>
        <v>258781710</v>
      </c>
      <c r="AC23" s="5">
        <v>2984.53</v>
      </c>
      <c r="AD23" s="6">
        <f t="shared" si="16"/>
        <v>56706070.000000007</v>
      </c>
      <c r="AE23" s="6">
        <v>1146.7</v>
      </c>
      <c r="AF23" s="3">
        <f t="shared" si="17"/>
        <v>21787300</v>
      </c>
      <c r="AG23" s="6">
        <v>1035.9000000000001</v>
      </c>
      <c r="AH23" s="3">
        <f t="shared" si="18"/>
        <v>19682100</v>
      </c>
      <c r="AI23" s="3">
        <f t="shared" si="19"/>
        <v>5167.130000000001</v>
      </c>
      <c r="AJ23" s="3">
        <f t="shared" si="20"/>
        <v>98175470.000000015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spans="1:73" ht="25" customHeight="1" x14ac:dyDescent="0.2">
      <c r="A24" s="1" t="s">
        <v>23</v>
      </c>
      <c r="B24" s="1" t="s">
        <v>48</v>
      </c>
      <c r="C24" s="3">
        <f t="shared" si="0"/>
        <v>55988.096999999994</v>
      </c>
      <c r="D24" s="3">
        <f t="shared" si="0"/>
        <v>1063773843</v>
      </c>
      <c r="E24" s="3">
        <v>4830.2299999999996</v>
      </c>
      <c r="F24" s="3">
        <f t="shared" si="1"/>
        <v>91774369.999999985</v>
      </c>
      <c r="G24" s="10">
        <v>3997</v>
      </c>
      <c r="H24" s="3">
        <f t="shared" si="2"/>
        <v>75943000</v>
      </c>
      <c r="I24" s="3">
        <v>5393</v>
      </c>
      <c r="J24" s="3">
        <f t="shared" si="3"/>
        <v>102467000</v>
      </c>
      <c r="K24" s="3">
        <f t="shared" si="4"/>
        <v>14220.23</v>
      </c>
      <c r="L24" s="3">
        <f t="shared" si="5"/>
        <v>270184370</v>
      </c>
      <c r="M24" s="3">
        <v>3328</v>
      </c>
      <c r="N24" s="3">
        <f t="shared" si="6"/>
        <v>63232000</v>
      </c>
      <c r="O24" s="3">
        <v>4380</v>
      </c>
      <c r="P24" s="3">
        <f t="shared" si="7"/>
        <v>83220000</v>
      </c>
      <c r="Q24" s="3">
        <v>2801</v>
      </c>
      <c r="R24" s="3">
        <f t="shared" si="8"/>
        <v>53219000</v>
      </c>
      <c r="S24" s="3">
        <f t="shared" si="9"/>
        <v>10509</v>
      </c>
      <c r="T24" s="3">
        <f t="shared" si="10"/>
        <v>199671000</v>
      </c>
      <c r="U24" s="3">
        <v>3528</v>
      </c>
      <c r="V24" s="3">
        <f t="shared" si="11"/>
        <v>67032000</v>
      </c>
      <c r="W24" s="3">
        <v>4588</v>
      </c>
      <c r="X24" s="3">
        <f t="shared" si="12"/>
        <v>87172000</v>
      </c>
      <c r="Y24" s="3">
        <v>4929</v>
      </c>
      <c r="Z24" s="3">
        <f t="shared" si="13"/>
        <v>93651000</v>
      </c>
      <c r="AA24" s="3">
        <f t="shared" si="14"/>
        <v>13045</v>
      </c>
      <c r="AB24" s="3">
        <f t="shared" si="15"/>
        <v>247855000</v>
      </c>
      <c r="AC24" s="3">
        <v>5280</v>
      </c>
      <c r="AD24" s="3">
        <f t="shared" si="16"/>
        <v>100320000</v>
      </c>
      <c r="AE24" s="3">
        <v>6398</v>
      </c>
      <c r="AF24" s="3">
        <f t="shared" si="17"/>
        <v>121562000</v>
      </c>
      <c r="AG24" s="6">
        <v>6535.8670000000002</v>
      </c>
      <c r="AH24" s="3">
        <f t="shared" si="18"/>
        <v>124181473</v>
      </c>
      <c r="AI24" s="3">
        <f t="shared" si="19"/>
        <v>18213.866999999998</v>
      </c>
      <c r="AJ24" s="3">
        <f t="shared" si="20"/>
        <v>346063472.99999994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</row>
    <row r="25" spans="1:73" ht="25" customHeight="1" x14ac:dyDescent="0.2">
      <c r="A25" s="1" t="s">
        <v>24</v>
      </c>
      <c r="B25" s="1" t="s">
        <v>48</v>
      </c>
      <c r="C25" s="3">
        <f t="shared" si="0"/>
        <v>9905.2999999999993</v>
      </c>
      <c r="D25" s="3">
        <f t="shared" si="0"/>
        <v>188200700</v>
      </c>
      <c r="E25" s="3">
        <v>469.4</v>
      </c>
      <c r="F25" s="3">
        <f t="shared" si="1"/>
        <v>8918600</v>
      </c>
      <c r="G25" s="10">
        <v>605.5</v>
      </c>
      <c r="H25" s="3">
        <f t="shared" si="2"/>
        <v>11504500</v>
      </c>
      <c r="I25" s="3">
        <v>847.4</v>
      </c>
      <c r="J25" s="3">
        <f t="shared" si="3"/>
        <v>16100600</v>
      </c>
      <c r="K25" s="3">
        <f t="shared" si="4"/>
        <v>1922.3000000000002</v>
      </c>
      <c r="L25" s="3">
        <f t="shared" si="5"/>
        <v>36523700</v>
      </c>
      <c r="M25" s="3">
        <v>819.7</v>
      </c>
      <c r="N25" s="3">
        <f t="shared" si="6"/>
        <v>15574300</v>
      </c>
      <c r="O25" s="3">
        <v>814.2</v>
      </c>
      <c r="P25" s="3">
        <f t="shared" si="7"/>
        <v>15469800</v>
      </c>
      <c r="Q25" s="3">
        <v>570.6</v>
      </c>
      <c r="R25" s="3">
        <f t="shared" si="8"/>
        <v>10841400</v>
      </c>
      <c r="S25" s="3">
        <f t="shared" si="9"/>
        <v>2204.5</v>
      </c>
      <c r="T25" s="3">
        <f t="shared" si="10"/>
        <v>41885500</v>
      </c>
      <c r="U25" s="3">
        <v>636.29999999999995</v>
      </c>
      <c r="V25" s="3">
        <f t="shared" si="11"/>
        <v>12089700</v>
      </c>
      <c r="W25" s="3">
        <v>951</v>
      </c>
      <c r="X25" s="3">
        <f t="shared" si="12"/>
        <v>18069000</v>
      </c>
      <c r="Y25" s="3">
        <v>1273.9000000000001</v>
      </c>
      <c r="Z25" s="3">
        <f t="shared" si="13"/>
        <v>24204100</v>
      </c>
      <c r="AA25" s="3">
        <f t="shared" si="14"/>
        <v>2861.2</v>
      </c>
      <c r="AB25" s="3">
        <f t="shared" si="15"/>
        <v>54362800</v>
      </c>
      <c r="AC25" s="3">
        <v>1069.7</v>
      </c>
      <c r="AD25" s="3">
        <f t="shared" si="16"/>
        <v>20324300</v>
      </c>
      <c r="AE25" s="6">
        <v>971.1</v>
      </c>
      <c r="AF25" s="3">
        <f t="shared" si="17"/>
        <v>18450900</v>
      </c>
      <c r="AG25" s="6">
        <v>876.5</v>
      </c>
      <c r="AH25" s="3">
        <f t="shared" si="18"/>
        <v>16653500</v>
      </c>
      <c r="AI25" s="3">
        <f t="shared" si="19"/>
        <v>2917.3</v>
      </c>
      <c r="AJ25" s="3">
        <f t="shared" si="20"/>
        <v>55428700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</row>
    <row r="26" spans="1:73" ht="25" customHeight="1" x14ac:dyDescent="0.2">
      <c r="A26" s="1" t="s">
        <v>25</v>
      </c>
      <c r="B26" s="1" t="s">
        <v>48</v>
      </c>
      <c r="C26" s="3">
        <f t="shared" si="0"/>
        <v>5173.87</v>
      </c>
      <c r="D26" s="3">
        <f t="shared" si="0"/>
        <v>98303530</v>
      </c>
      <c r="E26" s="3">
        <v>205.87</v>
      </c>
      <c r="F26" s="3">
        <f t="shared" si="1"/>
        <v>3911530</v>
      </c>
      <c r="G26" s="10">
        <v>276.83999999999997</v>
      </c>
      <c r="H26" s="3">
        <f t="shared" si="2"/>
        <v>5259959.9999999991</v>
      </c>
      <c r="I26" s="3">
        <v>291.58999999999997</v>
      </c>
      <c r="J26" s="3">
        <f t="shared" si="3"/>
        <v>5540209.9999999991</v>
      </c>
      <c r="K26" s="3">
        <f t="shared" si="4"/>
        <v>774.3</v>
      </c>
      <c r="L26" s="3">
        <f t="shared" si="5"/>
        <v>14711700</v>
      </c>
      <c r="M26" s="3">
        <v>391.15</v>
      </c>
      <c r="N26" s="3">
        <f t="shared" si="6"/>
        <v>7431850</v>
      </c>
      <c r="O26" s="3">
        <v>443.48</v>
      </c>
      <c r="P26" s="3">
        <f t="shared" si="7"/>
        <v>8426120</v>
      </c>
      <c r="Q26" s="3">
        <v>402.57</v>
      </c>
      <c r="R26" s="3">
        <f t="shared" si="8"/>
        <v>7648830</v>
      </c>
      <c r="S26" s="3">
        <f t="shared" si="9"/>
        <v>1237.2</v>
      </c>
      <c r="T26" s="3">
        <f t="shared" si="10"/>
        <v>23506800</v>
      </c>
      <c r="U26" s="3">
        <v>520.16</v>
      </c>
      <c r="V26" s="3">
        <f t="shared" si="11"/>
        <v>9883040</v>
      </c>
      <c r="W26" s="3">
        <v>535.30999999999995</v>
      </c>
      <c r="X26" s="3">
        <f t="shared" si="12"/>
        <v>10170889.999999998</v>
      </c>
      <c r="Y26" s="3">
        <v>516.6</v>
      </c>
      <c r="Z26" s="3">
        <f t="shared" si="13"/>
        <v>9815400</v>
      </c>
      <c r="AA26" s="3">
        <f t="shared" si="14"/>
        <v>1572.0699999999997</v>
      </c>
      <c r="AB26" s="3">
        <f t="shared" si="15"/>
        <v>29869329.999999996</v>
      </c>
      <c r="AC26" s="3">
        <v>636.17999999999995</v>
      </c>
      <c r="AD26" s="3">
        <f t="shared" si="16"/>
        <v>12087419.999999998</v>
      </c>
      <c r="AE26" s="3">
        <v>501.29</v>
      </c>
      <c r="AF26" s="3">
        <f t="shared" si="17"/>
        <v>9524510</v>
      </c>
      <c r="AG26" s="3">
        <v>452.83</v>
      </c>
      <c r="AH26" s="3">
        <f t="shared" si="18"/>
        <v>8603770</v>
      </c>
      <c r="AI26" s="3">
        <f t="shared" si="19"/>
        <v>1590.3</v>
      </c>
      <c r="AJ26" s="3">
        <f t="shared" si="20"/>
        <v>30215700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ht="25" customHeight="1" x14ac:dyDescent="0.2">
      <c r="A27" s="1" t="s">
        <v>26</v>
      </c>
      <c r="B27" s="1" t="s">
        <v>48</v>
      </c>
      <c r="C27" s="3">
        <f t="shared" si="0"/>
        <v>3651.0730000000003</v>
      </c>
      <c r="D27" s="3">
        <f t="shared" si="0"/>
        <v>69370387</v>
      </c>
      <c r="E27" s="3">
        <v>163.31</v>
      </c>
      <c r="F27" s="3">
        <f t="shared" si="1"/>
        <v>3102890</v>
      </c>
      <c r="G27" s="10">
        <v>286.74</v>
      </c>
      <c r="H27" s="3">
        <f t="shared" si="2"/>
        <v>5448060</v>
      </c>
      <c r="I27" s="3">
        <v>341.02</v>
      </c>
      <c r="J27" s="3">
        <f t="shared" si="3"/>
        <v>6479380</v>
      </c>
      <c r="K27" s="3">
        <f t="shared" si="4"/>
        <v>791.06999999999994</v>
      </c>
      <c r="L27" s="3">
        <f t="shared" si="5"/>
        <v>15030329.999999998</v>
      </c>
      <c r="M27" s="3">
        <v>278.35000000000002</v>
      </c>
      <c r="N27" s="3">
        <f t="shared" si="6"/>
        <v>5288650</v>
      </c>
      <c r="O27" s="3">
        <v>219.07</v>
      </c>
      <c r="P27" s="3">
        <f t="shared" si="7"/>
        <v>4162330</v>
      </c>
      <c r="Q27" s="3">
        <v>235.03</v>
      </c>
      <c r="R27" s="3">
        <f t="shared" si="8"/>
        <v>4465570</v>
      </c>
      <c r="S27" s="3">
        <f t="shared" si="9"/>
        <v>732.45</v>
      </c>
      <c r="T27" s="3">
        <f t="shared" si="10"/>
        <v>13916550</v>
      </c>
      <c r="U27" s="3">
        <v>270.94</v>
      </c>
      <c r="V27" s="3">
        <f t="shared" si="11"/>
        <v>5147860</v>
      </c>
      <c r="W27" s="3">
        <v>365.93</v>
      </c>
      <c r="X27" s="3">
        <f t="shared" si="12"/>
        <v>6952670</v>
      </c>
      <c r="Y27" s="3">
        <v>258.83</v>
      </c>
      <c r="Z27" s="3">
        <f t="shared" si="13"/>
        <v>4917770</v>
      </c>
      <c r="AA27" s="3">
        <f t="shared" si="14"/>
        <v>895.7</v>
      </c>
      <c r="AB27" s="3">
        <f t="shared" si="15"/>
        <v>17018300</v>
      </c>
      <c r="AC27" s="3">
        <v>535.42999999999995</v>
      </c>
      <c r="AD27" s="3">
        <f t="shared" si="16"/>
        <v>10173169.999999998</v>
      </c>
      <c r="AE27" s="3">
        <v>444.87</v>
      </c>
      <c r="AF27" s="3">
        <f t="shared" si="17"/>
        <v>8452530</v>
      </c>
      <c r="AG27" s="3">
        <v>251.553</v>
      </c>
      <c r="AH27" s="3">
        <f t="shared" si="18"/>
        <v>4779507</v>
      </c>
      <c r="AI27" s="3">
        <f t="shared" si="19"/>
        <v>1231.8530000000001</v>
      </c>
      <c r="AJ27" s="3">
        <f t="shared" si="20"/>
        <v>23405207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ht="25" customHeight="1" x14ac:dyDescent="0.2">
      <c r="A28" s="1" t="s">
        <v>27</v>
      </c>
      <c r="B28" s="1" t="s">
        <v>48</v>
      </c>
      <c r="C28" s="3">
        <f t="shared" si="0"/>
        <v>8998.2000000000007</v>
      </c>
      <c r="D28" s="3">
        <f t="shared" si="0"/>
        <v>170965800</v>
      </c>
      <c r="E28" s="3">
        <v>246.5</v>
      </c>
      <c r="F28" s="3">
        <f t="shared" si="1"/>
        <v>4683500</v>
      </c>
      <c r="G28" s="10">
        <v>271</v>
      </c>
      <c r="H28" s="3">
        <f t="shared" si="2"/>
        <v>5149000</v>
      </c>
      <c r="I28" s="3">
        <v>505.5</v>
      </c>
      <c r="J28" s="3">
        <f t="shared" si="3"/>
        <v>9604500</v>
      </c>
      <c r="K28" s="3">
        <f t="shared" si="4"/>
        <v>1023</v>
      </c>
      <c r="L28" s="3">
        <f t="shared" si="5"/>
        <v>19437000</v>
      </c>
      <c r="M28" s="3">
        <v>1078.5999999999999</v>
      </c>
      <c r="N28" s="3">
        <f t="shared" si="6"/>
        <v>20493400</v>
      </c>
      <c r="O28" s="3">
        <v>1186.5999999999999</v>
      </c>
      <c r="P28" s="3">
        <f t="shared" si="7"/>
        <v>22545400</v>
      </c>
      <c r="Q28" s="3">
        <v>448.6</v>
      </c>
      <c r="R28" s="3">
        <f t="shared" si="8"/>
        <v>8523400</v>
      </c>
      <c r="S28" s="3">
        <f t="shared" si="9"/>
        <v>2713.7999999999997</v>
      </c>
      <c r="T28" s="3">
        <f t="shared" si="10"/>
        <v>51562199.999999993</v>
      </c>
      <c r="U28" s="3">
        <v>1460.9</v>
      </c>
      <c r="V28" s="3">
        <f t="shared" si="11"/>
        <v>27757100</v>
      </c>
      <c r="W28" s="3">
        <v>1617.4</v>
      </c>
      <c r="X28" s="3">
        <f t="shared" si="12"/>
        <v>30730600</v>
      </c>
      <c r="Y28" s="3">
        <v>943.4</v>
      </c>
      <c r="Z28" s="3">
        <f t="shared" si="13"/>
        <v>17924600</v>
      </c>
      <c r="AA28" s="3">
        <f t="shared" si="14"/>
        <v>4021.7000000000003</v>
      </c>
      <c r="AB28" s="3">
        <f t="shared" si="15"/>
        <v>76412300</v>
      </c>
      <c r="AC28" s="3">
        <v>451.2</v>
      </c>
      <c r="AD28" s="3">
        <f t="shared" si="16"/>
        <v>8572800</v>
      </c>
      <c r="AE28" s="6">
        <v>446.9</v>
      </c>
      <c r="AF28" s="3">
        <f t="shared" si="17"/>
        <v>8491100</v>
      </c>
      <c r="AG28" s="6">
        <v>341.6</v>
      </c>
      <c r="AH28" s="3">
        <f t="shared" si="18"/>
        <v>6490400</v>
      </c>
      <c r="AI28" s="3">
        <f t="shared" si="19"/>
        <v>1239.6999999999998</v>
      </c>
      <c r="AJ28" s="3">
        <f t="shared" si="20"/>
        <v>23554299.999999996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ht="25" customHeight="1" x14ac:dyDescent="0.2">
      <c r="A29" s="1" t="s">
        <v>28</v>
      </c>
      <c r="B29" s="1" t="s">
        <v>48</v>
      </c>
      <c r="C29" s="3">
        <f t="shared" si="0"/>
        <v>16043.900000000001</v>
      </c>
      <c r="D29" s="3">
        <f t="shared" si="0"/>
        <v>304834100</v>
      </c>
      <c r="E29" s="3">
        <v>1354.4</v>
      </c>
      <c r="F29" s="3">
        <f t="shared" si="1"/>
        <v>25733600</v>
      </c>
      <c r="G29" s="10">
        <v>1372.3</v>
      </c>
      <c r="H29" s="3">
        <f t="shared" si="2"/>
        <v>26073700</v>
      </c>
      <c r="I29" s="3">
        <v>1372.5</v>
      </c>
      <c r="J29" s="3">
        <f t="shared" si="3"/>
        <v>26077500</v>
      </c>
      <c r="K29" s="3">
        <f t="shared" si="4"/>
        <v>4099.2</v>
      </c>
      <c r="L29" s="3">
        <f t="shared" si="5"/>
        <v>77884800</v>
      </c>
      <c r="M29" s="3">
        <v>1292.5</v>
      </c>
      <c r="N29" s="3">
        <f t="shared" si="6"/>
        <v>24557500</v>
      </c>
      <c r="O29" s="3">
        <v>1291.2</v>
      </c>
      <c r="P29" s="3">
        <f t="shared" si="7"/>
        <v>24532800</v>
      </c>
      <c r="Q29" s="3">
        <v>1289.5999999999999</v>
      </c>
      <c r="R29" s="3">
        <f t="shared" si="8"/>
        <v>24502400</v>
      </c>
      <c r="S29" s="3">
        <f t="shared" si="9"/>
        <v>3873.2999999999997</v>
      </c>
      <c r="T29" s="3">
        <f t="shared" si="10"/>
        <v>73592700</v>
      </c>
      <c r="U29" s="3">
        <v>1343.5</v>
      </c>
      <c r="V29" s="3">
        <f t="shared" si="11"/>
        <v>25526500</v>
      </c>
      <c r="W29" s="3">
        <v>1345.7</v>
      </c>
      <c r="X29" s="3">
        <f t="shared" si="12"/>
        <v>25568300</v>
      </c>
      <c r="Y29" s="3">
        <v>1345.4</v>
      </c>
      <c r="Z29" s="3">
        <f t="shared" si="13"/>
        <v>25562600</v>
      </c>
      <c r="AA29" s="3">
        <f t="shared" si="14"/>
        <v>4034.6</v>
      </c>
      <c r="AB29" s="3">
        <f t="shared" si="15"/>
        <v>76657400</v>
      </c>
      <c r="AC29" s="6">
        <v>1343.6</v>
      </c>
      <c r="AD29" s="3">
        <f t="shared" si="16"/>
        <v>25528400</v>
      </c>
      <c r="AE29" s="6">
        <v>1344.5</v>
      </c>
      <c r="AF29" s="3">
        <f t="shared" si="17"/>
        <v>25545500</v>
      </c>
      <c r="AG29" s="6">
        <v>1348.7</v>
      </c>
      <c r="AH29" s="3">
        <f t="shared" si="18"/>
        <v>25625300</v>
      </c>
      <c r="AI29" s="3">
        <f t="shared" si="19"/>
        <v>4036.8</v>
      </c>
      <c r="AJ29" s="3">
        <f t="shared" si="20"/>
        <v>76699200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ht="25" customHeight="1" x14ac:dyDescent="0.2">
      <c r="A30" s="1" t="s">
        <v>29</v>
      </c>
      <c r="B30" s="1" t="s">
        <v>48</v>
      </c>
      <c r="C30" s="3">
        <f t="shared" si="0"/>
        <v>23947.7</v>
      </c>
      <c r="D30" s="3">
        <f t="shared" si="0"/>
        <v>455006300</v>
      </c>
      <c r="E30" s="3">
        <v>2002.9</v>
      </c>
      <c r="F30" s="3">
        <f t="shared" si="1"/>
        <v>38055100</v>
      </c>
      <c r="G30" s="10">
        <v>2051.1</v>
      </c>
      <c r="H30" s="3">
        <f t="shared" si="2"/>
        <v>38970900</v>
      </c>
      <c r="I30" s="3">
        <v>1387.8</v>
      </c>
      <c r="J30" s="3">
        <f t="shared" si="3"/>
        <v>26368200</v>
      </c>
      <c r="K30" s="3">
        <f t="shared" si="4"/>
        <v>5441.8</v>
      </c>
      <c r="L30" s="3">
        <f t="shared" si="5"/>
        <v>103394200</v>
      </c>
      <c r="M30" s="3">
        <v>3924.7</v>
      </c>
      <c r="N30" s="3">
        <f t="shared" si="6"/>
        <v>74569300</v>
      </c>
      <c r="O30" s="3">
        <v>1668.7</v>
      </c>
      <c r="P30" s="3">
        <f t="shared" si="7"/>
        <v>31705300</v>
      </c>
      <c r="Q30" s="3">
        <v>2266.3000000000002</v>
      </c>
      <c r="R30" s="3">
        <f t="shared" si="8"/>
        <v>43059700</v>
      </c>
      <c r="S30" s="3">
        <f t="shared" si="9"/>
        <v>7859.7</v>
      </c>
      <c r="T30" s="3">
        <f t="shared" si="10"/>
        <v>149334300</v>
      </c>
      <c r="U30" s="6">
        <v>1500.5</v>
      </c>
      <c r="V30" s="3">
        <f t="shared" si="11"/>
        <v>28509500</v>
      </c>
      <c r="W30" s="6">
        <v>1955.8</v>
      </c>
      <c r="X30" s="3">
        <f t="shared" si="12"/>
        <v>37160200</v>
      </c>
      <c r="Y30" s="6">
        <v>1781.1</v>
      </c>
      <c r="Z30" s="3">
        <f t="shared" si="13"/>
        <v>33840900</v>
      </c>
      <c r="AA30" s="3">
        <f t="shared" si="14"/>
        <v>5237.3999999999996</v>
      </c>
      <c r="AB30" s="3">
        <f t="shared" si="15"/>
        <v>99510600</v>
      </c>
      <c r="AC30" s="6">
        <v>1837.4</v>
      </c>
      <c r="AD30" s="6">
        <f t="shared" si="16"/>
        <v>34910600</v>
      </c>
      <c r="AE30" s="6">
        <v>1918.7</v>
      </c>
      <c r="AF30" s="6">
        <f t="shared" si="17"/>
        <v>36455300</v>
      </c>
      <c r="AG30" s="6">
        <v>1652.7</v>
      </c>
      <c r="AH30" s="6">
        <f t="shared" si="18"/>
        <v>31401300</v>
      </c>
      <c r="AI30" s="6">
        <f t="shared" si="19"/>
        <v>5408.8</v>
      </c>
      <c r="AJ30" s="6">
        <f t="shared" si="20"/>
        <v>102767200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ht="25" customHeight="1" x14ac:dyDescent="0.2">
      <c r="A31" s="1" t="s">
        <v>30</v>
      </c>
      <c r="B31" s="1" t="s">
        <v>48</v>
      </c>
      <c r="C31" s="3">
        <f t="shared" si="0"/>
        <v>2435.6990000000001</v>
      </c>
      <c r="D31" s="3">
        <f t="shared" si="0"/>
        <v>46278281</v>
      </c>
      <c r="E31" s="3">
        <v>177.636</v>
      </c>
      <c r="F31" s="3">
        <f t="shared" si="1"/>
        <v>3375084</v>
      </c>
      <c r="G31" s="10">
        <v>105.76</v>
      </c>
      <c r="H31" s="3">
        <f t="shared" si="2"/>
        <v>2009440</v>
      </c>
      <c r="I31" s="3">
        <v>135.36000000000001</v>
      </c>
      <c r="J31" s="3">
        <f t="shared" si="3"/>
        <v>2571840.0000000005</v>
      </c>
      <c r="K31" s="3">
        <f t="shared" si="4"/>
        <v>418.75600000000003</v>
      </c>
      <c r="L31" s="3">
        <f t="shared" si="5"/>
        <v>7956364.0000000009</v>
      </c>
      <c r="M31" s="3">
        <v>176.69</v>
      </c>
      <c r="N31" s="3">
        <f t="shared" si="6"/>
        <v>3357110</v>
      </c>
      <c r="O31" s="3">
        <v>232.8</v>
      </c>
      <c r="P31" s="3">
        <f t="shared" si="7"/>
        <v>4423200</v>
      </c>
      <c r="Q31" s="3">
        <v>222.90299999999999</v>
      </c>
      <c r="R31" s="3">
        <f t="shared" si="8"/>
        <v>4235157</v>
      </c>
      <c r="S31" s="3">
        <f t="shared" si="9"/>
        <v>632.39300000000003</v>
      </c>
      <c r="T31" s="3">
        <f t="shared" si="10"/>
        <v>12015467</v>
      </c>
      <c r="U31" s="3">
        <v>224.74</v>
      </c>
      <c r="V31" s="3">
        <f t="shared" si="11"/>
        <v>4270060</v>
      </c>
      <c r="W31" s="3">
        <v>227.51</v>
      </c>
      <c r="X31" s="3">
        <f t="shared" si="12"/>
        <v>4322690</v>
      </c>
      <c r="Y31" s="3">
        <v>243.47</v>
      </c>
      <c r="Z31" s="3">
        <f t="shared" si="13"/>
        <v>4625930</v>
      </c>
      <c r="AA31" s="3">
        <f t="shared" si="14"/>
        <v>695.72</v>
      </c>
      <c r="AB31" s="3">
        <f t="shared" si="15"/>
        <v>13218680</v>
      </c>
      <c r="AC31" s="3">
        <v>241.62</v>
      </c>
      <c r="AD31" s="3">
        <f t="shared" si="16"/>
        <v>4590780</v>
      </c>
      <c r="AE31" s="3">
        <v>247.21</v>
      </c>
      <c r="AF31" s="3">
        <f t="shared" si="17"/>
        <v>4696990</v>
      </c>
      <c r="AG31" s="3">
        <v>200</v>
      </c>
      <c r="AH31" s="3">
        <f t="shared" si="18"/>
        <v>3800000</v>
      </c>
      <c r="AI31" s="3">
        <f t="shared" si="19"/>
        <v>688.83</v>
      </c>
      <c r="AJ31" s="3">
        <f t="shared" si="20"/>
        <v>13087770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ht="25" customHeight="1" x14ac:dyDescent="0.2">
      <c r="A32" s="1" t="s">
        <v>31</v>
      </c>
      <c r="B32" s="1" t="s">
        <v>48</v>
      </c>
      <c r="C32" s="3">
        <f t="shared" si="0"/>
        <v>11036.6</v>
      </c>
      <c r="D32" s="3">
        <f t="shared" si="0"/>
        <v>209695400</v>
      </c>
      <c r="E32" s="3">
        <v>730.3</v>
      </c>
      <c r="F32" s="3">
        <f t="shared" si="1"/>
        <v>13875700</v>
      </c>
      <c r="G32" s="10">
        <v>843.5</v>
      </c>
      <c r="H32" s="3">
        <f t="shared" si="2"/>
        <v>16026500</v>
      </c>
      <c r="I32" s="3">
        <v>1444.8</v>
      </c>
      <c r="J32" s="3">
        <f t="shared" si="3"/>
        <v>27451200</v>
      </c>
      <c r="K32" s="3">
        <f t="shared" si="4"/>
        <v>3018.6</v>
      </c>
      <c r="L32" s="3">
        <f t="shared" si="5"/>
        <v>57353400</v>
      </c>
      <c r="M32" s="3">
        <v>1690.4</v>
      </c>
      <c r="N32" s="3">
        <f t="shared" si="6"/>
        <v>32117600</v>
      </c>
      <c r="O32" s="3">
        <v>1023.8</v>
      </c>
      <c r="P32" s="3">
        <f t="shared" si="7"/>
        <v>19452200</v>
      </c>
      <c r="Q32" s="3">
        <v>903</v>
      </c>
      <c r="R32" s="3">
        <f t="shared" si="8"/>
        <v>17157000</v>
      </c>
      <c r="S32" s="3">
        <f t="shared" si="9"/>
        <v>3617.2</v>
      </c>
      <c r="T32" s="3">
        <f t="shared" si="10"/>
        <v>68726800</v>
      </c>
      <c r="U32" s="3">
        <v>843.3</v>
      </c>
      <c r="V32" s="3">
        <f t="shared" si="11"/>
        <v>16022700</v>
      </c>
      <c r="W32" s="3">
        <v>823.9</v>
      </c>
      <c r="X32" s="3">
        <f t="shared" si="12"/>
        <v>15654100</v>
      </c>
      <c r="Y32" s="3">
        <v>821.5</v>
      </c>
      <c r="Z32" s="3">
        <f t="shared" si="13"/>
        <v>15608500</v>
      </c>
      <c r="AA32" s="3">
        <f t="shared" si="14"/>
        <v>2488.6999999999998</v>
      </c>
      <c r="AB32" s="3">
        <f t="shared" si="15"/>
        <v>47285300</v>
      </c>
      <c r="AC32" s="3">
        <v>672</v>
      </c>
      <c r="AD32" s="3">
        <f t="shared" si="16"/>
        <v>12768000</v>
      </c>
      <c r="AE32" s="6">
        <v>645.5</v>
      </c>
      <c r="AF32" s="3">
        <f t="shared" si="17"/>
        <v>12264500</v>
      </c>
      <c r="AG32" s="6">
        <v>594.6</v>
      </c>
      <c r="AH32" s="3">
        <f t="shared" si="18"/>
        <v>11297400</v>
      </c>
      <c r="AI32" s="3">
        <f t="shared" si="19"/>
        <v>1912.1</v>
      </c>
      <c r="AJ32" s="3">
        <f t="shared" si="20"/>
        <v>36329900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ht="25" customHeight="1" x14ac:dyDescent="0.2">
      <c r="A33" s="1" t="s">
        <v>32</v>
      </c>
      <c r="B33" s="1" t="s">
        <v>48</v>
      </c>
      <c r="C33" s="3">
        <f t="shared" si="0"/>
        <v>3975.0820000000003</v>
      </c>
      <c r="D33" s="3">
        <f t="shared" si="0"/>
        <v>75526558</v>
      </c>
      <c r="E33" s="3">
        <v>383.84500000000003</v>
      </c>
      <c r="F33" s="3">
        <f t="shared" si="1"/>
        <v>7293055.0000000009</v>
      </c>
      <c r="G33" s="10">
        <v>198.99600000000001</v>
      </c>
      <c r="H33" s="3">
        <f t="shared" si="2"/>
        <v>3780924</v>
      </c>
      <c r="I33" s="3">
        <v>212.102</v>
      </c>
      <c r="J33" s="3">
        <f t="shared" si="3"/>
        <v>4029938</v>
      </c>
      <c r="K33" s="3">
        <f t="shared" si="4"/>
        <v>794.94299999999998</v>
      </c>
      <c r="L33" s="3">
        <f t="shared" si="5"/>
        <v>15103917</v>
      </c>
      <c r="M33" s="3">
        <v>379.56</v>
      </c>
      <c r="N33" s="3">
        <f t="shared" si="6"/>
        <v>7211640</v>
      </c>
      <c r="O33" s="3">
        <v>245.12700000000001</v>
      </c>
      <c r="P33" s="3">
        <f t="shared" si="7"/>
        <v>4657413</v>
      </c>
      <c r="Q33" s="3">
        <v>335.09199999999998</v>
      </c>
      <c r="R33" s="3">
        <f t="shared" si="8"/>
        <v>6366748</v>
      </c>
      <c r="S33" s="3">
        <f t="shared" si="9"/>
        <v>959.779</v>
      </c>
      <c r="T33" s="3">
        <f t="shared" si="10"/>
        <v>18235801</v>
      </c>
      <c r="U33" s="3">
        <v>389.93</v>
      </c>
      <c r="V33" s="3">
        <f t="shared" si="11"/>
        <v>7408670</v>
      </c>
      <c r="W33" s="3">
        <v>506.15</v>
      </c>
      <c r="X33" s="3">
        <f t="shared" si="12"/>
        <v>9616850</v>
      </c>
      <c r="Y33" s="3">
        <v>506.69</v>
      </c>
      <c r="Z33" s="3">
        <f t="shared" si="13"/>
        <v>9627110</v>
      </c>
      <c r="AA33" s="3">
        <f t="shared" si="14"/>
        <v>1402.77</v>
      </c>
      <c r="AB33" s="3">
        <f t="shared" si="15"/>
        <v>26652630</v>
      </c>
      <c r="AC33" s="3">
        <v>352.59</v>
      </c>
      <c r="AD33" s="3">
        <f t="shared" si="16"/>
        <v>6699209.9999999991</v>
      </c>
      <c r="AE33" s="5">
        <v>255</v>
      </c>
      <c r="AF33" s="3">
        <f t="shared" si="17"/>
        <v>4845000</v>
      </c>
      <c r="AG33" s="5">
        <v>210</v>
      </c>
      <c r="AH33" s="3">
        <f t="shared" si="18"/>
        <v>3990000</v>
      </c>
      <c r="AI33" s="3">
        <f t="shared" si="19"/>
        <v>817.58999999999992</v>
      </c>
      <c r="AJ33" s="3">
        <f t="shared" si="20"/>
        <v>15534209.999999998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ht="25" customHeight="1" x14ac:dyDescent="0.2">
      <c r="A34" s="1" t="s">
        <v>33</v>
      </c>
      <c r="B34" s="1" t="s">
        <v>48</v>
      </c>
      <c r="C34" s="3">
        <f t="shared" si="0"/>
        <v>31231.600000000002</v>
      </c>
      <c r="D34" s="3">
        <f t="shared" si="0"/>
        <v>593400400</v>
      </c>
      <c r="E34" s="3">
        <v>2152.9</v>
      </c>
      <c r="F34" s="3">
        <f t="shared" si="1"/>
        <v>40905100</v>
      </c>
      <c r="G34" s="10">
        <v>2205.6</v>
      </c>
      <c r="H34" s="3">
        <f t="shared" si="2"/>
        <v>41906400</v>
      </c>
      <c r="I34" s="3">
        <v>2506.8000000000002</v>
      </c>
      <c r="J34" s="3">
        <f t="shared" si="3"/>
        <v>47629200</v>
      </c>
      <c r="K34" s="3">
        <f t="shared" si="4"/>
        <v>6865.3</v>
      </c>
      <c r="L34" s="3">
        <f t="shared" si="5"/>
        <v>130440700</v>
      </c>
      <c r="M34" s="3">
        <v>3814.4</v>
      </c>
      <c r="N34" s="3">
        <f t="shared" si="6"/>
        <v>72473600</v>
      </c>
      <c r="O34" s="3">
        <v>3745.1</v>
      </c>
      <c r="P34" s="3">
        <f t="shared" si="7"/>
        <v>71156900</v>
      </c>
      <c r="Q34" s="3">
        <v>2745.1</v>
      </c>
      <c r="R34" s="3">
        <f t="shared" si="8"/>
        <v>52156900</v>
      </c>
      <c r="S34" s="3">
        <f t="shared" si="9"/>
        <v>10304.6</v>
      </c>
      <c r="T34" s="3">
        <f t="shared" si="10"/>
        <v>195787400</v>
      </c>
      <c r="U34" s="3">
        <v>2305.3000000000002</v>
      </c>
      <c r="V34" s="3">
        <f t="shared" si="11"/>
        <v>43800700</v>
      </c>
      <c r="W34" s="3">
        <v>1902.5</v>
      </c>
      <c r="X34" s="3">
        <f t="shared" si="12"/>
        <v>36147500</v>
      </c>
      <c r="Y34" s="3">
        <v>2615.1</v>
      </c>
      <c r="Z34" s="3">
        <f t="shared" si="13"/>
        <v>49686900</v>
      </c>
      <c r="AA34" s="3">
        <f t="shared" si="14"/>
        <v>6822.9</v>
      </c>
      <c r="AB34" s="3">
        <f t="shared" si="15"/>
        <v>129635100</v>
      </c>
      <c r="AC34" s="6">
        <v>2389.1999999999998</v>
      </c>
      <c r="AD34" s="3">
        <f t="shared" si="16"/>
        <v>45394800</v>
      </c>
      <c r="AE34" s="6">
        <v>2418.1</v>
      </c>
      <c r="AF34" s="3">
        <f t="shared" si="17"/>
        <v>45943900</v>
      </c>
      <c r="AG34" s="6">
        <v>2431.5</v>
      </c>
      <c r="AH34" s="3">
        <f t="shared" si="18"/>
        <v>46198500</v>
      </c>
      <c r="AI34" s="3">
        <f t="shared" si="19"/>
        <v>7238.7999999999993</v>
      </c>
      <c r="AJ34" s="3">
        <f t="shared" si="20"/>
        <v>137537200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ht="25" customHeight="1" x14ac:dyDescent="0.2">
      <c r="A35" s="1" t="s">
        <v>34</v>
      </c>
      <c r="B35" s="1" t="s">
        <v>48</v>
      </c>
      <c r="C35" s="3">
        <f t="shared" si="0"/>
        <v>1320.6790000000001</v>
      </c>
      <c r="D35" s="3">
        <f t="shared" si="0"/>
        <v>25092901</v>
      </c>
      <c r="E35" s="3">
        <v>44.033999999999999</v>
      </c>
      <c r="F35" s="3">
        <f t="shared" si="1"/>
        <v>836646</v>
      </c>
      <c r="G35" s="10">
        <v>142.76300000000001</v>
      </c>
      <c r="H35" s="3">
        <f t="shared" si="2"/>
        <v>2712497</v>
      </c>
      <c r="I35" s="3">
        <v>37.423000000000002</v>
      </c>
      <c r="J35" s="3">
        <f t="shared" si="3"/>
        <v>711037</v>
      </c>
      <c r="K35" s="3">
        <f t="shared" si="4"/>
        <v>224.22</v>
      </c>
      <c r="L35" s="3">
        <f t="shared" si="5"/>
        <v>4260180</v>
      </c>
      <c r="M35" s="3">
        <v>226.94800000000001</v>
      </c>
      <c r="N35" s="3">
        <f t="shared" si="6"/>
        <v>4312012</v>
      </c>
      <c r="O35" s="3">
        <v>166.82300000000001</v>
      </c>
      <c r="P35" s="3">
        <f t="shared" si="7"/>
        <v>3169637</v>
      </c>
      <c r="Q35" s="3">
        <v>169.64599999999999</v>
      </c>
      <c r="R35" s="3">
        <f t="shared" si="8"/>
        <v>3223273.9999999995</v>
      </c>
      <c r="S35" s="3">
        <f t="shared" si="9"/>
        <v>563.41700000000003</v>
      </c>
      <c r="T35" s="3">
        <f t="shared" si="10"/>
        <v>10704923</v>
      </c>
      <c r="U35" s="3">
        <v>60.154000000000003</v>
      </c>
      <c r="V35" s="3">
        <f t="shared" si="11"/>
        <v>1142926</v>
      </c>
      <c r="W35" s="3">
        <v>71.228999999999999</v>
      </c>
      <c r="X35" s="3">
        <f t="shared" si="12"/>
        <v>1353351</v>
      </c>
      <c r="Y35" s="3">
        <v>45.676000000000002</v>
      </c>
      <c r="Z35" s="3">
        <f t="shared" si="13"/>
        <v>867844</v>
      </c>
      <c r="AA35" s="3">
        <f t="shared" si="14"/>
        <v>177.05900000000003</v>
      </c>
      <c r="AB35" s="3">
        <f t="shared" si="15"/>
        <v>3364121.0000000005</v>
      </c>
      <c r="AC35" s="3">
        <v>108.9</v>
      </c>
      <c r="AD35" s="3">
        <f t="shared" si="16"/>
        <v>2069100</v>
      </c>
      <c r="AE35" s="3">
        <v>123.259</v>
      </c>
      <c r="AF35" s="3">
        <f t="shared" si="17"/>
        <v>2341921</v>
      </c>
      <c r="AG35" s="3">
        <v>123.824</v>
      </c>
      <c r="AH35" s="3">
        <f t="shared" si="18"/>
        <v>2352656</v>
      </c>
      <c r="AI35" s="3">
        <f t="shared" si="19"/>
        <v>355.983</v>
      </c>
      <c r="AJ35" s="3">
        <f t="shared" si="20"/>
        <v>6763677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ht="25" customHeight="1" x14ac:dyDescent="0.2">
      <c r="A36" s="1" t="s">
        <v>35</v>
      </c>
      <c r="B36" s="1" t="s">
        <v>48</v>
      </c>
      <c r="C36" s="3">
        <f t="shared" si="0"/>
        <v>924.14</v>
      </c>
      <c r="D36" s="3">
        <f t="shared" si="0"/>
        <v>17558660</v>
      </c>
      <c r="E36" s="3">
        <v>56.1</v>
      </c>
      <c r="F36" s="3">
        <f t="shared" si="1"/>
        <v>1065900</v>
      </c>
      <c r="G36" s="10">
        <v>68.8</v>
      </c>
      <c r="H36" s="3">
        <f t="shared" si="2"/>
        <v>1307200</v>
      </c>
      <c r="I36" s="3">
        <v>82.2</v>
      </c>
      <c r="J36" s="3">
        <f t="shared" si="3"/>
        <v>1561800</v>
      </c>
      <c r="K36" s="3">
        <f t="shared" si="4"/>
        <v>207.10000000000002</v>
      </c>
      <c r="L36" s="3">
        <f t="shared" si="5"/>
        <v>3934900.0000000005</v>
      </c>
      <c r="M36" s="3">
        <v>90.9</v>
      </c>
      <c r="N36" s="3">
        <f t="shared" si="6"/>
        <v>1727100</v>
      </c>
      <c r="O36" s="3">
        <v>96.52</v>
      </c>
      <c r="P36" s="3">
        <f t="shared" si="7"/>
        <v>1833880</v>
      </c>
      <c r="Q36" s="3">
        <v>107.73</v>
      </c>
      <c r="R36" s="3">
        <f t="shared" si="8"/>
        <v>2046870</v>
      </c>
      <c r="S36" s="3">
        <f t="shared" si="9"/>
        <v>295.15000000000003</v>
      </c>
      <c r="T36" s="3">
        <f t="shared" si="10"/>
        <v>5607850.0000000009</v>
      </c>
      <c r="U36" s="3">
        <v>77.52</v>
      </c>
      <c r="V36" s="3">
        <f t="shared" si="11"/>
        <v>1472880</v>
      </c>
      <c r="W36" s="3">
        <v>56.9</v>
      </c>
      <c r="X36" s="3">
        <f t="shared" si="12"/>
        <v>1081100</v>
      </c>
      <c r="Y36" s="3">
        <v>54.3</v>
      </c>
      <c r="Z36" s="3">
        <f t="shared" si="13"/>
        <v>1031700</v>
      </c>
      <c r="AA36" s="3">
        <f t="shared" si="14"/>
        <v>188.71999999999997</v>
      </c>
      <c r="AB36" s="3">
        <f t="shared" si="15"/>
        <v>3585679.9999999995</v>
      </c>
      <c r="AC36" s="6">
        <v>65.349999999999994</v>
      </c>
      <c r="AD36" s="3">
        <f t="shared" si="16"/>
        <v>1241650</v>
      </c>
      <c r="AE36" s="6">
        <v>78</v>
      </c>
      <c r="AF36" s="3">
        <f t="shared" si="17"/>
        <v>1482000</v>
      </c>
      <c r="AG36" s="6">
        <v>89.82</v>
      </c>
      <c r="AH36" s="3">
        <f t="shared" si="18"/>
        <v>1706579.9999999998</v>
      </c>
      <c r="AI36" s="3">
        <f t="shared" si="19"/>
        <v>233.17</v>
      </c>
      <c r="AJ36" s="3">
        <f t="shared" si="20"/>
        <v>4430230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ht="25" customHeight="1" x14ac:dyDescent="0.2">
      <c r="A37" s="1" t="s">
        <v>36</v>
      </c>
      <c r="B37" s="1" t="s">
        <v>48</v>
      </c>
      <c r="C37" s="3">
        <f t="shared" si="0"/>
        <v>29364.731900000002</v>
      </c>
      <c r="D37" s="3">
        <f t="shared" si="0"/>
        <v>557929906.10000002</v>
      </c>
      <c r="E37" s="3">
        <v>4690.5</v>
      </c>
      <c r="F37" s="3">
        <f t="shared" si="1"/>
        <v>89119500</v>
      </c>
      <c r="G37" s="10">
        <v>591.37</v>
      </c>
      <c r="H37" s="3">
        <f t="shared" si="2"/>
        <v>11236030</v>
      </c>
      <c r="I37" s="3">
        <v>1994.42</v>
      </c>
      <c r="J37" s="3">
        <f t="shared" si="3"/>
        <v>37893980</v>
      </c>
      <c r="K37" s="3">
        <f t="shared" si="4"/>
        <v>7276.29</v>
      </c>
      <c r="L37" s="3">
        <f t="shared" si="5"/>
        <v>138249510</v>
      </c>
      <c r="M37" s="3">
        <v>1448.53</v>
      </c>
      <c r="N37" s="3">
        <f t="shared" si="6"/>
        <v>27522070</v>
      </c>
      <c r="O37" s="3">
        <v>3178.08</v>
      </c>
      <c r="P37" s="3">
        <f t="shared" si="7"/>
        <v>60383520</v>
      </c>
      <c r="Q37" s="3">
        <v>1895.76</v>
      </c>
      <c r="R37" s="3">
        <f t="shared" si="8"/>
        <v>36019440</v>
      </c>
      <c r="S37" s="3">
        <f t="shared" si="9"/>
        <v>6522.37</v>
      </c>
      <c r="T37" s="3">
        <f t="shared" si="10"/>
        <v>123925030</v>
      </c>
      <c r="U37" s="3">
        <v>3296.0169999999998</v>
      </c>
      <c r="V37" s="3">
        <f t="shared" si="11"/>
        <v>62624323</v>
      </c>
      <c r="W37" s="3">
        <v>953.63800000000003</v>
      </c>
      <c r="X37" s="3">
        <f t="shared" si="12"/>
        <v>18119122</v>
      </c>
      <c r="Y37" s="3">
        <v>3389.5680000000002</v>
      </c>
      <c r="Z37" s="3">
        <f t="shared" si="13"/>
        <v>64401792.000000007</v>
      </c>
      <c r="AA37" s="3">
        <f t="shared" si="14"/>
        <v>7639.223</v>
      </c>
      <c r="AB37" s="3">
        <f t="shared" si="15"/>
        <v>145145237</v>
      </c>
      <c r="AC37" s="3">
        <v>3408.89</v>
      </c>
      <c r="AD37" s="3">
        <f t="shared" si="16"/>
        <v>64768910</v>
      </c>
      <c r="AE37" s="3">
        <v>3253.5839999999998</v>
      </c>
      <c r="AF37" s="3">
        <f t="shared" si="17"/>
        <v>61818096</v>
      </c>
      <c r="AG37" s="5">
        <v>1264.3748999999998</v>
      </c>
      <c r="AH37" s="3">
        <f t="shared" si="18"/>
        <v>24023123.099999998</v>
      </c>
      <c r="AI37" s="3">
        <f t="shared" si="19"/>
        <v>7926.8489</v>
      </c>
      <c r="AJ37" s="3">
        <f t="shared" si="20"/>
        <v>150610129.09999999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ht="25" customHeight="1" x14ac:dyDescent="0.2">
      <c r="A38" s="1" t="s">
        <v>37</v>
      </c>
      <c r="B38" s="1" t="s">
        <v>48</v>
      </c>
      <c r="C38" s="3">
        <f t="shared" si="0"/>
        <v>25712.1</v>
      </c>
      <c r="D38" s="3">
        <f t="shared" si="0"/>
        <v>488529900</v>
      </c>
      <c r="E38" s="3">
        <v>1033.4000000000001</v>
      </c>
      <c r="F38" s="3">
        <f t="shared" si="1"/>
        <v>19634600</v>
      </c>
      <c r="G38" s="10">
        <v>1173.7</v>
      </c>
      <c r="H38" s="3">
        <f t="shared" si="2"/>
        <v>22300300</v>
      </c>
      <c r="I38" s="3">
        <v>1015.2</v>
      </c>
      <c r="J38" s="3">
        <f t="shared" si="3"/>
        <v>19288800</v>
      </c>
      <c r="K38" s="3">
        <f t="shared" si="4"/>
        <v>3222.3</v>
      </c>
      <c r="L38" s="3">
        <f t="shared" si="5"/>
        <v>61223700</v>
      </c>
      <c r="M38" s="3">
        <v>1665.1</v>
      </c>
      <c r="N38" s="3">
        <f t="shared" si="6"/>
        <v>31636900</v>
      </c>
      <c r="O38" s="3">
        <v>2844.7</v>
      </c>
      <c r="P38" s="3">
        <f t="shared" si="7"/>
        <v>54049300</v>
      </c>
      <c r="Q38" s="3">
        <v>3079.2</v>
      </c>
      <c r="R38" s="3">
        <f t="shared" si="8"/>
        <v>58504800</v>
      </c>
      <c r="S38" s="3">
        <f t="shared" si="9"/>
        <v>7588.9999999999991</v>
      </c>
      <c r="T38" s="3">
        <f t="shared" si="10"/>
        <v>144190999.99999997</v>
      </c>
      <c r="U38" s="3">
        <v>3314.5</v>
      </c>
      <c r="V38" s="3">
        <f t="shared" si="11"/>
        <v>62975500</v>
      </c>
      <c r="W38" s="3">
        <v>3610.3</v>
      </c>
      <c r="X38" s="3">
        <f t="shared" si="12"/>
        <v>68595700</v>
      </c>
      <c r="Y38" s="3">
        <v>3006.2</v>
      </c>
      <c r="Z38" s="3">
        <f t="shared" si="13"/>
        <v>57117800</v>
      </c>
      <c r="AA38" s="3">
        <f t="shared" si="14"/>
        <v>9931</v>
      </c>
      <c r="AB38" s="3">
        <f t="shared" si="15"/>
        <v>188689000</v>
      </c>
      <c r="AC38" s="3">
        <v>2074.1999999999998</v>
      </c>
      <c r="AD38" s="3">
        <f t="shared" si="16"/>
        <v>39409800</v>
      </c>
      <c r="AE38" s="6">
        <v>1581.4</v>
      </c>
      <c r="AF38" s="3">
        <f t="shared" si="17"/>
        <v>30046600</v>
      </c>
      <c r="AG38" s="6">
        <v>1314.2</v>
      </c>
      <c r="AH38" s="3">
        <f t="shared" si="18"/>
        <v>24969800</v>
      </c>
      <c r="AI38" s="3">
        <f t="shared" si="19"/>
        <v>4969.8</v>
      </c>
      <c r="AJ38" s="3">
        <f t="shared" si="20"/>
        <v>94426200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ht="25" customHeight="1" x14ac:dyDescent="0.2">
      <c r="A39" s="1" t="s">
        <v>38</v>
      </c>
      <c r="B39" s="1" t="s">
        <v>48</v>
      </c>
      <c r="C39" s="3">
        <f t="shared" si="0"/>
        <v>1935.2930000000001</v>
      </c>
      <c r="D39" s="3">
        <f t="shared" si="0"/>
        <v>36770567</v>
      </c>
      <c r="E39" s="3">
        <v>155.74</v>
      </c>
      <c r="F39" s="3">
        <f t="shared" si="1"/>
        <v>2959060</v>
      </c>
      <c r="G39" s="10">
        <v>52.53</v>
      </c>
      <c r="H39" s="3">
        <f t="shared" si="2"/>
        <v>998070</v>
      </c>
      <c r="I39" s="3">
        <v>57.22</v>
      </c>
      <c r="J39" s="3">
        <f t="shared" si="3"/>
        <v>1087180</v>
      </c>
      <c r="K39" s="3">
        <f t="shared" si="4"/>
        <v>265.49</v>
      </c>
      <c r="L39" s="3">
        <f t="shared" si="5"/>
        <v>5044310</v>
      </c>
      <c r="M39" s="3">
        <v>100.26</v>
      </c>
      <c r="N39" s="3">
        <f t="shared" si="6"/>
        <v>1904940</v>
      </c>
      <c r="O39" s="3">
        <v>92.65</v>
      </c>
      <c r="P39" s="3">
        <f t="shared" si="7"/>
        <v>1760350</v>
      </c>
      <c r="Q39" s="3">
        <v>91.69</v>
      </c>
      <c r="R39" s="3">
        <f t="shared" si="8"/>
        <v>1742110</v>
      </c>
      <c r="S39" s="3">
        <f t="shared" si="9"/>
        <v>284.60000000000002</v>
      </c>
      <c r="T39" s="3">
        <f t="shared" si="10"/>
        <v>5407400</v>
      </c>
      <c r="U39" s="3">
        <v>254.12</v>
      </c>
      <c r="V39" s="3">
        <f t="shared" si="11"/>
        <v>4828280</v>
      </c>
      <c r="W39" s="3">
        <v>232.07</v>
      </c>
      <c r="X39" s="3">
        <f t="shared" si="12"/>
        <v>4409330</v>
      </c>
      <c r="Y39" s="3">
        <v>316.51</v>
      </c>
      <c r="Z39" s="3">
        <f t="shared" si="13"/>
        <v>6013690</v>
      </c>
      <c r="AA39" s="3">
        <f t="shared" si="14"/>
        <v>802.7</v>
      </c>
      <c r="AB39" s="3">
        <f t="shared" si="15"/>
        <v>15251300</v>
      </c>
      <c r="AC39" s="3">
        <v>250.11</v>
      </c>
      <c r="AD39" s="3">
        <f t="shared" si="16"/>
        <v>4752090</v>
      </c>
      <c r="AE39" s="3">
        <v>180.46</v>
      </c>
      <c r="AF39" s="3">
        <f t="shared" si="17"/>
        <v>3428740</v>
      </c>
      <c r="AG39" s="3">
        <v>151.93299999999999</v>
      </c>
      <c r="AH39" s="3">
        <f t="shared" si="18"/>
        <v>2886727</v>
      </c>
      <c r="AI39" s="3">
        <f t="shared" si="19"/>
        <v>582.50300000000004</v>
      </c>
      <c r="AJ39" s="3">
        <f t="shared" si="20"/>
        <v>11067557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ht="25" customHeight="1" x14ac:dyDescent="0.2">
      <c r="A40" s="1" t="s">
        <v>39</v>
      </c>
      <c r="B40" s="1" t="s">
        <v>48</v>
      </c>
      <c r="C40" s="3">
        <f t="shared" si="0"/>
        <v>16783.099999999999</v>
      </c>
      <c r="D40" s="3">
        <f t="shared" si="0"/>
        <v>318878900</v>
      </c>
      <c r="E40" s="3">
        <v>1061.8</v>
      </c>
      <c r="F40" s="3">
        <f t="shared" si="1"/>
        <v>20174200</v>
      </c>
      <c r="G40" s="10">
        <v>1150.9000000000001</v>
      </c>
      <c r="H40" s="3">
        <f t="shared" si="2"/>
        <v>21867100</v>
      </c>
      <c r="I40" s="3">
        <v>1191.9000000000001</v>
      </c>
      <c r="J40" s="3">
        <f t="shared" si="3"/>
        <v>22646100</v>
      </c>
      <c r="K40" s="3">
        <f t="shared" si="4"/>
        <v>3404.6</v>
      </c>
      <c r="L40" s="3">
        <f t="shared" si="5"/>
        <v>64687400</v>
      </c>
      <c r="M40" s="3">
        <v>1472.8</v>
      </c>
      <c r="N40" s="3">
        <f t="shared" si="6"/>
        <v>27983200</v>
      </c>
      <c r="O40" s="3">
        <v>1625.2</v>
      </c>
      <c r="P40" s="3">
        <f t="shared" si="7"/>
        <v>30878800</v>
      </c>
      <c r="Q40" s="3">
        <v>1745.6</v>
      </c>
      <c r="R40" s="3">
        <f t="shared" si="8"/>
        <v>33166400</v>
      </c>
      <c r="S40" s="3">
        <f t="shared" si="9"/>
        <v>4843.6000000000004</v>
      </c>
      <c r="T40" s="3">
        <f t="shared" si="10"/>
        <v>92028400</v>
      </c>
      <c r="U40" s="3">
        <v>1677.6</v>
      </c>
      <c r="V40" s="3">
        <f t="shared" si="11"/>
        <v>31874400</v>
      </c>
      <c r="W40" s="3">
        <v>1601.8</v>
      </c>
      <c r="X40" s="3">
        <f t="shared" si="12"/>
        <v>30434200</v>
      </c>
      <c r="Y40" s="3">
        <v>1492.5</v>
      </c>
      <c r="Z40" s="3">
        <f t="shared" si="13"/>
        <v>28357500</v>
      </c>
      <c r="AA40" s="3">
        <f t="shared" si="14"/>
        <v>4771.8999999999996</v>
      </c>
      <c r="AB40" s="3">
        <f t="shared" si="15"/>
        <v>90666100</v>
      </c>
      <c r="AC40" s="3">
        <v>1313.7</v>
      </c>
      <c r="AD40" s="3">
        <f t="shared" si="16"/>
        <v>24960300</v>
      </c>
      <c r="AE40" s="6">
        <v>1253.8</v>
      </c>
      <c r="AF40" s="3">
        <f t="shared" si="17"/>
        <v>23822200</v>
      </c>
      <c r="AG40" s="6">
        <v>1195.5</v>
      </c>
      <c r="AH40" s="3">
        <f t="shared" si="18"/>
        <v>22714500</v>
      </c>
      <c r="AI40" s="3">
        <f t="shared" si="19"/>
        <v>3763</v>
      </c>
      <c r="AJ40" s="3">
        <f t="shared" si="20"/>
        <v>71497000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ht="25" customHeight="1" x14ac:dyDescent="0.2">
      <c r="A41" s="1" t="s">
        <v>40</v>
      </c>
      <c r="B41" s="1" t="s">
        <v>48</v>
      </c>
      <c r="C41" s="3">
        <f t="shared" si="0"/>
        <v>2239.3040000000001</v>
      </c>
      <c r="D41" s="3">
        <f t="shared" si="0"/>
        <v>42546776</v>
      </c>
      <c r="E41" s="3">
        <v>170.2</v>
      </c>
      <c r="F41" s="3">
        <f t="shared" si="1"/>
        <v>3233800</v>
      </c>
      <c r="G41" s="10">
        <v>164.4</v>
      </c>
      <c r="H41" s="3">
        <f t="shared" si="2"/>
        <v>3123600</v>
      </c>
      <c r="I41" s="3">
        <v>232.72499999999999</v>
      </c>
      <c r="J41" s="3">
        <f t="shared" si="3"/>
        <v>4421775</v>
      </c>
      <c r="K41" s="3">
        <f t="shared" si="4"/>
        <v>567.32500000000005</v>
      </c>
      <c r="L41" s="3">
        <f t="shared" si="5"/>
        <v>10779175</v>
      </c>
      <c r="M41" s="3">
        <v>229.35</v>
      </c>
      <c r="N41" s="3">
        <f t="shared" si="6"/>
        <v>4357650</v>
      </c>
      <c r="O41" s="3">
        <v>204.364</v>
      </c>
      <c r="P41" s="3">
        <f t="shared" si="7"/>
        <v>3882916</v>
      </c>
      <c r="Q41" s="3">
        <v>129.75</v>
      </c>
      <c r="R41" s="3">
        <f t="shared" si="8"/>
        <v>2465250</v>
      </c>
      <c r="S41" s="3">
        <f t="shared" si="9"/>
        <v>563.46399999999994</v>
      </c>
      <c r="T41" s="3">
        <f t="shared" si="10"/>
        <v>10705815.999999998</v>
      </c>
      <c r="U41" s="3">
        <v>196.23</v>
      </c>
      <c r="V41" s="3">
        <f t="shared" si="11"/>
        <v>3728370</v>
      </c>
      <c r="W41" s="3">
        <v>223.595</v>
      </c>
      <c r="X41" s="3">
        <f t="shared" si="12"/>
        <v>4248305</v>
      </c>
      <c r="Y41" s="3">
        <v>187.85</v>
      </c>
      <c r="Z41" s="3">
        <f t="shared" si="13"/>
        <v>3569150</v>
      </c>
      <c r="AA41" s="3">
        <f t="shared" si="14"/>
        <v>607.67499999999995</v>
      </c>
      <c r="AB41" s="3">
        <f t="shared" si="15"/>
        <v>11545825</v>
      </c>
      <c r="AC41" s="3">
        <v>178.72499999999999</v>
      </c>
      <c r="AD41" s="3">
        <f t="shared" si="16"/>
        <v>3395775</v>
      </c>
      <c r="AE41" s="3">
        <v>169.65</v>
      </c>
      <c r="AF41" s="3">
        <f t="shared" si="17"/>
        <v>3223350</v>
      </c>
      <c r="AG41" s="3">
        <v>152.465</v>
      </c>
      <c r="AH41" s="3">
        <f t="shared" si="18"/>
        <v>2896835</v>
      </c>
      <c r="AI41" s="3">
        <f t="shared" si="19"/>
        <v>500.84000000000003</v>
      </c>
      <c r="AJ41" s="3">
        <f t="shared" si="20"/>
        <v>9515960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ht="25" customHeight="1" x14ac:dyDescent="0.2">
      <c r="A42" s="1" t="s">
        <v>41</v>
      </c>
      <c r="B42" s="1" t="s">
        <v>48</v>
      </c>
      <c r="C42" s="3">
        <f t="shared" si="0"/>
        <v>18004.599999999999</v>
      </c>
      <c r="D42" s="3">
        <f t="shared" si="0"/>
        <v>342087400</v>
      </c>
      <c r="E42" s="3">
        <v>1013.1</v>
      </c>
      <c r="F42" s="3">
        <f t="shared" si="1"/>
        <v>19248900</v>
      </c>
      <c r="G42" s="10">
        <v>1284.5</v>
      </c>
      <c r="H42" s="3">
        <f t="shared" si="2"/>
        <v>24405500</v>
      </c>
      <c r="I42" s="3">
        <v>1246.3</v>
      </c>
      <c r="J42" s="3">
        <f t="shared" si="3"/>
        <v>23679700</v>
      </c>
      <c r="K42" s="3">
        <f t="shared" si="4"/>
        <v>3543.8999999999996</v>
      </c>
      <c r="L42" s="3">
        <f t="shared" si="5"/>
        <v>67334100</v>
      </c>
      <c r="M42" s="3">
        <v>1517.5</v>
      </c>
      <c r="N42" s="3">
        <f t="shared" si="6"/>
        <v>28832500</v>
      </c>
      <c r="O42" s="3">
        <v>1624.6</v>
      </c>
      <c r="P42" s="3">
        <f t="shared" si="7"/>
        <v>30867400</v>
      </c>
      <c r="Q42" s="3">
        <v>1870.3</v>
      </c>
      <c r="R42" s="3">
        <f t="shared" si="8"/>
        <v>35535700</v>
      </c>
      <c r="S42" s="3">
        <f t="shared" si="9"/>
        <v>5012.3999999999996</v>
      </c>
      <c r="T42" s="3">
        <f t="shared" si="10"/>
        <v>95235600</v>
      </c>
      <c r="U42" s="3">
        <v>1507.3</v>
      </c>
      <c r="V42" s="3">
        <f t="shared" si="11"/>
        <v>28638700</v>
      </c>
      <c r="W42" s="3">
        <v>1523</v>
      </c>
      <c r="X42" s="3">
        <f t="shared" si="12"/>
        <v>28937000</v>
      </c>
      <c r="Y42" s="3">
        <v>1555.8</v>
      </c>
      <c r="Z42" s="3">
        <f t="shared" si="13"/>
        <v>29560200</v>
      </c>
      <c r="AA42" s="3">
        <f t="shared" si="14"/>
        <v>4586.1000000000004</v>
      </c>
      <c r="AB42" s="3">
        <f t="shared" si="15"/>
        <v>87135900</v>
      </c>
      <c r="AC42" s="3">
        <v>1599.1</v>
      </c>
      <c r="AD42" s="3">
        <f t="shared" si="16"/>
        <v>30382900</v>
      </c>
      <c r="AE42" s="6">
        <v>1663.1</v>
      </c>
      <c r="AF42" s="3">
        <f t="shared" si="17"/>
        <v>31598900</v>
      </c>
      <c r="AG42" s="6">
        <v>1600</v>
      </c>
      <c r="AH42" s="3">
        <f t="shared" si="18"/>
        <v>30400000</v>
      </c>
      <c r="AI42" s="3">
        <f t="shared" si="19"/>
        <v>4862.2</v>
      </c>
      <c r="AJ42" s="3">
        <f t="shared" si="20"/>
        <v>92381800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ht="25" customHeight="1" x14ac:dyDescent="0.2">
      <c r="A43" s="1" t="s">
        <v>42</v>
      </c>
      <c r="B43" s="1" t="s">
        <v>48</v>
      </c>
      <c r="C43" s="3">
        <f t="shared" si="0"/>
        <v>7157.46</v>
      </c>
      <c r="D43" s="3">
        <f t="shared" si="0"/>
        <v>135991740</v>
      </c>
      <c r="E43" s="3">
        <v>615.5</v>
      </c>
      <c r="F43" s="3">
        <f t="shared" si="1"/>
        <v>11694500</v>
      </c>
      <c r="G43" s="10">
        <v>575.32000000000005</v>
      </c>
      <c r="H43" s="3">
        <f t="shared" si="2"/>
        <v>10931080.000000002</v>
      </c>
      <c r="I43" s="3">
        <v>528.78</v>
      </c>
      <c r="J43" s="3">
        <f t="shared" si="3"/>
        <v>10046820</v>
      </c>
      <c r="K43" s="3">
        <f t="shared" si="4"/>
        <v>1719.6000000000001</v>
      </c>
      <c r="L43" s="3">
        <f t="shared" si="5"/>
        <v>32672400.000000004</v>
      </c>
      <c r="M43" s="3">
        <v>451.33</v>
      </c>
      <c r="N43" s="3">
        <f t="shared" si="6"/>
        <v>8575270</v>
      </c>
      <c r="O43" s="3">
        <v>716.32</v>
      </c>
      <c r="P43" s="3">
        <f t="shared" si="7"/>
        <v>13610080.000000002</v>
      </c>
      <c r="Q43" s="3">
        <v>514.78</v>
      </c>
      <c r="R43" s="3">
        <f t="shared" si="8"/>
        <v>9780820</v>
      </c>
      <c r="S43" s="3">
        <f t="shared" si="9"/>
        <v>1682.43</v>
      </c>
      <c r="T43" s="3">
        <f t="shared" si="10"/>
        <v>31966170</v>
      </c>
      <c r="U43" s="3">
        <v>567.59</v>
      </c>
      <c r="V43" s="3">
        <f t="shared" si="11"/>
        <v>10784210</v>
      </c>
      <c r="W43" s="3">
        <v>658.44</v>
      </c>
      <c r="X43" s="3">
        <f t="shared" si="12"/>
        <v>12510360.000000002</v>
      </c>
      <c r="Y43" s="3">
        <v>661.52</v>
      </c>
      <c r="Z43" s="3">
        <f t="shared" si="13"/>
        <v>12568880</v>
      </c>
      <c r="AA43" s="3">
        <f t="shared" si="14"/>
        <v>1887.5500000000002</v>
      </c>
      <c r="AB43" s="3">
        <f t="shared" si="15"/>
        <v>35863450</v>
      </c>
      <c r="AC43" s="3">
        <v>694.44</v>
      </c>
      <c r="AD43" s="3">
        <f t="shared" si="16"/>
        <v>13194360.000000002</v>
      </c>
      <c r="AE43" s="3">
        <v>660.44</v>
      </c>
      <c r="AF43" s="3">
        <f t="shared" si="17"/>
        <v>12548360.000000002</v>
      </c>
      <c r="AG43" s="3">
        <v>513</v>
      </c>
      <c r="AH43" s="3">
        <f t="shared" si="18"/>
        <v>9747000</v>
      </c>
      <c r="AI43" s="3">
        <f t="shared" si="19"/>
        <v>1867.88</v>
      </c>
      <c r="AJ43" s="3">
        <f t="shared" si="20"/>
        <v>35489720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ht="25" customHeight="1" x14ac:dyDescent="0.2">
      <c r="A44" s="1" t="s">
        <v>43</v>
      </c>
      <c r="B44" s="1" t="s">
        <v>48</v>
      </c>
      <c r="C44" s="3">
        <f t="shared" si="0"/>
        <v>40058.300000000003</v>
      </c>
      <c r="D44" s="3">
        <f t="shared" si="0"/>
        <v>761107700</v>
      </c>
      <c r="E44" s="3">
        <v>4651.3</v>
      </c>
      <c r="F44" s="3">
        <f t="shared" si="1"/>
        <v>88374700</v>
      </c>
      <c r="G44" s="10">
        <v>4322.1000000000004</v>
      </c>
      <c r="H44" s="3">
        <f t="shared" si="2"/>
        <v>82119900</v>
      </c>
      <c r="I44" s="3">
        <v>3739.8</v>
      </c>
      <c r="J44" s="3">
        <f t="shared" si="3"/>
        <v>71056200</v>
      </c>
      <c r="K44" s="3">
        <f t="shared" si="4"/>
        <v>12713.2</v>
      </c>
      <c r="L44" s="3">
        <f t="shared" si="5"/>
        <v>241550800</v>
      </c>
      <c r="M44" s="3">
        <v>2519</v>
      </c>
      <c r="N44" s="3">
        <f t="shared" si="6"/>
        <v>47861000</v>
      </c>
      <c r="O44" s="3">
        <v>5137.3999999999996</v>
      </c>
      <c r="P44" s="3">
        <f t="shared" si="7"/>
        <v>97610600</v>
      </c>
      <c r="Q44" s="3">
        <v>3836.3</v>
      </c>
      <c r="R44" s="3">
        <f t="shared" si="8"/>
        <v>72889700</v>
      </c>
      <c r="S44" s="3">
        <f t="shared" si="9"/>
        <v>11492.7</v>
      </c>
      <c r="T44" s="3">
        <f t="shared" si="10"/>
        <v>218361300</v>
      </c>
      <c r="U44" s="3">
        <v>2485.6999999999998</v>
      </c>
      <c r="V44" s="3">
        <f t="shared" si="11"/>
        <v>47228300</v>
      </c>
      <c r="W44" s="3">
        <v>2794</v>
      </c>
      <c r="X44" s="3">
        <f t="shared" si="12"/>
        <v>53086000</v>
      </c>
      <c r="Y44" s="3">
        <v>4095.4</v>
      </c>
      <c r="Z44" s="3">
        <f t="shared" si="13"/>
        <v>77812600</v>
      </c>
      <c r="AA44" s="3">
        <f t="shared" si="14"/>
        <v>9375.1</v>
      </c>
      <c r="AB44" s="3">
        <f t="shared" si="15"/>
        <v>178126900</v>
      </c>
      <c r="AC44" s="3">
        <v>2485.4</v>
      </c>
      <c r="AD44" s="3">
        <f t="shared" si="16"/>
        <v>47222600</v>
      </c>
      <c r="AE44" s="6">
        <v>2287.8000000000002</v>
      </c>
      <c r="AF44" s="3">
        <f t="shared" si="17"/>
        <v>43468200</v>
      </c>
      <c r="AG44" s="6">
        <v>1704.1</v>
      </c>
      <c r="AH44" s="3">
        <f t="shared" si="18"/>
        <v>32377900</v>
      </c>
      <c r="AI44" s="3">
        <f t="shared" si="19"/>
        <v>6477.3000000000011</v>
      </c>
      <c r="AJ44" s="3">
        <f t="shared" si="20"/>
        <v>123068700.00000001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ht="25" customHeight="1" x14ac:dyDescent="0.2">
      <c r="A45" s="1" t="s">
        <v>44</v>
      </c>
      <c r="B45" s="1" t="s">
        <v>48</v>
      </c>
      <c r="C45" s="3">
        <f t="shared" si="0"/>
        <v>6439.7119999999995</v>
      </c>
      <c r="D45" s="3">
        <f t="shared" si="0"/>
        <v>122354528</v>
      </c>
      <c r="E45" s="3">
        <v>138.577</v>
      </c>
      <c r="F45" s="3">
        <f t="shared" si="1"/>
        <v>2632963</v>
      </c>
      <c r="G45" s="10">
        <v>36.328000000000003</v>
      </c>
      <c r="H45" s="3">
        <f t="shared" si="2"/>
        <v>690232</v>
      </c>
      <c r="I45" s="3">
        <v>96.027000000000001</v>
      </c>
      <c r="J45" s="3">
        <f t="shared" si="3"/>
        <v>1824513</v>
      </c>
      <c r="K45" s="3">
        <f t="shared" si="4"/>
        <v>270.93200000000002</v>
      </c>
      <c r="L45" s="3">
        <f t="shared" si="5"/>
        <v>5147708</v>
      </c>
      <c r="M45" s="3">
        <v>292.21300000000002</v>
      </c>
      <c r="N45" s="3">
        <f t="shared" si="6"/>
        <v>5552047</v>
      </c>
      <c r="O45" s="3">
        <v>150.47499999999999</v>
      </c>
      <c r="P45" s="3">
        <f t="shared" si="7"/>
        <v>2859025</v>
      </c>
      <c r="Q45" s="3">
        <v>162.63</v>
      </c>
      <c r="R45" s="3">
        <f t="shared" si="8"/>
        <v>3089970</v>
      </c>
      <c r="S45" s="3">
        <f t="shared" si="9"/>
        <v>605.31799999999998</v>
      </c>
      <c r="T45" s="3">
        <f t="shared" si="10"/>
        <v>11501042</v>
      </c>
      <c r="U45" s="3">
        <v>980.24</v>
      </c>
      <c r="V45" s="3">
        <f t="shared" si="11"/>
        <v>18624560</v>
      </c>
      <c r="W45" s="3">
        <v>1074.107</v>
      </c>
      <c r="X45" s="3">
        <f t="shared" si="12"/>
        <v>20408033</v>
      </c>
      <c r="Y45" s="3">
        <v>1180.0429999999999</v>
      </c>
      <c r="Z45" s="3">
        <f t="shared" si="13"/>
        <v>22420816.999999996</v>
      </c>
      <c r="AA45" s="3">
        <f t="shared" si="14"/>
        <v>3234.3899999999994</v>
      </c>
      <c r="AB45" s="3">
        <f t="shared" si="15"/>
        <v>61453409.999999993</v>
      </c>
      <c r="AC45" s="5">
        <v>1025.325</v>
      </c>
      <c r="AD45" s="3">
        <f t="shared" si="16"/>
        <v>19481175</v>
      </c>
      <c r="AE45" s="5">
        <v>801.30200000000002</v>
      </c>
      <c r="AF45" s="3">
        <f t="shared" si="17"/>
        <v>15224738</v>
      </c>
      <c r="AG45" s="5">
        <v>502.44499999999999</v>
      </c>
      <c r="AH45" s="3">
        <f t="shared" si="18"/>
        <v>9546455</v>
      </c>
      <c r="AI45" s="3">
        <f t="shared" si="19"/>
        <v>2329.0720000000001</v>
      </c>
      <c r="AJ45" s="3">
        <f t="shared" si="20"/>
        <v>44252368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ht="25" customHeight="1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ht="25" customHeight="1" x14ac:dyDescent="0.2">
      <c r="C47" s="9" t="s">
        <v>83</v>
      </c>
      <c r="D47" s="3" t="s">
        <v>82</v>
      </c>
      <c r="E47" s="9" t="s">
        <v>83</v>
      </c>
      <c r="F47" s="3" t="s">
        <v>82</v>
      </c>
      <c r="G47" s="9" t="s">
        <v>83</v>
      </c>
      <c r="H47" s="3" t="s">
        <v>82</v>
      </c>
      <c r="I47" s="9" t="s">
        <v>83</v>
      </c>
      <c r="J47" s="3" t="s">
        <v>82</v>
      </c>
      <c r="K47" s="9" t="s">
        <v>83</v>
      </c>
      <c r="L47" s="3" t="s">
        <v>82</v>
      </c>
      <c r="M47" s="9" t="s">
        <v>83</v>
      </c>
      <c r="N47" s="3" t="s">
        <v>82</v>
      </c>
      <c r="O47" s="9" t="s">
        <v>83</v>
      </c>
      <c r="P47" s="3" t="s">
        <v>82</v>
      </c>
      <c r="Q47" s="9" t="s">
        <v>83</v>
      </c>
      <c r="R47" s="3" t="s">
        <v>82</v>
      </c>
      <c r="S47" s="9" t="s">
        <v>83</v>
      </c>
      <c r="T47" s="3" t="s">
        <v>82</v>
      </c>
      <c r="U47" s="9" t="s">
        <v>83</v>
      </c>
      <c r="V47" s="3" t="s">
        <v>82</v>
      </c>
      <c r="W47" s="9" t="s">
        <v>83</v>
      </c>
      <c r="X47" s="3" t="s">
        <v>82</v>
      </c>
      <c r="Y47" s="9" t="s">
        <v>83</v>
      </c>
      <c r="Z47" s="3" t="s">
        <v>82</v>
      </c>
      <c r="AA47" s="9" t="s">
        <v>83</v>
      </c>
      <c r="AB47" s="3" t="s">
        <v>82</v>
      </c>
      <c r="AC47" s="9" t="s">
        <v>83</v>
      </c>
      <c r="AD47" s="3" t="s">
        <v>82</v>
      </c>
      <c r="AE47" s="9" t="s">
        <v>83</v>
      </c>
      <c r="AF47" s="3" t="s">
        <v>82</v>
      </c>
      <c r="AG47" s="9" t="s">
        <v>83</v>
      </c>
      <c r="AH47" s="3" t="s">
        <v>82</v>
      </c>
      <c r="AI47" s="9" t="s">
        <v>83</v>
      </c>
      <c r="AJ47" s="3" t="s">
        <v>82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</row>
    <row r="48" spans="1:73" ht="25" customHeight="1" x14ac:dyDescent="0.2">
      <c r="B48" s="1" t="s">
        <v>79</v>
      </c>
      <c r="C48" s="4">
        <f>C2+C4+C6+C9+C11+C13+C14+C16+C20+C21+C23+C25+C28+C29+C30+C32+C34+C36+C38+C40+C42+C44</f>
        <v>391334.60799999995</v>
      </c>
      <c r="D48" s="3">
        <f t="shared" ref="D48:D49" si="21">L48+T48+AB48+AJ48</f>
        <v>7435357552</v>
      </c>
      <c r="E48" s="4">
        <f>E2+E4+E6+E9+E11+E13+E14+E16+E20+E21+E23+E25+E28+E29+E30+E32+E34+E36+E38+E40+E42+E44</f>
        <v>29153.146000000001</v>
      </c>
      <c r="F48" s="3">
        <f>E48*19000</f>
        <v>553909774</v>
      </c>
      <c r="G48" s="4">
        <f t="shared" ref="G48" si="22">G2+G4+G6+G9+G11+G13+G14+G16+G20+G21+G23+G25+G28+G29+G30+G32+G34+G36+G38+G40+G42+G44</f>
        <v>26940.292999999998</v>
      </c>
      <c r="H48" s="3">
        <f t="shared" ref="H48:H50" si="23">G48*19000</f>
        <v>511865566.99999994</v>
      </c>
      <c r="I48" s="4">
        <f t="shared" ref="I48" si="24">I2+I4+I6+I9+I11+I13+I14+I16+I20+I21+I23+I25+I28+I29+I30+I32+I34+I36+I38+I40+I42+I44</f>
        <v>26650.340999999997</v>
      </c>
      <c r="J48" s="3">
        <f t="shared" ref="J48:J50" si="25">I48*19000</f>
        <v>506356478.99999994</v>
      </c>
      <c r="K48" s="4">
        <f t="shared" ref="K48" si="26">K2+K4+K6+K9+K11+K13+K14+K16+K20+K21+K23+K25+K28+K29+K30+K32+K34+K36+K38+K40+K42+K44</f>
        <v>82743.78</v>
      </c>
      <c r="L48" s="3">
        <f t="shared" ref="L48:L49" si="27">K48*19000</f>
        <v>1572131820</v>
      </c>
      <c r="M48" s="4">
        <f t="shared" ref="M48" si="28">M2+M4+M6+M9+M11+M13+M14+M16+M20+M21+M23+M25+M28+M29+M30+M32+M34+M36+M38+M40+M42+M44</f>
        <v>32706.072000000004</v>
      </c>
      <c r="N48" s="3">
        <f t="shared" ref="N48:N50" si="29">M48*19000</f>
        <v>621415368.00000012</v>
      </c>
      <c r="O48" s="4">
        <f t="shared" ref="O48" si="30">O2+O4+O6+O9+O11+O13+O14+O16+O20+O21+O23+O25+O28+O29+O30+O32+O34+O36+O38+O40+O42+O44</f>
        <v>35177.114999999998</v>
      </c>
      <c r="P48" s="3">
        <f t="shared" ref="P48:P50" si="31">O48*19000</f>
        <v>668365185</v>
      </c>
      <c r="Q48" s="4">
        <f t="shared" ref="Q48" si="32">Q2+Q4+Q6+Q9+Q11+Q13+Q14+Q16+Q20+Q21+Q23+Q25+Q28+Q29+Q30+Q32+Q34+Q36+Q38+Q40+Q42+Q44</f>
        <v>34135.074999999997</v>
      </c>
      <c r="R48" s="3">
        <f t="shared" ref="R48:R50" si="33">Q48*19000</f>
        <v>648566425</v>
      </c>
      <c r="S48" s="4">
        <f t="shared" ref="S48" si="34">S2+S4+S6+S9+S11+S13+S14+S16+S20+S21+S23+S25+S28+S29+S30+S32+S34+S36+S38+S40+S42+S44</f>
        <v>102018.26199999999</v>
      </c>
      <c r="T48" s="3">
        <f t="shared" ref="T48:T50" si="35">S48*19000</f>
        <v>1938346977.9999998</v>
      </c>
      <c r="U48" s="4">
        <f t="shared" ref="U48" si="36">U2+U4+U6+U9+U11+U13+U14+U16+U20+U21+U23+U25+U28+U29+U30+U32+U34+U36+U38+U40+U42+U44</f>
        <v>36065.858999999997</v>
      </c>
      <c r="V48" s="3">
        <f t="shared" ref="V48:V50" si="37">U48*19000</f>
        <v>685251320.99999988</v>
      </c>
      <c r="W48" s="4">
        <f t="shared" ref="W48" si="38">W2+W4+W6+W9+W11+W13+W14+W16+W20+W21+W23+W25+W28+W29+W30+W32+W34+W36+W38+W40+W42+W44</f>
        <v>36701.989000000001</v>
      </c>
      <c r="X48" s="3">
        <f t="shared" ref="X48:X50" si="39">W48*19000</f>
        <v>697337791</v>
      </c>
      <c r="Y48" s="4">
        <f t="shared" ref="Y48" si="40">Y2+Y4+Y6+Y9+Y11+Y13+Y14+Y16+Y20+Y21+Y23+Y25+Y28+Y29+Y30+Y32+Y34+Y36+Y38+Y40+Y42+Y44</f>
        <v>40121.112000000001</v>
      </c>
      <c r="Z48" s="3">
        <f t="shared" ref="Z48:Z50" si="41">Y48*19000</f>
        <v>762301128</v>
      </c>
      <c r="AA48" s="4">
        <f t="shared" ref="AA48" si="42">AA2+AA4+AA6+AA9+AA11+AA13+AA14+AA16+AA20+AA21+AA23+AA25+AA28+AA29+AA30+AA32+AA34+AA36+AA38+AA40+AA42+AA44</f>
        <v>112888.95999999999</v>
      </c>
      <c r="AB48" s="3">
        <f t="shared" ref="AB48:AB50" si="43">AA48*19000</f>
        <v>2144890239.9999998</v>
      </c>
      <c r="AC48" s="4">
        <f t="shared" ref="AC48" si="44">AC2+AC4+AC6+AC9+AC11+AC13+AC14+AC16+AC20+AC21+AC23+AC25+AC28+AC29+AC30+AC32+AC34+AC36+AC38+AC40+AC42+AC44</f>
        <v>35223.213000000003</v>
      </c>
      <c r="AD48" s="3">
        <f t="shared" ref="AD48:AD50" si="45">AC48*19000</f>
        <v>669241047.00000012</v>
      </c>
      <c r="AE48" s="4">
        <f t="shared" ref="AE48" si="46">AE2+AE4+AE6+AE9+AE11+AE13+AE14+AE16+AE20+AE21+AE23+AE25+AE28+AE29+AE30+AE32+AE34+AE36+AE38+AE40+AE42+AE44</f>
        <v>31009.543999999998</v>
      </c>
      <c r="AF48" s="3">
        <f t="shared" ref="AF48:AF50" si="47">AE48*19000</f>
        <v>589181336</v>
      </c>
      <c r="AG48" s="4">
        <f t="shared" ref="AG48" si="48">AG2+AG4+AG6+AG9+AG11+AG13+AG14+AG16+AG20+AG21+AG23+AG25+AG28+AG29+AG30+AG32+AG34+AG36+AG38+AG40+AG42+AG44</f>
        <v>27450.848999999998</v>
      </c>
      <c r="AH48" s="3">
        <f t="shared" ref="AH48:AH50" si="49">AG48*19000</f>
        <v>521566130.99999994</v>
      </c>
      <c r="AI48" s="4">
        <f t="shared" ref="AI48" si="50">AI2+AI4+AI6+AI9+AI11+AI13+AI14+AI16+AI20+AI21+AI23+AI25+AI28+AI29+AI30+AI32+AI34+AI36+AI38+AI40+AI42+AI44</f>
        <v>93683.606000000014</v>
      </c>
      <c r="AJ48" s="3">
        <f>AI48*19000</f>
        <v>1779988514.0000002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</row>
    <row r="49" spans="2:73" ht="25" customHeight="1" x14ac:dyDescent="0.2">
      <c r="B49" s="1" t="s">
        <v>80</v>
      </c>
      <c r="C49" s="8">
        <f>C3+C5+C7+C8+C10+C12+C15+C17+C18+C19+C22+C24+C26+C27+C31+C33+C35+C37+C39+C41+C43+C45</f>
        <v>202034.4209</v>
      </c>
      <c r="D49" s="3">
        <f t="shared" si="21"/>
        <v>3838653997.0999999</v>
      </c>
      <c r="E49" s="8">
        <f>E3+E5+E7+E8+E10+E12+E15+E17+E18+E19+E22+E24+E26+E27+E31+E33+E35+E37+E39+E41+E43+E45</f>
        <v>14042.054</v>
      </c>
      <c r="F49" s="3">
        <f>E49*19000</f>
        <v>266799026</v>
      </c>
      <c r="G49" s="8">
        <f t="shared" ref="G49" si="51">G3+G5+G7+G8+G10+G12+G15+G17+G18+G19+G22+G24+G26+G27+G31+G33+G35+G37+G39+G41+G43+G45</f>
        <v>9371.009</v>
      </c>
      <c r="H49" s="3">
        <f t="shared" si="23"/>
        <v>178049171</v>
      </c>
      <c r="I49" s="8">
        <f t="shared" ref="I49" si="52">I3+I5+I7+I8+I10+I12+I15+I17+I18+I19+I22+I24+I26+I27+I31+I33+I35+I37+I39+I41+I43+I45</f>
        <v>13805.290000000003</v>
      </c>
      <c r="J49" s="3">
        <f t="shared" si="25"/>
        <v>262300510.00000006</v>
      </c>
      <c r="K49" s="8">
        <f t="shared" ref="K49" si="53">K3+K5+K7+K8+K10+K12+K15+K17+K18+K19+K22+K24+K26+K27+K31+K33+K35+K37+K39+K41+K43+K45</f>
        <v>37218.352999999996</v>
      </c>
      <c r="L49" s="3">
        <f t="shared" si="27"/>
        <v>707148706.99999988</v>
      </c>
      <c r="M49" s="8">
        <f t="shared" ref="M49" si="54">M3+M5+M7+M8+M10+M12+M15+M17+M18+M19+M22+M24+M26+M27+M31+M33+M35+M37+M39+M41+M43+M45</f>
        <v>13032.606000000003</v>
      </c>
      <c r="N49" s="3">
        <f t="shared" si="29"/>
        <v>247619514.00000006</v>
      </c>
      <c r="O49" s="8">
        <f t="shared" ref="O49" si="55">O3+O5+O7+O8+O10+O12+O15+O17+O18+O19+O22+O24+O26+O27+O31+O33+O35+O37+O39+O41+O43+O45</f>
        <v>16472.469999999998</v>
      </c>
      <c r="P49" s="3">
        <f t="shared" si="31"/>
        <v>312976929.99999994</v>
      </c>
      <c r="Q49" s="8">
        <f t="shared" ref="Q49" si="56">Q3+Q5+Q7+Q8+Q10+Q12+Q15+Q17+Q18+Q19+Q22+Q24+Q26+Q27+Q31+Q33+Q35+Q37+Q39+Q41+Q43+Q45</f>
        <v>15372.703000000001</v>
      </c>
      <c r="R49" s="3">
        <f t="shared" si="33"/>
        <v>292081357</v>
      </c>
      <c r="S49" s="8">
        <f t="shared" ref="S49" si="57">S3+S5+S7+S8+S10+S12+S15+S17+S18+S19+S22+S24+S26+S27+S31+S33+S35+S37+S39+S41+S43+S45</f>
        <v>44877.779000000002</v>
      </c>
      <c r="T49" s="3">
        <f t="shared" si="35"/>
        <v>852677801</v>
      </c>
      <c r="U49" s="8">
        <f t="shared" ref="U49" si="58">U3+U5+U7+U8+U10+U12+U15+U17+U18+U19+U22+U24+U26+U27+U31+U33+U35+U37+U39+U41+U43+U45</f>
        <v>24345.190000000002</v>
      </c>
      <c r="V49" s="3">
        <f t="shared" si="37"/>
        <v>462558610.00000006</v>
      </c>
      <c r="W49" s="8">
        <f t="shared" ref="W49" si="59">W3+W5+W7+W8+W10+W12+W15+W17+W18+W19+W22+W24+W26+W27+W31+W33+W35+W37+W39+W41+W43+W45</f>
        <v>19641.811000000002</v>
      </c>
      <c r="X49" s="3">
        <f t="shared" si="39"/>
        <v>373194409</v>
      </c>
      <c r="Y49" s="8">
        <f t="shared" ref="Y49" si="60">Y3+Y5+Y7+Y8+Y10+Y12+Y15+Y17+Y18+Y19+Y22+Y24+Y26+Y27+Y31+Y33+Y35+Y37+Y39+Y41+Y43+Y45</f>
        <v>21784.06</v>
      </c>
      <c r="Z49" s="3">
        <f t="shared" si="41"/>
        <v>413897140</v>
      </c>
      <c r="AA49" s="8">
        <f t="shared" ref="AA49" si="61">AA3+AA5+AA7+AA8+AA10+AA12+AA15+AA17+AA18+AA19+AA22+AA24+AA26+AA27+AA31+AA33+AA35+AA37+AA39+AA41+AA43+AA45</f>
        <v>65771.060999999987</v>
      </c>
      <c r="AB49" s="3">
        <f t="shared" si="43"/>
        <v>1249650158.9999998</v>
      </c>
      <c r="AC49" s="8">
        <f t="shared" ref="AC49" si="62">AC3+AC5+AC7+AC8+AC10+AC12+AC15+AC17+AC18+AC19+AC22+AC24+AC26+AC27+AC31+AC33+AC35+AC37+AC39+AC41+AC43+AC45</f>
        <v>20107.095999999998</v>
      </c>
      <c r="AD49" s="3">
        <f t="shared" si="45"/>
        <v>382034823.99999994</v>
      </c>
      <c r="AE49" s="8">
        <f t="shared" ref="AE49" si="63">AE3+AE5+AE7+AE8+AE10+AE12+AE15+AE17+AE18+AE19+AE22+AE24+AE26+AE27+AE31+AE33+AE35+AE37+AE39+AE41+AE43+AE45</f>
        <v>18712.018</v>
      </c>
      <c r="AF49" s="3">
        <f t="shared" si="47"/>
        <v>355528342</v>
      </c>
      <c r="AG49" s="8">
        <f t="shared" ref="AG49" si="64">AG3+AG5+AG7+AG8+AG10+AG12+AG15+AG17+AG18+AG19+AG22+AG24+AG26+AG27+AG31+AG33+AG35+AG37+AG39+AG41+AG43+AG45</f>
        <v>15348.1139</v>
      </c>
      <c r="AH49" s="3">
        <f t="shared" si="49"/>
        <v>291614164.10000002</v>
      </c>
      <c r="AI49" s="8">
        <f t="shared" ref="AI49" si="65">AI3+AI5+AI7+AI8+AI10+AI12+AI15+AI17+AI18+AI19+AI22+AI24+AI26+AI27+AI31+AI33+AI35+AI37+AI39+AI41+AI43+AI45</f>
        <v>54167.227899999991</v>
      </c>
      <c r="AJ49" s="3">
        <f t="shared" ref="AJ49" si="66">AI49*19000</f>
        <v>1029177330.0999998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</row>
    <row r="50" spans="2:73" ht="25" customHeight="1" x14ac:dyDescent="0.2">
      <c r="B50" s="1" t="s">
        <v>81</v>
      </c>
      <c r="C50" s="4">
        <f>'PUD (2) FIX'!B34</f>
        <v>13975.271189999999</v>
      </c>
      <c r="D50" s="3">
        <f>L50+T50+AB50+AJ50</f>
        <v>265530152.60999998</v>
      </c>
      <c r="E50" s="4">
        <f>'PUD (2) FIX'!D34</f>
        <v>1125.3110000000004</v>
      </c>
      <c r="F50" s="3">
        <f>E50*19000</f>
        <v>21380909.000000007</v>
      </c>
      <c r="G50" s="4">
        <f>'PUD (2) FIX'!F34</f>
        <v>1224.732</v>
      </c>
      <c r="H50" s="3">
        <f t="shared" si="23"/>
        <v>23269908</v>
      </c>
      <c r="I50" s="4">
        <f>'PUD (2) FIX'!H34</f>
        <v>1312.6900299999998</v>
      </c>
      <c r="J50" s="3">
        <f t="shared" si="25"/>
        <v>24941110.569999997</v>
      </c>
      <c r="K50" s="4">
        <f>E50+G50+I50</f>
        <v>3662.7330300000003</v>
      </c>
      <c r="L50" s="3">
        <f>K50*19000</f>
        <v>69591927.570000008</v>
      </c>
      <c r="M50" s="4">
        <f>'PUD (2) FIX'!L34</f>
        <v>1269.2951399999999</v>
      </c>
      <c r="N50" s="3">
        <f t="shared" si="29"/>
        <v>24116607.66</v>
      </c>
      <c r="O50" s="4">
        <f>'PUD (2) FIX'!N34</f>
        <v>1304.2775000000001</v>
      </c>
      <c r="P50" s="3">
        <f t="shared" si="31"/>
        <v>24781272.500000004</v>
      </c>
      <c r="Q50" s="4">
        <f>'PUD (2) FIX'!P34</f>
        <v>1192.7776199999996</v>
      </c>
      <c r="R50" s="3">
        <f t="shared" si="33"/>
        <v>22662774.779999994</v>
      </c>
      <c r="S50" s="4">
        <f>M50+O50+Q50</f>
        <v>3766.3502600000002</v>
      </c>
      <c r="T50" s="3">
        <f t="shared" si="35"/>
        <v>71560654.939999998</v>
      </c>
      <c r="U50" s="4">
        <f>'PUD (2) FIX'!T34</f>
        <v>1061.9643000000003</v>
      </c>
      <c r="V50" s="3">
        <f t="shared" si="37"/>
        <v>20177321.700000007</v>
      </c>
      <c r="W50" s="4">
        <f>'PUD (2) FIX'!V34</f>
        <v>1112.2301</v>
      </c>
      <c r="X50" s="3">
        <f t="shared" si="39"/>
        <v>21132371.899999999</v>
      </c>
      <c r="Y50" s="4">
        <f>'PUD (2) FIX'!X34</f>
        <v>1122.4162000000001</v>
      </c>
      <c r="Z50" s="3">
        <f t="shared" si="41"/>
        <v>21325907.800000001</v>
      </c>
      <c r="AA50" s="4">
        <f>U50+W50+Y50</f>
        <v>3296.6106000000004</v>
      </c>
      <c r="AB50" s="3">
        <f t="shared" si="43"/>
        <v>62635601.400000006</v>
      </c>
      <c r="AC50" s="4">
        <f>'PUD (2) FIX'!AB34</f>
        <v>1108.9600000000003</v>
      </c>
      <c r="AD50" s="3">
        <f t="shared" si="45"/>
        <v>21070240.000000004</v>
      </c>
      <c r="AE50" s="4">
        <f>'PUD (2) FIX'!AD34</f>
        <v>1085.32</v>
      </c>
      <c r="AF50" s="3">
        <f t="shared" si="47"/>
        <v>20621080</v>
      </c>
      <c r="AG50" s="4">
        <f>'PUD (2) FIX'!AF34</f>
        <v>1055.2973</v>
      </c>
      <c r="AH50" s="3">
        <f t="shared" si="49"/>
        <v>20050648.699999999</v>
      </c>
      <c r="AI50" s="4">
        <f>AC50+AE50+AG50</f>
        <v>3249.5772999999999</v>
      </c>
      <c r="AJ50" s="3">
        <f>AI50*19000</f>
        <v>61741968.699999996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</row>
    <row r="51" spans="2:73" ht="25" customHeight="1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</row>
    <row r="52" spans="2:73" ht="25" customHeight="1" x14ac:dyDescent="0.2">
      <c r="B52" s="3"/>
      <c r="C52" s="4">
        <f>SUM(C48:C51)</f>
        <v>607344.30008999992</v>
      </c>
      <c r="D52" s="4">
        <f>C48+C49</f>
        <v>593369.02889999992</v>
      </c>
      <c r="E52" s="4">
        <v>607344.30000000005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>
        <v>33802.904000000002</v>
      </c>
      <c r="AD52" s="4"/>
      <c r="AE52" s="4">
        <v>29600.963</v>
      </c>
      <c r="AF52" s="4"/>
      <c r="AG52" s="4">
        <v>21345.555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</row>
    <row r="53" spans="2:73" ht="25" customHeight="1" x14ac:dyDescent="0.2">
      <c r="B53" s="4"/>
      <c r="C53" s="8">
        <f>C48+C50</f>
        <v>405309.87918999995</v>
      </c>
      <c r="E53" s="8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>
        <v>21353.112000000001</v>
      </c>
      <c r="AD53" s="4"/>
      <c r="AE53" s="4">
        <v>20609.205999999998</v>
      </c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</row>
    <row r="54" spans="2:73" ht="25" customHeight="1" x14ac:dyDescent="0.2">
      <c r="B54" s="3"/>
      <c r="C54" s="8">
        <f>C49</f>
        <v>202034.4209</v>
      </c>
      <c r="E54" s="3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>
        <v>1160.6099999999999</v>
      </c>
      <c r="AD54" s="4"/>
      <c r="AE54" s="4">
        <v>1113.78</v>
      </c>
      <c r="AF54" s="4"/>
      <c r="AG54" s="4">
        <v>971.07730000000004</v>
      </c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</row>
    <row r="55" spans="2:73" ht="25" customHeight="1" x14ac:dyDescent="0.2">
      <c r="B55" s="3"/>
      <c r="C55" s="4">
        <f>SUM(C53:C54)</f>
        <v>607344.30008999992</v>
      </c>
      <c r="E55" s="20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</row>
    <row r="56" spans="2:73" ht="25" customHeight="1" x14ac:dyDescent="0.2">
      <c r="B56" s="3"/>
      <c r="C56" s="4">
        <v>607344.30000000005</v>
      </c>
      <c r="E56" s="20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</row>
    <row r="57" spans="2:73" ht="25" customHeight="1" x14ac:dyDescent="0.2">
      <c r="C57" s="4"/>
      <c r="D57" s="3"/>
      <c r="E57" s="3"/>
      <c r="F57" s="3"/>
      <c r="G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</row>
    <row r="58" spans="2:73" ht="25" customHeight="1" x14ac:dyDescent="0.2">
      <c r="C58" s="4"/>
      <c r="D58" s="4"/>
      <c r="E58" s="3"/>
      <c r="F58" s="3"/>
      <c r="G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</row>
    <row r="59" spans="2:73" ht="25" customHeight="1" x14ac:dyDescent="0.2">
      <c r="C59" s="4"/>
      <c r="D59" s="4"/>
      <c r="E59" s="3"/>
      <c r="F59" s="3"/>
      <c r="G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</row>
    <row r="60" spans="2:73" ht="25" customHeight="1" x14ac:dyDescent="0.2">
      <c r="C60" s="4"/>
      <c r="D60" s="4"/>
      <c r="E60" s="3"/>
      <c r="F60" s="3"/>
      <c r="G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</row>
    <row r="61" spans="2:73" ht="25" customHeight="1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</row>
    <row r="62" spans="2:73" ht="25" customHeight="1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</row>
    <row r="63" spans="2:73" ht="25" customHeight="1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</row>
    <row r="64" spans="2:73" ht="25" customHeight="1" x14ac:dyDescent="0.2">
      <c r="C64" s="4"/>
      <c r="D64" s="4"/>
      <c r="E64" s="4">
        <v>29026.65</v>
      </c>
      <c r="F64" s="4">
        <v>27959.473999999998</v>
      </c>
      <c r="G64" s="4">
        <v>30929.851999999999</v>
      </c>
      <c r="H64" s="4">
        <v>35601.817000000003</v>
      </c>
      <c r="I64" s="4">
        <v>36331.819000000003</v>
      </c>
      <c r="J64" s="4">
        <v>37365</v>
      </c>
      <c r="K64" s="4">
        <v>36418.31</v>
      </c>
      <c r="L64" s="4">
        <v>39402.519999999997</v>
      </c>
      <c r="M64" s="4">
        <v>44013.97</v>
      </c>
      <c r="N64" s="4">
        <v>34149.21</v>
      </c>
      <c r="O64" s="4">
        <v>31022.66</v>
      </c>
      <c r="P64" s="4">
        <v>34882.46</v>
      </c>
      <c r="Q64" s="4">
        <f>SUM(E64:P64)</f>
        <v>417103.74200000003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</row>
    <row r="65" spans="3:73" ht="25" customHeight="1" x14ac:dyDescent="0.2">
      <c r="C65" s="4"/>
      <c r="D65" s="4"/>
      <c r="E65" s="4">
        <v>13917.26</v>
      </c>
      <c r="F65" s="4">
        <v>9371.0110000000004</v>
      </c>
      <c r="G65" s="4">
        <v>15085.344999999999</v>
      </c>
      <c r="H65" s="4">
        <v>13032.593000000001</v>
      </c>
      <c r="I65" s="4">
        <v>16340.752</v>
      </c>
      <c r="J65" s="4">
        <v>13259.35</v>
      </c>
      <c r="K65" s="4">
        <v>20516.43</v>
      </c>
      <c r="L65" s="4">
        <v>15285.92</v>
      </c>
      <c r="M65" s="4">
        <v>19090.830000000002</v>
      </c>
      <c r="N65" s="4">
        <v>21363.16</v>
      </c>
      <c r="O65" s="4">
        <v>20517.810000000001</v>
      </c>
      <c r="P65" s="4">
        <f>18167.41+2073.47</f>
        <v>20240.88</v>
      </c>
      <c r="Q65" s="4">
        <f>SUM(E65:P65)</f>
        <v>198021.34100000001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</row>
    <row r="66" spans="3:73" ht="25" customHeight="1" x14ac:dyDescent="0.2">
      <c r="C66" s="4"/>
      <c r="D66" s="4"/>
      <c r="E66" s="4">
        <v>1004.83</v>
      </c>
      <c r="F66" s="4">
        <v>1055.866</v>
      </c>
      <c r="G66" s="4">
        <v>2426.384</v>
      </c>
      <c r="H66" s="4">
        <v>3098.2759999999998</v>
      </c>
      <c r="I66" s="4">
        <v>1660.17</v>
      </c>
      <c r="J66" s="4">
        <v>1646.21</v>
      </c>
      <c r="K66" s="4">
        <v>1262.24</v>
      </c>
      <c r="L66" s="4">
        <v>1327.31</v>
      </c>
      <c r="M66" s="4">
        <v>1354.94</v>
      </c>
      <c r="N66" s="4">
        <v>1369.87</v>
      </c>
      <c r="O66" s="4">
        <v>1365.14</v>
      </c>
      <c r="P66" s="4">
        <v>1303.8</v>
      </c>
      <c r="Q66" s="4">
        <f>SUM(E66:P66)</f>
        <v>18875.036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</row>
    <row r="67" spans="3:73" ht="25" customHeight="1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>
        <f>SUM(Q64:Q66)</f>
        <v>634000.11900000006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</row>
    <row r="68" spans="3:73" ht="25" customHeight="1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</row>
    <row r="69" spans="3:73" ht="25" customHeight="1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</row>
    <row r="70" spans="3:73" ht="25" customHeight="1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</row>
    <row r="71" spans="3:73" ht="25" customHeight="1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</row>
    <row r="72" spans="3:73" ht="25" customHeight="1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</row>
    <row r="73" spans="3:73" ht="25" customHeight="1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</row>
    <row r="74" spans="3:73" ht="25" customHeight="1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</row>
    <row r="75" spans="3:73" ht="25" customHeight="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</row>
    <row r="76" spans="3:73" ht="25" customHeight="1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</row>
    <row r="77" spans="3:73" ht="25" customHeight="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</row>
    <row r="78" spans="3:73" ht="25" customHeight="1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</row>
    <row r="79" spans="3:73" ht="25" customHeight="1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</row>
    <row r="80" spans="3:73" ht="25" customHeight="1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</row>
    <row r="81" spans="3:73" ht="25" customHeight="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</row>
    <row r="82" spans="3:73" ht="25" customHeight="1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</row>
    <row r="83" spans="3:73" ht="25" customHeight="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</row>
    <row r="84" spans="3:73" ht="25" customHeight="1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</row>
    <row r="85" spans="3:73" ht="25" customHeight="1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</row>
    <row r="86" spans="3:73" ht="25" customHeight="1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</row>
    <row r="87" spans="3:73" ht="25" customHeight="1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</row>
    <row r="88" spans="3:73" ht="25" customHeight="1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</row>
    <row r="89" spans="3:73" ht="25" customHeight="1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</row>
    <row r="90" spans="3:73" ht="25" customHeight="1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</row>
    <row r="91" spans="3:73" ht="25" customHeight="1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</row>
    <row r="92" spans="3:73" ht="25" customHeight="1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</row>
    <row r="93" spans="3:73" ht="25" customHeight="1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</row>
    <row r="94" spans="3:73" ht="25" customHeight="1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</row>
    <row r="95" spans="3:73" ht="25" customHeight="1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</row>
    <row r="96" spans="3:73" ht="25" customHeight="1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</row>
    <row r="97" spans="3:73" ht="25" customHeight="1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</row>
    <row r="98" spans="3:73" ht="25" customHeight="1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</row>
    <row r="99" spans="3:73" ht="25" customHeight="1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</row>
    <row r="100" spans="3:73" ht="25" customHeight="1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</row>
    <row r="101" spans="3:73" ht="25" customHeight="1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</row>
    <row r="102" spans="3:73" ht="25" customHeight="1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</row>
    <row r="103" spans="3:73" ht="25" customHeight="1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</row>
    <row r="104" spans="3:73" ht="25" customHeight="1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</row>
    <row r="105" spans="3:73" ht="25" customHeight="1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</row>
    <row r="106" spans="3:73" ht="25" customHeight="1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</row>
    <row r="107" spans="3:73" ht="25" customHeight="1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</row>
    <row r="108" spans="3:73" ht="25" customHeight="1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</row>
    <row r="109" spans="3:73" ht="25" customHeight="1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</row>
    <row r="110" spans="3:73" ht="25" customHeight="1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</row>
    <row r="111" spans="3:73" ht="25" customHeight="1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</row>
    <row r="112" spans="3:73" ht="25" customHeight="1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</row>
    <row r="113" spans="3:73" ht="25" customHeight="1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</row>
    <row r="114" spans="3:73" ht="25" customHeight="1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</row>
    <row r="115" spans="3:73" ht="25" customHeight="1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</row>
    <row r="116" spans="3:73" ht="25" customHeight="1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</row>
    <row r="117" spans="3:73" ht="25" customHeight="1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</row>
    <row r="118" spans="3:73" ht="25" customHeight="1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</row>
    <row r="119" spans="3:73" ht="25" customHeight="1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</row>
    <row r="120" spans="3:73" ht="25" customHeight="1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</row>
    <row r="121" spans="3:73" ht="25" customHeight="1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</row>
    <row r="122" spans="3:73" ht="25" customHeight="1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</row>
    <row r="123" spans="3:73" ht="25" customHeight="1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</row>
    <row r="124" spans="3:73" ht="25" customHeight="1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</row>
    <row r="125" spans="3:73" ht="25" customHeight="1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</row>
    <row r="126" spans="3:73" ht="25" customHeight="1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</row>
    <row r="127" spans="3:73" ht="25" customHeight="1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</row>
    <row r="128" spans="3:73" ht="25" customHeight="1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</row>
    <row r="129" spans="3:73" ht="25" customHeight="1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</row>
    <row r="130" spans="3:73" ht="25" customHeight="1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</row>
    <row r="131" spans="3:73" ht="25" customHeight="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</row>
    <row r="132" spans="3:73" ht="25" customHeight="1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</row>
    <row r="133" spans="3:73" ht="25" customHeight="1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</row>
    <row r="134" spans="3:73" ht="25" customHeight="1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</row>
    <row r="135" spans="3:73" ht="25" customHeight="1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</row>
    <row r="136" spans="3:73" ht="25" customHeight="1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spans="3:73" ht="25" customHeight="1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spans="3:73" ht="25" customHeight="1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</row>
    <row r="139" spans="3:73" ht="25" customHeight="1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</row>
    <row r="140" spans="3:73" ht="25" customHeight="1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</row>
    <row r="141" spans="3:73" ht="25" customHeight="1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</row>
    <row r="142" spans="3:73" ht="25" customHeight="1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</row>
    <row r="143" spans="3:73" ht="25" customHeight="1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</row>
    <row r="144" spans="3:73" ht="25" customHeight="1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</row>
    <row r="145" spans="3:73" ht="25" customHeight="1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</row>
    <row r="146" spans="3:73" ht="25" customHeight="1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</row>
    <row r="147" spans="3:73" ht="25" customHeight="1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</row>
    <row r="148" spans="3:73" ht="25" customHeight="1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</row>
    <row r="149" spans="3:73" ht="25" customHeight="1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</row>
    <row r="150" spans="3:73" ht="25" customHeight="1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</row>
    <row r="151" spans="3:73" ht="25" customHeight="1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</row>
    <row r="152" spans="3:73" ht="25" customHeight="1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</row>
    <row r="153" spans="3:73" ht="25" customHeight="1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</row>
    <row r="154" spans="3:73" ht="25" customHeight="1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</row>
    <row r="155" spans="3:73" ht="25" customHeight="1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</row>
    <row r="156" spans="3:73" ht="25" customHeight="1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</row>
    <row r="157" spans="3:73" ht="25" customHeight="1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</row>
    <row r="158" spans="3:73" ht="25" customHeight="1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spans="3:73" ht="25" customHeight="1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spans="3:73" ht="25" customHeight="1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</row>
    <row r="161" spans="3:73" ht="25" customHeight="1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</row>
    <row r="162" spans="3:73" ht="25" customHeight="1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</row>
    <row r="163" spans="3:73" ht="25" customHeight="1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</row>
    <row r="164" spans="3:73" ht="25" customHeight="1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</row>
    <row r="165" spans="3:73" ht="25" customHeight="1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</row>
    <row r="166" spans="3:73" ht="25" customHeight="1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</row>
    <row r="167" spans="3:73" ht="25" customHeight="1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</row>
    <row r="168" spans="3:73" ht="25" customHeight="1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</row>
    <row r="169" spans="3:73" ht="25" customHeight="1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</row>
    <row r="170" spans="3:73" ht="25" customHeight="1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</row>
    <row r="171" spans="3:73" ht="25" customHeight="1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</row>
    <row r="172" spans="3:73" ht="25" customHeight="1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</row>
    <row r="173" spans="3:73" ht="25" customHeight="1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</row>
    <row r="174" spans="3:73" ht="25" customHeight="1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</row>
    <row r="175" spans="3:73" ht="25" customHeight="1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</row>
    <row r="176" spans="3:73" ht="25" customHeight="1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</row>
    <row r="177" spans="3:73" ht="25" customHeight="1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</row>
    <row r="178" spans="3:73" ht="25" customHeight="1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</row>
    <row r="179" spans="3:73" ht="25" customHeight="1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spans="3:73" ht="25" customHeight="1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spans="3:73" ht="25" customHeight="1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</row>
    <row r="182" spans="3:73" ht="25" customHeight="1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</row>
    <row r="183" spans="3:73" ht="25" customHeight="1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</row>
    <row r="184" spans="3:73" ht="25" customHeight="1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</row>
    <row r="185" spans="3:73" ht="25" customHeight="1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</row>
    <row r="186" spans="3:73" ht="25" customHeight="1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</row>
    <row r="187" spans="3:73" ht="25" customHeight="1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</row>
    <row r="188" spans="3:73" ht="25" customHeight="1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</row>
    <row r="189" spans="3:73" ht="25" customHeight="1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</row>
    <row r="190" spans="3:73" ht="25" customHeight="1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</row>
    <row r="191" spans="3:73" ht="25" customHeight="1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</row>
    <row r="192" spans="3:73" ht="25" customHeight="1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</row>
    <row r="193" spans="3:73" ht="25" customHeight="1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</row>
    <row r="194" spans="3:73" ht="25" customHeight="1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</row>
    <row r="195" spans="3:73" ht="25" customHeight="1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</row>
    <row r="196" spans="3:73" ht="25" customHeight="1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spans="3:73" ht="25" customHeight="1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spans="3:73" ht="25" customHeight="1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spans="3:73" ht="25" customHeight="1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spans="3:73" ht="25" customHeight="1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spans="3:73" ht="25" customHeight="1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spans="3:73" ht="25" customHeight="1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spans="3:73" ht="25" customHeight="1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spans="3:73" ht="25" customHeight="1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spans="3:73" ht="25" customHeight="1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spans="3:73" ht="25" customHeight="1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spans="3:73" ht="25" customHeight="1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spans="3:73" ht="25" customHeight="1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spans="3:73" ht="25" customHeight="1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</row>
    <row r="210" spans="3:73" ht="25" customHeight="1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spans="3:73" ht="25" customHeight="1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spans="3:73" ht="25" customHeight="1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spans="3:73" ht="25" customHeight="1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spans="3:73" ht="25" customHeight="1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spans="3:73" ht="25" customHeight="1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spans="3:73" ht="25" customHeight="1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spans="3:73" ht="25" customHeight="1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spans="3:73" ht="25" customHeight="1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spans="3:73" ht="25" customHeight="1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spans="3:73" ht="25" customHeight="1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spans="3:73" ht="25" customHeight="1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spans="3:73" ht="25" customHeight="1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spans="3:73" ht="25" customHeight="1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spans="3:73" ht="25" customHeight="1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spans="3:73" ht="25" customHeight="1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spans="3:73" ht="25" customHeight="1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spans="3:73" ht="25" customHeight="1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spans="3:73" ht="25" customHeight="1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29" spans="3:73" ht="25" customHeight="1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</row>
    <row r="230" spans="3:73" ht="25" customHeight="1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</row>
    <row r="231" spans="3:73" ht="25" customHeight="1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</row>
    <row r="232" spans="3:73" ht="25" customHeight="1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</row>
    <row r="233" spans="3:73" ht="25" customHeight="1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</row>
    <row r="234" spans="3:73" ht="25" customHeight="1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</row>
    <row r="235" spans="3:73" ht="25" customHeight="1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</row>
    <row r="236" spans="3:73" ht="25" customHeight="1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</row>
    <row r="237" spans="3:73" ht="25" customHeight="1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</row>
    <row r="238" spans="3:73" ht="25" customHeight="1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</row>
    <row r="239" spans="3:73" ht="25" customHeight="1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</row>
    <row r="240" spans="3:73" ht="25" customHeight="1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</row>
    <row r="241" spans="3:73" ht="25" customHeight="1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</row>
    <row r="242" spans="3:73" ht="25" customHeight="1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</row>
    <row r="243" spans="3:73" ht="25" customHeight="1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</row>
    <row r="244" spans="3:73" ht="25" customHeight="1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</row>
    <row r="245" spans="3:73" ht="25" customHeight="1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</row>
    <row r="246" spans="3:73" ht="25" customHeight="1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</row>
    <row r="247" spans="3:73" ht="25" customHeight="1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</row>
    <row r="248" spans="3:73" ht="25" customHeight="1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</row>
    <row r="249" spans="3:73" ht="25" customHeight="1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</row>
    <row r="250" spans="3:73" ht="25" customHeight="1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</row>
    <row r="251" spans="3:73" ht="25" customHeight="1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</row>
    <row r="252" spans="3:73" ht="25" customHeight="1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</row>
    <row r="253" spans="3:73" ht="25" customHeight="1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</row>
    <row r="254" spans="3:73" ht="25" customHeight="1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</row>
    <row r="255" spans="3:73" ht="25" customHeight="1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</row>
    <row r="256" spans="3:73" ht="25" customHeight="1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</row>
    <row r="257" spans="3:73" ht="25" customHeight="1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</row>
    <row r="258" spans="3:73" ht="25" customHeight="1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</row>
    <row r="259" spans="3:73" ht="25" customHeight="1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</row>
    <row r="260" spans="3:73" ht="25" customHeight="1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</row>
    <row r="261" spans="3:73" ht="25" customHeight="1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</row>
    <row r="262" spans="3:73" ht="25" customHeight="1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</row>
    <row r="263" spans="3:73" ht="25" customHeight="1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</row>
    <row r="264" spans="3:73" ht="25" customHeight="1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</row>
    <row r="265" spans="3:73" ht="25" customHeight="1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</row>
    <row r="266" spans="3:73" ht="25" customHeight="1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</row>
    <row r="267" spans="3:73" ht="25" customHeight="1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</row>
    <row r="268" spans="3:73" ht="25" customHeight="1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</row>
    <row r="269" spans="3:73" ht="25" customHeight="1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</row>
    <row r="270" spans="3:73" ht="25" customHeight="1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</row>
    <row r="271" spans="3:73" ht="25" customHeight="1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</row>
    <row r="272" spans="3:73" ht="25" customHeight="1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</row>
    <row r="273" spans="3:73" ht="25" customHeight="1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</row>
    <row r="274" spans="3:73" ht="25" customHeight="1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</row>
    <row r="275" spans="3:73" ht="25" customHeight="1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</row>
    <row r="276" spans="3:73" ht="25" customHeight="1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</row>
    <row r="277" spans="3:73" ht="25" customHeight="1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</row>
    <row r="278" spans="3:73" ht="25" customHeight="1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</row>
    <row r="279" spans="3:73" ht="25" customHeight="1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</row>
    <row r="280" spans="3:73" ht="25" customHeight="1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</row>
    <row r="281" spans="3:73" ht="25" customHeight="1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</row>
    <row r="282" spans="3:73" ht="25" customHeight="1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</row>
    <row r="283" spans="3:73" ht="25" customHeight="1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</row>
    <row r="284" spans="3:73" ht="25" customHeight="1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</row>
    <row r="285" spans="3:73" ht="25" customHeight="1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</row>
    <row r="286" spans="3:73" ht="25" customHeight="1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</row>
    <row r="287" spans="3:73" ht="25" customHeight="1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</row>
    <row r="288" spans="3:73" ht="25" customHeight="1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</row>
    <row r="289" spans="3:73" ht="25" customHeight="1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</row>
    <row r="290" spans="3:73" ht="25" customHeight="1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</row>
    <row r="291" spans="3:73" ht="25" customHeight="1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</row>
    <row r="292" spans="3:73" ht="25" customHeight="1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</row>
    <row r="293" spans="3:73" ht="25" customHeight="1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</row>
    <row r="294" spans="3:73" ht="25" customHeight="1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</row>
    <row r="295" spans="3:73" ht="25" customHeight="1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</row>
    <row r="296" spans="3:73" ht="25" customHeight="1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</row>
    <row r="297" spans="3:73" ht="25" customHeight="1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</row>
    <row r="298" spans="3:73" ht="25" customHeight="1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</row>
    <row r="299" spans="3:73" ht="25" customHeight="1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</row>
    <row r="300" spans="3:73" ht="25" customHeight="1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</row>
    <row r="301" spans="3:73" ht="25" customHeight="1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</row>
    <row r="302" spans="3:73" ht="25" customHeight="1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</row>
    <row r="303" spans="3:73" ht="25" customHeight="1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</row>
    <row r="304" spans="3:73" ht="25" customHeight="1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</row>
    <row r="305" spans="3:73" ht="25" customHeight="1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</row>
    <row r="306" spans="3:73" ht="25" customHeight="1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</row>
    <row r="307" spans="3:73" ht="25" customHeight="1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</row>
    <row r="308" spans="3:73" ht="25" customHeight="1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</row>
    <row r="309" spans="3:73" ht="25" customHeight="1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</row>
    <row r="310" spans="3:73" ht="25" customHeight="1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</row>
    <row r="311" spans="3:73" ht="25" customHeight="1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</row>
    <row r="312" spans="3:73" ht="25" customHeight="1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</row>
    <row r="313" spans="3:73" ht="25" customHeight="1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</row>
    <row r="314" spans="3:73" ht="25" customHeight="1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</row>
    <row r="315" spans="3:73" ht="25" customHeight="1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</row>
    <row r="316" spans="3:73" ht="25" customHeight="1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</row>
    <row r="317" spans="3:73" ht="25" customHeight="1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</row>
    <row r="318" spans="3:73" ht="25" customHeight="1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</row>
    <row r="319" spans="3:73" ht="25" customHeight="1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</row>
    <row r="320" spans="3:73" ht="25" customHeight="1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</row>
    <row r="321" spans="3:73" ht="25" customHeight="1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</row>
    <row r="322" spans="3:73" ht="25" customHeight="1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</row>
    <row r="323" spans="3:73" ht="25" customHeight="1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</row>
    <row r="324" spans="3:73" ht="25" customHeight="1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</row>
    <row r="325" spans="3:73" ht="25" customHeight="1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</row>
    <row r="326" spans="3:73" ht="25" customHeight="1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</row>
    <row r="327" spans="3:73" ht="25" customHeight="1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</row>
    <row r="328" spans="3:73" ht="25" customHeight="1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</row>
    <row r="329" spans="3:73" ht="25" customHeight="1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</row>
    <row r="330" spans="3:73" ht="25" customHeight="1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</row>
    <row r="331" spans="3:73" ht="25" customHeight="1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</row>
    <row r="332" spans="3:73" ht="25" customHeight="1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</row>
    <row r="333" spans="3:73" ht="25" customHeight="1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</row>
    <row r="334" spans="3:73" ht="25" customHeight="1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</row>
    <row r="335" spans="3:73" ht="25" customHeight="1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</row>
    <row r="336" spans="3:73" ht="25" customHeight="1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</row>
    <row r="337" spans="3:73" ht="25" customHeight="1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</row>
    <row r="338" spans="3:73" ht="25" customHeight="1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</row>
    <row r="339" spans="3:73" ht="25" customHeight="1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</row>
    <row r="340" spans="3:73" ht="25" customHeight="1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</row>
    <row r="341" spans="3:73" ht="25" customHeight="1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</row>
    <row r="342" spans="3:73" ht="25" customHeight="1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</row>
    <row r="343" spans="3:73" ht="25" customHeight="1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</row>
    <row r="344" spans="3:73" ht="25" customHeight="1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</row>
    <row r="345" spans="3:73" ht="25" customHeight="1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</row>
    <row r="346" spans="3:73" ht="25" customHeight="1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</row>
    <row r="347" spans="3:73" ht="25" customHeight="1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</row>
    <row r="348" spans="3:73" ht="25" customHeight="1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</row>
    <row r="349" spans="3:73" ht="25" customHeight="1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</row>
    <row r="350" spans="3:73" ht="25" customHeight="1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</row>
    <row r="351" spans="3:73" ht="25" customHeight="1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</row>
    <row r="352" spans="3:73" ht="25" customHeight="1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</row>
    <row r="353" spans="3:73" ht="25" customHeight="1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</row>
    <row r="354" spans="3:73" ht="25" customHeight="1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</row>
    <row r="355" spans="3:73" ht="25" customHeight="1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</row>
    <row r="356" spans="3:73" ht="25" customHeight="1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</row>
    <row r="357" spans="3:73" ht="25" customHeight="1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</row>
    <row r="358" spans="3:73" ht="25" customHeight="1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</row>
    <row r="359" spans="3:73" ht="25" customHeight="1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</row>
    <row r="360" spans="3:73" ht="25" customHeight="1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</row>
    <row r="361" spans="3:73" ht="25" customHeight="1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</row>
    <row r="362" spans="3:73" ht="25" customHeight="1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</row>
    <row r="363" spans="3:73" ht="25" customHeight="1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</row>
    <row r="364" spans="3:73" ht="25" customHeight="1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</row>
    <row r="365" spans="3:73" ht="25" customHeight="1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</row>
    <row r="366" spans="3:73" ht="25" customHeight="1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</row>
    <row r="367" spans="3:73" ht="25" customHeight="1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</row>
    <row r="368" spans="3:73" ht="25" customHeight="1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</row>
    <row r="369" spans="3:73" ht="25" customHeight="1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</row>
    <row r="370" spans="3:73" ht="25" customHeight="1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</row>
    <row r="371" spans="3:73" ht="25" customHeight="1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</row>
    <row r="372" spans="3:73" ht="25" customHeight="1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</row>
    <row r="373" spans="3:73" ht="25" customHeight="1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</row>
    <row r="374" spans="3:73" ht="25" customHeight="1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</row>
    <row r="375" spans="3:73" ht="25" customHeight="1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</row>
    <row r="376" spans="3:73" ht="25" customHeight="1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</row>
    <row r="377" spans="3:73" ht="25" customHeight="1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</row>
    <row r="378" spans="3:73" ht="25" customHeight="1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</row>
    <row r="379" spans="3:73" ht="25" customHeight="1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</row>
    <row r="380" spans="3:73" ht="25" customHeight="1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</row>
    <row r="381" spans="3:73" ht="25" customHeight="1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</row>
    <row r="382" spans="3:73" ht="25" customHeight="1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</row>
    <row r="383" spans="3:73" ht="25" customHeight="1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</row>
    <row r="384" spans="3:73" ht="25" customHeight="1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</row>
    <row r="385" spans="3:73" ht="25" customHeight="1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</row>
    <row r="386" spans="3:73" ht="25" customHeight="1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</row>
    <row r="387" spans="3:73" ht="25" customHeight="1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</row>
    <row r="388" spans="3:73" ht="25" customHeight="1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</row>
    <row r="389" spans="3:73" ht="25" customHeight="1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</row>
    <row r="390" spans="3:73" ht="25" customHeight="1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</row>
    <row r="391" spans="3:73" ht="25" customHeight="1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</row>
    <row r="392" spans="3:73" ht="25" customHeight="1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</row>
    <row r="393" spans="3:73" ht="25" customHeight="1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</row>
    <row r="394" spans="3:73" ht="25" customHeight="1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</row>
    <row r="395" spans="3:73" ht="25" customHeight="1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</row>
    <row r="396" spans="3:73" ht="25" customHeight="1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</row>
    <row r="397" spans="3:73" ht="25" customHeight="1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</row>
    <row r="398" spans="3:73" ht="25" customHeight="1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</row>
    <row r="399" spans="3:73" ht="25" customHeight="1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</row>
    <row r="400" spans="3:73" ht="25" customHeight="1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</row>
    <row r="401" spans="3:73" ht="25" customHeight="1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</row>
    <row r="402" spans="3:73" ht="25" customHeight="1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</row>
    <row r="403" spans="3:73" ht="25" customHeight="1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</row>
    <row r="404" spans="3:73" ht="25" customHeight="1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</row>
    <row r="405" spans="3:73" ht="25" customHeight="1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</row>
    <row r="406" spans="3:73" ht="25" customHeight="1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</row>
    <row r="407" spans="3:73" ht="25" customHeight="1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</row>
    <row r="408" spans="3:73" ht="25" customHeight="1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</row>
    <row r="409" spans="3:73" ht="25" customHeight="1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</row>
    <row r="410" spans="3:73" ht="25" customHeight="1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</row>
    <row r="411" spans="3:73" ht="25" customHeight="1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</row>
    <row r="412" spans="3:73" ht="25" customHeight="1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</row>
    <row r="413" spans="3:73" ht="25" customHeight="1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</row>
    <row r="414" spans="3:73" ht="25" customHeight="1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</row>
    <row r="415" spans="3:73" ht="25" customHeight="1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</row>
    <row r="416" spans="3:73" ht="25" customHeight="1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</row>
    <row r="417" spans="3:73" ht="25" customHeight="1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</row>
    <row r="418" spans="3:73" ht="25" customHeight="1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</row>
    <row r="419" spans="3:73" ht="25" customHeight="1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</row>
    <row r="420" spans="3:73" ht="25" customHeight="1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</row>
    <row r="421" spans="3:73" ht="25" customHeight="1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</row>
    <row r="422" spans="3:73" ht="25" customHeight="1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</row>
    <row r="423" spans="3:73" ht="25" customHeight="1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</row>
    <row r="424" spans="3:73" ht="25" customHeight="1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</row>
    <row r="425" spans="3:73" ht="25" customHeight="1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</row>
    <row r="426" spans="3:73" ht="25" customHeight="1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</row>
    <row r="427" spans="3:73" ht="25" customHeight="1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</row>
    <row r="428" spans="3:73" ht="25" customHeight="1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</row>
    <row r="429" spans="3:73" ht="25" customHeight="1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</row>
    <row r="430" spans="3:73" ht="25" customHeight="1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</row>
    <row r="431" spans="3:73" ht="25" customHeight="1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</row>
    <row r="432" spans="3:73" ht="25" customHeight="1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</row>
    <row r="433" spans="3:73" ht="25" customHeight="1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</row>
    <row r="434" spans="3:73" ht="25" customHeight="1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</row>
    <row r="435" spans="3:73" ht="25" customHeight="1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</row>
    <row r="436" spans="3:73" ht="25" customHeight="1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</row>
    <row r="437" spans="3:73" ht="25" customHeight="1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</row>
    <row r="438" spans="3:73" ht="25" customHeight="1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spans="3:73" ht="25" customHeight="1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spans="3:73" ht="25" customHeight="1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spans="3:73" ht="25" customHeight="1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spans="3:73" ht="25" customHeight="1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</row>
    <row r="443" spans="3:73" ht="25" customHeight="1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</row>
    <row r="444" spans="3:73" ht="25" customHeight="1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</row>
    <row r="445" spans="3:73" ht="25" customHeight="1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</row>
    <row r="446" spans="3:73" ht="25" customHeight="1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</row>
    <row r="447" spans="3:73" ht="25" customHeight="1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</row>
    <row r="448" spans="3:73" ht="25" customHeight="1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</row>
    <row r="449" spans="3:73" ht="25" customHeight="1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</row>
    <row r="450" spans="3:73" ht="25" customHeight="1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</row>
    <row r="451" spans="3:73" ht="25" customHeight="1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</row>
    <row r="452" spans="3:73" ht="25" customHeight="1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</row>
    <row r="453" spans="3:73" ht="25" customHeight="1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</row>
    <row r="454" spans="3:73" ht="25" customHeight="1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</row>
    <row r="455" spans="3:73" ht="25" customHeight="1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</row>
    <row r="456" spans="3:73" ht="25" customHeight="1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</row>
    <row r="457" spans="3:73" ht="25" customHeight="1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</row>
    <row r="458" spans="3:73" ht="25" customHeight="1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</row>
    <row r="459" spans="3:73" ht="25" customHeight="1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</row>
    <row r="460" spans="3:73" ht="25" customHeight="1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</row>
    <row r="461" spans="3:73" ht="25" customHeight="1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</row>
    <row r="462" spans="3:73" ht="25" customHeight="1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</row>
    <row r="463" spans="3:73" ht="25" customHeight="1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</row>
    <row r="464" spans="3:73" ht="25" customHeight="1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</row>
    <row r="465" spans="3:73" ht="25" customHeight="1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</row>
    <row r="466" spans="3:73" ht="25" customHeight="1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</row>
    <row r="467" spans="3:73" ht="25" customHeight="1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</row>
    <row r="468" spans="3:73" ht="25" customHeight="1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</row>
    <row r="469" spans="3:73" ht="25" customHeight="1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</row>
    <row r="470" spans="3:73" ht="25" customHeight="1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</row>
    <row r="471" spans="3:73" ht="25" customHeight="1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</row>
    <row r="472" spans="3:73" ht="25" customHeight="1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</row>
    <row r="473" spans="3:73" ht="25" customHeight="1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</row>
    <row r="474" spans="3:73" ht="25" customHeight="1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</row>
    <row r="475" spans="3:73" ht="25" customHeight="1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</row>
    <row r="476" spans="3:73" ht="25" customHeight="1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</row>
    <row r="477" spans="3:73" ht="25" customHeight="1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</row>
    <row r="478" spans="3:73" ht="25" customHeight="1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</row>
    <row r="479" spans="3:73" ht="25" customHeight="1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</row>
    <row r="480" spans="3:73" ht="25" customHeight="1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</row>
    <row r="481" spans="3:73" ht="25" customHeight="1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</row>
    <row r="482" spans="3:73" ht="25" customHeight="1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</row>
    <row r="483" spans="3:73" ht="25" customHeight="1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</row>
    <row r="484" spans="3:73" ht="25" customHeight="1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</row>
    <row r="485" spans="3:73" ht="25" customHeight="1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</row>
    <row r="486" spans="3:73" ht="25" customHeight="1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</row>
    <row r="487" spans="3:73" ht="25" customHeight="1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</row>
    <row r="488" spans="3:73" ht="25" customHeight="1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</row>
    <row r="489" spans="3:73" ht="25" customHeight="1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</row>
    <row r="490" spans="3:73" ht="25" customHeight="1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</row>
    <row r="491" spans="3:73" ht="25" customHeight="1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</row>
    <row r="492" spans="3:73" ht="25" customHeight="1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</row>
    <row r="493" spans="3:73" ht="25" customHeight="1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</row>
    <row r="494" spans="3:73" ht="25" customHeight="1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</row>
    <row r="495" spans="3:73" ht="25" customHeight="1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</row>
    <row r="496" spans="3:73" ht="25" customHeight="1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</row>
    <row r="497" spans="3:73" ht="25" customHeight="1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</row>
    <row r="498" spans="3:73" ht="25" customHeight="1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</row>
    <row r="499" spans="3:73" ht="25" customHeight="1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</row>
    <row r="500" spans="3:73" ht="25" customHeight="1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</row>
    <row r="501" spans="3:73" ht="25" customHeight="1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</row>
    <row r="502" spans="3:73" ht="25" customHeight="1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</row>
    <row r="503" spans="3:73" ht="25" customHeight="1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</row>
    <row r="504" spans="3:73" ht="25" customHeight="1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</row>
    <row r="505" spans="3:73" ht="25" customHeight="1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</row>
    <row r="506" spans="3:73" ht="25" customHeight="1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</row>
    <row r="507" spans="3:73" ht="25" customHeight="1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</row>
    <row r="508" spans="3:73" ht="25" customHeight="1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</row>
    <row r="509" spans="3:73" ht="25" customHeight="1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</row>
    <row r="510" spans="3:73" ht="25" customHeight="1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</row>
    <row r="511" spans="3:73" ht="25" customHeight="1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</row>
  </sheetData>
  <pageMargins left="0.7" right="0.7" top="0.75" bottom="0.75" header="0.3" footer="0.3"/>
  <pageSetup paperSize="14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FF00"/>
  </sheetPr>
  <dimension ref="A1:AI35"/>
  <sheetViews>
    <sheetView workbookViewId="0">
      <pane xSplit="1" ySplit="1" topLeftCell="X28" activePane="bottomRight" state="frozen"/>
      <selection pane="topRight" activeCell="B1" sqref="B1"/>
      <selection pane="bottomLeft" activeCell="A2" sqref="A2"/>
      <selection pane="bottomRight" activeCell="Z57" sqref="Z57"/>
    </sheetView>
  </sheetViews>
  <sheetFormatPr baseColWidth="10" defaultColWidth="20.83203125" defaultRowHeight="25" customHeight="1" x14ac:dyDescent="0.2"/>
  <cols>
    <col min="1" max="16384" width="20.83203125" style="1"/>
  </cols>
  <sheetData>
    <row r="1" spans="1:35" s="2" customFormat="1" ht="25" customHeight="1" x14ac:dyDescent="0.2">
      <c r="A1" s="2" t="s">
        <v>0</v>
      </c>
      <c r="B1" s="2" t="s">
        <v>45</v>
      </c>
      <c r="C1" s="2" t="s">
        <v>82</v>
      </c>
      <c r="D1" s="2" t="s">
        <v>49</v>
      </c>
      <c r="E1" s="2" t="s">
        <v>82</v>
      </c>
      <c r="F1" s="2" t="s">
        <v>50</v>
      </c>
      <c r="G1" s="2" t="s">
        <v>82</v>
      </c>
      <c r="H1" s="2" t="s">
        <v>51</v>
      </c>
      <c r="I1" s="2" t="s">
        <v>82</v>
      </c>
      <c r="J1" s="2" t="s">
        <v>52</v>
      </c>
      <c r="K1" s="2" t="s">
        <v>82</v>
      </c>
      <c r="L1" s="2" t="s">
        <v>53</v>
      </c>
      <c r="M1" s="2" t="s">
        <v>82</v>
      </c>
      <c r="N1" s="2" t="s">
        <v>54</v>
      </c>
      <c r="O1" s="2" t="s">
        <v>82</v>
      </c>
      <c r="P1" s="2" t="s">
        <v>55</v>
      </c>
      <c r="Q1" s="2" t="s">
        <v>82</v>
      </c>
      <c r="R1" s="2" t="s">
        <v>56</v>
      </c>
      <c r="S1" s="2" t="s">
        <v>82</v>
      </c>
      <c r="T1" s="2" t="s">
        <v>57</v>
      </c>
      <c r="U1" s="2" t="s">
        <v>82</v>
      </c>
      <c r="V1" s="2" t="s">
        <v>58</v>
      </c>
      <c r="W1" s="2" t="s">
        <v>82</v>
      </c>
      <c r="X1" s="2" t="s">
        <v>59</v>
      </c>
      <c r="Y1" s="2" t="s">
        <v>82</v>
      </c>
      <c r="Z1" s="2" t="s">
        <v>61</v>
      </c>
      <c r="AA1" s="2" t="s">
        <v>82</v>
      </c>
      <c r="AB1" s="2" t="s">
        <v>60</v>
      </c>
      <c r="AC1" s="2" t="s">
        <v>82</v>
      </c>
      <c r="AD1" s="2" t="s">
        <v>62</v>
      </c>
      <c r="AE1" s="2" t="s">
        <v>82</v>
      </c>
      <c r="AF1" s="2" t="s">
        <v>63</v>
      </c>
      <c r="AG1" s="2" t="s">
        <v>82</v>
      </c>
      <c r="AH1" s="2" t="s">
        <v>78</v>
      </c>
      <c r="AI1" s="2" t="s">
        <v>82</v>
      </c>
    </row>
    <row r="2" spans="1:35" ht="25" customHeight="1" x14ac:dyDescent="0.2">
      <c r="A2" s="1" t="s">
        <v>1</v>
      </c>
      <c r="B2" s="3">
        <f t="shared" ref="B2:B33" si="0">J2+R2+Z2+AH2</f>
        <v>821.43799999999999</v>
      </c>
      <c r="C2" s="3">
        <f t="shared" ref="C2:C33" si="1">B2*19000</f>
        <v>15607322</v>
      </c>
      <c r="D2" s="3">
        <v>5.8639999999999999</v>
      </c>
      <c r="E2" s="3">
        <f t="shared" ref="E2:E33" si="2">D2*19000</f>
        <v>111416</v>
      </c>
      <c r="F2" s="3">
        <v>34.582000000000001</v>
      </c>
      <c r="G2" s="3">
        <f t="shared" ref="G2:G33" si="3">F2*19000</f>
        <v>657058</v>
      </c>
      <c r="H2" s="3">
        <v>37.954000000000001</v>
      </c>
      <c r="I2" s="3">
        <f t="shared" ref="I2:I34" si="4">H2*19000</f>
        <v>721126</v>
      </c>
      <c r="J2" s="3">
        <f t="shared" ref="J2:J33" si="5">D2+F2+H2</f>
        <v>78.400000000000006</v>
      </c>
      <c r="K2" s="3">
        <f t="shared" ref="K2:K33" si="6">J2*19000</f>
        <v>1489600</v>
      </c>
      <c r="L2" s="3">
        <v>36.173999999999999</v>
      </c>
      <c r="M2" s="3">
        <f t="shared" ref="M2:M33" si="7">L2*19000</f>
        <v>687306</v>
      </c>
      <c r="N2" s="3">
        <v>46.881999999999998</v>
      </c>
      <c r="O2" s="3">
        <f t="shared" ref="O2:O33" si="8">N2*19000</f>
        <v>890758</v>
      </c>
      <c r="P2" s="3">
        <v>105.90600000000001</v>
      </c>
      <c r="Q2" s="3">
        <f t="shared" ref="Q2:Q33" si="9">P2*19000</f>
        <v>2012214</v>
      </c>
      <c r="R2" s="3">
        <f t="shared" ref="R2:R33" si="10">L2+N2+P2</f>
        <v>188.96199999999999</v>
      </c>
      <c r="S2" s="3">
        <f t="shared" ref="S2:S33" si="11">R2*19000</f>
        <v>3590278</v>
      </c>
      <c r="T2" s="3">
        <v>51.4</v>
      </c>
      <c r="U2" s="3">
        <f t="shared" ref="U2:U33" si="12">T2*19000</f>
        <v>976600</v>
      </c>
      <c r="V2" s="3">
        <f>12.445+78.09+15.5</f>
        <v>106.035</v>
      </c>
      <c r="W2" s="3">
        <f t="shared" ref="W2:W33" si="13">V2*19000</f>
        <v>2014665</v>
      </c>
      <c r="X2" s="3">
        <f>9.975+81.339+12.6</f>
        <v>103.91399999999999</v>
      </c>
      <c r="Y2" s="3">
        <f t="shared" ref="Y2:Y33" si="14">X2*19000</f>
        <v>1974365.9999999998</v>
      </c>
      <c r="Z2" s="3">
        <f t="shared" ref="Z2:Z33" si="15">T2+V2+X2</f>
        <v>261.34899999999999</v>
      </c>
      <c r="AA2" s="3">
        <f t="shared" ref="AA2:AA33" si="16">Z2*19000</f>
        <v>4965631</v>
      </c>
      <c r="AB2" s="3">
        <f>77.925+10.318+11.84</f>
        <v>100.083</v>
      </c>
      <c r="AC2" s="3">
        <f t="shared" ref="AC2:AC33" si="17">AB2*19000</f>
        <v>1901577</v>
      </c>
      <c r="AD2" s="3">
        <f>73.867+6.423+10.165</f>
        <v>90.455000000000013</v>
      </c>
      <c r="AE2" s="3">
        <f t="shared" ref="AE2:AE33" si="18">AD2*19000</f>
        <v>1718645.0000000002</v>
      </c>
      <c r="AF2" s="6">
        <f>87.062+6.508+8.619</f>
        <v>102.18899999999999</v>
      </c>
      <c r="AG2" s="6">
        <f t="shared" ref="AG2:AG33" si="19">AF2*19000</f>
        <v>1941590.9999999998</v>
      </c>
      <c r="AH2" s="6">
        <f t="shared" ref="AH2:AH33" si="20">AB2+AD2+AF2</f>
        <v>292.72699999999998</v>
      </c>
      <c r="AI2" s="8">
        <f t="shared" ref="AI2:AI33" si="21">AH2*19000</f>
        <v>5561812.9999999991</v>
      </c>
    </row>
    <row r="3" spans="1:35" ht="25" customHeight="1" x14ac:dyDescent="0.2">
      <c r="A3" s="1" t="s">
        <v>3</v>
      </c>
      <c r="B3" s="3">
        <f t="shared" si="0"/>
        <v>23.1</v>
      </c>
      <c r="C3" s="3">
        <f t="shared" si="1"/>
        <v>438900</v>
      </c>
      <c r="D3" s="3">
        <v>2.1</v>
      </c>
      <c r="E3" s="3">
        <f t="shared" si="2"/>
        <v>39900</v>
      </c>
      <c r="F3" s="3">
        <v>1.8</v>
      </c>
      <c r="G3" s="3">
        <f t="shared" si="3"/>
        <v>34200</v>
      </c>
      <c r="H3" s="3">
        <v>1.7</v>
      </c>
      <c r="I3" s="3">
        <f t="shared" si="4"/>
        <v>32300</v>
      </c>
      <c r="J3" s="3">
        <f t="shared" si="5"/>
        <v>5.6000000000000005</v>
      </c>
      <c r="K3" s="3">
        <f t="shared" si="6"/>
        <v>106400.00000000001</v>
      </c>
      <c r="L3" s="3">
        <v>2.1</v>
      </c>
      <c r="M3" s="3">
        <f t="shared" si="7"/>
        <v>39900</v>
      </c>
      <c r="N3" s="3">
        <v>1.8</v>
      </c>
      <c r="O3" s="3">
        <f t="shared" si="8"/>
        <v>34200</v>
      </c>
      <c r="P3" s="3">
        <v>1.5</v>
      </c>
      <c r="Q3" s="3">
        <f t="shared" si="9"/>
        <v>28500</v>
      </c>
      <c r="R3" s="3">
        <f t="shared" si="10"/>
        <v>5.4</v>
      </c>
      <c r="S3" s="3">
        <f t="shared" si="11"/>
        <v>102600</v>
      </c>
      <c r="T3" s="6">
        <v>1.8</v>
      </c>
      <c r="U3" s="6">
        <f t="shared" si="12"/>
        <v>34200</v>
      </c>
      <c r="V3" s="6">
        <v>2.2000000000000002</v>
      </c>
      <c r="W3" s="6">
        <f t="shared" si="13"/>
        <v>41800</v>
      </c>
      <c r="X3" s="6">
        <v>2.2999999999999998</v>
      </c>
      <c r="Y3" s="6">
        <f t="shared" si="14"/>
        <v>43700</v>
      </c>
      <c r="Z3" s="6">
        <f t="shared" si="15"/>
        <v>6.3</v>
      </c>
      <c r="AA3" s="6">
        <f t="shared" si="16"/>
        <v>119700</v>
      </c>
      <c r="AB3" s="6">
        <v>1.9</v>
      </c>
      <c r="AC3" s="6">
        <f t="shared" si="17"/>
        <v>36100</v>
      </c>
      <c r="AD3" s="6">
        <v>2.1</v>
      </c>
      <c r="AE3" s="6">
        <f t="shared" si="18"/>
        <v>39900</v>
      </c>
      <c r="AF3" s="6">
        <v>1.8</v>
      </c>
      <c r="AG3" s="6">
        <f t="shared" si="19"/>
        <v>34200</v>
      </c>
      <c r="AH3" s="6">
        <f t="shared" si="20"/>
        <v>5.8</v>
      </c>
      <c r="AI3" s="8">
        <f t="shared" si="21"/>
        <v>110200</v>
      </c>
    </row>
    <row r="4" spans="1:35" ht="25" customHeight="1" x14ac:dyDescent="0.2">
      <c r="A4" s="1" t="s">
        <v>5</v>
      </c>
      <c r="B4" s="3">
        <f t="shared" si="0"/>
        <v>27.764999999999997</v>
      </c>
      <c r="C4" s="3">
        <f t="shared" si="1"/>
        <v>527535</v>
      </c>
      <c r="D4" s="3">
        <v>4.87</v>
      </c>
      <c r="E4" s="3">
        <f t="shared" si="2"/>
        <v>92530</v>
      </c>
      <c r="F4" s="3">
        <v>5.76</v>
      </c>
      <c r="G4" s="3">
        <f t="shared" si="3"/>
        <v>109440</v>
      </c>
      <c r="H4" s="3">
        <v>7.7</v>
      </c>
      <c r="I4" s="3">
        <f t="shared" si="4"/>
        <v>146300</v>
      </c>
      <c r="J4" s="3">
        <f t="shared" si="5"/>
        <v>18.329999999999998</v>
      </c>
      <c r="K4" s="3">
        <f t="shared" si="6"/>
        <v>348269.99999999994</v>
      </c>
      <c r="L4" s="3">
        <v>3.65</v>
      </c>
      <c r="M4" s="3">
        <f t="shared" si="7"/>
        <v>69350</v>
      </c>
      <c r="N4" s="3">
        <v>3.23</v>
      </c>
      <c r="O4" s="3">
        <f t="shared" si="8"/>
        <v>61370</v>
      </c>
      <c r="P4" s="3">
        <v>2</v>
      </c>
      <c r="Q4" s="3">
        <f t="shared" si="9"/>
        <v>38000</v>
      </c>
      <c r="R4" s="3">
        <f t="shared" si="10"/>
        <v>8.879999999999999</v>
      </c>
      <c r="S4" s="3">
        <f t="shared" si="11"/>
        <v>168719.99999999997</v>
      </c>
      <c r="T4" s="6">
        <v>8.2000000000000003E-2</v>
      </c>
      <c r="U4" s="6">
        <f t="shared" si="12"/>
        <v>1558</v>
      </c>
      <c r="V4" s="6">
        <v>0.14699999999999999</v>
      </c>
      <c r="W4" s="6">
        <f t="shared" si="13"/>
        <v>2793</v>
      </c>
      <c r="X4" s="6">
        <v>0.08</v>
      </c>
      <c r="Y4" s="6">
        <f t="shared" si="14"/>
        <v>1520</v>
      </c>
      <c r="Z4" s="6">
        <f t="shared" si="15"/>
        <v>0.309</v>
      </c>
      <c r="AA4" s="6">
        <f t="shared" si="16"/>
        <v>5871</v>
      </c>
      <c r="AB4" s="6">
        <v>9.9000000000000005E-2</v>
      </c>
      <c r="AC4" s="6">
        <f t="shared" si="17"/>
        <v>1881</v>
      </c>
      <c r="AD4" s="6">
        <v>8.2000000000000003E-2</v>
      </c>
      <c r="AE4" s="3">
        <f t="shared" si="18"/>
        <v>1558</v>
      </c>
      <c r="AF4" s="6">
        <v>6.5000000000000002E-2</v>
      </c>
      <c r="AG4" s="6">
        <f t="shared" si="19"/>
        <v>1235</v>
      </c>
      <c r="AH4" s="6">
        <f t="shared" si="20"/>
        <v>0.246</v>
      </c>
      <c r="AI4" s="8">
        <f t="shared" si="21"/>
        <v>4674</v>
      </c>
    </row>
    <row r="5" spans="1:35" ht="25" customHeight="1" x14ac:dyDescent="0.2">
      <c r="A5" s="1" t="s">
        <v>8</v>
      </c>
      <c r="B5" s="3">
        <f t="shared" si="0"/>
        <v>283.10000000000002</v>
      </c>
      <c r="C5" s="3">
        <f t="shared" si="1"/>
        <v>5378900</v>
      </c>
      <c r="D5" s="3">
        <f>11.1+16.8</f>
        <v>27.9</v>
      </c>
      <c r="E5" s="3">
        <f t="shared" si="2"/>
        <v>530100</v>
      </c>
      <c r="F5" s="3">
        <f>9.3+14.1</f>
        <v>23.4</v>
      </c>
      <c r="G5" s="3">
        <f t="shared" si="3"/>
        <v>444600</v>
      </c>
      <c r="H5" s="3">
        <f>10.8+8.7</f>
        <v>19.5</v>
      </c>
      <c r="I5" s="3">
        <f t="shared" si="4"/>
        <v>370500</v>
      </c>
      <c r="J5" s="3">
        <f t="shared" si="5"/>
        <v>70.8</v>
      </c>
      <c r="K5" s="3">
        <f t="shared" si="6"/>
        <v>1345200</v>
      </c>
      <c r="L5" s="3">
        <f>17.9+10.3</f>
        <v>28.2</v>
      </c>
      <c r="M5" s="3">
        <f t="shared" si="7"/>
        <v>535800</v>
      </c>
      <c r="N5" s="3">
        <f>11.2+6.7</f>
        <v>17.899999999999999</v>
      </c>
      <c r="O5" s="3">
        <f t="shared" si="8"/>
        <v>340100</v>
      </c>
      <c r="P5" s="3">
        <f>5.6+10</f>
        <v>15.6</v>
      </c>
      <c r="Q5" s="3">
        <f t="shared" si="9"/>
        <v>296400</v>
      </c>
      <c r="R5" s="3">
        <f t="shared" si="10"/>
        <v>61.699999999999996</v>
      </c>
      <c r="S5" s="3">
        <f t="shared" si="11"/>
        <v>1172300</v>
      </c>
      <c r="T5" s="3">
        <f>4.1+7</f>
        <v>11.1</v>
      </c>
      <c r="U5" s="3">
        <f t="shared" si="12"/>
        <v>210900</v>
      </c>
      <c r="V5" s="3">
        <f>3.7+10.5</f>
        <v>14.2</v>
      </c>
      <c r="W5" s="3">
        <f t="shared" si="13"/>
        <v>269800</v>
      </c>
      <c r="X5" s="3">
        <v>14.4</v>
      </c>
      <c r="Y5" s="3">
        <f t="shared" si="14"/>
        <v>273600</v>
      </c>
      <c r="Z5" s="3">
        <f t="shared" si="15"/>
        <v>39.699999999999996</v>
      </c>
      <c r="AA5" s="3">
        <f t="shared" si="16"/>
        <v>754299.99999999988</v>
      </c>
      <c r="AB5" s="3">
        <v>24.4</v>
      </c>
      <c r="AC5" s="3">
        <f t="shared" si="17"/>
        <v>463600</v>
      </c>
      <c r="AD5" s="6">
        <f>31.8+17.7</f>
        <v>49.5</v>
      </c>
      <c r="AE5" s="3">
        <f t="shared" si="18"/>
        <v>940500</v>
      </c>
      <c r="AF5" s="6">
        <f>27+10</f>
        <v>37</v>
      </c>
      <c r="AG5" s="6">
        <f t="shared" si="19"/>
        <v>703000</v>
      </c>
      <c r="AH5" s="6">
        <f t="shared" si="20"/>
        <v>110.9</v>
      </c>
      <c r="AI5" s="8">
        <f t="shared" si="21"/>
        <v>2107100</v>
      </c>
    </row>
    <row r="6" spans="1:35" ht="25" customHeight="1" x14ac:dyDescent="0.2">
      <c r="A6" s="1" t="s">
        <v>10</v>
      </c>
      <c r="B6" s="3">
        <f t="shared" si="0"/>
        <v>111.77718999999999</v>
      </c>
      <c r="C6" s="3">
        <f t="shared" si="1"/>
        <v>2123766.61</v>
      </c>
      <c r="D6" s="3">
        <f>4.743+0.9486+3.7944</f>
        <v>9.4860000000000007</v>
      </c>
      <c r="E6" s="3">
        <f t="shared" si="2"/>
        <v>180234</v>
      </c>
      <c r="F6" s="3">
        <v>9.2070000000000007</v>
      </c>
      <c r="G6" s="3">
        <f t="shared" si="3"/>
        <v>174933</v>
      </c>
      <c r="H6" s="3">
        <v>9.2530300000000008</v>
      </c>
      <c r="I6" s="3">
        <f t="shared" si="4"/>
        <v>175807.57</v>
      </c>
      <c r="J6" s="3">
        <f t="shared" si="5"/>
        <v>27.94603</v>
      </c>
      <c r="K6" s="3">
        <f t="shared" si="6"/>
        <v>530974.57000000007</v>
      </c>
      <c r="L6" s="3">
        <v>9.1541399999999999</v>
      </c>
      <c r="M6" s="3">
        <f t="shared" si="7"/>
        <v>173928.66</v>
      </c>
      <c r="N6" s="3">
        <v>9.2505000000000006</v>
      </c>
      <c r="O6" s="3">
        <f t="shared" si="8"/>
        <v>175759.5</v>
      </c>
      <c r="P6" s="3">
        <v>9.1266200000000008</v>
      </c>
      <c r="Q6" s="3">
        <f t="shared" si="9"/>
        <v>173405.78000000003</v>
      </c>
      <c r="R6" s="3">
        <f t="shared" si="10"/>
        <v>27.531260000000003</v>
      </c>
      <c r="S6" s="3">
        <f t="shared" si="11"/>
        <v>523093.94000000006</v>
      </c>
      <c r="T6" s="3">
        <v>9.5122999999999998</v>
      </c>
      <c r="U6" s="3">
        <f t="shared" si="12"/>
        <v>180733.69999999998</v>
      </c>
      <c r="V6" s="3">
        <v>9.4100999999999999</v>
      </c>
      <c r="W6" s="3">
        <f t="shared" si="13"/>
        <v>178791.9</v>
      </c>
      <c r="X6" s="3">
        <v>9.4222000000000001</v>
      </c>
      <c r="Y6" s="3">
        <f t="shared" si="14"/>
        <v>179021.8</v>
      </c>
      <c r="Z6" s="3">
        <f t="shared" si="15"/>
        <v>28.3446</v>
      </c>
      <c r="AA6" s="3">
        <f t="shared" si="16"/>
        <v>538547.4</v>
      </c>
      <c r="AB6" s="3">
        <v>9.9939999999999998</v>
      </c>
      <c r="AC6" s="3">
        <f t="shared" si="17"/>
        <v>189886</v>
      </c>
      <c r="AD6" s="3">
        <v>9.3930000000000007</v>
      </c>
      <c r="AE6" s="3">
        <f t="shared" si="18"/>
        <v>178467</v>
      </c>
      <c r="AF6" s="3">
        <v>8.5683000000000007</v>
      </c>
      <c r="AG6" s="6">
        <f t="shared" si="19"/>
        <v>162797.70000000001</v>
      </c>
      <c r="AH6" s="6">
        <f t="shared" si="20"/>
        <v>27.955300000000001</v>
      </c>
      <c r="AI6" s="8">
        <f t="shared" si="21"/>
        <v>531150.70000000007</v>
      </c>
    </row>
    <row r="7" spans="1:35" ht="25" customHeight="1" x14ac:dyDescent="0.2">
      <c r="A7" s="1" t="s">
        <v>12</v>
      </c>
      <c r="B7" s="3">
        <f t="shared" si="0"/>
        <v>912.5</v>
      </c>
      <c r="C7" s="3">
        <f t="shared" si="1"/>
        <v>17337500</v>
      </c>
      <c r="D7" s="3">
        <f>31.4+18.7+17.8</f>
        <v>67.899999999999991</v>
      </c>
      <c r="E7" s="3">
        <f t="shared" si="2"/>
        <v>1290099.9999999998</v>
      </c>
      <c r="F7" s="3">
        <f>36.1+31.3+17.4</f>
        <v>84.800000000000011</v>
      </c>
      <c r="G7" s="3">
        <f t="shared" si="3"/>
        <v>1611200.0000000002</v>
      </c>
      <c r="H7" s="3">
        <f>34.1+29.3+17.6</f>
        <v>81</v>
      </c>
      <c r="I7" s="3">
        <f t="shared" si="4"/>
        <v>1539000</v>
      </c>
      <c r="J7" s="3">
        <f t="shared" si="5"/>
        <v>233.7</v>
      </c>
      <c r="K7" s="3">
        <f t="shared" si="6"/>
        <v>4440300</v>
      </c>
      <c r="L7" s="3">
        <f>24.3+19.6+19.8</f>
        <v>63.7</v>
      </c>
      <c r="M7" s="3">
        <f t="shared" si="7"/>
        <v>1210300</v>
      </c>
      <c r="N7" s="3">
        <v>63</v>
      </c>
      <c r="O7" s="3">
        <f t="shared" si="8"/>
        <v>1197000</v>
      </c>
      <c r="P7" s="3">
        <v>69.8</v>
      </c>
      <c r="Q7" s="3">
        <f t="shared" si="9"/>
        <v>1326200</v>
      </c>
      <c r="R7" s="3">
        <f t="shared" si="10"/>
        <v>196.5</v>
      </c>
      <c r="S7" s="3">
        <f t="shared" si="11"/>
        <v>3733500</v>
      </c>
      <c r="T7" s="3">
        <f>34+36.7+15.4</f>
        <v>86.100000000000009</v>
      </c>
      <c r="U7" s="3">
        <f t="shared" si="12"/>
        <v>1635900.0000000002</v>
      </c>
      <c r="V7" s="3">
        <f>39.4+27.9+14.2</f>
        <v>81.5</v>
      </c>
      <c r="W7" s="3">
        <f t="shared" si="13"/>
        <v>1548500</v>
      </c>
      <c r="X7" s="3">
        <f>35.3+22.7+15.7</f>
        <v>73.7</v>
      </c>
      <c r="Y7" s="3">
        <f t="shared" si="14"/>
        <v>1400300</v>
      </c>
      <c r="Z7" s="3">
        <f t="shared" si="15"/>
        <v>241.3</v>
      </c>
      <c r="AA7" s="3">
        <f t="shared" si="16"/>
        <v>4584700</v>
      </c>
      <c r="AB7" s="3">
        <f>30.2+30.3+17</f>
        <v>77.5</v>
      </c>
      <c r="AC7" s="3">
        <f t="shared" si="17"/>
        <v>1472500</v>
      </c>
      <c r="AD7" s="6">
        <f>27.8+35.2+14.4</f>
        <v>77.400000000000006</v>
      </c>
      <c r="AE7" s="3">
        <f t="shared" si="18"/>
        <v>1470600</v>
      </c>
      <c r="AF7" s="6">
        <f>33.7+33.8+18.6</f>
        <v>86.1</v>
      </c>
      <c r="AG7" s="6">
        <f t="shared" si="19"/>
        <v>1635900</v>
      </c>
      <c r="AH7" s="6">
        <f t="shared" si="20"/>
        <v>241</v>
      </c>
      <c r="AI7" s="8">
        <f t="shared" si="21"/>
        <v>4579000</v>
      </c>
    </row>
    <row r="8" spans="1:35" ht="25" customHeight="1" x14ac:dyDescent="0.2">
      <c r="A8" s="1" t="s">
        <v>13</v>
      </c>
      <c r="B8" s="3">
        <f t="shared" si="0"/>
        <v>229</v>
      </c>
      <c r="C8" s="3">
        <f t="shared" si="1"/>
        <v>4351000</v>
      </c>
      <c r="D8" s="3">
        <v>8.5</v>
      </c>
      <c r="E8" s="3">
        <f t="shared" si="2"/>
        <v>161500</v>
      </c>
      <c r="F8" s="3">
        <v>9.3000000000000007</v>
      </c>
      <c r="G8" s="3">
        <f t="shared" si="3"/>
        <v>176700</v>
      </c>
      <c r="H8" s="3">
        <v>14.5</v>
      </c>
      <c r="I8" s="3">
        <f t="shared" si="4"/>
        <v>275500</v>
      </c>
      <c r="J8" s="3">
        <f t="shared" si="5"/>
        <v>32.299999999999997</v>
      </c>
      <c r="K8" s="3">
        <f t="shared" si="6"/>
        <v>613700</v>
      </c>
      <c r="L8" s="3">
        <v>15.1</v>
      </c>
      <c r="M8" s="3">
        <f t="shared" si="7"/>
        <v>286900</v>
      </c>
      <c r="N8" s="3">
        <v>18.899999999999999</v>
      </c>
      <c r="O8" s="3">
        <f t="shared" si="8"/>
        <v>359100</v>
      </c>
      <c r="P8" s="3">
        <v>22.3</v>
      </c>
      <c r="Q8" s="3">
        <f t="shared" si="9"/>
        <v>423700</v>
      </c>
      <c r="R8" s="3">
        <f t="shared" si="10"/>
        <v>56.3</v>
      </c>
      <c r="S8" s="3">
        <f t="shared" si="11"/>
        <v>1069700</v>
      </c>
      <c r="T8" s="3">
        <v>20.9</v>
      </c>
      <c r="U8" s="3">
        <f t="shared" si="12"/>
        <v>397100</v>
      </c>
      <c r="V8" s="3">
        <v>28</v>
      </c>
      <c r="W8" s="3">
        <f t="shared" si="13"/>
        <v>532000</v>
      </c>
      <c r="X8" s="3">
        <v>27.5</v>
      </c>
      <c r="Y8" s="3">
        <f t="shared" si="14"/>
        <v>522500</v>
      </c>
      <c r="Z8" s="3">
        <f t="shared" si="15"/>
        <v>76.400000000000006</v>
      </c>
      <c r="AA8" s="3">
        <f t="shared" si="16"/>
        <v>1451600</v>
      </c>
      <c r="AB8" s="3">
        <v>24.4</v>
      </c>
      <c r="AC8" s="3">
        <f t="shared" si="17"/>
        <v>463600</v>
      </c>
      <c r="AD8" s="6">
        <v>21</v>
      </c>
      <c r="AE8" s="3">
        <f t="shared" si="18"/>
        <v>399000</v>
      </c>
      <c r="AF8" s="6">
        <v>18.600000000000001</v>
      </c>
      <c r="AG8" s="6">
        <f t="shared" si="19"/>
        <v>353400</v>
      </c>
      <c r="AH8" s="6">
        <f t="shared" si="20"/>
        <v>64</v>
      </c>
      <c r="AI8" s="8">
        <f t="shared" si="21"/>
        <v>1216000</v>
      </c>
    </row>
    <row r="9" spans="1:35" ht="25" customHeight="1" x14ac:dyDescent="0.2">
      <c r="A9" s="1" t="s">
        <v>15</v>
      </c>
      <c r="B9" s="6">
        <f t="shared" si="0"/>
        <v>1145.9000000000001</v>
      </c>
      <c r="C9" s="3">
        <f t="shared" si="1"/>
        <v>21772100</v>
      </c>
      <c r="D9" s="6">
        <f>42+34.8</f>
        <v>76.8</v>
      </c>
      <c r="E9" s="3">
        <f t="shared" si="2"/>
        <v>1459200</v>
      </c>
      <c r="F9" s="6">
        <f>44.1+36.2</f>
        <v>80.300000000000011</v>
      </c>
      <c r="G9" s="3">
        <f t="shared" si="3"/>
        <v>1525700.0000000002</v>
      </c>
      <c r="H9" s="6">
        <f>43.6+39</f>
        <v>82.6</v>
      </c>
      <c r="I9" s="3">
        <f t="shared" si="4"/>
        <v>1569400</v>
      </c>
      <c r="J9" s="3">
        <f t="shared" si="5"/>
        <v>239.70000000000002</v>
      </c>
      <c r="K9" s="3">
        <f t="shared" si="6"/>
        <v>4554300</v>
      </c>
      <c r="L9" s="6">
        <f>47+40.2</f>
        <v>87.2</v>
      </c>
      <c r="M9" s="3">
        <f t="shared" si="7"/>
        <v>1656800</v>
      </c>
      <c r="N9" s="6">
        <f>46.9+41.8</f>
        <v>88.699999999999989</v>
      </c>
      <c r="O9" s="3">
        <f t="shared" si="8"/>
        <v>1685299.9999999998</v>
      </c>
      <c r="P9" s="6">
        <f>48.7+49.4</f>
        <v>98.1</v>
      </c>
      <c r="Q9" s="3">
        <f t="shared" si="9"/>
        <v>1863900</v>
      </c>
      <c r="R9" s="3">
        <f t="shared" si="10"/>
        <v>274</v>
      </c>
      <c r="S9" s="3">
        <f t="shared" si="11"/>
        <v>5206000</v>
      </c>
      <c r="T9" s="6">
        <f>48.7+44.3</f>
        <v>93</v>
      </c>
      <c r="U9" s="3">
        <f t="shared" si="12"/>
        <v>1767000</v>
      </c>
      <c r="V9" s="6">
        <f>56.5+46</f>
        <v>102.5</v>
      </c>
      <c r="W9" s="3">
        <f t="shared" si="13"/>
        <v>1947500</v>
      </c>
      <c r="X9" s="6">
        <f>58.4+50.8</f>
        <v>109.19999999999999</v>
      </c>
      <c r="Y9" s="3">
        <f t="shared" si="14"/>
        <v>2074799.9999999998</v>
      </c>
      <c r="Z9" s="3">
        <f t="shared" si="15"/>
        <v>304.7</v>
      </c>
      <c r="AA9" s="3">
        <f t="shared" si="16"/>
        <v>5789300</v>
      </c>
      <c r="AB9" s="6">
        <f>58.8+49.9</f>
        <v>108.69999999999999</v>
      </c>
      <c r="AC9" s="3">
        <f t="shared" si="17"/>
        <v>2065299.9999999998</v>
      </c>
      <c r="AD9" s="6">
        <f>67.1+49.6</f>
        <v>116.69999999999999</v>
      </c>
      <c r="AE9" s="3">
        <f t="shared" si="18"/>
        <v>2217300</v>
      </c>
      <c r="AF9" s="6">
        <f>55.1+47</f>
        <v>102.1</v>
      </c>
      <c r="AG9" s="6">
        <f t="shared" si="19"/>
        <v>1939900</v>
      </c>
      <c r="AH9" s="6">
        <f t="shared" si="20"/>
        <v>327.5</v>
      </c>
      <c r="AI9" s="8">
        <f t="shared" si="21"/>
        <v>6222500</v>
      </c>
    </row>
    <row r="10" spans="1:35" ht="25" customHeight="1" x14ac:dyDescent="0.2">
      <c r="A10" s="1" t="s">
        <v>20</v>
      </c>
      <c r="B10" s="3">
        <f t="shared" si="0"/>
        <v>1688.6</v>
      </c>
      <c r="C10" s="3">
        <f t="shared" si="1"/>
        <v>32083400</v>
      </c>
      <c r="D10" s="3">
        <f>117.5+117.5</f>
        <v>235</v>
      </c>
      <c r="E10" s="3">
        <f t="shared" si="2"/>
        <v>4465000</v>
      </c>
      <c r="F10" s="3">
        <f>111.2+21.2</f>
        <v>132.4</v>
      </c>
      <c r="G10" s="3">
        <f t="shared" si="3"/>
        <v>2515600</v>
      </c>
      <c r="H10" s="3">
        <f>113.5+113.5</f>
        <v>227</v>
      </c>
      <c r="I10" s="3">
        <f t="shared" si="4"/>
        <v>4313000</v>
      </c>
      <c r="J10" s="3">
        <f t="shared" si="5"/>
        <v>594.4</v>
      </c>
      <c r="K10" s="3">
        <f t="shared" si="6"/>
        <v>11293600</v>
      </c>
      <c r="L10" s="3">
        <f>116+20.5</f>
        <v>136.5</v>
      </c>
      <c r="M10" s="3">
        <f t="shared" si="7"/>
        <v>2593500</v>
      </c>
      <c r="N10" s="3">
        <f>119.8+21.2</f>
        <v>141</v>
      </c>
      <c r="O10" s="3">
        <f t="shared" si="8"/>
        <v>2679000</v>
      </c>
      <c r="P10" s="3">
        <f>14.3+110.7</f>
        <v>125</v>
      </c>
      <c r="Q10" s="3">
        <f t="shared" si="9"/>
        <v>2375000</v>
      </c>
      <c r="R10" s="3">
        <f t="shared" si="10"/>
        <v>402.5</v>
      </c>
      <c r="S10" s="3">
        <f t="shared" si="11"/>
        <v>7647500</v>
      </c>
      <c r="T10" s="3">
        <f>101.8+11.7</f>
        <v>113.5</v>
      </c>
      <c r="U10" s="3">
        <f t="shared" si="12"/>
        <v>2156500</v>
      </c>
      <c r="V10" s="3">
        <f>102.5+12.4</f>
        <v>114.9</v>
      </c>
      <c r="W10" s="3">
        <f t="shared" si="13"/>
        <v>2183100</v>
      </c>
      <c r="X10" s="3">
        <f>106.4+12.4</f>
        <v>118.80000000000001</v>
      </c>
      <c r="Y10" s="3">
        <f t="shared" si="14"/>
        <v>2257200</v>
      </c>
      <c r="Z10" s="3">
        <f t="shared" si="15"/>
        <v>347.20000000000005</v>
      </c>
      <c r="AA10" s="3">
        <f t="shared" si="16"/>
        <v>6596800.0000000009</v>
      </c>
      <c r="AB10" s="3">
        <f>102.6+12.8</f>
        <v>115.39999999999999</v>
      </c>
      <c r="AC10" s="3">
        <f t="shared" si="17"/>
        <v>2192600</v>
      </c>
      <c r="AD10" s="6">
        <f>104.1+12.3</f>
        <v>116.39999999999999</v>
      </c>
      <c r="AE10" s="3">
        <f t="shared" si="18"/>
        <v>2211600</v>
      </c>
      <c r="AF10" s="6">
        <f>102.5+10.2</f>
        <v>112.7</v>
      </c>
      <c r="AG10" s="6">
        <f t="shared" si="19"/>
        <v>2141300</v>
      </c>
      <c r="AH10" s="6">
        <f t="shared" si="20"/>
        <v>344.5</v>
      </c>
      <c r="AI10" s="8">
        <f t="shared" si="21"/>
        <v>6545500</v>
      </c>
    </row>
    <row r="11" spans="1:35" ht="25" customHeight="1" x14ac:dyDescent="0.2">
      <c r="A11" s="1" t="s">
        <v>22</v>
      </c>
      <c r="B11" s="6">
        <f t="shared" si="0"/>
        <v>2294.5</v>
      </c>
      <c r="C11" s="3">
        <f t="shared" si="1"/>
        <v>43595500</v>
      </c>
      <c r="D11" s="3">
        <f>92.6+54.7</f>
        <v>147.30000000000001</v>
      </c>
      <c r="E11" s="3">
        <f t="shared" si="2"/>
        <v>2798700</v>
      </c>
      <c r="F11" s="3">
        <f>133.7+167.3</f>
        <v>301</v>
      </c>
      <c r="G11" s="3">
        <f t="shared" si="3"/>
        <v>5719000</v>
      </c>
      <c r="H11" s="3">
        <f>157.9+118.3</f>
        <v>276.2</v>
      </c>
      <c r="I11" s="3">
        <f t="shared" si="4"/>
        <v>5247800</v>
      </c>
      <c r="J11" s="3">
        <f t="shared" si="5"/>
        <v>724.5</v>
      </c>
      <c r="K11" s="3">
        <f t="shared" si="6"/>
        <v>13765500</v>
      </c>
      <c r="L11" s="3">
        <f>187.7+141.7</f>
        <v>329.4</v>
      </c>
      <c r="M11" s="3">
        <f t="shared" si="7"/>
        <v>6258600</v>
      </c>
      <c r="N11" s="3">
        <f>197.7+149.3</f>
        <v>347</v>
      </c>
      <c r="O11" s="3">
        <f t="shared" si="8"/>
        <v>6593000</v>
      </c>
      <c r="P11" s="3">
        <f>111.2+84.5</f>
        <v>195.7</v>
      </c>
      <c r="Q11" s="3">
        <f t="shared" si="9"/>
        <v>3718300</v>
      </c>
      <c r="R11" s="3">
        <f t="shared" si="10"/>
        <v>872.09999999999991</v>
      </c>
      <c r="S11" s="3">
        <f t="shared" si="11"/>
        <v>16569899.999999998</v>
      </c>
      <c r="T11" s="6">
        <f>104.5+75.6</f>
        <v>180.1</v>
      </c>
      <c r="U11" s="6">
        <f t="shared" si="12"/>
        <v>3421900</v>
      </c>
      <c r="V11" s="6">
        <f>88.8+65.6</f>
        <v>154.39999999999998</v>
      </c>
      <c r="W11" s="6">
        <f t="shared" si="13"/>
        <v>2933599.9999999995</v>
      </c>
      <c r="X11" s="6">
        <f>79.3+57.3</f>
        <v>136.6</v>
      </c>
      <c r="Y11" s="3">
        <f t="shared" si="14"/>
        <v>2595400</v>
      </c>
      <c r="Z11" s="3">
        <f t="shared" si="15"/>
        <v>471.1</v>
      </c>
      <c r="AA11" s="3">
        <f t="shared" si="16"/>
        <v>8950900</v>
      </c>
      <c r="AB11" s="6">
        <f>65.2+47</f>
        <v>112.2</v>
      </c>
      <c r="AC11" s="6">
        <f t="shared" si="17"/>
        <v>2131800</v>
      </c>
      <c r="AD11" s="6">
        <f>43+28.8</f>
        <v>71.8</v>
      </c>
      <c r="AE11" s="6">
        <f t="shared" si="18"/>
        <v>1364200</v>
      </c>
      <c r="AF11" s="6">
        <f>25.9+16.9</f>
        <v>42.8</v>
      </c>
      <c r="AG11" s="6">
        <f t="shared" si="19"/>
        <v>813200</v>
      </c>
      <c r="AH11" s="6">
        <f t="shared" si="20"/>
        <v>226.8</v>
      </c>
      <c r="AI11" s="8">
        <f t="shared" si="21"/>
        <v>4309200</v>
      </c>
    </row>
    <row r="12" spans="1:35" ht="25" customHeight="1" x14ac:dyDescent="0.2">
      <c r="A12" s="1" t="s">
        <v>24</v>
      </c>
      <c r="B12" s="3">
        <f t="shared" si="0"/>
        <v>937.7</v>
      </c>
      <c r="C12" s="3">
        <f t="shared" si="1"/>
        <v>17816300</v>
      </c>
      <c r="D12" s="3">
        <v>71</v>
      </c>
      <c r="E12" s="3">
        <f t="shared" si="2"/>
        <v>1349000</v>
      </c>
      <c r="F12" s="3">
        <v>82.8</v>
      </c>
      <c r="G12" s="3">
        <f t="shared" si="3"/>
        <v>1573200</v>
      </c>
      <c r="H12" s="3">
        <v>82.8</v>
      </c>
      <c r="I12" s="3">
        <f t="shared" si="4"/>
        <v>1573200</v>
      </c>
      <c r="J12" s="3">
        <f t="shared" si="5"/>
        <v>236.60000000000002</v>
      </c>
      <c r="K12" s="3">
        <f t="shared" si="6"/>
        <v>4495400</v>
      </c>
      <c r="L12" s="3">
        <v>85.7</v>
      </c>
      <c r="M12" s="3">
        <f t="shared" si="7"/>
        <v>1628300</v>
      </c>
      <c r="N12" s="3">
        <v>84.8</v>
      </c>
      <c r="O12" s="3">
        <f t="shared" si="8"/>
        <v>1611200</v>
      </c>
      <c r="P12" s="3">
        <v>80.3</v>
      </c>
      <c r="Q12" s="3">
        <f t="shared" si="9"/>
        <v>1525700</v>
      </c>
      <c r="R12" s="3">
        <f t="shared" si="10"/>
        <v>250.8</v>
      </c>
      <c r="S12" s="3">
        <f t="shared" si="11"/>
        <v>4765200</v>
      </c>
      <c r="T12" s="3">
        <v>45.3</v>
      </c>
      <c r="U12" s="3">
        <f t="shared" si="12"/>
        <v>860700</v>
      </c>
      <c r="V12" s="3">
        <v>61.1</v>
      </c>
      <c r="W12" s="3">
        <f t="shared" si="13"/>
        <v>1160900</v>
      </c>
      <c r="X12" s="3">
        <v>96.1</v>
      </c>
      <c r="Y12" s="3">
        <f t="shared" si="14"/>
        <v>1825900</v>
      </c>
      <c r="Z12" s="3">
        <f t="shared" si="15"/>
        <v>202.5</v>
      </c>
      <c r="AA12" s="3">
        <f t="shared" si="16"/>
        <v>3847500</v>
      </c>
      <c r="AB12" s="6">
        <v>81</v>
      </c>
      <c r="AC12" s="6">
        <f t="shared" si="17"/>
        <v>1539000</v>
      </c>
      <c r="AD12" s="6">
        <v>79</v>
      </c>
      <c r="AE12" s="6">
        <f t="shared" si="18"/>
        <v>1501000</v>
      </c>
      <c r="AF12" s="6">
        <v>87.8</v>
      </c>
      <c r="AG12" s="6">
        <f t="shared" si="19"/>
        <v>1668200</v>
      </c>
      <c r="AH12" s="6">
        <f t="shared" si="20"/>
        <v>247.8</v>
      </c>
      <c r="AI12" s="8">
        <f t="shared" si="21"/>
        <v>4708200</v>
      </c>
    </row>
    <row r="13" spans="1:35" ht="25" customHeight="1" x14ac:dyDescent="0.2">
      <c r="A13" s="1" t="s">
        <v>27</v>
      </c>
      <c r="B13" s="3">
        <f t="shared" si="0"/>
        <v>144.1</v>
      </c>
      <c r="C13" s="3">
        <f t="shared" si="1"/>
        <v>2737900</v>
      </c>
      <c r="D13" s="3">
        <v>9.1999999999999993</v>
      </c>
      <c r="E13" s="3">
        <f t="shared" si="2"/>
        <v>174800</v>
      </c>
      <c r="F13" s="3">
        <v>8.4</v>
      </c>
      <c r="G13" s="3">
        <f t="shared" si="3"/>
        <v>159600</v>
      </c>
      <c r="H13" s="3">
        <v>9.9</v>
      </c>
      <c r="I13" s="3">
        <f t="shared" si="4"/>
        <v>188100</v>
      </c>
      <c r="J13" s="3">
        <f t="shared" si="5"/>
        <v>27.5</v>
      </c>
      <c r="K13" s="3">
        <f t="shared" si="6"/>
        <v>522500</v>
      </c>
      <c r="L13" s="3">
        <v>13.6</v>
      </c>
      <c r="M13" s="3">
        <f t="shared" si="7"/>
        <v>258400</v>
      </c>
      <c r="N13" s="3">
        <v>15.5</v>
      </c>
      <c r="O13" s="3">
        <f t="shared" si="8"/>
        <v>294500</v>
      </c>
      <c r="P13" s="3">
        <v>12.1</v>
      </c>
      <c r="Q13" s="3">
        <f t="shared" si="9"/>
        <v>229900</v>
      </c>
      <c r="R13" s="3">
        <f t="shared" si="10"/>
        <v>41.2</v>
      </c>
      <c r="S13" s="3">
        <f t="shared" si="11"/>
        <v>782800</v>
      </c>
      <c r="T13" s="3">
        <v>13.6</v>
      </c>
      <c r="U13" s="3">
        <f t="shared" si="12"/>
        <v>258400</v>
      </c>
      <c r="V13" s="3">
        <v>15.4</v>
      </c>
      <c r="W13" s="3">
        <f t="shared" si="13"/>
        <v>292600</v>
      </c>
      <c r="X13" s="3">
        <v>9.9</v>
      </c>
      <c r="Y13" s="3">
        <f t="shared" si="14"/>
        <v>188100</v>
      </c>
      <c r="Z13" s="3">
        <f t="shared" si="15"/>
        <v>38.9</v>
      </c>
      <c r="AA13" s="3">
        <f t="shared" si="16"/>
        <v>739100</v>
      </c>
      <c r="AB13" s="6">
        <v>12.5</v>
      </c>
      <c r="AC13" s="6">
        <f t="shared" si="17"/>
        <v>237500</v>
      </c>
      <c r="AD13" s="6">
        <v>13.3</v>
      </c>
      <c r="AE13" s="6">
        <f t="shared" si="18"/>
        <v>252700</v>
      </c>
      <c r="AF13" s="6">
        <v>10.7</v>
      </c>
      <c r="AG13" s="6">
        <f t="shared" si="19"/>
        <v>203300</v>
      </c>
      <c r="AH13" s="6">
        <f t="shared" si="20"/>
        <v>36.5</v>
      </c>
      <c r="AI13" s="8">
        <f t="shared" si="21"/>
        <v>693500</v>
      </c>
    </row>
    <row r="14" spans="1:35" ht="25" customHeight="1" x14ac:dyDescent="0.2">
      <c r="A14" s="1" t="s">
        <v>28</v>
      </c>
      <c r="B14" s="3">
        <f t="shared" si="0"/>
        <v>564.1</v>
      </c>
      <c r="C14" s="3">
        <f t="shared" si="1"/>
        <v>10717900</v>
      </c>
      <c r="D14" s="3">
        <v>48.9</v>
      </c>
      <c r="E14" s="3">
        <f t="shared" si="2"/>
        <v>929100</v>
      </c>
      <c r="F14" s="3">
        <v>49</v>
      </c>
      <c r="G14" s="3">
        <f t="shared" si="3"/>
        <v>931000</v>
      </c>
      <c r="H14" s="3">
        <v>48.8</v>
      </c>
      <c r="I14" s="3">
        <f t="shared" si="4"/>
        <v>927200</v>
      </c>
      <c r="J14" s="3">
        <f t="shared" si="5"/>
        <v>146.69999999999999</v>
      </c>
      <c r="K14" s="3">
        <f t="shared" si="6"/>
        <v>2787300</v>
      </c>
      <c r="L14" s="3">
        <v>45.4</v>
      </c>
      <c r="M14" s="3">
        <f t="shared" si="7"/>
        <v>862600</v>
      </c>
      <c r="N14" s="3">
        <v>45.1</v>
      </c>
      <c r="O14" s="3">
        <f t="shared" si="8"/>
        <v>856900</v>
      </c>
      <c r="P14" s="3">
        <v>44.9</v>
      </c>
      <c r="Q14" s="3">
        <f t="shared" si="9"/>
        <v>853100</v>
      </c>
      <c r="R14" s="3">
        <f t="shared" si="10"/>
        <v>135.4</v>
      </c>
      <c r="S14" s="3">
        <f t="shared" si="11"/>
        <v>2572600</v>
      </c>
      <c r="T14" s="3">
        <v>45</v>
      </c>
      <c r="U14" s="3">
        <f t="shared" si="12"/>
        <v>855000</v>
      </c>
      <c r="V14" s="3">
        <v>45.2</v>
      </c>
      <c r="W14" s="3">
        <f t="shared" si="13"/>
        <v>858800</v>
      </c>
      <c r="X14" s="3">
        <v>45.2</v>
      </c>
      <c r="Y14" s="3">
        <f t="shared" si="14"/>
        <v>858800</v>
      </c>
      <c r="Z14" s="3">
        <f t="shared" si="15"/>
        <v>135.4</v>
      </c>
      <c r="AA14" s="3">
        <f t="shared" si="16"/>
        <v>2572600</v>
      </c>
      <c r="AB14" s="6">
        <v>48.8</v>
      </c>
      <c r="AC14" s="6">
        <f t="shared" si="17"/>
        <v>927200</v>
      </c>
      <c r="AD14" s="6">
        <v>48.8</v>
      </c>
      <c r="AE14" s="6">
        <f t="shared" si="18"/>
        <v>927200</v>
      </c>
      <c r="AF14" s="6">
        <v>49</v>
      </c>
      <c r="AG14" s="6">
        <f t="shared" si="19"/>
        <v>931000</v>
      </c>
      <c r="AH14" s="6">
        <f t="shared" si="20"/>
        <v>146.6</v>
      </c>
      <c r="AI14" s="8">
        <f t="shared" si="21"/>
        <v>2785400</v>
      </c>
    </row>
    <row r="15" spans="1:35" ht="25" customHeight="1" x14ac:dyDescent="0.2">
      <c r="A15" s="1" t="s">
        <v>29</v>
      </c>
      <c r="B15" s="3">
        <f t="shared" si="0"/>
        <v>283.60000000000002</v>
      </c>
      <c r="C15" s="3">
        <f t="shared" si="1"/>
        <v>5388400</v>
      </c>
      <c r="D15" s="3">
        <f>4.1+14.3</f>
        <v>18.399999999999999</v>
      </c>
      <c r="E15" s="3">
        <f t="shared" si="2"/>
        <v>349600</v>
      </c>
      <c r="F15" s="3">
        <f>3.7+18.1</f>
        <v>21.8</v>
      </c>
      <c r="G15" s="3">
        <f t="shared" si="3"/>
        <v>414200</v>
      </c>
      <c r="H15" s="3">
        <f>3.2+24.1</f>
        <v>27.3</v>
      </c>
      <c r="I15" s="3">
        <f t="shared" si="4"/>
        <v>518700</v>
      </c>
      <c r="J15" s="3">
        <f t="shared" si="5"/>
        <v>67.5</v>
      </c>
      <c r="K15" s="3">
        <f t="shared" si="6"/>
        <v>1282500</v>
      </c>
      <c r="L15" s="3">
        <f>6.7+18.7</f>
        <v>25.4</v>
      </c>
      <c r="M15" s="3">
        <f t="shared" si="7"/>
        <v>482600</v>
      </c>
      <c r="N15" s="3">
        <f>5.4+22.3</f>
        <v>27.700000000000003</v>
      </c>
      <c r="O15" s="3">
        <f t="shared" si="8"/>
        <v>526300</v>
      </c>
      <c r="P15" s="3">
        <f>7.3+17.2</f>
        <v>24.5</v>
      </c>
      <c r="Q15" s="3">
        <f t="shared" si="9"/>
        <v>465500</v>
      </c>
      <c r="R15" s="3">
        <f t="shared" si="10"/>
        <v>77.599999999999994</v>
      </c>
      <c r="S15" s="3">
        <f t="shared" si="11"/>
        <v>1474400</v>
      </c>
      <c r="T15" s="6">
        <f>4.9+20.3</f>
        <v>25.200000000000003</v>
      </c>
      <c r="U15" s="3">
        <f t="shared" si="12"/>
        <v>478800.00000000006</v>
      </c>
      <c r="V15" s="6">
        <f>5.7+17.2</f>
        <v>22.9</v>
      </c>
      <c r="W15" s="3">
        <f t="shared" si="13"/>
        <v>435100</v>
      </c>
      <c r="X15" s="6">
        <f>22.7+5.2</f>
        <v>27.9</v>
      </c>
      <c r="Y15" s="3">
        <f t="shared" si="14"/>
        <v>530100</v>
      </c>
      <c r="Z15" s="3">
        <f t="shared" si="15"/>
        <v>76</v>
      </c>
      <c r="AA15" s="3">
        <f t="shared" si="16"/>
        <v>1444000</v>
      </c>
      <c r="AB15" s="6">
        <f>4.8+17.1</f>
        <v>21.900000000000002</v>
      </c>
      <c r="AC15" s="6">
        <f t="shared" si="17"/>
        <v>416100.00000000006</v>
      </c>
      <c r="AD15" s="6">
        <f>5.7+15.6</f>
        <v>21.3</v>
      </c>
      <c r="AE15" s="6">
        <f t="shared" si="18"/>
        <v>404700</v>
      </c>
      <c r="AF15" s="6">
        <f>4.5+14.8</f>
        <v>19.3</v>
      </c>
      <c r="AG15" s="6">
        <f t="shared" si="19"/>
        <v>366700</v>
      </c>
      <c r="AH15" s="6">
        <f t="shared" si="20"/>
        <v>62.5</v>
      </c>
      <c r="AI15" s="8">
        <f t="shared" si="21"/>
        <v>1187500</v>
      </c>
    </row>
    <row r="16" spans="1:35" ht="25" customHeight="1" x14ac:dyDescent="0.2">
      <c r="A16" s="1" t="s">
        <v>33</v>
      </c>
      <c r="B16" s="3">
        <f t="shared" si="0"/>
        <v>195.7</v>
      </c>
      <c r="C16" s="3">
        <f t="shared" si="1"/>
        <v>3718300</v>
      </c>
      <c r="D16" s="3">
        <f>11.7+1.2+4.2</f>
        <v>17.099999999999998</v>
      </c>
      <c r="E16" s="3">
        <f t="shared" si="2"/>
        <v>324899.99999999994</v>
      </c>
      <c r="F16" s="3">
        <f>12+1.2+4.5</f>
        <v>17.7</v>
      </c>
      <c r="G16" s="3">
        <f t="shared" si="3"/>
        <v>336300</v>
      </c>
      <c r="H16" s="3">
        <f>12.5+1.3+5.2</f>
        <v>19</v>
      </c>
      <c r="I16" s="3">
        <f t="shared" si="4"/>
        <v>361000</v>
      </c>
      <c r="J16" s="3">
        <f t="shared" si="5"/>
        <v>53.8</v>
      </c>
      <c r="K16" s="3">
        <f t="shared" si="6"/>
        <v>1022200</v>
      </c>
      <c r="L16" s="3">
        <f>12+1.3+4.3</f>
        <v>17.600000000000001</v>
      </c>
      <c r="M16" s="3">
        <f t="shared" si="7"/>
        <v>334400</v>
      </c>
      <c r="N16" s="3">
        <f>12.2+1.3+5.3</f>
        <v>18.8</v>
      </c>
      <c r="O16" s="3">
        <f t="shared" si="8"/>
        <v>357200</v>
      </c>
      <c r="P16" s="3">
        <f>11.6+0.6+4.2</f>
        <v>16.399999999999999</v>
      </c>
      <c r="Q16" s="3">
        <f t="shared" si="9"/>
        <v>311600</v>
      </c>
      <c r="R16" s="3">
        <f t="shared" si="10"/>
        <v>52.800000000000004</v>
      </c>
      <c r="S16" s="3">
        <f t="shared" si="11"/>
        <v>1003200.0000000001</v>
      </c>
      <c r="T16" s="3">
        <f>11.4+0.6+2.6</f>
        <v>14.6</v>
      </c>
      <c r="U16" s="3">
        <f t="shared" si="12"/>
        <v>277400</v>
      </c>
      <c r="V16" s="3">
        <f>7.1+0.5+2.5</f>
        <v>10.1</v>
      </c>
      <c r="W16" s="3">
        <f t="shared" si="13"/>
        <v>191900</v>
      </c>
      <c r="X16" s="3">
        <f>6.4+0.5+2.2</f>
        <v>9.1000000000000014</v>
      </c>
      <c r="Y16" s="3">
        <f t="shared" si="14"/>
        <v>172900.00000000003</v>
      </c>
      <c r="Z16" s="3">
        <f t="shared" si="15"/>
        <v>33.799999999999997</v>
      </c>
      <c r="AA16" s="3">
        <f t="shared" si="16"/>
        <v>642200</v>
      </c>
      <c r="AB16" s="6">
        <f>9.4+1.8+4</f>
        <v>15.200000000000001</v>
      </c>
      <c r="AC16" s="3">
        <f>AB16*19000</f>
        <v>288800</v>
      </c>
      <c r="AD16" s="6">
        <v>19.899999999999999</v>
      </c>
      <c r="AE16" s="3">
        <f t="shared" si="18"/>
        <v>378100</v>
      </c>
      <c r="AF16" s="6">
        <f>12.6+2+5.6</f>
        <v>20.2</v>
      </c>
      <c r="AG16" s="6">
        <f t="shared" si="19"/>
        <v>383800</v>
      </c>
      <c r="AH16" s="6">
        <f t="shared" si="20"/>
        <v>55.3</v>
      </c>
      <c r="AI16" s="8">
        <f t="shared" si="21"/>
        <v>1050700</v>
      </c>
    </row>
    <row r="17" spans="1:35" ht="25" customHeight="1" x14ac:dyDescent="0.2">
      <c r="A17" s="1" t="s">
        <v>35</v>
      </c>
      <c r="B17" s="3">
        <f t="shared" si="0"/>
        <v>14.937000000000001</v>
      </c>
      <c r="C17" s="3">
        <f t="shared" si="1"/>
        <v>283803</v>
      </c>
      <c r="D17" s="3">
        <f>0.06+0.386+0.865</f>
        <v>1.3109999999999999</v>
      </c>
      <c r="E17" s="3">
        <f t="shared" si="2"/>
        <v>24909</v>
      </c>
      <c r="F17" s="3">
        <f>0.064+0.402+0.937</f>
        <v>1.403</v>
      </c>
      <c r="G17" s="3">
        <f t="shared" si="3"/>
        <v>26657</v>
      </c>
      <c r="H17" s="3">
        <f>0.073+0.426+0.974</f>
        <v>1.4729999999999999</v>
      </c>
      <c r="I17" s="3">
        <f t="shared" si="4"/>
        <v>27986.999999999996</v>
      </c>
      <c r="J17" s="3">
        <f t="shared" si="5"/>
        <v>4.1869999999999994</v>
      </c>
      <c r="K17" s="3">
        <f t="shared" si="6"/>
        <v>79552.999999999985</v>
      </c>
      <c r="L17" s="3">
        <f>0.077+0.448+1.022</f>
        <v>1.5470000000000002</v>
      </c>
      <c r="M17" s="3">
        <f t="shared" si="7"/>
        <v>29393.000000000004</v>
      </c>
      <c r="N17" s="3">
        <f>0.08+0.453+1.032</f>
        <v>1.5649999999999999</v>
      </c>
      <c r="O17" s="3">
        <f t="shared" si="8"/>
        <v>29735</v>
      </c>
      <c r="P17" s="3">
        <f>0.082+0.459+1.044</f>
        <v>1.585</v>
      </c>
      <c r="Q17" s="3">
        <f t="shared" si="9"/>
        <v>30115</v>
      </c>
      <c r="R17" s="3">
        <f t="shared" si="10"/>
        <v>4.6970000000000001</v>
      </c>
      <c r="S17" s="3">
        <f t="shared" si="11"/>
        <v>89243</v>
      </c>
      <c r="T17" s="3">
        <f>0.065+0.25+0.635</f>
        <v>0.95</v>
      </c>
      <c r="U17" s="3">
        <f t="shared" si="12"/>
        <v>18050</v>
      </c>
      <c r="V17" s="3">
        <f>0.05+0.181+0.487</f>
        <v>0.71799999999999997</v>
      </c>
      <c r="W17" s="3">
        <f t="shared" si="13"/>
        <v>13642</v>
      </c>
      <c r="X17" s="3">
        <f>0.06+0.232+0.598</f>
        <v>0.89</v>
      </c>
      <c r="Y17" s="3">
        <f t="shared" si="14"/>
        <v>16910</v>
      </c>
      <c r="Z17" s="3">
        <f t="shared" si="15"/>
        <v>2.5579999999999998</v>
      </c>
      <c r="AA17" s="3">
        <f t="shared" si="16"/>
        <v>48602</v>
      </c>
      <c r="AB17" s="3">
        <v>1.03</v>
      </c>
      <c r="AC17" s="3">
        <f t="shared" si="17"/>
        <v>19570</v>
      </c>
      <c r="AD17" s="3">
        <v>1.1299999999999999</v>
      </c>
      <c r="AE17" s="3">
        <f t="shared" si="18"/>
        <v>21469.999999999996</v>
      </c>
      <c r="AF17" s="6">
        <f>0.935+0.085+0.315</f>
        <v>1.335</v>
      </c>
      <c r="AG17" s="6">
        <f t="shared" si="19"/>
        <v>25365</v>
      </c>
      <c r="AH17" s="6">
        <f t="shared" si="20"/>
        <v>3.4950000000000001</v>
      </c>
      <c r="AI17" s="8">
        <f t="shared" si="21"/>
        <v>66405</v>
      </c>
    </row>
    <row r="18" spans="1:35" ht="25" customHeight="1" x14ac:dyDescent="0.2">
      <c r="A18" s="1" t="s">
        <v>37</v>
      </c>
      <c r="B18" s="3">
        <f t="shared" si="0"/>
        <v>66.2</v>
      </c>
      <c r="C18" s="3">
        <f t="shared" si="1"/>
        <v>1257800</v>
      </c>
      <c r="D18" s="3">
        <v>6</v>
      </c>
      <c r="E18" s="3">
        <f t="shared" si="2"/>
        <v>114000</v>
      </c>
      <c r="F18" s="3">
        <v>4.9000000000000004</v>
      </c>
      <c r="G18" s="3">
        <f t="shared" si="3"/>
        <v>93100</v>
      </c>
      <c r="H18" s="3">
        <v>6.2</v>
      </c>
      <c r="I18" s="3">
        <f t="shared" si="4"/>
        <v>117800</v>
      </c>
      <c r="J18" s="3">
        <f t="shared" si="5"/>
        <v>17.100000000000001</v>
      </c>
      <c r="K18" s="3">
        <f t="shared" si="6"/>
        <v>324900</v>
      </c>
      <c r="L18" s="3">
        <v>7.9</v>
      </c>
      <c r="M18" s="3">
        <f t="shared" si="7"/>
        <v>150100</v>
      </c>
      <c r="N18" s="3">
        <v>8.5</v>
      </c>
      <c r="O18" s="3">
        <f t="shared" si="8"/>
        <v>161500</v>
      </c>
      <c r="P18" s="3">
        <v>7.7</v>
      </c>
      <c r="Q18" s="3">
        <f t="shared" si="9"/>
        <v>146300</v>
      </c>
      <c r="R18" s="3">
        <f t="shared" si="10"/>
        <v>24.099999999999998</v>
      </c>
      <c r="S18" s="3">
        <f t="shared" si="11"/>
        <v>457899.99999999994</v>
      </c>
      <c r="T18" s="3">
        <v>7</v>
      </c>
      <c r="U18" s="3">
        <f t="shared" si="12"/>
        <v>133000</v>
      </c>
      <c r="V18" s="3">
        <v>6</v>
      </c>
      <c r="W18" s="3">
        <f t="shared" si="13"/>
        <v>114000</v>
      </c>
      <c r="X18" s="3">
        <v>3.7</v>
      </c>
      <c r="Y18" s="3">
        <f t="shared" si="14"/>
        <v>70300</v>
      </c>
      <c r="Z18" s="3">
        <f t="shared" si="15"/>
        <v>16.7</v>
      </c>
      <c r="AA18" s="3">
        <f t="shared" si="16"/>
        <v>317300</v>
      </c>
      <c r="AB18" s="3">
        <v>3.1</v>
      </c>
      <c r="AC18" s="3">
        <f t="shared" si="17"/>
        <v>58900</v>
      </c>
      <c r="AD18" s="3">
        <v>2.5</v>
      </c>
      <c r="AE18" s="3">
        <f t="shared" si="18"/>
        <v>47500</v>
      </c>
      <c r="AF18" s="6">
        <v>2.7</v>
      </c>
      <c r="AG18" s="6">
        <f t="shared" si="19"/>
        <v>51300</v>
      </c>
      <c r="AH18" s="6">
        <f t="shared" si="20"/>
        <v>8.3000000000000007</v>
      </c>
      <c r="AI18" s="8">
        <f t="shared" si="21"/>
        <v>157700</v>
      </c>
    </row>
    <row r="19" spans="1:35" ht="25" customHeight="1" x14ac:dyDescent="0.2">
      <c r="A19" s="1" t="s">
        <v>39</v>
      </c>
      <c r="B19" s="3">
        <f t="shared" si="0"/>
        <v>22.2</v>
      </c>
      <c r="C19" s="3">
        <f t="shared" si="1"/>
        <v>421800</v>
      </c>
      <c r="D19" s="3">
        <v>1.2</v>
      </c>
      <c r="E19" s="3">
        <f t="shared" si="2"/>
        <v>22800</v>
      </c>
      <c r="F19" s="3">
        <v>1.3</v>
      </c>
      <c r="G19" s="3">
        <f t="shared" si="3"/>
        <v>24700</v>
      </c>
      <c r="H19" s="3">
        <v>1.5</v>
      </c>
      <c r="I19" s="3">
        <f t="shared" si="4"/>
        <v>28500</v>
      </c>
      <c r="J19" s="3">
        <f t="shared" si="5"/>
        <v>4</v>
      </c>
      <c r="K19" s="3">
        <f t="shared" si="6"/>
        <v>76000</v>
      </c>
      <c r="L19" s="3">
        <v>1.6</v>
      </c>
      <c r="M19" s="3">
        <f t="shared" si="7"/>
        <v>30400</v>
      </c>
      <c r="N19" s="3">
        <v>1.8</v>
      </c>
      <c r="O19" s="3">
        <f t="shared" si="8"/>
        <v>34200</v>
      </c>
      <c r="P19" s="3">
        <v>1.8</v>
      </c>
      <c r="Q19" s="3">
        <f t="shared" si="9"/>
        <v>34200</v>
      </c>
      <c r="R19" s="3">
        <f t="shared" si="10"/>
        <v>5.2</v>
      </c>
      <c r="S19" s="3">
        <f t="shared" si="11"/>
        <v>98800</v>
      </c>
      <c r="T19" s="3">
        <v>1.6</v>
      </c>
      <c r="U19" s="3">
        <f t="shared" si="12"/>
        <v>30400</v>
      </c>
      <c r="V19" s="3">
        <v>1.5</v>
      </c>
      <c r="W19" s="3">
        <f t="shared" si="13"/>
        <v>28500</v>
      </c>
      <c r="X19" s="3">
        <v>2.8</v>
      </c>
      <c r="Y19" s="3">
        <f t="shared" si="14"/>
        <v>53200</v>
      </c>
      <c r="Z19" s="3">
        <f t="shared" si="15"/>
        <v>5.9</v>
      </c>
      <c r="AA19" s="3">
        <f t="shared" si="16"/>
        <v>112100</v>
      </c>
      <c r="AB19" s="3">
        <v>2.5</v>
      </c>
      <c r="AC19" s="3">
        <f t="shared" si="17"/>
        <v>47500</v>
      </c>
      <c r="AD19" s="3">
        <v>2.4</v>
      </c>
      <c r="AE19" s="3">
        <f t="shared" si="18"/>
        <v>45600</v>
      </c>
      <c r="AF19" s="6">
        <v>2.2000000000000002</v>
      </c>
      <c r="AG19" s="6">
        <f t="shared" si="19"/>
        <v>41800</v>
      </c>
      <c r="AH19" s="6">
        <f t="shared" si="20"/>
        <v>7.1000000000000005</v>
      </c>
      <c r="AI19" s="8">
        <f t="shared" si="21"/>
        <v>134900</v>
      </c>
    </row>
    <row r="20" spans="1:35" ht="25" customHeight="1" x14ac:dyDescent="0.2">
      <c r="A20" s="1" t="s">
        <v>43</v>
      </c>
      <c r="B20" s="3">
        <f t="shared" si="0"/>
        <v>78.88900000000001</v>
      </c>
      <c r="C20" s="3">
        <f t="shared" si="1"/>
        <v>1498891.0000000002</v>
      </c>
      <c r="D20" s="3">
        <v>9.1999999999999993</v>
      </c>
      <c r="E20" s="3">
        <f t="shared" si="2"/>
        <v>174800</v>
      </c>
      <c r="F20" s="3">
        <v>8.6</v>
      </c>
      <c r="G20" s="3">
        <f t="shared" si="3"/>
        <v>163400</v>
      </c>
      <c r="H20" s="3">
        <v>4.5</v>
      </c>
      <c r="I20" s="3">
        <f t="shared" si="4"/>
        <v>85500</v>
      </c>
      <c r="J20" s="3">
        <f t="shared" si="5"/>
        <v>22.299999999999997</v>
      </c>
      <c r="K20" s="3">
        <f t="shared" si="6"/>
        <v>423699.99999999994</v>
      </c>
      <c r="L20" s="3">
        <v>4.4000000000000004</v>
      </c>
      <c r="M20" s="3">
        <f t="shared" si="7"/>
        <v>83600</v>
      </c>
      <c r="N20" s="3">
        <v>6.1</v>
      </c>
      <c r="O20" s="3">
        <f t="shared" si="8"/>
        <v>115900</v>
      </c>
      <c r="P20" s="3">
        <f>1.52+5.76</f>
        <v>7.2799999999999994</v>
      </c>
      <c r="Q20" s="3">
        <f t="shared" si="9"/>
        <v>138320</v>
      </c>
      <c r="R20" s="3">
        <f t="shared" si="10"/>
        <v>17.78</v>
      </c>
      <c r="S20" s="3">
        <f t="shared" si="11"/>
        <v>337820</v>
      </c>
      <c r="T20" s="3">
        <f>1.1+5.6</f>
        <v>6.6999999999999993</v>
      </c>
      <c r="U20" s="3">
        <f t="shared" si="12"/>
        <v>127299.99999999999</v>
      </c>
      <c r="V20" s="3">
        <f>1.2+5.4</f>
        <v>6.6000000000000005</v>
      </c>
      <c r="W20" s="3">
        <f t="shared" si="13"/>
        <v>125400.00000000001</v>
      </c>
      <c r="X20" s="3">
        <f>0.8+5.5</f>
        <v>6.3</v>
      </c>
      <c r="Y20" s="3">
        <f t="shared" si="14"/>
        <v>119700</v>
      </c>
      <c r="Z20" s="3">
        <f t="shared" si="15"/>
        <v>19.600000000000001</v>
      </c>
      <c r="AA20" s="3">
        <f t="shared" si="16"/>
        <v>372400</v>
      </c>
      <c r="AB20" s="3">
        <f>3.909+1.3</f>
        <v>5.2089999999999996</v>
      </c>
      <c r="AC20" s="3">
        <f t="shared" si="17"/>
        <v>98971</v>
      </c>
      <c r="AD20" s="6">
        <f>5.2+0.9</f>
        <v>6.1000000000000005</v>
      </c>
      <c r="AE20" s="3">
        <f t="shared" si="18"/>
        <v>115900.00000000001</v>
      </c>
      <c r="AF20" s="6">
        <f>5.4+2.5</f>
        <v>7.9</v>
      </c>
      <c r="AG20" s="6">
        <f t="shared" si="19"/>
        <v>150100</v>
      </c>
      <c r="AH20" s="6">
        <f t="shared" si="20"/>
        <v>19.209000000000003</v>
      </c>
      <c r="AI20" s="8">
        <f t="shared" si="21"/>
        <v>364971.00000000006</v>
      </c>
    </row>
    <row r="21" spans="1:35" ht="25" customHeight="1" x14ac:dyDescent="0.2">
      <c r="A21" s="1" t="s">
        <v>65</v>
      </c>
      <c r="B21" s="3">
        <f t="shared" si="0"/>
        <v>183.34</v>
      </c>
      <c r="C21" s="3">
        <f t="shared" si="1"/>
        <v>3483460</v>
      </c>
      <c r="D21" s="3">
        <v>13.33</v>
      </c>
      <c r="E21" s="3">
        <f t="shared" si="2"/>
        <v>253270</v>
      </c>
      <c r="F21" s="3">
        <v>13.95</v>
      </c>
      <c r="G21" s="3">
        <f t="shared" si="3"/>
        <v>265050</v>
      </c>
      <c r="H21" s="3">
        <v>19.2</v>
      </c>
      <c r="I21" s="3">
        <f t="shared" si="4"/>
        <v>364800</v>
      </c>
      <c r="J21" s="3">
        <f t="shared" si="5"/>
        <v>46.480000000000004</v>
      </c>
      <c r="K21" s="3">
        <f t="shared" si="6"/>
        <v>883120.00000000012</v>
      </c>
      <c r="L21" s="3">
        <v>13.7</v>
      </c>
      <c r="M21" s="3">
        <f t="shared" si="7"/>
        <v>260300</v>
      </c>
      <c r="N21" s="3">
        <v>22.2</v>
      </c>
      <c r="O21" s="3">
        <f t="shared" si="8"/>
        <v>421800</v>
      </c>
      <c r="P21" s="3">
        <v>22.4</v>
      </c>
      <c r="Q21" s="3">
        <f t="shared" si="9"/>
        <v>425600</v>
      </c>
      <c r="R21" s="3">
        <f t="shared" si="10"/>
        <v>58.3</v>
      </c>
      <c r="S21" s="3">
        <f t="shared" si="11"/>
        <v>1107700</v>
      </c>
      <c r="T21" s="3">
        <v>14.84</v>
      </c>
      <c r="U21" s="3">
        <f t="shared" si="12"/>
        <v>281960</v>
      </c>
      <c r="V21" s="3">
        <v>11.46</v>
      </c>
      <c r="W21" s="3">
        <f t="shared" si="13"/>
        <v>217740.00000000003</v>
      </c>
      <c r="X21" s="3">
        <v>15.73</v>
      </c>
      <c r="Y21" s="3">
        <f t="shared" si="14"/>
        <v>298870</v>
      </c>
      <c r="Z21" s="3">
        <f t="shared" si="15"/>
        <v>42.03</v>
      </c>
      <c r="AA21" s="3">
        <f t="shared" si="16"/>
        <v>798570</v>
      </c>
      <c r="AB21" s="3">
        <v>15.58</v>
      </c>
      <c r="AC21" s="3">
        <f t="shared" si="17"/>
        <v>296020</v>
      </c>
      <c r="AD21" s="6">
        <v>10.75</v>
      </c>
      <c r="AE21" s="6">
        <f t="shared" si="18"/>
        <v>204250</v>
      </c>
      <c r="AF21" s="6">
        <v>10.199999999999999</v>
      </c>
      <c r="AG21" s="6">
        <f t="shared" si="19"/>
        <v>193800</v>
      </c>
      <c r="AH21" s="6">
        <f t="shared" si="20"/>
        <v>36.53</v>
      </c>
      <c r="AI21" s="8">
        <f t="shared" si="21"/>
        <v>694070</v>
      </c>
    </row>
    <row r="22" spans="1:35" ht="25" customHeight="1" x14ac:dyDescent="0.2">
      <c r="A22" s="1" t="s">
        <v>66</v>
      </c>
      <c r="B22" s="3">
        <f t="shared" si="0"/>
        <v>151.4</v>
      </c>
      <c r="C22" s="3">
        <f t="shared" si="1"/>
        <v>2876600</v>
      </c>
      <c r="D22" s="3">
        <v>20.5</v>
      </c>
      <c r="E22" s="3">
        <f t="shared" si="2"/>
        <v>389500</v>
      </c>
      <c r="F22" s="3">
        <v>12.4</v>
      </c>
      <c r="G22" s="3">
        <f t="shared" si="3"/>
        <v>235600</v>
      </c>
      <c r="H22" s="3">
        <v>9.8000000000000007</v>
      </c>
      <c r="I22" s="3">
        <f t="shared" si="4"/>
        <v>186200</v>
      </c>
      <c r="J22" s="3">
        <f t="shared" si="5"/>
        <v>42.7</v>
      </c>
      <c r="K22" s="3">
        <f t="shared" si="6"/>
        <v>811300</v>
      </c>
      <c r="L22" s="3">
        <v>15.4</v>
      </c>
      <c r="M22" s="3">
        <f t="shared" si="7"/>
        <v>292600</v>
      </c>
      <c r="N22" s="3">
        <v>12.6</v>
      </c>
      <c r="O22" s="3">
        <f t="shared" si="8"/>
        <v>239400</v>
      </c>
      <c r="P22" s="3">
        <v>9.6999999999999993</v>
      </c>
      <c r="Q22" s="3">
        <f t="shared" si="9"/>
        <v>184300</v>
      </c>
      <c r="R22" s="3">
        <f t="shared" si="10"/>
        <v>37.700000000000003</v>
      </c>
      <c r="S22" s="3">
        <f t="shared" si="11"/>
        <v>716300</v>
      </c>
      <c r="T22" s="3">
        <v>9.9</v>
      </c>
      <c r="U22" s="3">
        <f t="shared" si="12"/>
        <v>188100</v>
      </c>
      <c r="V22" s="3">
        <v>14.1</v>
      </c>
      <c r="W22" s="3">
        <f t="shared" si="13"/>
        <v>267900</v>
      </c>
      <c r="X22" s="3">
        <v>12.9</v>
      </c>
      <c r="Y22" s="3">
        <f t="shared" si="14"/>
        <v>245100</v>
      </c>
      <c r="Z22" s="3">
        <f t="shared" si="15"/>
        <v>36.9</v>
      </c>
      <c r="AA22" s="3">
        <f t="shared" si="16"/>
        <v>701100</v>
      </c>
      <c r="AB22" s="3">
        <v>11.8</v>
      </c>
      <c r="AC22" s="3">
        <f t="shared" si="17"/>
        <v>224200</v>
      </c>
      <c r="AD22" s="3">
        <v>10.6</v>
      </c>
      <c r="AE22" s="3">
        <f t="shared" si="18"/>
        <v>201400</v>
      </c>
      <c r="AF22" s="6">
        <v>11.7</v>
      </c>
      <c r="AG22" s="6">
        <f t="shared" si="19"/>
        <v>222300</v>
      </c>
      <c r="AH22" s="6">
        <f t="shared" si="20"/>
        <v>34.099999999999994</v>
      </c>
      <c r="AI22" s="8">
        <f t="shared" si="21"/>
        <v>647899.99999999988</v>
      </c>
    </row>
    <row r="23" spans="1:35" ht="25" customHeight="1" x14ac:dyDescent="0.2">
      <c r="A23" s="1" t="s">
        <v>67</v>
      </c>
      <c r="B23" s="3">
        <f t="shared" si="0"/>
        <v>679.95</v>
      </c>
      <c r="C23" s="3">
        <f t="shared" si="1"/>
        <v>12919050</v>
      </c>
      <c r="D23" s="3">
        <v>70</v>
      </c>
      <c r="E23" s="3">
        <f t="shared" si="2"/>
        <v>1330000</v>
      </c>
      <c r="F23" s="3">
        <v>68.75</v>
      </c>
      <c r="G23" s="3">
        <f t="shared" si="3"/>
        <v>1306250</v>
      </c>
      <c r="H23" s="3">
        <v>68</v>
      </c>
      <c r="I23" s="3">
        <f t="shared" si="4"/>
        <v>1292000</v>
      </c>
      <c r="J23" s="3">
        <f t="shared" si="5"/>
        <v>206.75</v>
      </c>
      <c r="K23" s="3">
        <f t="shared" si="6"/>
        <v>3928250</v>
      </c>
      <c r="L23" s="3">
        <v>60</v>
      </c>
      <c r="M23" s="3">
        <f t="shared" si="7"/>
        <v>1140000</v>
      </c>
      <c r="N23" s="3">
        <v>57</v>
      </c>
      <c r="O23" s="3">
        <f t="shared" si="8"/>
        <v>1083000</v>
      </c>
      <c r="P23" s="3">
        <v>54</v>
      </c>
      <c r="Q23" s="3">
        <f t="shared" si="9"/>
        <v>1026000</v>
      </c>
      <c r="R23" s="3">
        <f t="shared" si="10"/>
        <v>171</v>
      </c>
      <c r="S23" s="3">
        <f t="shared" si="11"/>
        <v>3249000</v>
      </c>
      <c r="T23" s="3">
        <v>49.2</v>
      </c>
      <c r="U23" s="3">
        <f t="shared" si="12"/>
        <v>934800</v>
      </c>
      <c r="V23" s="3">
        <v>45</v>
      </c>
      <c r="W23" s="3">
        <f t="shared" si="13"/>
        <v>855000</v>
      </c>
      <c r="X23" s="3">
        <v>42</v>
      </c>
      <c r="Y23" s="3">
        <f t="shared" si="14"/>
        <v>798000</v>
      </c>
      <c r="Z23" s="3">
        <f t="shared" si="15"/>
        <v>136.19999999999999</v>
      </c>
      <c r="AA23" s="3">
        <f t="shared" si="16"/>
        <v>2587800</v>
      </c>
      <c r="AB23" s="3">
        <v>45</v>
      </c>
      <c r="AC23" s="3">
        <f t="shared" si="17"/>
        <v>855000</v>
      </c>
      <c r="AD23" s="6">
        <v>56</v>
      </c>
      <c r="AE23" s="3">
        <f t="shared" si="18"/>
        <v>1064000</v>
      </c>
      <c r="AF23" s="6">
        <v>65</v>
      </c>
      <c r="AG23" s="6">
        <f t="shared" si="19"/>
        <v>1235000</v>
      </c>
      <c r="AH23" s="6">
        <f t="shared" si="20"/>
        <v>166</v>
      </c>
      <c r="AI23" s="8">
        <f t="shared" si="21"/>
        <v>3154000</v>
      </c>
    </row>
    <row r="24" spans="1:35" ht="25" customHeight="1" x14ac:dyDescent="0.2">
      <c r="A24" s="1" t="s">
        <v>68</v>
      </c>
      <c r="B24" s="3">
        <f t="shared" si="0"/>
        <v>510.1</v>
      </c>
      <c r="C24" s="3">
        <f t="shared" si="1"/>
        <v>9691900</v>
      </c>
      <c r="D24" s="3">
        <v>41.2</v>
      </c>
      <c r="E24" s="3">
        <f t="shared" si="2"/>
        <v>782800</v>
      </c>
      <c r="F24" s="3">
        <v>41.1</v>
      </c>
      <c r="G24" s="3">
        <f t="shared" si="3"/>
        <v>780900</v>
      </c>
      <c r="H24" s="3">
        <v>42.4</v>
      </c>
      <c r="I24" s="3">
        <f t="shared" si="4"/>
        <v>805600</v>
      </c>
      <c r="J24" s="3">
        <f t="shared" si="5"/>
        <v>124.70000000000002</v>
      </c>
      <c r="K24" s="3">
        <f t="shared" si="6"/>
        <v>2369300.0000000005</v>
      </c>
      <c r="L24" s="3">
        <v>42.7</v>
      </c>
      <c r="M24" s="3">
        <f t="shared" si="7"/>
        <v>811300</v>
      </c>
      <c r="N24" s="3">
        <v>43.8</v>
      </c>
      <c r="O24" s="3">
        <f t="shared" si="8"/>
        <v>832200</v>
      </c>
      <c r="P24" s="3">
        <v>44.4</v>
      </c>
      <c r="Q24" s="3">
        <f t="shared" si="9"/>
        <v>843600</v>
      </c>
      <c r="R24" s="3">
        <f t="shared" si="10"/>
        <v>130.9</v>
      </c>
      <c r="S24" s="3">
        <f t="shared" si="11"/>
        <v>2487100</v>
      </c>
      <c r="T24" s="3">
        <v>43.9</v>
      </c>
      <c r="U24" s="3">
        <f t="shared" si="12"/>
        <v>834100</v>
      </c>
      <c r="V24" s="3">
        <v>43.5</v>
      </c>
      <c r="W24" s="3">
        <f t="shared" si="13"/>
        <v>826500</v>
      </c>
      <c r="X24" s="3">
        <v>42.5</v>
      </c>
      <c r="Y24" s="3">
        <f t="shared" si="14"/>
        <v>807500</v>
      </c>
      <c r="Z24" s="3">
        <f t="shared" si="15"/>
        <v>129.9</v>
      </c>
      <c r="AA24" s="3">
        <f t="shared" si="16"/>
        <v>2468100</v>
      </c>
      <c r="AB24" s="3">
        <v>42</v>
      </c>
      <c r="AC24" s="3">
        <f t="shared" si="17"/>
        <v>798000</v>
      </c>
      <c r="AD24" s="3">
        <v>41.5</v>
      </c>
      <c r="AE24" s="3">
        <f t="shared" si="18"/>
        <v>788500</v>
      </c>
      <c r="AF24" s="6">
        <v>41.1</v>
      </c>
      <c r="AG24" s="6">
        <f t="shared" si="19"/>
        <v>780900</v>
      </c>
      <c r="AH24" s="6">
        <f t="shared" si="20"/>
        <v>124.6</v>
      </c>
      <c r="AI24" s="8">
        <f t="shared" si="21"/>
        <v>2367400</v>
      </c>
    </row>
    <row r="25" spans="1:35" ht="25" customHeight="1" x14ac:dyDescent="0.2">
      <c r="A25" s="1" t="s">
        <v>69</v>
      </c>
      <c r="B25" s="3">
        <f t="shared" si="0"/>
        <v>47</v>
      </c>
      <c r="C25" s="3">
        <f t="shared" si="1"/>
        <v>893000</v>
      </c>
      <c r="D25" s="3">
        <v>4.0999999999999996</v>
      </c>
      <c r="E25" s="3">
        <f t="shared" si="2"/>
        <v>77900</v>
      </c>
      <c r="F25" s="3">
        <v>4.0999999999999996</v>
      </c>
      <c r="G25" s="3">
        <f t="shared" si="3"/>
        <v>77900</v>
      </c>
      <c r="H25" s="3">
        <v>4.0999999999999996</v>
      </c>
      <c r="I25" s="3">
        <f t="shared" si="4"/>
        <v>77900</v>
      </c>
      <c r="J25" s="3">
        <f t="shared" si="5"/>
        <v>12.299999999999999</v>
      </c>
      <c r="K25" s="3">
        <f t="shared" si="6"/>
        <v>233699.99999999997</v>
      </c>
      <c r="L25" s="3">
        <v>4</v>
      </c>
      <c r="M25" s="3">
        <f t="shared" si="7"/>
        <v>76000</v>
      </c>
      <c r="N25" s="3">
        <v>3.9</v>
      </c>
      <c r="O25" s="3">
        <f t="shared" si="8"/>
        <v>74100</v>
      </c>
      <c r="P25" s="3">
        <v>3.8</v>
      </c>
      <c r="Q25" s="3">
        <f t="shared" si="9"/>
        <v>72200</v>
      </c>
      <c r="R25" s="3">
        <f t="shared" si="10"/>
        <v>11.7</v>
      </c>
      <c r="S25" s="3">
        <f t="shared" si="11"/>
        <v>222300</v>
      </c>
      <c r="T25" s="3">
        <v>3.4</v>
      </c>
      <c r="U25" s="3">
        <f t="shared" si="12"/>
        <v>64600</v>
      </c>
      <c r="V25" s="3">
        <v>3.4</v>
      </c>
      <c r="W25" s="3">
        <f t="shared" si="13"/>
        <v>64600</v>
      </c>
      <c r="X25" s="3">
        <v>3.2</v>
      </c>
      <c r="Y25" s="3">
        <f t="shared" si="14"/>
        <v>60800</v>
      </c>
      <c r="Z25" s="3">
        <f t="shared" si="15"/>
        <v>10</v>
      </c>
      <c r="AA25" s="3">
        <f t="shared" si="16"/>
        <v>190000</v>
      </c>
      <c r="AB25" s="3">
        <v>4</v>
      </c>
      <c r="AC25" s="3">
        <f t="shared" si="17"/>
        <v>76000</v>
      </c>
      <c r="AD25" s="3">
        <v>4.0999999999999996</v>
      </c>
      <c r="AE25" s="3">
        <f t="shared" si="18"/>
        <v>77900</v>
      </c>
      <c r="AF25" s="6">
        <v>4.9000000000000004</v>
      </c>
      <c r="AG25" s="6">
        <f t="shared" si="19"/>
        <v>93100</v>
      </c>
      <c r="AH25" s="6">
        <f t="shared" si="20"/>
        <v>13</v>
      </c>
      <c r="AI25" s="8">
        <f t="shared" si="21"/>
        <v>247000</v>
      </c>
    </row>
    <row r="26" spans="1:35" ht="25" customHeight="1" x14ac:dyDescent="0.2">
      <c r="A26" s="1" t="s">
        <v>70</v>
      </c>
      <c r="B26" s="3">
        <f t="shared" si="0"/>
        <v>888.4</v>
      </c>
      <c r="C26" s="3">
        <f t="shared" si="1"/>
        <v>16879600</v>
      </c>
      <c r="D26" s="3">
        <v>73.900000000000006</v>
      </c>
      <c r="E26" s="3">
        <f t="shared" si="2"/>
        <v>1404100</v>
      </c>
      <c r="F26" s="3">
        <v>76.2</v>
      </c>
      <c r="G26" s="3">
        <f t="shared" si="3"/>
        <v>1447800</v>
      </c>
      <c r="H26" s="3">
        <v>78.599999999999994</v>
      </c>
      <c r="I26" s="3">
        <f t="shared" si="4"/>
        <v>1493400</v>
      </c>
      <c r="J26" s="3">
        <f t="shared" si="5"/>
        <v>228.70000000000002</v>
      </c>
      <c r="K26" s="3">
        <f t="shared" si="6"/>
        <v>4345300</v>
      </c>
      <c r="L26" s="3">
        <v>81</v>
      </c>
      <c r="M26" s="3">
        <f t="shared" si="7"/>
        <v>1539000</v>
      </c>
      <c r="N26" s="3">
        <v>81.5</v>
      </c>
      <c r="O26" s="3">
        <f t="shared" si="8"/>
        <v>1548500</v>
      </c>
      <c r="P26" s="3">
        <v>83.1</v>
      </c>
      <c r="Q26" s="3">
        <f t="shared" si="9"/>
        <v>1578900</v>
      </c>
      <c r="R26" s="3">
        <f t="shared" si="10"/>
        <v>245.6</v>
      </c>
      <c r="S26" s="3">
        <f t="shared" si="11"/>
        <v>4666400</v>
      </c>
      <c r="T26" s="3">
        <v>80.7</v>
      </c>
      <c r="U26" s="3">
        <f t="shared" si="12"/>
        <v>1533300</v>
      </c>
      <c r="V26" s="3">
        <v>77</v>
      </c>
      <c r="W26" s="3">
        <f t="shared" si="13"/>
        <v>1463000</v>
      </c>
      <c r="X26" s="3">
        <v>70</v>
      </c>
      <c r="Y26" s="3">
        <f t="shared" si="14"/>
        <v>1330000</v>
      </c>
      <c r="Z26" s="3">
        <f t="shared" si="15"/>
        <v>227.7</v>
      </c>
      <c r="AA26" s="3">
        <f t="shared" si="16"/>
        <v>4326300</v>
      </c>
      <c r="AB26" s="3">
        <v>68.2</v>
      </c>
      <c r="AC26" s="3">
        <f t="shared" si="17"/>
        <v>1295800</v>
      </c>
      <c r="AD26" s="6">
        <v>60.5</v>
      </c>
      <c r="AE26" s="3">
        <f t="shared" si="18"/>
        <v>1149500</v>
      </c>
      <c r="AF26" s="6">
        <v>57.7</v>
      </c>
      <c r="AG26" s="6">
        <f t="shared" si="19"/>
        <v>1096300</v>
      </c>
      <c r="AH26" s="6">
        <f t="shared" si="20"/>
        <v>186.39999999999998</v>
      </c>
      <c r="AI26" s="8">
        <f t="shared" si="21"/>
        <v>3541599.9999999995</v>
      </c>
    </row>
    <row r="27" spans="1:35" ht="25" customHeight="1" x14ac:dyDescent="0.2">
      <c r="A27" s="1" t="s">
        <v>71</v>
      </c>
      <c r="B27" s="3">
        <f t="shared" si="0"/>
        <v>1293.6999999999998</v>
      </c>
      <c r="C27" s="3">
        <f t="shared" si="1"/>
        <v>24580299.999999996</v>
      </c>
      <c r="D27" s="3">
        <v>103.3</v>
      </c>
      <c r="E27" s="3">
        <f t="shared" si="2"/>
        <v>1962700</v>
      </c>
      <c r="F27" s="3">
        <v>103</v>
      </c>
      <c r="G27" s="3">
        <f t="shared" si="3"/>
        <v>1957000</v>
      </c>
      <c r="H27" s="3">
        <v>103.1</v>
      </c>
      <c r="I27" s="3">
        <f t="shared" si="4"/>
        <v>1958900</v>
      </c>
      <c r="J27" s="3">
        <f t="shared" si="5"/>
        <v>309.39999999999998</v>
      </c>
      <c r="K27" s="3">
        <f t="shared" si="6"/>
        <v>5878600</v>
      </c>
      <c r="L27" s="3">
        <v>105.6</v>
      </c>
      <c r="M27" s="3">
        <f t="shared" si="7"/>
        <v>2006400</v>
      </c>
      <c r="N27" s="3">
        <v>103.2</v>
      </c>
      <c r="O27" s="3">
        <f t="shared" si="8"/>
        <v>1960800</v>
      </c>
      <c r="P27" s="3">
        <v>103.1</v>
      </c>
      <c r="Q27" s="3">
        <f t="shared" si="9"/>
        <v>1958900</v>
      </c>
      <c r="R27" s="3">
        <f t="shared" si="10"/>
        <v>311.89999999999998</v>
      </c>
      <c r="S27" s="3">
        <f t="shared" si="11"/>
        <v>5926100</v>
      </c>
      <c r="T27" s="3">
        <v>103.2</v>
      </c>
      <c r="U27" s="3">
        <f t="shared" si="12"/>
        <v>1960800</v>
      </c>
      <c r="V27" s="3">
        <v>102.8</v>
      </c>
      <c r="W27" s="3">
        <f t="shared" si="13"/>
        <v>1953200</v>
      </c>
      <c r="X27" s="3">
        <v>103.6</v>
      </c>
      <c r="Y27" s="3">
        <f t="shared" si="14"/>
        <v>1968400</v>
      </c>
      <c r="Z27" s="3">
        <f t="shared" si="15"/>
        <v>309.60000000000002</v>
      </c>
      <c r="AA27" s="3">
        <f t="shared" si="16"/>
        <v>5882400</v>
      </c>
      <c r="AB27" s="3">
        <v>123.8</v>
      </c>
      <c r="AC27" s="3">
        <f t="shared" si="17"/>
        <v>2352200</v>
      </c>
      <c r="AD27" s="3">
        <v>119.4</v>
      </c>
      <c r="AE27" s="3">
        <f t="shared" si="18"/>
        <v>2268600</v>
      </c>
      <c r="AF27" s="6">
        <v>119.6</v>
      </c>
      <c r="AG27" s="6">
        <f t="shared" si="19"/>
        <v>2272400</v>
      </c>
      <c r="AH27" s="6">
        <f t="shared" si="20"/>
        <v>362.79999999999995</v>
      </c>
      <c r="AI27" s="8">
        <f t="shared" si="21"/>
        <v>6893199.9999999991</v>
      </c>
    </row>
    <row r="28" spans="1:35" ht="25" customHeight="1" x14ac:dyDescent="0.2">
      <c r="A28" s="1" t="s">
        <v>72</v>
      </c>
      <c r="B28" s="3">
        <f t="shared" si="0"/>
        <v>33.200000000000003</v>
      </c>
      <c r="C28" s="3">
        <f t="shared" si="1"/>
        <v>630800</v>
      </c>
      <c r="D28" s="3">
        <v>2.7</v>
      </c>
      <c r="E28" s="3">
        <f t="shared" si="2"/>
        <v>51300</v>
      </c>
      <c r="F28" s="3">
        <v>2.8</v>
      </c>
      <c r="G28" s="3">
        <f t="shared" si="3"/>
        <v>53200</v>
      </c>
      <c r="H28" s="3">
        <v>2.8</v>
      </c>
      <c r="I28" s="3">
        <f t="shared" si="4"/>
        <v>53200</v>
      </c>
      <c r="J28" s="3">
        <f t="shared" si="5"/>
        <v>8.3000000000000007</v>
      </c>
      <c r="K28" s="3">
        <f t="shared" si="6"/>
        <v>157700</v>
      </c>
      <c r="L28" s="3">
        <v>3.3</v>
      </c>
      <c r="M28" s="3">
        <f t="shared" si="7"/>
        <v>62700</v>
      </c>
      <c r="N28" s="3">
        <v>3.1</v>
      </c>
      <c r="O28" s="3">
        <f t="shared" si="8"/>
        <v>58900</v>
      </c>
      <c r="P28" s="3">
        <v>2.6</v>
      </c>
      <c r="Q28" s="3">
        <f t="shared" si="9"/>
        <v>49400</v>
      </c>
      <c r="R28" s="3">
        <f t="shared" si="10"/>
        <v>9</v>
      </c>
      <c r="S28" s="3">
        <f t="shared" si="11"/>
        <v>171000</v>
      </c>
      <c r="T28" s="3">
        <v>2.7</v>
      </c>
      <c r="U28" s="3">
        <f t="shared" si="12"/>
        <v>51300</v>
      </c>
      <c r="V28" s="3">
        <v>2.6</v>
      </c>
      <c r="W28" s="3">
        <f t="shared" si="13"/>
        <v>49400</v>
      </c>
      <c r="X28" s="3">
        <v>2.6</v>
      </c>
      <c r="Y28" s="3">
        <f t="shared" si="14"/>
        <v>49400</v>
      </c>
      <c r="Z28" s="3">
        <f t="shared" si="15"/>
        <v>7.9</v>
      </c>
      <c r="AA28" s="3">
        <f t="shared" si="16"/>
        <v>150100</v>
      </c>
      <c r="AB28" s="3">
        <v>2.5</v>
      </c>
      <c r="AC28" s="3">
        <f t="shared" si="17"/>
        <v>47500</v>
      </c>
      <c r="AD28" s="6">
        <v>2.7</v>
      </c>
      <c r="AE28" s="3">
        <f t="shared" si="18"/>
        <v>51300</v>
      </c>
      <c r="AF28" s="6">
        <v>2.8</v>
      </c>
      <c r="AG28" s="6">
        <f t="shared" si="19"/>
        <v>53200</v>
      </c>
      <c r="AH28" s="6">
        <f t="shared" si="20"/>
        <v>8</v>
      </c>
      <c r="AI28" s="8">
        <f t="shared" si="21"/>
        <v>152000</v>
      </c>
    </row>
    <row r="29" spans="1:35" ht="25" customHeight="1" x14ac:dyDescent="0.2">
      <c r="A29" s="1" t="s">
        <v>73</v>
      </c>
      <c r="B29" s="3">
        <f t="shared" si="0"/>
        <v>6.4849999999999994</v>
      </c>
      <c r="C29" s="3">
        <f t="shared" si="1"/>
        <v>123214.99999999999</v>
      </c>
      <c r="D29" s="3">
        <v>0.56999999999999995</v>
      </c>
      <c r="E29" s="3">
        <f t="shared" si="2"/>
        <v>10829.999999999998</v>
      </c>
      <c r="F29" s="3">
        <v>0.55000000000000004</v>
      </c>
      <c r="G29" s="3">
        <f t="shared" si="3"/>
        <v>10450</v>
      </c>
      <c r="H29" s="3">
        <v>0.53</v>
      </c>
      <c r="I29" s="3">
        <f t="shared" si="4"/>
        <v>10070</v>
      </c>
      <c r="J29" s="3">
        <f t="shared" si="5"/>
        <v>1.6500000000000001</v>
      </c>
      <c r="K29" s="3">
        <f t="shared" si="6"/>
        <v>31350.000000000004</v>
      </c>
      <c r="L29" s="3">
        <v>0.54</v>
      </c>
      <c r="M29" s="3">
        <f t="shared" si="7"/>
        <v>10260</v>
      </c>
      <c r="N29" s="3">
        <v>0.5</v>
      </c>
      <c r="O29" s="3">
        <f t="shared" si="8"/>
        <v>9500</v>
      </c>
      <c r="P29" s="3">
        <v>0.51</v>
      </c>
      <c r="Q29" s="3">
        <f t="shared" si="9"/>
        <v>9690</v>
      </c>
      <c r="R29" s="3">
        <f t="shared" si="10"/>
        <v>1.55</v>
      </c>
      <c r="S29" s="3">
        <f t="shared" si="11"/>
        <v>29450</v>
      </c>
      <c r="T29" s="3">
        <v>0.52</v>
      </c>
      <c r="U29" s="3">
        <f t="shared" si="12"/>
        <v>9880</v>
      </c>
      <c r="V29" s="3">
        <v>0.54</v>
      </c>
      <c r="W29" s="3">
        <f t="shared" si="13"/>
        <v>10260</v>
      </c>
      <c r="X29" s="3">
        <v>0.5</v>
      </c>
      <c r="Y29" s="3">
        <f t="shared" si="14"/>
        <v>9500</v>
      </c>
      <c r="Z29" s="3">
        <f t="shared" si="15"/>
        <v>1.56</v>
      </c>
      <c r="AA29" s="3">
        <f t="shared" si="16"/>
        <v>29640</v>
      </c>
      <c r="AB29" s="3">
        <v>0.54500000000000004</v>
      </c>
      <c r="AC29" s="3">
        <f t="shared" si="17"/>
        <v>10355</v>
      </c>
      <c r="AD29" s="6">
        <v>0.56000000000000005</v>
      </c>
      <c r="AE29" s="3">
        <f t="shared" si="18"/>
        <v>10640.000000000002</v>
      </c>
      <c r="AF29" s="6">
        <v>0.62</v>
      </c>
      <c r="AG29" s="6">
        <f t="shared" si="19"/>
        <v>11780</v>
      </c>
      <c r="AH29" s="6">
        <f t="shared" si="20"/>
        <v>1.7250000000000001</v>
      </c>
      <c r="AI29" s="8">
        <f t="shared" si="21"/>
        <v>32775</v>
      </c>
    </row>
    <row r="30" spans="1:35" ht="25" customHeight="1" x14ac:dyDescent="0.2">
      <c r="A30" s="1" t="s">
        <v>74</v>
      </c>
      <c r="B30" s="3">
        <f t="shared" si="0"/>
        <v>96.8</v>
      </c>
      <c r="C30" s="3">
        <f t="shared" si="1"/>
        <v>1839200</v>
      </c>
      <c r="D30" s="3">
        <v>8.4</v>
      </c>
      <c r="E30" s="3">
        <f t="shared" si="2"/>
        <v>159600</v>
      </c>
      <c r="F30" s="3">
        <v>8.3000000000000007</v>
      </c>
      <c r="G30" s="3">
        <f t="shared" si="3"/>
        <v>157700</v>
      </c>
      <c r="H30" s="3">
        <v>8.5</v>
      </c>
      <c r="I30" s="3">
        <f t="shared" si="4"/>
        <v>161500</v>
      </c>
      <c r="J30" s="3">
        <f t="shared" si="5"/>
        <v>25.200000000000003</v>
      </c>
      <c r="K30" s="3">
        <f t="shared" si="6"/>
        <v>478800.00000000006</v>
      </c>
      <c r="L30" s="3">
        <v>8.8000000000000007</v>
      </c>
      <c r="M30" s="3">
        <f t="shared" si="7"/>
        <v>167200</v>
      </c>
      <c r="N30" s="3">
        <v>9.1999999999999993</v>
      </c>
      <c r="O30" s="3">
        <f t="shared" si="8"/>
        <v>174800</v>
      </c>
      <c r="P30" s="3">
        <v>9</v>
      </c>
      <c r="Q30" s="3">
        <f t="shared" si="9"/>
        <v>171000</v>
      </c>
      <c r="R30" s="3">
        <f t="shared" si="10"/>
        <v>27</v>
      </c>
      <c r="S30" s="3">
        <f t="shared" si="11"/>
        <v>513000</v>
      </c>
      <c r="T30" s="3">
        <v>8.9</v>
      </c>
      <c r="U30" s="3">
        <f t="shared" si="12"/>
        <v>169100</v>
      </c>
      <c r="V30" s="3">
        <v>8.6999999999999993</v>
      </c>
      <c r="W30" s="3">
        <f t="shared" si="13"/>
        <v>165300</v>
      </c>
      <c r="X30" s="3">
        <v>8.1999999999999993</v>
      </c>
      <c r="Y30" s="3">
        <f t="shared" si="14"/>
        <v>155800</v>
      </c>
      <c r="Z30" s="3">
        <f t="shared" si="15"/>
        <v>25.8</v>
      </c>
      <c r="AA30" s="3">
        <f t="shared" si="16"/>
        <v>490200</v>
      </c>
      <c r="AB30" s="3">
        <v>6.7</v>
      </c>
      <c r="AC30" s="3">
        <f t="shared" si="17"/>
        <v>127300</v>
      </c>
      <c r="AD30" s="6">
        <v>6.1</v>
      </c>
      <c r="AE30" s="3">
        <f t="shared" si="18"/>
        <v>115900</v>
      </c>
      <c r="AF30" s="6">
        <v>6</v>
      </c>
      <c r="AG30" s="6">
        <f t="shared" si="19"/>
        <v>114000</v>
      </c>
      <c r="AH30" s="6">
        <f t="shared" si="20"/>
        <v>18.8</v>
      </c>
      <c r="AI30" s="8">
        <f t="shared" si="21"/>
        <v>357200</v>
      </c>
    </row>
    <row r="31" spans="1:35" ht="25" customHeight="1" x14ac:dyDescent="0.2">
      <c r="A31" s="1" t="s">
        <v>75</v>
      </c>
      <c r="B31" s="3">
        <f t="shared" si="0"/>
        <v>52.5</v>
      </c>
      <c r="C31" s="3">
        <f t="shared" si="1"/>
        <v>997500</v>
      </c>
      <c r="D31" s="3">
        <v>4.5999999999999996</v>
      </c>
      <c r="E31" s="3">
        <f t="shared" si="2"/>
        <v>87400</v>
      </c>
      <c r="F31" s="3">
        <v>1.5</v>
      </c>
      <c r="G31" s="3">
        <f t="shared" si="3"/>
        <v>28500</v>
      </c>
      <c r="H31" s="3">
        <v>3.7</v>
      </c>
      <c r="I31" s="3">
        <f t="shared" si="4"/>
        <v>70300</v>
      </c>
      <c r="J31" s="3">
        <f t="shared" si="5"/>
        <v>9.8000000000000007</v>
      </c>
      <c r="K31" s="3">
        <f t="shared" si="6"/>
        <v>186200</v>
      </c>
      <c r="L31" s="3">
        <v>3.3</v>
      </c>
      <c r="M31" s="3">
        <f t="shared" si="7"/>
        <v>62700</v>
      </c>
      <c r="N31" s="3">
        <v>4.3</v>
      </c>
      <c r="O31" s="3">
        <f t="shared" si="8"/>
        <v>81700</v>
      </c>
      <c r="P31" s="3">
        <v>4.0999999999999996</v>
      </c>
      <c r="Q31" s="3">
        <f t="shared" si="9"/>
        <v>77900</v>
      </c>
      <c r="R31" s="3">
        <f t="shared" si="10"/>
        <v>11.7</v>
      </c>
      <c r="S31" s="3">
        <f t="shared" si="11"/>
        <v>222300</v>
      </c>
      <c r="T31" s="3">
        <v>1.5</v>
      </c>
      <c r="U31" s="3">
        <f t="shared" si="12"/>
        <v>28500</v>
      </c>
      <c r="V31" s="3">
        <v>3.8</v>
      </c>
      <c r="W31" s="3">
        <f t="shared" si="13"/>
        <v>72200</v>
      </c>
      <c r="X31" s="3">
        <v>6.5</v>
      </c>
      <c r="Y31" s="3">
        <f t="shared" si="14"/>
        <v>123500</v>
      </c>
      <c r="Z31" s="3">
        <f t="shared" si="15"/>
        <v>11.8</v>
      </c>
      <c r="AA31" s="3">
        <f t="shared" si="16"/>
        <v>224200</v>
      </c>
      <c r="AB31" s="3">
        <v>6.4</v>
      </c>
      <c r="AC31" s="3">
        <f t="shared" si="17"/>
        <v>121600</v>
      </c>
      <c r="AD31" s="6">
        <v>6.4</v>
      </c>
      <c r="AE31" s="3">
        <f t="shared" si="18"/>
        <v>121600</v>
      </c>
      <c r="AF31" s="6">
        <v>6.4</v>
      </c>
      <c r="AG31" s="6">
        <f t="shared" si="19"/>
        <v>121600</v>
      </c>
      <c r="AH31" s="6">
        <f t="shared" si="20"/>
        <v>19.200000000000003</v>
      </c>
      <c r="AI31" s="8">
        <f t="shared" si="21"/>
        <v>364800.00000000006</v>
      </c>
    </row>
    <row r="32" spans="1:35" ht="25" customHeight="1" x14ac:dyDescent="0.2">
      <c r="A32" s="1" t="s">
        <v>76</v>
      </c>
      <c r="B32" s="6">
        <f t="shared" si="0"/>
        <v>75.3</v>
      </c>
      <c r="C32" s="3">
        <f t="shared" si="1"/>
        <v>1430700</v>
      </c>
      <c r="D32" s="6">
        <f>0.8+4.6+1.1</f>
        <v>6.5</v>
      </c>
      <c r="E32" s="3">
        <f t="shared" si="2"/>
        <v>123500</v>
      </c>
      <c r="F32" s="6">
        <f>1.4+3.2+0.6</f>
        <v>5.1999999999999993</v>
      </c>
      <c r="G32" s="3">
        <f t="shared" si="3"/>
        <v>98799.999999999985</v>
      </c>
      <c r="H32" s="6">
        <f>1.4+2.7+1.1</f>
        <v>5.1999999999999993</v>
      </c>
      <c r="I32" s="3">
        <f t="shared" si="4"/>
        <v>98799.999999999985</v>
      </c>
      <c r="J32" s="3">
        <f t="shared" si="5"/>
        <v>16.899999999999999</v>
      </c>
      <c r="K32" s="3">
        <f t="shared" si="6"/>
        <v>321100</v>
      </c>
      <c r="L32" s="6">
        <f>1.4+1+4.5</f>
        <v>6.9</v>
      </c>
      <c r="M32" s="3">
        <f t="shared" si="7"/>
        <v>131100</v>
      </c>
      <c r="N32" s="6">
        <f>1.4+4.7+0.1</f>
        <v>6.1999999999999993</v>
      </c>
      <c r="O32" s="3">
        <f t="shared" si="8"/>
        <v>117799.99999999999</v>
      </c>
      <c r="P32" s="6">
        <f>0.9+0.6+4.3</f>
        <v>5.8</v>
      </c>
      <c r="Q32" s="3">
        <f t="shared" si="9"/>
        <v>110200</v>
      </c>
      <c r="R32" s="3">
        <f t="shared" si="10"/>
        <v>18.899999999999999</v>
      </c>
      <c r="S32" s="3">
        <f t="shared" si="11"/>
        <v>359100</v>
      </c>
      <c r="T32" s="6">
        <f>1.3+4.1+0.9</f>
        <v>6.3</v>
      </c>
      <c r="U32" s="3">
        <f t="shared" si="12"/>
        <v>119700</v>
      </c>
      <c r="V32" s="6">
        <f>1.3+4.1+0.9</f>
        <v>6.3</v>
      </c>
      <c r="W32" s="3">
        <f t="shared" si="13"/>
        <v>119700</v>
      </c>
      <c r="X32" s="6">
        <f>1.3+4.2+1</f>
        <v>6.5</v>
      </c>
      <c r="Y32" s="3">
        <f t="shared" si="14"/>
        <v>123500</v>
      </c>
      <c r="Z32" s="3">
        <f t="shared" si="15"/>
        <v>19.100000000000001</v>
      </c>
      <c r="AA32" s="3">
        <f t="shared" si="16"/>
        <v>362900</v>
      </c>
      <c r="AB32" s="6">
        <f>1.3+4.2+1</f>
        <v>6.5</v>
      </c>
      <c r="AC32" s="3">
        <f t="shared" si="17"/>
        <v>123500</v>
      </c>
      <c r="AD32" s="6">
        <f>1.4+4.4+1</f>
        <v>6.8000000000000007</v>
      </c>
      <c r="AE32" s="3">
        <f t="shared" si="18"/>
        <v>129200.00000000001</v>
      </c>
      <c r="AF32" s="6">
        <v>7.1</v>
      </c>
      <c r="AG32" s="6">
        <f t="shared" si="19"/>
        <v>134900</v>
      </c>
      <c r="AH32" s="6">
        <f t="shared" si="20"/>
        <v>20.399999999999999</v>
      </c>
      <c r="AI32" s="8">
        <f t="shared" si="21"/>
        <v>387600</v>
      </c>
    </row>
    <row r="33" spans="1:35" ht="25" customHeight="1" x14ac:dyDescent="0.2">
      <c r="A33" s="1" t="s">
        <v>77</v>
      </c>
      <c r="B33" s="3">
        <f t="shared" si="0"/>
        <v>111.99000000000001</v>
      </c>
      <c r="C33" s="3">
        <f t="shared" si="1"/>
        <v>2127810</v>
      </c>
      <c r="D33" s="3">
        <v>8.18</v>
      </c>
      <c r="E33" s="3">
        <f t="shared" si="2"/>
        <v>155420</v>
      </c>
      <c r="F33" s="3">
        <v>8.43</v>
      </c>
      <c r="G33" s="3">
        <f t="shared" si="3"/>
        <v>160170</v>
      </c>
      <c r="H33" s="3">
        <v>7.88</v>
      </c>
      <c r="I33" s="3">
        <f t="shared" si="4"/>
        <v>149720</v>
      </c>
      <c r="J33" s="3">
        <f t="shared" si="5"/>
        <v>24.49</v>
      </c>
      <c r="K33" s="3">
        <f t="shared" si="6"/>
        <v>465309.99999999994</v>
      </c>
      <c r="L33" s="3">
        <v>9.73</v>
      </c>
      <c r="M33" s="3">
        <f t="shared" si="7"/>
        <v>184870</v>
      </c>
      <c r="N33" s="3">
        <v>9.25</v>
      </c>
      <c r="O33" s="3">
        <f t="shared" si="8"/>
        <v>175750</v>
      </c>
      <c r="P33" s="3">
        <v>8.67</v>
      </c>
      <c r="Q33" s="3">
        <f t="shared" si="9"/>
        <v>164730</v>
      </c>
      <c r="R33" s="3">
        <f t="shared" si="10"/>
        <v>27.65</v>
      </c>
      <c r="S33" s="3">
        <f t="shared" si="11"/>
        <v>525350</v>
      </c>
      <c r="T33" s="3">
        <v>9.4600000000000009</v>
      </c>
      <c r="U33" s="3">
        <f t="shared" si="12"/>
        <v>179740.00000000003</v>
      </c>
      <c r="V33" s="3">
        <v>10.220000000000001</v>
      </c>
      <c r="W33" s="3">
        <f t="shared" si="13"/>
        <v>194180</v>
      </c>
      <c r="X33" s="3">
        <v>10.38</v>
      </c>
      <c r="Y33" s="3">
        <f t="shared" si="14"/>
        <v>197220.00000000003</v>
      </c>
      <c r="Z33" s="3">
        <f t="shared" si="15"/>
        <v>30.060000000000002</v>
      </c>
      <c r="AA33" s="3">
        <f t="shared" si="16"/>
        <v>571140</v>
      </c>
      <c r="AB33" s="3">
        <v>10.02</v>
      </c>
      <c r="AC33" s="3">
        <f t="shared" si="17"/>
        <v>190380</v>
      </c>
      <c r="AD33" s="3">
        <v>10.65</v>
      </c>
      <c r="AE33" s="3">
        <f t="shared" si="18"/>
        <v>202350</v>
      </c>
      <c r="AF33" s="6">
        <v>9.1199999999999992</v>
      </c>
      <c r="AG33" s="6">
        <f t="shared" si="19"/>
        <v>173279.99999999997</v>
      </c>
      <c r="AH33" s="6">
        <f t="shared" si="20"/>
        <v>29.79</v>
      </c>
      <c r="AI33" s="8">
        <f t="shared" si="21"/>
        <v>566010</v>
      </c>
    </row>
    <row r="34" spans="1:35" ht="25" customHeight="1" x14ac:dyDescent="0.2">
      <c r="B34" s="3">
        <f t="shared" ref="B34" si="22">J34+R34+Z34+AH34</f>
        <v>13975.271189999999</v>
      </c>
      <c r="C34" s="3">
        <f t="shared" ref="C34" si="23">B34*19000</f>
        <v>265530152.60999998</v>
      </c>
      <c r="D34" s="3">
        <f>SUM(D2:D33)</f>
        <v>1125.3110000000004</v>
      </c>
      <c r="E34" s="3">
        <f t="shared" ref="E34" si="24">D34*19000</f>
        <v>21380909.000000007</v>
      </c>
      <c r="F34" s="3">
        <f t="shared" ref="F34:AF34" si="25">SUM(F2:F33)</f>
        <v>1224.732</v>
      </c>
      <c r="G34" s="3">
        <f t="shared" ref="G34" si="26">F34*19000</f>
        <v>23269908</v>
      </c>
      <c r="H34" s="3">
        <f t="shared" si="25"/>
        <v>1312.6900299999998</v>
      </c>
      <c r="I34" s="3">
        <f t="shared" si="4"/>
        <v>24941110.569999997</v>
      </c>
      <c r="J34" s="3">
        <f>SUM(J2:J33)</f>
        <v>3662.7330299999999</v>
      </c>
      <c r="K34" s="3">
        <f t="shared" ref="K34" si="27">J34*19000</f>
        <v>69591927.569999993</v>
      </c>
      <c r="L34" s="3">
        <f t="shared" si="25"/>
        <v>1269.2951399999999</v>
      </c>
      <c r="M34" s="3">
        <f t="shared" ref="M34" si="28">L34*19000</f>
        <v>24116607.66</v>
      </c>
      <c r="N34" s="3">
        <f t="shared" si="25"/>
        <v>1304.2775000000001</v>
      </c>
      <c r="O34" s="3">
        <f t="shared" ref="O34" si="29">N34*19000</f>
        <v>24781272.500000004</v>
      </c>
      <c r="P34" s="3">
        <f t="shared" si="25"/>
        <v>1192.7776199999996</v>
      </c>
      <c r="Q34" s="3">
        <f t="shared" ref="Q34" si="30">P34*19000</f>
        <v>22662774.779999994</v>
      </c>
      <c r="R34" s="3">
        <f>SUM(R2:R33)</f>
        <v>3766.3502600000002</v>
      </c>
      <c r="S34" s="3">
        <f t="shared" ref="S34" si="31">R34*19000</f>
        <v>71560654.939999998</v>
      </c>
      <c r="T34" s="3">
        <f t="shared" si="25"/>
        <v>1061.9643000000003</v>
      </c>
      <c r="U34" s="3">
        <f t="shared" ref="U34" si="32">T34*19000</f>
        <v>20177321.700000007</v>
      </c>
      <c r="V34" s="3">
        <f t="shared" si="25"/>
        <v>1112.2301</v>
      </c>
      <c r="W34" s="3">
        <f t="shared" ref="W34" si="33">V34*19000</f>
        <v>21132371.899999999</v>
      </c>
      <c r="X34" s="3">
        <f t="shared" si="25"/>
        <v>1122.4162000000001</v>
      </c>
      <c r="Y34" s="3">
        <f t="shared" ref="Y34" si="34">X34*19000</f>
        <v>21325907.800000001</v>
      </c>
      <c r="Z34" s="3">
        <f>SUM(Z2:Z33)</f>
        <v>3296.6106000000004</v>
      </c>
      <c r="AA34" s="3">
        <f t="shared" ref="AA34" si="35">Z34*19000</f>
        <v>62635601.400000006</v>
      </c>
      <c r="AB34" s="3">
        <f t="shared" si="25"/>
        <v>1108.9600000000003</v>
      </c>
      <c r="AC34" s="3">
        <f t="shared" ref="AC34" si="36">AB34*19000</f>
        <v>21070240.000000004</v>
      </c>
      <c r="AD34" s="3">
        <f t="shared" si="25"/>
        <v>1085.32</v>
      </c>
      <c r="AE34" s="3">
        <f t="shared" ref="AE34" si="37">AD34*19000</f>
        <v>20621080</v>
      </c>
      <c r="AF34" s="6">
        <f t="shared" si="25"/>
        <v>1055.2973</v>
      </c>
      <c r="AG34" s="6">
        <f t="shared" ref="AG34" si="38">AF34*19000</f>
        <v>20050648.699999999</v>
      </c>
      <c r="AH34" s="6">
        <f>SUM(AH2:AH33)</f>
        <v>3249.5772999999999</v>
      </c>
      <c r="AI34" s="8">
        <f t="shared" ref="AI34" si="39">AH34*19000</f>
        <v>61741968.699999996</v>
      </c>
    </row>
    <row r="35" spans="1:35" ht="25" customHeight="1" x14ac:dyDescent="0.2">
      <c r="B35" s="4"/>
      <c r="C35" s="4"/>
    </row>
  </sheetData>
  <pageMargins left="0.7" right="0.7" top="0.75" bottom="0.75" header="0.3" footer="0.3"/>
  <pageSetup paperSize="14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511"/>
  <sheetViews>
    <sheetView zoomScale="70" zoomScaleNormal="70" workbookViewId="0">
      <pane xSplit="1" ySplit="1" topLeftCell="B43" activePane="bottomRight" state="frozen"/>
      <selection pane="topRight" activeCell="B1" sqref="B1"/>
      <selection pane="bottomLeft" activeCell="A2" sqref="A2"/>
      <selection pane="bottomRight" activeCell="C52" sqref="C52"/>
    </sheetView>
  </sheetViews>
  <sheetFormatPr baseColWidth="10" defaultColWidth="20.83203125" defaultRowHeight="25" customHeight="1" x14ac:dyDescent="0.2"/>
  <cols>
    <col min="1" max="16384" width="20.83203125" style="1"/>
  </cols>
  <sheetData>
    <row r="1" spans="1:73" s="2" customFormat="1" ht="25" customHeight="1" x14ac:dyDescent="0.2">
      <c r="A1" s="2" t="s">
        <v>0</v>
      </c>
      <c r="B1" s="2" t="s">
        <v>46</v>
      </c>
      <c r="C1" s="2" t="s">
        <v>45</v>
      </c>
      <c r="D1" s="2" t="s">
        <v>82</v>
      </c>
      <c r="E1" s="2" t="s">
        <v>49</v>
      </c>
      <c r="F1" s="2" t="s">
        <v>82</v>
      </c>
      <c r="G1" s="2" t="s">
        <v>50</v>
      </c>
      <c r="H1" s="2" t="s">
        <v>82</v>
      </c>
      <c r="I1" s="2" t="s">
        <v>51</v>
      </c>
      <c r="J1" s="2" t="s">
        <v>82</v>
      </c>
      <c r="K1" s="2" t="s">
        <v>52</v>
      </c>
      <c r="L1" s="2" t="s">
        <v>82</v>
      </c>
      <c r="M1" s="2" t="s">
        <v>53</v>
      </c>
      <c r="N1" s="2" t="s">
        <v>82</v>
      </c>
      <c r="O1" s="2" t="s">
        <v>54</v>
      </c>
      <c r="P1" s="2" t="s">
        <v>82</v>
      </c>
      <c r="Q1" s="2" t="s">
        <v>55</v>
      </c>
      <c r="R1" s="2" t="s">
        <v>82</v>
      </c>
      <c r="S1" s="2" t="s">
        <v>56</v>
      </c>
      <c r="T1" s="2" t="s">
        <v>82</v>
      </c>
      <c r="U1" s="2" t="s">
        <v>57</v>
      </c>
      <c r="V1" s="2" t="s">
        <v>82</v>
      </c>
      <c r="W1" s="2" t="s">
        <v>58</v>
      </c>
      <c r="X1" s="2" t="s">
        <v>82</v>
      </c>
      <c r="Y1" s="2" t="s">
        <v>59</v>
      </c>
      <c r="Z1" s="2" t="s">
        <v>82</v>
      </c>
      <c r="AA1" s="2" t="s">
        <v>61</v>
      </c>
      <c r="AB1" s="2" t="s">
        <v>82</v>
      </c>
      <c r="AC1" s="2" t="s">
        <v>60</v>
      </c>
      <c r="AD1" s="2" t="s">
        <v>82</v>
      </c>
      <c r="AE1" s="2" t="s">
        <v>62</v>
      </c>
      <c r="AF1" s="2" t="s">
        <v>82</v>
      </c>
      <c r="AG1" s="2" t="s">
        <v>63</v>
      </c>
      <c r="AH1" s="2" t="s">
        <v>82</v>
      </c>
      <c r="AI1" s="2" t="s">
        <v>64</v>
      </c>
      <c r="AJ1" s="2" t="s">
        <v>82</v>
      </c>
    </row>
    <row r="2" spans="1:73" ht="25" customHeight="1" x14ac:dyDescent="0.2">
      <c r="A2" s="1" t="s">
        <v>1</v>
      </c>
      <c r="B2" s="1" t="s">
        <v>47</v>
      </c>
      <c r="C2" s="3">
        <f t="shared" ref="C2:D45" si="0">K2+S2+AA2+AI2</f>
        <v>7686.4459999999999</v>
      </c>
      <c r="D2" s="3">
        <f>L2+T2+AB2+AJ2</f>
        <v>146042474</v>
      </c>
      <c r="E2" s="3">
        <v>188.696</v>
      </c>
      <c r="F2" s="3">
        <f>E2*19000</f>
        <v>3585224</v>
      </c>
      <c r="G2" s="10">
        <v>231.33500000000001</v>
      </c>
      <c r="H2" s="3">
        <f>G2*19000</f>
        <v>4395365</v>
      </c>
      <c r="I2" s="3">
        <v>321.07799999999997</v>
      </c>
      <c r="J2" s="3">
        <f>I2*19000</f>
        <v>6100481.9999999991</v>
      </c>
      <c r="K2" s="3">
        <f>E2+G2+I2</f>
        <v>741.10899999999992</v>
      </c>
      <c r="L2" s="3">
        <f>K2*19000</f>
        <v>14081070.999999998</v>
      </c>
      <c r="M2" s="3">
        <v>638.54700000000003</v>
      </c>
      <c r="N2" s="3">
        <f>M2*19000</f>
        <v>12132393</v>
      </c>
      <c r="O2" s="3">
        <v>737.928</v>
      </c>
      <c r="P2" s="3">
        <f>O2*19000</f>
        <v>14020632</v>
      </c>
      <c r="Q2" s="3">
        <v>666.26199999999994</v>
      </c>
      <c r="R2" s="3">
        <f>Q2*19000</f>
        <v>12658977.999999998</v>
      </c>
      <c r="S2" s="3">
        <f>M2+O2+Q2</f>
        <v>2042.7369999999999</v>
      </c>
      <c r="T2" s="3">
        <f>S2*19000</f>
        <v>38812003</v>
      </c>
      <c r="U2" s="3">
        <v>937.3</v>
      </c>
      <c r="V2" s="3">
        <f>U2*19000</f>
        <v>17808700</v>
      </c>
      <c r="W2" s="3">
        <v>1622.1</v>
      </c>
      <c r="X2" s="3">
        <f>W2*19000</f>
        <v>30819900</v>
      </c>
      <c r="Y2" s="3">
        <v>1135.5999999999999</v>
      </c>
      <c r="Z2" s="3">
        <f>Y2*19000</f>
        <v>21576400</v>
      </c>
      <c r="AA2" s="3">
        <f>U2+W2+Y2</f>
        <v>3694.9999999999995</v>
      </c>
      <c r="AB2" s="3">
        <f>AA2*19000</f>
        <v>70204999.999999985</v>
      </c>
      <c r="AC2" s="3">
        <v>612.79999999999995</v>
      </c>
      <c r="AD2" s="3">
        <f>AC2*19000</f>
        <v>11643200</v>
      </c>
      <c r="AE2" s="6">
        <v>324.39999999999998</v>
      </c>
      <c r="AF2" s="3">
        <f>AE2*19000</f>
        <v>6163600</v>
      </c>
      <c r="AG2" s="6">
        <v>270.39999999999998</v>
      </c>
      <c r="AH2" s="3">
        <f>AG2*19000</f>
        <v>5137600</v>
      </c>
      <c r="AI2" s="3">
        <f>AC2+AE2+AG2</f>
        <v>1207.5999999999999</v>
      </c>
      <c r="AJ2" s="3">
        <f>AI2*19000</f>
        <v>22944400</v>
      </c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</row>
    <row r="3" spans="1:73" ht="25" customHeight="1" x14ac:dyDescent="0.2">
      <c r="A3" s="1" t="s">
        <v>2</v>
      </c>
      <c r="B3" s="1" t="s">
        <v>47</v>
      </c>
      <c r="C3" s="3">
        <f t="shared" si="0"/>
        <v>6150.896999999999</v>
      </c>
      <c r="D3" s="3">
        <f t="shared" si="0"/>
        <v>116867043</v>
      </c>
      <c r="E3" s="3">
        <v>273.80700000000002</v>
      </c>
      <c r="F3" s="3">
        <f t="shared" ref="F3:F45" si="1">E3*19000</f>
        <v>5202333</v>
      </c>
      <c r="G3" s="10">
        <v>212.62899999999999</v>
      </c>
      <c r="H3" s="3">
        <f t="shared" ref="H3:H45" si="2">G3*19000</f>
        <v>4039951</v>
      </c>
      <c r="I3" s="3">
        <v>337.54599999999999</v>
      </c>
      <c r="J3" s="3">
        <f t="shared" ref="J3:J45" si="3">I3*19000</f>
        <v>6413374</v>
      </c>
      <c r="K3" s="3">
        <f t="shared" ref="K3:K45" si="4">E3+G3+I3</f>
        <v>823.98199999999997</v>
      </c>
      <c r="L3" s="3">
        <f t="shared" ref="L3:L45" si="5">K3*19000</f>
        <v>15655658</v>
      </c>
      <c r="M3" s="3">
        <v>366.98899999999998</v>
      </c>
      <c r="N3" s="3">
        <f t="shared" ref="N3:N45" si="6">M3*19000</f>
        <v>6972791</v>
      </c>
      <c r="O3" s="3">
        <v>676.40099999999995</v>
      </c>
      <c r="P3" s="3">
        <f t="shared" ref="P3:P45" si="7">O3*19000</f>
        <v>12851619</v>
      </c>
      <c r="Q3" s="3">
        <v>948.06</v>
      </c>
      <c r="R3" s="3">
        <f t="shared" ref="R3:R45" si="8">Q3*19000</f>
        <v>18013140</v>
      </c>
      <c r="S3" s="3">
        <f t="shared" ref="S3:S45" si="9">M3+O3+Q3</f>
        <v>1991.4499999999998</v>
      </c>
      <c r="T3" s="3">
        <f t="shared" ref="T3:T45" si="10">S3*19000</f>
        <v>37837550</v>
      </c>
      <c r="U3" s="3">
        <v>785.05600000000004</v>
      </c>
      <c r="V3" s="3">
        <f t="shared" ref="V3:V45" si="11">U3*19000</f>
        <v>14916064</v>
      </c>
      <c r="W3" s="3">
        <v>775.52599999999995</v>
      </c>
      <c r="X3" s="3">
        <f t="shared" ref="X3:X45" si="12">W3*19000</f>
        <v>14734994</v>
      </c>
      <c r="Y3" s="3">
        <v>574.17999999999995</v>
      </c>
      <c r="Z3" s="3">
        <f t="shared" ref="Z3:Z45" si="13">Y3*19000</f>
        <v>10909419.999999998</v>
      </c>
      <c r="AA3" s="3">
        <f t="shared" ref="AA3:AA45" si="14">U3+W3+Y3</f>
        <v>2134.7619999999997</v>
      </c>
      <c r="AB3" s="3">
        <f t="shared" ref="AB3:AB45" si="15">AA3*19000</f>
        <v>40560477.999999993</v>
      </c>
      <c r="AC3" s="3">
        <v>476.06</v>
      </c>
      <c r="AD3" s="3">
        <f t="shared" ref="AD3:AD45" si="16">AC3*19000</f>
        <v>9045140</v>
      </c>
      <c r="AE3" s="3">
        <v>321.53899999999999</v>
      </c>
      <c r="AF3" s="3">
        <f t="shared" ref="AF3:AF45" si="17">AE3*19000</f>
        <v>6109241</v>
      </c>
      <c r="AG3" s="3">
        <v>403.10399999999998</v>
      </c>
      <c r="AH3" s="3">
        <f t="shared" ref="AH3:AH45" si="18">AG3*19000</f>
        <v>7658976</v>
      </c>
      <c r="AI3" s="3">
        <f t="shared" ref="AI3:AI45" si="19">AC3+AE3+AG3</f>
        <v>1200.703</v>
      </c>
      <c r="AJ3" s="3">
        <f t="shared" ref="AJ3:AJ45" si="20">AI3*19000</f>
        <v>22813357</v>
      </c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</row>
    <row r="4" spans="1:73" ht="25" customHeight="1" x14ac:dyDescent="0.2">
      <c r="A4" s="1" t="s">
        <v>3</v>
      </c>
      <c r="B4" s="1" t="s">
        <v>47</v>
      </c>
      <c r="C4" s="3">
        <f t="shared" si="0"/>
        <v>802.28399999999999</v>
      </c>
      <c r="D4" s="3">
        <f t="shared" si="0"/>
        <v>15243396</v>
      </c>
      <c r="E4" s="3">
        <v>40.255000000000003</v>
      </c>
      <c r="F4" s="3">
        <f t="shared" si="1"/>
        <v>764845</v>
      </c>
      <c r="G4" s="10">
        <v>30.672999999999998</v>
      </c>
      <c r="H4" s="3">
        <f t="shared" si="2"/>
        <v>582787</v>
      </c>
      <c r="I4" s="3">
        <v>39.759</v>
      </c>
      <c r="J4" s="3">
        <f t="shared" si="3"/>
        <v>755421</v>
      </c>
      <c r="K4" s="3">
        <f t="shared" si="4"/>
        <v>110.687</v>
      </c>
      <c r="L4" s="3">
        <f t="shared" si="5"/>
        <v>2103053</v>
      </c>
      <c r="M4" s="3">
        <v>115.512</v>
      </c>
      <c r="N4" s="3">
        <f t="shared" si="6"/>
        <v>2194728</v>
      </c>
      <c r="O4" s="3">
        <v>45.521999999999998</v>
      </c>
      <c r="P4" s="3">
        <f t="shared" si="7"/>
        <v>864918</v>
      </c>
      <c r="Q4" s="3">
        <v>19.266999999999999</v>
      </c>
      <c r="R4" s="3">
        <f t="shared" si="8"/>
        <v>366073</v>
      </c>
      <c r="S4" s="3">
        <f t="shared" si="9"/>
        <v>180.30099999999999</v>
      </c>
      <c r="T4" s="3">
        <f t="shared" si="10"/>
        <v>3425718.9999999995</v>
      </c>
      <c r="U4" s="6">
        <v>115.812</v>
      </c>
      <c r="V4" s="6">
        <f t="shared" si="11"/>
        <v>2200428</v>
      </c>
      <c r="W4" s="6">
        <v>101.994</v>
      </c>
      <c r="X4" s="6">
        <f t="shared" si="12"/>
        <v>1937886</v>
      </c>
      <c r="Y4" s="6">
        <v>81.715000000000003</v>
      </c>
      <c r="Z4" s="6">
        <f t="shared" si="13"/>
        <v>1552585</v>
      </c>
      <c r="AA4" s="6">
        <f t="shared" si="14"/>
        <v>299.52099999999996</v>
      </c>
      <c r="AB4" s="6">
        <f t="shared" si="15"/>
        <v>5690898.9999999991</v>
      </c>
      <c r="AC4" s="6">
        <v>111.003</v>
      </c>
      <c r="AD4" s="6">
        <f t="shared" si="16"/>
        <v>2109057</v>
      </c>
      <c r="AE4" s="6">
        <v>60.893999999999998</v>
      </c>
      <c r="AF4" s="6">
        <f t="shared" si="17"/>
        <v>1156986</v>
      </c>
      <c r="AG4" s="6">
        <v>39.878</v>
      </c>
      <c r="AH4" s="6">
        <f t="shared" si="18"/>
        <v>757682</v>
      </c>
      <c r="AI4" s="6">
        <f t="shared" si="19"/>
        <v>211.77499999999998</v>
      </c>
      <c r="AJ4" s="6">
        <f t="shared" si="20"/>
        <v>4023724.9999999995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</row>
    <row r="5" spans="1:73" ht="25" customHeight="1" x14ac:dyDescent="0.2">
      <c r="A5" s="1" t="s">
        <v>4</v>
      </c>
      <c r="B5" s="1" t="s">
        <v>47</v>
      </c>
      <c r="C5" s="3">
        <f t="shared" si="0"/>
        <v>11910.609</v>
      </c>
      <c r="D5" s="3">
        <f t="shared" si="0"/>
        <v>226301571</v>
      </c>
      <c r="E5" s="3">
        <v>248.12</v>
      </c>
      <c r="F5" s="3">
        <f t="shared" si="1"/>
        <v>4714280</v>
      </c>
      <c r="G5" s="10">
        <v>98.99</v>
      </c>
      <c r="H5" s="3">
        <f t="shared" si="2"/>
        <v>1880810</v>
      </c>
      <c r="I5" s="3">
        <v>596.51</v>
      </c>
      <c r="J5" s="3">
        <f t="shared" si="3"/>
        <v>11333690</v>
      </c>
      <c r="K5" s="3">
        <f t="shared" si="4"/>
        <v>943.62</v>
      </c>
      <c r="L5" s="3">
        <f t="shared" si="5"/>
        <v>17928780</v>
      </c>
      <c r="M5" s="3">
        <v>1401.66</v>
      </c>
      <c r="N5" s="3">
        <f t="shared" si="6"/>
        <v>26631540</v>
      </c>
      <c r="O5" s="3">
        <v>697.17</v>
      </c>
      <c r="P5" s="3">
        <f t="shared" si="7"/>
        <v>13246230</v>
      </c>
      <c r="Q5" s="3">
        <v>373.86</v>
      </c>
      <c r="R5" s="3">
        <f t="shared" si="8"/>
        <v>7103340</v>
      </c>
      <c r="S5" s="3">
        <f t="shared" si="9"/>
        <v>2472.69</v>
      </c>
      <c r="T5" s="3">
        <f t="shared" si="10"/>
        <v>46981110</v>
      </c>
      <c r="U5" s="3">
        <v>4039.07</v>
      </c>
      <c r="V5" s="3">
        <f t="shared" si="11"/>
        <v>76742330</v>
      </c>
      <c r="W5" s="3">
        <v>1158.93</v>
      </c>
      <c r="X5" s="3">
        <f t="shared" si="12"/>
        <v>22019670</v>
      </c>
      <c r="Y5" s="3">
        <v>2002.21</v>
      </c>
      <c r="Z5" s="3">
        <f t="shared" si="13"/>
        <v>38041990</v>
      </c>
      <c r="AA5" s="3">
        <f t="shared" si="14"/>
        <v>7200.21</v>
      </c>
      <c r="AB5" s="3">
        <f t="shared" si="15"/>
        <v>136803990</v>
      </c>
      <c r="AC5" s="3">
        <v>975.22</v>
      </c>
      <c r="AD5" s="3">
        <f t="shared" si="16"/>
        <v>18529180</v>
      </c>
      <c r="AE5" s="3">
        <v>202.08</v>
      </c>
      <c r="AF5" s="3">
        <f t="shared" si="17"/>
        <v>3839520.0000000005</v>
      </c>
      <c r="AG5" s="6">
        <v>116.789</v>
      </c>
      <c r="AH5" s="3">
        <f t="shared" si="18"/>
        <v>2218991</v>
      </c>
      <c r="AI5" s="3">
        <f t="shared" si="19"/>
        <v>1294.0889999999999</v>
      </c>
      <c r="AJ5" s="3">
        <f t="shared" si="20"/>
        <v>24587691</v>
      </c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</row>
    <row r="6" spans="1:73" ht="25" customHeight="1" x14ac:dyDescent="0.2">
      <c r="A6" s="1" t="s">
        <v>5</v>
      </c>
      <c r="B6" s="1" t="s">
        <v>47</v>
      </c>
      <c r="C6" s="3">
        <f t="shared" si="0"/>
        <v>9791.2000000000007</v>
      </c>
      <c r="D6" s="3">
        <f t="shared" si="0"/>
        <v>186032800</v>
      </c>
      <c r="E6" s="3">
        <v>1197.3</v>
      </c>
      <c r="F6" s="3">
        <f t="shared" si="1"/>
        <v>22748700</v>
      </c>
      <c r="G6" s="10">
        <v>821.5</v>
      </c>
      <c r="H6" s="3">
        <f t="shared" si="2"/>
        <v>15608500</v>
      </c>
      <c r="I6" s="3">
        <v>607</v>
      </c>
      <c r="J6" s="3">
        <f t="shared" si="3"/>
        <v>11533000</v>
      </c>
      <c r="K6" s="3">
        <f t="shared" si="4"/>
        <v>2625.8</v>
      </c>
      <c r="L6" s="3">
        <f t="shared" si="5"/>
        <v>49890200</v>
      </c>
      <c r="M6" s="3">
        <v>560.5</v>
      </c>
      <c r="N6" s="3">
        <f t="shared" si="6"/>
        <v>10649500</v>
      </c>
      <c r="O6" s="3">
        <v>985.8</v>
      </c>
      <c r="P6" s="3">
        <f t="shared" si="7"/>
        <v>18730200</v>
      </c>
      <c r="Q6" s="3">
        <v>905.9</v>
      </c>
      <c r="R6" s="3">
        <f t="shared" si="8"/>
        <v>17212100</v>
      </c>
      <c r="S6" s="3">
        <f t="shared" si="9"/>
        <v>2452.1999999999998</v>
      </c>
      <c r="T6" s="3">
        <f t="shared" si="10"/>
        <v>46591800</v>
      </c>
      <c r="U6" s="3">
        <v>796.8</v>
      </c>
      <c r="V6" s="3">
        <f t="shared" si="11"/>
        <v>15139200</v>
      </c>
      <c r="W6" s="3">
        <v>994.6</v>
      </c>
      <c r="X6" s="3">
        <f t="shared" si="12"/>
        <v>18897400</v>
      </c>
      <c r="Y6" s="3">
        <v>706.6</v>
      </c>
      <c r="Z6" s="3">
        <f t="shared" si="13"/>
        <v>13425400</v>
      </c>
      <c r="AA6" s="3">
        <f t="shared" si="14"/>
        <v>2498</v>
      </c>
      <c r="AB6" s="3">
        <f t="shared" si="15"/>
        <v>47462000</v>
      </c>
      <c r="AC6" s="3">
        <v>1121.7</v>
      </c>
      <c r="AD6" s="3">
        <f t="shared" si="16"/>
        <v>21312300</v>
      </c>
      <c r="AE6" s="6">
        <v>545</v>
      </c>
      <c r="AF6" s="3">
        <f t="shared" si="17"/>
        <v>10355000</v>
      </c>
      <c r="AG6" s="6">
        <v>548.5</v>
      </c>
      <c r="AH6" s="3">
        <f t="shared" si="18"/>
        <v>10421500</v>
      </c>
      <c r="AI6" s="3">
        <f t="shared" si="19"/>
        <v>2215.1999999999998</v>
      </c>
      <c r="AJ6" s="3">
        <f t="shared" si="20"/>
        <v>42088800</v>
      </c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</row>
    <row r="7" spans="1:73" ht="25" customHeight="1" x14ac:dyDescent="0.2">
      <c r="A7" s="1" t="s">
        <v>6</v>
      </c>
      <c r="B7" s="1" t="s">
        <v>47</v>
      </c>
      <c r="C7" s="3">
        <f t="shared" si="0"/>
        <v>6596.6560000000009</v>
      </c>
      <c r="D7" s="3">
        <f t="shared" si="0"/>
        <v>125336464</v>
      </c>
      <c r="E7" s="3">
        <v>306.14</v>
      </c>
      <c r="F7" s="3">
        <f t="shared" si="1"/>
        <v>5816660</v>
      </c>
      <c r="G7" s="10">
        <v>215.62</v>
      </c>
      <c r="H7" s="3">
        <f t="shared" si="2"/>
        <v>4096780</v>
      </c>
      <c r="I7" s="3">
        <v>322.39999999999998</v>
      </c>
      <c r="J7" s="3">
        <f t="shared" si="3"/>
        <v>6125600</v>
      </c>
      <c r="K7" s="3">
        <f t="shared" si="4"/>
        <v>844.16</v>
      </c>
      <c r="L7" s="3">
        <f t="shared" si="5"/>
        <v>16039040</v>
      </c>
      <c r="M7" s="3">
        <v>313.57</v>
      </c>
      <c r="N7" s="3">
        <f t="shared" si="6"/>
        <v>5957830</v>
      </c>
      <c r="O7" s="3">
        <v>514.66</v>
      </c>
      <c r="P7" s="3">
        <f t="shared" si="7"/>
        <v>9778540</v>
      </c>
      <c r="Q7" s="3">
        <v>517.16999999999996</v>
      </c>
      <c r="R7" s="3">
        <f t="shared" si="8"/>
        <v>9826230</v>
      </c>
      <c r="S7" s="3">
        <f t="shared" si="9"/>
        <v>1345.4</v>
      </c>
      <c r="T7" s="3">
        <f t="shared" si="10"/>
        <v>25562600</v>
      </c>
      <c r="U7" s="3">
        <v>1114.67</v>
      </c>
      <c r="V7" s="3">
        <f t="shared" si="11"/>
        <v>21178730</v>
      </c>
      <c r="W7" s="3">
        <v>832.11</v>
      </c>
      <c r="X7" s="3">
        <f t="shared" si="12"/>
        <v>15810090</v>
      </c>
      <c r="Y7" s="3">
        <v>928.46</v>
      </c>
      <c r="Z7" s="3">
        <f t="shared" si="13"/>
        <v>17640740</v>
      </c>
      <c r="AA7" s="3">
        <f t="shared" si="14"/>
        <v>2875.2400000000002</v>
      </c>
      <c r="AB7" s="3">
        <f t="shared" si="15"/>
        <v>54629560.000000007</v>
      </c>
      <c r="AC7" s="3">
        <v>753.1</v>
      </c>
      <c r="AD7" s="3">
        <f t="shared" si="16"/>
        <v>14308900</v>
      </c>
      <c r="AE7" s="3">
        <v>376.8</v>
      </c>
      <c r="AF7" s="3">
        <f t="shared" si="17"/>
        <v>7159200</v>
      </c>
      <c r="AG7" s="3">
        <v>401.95600000000002</v>
      </c>
      <c r="AH7" s="3">
        <f t="shared" si="18"/>
        <v>7637164</v>
      </c>
      <c r="AI7" s="3">
        <f t="shared" si="19"/>
        <v>1531.8560000000002</v>
      </c>
      <c r="AJ7" s="3">
        <f t="shared" si="20"/>
        <v>29105264.000000004</v>
      </c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</row>
    <row r="8" spans="1:73" ht="25" customHeight="1" x14ac:dyDescent="0.2">
      <c r="A8" s="1" t="s">
        <v>7</v>
      </c>
      <c r="B8" s="1" t="s">
        <v>47</v>
      </c>
      <c r="C8" s="3">
        <f t="shared" si="0"/>
        <v>4105.3819999999996</v>
      </c>
      <c r="D8" s="3">
        <f t="shared" si="0"/>
        <v>78002258</v>
      </c>
      <c r="E8" s="3">
        <v>289.01600000000002</v>
      </c>
      <c r="F8" s="3">
        <f t="shared" si="1"/>
        <v>5491304</v>
      </c>
      <c r="G8" s="10">
        <v>254.05600000000001</v>
      </c>
      <c r="H8" s="3">
        <f t="shared" si="2"/>
        <v>4827064</v>
      </c>
      <c r="I8" s="3">
        <v>195.52</v>
      </c>
      <c r="J8" s="3">
        <f t="shared" si="3"/>
        <v>3714880</v>
      </c>
      <c r="K8" s="3">
        <f t="shared" si="4"/>
        <v>738.59199999999998</v>
      </c>
      <c r="L8" s="3">
        <f t="shared" si="5"/>
        <v>14033248</v>
      </c>
      <c r="M8" s="3">
        <v>289.37</v>
      </c>
      <c r="N8" s="3">
        <f t="shared" si="6"/>
        <v>5498030</v>
      </c>
      <c r="O8" s="3">
        <v>313.48599999999999</v>
      </c>
      <c r="P8" s="3">
        <f t="shared" si="7"/>
        <v>5956234</v>
      </c>
      <c r="Q8" s="3">
        <v>236.59</v>
      </c>
      <c r="R8" s="3">
        <f t="shared" si="8"/>
        <v>4495210</v>
      </c>
      <c r="S8" s="3">
        <f t="shared" si="9"/>
        <v>839.44600000000003</v>
      </c>
      <c r="T8" s="3">
        <f t="shared" si="10"/>
        <v>15949474</v>
      </c>
      <c r="U8" s="3">
        <v>526.99199999999996</v>
      </c>
      <c r="V8" s="3">
        <f t="shared" si="11"/>
        <v>10012848</v>
      </c>
      <c r="W8" s="3">
        <v>483.46699999999998</v>
      </c>
      <c r="X8" s="3">
        <f t="shared" si="12"/>
        <v>9185873</v>
      </c>
      <c r="Y8" s="3">
        <v>448.077</v>
      </c>
      <c r="Z8" s="3">
        <f t="shared" si="13"/>
        <v>8513463</v>
      </c>
      <c r="AA8" s="3">
        <f t="shared" si="14"/>
        <v>1458.5360000000001</v>
      </c>
      <c r="AB8" s="3">
        <f t="shared" si="15"/>
        <v>27712184</v>
      </c>
      <c r="AC8" s="3">
        <v>375.35399999999998</v>
      </c>
      <c r="AD8" s="3">
        <f t="shared" si="16"/>
        <v>7131726</v>
      </c>
      <c r="AE8" s="3">
        <v>340.92399999999998</v>
      </c>
      <c r="AF8" s="3">
        <f t="shared" si="17"/>
        <v>6477556</v>
      </c>
      <c r="AG8" s="3">
        <v>352.53</v>
      </c>
      <c r="AH8" s="3">
        <f t="shared" si="18"/>
        <v>6698069.9999999991</v>
      </c>
      <c r="AI8" s="3">
        <f t="shared" si="19"/>
        <v>1068.808</v>
      </c>
      <c r="AJ8" s="3">
        <f t="shared" si="20"/>
        <v>20307352</v>
      </c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</row>
    <row r="9" spans="1:73" ht="25" customHeight="1" x14ac:dyDescent="0.2">
      <c r="A9" s="1" t="s">
        <v>8</v>
      </c>
      <c r="B9" s="1" t="s">
        <v>47</v>
      </c>
      <c r="C9" s="3">
        <f t="shared" si="0"/>
        <v>591.5</v>
      </c>
      <c r="D9" s="3">
        <f t="shared" si="0"/>
        <v>11238500</v>
      </c>
      <c r="E9" s="3">
        <v>25.5</v>
      </c>
      <c r="F9" s="3">
        <f t="shared" si="1"/>
        <v>484500</v>
      </c>
      <c r="G9" s="10">
        <v>38.200000000000003</v>
      </c>
      <c r="H9" s="3">
        <f t="shared" si="2"/>
        <v>725800</v>
      </c>
      <c r="I9" s="3">
        <v>54.7</v>
      </c>
      <c r="J9" s="3">
        <f t="shared" si="3"/>
        <v>1039300</v>
      </c>
      <c r="K9" s="3">
        <f t="shared" si="4"/>
        <v>118.4</v>
      </c>
      <c r="L9" s="3">
        <f t="shared" si="5"/>
        <v>2249600</v>
      </c>
      <c r="M9" s="3">
        <v>62.4</v>
      </c>
      <c r="N9" s="3">
        <f t="shared" si="6"/>
        <v>1185600</v>
      </c>
      <c r="O9" s="3">
        <v>47.3</v>
      </c>
      <c r="P9" s="3">
        <f t="shared" si="7"/>
        <v>898700</v>
      </c>
      <c r="Q9" s="3">
        <v>29.4</v>
      </c>
      <c r="R9" s="3">
        <f t="shared" si="8"/>
        <v>558600</v>
      </c>
      <c r="S9" s="3">
        <f t="shared" si="9"/>
        <v>139.1</v>
      </c>
      <c r="T9" s="3">
        <f t="shared" si="10"/>
        <v>2642900</v>
      </c>
      <c r="U9" s="3">
        <v>59.2</v>
      </c>
      <c r="V9" s="3">
        <f t="shared" si="11"/>
        <v>1124800</v>
      </c>
      <c r="W9" s="3">
        <v>63.6</v>
      </c>
      <c r="X9" s="3">
        <f t="shared" si="12"/>
        <v>1208400</v>
      </c>
      <c r="Y9" s="3">
        <v>68.7</v>
      </c>
      <c r="Z9" s="3">
        <f t="shared" si="13"/>
        <v>1305300</v>
      </c>
      <c r="AA9" s="3">
        <f t="shared" si="14"/>
        <v>191.5</v>
      </c>
      <c r="AB9" s="3">
        <f t="shared" si="15"/>
        <v>3638500</v>
      </c>
      <c r="AC9" s="3">
        <v>50</v>
      </c>
      <c r="AD9" s="3">
        <f t="shared" si="16"/>
        <v>950000</v>
      </c>
      <c r="AE9" s="6">
        <v>47.7</v>
      </c>
      <c r="AF9" s="3">
        <f t="shared" si="17"/>
        <v>906300</v>
      </c>
      <c r="AG9" s="6">
        <v>44.8</v>
      </c>
      <c r="AH9" s="3">
        <f t="shared" si="18"/>
        <v>851200</v>
      </c>
      <c r="AI9" s="3">
        <f t="shared" si="19"/>
        <v>142.5</v>
      </c>
      <c r="AJ9" s="3">
        <f t="shared" si="20"/>
        <v>2707500</v>
      </c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</row>
    <row r="10" spans="1:73" ht="25" customHeight="1" x14ac:dyDescent="0.2">
      <c r="A10" s="1" t="s">
        <v>9</v>
      </c>
      <c r="B10" s="1" t="s">
        <v>47</v>
      </c>
      <c r="C10" s="3">
        <f t="shared" si="0"/>
        <v>2953.6419999999998</v>
      </c>
      <c r="D10" s="3">
        <f t="shared" si="0"/>
        <v>56119198</v>
      </c>
      <c r="E10" s="3">
        <v>98.01</v>
      </c>
      <c r="F10" s="3">
        <f t="shared" si="1"/>
        <v>1862190</v>
      </c>
      <c r="G10" s="10">
        <v>98.355999999999995</v>
      </c>
      <c r="H10" s="3">
        <f t="shared" si="2"/>
        <v>1868764</v>
      </c>
      <c r="I10" s="3">
        <v>48.308999999999997</v>
      </c>
      <c r="J10" s="3">
        <f t="shared" si="3"/>
        <v>917871</v>
      </c>
      <c r="K10" s="3">
        <f t="shared" si="4"/>
        <v>244.67499999999998</v>
      </c>
      <c r="L10" s="3">
        <f t="shared" si="5"/>
        <v>4648825</v>
      </c>
      <c r="M10" s="3">
        <v>174.17500000000001</v>
      </c>
      <c r="N10" s="3">
        <f t="shared" si="6"/>
        <v>3309325</v>
      </c>
      <c r="O10" s="3">
        <v>110.852</v>
      </c>
      <c r="P10" s="3">
        <f t="shared" si="7"/>
        <v>2106188</v>
      </c>
      <c r="Q10" s="3">
        <v>163.29</v>
      </c>
      <c r="R10" s="3">
        <f t="shared" si="8"/>
        <v>3102510</v>
      </c>
      <c r="S10" s="3">
        <f t="shared" si="9"/>
        <v>448.31700000000001</v>
      </c>
      <c r="T10" s="3">
        <f t="shared" si="10"/>
        <v>8518023</v>
      </c>
      <c r="U10" s="3">
        <v>471.04</v>
      </c>
      <c r="V10" s="3">
        <f t="shared" si="11"/>
        <v>8949760</v>
      </c>
      <c r="W10" s="3">
        <v>419.21</v>
      </c>
      <c r="X10" s="3">
        <f t="shared" si="12"/>
        <v>7964990</v>
      </c>
      <c r="Y10" s="3">
        <v>336.85</v>
      </c>
      <c r="Z10" s="3">
        <f t="shared" si="13"/>
        <v>6400150</v>
      </c>
      <c r="AA10" s="3">
        <f t="shared" si="14"/>
        <v>1227.0999999999999</v>
      </c>
      <c r="AB10" s="3">
        <f t="shared" si="15"/>
        <v>23314900</v>
      </c>
      <c r="AC10" s="3">
        <v>370</v>
      </c>
      <c r="AD10" s="3">
        <f t="shared" si="16"/>
        <v>7030000</v>
      </c>
      <c r="AE10" s="3">
        <v>363.55</v>
      </c>
      <c r="AF10" s="3">
        <f t="shared" si="17"/>
        <v>6907450</v>
      </c>
      <c r="AG10" s="3">
        <v>300</v>
      </c>
      <c r="AH10" s="3">
        <f t="shared" si="18"/>
        <v>5700000</v>
      </c>
      <c r="AI10" s="3">
        <f t="shared" si="19"/>
        <v>1033.55</v>
      </c>
      <c r="AJ10" s="3">
        <f t="shared" si="20"/>
        <v>19637450</v>
      </c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</row>
    <row r="11" spans="1:73" ht="25" customHeight="1" x14ac:dyDescent="0.2">
      <c r="A11" s="1" t="s">
        <v>10</v>
      </c>
      <c r="B11" s="1" t="s">
        <v>47</v>
      </c>
      <c r="C11" s="3">
        <f t="shared" si="0"/>
        <v>8592.4179999999997</v>
      </c>
      <c r="D11" s="3">
        <f t="shared" si="0"/>
        <v>163255942</v>
      </c>
      <c r="E11" s="3">
        <v>1167.4649999999999</v>
      </c>
      <c r="F11" s="3">
        <f t="shared" si="1"/>
        <v>22181835</v>
      </c>
      <c r="G11" s="10">
        <v>639.32500000000005</v>
      </c>
      <c r="H11" s="3">
        <f t="shared" si="2"/>
        <v>12147175</v>
      </c>
      <c r="I11" s="3">
        <v>1382.2840000000001</v>
      </c>
      <c r="J11" s="3">
        <f t="shared" si="3"/>
        <v>26263396.000000004</v>
      </c>
      <c r="K11" s="3">
        <f t="shared" si="4"/>
        <v>3189.0740000000001</v>
      </c>
      <c r="L11" s="3">
        <f t="shared" si="5"/>
        <v>60592406</v>
      </c>
      <c r="M11" s="3">
        <v>1129.3430000000001</v>
      </c>
      <c r="N11" s="3">
        <f t="shared" si="6"/>
        <v>21457517</v>
      </c>
      <c r="O11" s="3">
        <v>883.27499999999998</v>
      </c>
      <c r="P11" s="3">
        <f t="shared" si="7"/>
        <v>16782225</v>
      </c>
      <c r="Q11" s="3">
        <v>896.16600000000005</v>
      </c>
      <c r="R11" s="3">
        <f t="shared" si="8"/>
        <v>17027154</v>
      </c>
      <c r="S11" s="3">
        <f t="shared" si="9"/>
        <v>2908.7840000000001</v>
      </c>
      <c r="T11" s="3">
        <f t="shared" si="10"/>
        <v>55266896</v>
      </c>
      <c r="U11" s="3">
        <v>925.35699999999997</v>
      </c>
      <c r="V11" s="3">
        <f t="shared" si="11"/>
        <v>17581783</v>
      </c>
      <c r="W11" s="3">
        <v>791.52499999999998</v>
      </c>
      <c r="X11" s="3">
        <f t="shared" si="12"/>
        <v>15038975</v>
      </c>
      <c r="Y11" s="3">
        <v>334.54700000000003</v>
      </c>
      <c r="Z11" s="3">
        <f t="shared" si="13"/>
        <v>6356393.0000000009</v>
      </c>
      <c r="AA11" s="3">
        <f t="shared" si="14"/>
        <v>2051.4290000000001</v>
      </c>
      <c r="AB11" s="3">
        <f t="shared" si="15"/>
        <v>38977151</v>
      </c>
      <c r="AC11" s="3">
        <v>199.03</v>
      </c>
      <c r="AD11" s="3">
        <f t="shared" si="16"/>
        <v>3781570</v>
      </c>
      <c r="AE11" s="3">
        <v>144.05000000000001</v>
      </c>
      <c r="AF11" s="3">
        <f t="shared" si="17"/>
        <v>2736950</v>
      </c>
      <c r="AG11" s="3">
        <v>100.051</v>
      </c>
      <c r="AH11" s="3">
        <f t="shared" si="18"/>
        <v>1900969</v>
      </c>
      <c r="AI11" s="3">
        <f t="shared" si="19"/>
        <v>443.13100000000003</v>
      </c>
      <c r="AJ11" s="3">
        <f t="shared" si="20"/>
        <v>8419489</v>
      </c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</row>
    <row r="12" spans="1:73" ht="25" customHeight="1" x14ac:dyDescent="0.2">
      <c r="A12" s="1" t="s">
        <v>11</v>
      </c>
      <c r="B12" s="1" t="s">
        <v>47</v>
      </c>
      <c r="C12" s="3">
        <f t="shared" si="0"/>
        <v>20906.488000000001</v>
      </c>
      <c r="D12" s="3">
        <f t="shared" si="0"/>
        <v>397223272</v>
      </c>
      <c r="E12" s="3">
        <v>43.707000000000001</v>
      </c>
      <c r="F12" s="3">
        <f t="shared" si="1"/>
        <v>830433</v>
      </c>
      <c r="G12" s="10">
        <v>763.87599999999998</v>
      </c>
      <c r="H12" s="3">
        <f t="shared" si="2"/>
        <v>14513644</v>
      </c>
      <c r="I12" s="3">
        <v>1575.942</v>
      </c>
      <c r="J12" s="3">
        <f t="shared" si="3"/>
        <v>29942898</v>
      </c>
      <c r="K12" s="3">
        <f t="shared" si="4"/>
        <v>2383.5250000000001</v>
      </c>
      <c r="L12" s="3">
        <f t="shared" si="5"/>
        <v>45286975</v>
      </c>
      <c r="M12" s="3">
        <v>1532.394</v>
      </c>
      <c r="N12" s="3">
        <f t="shared" si="6"/>
        <v>29115486</v>
      </c>
      <c r="O12" s="3">
        <v>1950.3109999999999</v>
      </c>
      <c r="P12" s="3">
        <f t="shared" si="7"/>
        <v>37055909</v>
      </c>
      <c r="Q12" s="3">
        <v>2475.5569999999998</v>
      </c>
      <c r="R12" s="3">
        <f t="shared" si="8"/>
        <v>47035582.999999993</v>
      </c>
      <c r="S12" s="3">
        <f t="shared" si="9"/>
        <v>5958.2619999999997</v>
      </c>
      <c r="T12" s="3">
        <f t="shared" si="10"/>
        <v>113206978</v>
      </c>
      <c r="U12" s="5">
        <v>2753.87</v>
      </c>
      <c r="V12" s="3">
        <f t="shared" si="11"/>
        <v>52323530</v>
      </c>
      <c r="W12" s="5">
        <v>2911.788</v>
      </c>
      <c r="X12" s="3">
        <f t="shared" si="12"/>
        <v>55323972</v>
      </c>
      <c r="Y12" s="5">
        <v>2431.7049999999999</v>
      </c>
      <c r="Z12" s="3">
        <f t="shared" si="13"/>
        <v>46202395</v>
      </c>
      <c r="AA12" s="3">
        <f t="shared" si="14"/>
        <v>8097.3629999999994</v>
      </c>
      <c r="AB12" s="3">
        <f t="shared" si="15"/>
        <v>153849897</v>
      </c>
      <c r="AC12" s="5">
        <v>1955.453</v>
      </c>
      <c r="AD12" s="3">
        <f t="shared" si="16"/>
        <v>37153607</v>
      </c>
      <c r="AE12" s="5">
        <v>1411.75</v>
      </c>
      <c r="AF12" s="3">
        <f t="shared" si="17"/>
        <v>26823250</v>
      </c>
      <c r="AG12" s="5">
        <v>1100.135</v>
      </c>
      <c r="AH12" s="3">
        <f t="shared" si="18"/>
        <v>20902565</v>
      </c>
      <c r="AI12" s="3">
        <f t="shared" si="19"/>
        <v>4467.3379999999997</v>
      </c>
      <c r="AJ12" s="3">
        <f t="shared" si="20"/>
        <v>84879422</v>
      </c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</row>
    <row r="13" spans="1:73" ht="25" customHeight="1" x14ac:dyDescent="0.2">
      <c r="A13" s="1" t="s">
        <v>12</v>
      </c>
      <c r="B13" s="1" t="s">
        <v>47</v>
      </c>
      <c r="C13" s="3">
        <f t="shared" si="0"/>
        <v>6365.4</v>
      </c>
      <c r="D13" s="3">
        <f t="shared" si="0"/>
        <v>120942600</v>
      </c>
      <c r="E13" s="3">
        <v>509</v>
      </c>
      <c r="F13" s="3">
        <f t="shared" si="1"/>
        <v>9671000</v>
      </c>
      <c r="G13" s="10">
        <v>488.9</v>
      </c>
      <c r="H13" s="3">
        <f t="shared" si="2"/>
        <v>9289100</v>
      </c>
      <c r="I13" s="3">
        <v>621.20000000000005</v>
      </c>
      <c r="J13" s="3">
        <f t="shared" si="3"/>
        <v>11802800</v>
      </c>
      <c r="K13" s="3">
        <f t="shared" si="4"/>
        <v>1619.1</v>
      </c>
      <c r="L13" s="3">
        <f t="shared" si="5"/>
        <v>30762900</v>
      </c>
      <c r="M13" s="3">
        <v>311.5</v>
      </c>
      <c r="N13" s="3">
        <f t="shared" si="6"/>
        <v>5918500</v>
      </c>
      <c r="O13" s="3">
        <v>336.4</v>
      </c>
      <c r="P13" s="3">
        <f t="shared" si="7"/>
        <v>6391600</v>
      </c>
      <c r="Q13" s="3">
        <v>336.4</v>
      </c>
      <c r="R13" s="3">
        <f t="shared" si="8"/>
        <v>6391600</v>
      </c>
      <c r="S13" s="3">
        <f t="shared" si="9"/>
        <v>984.3</v>
      </c>
      <c r="T13" s="3">
        <f t="shared" si="10"/>
        <v>18701700</v>
      </c>
      <c r="U13" s="3">
        <v>430.5</v>
      </c>
      <c r="V13" s="3">
        <f t="shared" si="11"/>
        <v>8179500</v>
      </c>
      <c r="W13" s="3">
        <v>612</v>
      </c>
      <c r="X13" s="3">
        <f t="shared" si="12"/>
        <v>11628000</v>
      </c>
      <c r="Y13" s="3">
        <v>871.2</v>
      </c>
      <c r="Z13" s="3">
        <f t="shared" si="13"/>
        <v>16552800</v>
      </c>
      <c r="AA13" s="3">
        <f t="shared" si="14"/>
        <v>1913.7</v>
      </c>
      <c r="AB13" s="3">
        <f t="shared" si="15"/>
        <v>36360300</v>
      </c>
      <c r="AC13" s="6">
        <v>511.4</v>
      </c>
      <c r="AD13" s="3">
        <f t="shared" si="16"/>
        <v>9716600</v>
      </c>
      <c r="AE13" s="6">
        <v>649.4</v>
      </c>
      <c r="AF13" s="3">
        <f t="shared" si="17"/>
        <v>12338600</v>
      </c>
      <c r="AG13" s="6">
        <v>687.5</v>
      </c>
      <c r="AH13" s="3">
        <f t="shared" si="18"/>
        <v>13062500</v>
      </c>
      <c r="AI13" s="3">
        <f t="shared" si="19"/>
        <v>1848.3</v>
      </c>
      <c r="AJ13" s="3">
        <f t="shared" si="20"/>
        <v>35117700</v>
      </c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</row>
    <row r="14" spans="1:73" ht="25" customHeight="1" x14ac:dyDescent="0.2">
      <c r="A14" s="1" t="s">
        <v>13</v>
      </c>
      <c r="B14" s="1" t="s">
        <v>47</v>
      </c>
      <c r="C14" s="3">
        <f t="shared" si="0"/>
        <v>14517.2</v>
      </c>
      <c r="D14" s="3">
        <f t="shared" si="0"/>
        <v>275826800</v>
      </c>
      <c r="E14" s="3">
        <v>199.7</v>
      </c>
      <c r="F14" s="3">
        <f t="shared" si="1"/>
        <v>3794300</v>
      </c>
      <c r="G14" s="10">
        <v>207.5</v>
      </c>
      <c r="H14" s="3">
        <f t="shared" si="2"/>
        <v>3942500</v>
      </c>
      <c r="I14" s="3">
        <v>331.8</v>
      </c>
      <c r="J14" s="3">
        <f t="shared" si="3"/>
        <v>6304200</v>
      </c>
      <c r="K14" s="3">
        <f t="shared" si="4"/>
        <v>739</v>
      </c>
      <c r="L14" s="3">
        <f t="shared" si="5"/>
        <v>14041000</v>
      </c>
      <c r="M14" s="3">
        <v>418</v>
      </c>
      <c r="N14" s="3">
        <f t="shared" si="6"/>
        <v>7942000</v>
      </c>
      <c r="O14" s="3">
        <v>583.20000000000005</v>
      </c>
      <c r="P14" s="3">
        <f t="shared" si="7"/>
        <v>11080800</v>
      </c>
      <c r="Q14" s="3">
        <v>761.1</v>
      </c>
      <c r="R14" s="3">
        <f t="shared" si="8"/>
        <v>14460900</v>
      </c>
      <c r="S14" s="3">
        <f t="shared" si="9"/>
        <v>1762.3000000000002</v>
      </c>
      <c r="T14" s="3">
        <f t="shared" si="10"/>
        <v>33483700.000000004</v>
      </c>
      <c r="U14" s="3">
        <v>1254.8</v>
      </c>
      <c r="V14" s="3">
        <f t="shared" si="11"/>
        <v>23841200</v>
      </c>
      <c r="W14" s="3">
        <v>1832.7</v>
      </c>
      <c r="X14" s="3">
        <f t="shared" si="12"/>
        <v>34821300</v>
      </c>
      <c r="Y14" s="3">
        <v>2835.4</v>
      </c>
      <c r="Z14" s="3">
        <f t="shared" si="13"/>
        <v>53872600</v>
      </c>
      <c r="AA14" s="3">
        <f t="shared" si="14"/>
        <v>5922.9</v>
      </c>
      <c r="AB14" s="3">
        <f t="shared" si="15"/>
        <v>112535100</v>
      </c>
      <c r="AC14" s="6">
        <v>2547.5</v>
      </c>
      <c r="AD14" s="3">
        <f t="shared" si="16"/>
        <v>48402500</v>
      </c>
      <c r="AE14" s="6">
        <v>2132</v>
      </c>
      <c r="AF14" s="3">
        <f t="shared" si="17"/>
        <v>40508000</v>
      </c>
      <c r="AG14" s="6">
        <v>1413.5</v>
      </c>
      <c r="AH14" s="3">
        <f t="shared" si="18"/>
        <v>26856500</v>
      </c>
      <c r="AI14" s="3">
        <f t="shared" si="19"/>
        <v>6093</v>
      </c>
      <c r="AJ14" s="3">
        <f t="shared" si="20"/>
        <v>115767000</v>
      </c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</row>
    <row r="15" spans="1:73" ht="25" customHeight="1" x14ac:dyDescent="0.2">
      <c r="A15" s="1" t="s">
        <v>14</v>
      </c>
      <c r="B15" s="1" t="s">
        <v>47</v>
      </c>
      <c r="C15" s="3">
        <f t="shared" si="0"/>
        <v>6964.5400000000009</v>
      </c>
      <c r="D15" s="3">
        <f t="shared" si="0"/>
        <v>132326260</v>
      </c>
      <c r="E15" s="3">
        <v>244.51</v>
      </c>
      <c r="F15" s="3">
        <f t="shared" si="1"/>
        <v>4645690</v>
      </c>
      <c r="G15" s="10">
        <v>252.17</v>
      </c>
      <c r="H15" s="3">
        <f t="shared" si="2"/>
        <v>4791230</v>
      </c>
      <c r="I15" s="3">
        <v>277.05</v>
      </c>
      <c r="J15" s="3">
        <f t="shared" si="3"/>
        <v>5263950</v>
      </c>
      <c r="K15" s="3">
        <f t="shared" si="4"/>
        <v>773.73</v>
      </c>
      <c r="L15" s="3">
        <f t="shared" si="5"/>
        <v>14700870</v>
      </c>
      <c r="M15" s="3">
        <v>342.51</v>
      </c>
      <c r="N15" s="3">
        <f t="shared" si="6"/>
        <v>6507690</v>
      </c>
      <c r="O15" s="3">
        <v>683.91</v>
      </c>
      <c r="P15" s="3">
        <f t="shared" si="7"/>
        <v>12994290</v>
      </c>
      <c r="Q15" s="3">
        <v>776.24</v>
      </c>
      <c r="R15" s="3">
        <f t="shared" si="8"/>
        <v>14748560</v>
      </c>
      <c r="S15" s="3">
        <f t="shared" si="9"/>
        <v>1802.66</v>
      </c>
      <c r="T15" s="3">
        <f t="shared" si="10"/>
        <v>34250540</v>
      </c>
      <c r="U15" s="3">
        <v>950.44</v>
      </c>
      <c r="V15" s="3">
        <f t="shared" si="11"/>
        <v>18058360</v>
      </c>
      <c r="W15" s="3">
        <v>876.17</v>
      </c>
      <c r="X15" s="3">
        <f t="shared" si="12"/>
        <v>16647230</v>
      </c>
      <c r="Y15" s="3">
        <v>760.6</v>
      </c>
      <c r="Z15" s="3">
        <f t="shared" si="13"/>
        <v>14451400</v>
      </c>
      <c r="AA15" s="3">
        <f t="shared" si="14"/>
        <v>2587.21</v>
      </c>
      <c r="AB15" s="3">
        <f t="shared" si="15"/>
        <v>49156990</v>
      </c>
      <c r="AC15" s="3">
        <v>612.91</v>
      </c>
      <c r="AD15" s="3">
        <f t="shared" si="16"/>
        <v>11645290</v>
      </c>
      <c r="AE15" s="3">
        <v>637.91999999999996</v>
      </c>
      <c r="AF15" s="3">
        <f t="shared" si="17"/>
        <v>12120480</v>
      </c>
      <c r="AG15" s="3">
        <v>550.11</v>
      </c>
      <c r="AH15" s="3">
        <f t="shared" si="18"/>
        <v>10452090</v>
      </c>
      <c r="AI15" s="3">
        <f t="shared" si="19"/>
        <v>1800.94</v>
      </c>
      <c r="AJ15" s="3">
        <f t="shared" si="20"/>
        <v>34217860</v>
      </c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</row>
    <row r="16" spans="1:73" ht="25" customHeight="1" x14ac:dyDescent="0.2">
      <c r="A16" s="1" t="s">
        <v>15</v>
      </c>
      <c r="B16" s="1" t="s">
        <v>47</v>
      </c>
      <c r="C16" s="6">
        <f t="shared" si="0"/>
        <v>61415.3</v>
      </c>
      <c r="D16" s="3">
        <f t="shared" si="0"/>
        <v>1166890700</v>
      </c>
      <c r="E16" s="6">
        <v>6202.7</v>
      </c>
      <c r="F16" s="3">
        <f t="shared" si="1"/>
        <v>117851300</v>
      </c>
      <c r="G16" s="10">
        <v>3903.7</v>
      </c>
      <c r="H16" s="3">
        <f t="shared" si="2"/>
        <v>74170300</v>
      </c>
      <c r="I16" s="6">
        <v>3114.4</v>
      </c>
      <c r="J16" s="3">
        <f t="shared" si="3"/>
        <v>59173600</v>
      </c>
      <c r="K16" s="3">
        <f t="shared" si="4"/>
        <v>13220.8</v>
      </c>
      <c r="L16" s="3">
        <f t="shared" si="5"/>
        <v>251195200</v>
      </c>
      <c r="M16" s="6">
        <v>4436</v>
      </c>
      <c r="N16" s="3">
        <f t="shared" si="6"/>
        <v>84284000</v>
      </c>
      <c r="O16" s="6">
        <v>4907.2</v>
      </c>
      <c r="P16" s="3">
        <f t="shared" si="7"/>
        <v>93236800</v>
      </c>
      <c r="Q16" s="6">
        <v>5346.5</v>
      </c>
      <c r="R16" s="3">
        <f t="shared" si="8"/>
        <v>101583500</v>
      </c>
      <c r="S16" s="3">
        <f t="shared" si="9"/>
        <v>14689.7</v>
      </c>
      <c r="T16" s="3">
        <f t="shared" si="10"/>
        <v>279104300</v>
      </c>
      <c r="U16" s="6">
        <v>5532.7</v>
      </c>
      <c r="V16" s="3">
        <f t="shared" si="11"/>
        <v>105121300</v>
      </c>
      <c r="W16" s="6">
        <v>3630.6</v>
      </c>
      <c r="X16" s="3">
        <f t="shared" si="12"/>
        <v>68981400</v>
      </c>
      <c r="Y16" s="6">
        <v>4316.7</v>
      </c>
      <c r="Z16" s="3">
        <f t="shared" si="13"/>
        <v>82017300</v>
      </c>
      <c r="AA16" s="3">
        <f t="shared" si="14"/>
        <v>13480</v>
      </c>
      <c r="AB16" s="3">
        <f t="shared" si="15"/>
        <v>256120000</v>
      </c>
      <c r="AC16" s="6">
        <v>6664.4</v>
      </c>
      <c r="AD16" s="3">
        <f t="shared" si="16"/>
        <v>126623600</v>
      </c>
      <c r="AE16" s="6">
        <v>7102.4</v>
      </c>
      <c r="AF16" s="3">
        <f t="shared" si="17"/>
        <v>134945600</v>
      </c>
      <c r="AG16" s="6">
        <v>6258</v>
      </c>
      <c r="AH16" s="3">
        <f t="shared" si="18"/>
        <v>118902000</v>
      </c>
      <c r="AI16" s="3">
        <f t="shared" si="19"/>
        <v>20024.8</v>
      </c>
      <c r="AJ16" s="3">
        <f t="shared" si="20"/>
        <v>380471200</v>
      </c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</row>
    <row r="17" spans="1:73" ht="25" customHeight="1" x14ac:dyDescent="0.2">
      <c r="A17" s="1" t="s">
        <v>16</v>
      </c>
      <c r="B17" s="1" t="s">
        <v>47</v>
      </c>
      <c r="C17" s="3">
        <f t="shared" si="0"/>
        <v>4937.4459999999999</v>
      </c>
      <c r="D17" s="3">
        <f t="shared" si="0"/>
        <v>93811474</v>
      </c>
      <c r="E17" s="3">
        <v>8.8710000000000004</v>
      </c>
      <c r="F17" s="3">
        <f t="shared" si="1"/>
        <v>168549</v>
      </c>
      <c r="G17" s="10">
        <v>22.733000000000001</v>
      </c>
      <c r="H17" s="3">
        <f t="shared" si="2"/>
        <v>431927</v>
      </c>
      <c r="I17" s="3">
        <v>17.923999999999999</v>
      </c>
      <c r="J17" s="3">
        <f t="shared" si="3"/>
        <v>340556</v>
      </c>
      <c r="K17" s="3">
        <f t="shared" si="4"/>
        <v>49.527999999999999</v>
      </c>
      <c r="L17" s="3">
        <f t="shared" si="5"/>
        <v>941032</v>
      </c>
      <c r="M17" s="3">
        <v>35.313000000000002</v>
      </c>
      <c r="N17" s="3">
        <f t="shared" si="6"/>
        <v>670947</v>
      </c>
      <c r="O17" s="3">
        <v>33.408999999999999</v>
      </c>
      <c r="P17" s="3">
        <f t="shared" si="7"/>
        <v>634771</v>
      </c>
      <c r="Q17" s="3">
        <v>707.91800000000001</v>
      </c>
      <c r="R17" s="3">
        <f t="shared" si="8"/>
        <v>13450442</v>
      </c>
      <c r="S17" s="3">
        <f t="shared" si="9"/>
        <v>776.64</v>
      </c>
      <c r="T17" s="3">
        <f t="shared" si="10"/>
        <v>14756160</v>
      </c>
      <c r="U17" s="3">
        <v>1077.8420000000001</v>
      </c>
      <c r="V17" s="3">
        <f t="shared" si="11"/>
        <v>20478998.000000004</v>
      </c>
      <c r="W17" s="3">
        <v>814.72</v>
      </c>
      <c r="X17" s="3">
        <f t="shared" si="12"/>
        <v>15479680</v>
      </c>
      <c r="Y17" s="3">
        <v>508.97899999999998</v>
      </c>
      <c r="Z17" s="3">
        <f t="shared" si="13"/>
        <v>9670601</v>
      </c>
      <c r="AA17" s="3">
        <f t="shared" si="14"/>
        <v>2401.5410000000002</v>
      </c>
      <c r="AB17" s="3">
        <f t="shared" si="15"/>
        <v>45629279</v>
      </c>
      <c r="AC17" s="3">
        <v>459.93200000000002</v>
      </c>
      <c r="AD17" s="3">
        <f t="shared" si="16"/>
        <v>8738708</v>
      </c>
      <c r="AE17" s="3">
        <v>625</v>
      </c>
      <c r="AF17" s="3">
        <f t="shared" si="17"/>
        <v>11875000</v>
      </c>
      <c r="AG17" s="3">
        <v>624.80499999999995</v>
      </c>
      <c r="AH17" s="3">
        <f t="shared" si="18"/>
        <v>11871294.999999998</v>
      </c>
      <c r="AI17" s="3">
        <f t="shared" si="19"/>
        <v>1709.7370000000001</v>
      </c>
      <c r="AJ17" s="3">
        <f t="shared" si="20"/>
        <v>32485003</v>
      </c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</row>
    <row r="18" spans="1:73" ht="25" customHeight="1" x14ac:dyDescent="0.2">
      <c r="A18" s="1" t="s">
        <v>17</v>
      </c>
      <c r="B18" s="1" t="s">
        <v>47</v>
      </c>
      <c r="C18" s="3">
        <f t="shared" si="0"/>
        <v>4426.3230000000003</v>
      </c>
      <c r="D18" s="3">
        <f t="shared" si="0"/>
        <v>84100137</v>
      </c>
      <c r="E18" s="3">
        <v>117.17</v>
      </c>
      <c r="F18" s="3">
        <f t="shared" si="1"/>
        <v>2226230</v>
      </c>
      <c r="G18" s="10">
        <v>67.400000000000006</v>
      </c>
      <c r="H18" s="3">
        <f t="shared" si="2"/>
        <v>1280600</v>
      </c>
      <c r="I18" s="3">
        <v>112.47</v>
      </c>
      <c r="J18" s="3">
        <f t="shared" si="3"/>
        <v>2136930</v>
      </c>
      <c r="K18" s="3">
        <f t="shared" si="4"/>
        <v>297.03999999999996</v>
      </c>
      <c r="L18" s="3">
        <f t="shared" si="5"/>
        <v>5643759.9999999991</v>
      </c>
      <c r="M18" s="3">
        <v>60.91</v>
      </c>
      <c r="N18" s="3">
        <f t="shared" si="6"/>
        <v>1157290</v>
      </c>
      <c r="O18" s="3">
        <v>112.75</v>
      </c>
      <c r="P18" s="3">
        <f t="shared" si="7"/>
        <v>2142250</v>
      </c>
      <c r="Q18" s="3">
        <v>508.94</v>
      </c>
      <c r="R18" s="3">
        <f t="shared" si="8"/>
        <v>9669860</v>
      </c>
      <c r="S18" s="3">
        <f t="shared" si="9"/>
        <v>682.6</v>
      </c>
      <c r="T18" s="3">
        <f t="shared" si="10"/>
        <v>12969400</v>
      </c>
      <c r="U18" s="3">
        <v>612.86</v>
      </c>
      <c r="V18" s="3">
        <f t="shared" si="11"/>
        <v>11644340</v>
      </c>
      <c r="W18" s="3">
        <v>872.26</v>
      </c>
      <c r="X18" s="3">
        <f t="shared" si="12"/>
        <v>16572940</v>
      </c>
      <c r="Y18" s="3">
        <v>470.05</v>
      </c>
      <c r="Z18" s="3">
        <f t="shared" si="13"/>
        <v>8930950</v>
      </c>
      <c r="AA18" s="3">
        <f t="shared" si="14"/>
        <v>1955.1699999999998</v>
      </c>
      <c r="AB18" s="3">
        <f t="shared" si="15"/>
        <v>37148230</v>
      </c>
      <c r="AC18" s="3">
        <v>325.2</v>
      </c>
      <c r="AD18" s="3">
        <f t="shared" si="16"/>
        <v>6178800</v>
      </c>
      <c r="AE18" s="3">
        <v>559.11</v>
      </c>
      <c r="AF18" s="3">
        <f t="shared" si="17"/>
        <v>10623090</v>
      </c>
      <c r="AG18" s="3">
        <v>607.20299999999997</v>
      </c>
      <c r="AH18" s="3">
        <f t="shared" si="18"/>
        <v>11536857</v>
      </c>
      <c r="AI18" s="3">
        <f t="shared" si="19"/>
        <v>1491.5129999999999</v>
      </c>
      <c r="AJ18" s="3">
        <f t="shared" si="20"/>
        <v>28338747</v>
      </c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</row>
    <row r="19" spans="1:73" ht="25" customHeight="1" x14ac:dyDescent="0.2">
      <c r="A19" s="1" t="s">
        <v>18</v>
      </c>
      <c r="B19" s="1" t="s">
        <v>48</v>
      </c>
      <c r="C19" s="3">
        <f t="shared" si="0"/>
        <v>10579.647999999999</v>
      </c>
      <c r="D19" s="3">
        <f t="shared" si="0"/>
        <v>201013312</v>
      </c>
      <c r="E19" s="3">
        <v>586.21100000000001</v>
      </c>
      <c r="F19" s="3">
        <f t="shared" si="1"/>
        <v>11138009</v>
      </c>
      <c r="G19" s="10">
        <v>683.91200000000003</v>
      </c>
      <c r="H19" s="3">
        <f t="shared" si="2"/>
        <v>12994328</v>
      </c>
      <c r="I19" s="3">
        <v>683.91200000000003</v>
      </c>
      <c r="J19" s="3">
        <f t="shared" si="3"/>
        <v>12994328</v>
      </c>
      <c r="K19" s="3">
        <f t="shared" si="4"/>
        <v>1954.0350000000001</v>
      </c>
      <c r="L19" s="3">
        <f t="shared" si="5"/>
        <v>37126665</v>
      </c>
      <c r="M19" s="3">
        <v>781.61400000000003</v>
      </c>
      <c r="N19" s="3">
        <f t="shared" si="6"/>
        <v>14850666</v>
      </c>
      <c r="O19" s="3">
        <v>879.31200000000001</v>
      </c>
      <c r="P19" s="3">
        <f t="shared" si="7"/>
        <v>16706928</v>
      </c>
      <c r="Q19" s="3">
        <v>977.01700000000005</v>
      </c>
      <c r="R19" s="3">
        <f t="shared" si="8"/>
        <v>18563323</v>
      </c>
      <c r="S19" s="3">
        <f t="shared" si="9"/>
        <v>2637.9430000000002</v>
      </c>
      <c r="T19" s="3">
        <f t="shared" si="10"/>
        <v>50120917.000000007</v>
      </c>
      <c r="U19" s="3">
        <v>1074.7190000000001</v>
      </c>
      <c r="V19" s="3">
        <f t="shared" si="11"/>
        <v>20419661</v>
      </c>
      <c r="W19" s="3">
        <v>1074.7190000000001</v>
      </c>
      <c r="X19" s="3">
        <f t="shared" si="12"/>
        <v>20419661</v>
      </c>
      <c r="Y19" s="3">
        <v>977.01700000000005</v>
      </c>
      <c r="Z19" s="3">
        <f t="shared" si="13"/>
        <v>18563323</v>
      </c>
      <c r="AA19" s="3">
        <f t="shared" si="14"/>
        <v>3126.4549999999999</v>
      </c>
      <c r="AB19" s="3">
        <f t="shared" si="15"/>
        <v>59402645</v>
      </c>
      <c r="AC19" s="3">
        <v>898.86</v>
      </c>
      <c r="AD19" s="3">
        <f t="shared" si="16"/>
        <v>17078340</v>
      </c>
      <c r="AE19" s="3">
        <v>1082.3399999999999</v>
      </c>
      <c r="AF19" s="3">
        <f t="shared" si="17"/>
        <v>20564460</v>
      </c>
      <c r="AG19" s="3">
        <v>880.01499999999999</v>
      </c>
      <c r="AH19" s="3">
        <f t="shared" si="18"/>
        <v>16720285</v>
      </c>
      <c r="AI19" s="3">
        <f t="shared" si="19"/>
        <v>2861.2149999999997</v>
      </c>
      <c r="AJ19" s="3">
        <f t="shared" si="20"/>
        <v>54363084.999999993</v>
      </c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</row>
    <row r="20" spans="1:73" ht="25" customHeight="1" x14ac:dyDescent="0.2">
      <c r="A20" s="1" t="s">
        <v>19</v>
      </c>
      <c r="B20" s="1" t="s">
        <v>48</v>
      </c>
      <c r="C20" s="3">
        <f t="shared" si="0"/>
        <v>19145.55</v>
      </c>
      <c r="D20" s="3">
        <f t="shared" si="0"/>
        <v>363765450</v>
      </c>
      <c r="E20" s="3">
        <v>1481.4</v>
      </c>
      <c r="F20" s="3">
        <f t="shared" si="1"/>
        <v>28146600</v>
      </c>
      <c r="G20" s="10">
        <v>1304.5</v>
      </c>
      <c r="H20" s="3">
        <f t="shared" si="2"/>
        <v>24785500</v>
      </c>
      <c r="I20" s="3">
        <v>1423.65</v>
      </c>
      <c r="J20" s="3">
        <f t="shared" si="3"/>
        <v>27049350</v>
      </c>
      <c r="K20" s="3">
        <f t="shared" si="4"/>
        <v>4209.55</v>
      </c>
      <c r="L20" s="3">
        <f t="shared" si="5"/>
        <v>79981450</v>
      </c>
      <c r="M20" s="3">
        <v>1613.2</v>
      </c>
      <c r="N20" s="3">
        <f t="shared" si="6"/>
        <v>30650800</v>
      </c>
      <c r="O20" s="3">
        <v>1528.8</v>
      </c>
      <c r="P20" s="3">
        <f t="shared" si="7"/>
        <v>29047200</v>
      </c>
      <c r="Q20" s="3">
        <v>1591.7</v>
      </c>
      <c r="R20" s="3">
        <f t="shared" si="8"/>
        <v>30242300</v>
      </c>
      <c r="S20" s="3">
        <f t="shared" si="9"/>
        <v>4733.7</v>
      </c>
      <c r="T20" s="3">
        <f t="shared" si="10"/>
        <v>89940300</v>
      </c>
      <c r="U20" s="3">
        <v>2003.8</v>
      </c>
      <c r="V20" s="3">
        <f t="shared" si="11"/>
        <v>38072200</v>
      </c>
      <c r="W20" s="3">
        <v>1710.2</v>
      </c>
      <c r="X20" s="3">
        <f t="shared" si="12"/>
        <v>32493800</v>
      </c>
      <c r="Y20" s="3">
        <v>2032.4</v>
      </c>
      <c r="Z20" s="3">
        <f t="shared" si="13"/>
        <v>38615600</v>
      </c>
      <c r="AA20" s="3">
        <f t="shared" si="14"/>
        <v>5746.4</v>
      </c>
      <c r="AB20" s="3">
        <f t="shared" si="15"/>
        <v>109181600</v>
      </c>
      <c r="AC20" s="6">
        <v>1616.7</v>
      </c>
      <c r="AD20" s="3">
        <f t="shared" si="16"/>
        <v>30717300</v>
      </c>
      <c r="AE20" s="6">
        <v>1350.6</v>
      </c>
      <c r="AF20" s="3">
        <f t="shared" si="17"/>
        <v>25661400</v>
      </c>
      <c r="AG20" s="6">
        <v>1488.6</v>
      </c>
      <c r="AH20" s="3">
        <f t="shared" si="18"/>
        <v>28283400</v>
      </c>
      <c r="AI20" s="3">
        <f t="shared" si="19"/>
        <v>4455.8999999999996</v>
      </c>
      <c r="AJ20" s="3">
        <f t="shared" si="20"/>
        <v>84662100</v>
      </c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</row>
    <row r="21" spans="1:73" ht="25" customHeight="1" x14ac:dyDescent="0.2">
      <c r="A21" s="1" t="s">
        <v>20</v>
      </c>
      <c r="B21" s="1" t="s">
        <v>48</v>
      </c>
      <c r="C21" s="3">
        <f t="shared" si="0"/>
        <v>36069.699999999997</v>
      </c>
      <c r="D21" s="3">
        <f t="shared" si="0"/>
        <v>685324300</v>
      </c>
      <c r="E21" s="3">
        <v>3019.7</v>
      </c>
      <c r="F21" s="3">
        <f t="shared" si="1"/>
        <v>57374300</v>
      </c>
      <c r="G21" s="10">
        <v>3342.9</v>
      </c>
      <c r="H21" s="3">
        <f t="shared" si="2"/>
        <v>63515100</v>
      </c>
      <c r="I21" s="3">
        <v>3112.8</v>
      </c>
      <c r="J21" s="3">
        <f t="shared" si="3"/>
        <v>59143200</v>
      </c>
      <c r="K21" s="3">
        <f t="shared" si="4"/>
        <v>9475.4000000000015</v>
      </c>
      <c r="L21" s="3">
        <f t="shared" si="5"/>
        <v>180032600.00000003</v>
      </c>
      <c r="M21" s="3">
        <v>2919.3</v>
      </c>
      <c r="N21" s="3">
        <f t="shared" si="6"/>
        <v>55466700</v>
      </c>
      <c r="O21" s="3">
        <v>2953.2</v>
      </c>
      <c r="P21" s="3">
        <f t="shared" si="7"/>
        <v>56110800</v>
      </c>
      <c r="Q21" s="3">
        <v>2755.4</v>
      </c>
      <c r="R21" s="3">
        <f t="shared" si="8"/>
        <v>52352600</v>
      </c>
      <c r="S21" s="3">
        <f t="shared" si="9"/>
        <v>8627.9</v>
      </c>
      <c r="T21" s="3">
        <f t="shared" si="10"/>
        <v>163930100</v>
      </c>
      <c r="U21" s="3">
        <v>2909.8</v>
      </c>
      <c r="V21" s="3">
        <f t="shared" si="11"/>
        <v>55286200</v>
      </c>
      <c r="W21" s="3">
        <v>3057.2</v>
      </c>
      <c r="X21" s="3">
        <f t="shared" si="12"/>
        <v>58086800</v>
      </c>
      <c r="Y21" s="3">
        <v>3184.1</v>
      </c>
      <c r="Z21" s="3">
        <f t="shared" si="13"/>
        <v>60497900</v>
      </c>
      <c r="AA21" s="3">
        <f t="shared" si="14"/>
        <v>9151.1</v>
      </c>
      <c r="AB21" s="3">
        <f t="shared" si="15"/>
        <v>173870900</v>
      </c>
      <c r="AC21" s="6">
        <v>3503.3</v>
      </c>
      <c r="AD21" s="3">
        <f t="shared" si="16"/>
        <v>66562700</v>
      </c>
      <c r="AE21" s="6">
        <v>2897.5</v>
      </c>
      <c r="AF21" s="3">
        <f t="shared" si="17"/>
        <v>55052500</v>
      </c>
      <c r="AG21" s="6">
        <v>2414.5</v>
      </c>
      <c r="AH21" s="3">
        <f t="shared" si="18"/>
        <v>45875500</v>
      </c>
      <c r="AI21" s="3">
        <f t="shared" si="19"/>
        <v>8815.2999999999993</v>
      </c>
      <c r="AJ21" s="3">
        <f t="shared" si="20"/>
        <v>167490700</v>
      </c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</row>
    <row r="22" spans="1:73" ht="25" customHeight="1" x14ac:dyDescent="0.2">
      <c r="A22" s="1" t="s">
        <v>21</v>
      </c>
      <c r="B22" s="1" t="s">
        <v>48</v>
      </c>
      <c r="C22" s="3">
        <f t="shared" si="0"/>
        <v>8005.9700000000012</v>
      </c>
      <c r="D22" s="3">
        <f t="shared" si="0"/>
        <v>152113430</v>
      </c>
      <c r="E22" s="3">
        <v>251.05</v>
      </c>
      <c r="F22" s="3">
        <f t="shared" si="1"/>
        <v>4769950</v>
      </c>
      <c r="G22" s="10">
        <v>273.22000000000003</v>
      </c>
      <c r="H22" s="3">
        <f t="shared" si="2"/>
        <v>5191180.0000000009</v>
      </c>
      <c r="I22" s="3">
        <v>318.04000000000002</v>
      </c>
      <c r="J22" s="3">
        <f t="shared" si="3"/>
        <v>6042760</v>
      </c>
      <c r="K22" s="3">
        <f t="shared" si="4"/>
        <v>842.31</v>
      </c>
      <c r="L22" s="3">
        <f t="shared" si="5"/>
        <v>16003889.999999998</v>
      </c>
      <c r="M22" s="3">
        <v>431.72</v>
      </c>
      <c r="N22" s="3">
        <f t="shared" si="6"/>
        <v>8202680.0000000009</v>
      </c>
      <c r="O22" s="3">
        <v>471.02</v>
      </c>
      <c r="P22" s="3">
        <f t="shared" si="7"/>
        <v>8949380</v>
      </c>
      <c r="Q22" s="3">
        <v>727.21</v>
      </c>
      <c r="R22" s="3">
        <f t="shared" si="8"/>
        <v>13816990</v>
      </c>
      <c r="S22" s="3">
        <f t="shared" si="9"/>
        <v>1629.95</v>
      </c>
      <c r="T22" s="3">
        <f t="shared" si="10"/>
        <v>30969050</v>
      </c>
      <c r="U22" s="3">
        <v>903.51</v>
      </c>
      <c r="V22" s="3">
        <f t="shared" si="11"/>
        <v>17166690</v>
      </c>
      <c r="W22" s="3">
        <v>977.93</v>
      </c>
      <c r="X22" s="3">
        <f t="shared" si="12"/>
        <v>18580670</v>
      </c>
      <c r="Y22" s="3">
        <v>941.17</v>
      </c>
      <c r="Z22" s="3">
        <f t="shared" si="13"/>
        <v>17882230</v>
      </c>
      <c r="AA22" s="3">
        <f t="shared" si="14"/>
        <v>2822.61</v>
      </c>
      <c r="AB22" s="3">
        <f t="shared" si="15"/>
        <v>53629590</v>
      </c>
      <c r="AC22" s="3">
        <v>947.8</v>
      </c>
      <c r="AD22" s="3">
        <f t="shared" si="16"/>
        <v>18008200</v>
      </c>
      <c r="AE22" s="3">
        <v>913.2</v>
      </c>
      <c r="AF22" s="3">
        <f t="shared" si="17"/>
        <v>17350800</v>
      </c>
      <c r="AG22" s="3">
        <v>850.1</v>
      </c>
      <c r="AH22" s="3">
        <f t="shared" si="18"/>
        <v>16151900</v>
      </c>
      <c r="AI22" s="3">
        <f t="shared" si="19"/>
        <v>2711.1</v>
      </c>
      <c r="AJ22" s="3">
        <f t="shared" si="20"/>
        <v>51510900</v>
      </c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</row>
    <row r="23" spans="1:73" ht="25" customHeight="1" x14ac:dyDescent="0.2">
      <c r="A23" s="1" t="s">
        <v>22</v>
      </c>
      <c r="B23" s="1" t="s">
        <v>48</v>
      </c>
      <c r="C23" s="6">
        <f t="shared" si="0"/>
        <v>24402.870000000003</v>
      </c>
      <c r="D23" s="3">
        <f t="shared" si="0"/>
        <v>463654530</v>
      </c>
      <c r="E23" s="3">
        <v>349.33</v>
      </c>
      <c r="F23" s="3">
        <f t="shared" si="1"/>
        <v>6637270</v>
      </c>
      <c r="G23" s="10">
        <v>582.76</v>
      </c>
      <c r="H23" s="3">
        <f t="shared" si="2"/>
        <v>11072440</v>
      </c>
      <c r="I23" s="3">
        <v>301.47000000000003</v>
      </c>
      <c r="J23" s="3">
        <f t="shared" si="3"/>
        <v>5727930.0000000009</v>
      </c>
      <c r="K23" s="3">
        <f t="shared" si="4"/>
        <v>1233.56</v>
      </c>
      <c r="L23" s="3">
        <f t="shared" si="5"/>
        <v>23437640</v>
      </c>
      <c r="M23" s="3">
        <v>616.16999999999996</v>
      </c>
      <c r="N23" s="3">
        <f t="shared" si="6"/>
        <v>11707230</v>
      </c>
      <c r="O23" s="3">
        <v>1110.47</v>
      </c>
      <c r="P23" s="3">
        <f t="shared" si="7"/>
        <v>21098930</v>
      </c>
      <c r="Q23" s="3">
        <v>1964.65</v>
      </c>
      <c r="R23" s="3">
        <f t="shared" si="8"/>
        <v>37328350</v>
      </c>
      <c r="S23" s="3">
        <f t="shared" si="9"/>
        <v>3691.29</v>
      </c>
      <c r="T23" s="3">
        <f t="shared" si="10"/>
        <v>70134510</v>
      </c>
      <c r="U23" s="6">
        <v>3947.37</v>
      </c>
      <c r="V23" s="6">
        <f t="shared" si="11"/>
        <v>75000030</v>
      </c>
      <c r="W23" s="6">
        <f>8691.17-W24</f>
        <v>4103.17</v>
      </c>
      <c r="X23" s="6">
        <f t="shared" si="12"/>
        <v>77960230</v>
      </c>
      <c r="Y23" s="6">
        <v>5569.55</v>
      </c>
      <c r="Z23" s="6">
        <f t="shared" si="13"/>
        <v>105821450</v>
      </c>
      <c r="AA23" s="6">
        <f t="shared" si="14"/>
        <v>13620.09</v>
      </c>
      <c r="AB23" s="6">
        <f t="shared" si="15"/>
        <v>258781710</v>
      </c>
      <c r="AC23" s="5">
        <v>3675.33</v>
      </c>
      <c r="AD23" s="6">
        <f t="shared" si="16"/>
        <v>69831270</v>
      </c>
      <c r="AE23" s="6">
        <v>1146.7</v>
      </c>
      <c r="AF23" s="3">
        <f t="shared" si="17"/>
        <v>21787300</v>
      </c>
      <c r="AG23" s="6">
        <v>1035.9000000000001</v>
      </c>
      <c r="AH23" s="3">
        <f t="shared" si="18"/>
        <v>19682100</v>
      </c>
      <c r="AI23" s="3">
        <f t="shared" si="19"/>
        <v>5857.93</v>
      </c>
      <c r="AJ23" s="3">
        <f t="shared" si="20"/>
        <v>111300670</v>
      </c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</row>
    <row r="24" spans="1:73" ht="25" customHeight="1" x14ac:dyDescent="0.2">
      <c r="A24" s="1" t="s">
        <v>23</v>
      </c>
      <c r="B24" s="1" t="s">
        <v>48</v>
      </c>
      <c r="C24" s="3">
        <f t="shared" si="0"/>
        <v>55988.096999999994</v>
      </c>
      <c r="D24" s="3">
        <f t="shared" si="0"/>
        <v>1063773843</v>
      </c>
      <c r="E24" s="3">
        <v>4830.2299999999996</v>
      </c>
      <c r="F24" s="3">
        <f t="shared" si="1"/>
        <v>91774369.999999985</v>
      </c>
      <c r="G24" s="10">
        <v>3997</v>
      </c>
      <c r="H24" s="3">
        <f t="shared" si="2"/>
        <v>75943000</v>
      </c>
      <c r="I24" s="3">
        <v>5393</v>
      </c>
      <c r="J24" s="3">
        <f t="shared" si="3"/>
        <v>102467000</v>
      </c>
      <c r="K24" s="3">
        <f t="shared" si="4"/>
        <v>14220.23</v>
      </c>
      <c r="L24" s="3">
        <f t="shared" si="5"/>
        <v>270184370</v>
      </c>
      <c r="M24" s="3">
        <v>3328</v>
      </c>
      <c r="N24" s="3">
        <f t="shared" si="6"/>
        <v>63232000</v>
      </c>
      <c r="O24" s="3">
        <v>4380</v>
      </c>
      <c r="P24" s="3">
        <f t="shared" si="7"/>
        <v>83220000</v>
      </c>
      <c r="Q24" s="3">
        <v>2801</v>
      </c>
      <c r="R24" s="3">
        <f t="shared" si="8"/>
        <v>53219000</v>
      </c>
      <c r="S24" s="3">
        <f t="shared" si="9"/>
        <v>10509</v>
      </c>
      <c r="T24" s="3">
        <f t="shared" si="10"/>
        <v>199671000</v>
      </c>
      <c r="U24" s="3">
        <v>3528</v>
      </c>
      <c r="V24" s="3">
        <f t="shared" si="11"/>
        <v>67032000</v>
      </c>
      <c r="W24" s="3">
        <v>4588</v>
      </c>
      <c r="X24" s="3">
        <f t="shared" si="12"/>
        <v>87172000</v>
      </c>
      <c r="Y24" s="3">
        <v>4929</v>
      </c>
      <c r="Z24" s="3">
        <f t="shared" si="13"/>
        <v>93651000</v>
      </c>
      <c r="AA24" s="3">
        <f t="shared" si="14"/>
        <v>13045</v>
      </c>
      <c r="AB24" s="3">
        <f t="shared" si="15"/>
        <v>247855000</v>
      </c>
      <c r="AC24" s="3">
        <v>5280</v>
      </c>
      <c r="AD24" s="3">
        <f t="shared" si="16"/>
        <v>100320000</v>
      </c>
      <c r="AE24" s="3">
        <v>6398</v>
      </c>
      <c r="AF24" s="3">
        <f t="shared" si="17"/>
        <v>121562000</v>
      </c>
      <c r="AG24" s="6">
        <v>6535.8670000000002</v>
      </c>
      <c r="AH24" s="3">
        <f t="shared" si="18"/>
        <v>124181473</v>
      </c>
      <c r="AI24" s="3">
        <f t="shared" si="19"/>
        <v>18213.866999999998</v>
      </c>
      <c r="AJ24" s="3">
        <f t="shared" si="20"/>
        <v>346063472.99999994</v>
      </c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</row>
    <row r="25" spans="1:73" ht="25" customHeight="1" x14ac:dyDescent="0.2">
      <c r="A25" s="1" t="s">
        <v>24</v>
      </c>
      <c r="B25" s="1" t="s">
        <v>48</v>
      </c>
      <c r="C25" s="3">
        <f t="shared" si="0"/>
        <v>9905.2999999999993</v>
      </c>
      <c r="D25" s="3">
        <f t="shared" si="0"/>
        <v>188200700</v>
      </c>
      <c r="E25" s="3">
        <v>469.4</v>
      </c>
      <c r="F25" s="3">
        <f t="shared" si="1"/>
        <v>8918600</v>
      </c>
      <c r="G25" s="10">
        <v>605.5</v>
      </c>
      <c r="H25" s="3">
        <f t="shared" si="2"/>
        <v>11504500</v>
      </c>
      <c r="I25" s="3">
        <v>847.4</v>
      </c>
      <c r="J25" s="3">
        <f t="shared" si="3"/>
        <v>16100600</v>
      </c>
      <c r="K25" s="3">
        <f t="shared" si="4"/>
        <v>1922.3000000000002</v>
      </c>
      <c r="L25" s="3">
        <f t="shared" si="5"/>
        <v>36523700</v>
      </c>
      <c r="M25" s="3">
        <v>819.7</v>
      </c>
      <c r="N25" s="3">
        <f t="shared" si="6"/>
        <v>15574300</v>
      </c>
      <c r="O25" s="3">
        <v>814.2</v>
      </c>
      <c r="P25" s="3">
        <f t="shared" si="7"/>
        <v>15469800</v>
      </c>
      <c r="Q25" s="3">
        <v>570.6</v>
      </c>
      <c r="R25" s="3">
        <f t="shared" si="8"/>
        <v>10841400</v>
      </c>
      <c r="S25" s="3">
        <f t="shared" si="9"/>
        <v>2204.5</v>
      </c>
      <c r="T25" s="3">
        <f t="shared" si="10"/>
        <v>41885500</v>
      </c>
      <c r="U25" s="3">
        <v>636.29999999999995</v>
      </c>
      <c r="V25" s="3">
        <f t="shared" si="11"/>
        <v>12089700</v>
      </c>
      <c r="W25" s="3">
        <v>951</v>
      </c>
      <c r="X25" s="3">
        <f t="shared" si="12"/>
        <v>18069000</v>
      </c>
      <c r="Y25" s="3">
        <v>1273.9000000000001</v>
      </c>
      <c r="Z25" s="3">
        <f t="shared" si="13"/>
        <v>24204100</v>
      </c>
      <c r="AA25" s="3">
        <f t="shared" si="14"/>
        <v>2861.2</v>
      </c>
      <c r="AB25" s="3">
        <f t="shared" si="15"/>
        <v>54362800</v>
      </c>
      <c r="AC25" s="3">
        <v>1069.7</v>
      </c>
      <c r="AD25" s="3">
        <f t="shared" si="16"/>
        <v>20324300</v>
      </c>
      <c r="AE25" s="6">
        <v>971.1</v>
      </c>
      <c r="AF25" s="3">
        <f t="shared" si="17"/>
        <v>18450900</v>
      </c>
      <c r="AG25" s="6">
        <v>876.5</v>
      </c>
      <c r="AH25" s="3">
        <f t="shared" si="18"/>
        <v>16653500</v>
      </c>
      <c r="AI25" s="3">
        <f t="shared" si="19"/>
        <v>2917.3</v>
      </c>
      <c r="AJ25" s="3">
        <f t="shared" si="20"/>
        <v>55428700</v>
      </c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</row>
    <row r="26" spans="1:73" ht="25" customHeight="1" x14ac:dyDescent="0.2">
      <c r="A26" s="1" t="s">
        <v>25</v>
      </c>
      <c r="B26" s="1" t="s">
        <v>48</v>
      </c>
      <c r="C26" s="3">
        <f t="shared" si="0"/>
        <v>5173.87</v>
      </c>
      <c r="D26" s="3">
        <f t="shared" si="0"/>
        <v>98303530</v>
      </c>
      <c r="E26" s="3">
        <v>205.87</v>
      </c>
      <c r="F26" s="3">
        <f t="shared" si="1"/>
        <v>3911530</v>
      </c>
      <c r="G26" s="10">
        <v>276.83999999999997</v>
      </c>
      <c r="H26" s="3">
        <f t="shared" si="2"/>
        <v>5259959.9999999991</v>
      </c>
      <c r="I26" s="3">
        <v>291.58999999999997</v>
      </c>
      <c r="J26" s="3">
        <f t="shared" si="3"/>
        <v>5540209.9999999991</v>
      </c>
      <c r="K26" s="3">
        <f t="shared" si="4"/>
        <v>774.3</v>
      </c>
      <c r="L26" s="3">
        <f t="shared" si="5"/>
        <v>14711700</v>
      </c>
      <c r="M26" s="3">
        <v>391.15</v>
      </c>
      <c r="N26" s="3">
        <f t="shared" si="6"/>
        <v>7431850</v>
      </c>
      <c r="O26" s="3">
        <v>443.48</v>
      </c>
      <c r="P26" s="3">
        <f t="shared" si="7"/>
        <v>8426120</v>
      </c>
      <c r="Q26" s="3">
        <v>402.57</v>
      </c>
      <c r="R26" s="3">
        <f t="shared" si="8"/>
        <v>7648830</v>
      </c>
      <c r="S26" s="3">
        <f t="shared" si="9"/>
        <v>1237.2</v>
      </c>
      <c r="T26" s="3">
        <f t="shared" si="10"/>
        <v>23506800</v>
      </c>
      <c r="U26" s="3">
        <v>520.16</v>
      </c>
      <c r="V26" s="3">
        <f t="shared" si="11"/>
        <v>9883040</v>
      </c>
      <c r="W26" s="3">
        <v>535.30999999999995</v>
      </c>
      <c r="X26" s="3">
        <f t="shared" si="12"/>
        <v>10170889.999999998</v>
      </c>
      <c r="Y26" s="3">
        <v>516.6</v>
      </c>
      <c r="Z26" s="3">
        <f t="shared" si="13"/>
        <v>9815400</v>
      </c>
      <c r="AA26" s="3">
        <f t="shared" si="14"/>
        <v>1572.0699999999997</v>
      </c>
      <c r="AB26" s="3">
        <f t="shared" si="15"/>
        <v>29869329.999999996</v>
      </c>
      <c r="AC26" s="3">
        <v>636.17999999999995</v>
      </c>
      <c r="AD26" s="3">
        <f t="shared" si="16"/>
        <v>12087419.999999998</v>
      </c>
      <c r="AE26" s="3">
        <v>501.29</v>
      </c>
      <c r="AF26" s="3">
        <f t="shared" si="17"/>
        <v>9524510</v>
      </c>
      <c r="AG26" s="3">
        <v>452.83</v>
      </c>
      <c r="AH26" s="3">
        <f t="shared" si="18"/>
        <v>8603770</v>
      </c>
      <c r="AI26" s="3">
        <f t="shared" si="19"/>
        <v>1590.3</v>
      </c>
      <c r="AJ26" s="3">
        <f t="shared" si="20"/>
        <v>30215700</v>
      </c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3"/>
      <c r="BR26" s="3"/>
      <c r="BS26" s="3"/>
      <c r="BT26" s="3"/>
      <c r="BU26" s="3"/>
    </row>
    <row r="27" spans="1:73" ht="25" customHeight="1" x14ac:dyDescent="0.2">
      <c r="A27" s="1" t="s">
        <v>26</v>
      </c>
      <c r="B27" s="1" t="s">
        <v>48</v>
      </c>
      <c r="C27" s="3">
        <f t="shared" si="0"/>
        <v>3651.0730000000003</v>
      </c>
      <c r="D27" s="3">
        <f t="shared" si="0"/>
        <v>69370387</v>
      </c>
      <c r="E27" s="3">
        <v>163.31</v>
      </c>
      <c r="F27" s="3">
        <f t="shared" si="1"/>
        <v>3102890</v>
      </c>
      <c r="G27" s="10">
        <v>286.74</v>
      </c>
      <c r="H27" s="3">
        <f t="shared" si="2"/>
        <v>5448060</v>
      </c>
      <c r="I27" s="3">
        <v>341.02</v>
      </c>
      <c r="J27" s="3">
        <f t="shared" si="3"/>
        <v>6479380</v>
      </c>
      <c r="K27" s="3">
        <f t="shared" si="4"/>
        <v>791.06999999999994</v>
      </c>
      <c r="L27" s="3">
        <f t="shared" si="5"/>
        <v>15030329.999999998</v>
      </c>
      <c r="M27" s="3">
        <v>278.35000000000002</v>
      </c>
      <c r="N27" s="3">
        <f t="shared" si="6"/>
        <v>5288650</v>
      </c>
      <c r="O27" s="3">
        <v>219.07</v>
      </c>
      <c r="P27" s="3">
        <f t="shared" si="7"/>
        <v>4162330</v>
      </c>
      <c r="Q27" s="3">
        <v>235.03</v>
      </c>
      <c r="R27" s="3">
        <f t="shared" si="8"/>
        <v>4465570</v>
      </c>
      <c r="S27" s="3">
        <f t="shared" si="9"/>
        <v>732.45</v>
      </c>
      <c r="T27" s="3">
        <f t="shared" si="10"/>
        <v>13916550</v>
      </c>
      <c r="U27" s="3">
        <v>270.94</v>
      </c>
      <c r="V27" s="3">
        <f t="shared" si="11"/>
        <v>5147860</v>
      </c>
      <c r="W27" s="3">
        <v>365.93</v>
      </c>
      <c r="X27" s="3">
        <f t="shared" si="12"/>
        <v>6952670</v>
      </c>
      <c r="Y27" s="3">
        <v>258.83</v>
      </c>
      <c r="Z27" s="3">
        <f t="shared" si="13"/>
        <v>4917770</v>
      </c>
      <c r="AA27" s="3">
        <f t="shared" si="14"/>
        <v>895.7</v>
      </c>
      <c r="AB27" s="3">
        <f t="shared" si="15"/>
        <v>17018300</v>
      </c>
      <c r="AC27" s="3">
        <v>535.42999999999995</v>
      </c>
      <c r="AD27" s="3">
        <f t="shared" si="16"/>
        <v>10173169.999999998</v>
      </c>
      <c r="AE27" s="3">
        <v>444.87</v>
      </c>
      <c r="AF27" s="3">
        <f t="shared" si="17"/>
        <v>8452530</v>
      </c>
      <c r="AG27" s="3">
        <v>251.553</v>
      </c>
      <c r="AH27" s="3">
        <f t="shared" si="18"/>
        <v>4779507</v>
      </c>
      <c r="AI27" s="3">
        <f t="shared" si="19"/>
        <v>1231.8530000000001</v>
      </c>
      <c r="AJ27" s="3">
        <f t="shared" si="20"/>
        <v>23405207</v>
      </c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</row>
    <row r="28" spans="1:73" ht="25" customHeight="1" x14ac:dyDescent="0.2">
      <c r="A28" s="1" t="s">
        <v>27</v>
      </c>
      <c r="B28" s="1" t="s">
        <v>48</v>
      </c>
      <c r="C28" s="3">
        <f t="shared" si="0"/>
        <v>8998.2000000000007</v>
      </c>
      <c r="D28" s="3">
        <f t="shared" si="0"/>
        <v>170965800</v>
      </c>
      <c r="E28" s="3">
        <v>246.5</v>
      </c>
      <c r="F28" s="3">
        <f t="shared" si="1"/>
        <v>4683500</v>
      </c>
      <c r="G28" s="10">
        <v>271</v>
      </c>
      <c r="H28" s="3">
        <f t="shared" si="2"/>
        <v>5149000</v>
      </c>
      <c r="I28" s="3">
        <v>505.5</v>
      </c>
      <c r="J28" s="3">
        <f t="shared" si="3"/>
        <v>9604500</v>
      </c>
      <c r="K28" s="3">
        <f t="shared" si="4"/>
        <v>1023</v>
      </c>
      <c r="L28" s="3">
        <f t="shared" si="5"/>
        <v>19437000</v>
      </c>
      <c r="M28" s="3">
        <v>1078.5999999999999</v>
      </c>
      <c r="N28" s="3">
        <f t="shared" si="6"/>
        <v>20493400</v>
      </c>
      <c r="O28" s="3">
        <v>1186.5999999999999</v>
      </c>
      <c r="P28" s="3">
        <f t="shared" si="7"/>
        <v>22545400</v>
      </c>
      <c r="Q28" s="3">
        <v>448.6</v>
      </c>
      <c r="R28" s="3">
        <f t="shared" si="8"/>
        <v>8523400</v>
      </c>
      <c r="S28" s="3">
        <f t="shared" si="9"/>
        <v>2713.7999999999997</v>
      </c>
      <c r="T28" s="3">
        <f t="shared" si="10"/>
        <v>51562199.999999993</v>
      </c>
      <c r="U28" s="3">
        <v>1460.9</v>
      </c>
      <c r="V28" s="3">
        <f t="shared" si="11"/>
        <v>27757100</v>
      </c>
      <c r="W28" s="3">
        <v>1617.4</v>
      </c>
      <c r="X28" s="3">
        <f t="shared" si="12"/>
        <v>30730600</v>
      </c>
      <c r="Y28" s="3">
        <v>943.4</v>
      </c>
      <c r="Z28" s="3">
        <f t="shared" si="13"/>
        <v>17924600</v>
      </c>
      <c r="AA28" s="3">
        <f t="shared" si="14"/>
        <v>4021.7000000000003</v>
      </c>
      <c r="AB28" s="3">
        <f t="shared" si="15"/>
        <v>76412300</v>
      </c>
      <c r="AC28" s="3">
        <v>451.2</v>
      </c>
      <c r="AD28" s="3">
        <f t="shared" si="16"/>
        <v>8572800</v>
      </c>
      <c r="AE28" s="6">
        <v>446.9</v>
      </c>
      <c r="AF28" s="3">
        <f t="shared" si="17"/>
        <v>8491100</v>
      </c>
      <c r="AG28" s="6">
        <v>341.6</v>
      </c>
      <c r="AH28" s="3">
        <f t="shared" si="18"/>
        <v>6490400</v>
      </c>
      <c r="AI28" s="3">
        <f t="shared" si="19"/>
        <v>1239.6999999999998</v>
      </c>
      <c r="AJ28" s="3">
        <f t="shared" si="20"/>
        <v>23554299.999999996</v>
      </c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</row>
    <row r="29" spans="1:73" ht="25" customHeight="1" x14ac:dyDescent="0.2">
      <c r="A29" s="1" t="s">
        <v>28</v>
      </c>
      <c r="B29" s="1" t="s">
        <v>48</v>
      </c>
      <c r="C29" s="3">
        <f t="shared" si="0"/>
        <v>16043.900000000001</v>
      </c>
      <c r="D29" s="3">
        <f t="shared" si="0"/>
        <v>304834100</v>
      </c>
      <c r="E29" s="3">
        <v>1354.4</v>
      </c>
      <c r="F29" s="3">
        <f t="shared" si="1"/>
        <v>25733600</v>
      </c>
      <c r="G29" s="10">
        <v>1372.3</v>
      </c>
      <c r="H29" s="3">
        <f t="shared" si="2"/>
        <v>26073700</v>
      </c>
      <c r="I29" s="3">
        <v>1372.5</v>
      </c>
      <c r="J29" s="3">
        <f t="shared" si="3"/>
        <v>26077500</v>
      </c>
      <c r="K29" s="3">
        <f t="shared" si="4"/>
        <v>4099.2</v>
      </c>
      <c r="L29" s="3">
        <f t="shared" si="5"/>
        <v>77884800</v>
      </c>
      <c r="M29" s="3">
        <v>1292.5</v>
      </c>
      <c r="N29" s="3">
        <f t="shared" si="6"/>
        <v>24557500</v>
      </c>
      <c r="O29" s="3">
        <v>1291.2</v>
      </c>
      <c r="P29" s="3">
        <f t="shared" si="7"/>
        <v>24532800</v>
      </c>
      <c r="Q29" s="3">
        <v>1289.5999999999999</v>
      </c>
      <c r="R29" s="3">
        <f t="shared" si="8"/>
        <v>24502400</v>
      </c>
      <c r="S29" s="3">
        <f t="shared" si="9"/>
        <v>3873.2999999999997</v>
      </c>
      <c r="T29" s="3">
        <f t="shared" si="10"/>
        <v>73592700</v>
      </c>
      <c r="U29" s="3">
        <v>1343.5</v>
      </c>
      <c r="V29" s="3">
        <f t="shared" si="11"/>
        <v>25526500</v>
      </c>
      <c r="W29" s="3">
        <v>1345.7</v>
      </c>
      <c r="X29" s="3">
        <f t="shared" si="12"/>
        <v>25568300</v>
      </c>
      <c r="Y29" s="3">
        <v>1345.4</v>
      </c>
      <c r="Z29" s="3">
        <f t="shared" si="13"/>
        <v>25562600</v>
      </c>
      <c r="AA29" s="3">
        <f t="shared" si="14"/>
        <v>4034.6</v>
      </c>
      <c r="AB29" s="3">
        <f t="shared" si="15"/>
        <v>76657400</v>
      </c>
      <c r="AC29" s="6">
        <v>1343.6</v>
      </c>
      <c r="AD29" s="3">
        <f t="shared" si="16"/>
        <v>25528400</v>
      </c>
      <c r="AE29" s="6">
        <v>1344.5</v>
      </c>
      <c r="AF29" s="3">
        <f t="shared" si="17"/>
        <v>25545500</v>
      </c>
      <c r="AG29" s="6">
        <v>1348.7</v>
      </c>
      <c r="AH29" s="3">
        <f t="shared" si="18"/>
        <v>25625300</v>
      </c>
      <c r="AI29" s="3">
        <f t="shared" si="19"/>
        <v>4036.8</v>
      </c>
      <c r="AJ29" s="3">
        <f t="shared" si="20"/>
        <v>76699200</v>
      </c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</row>
    <row r="30" spans="1:73" ht="25" customHeight="1" x14ac:dyDescent="0.2">
      <c r="A30" s="1" t="s">
        <v>29</v>
      </c>
      <c r="B30" s="1" t="s">
        <v>48</v>
      </c>
      <c r="C30" s="3">
        <f t="shared" si="0"/>
        <v>23947.7</v>
      </c>
      <c r="D30" s="3">
        <f t="shared" si="0"/>
        <v>455006300</v>
      </c>
      <c r="E30" s="3">
        <v>2002.9</v>
      </c>
      <c r="F30" s="3">
        <f t="shared" si="1"/>
        <v>38055100</v>
      </c>
      <c r="G30" s="10">
        <v>2051.1</v>
      </c>
      <c r="H30" s="3">
        <f t="shared" si="2"/>
        <v>38970900</v>
      </c>
      <c r="I30" s="3">
        <v>1387.8</v>
      </c>
      <c r="J30" s="3">
        <f t="shared" si="3"/>
        <v>26368200</v>
      </c>
      <c r="K30" s="3">
        <f t="shared" si="4"/>
        <v>5441.8</v>
      </c>
      <c r="L30" s="3">
        <f t="shared" si="5"/>
        <v>103394200</v>
      </c>
      <c r="M30" s="3">
        <v>3924.7</v>
      </c>
      <c r="N30" s="3">
        <f t="shared" si="6"/>
        <v>74569300</v>
      </c>
      <c r="O30" s="3">
        <v>1668.7</v>
      </c>
      <c r="P30" s="3">
        <f t="shared" si="7"/>
        <v>31705300</v>
      </c>
      <c r="Q30" s="3">
        <v>2266.3000000000002</v>
      </c>
      <c r="R30" s="3">
        <f t="shared" si="8"/>
        <v>43059700</v>
      </c>
      <c r="S30" s="3">
        <f t="shared" si="9"/>
        <v>7859.7</v>
      </c>
      <c r="T30" s="3">
        <f t="shared" si="10"/>
        <v>149334300</v>
      </c>
      <c r="U30" s="6">
        <v>1500.5</v>
      </c>
      <c r="V30" s="3">
        <f t="shared" si="11"/>
        <v>28509500</v>
      </c>
      <c r="W30" s="6">
        <v>1955.8</v>
      </c>
      <c r="X30" s="3">
        <f t="shared" si="12"/>
        <v>37160200</v>
      </c>
      <c r="Y30" s="6">
        <v>1781.1</v>
      </c>
      <c r="Z30" s="3">
        <f t="shared" si="13"/>
        <v>33840900</v>
      </c>
      <c r="AA30" s="3">
        <f t="shared" si="14"/>
        <v>5237.3999999999996</v>
      </c>
      <c r="AB30" s="3">
        <f t="shared" si="15"/>
        <v>99510600</v>
      </c>
      <c r="AC30" s="6">
        <v>1837.4</v>
      </c>
      <c r="AD30" s="6">
        <f t="shared" si="16"/>
        <v>34910600</v>
      </c>
      <c r="AE30" s="6">
        <v>1918.7</v>
      </c>
      <c r="AF30" s="6">
        <f t="shared" si="17"/>
        <v>36455300</v>
      </c>
      <c r="AG30" s="6">
        <v>1652.7</v>
      </c>
      <c r="AH30" s="6">
        <f t="shared" si="18"/>
        <v>31401300</v>
      </c>
      <c r="AI30" s="6">
        <f t="shared" si="19"/>
        <v>5408.8</v>
      </c>
      <c r="AJ30" s="6">
        <f t="shared" si="20"/>
        <v>102767200</v>
      </c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</row>
    <row r="31" spans="1:73" ht="25" customHeight="1" x14ac:dyDescent="0.2">
      <c r="A31" s="1" t="s">
        <v>30</v>
      </c>
      <c r="B31" s="1" t="s">
        <v>48</v>
      </c>
      <c r="C31" s="3">
        <f t="shared" si="0"/>
        <v>2435.6990000000001</v>
      </c>
      <c r="D31" s="3">
        <f t="shared" si="0"/>
        <v>46278281</v>
      </c>
      <c r="E31" s="3">
        <v>177.636</v>
      </c>
      <c r="F31" s="3">
        <f t="shared" si="1"/>
        <v>3375084</v>
      </c>
      <c r="G31" s="10">
        <v>105.76</v>
      </c>
      <c r="H31" s="3">
        <f t="shared" si="2"/>
        <v>2009440</v>
      </c>
      <c r="I31" s="3">
        <v>135.36000000000001</v>
      </c>
      <c r="J31" s="3">
        <f t="shared" si="3"/>
        <v>2571840.0000000005</v>
      </c>
      <c r="K31" s="3">
        <f t="shared" si="4"/>
        <v>418.75600000000003</v>
      </c>
      <c r="L31" s="3">
        <f t="shared" si="5"/>
        <v>7956364.0000000009</v>
      </c>
      <c r="M31" s="3">
        <v>176.69</v>
      </c>
      <c r="N31" s="3">
        <f t="shared" si="6"/>
        <v>3357110</v>
      </c>
      <c r="O31" s="3">
        <v>232.8</v>
      </c>
      <c r="P31" s="3">
        <f t="shared" si="7"/>
        <v>4423200</v>
      </c>
      <c r="Q31" s="3">
        <v>222.90299999999999</v>
      </c>
      <c r="R31" s="3">
        <f t="shared" si="8"/>
        <v>4235157</v>
      </c>
      <c r="S31" s="3">
        <f t="shared" si="9"/>
        <v>632.39300000000003</v>
      </c>
      <c r="T31" s="3">
        <f t="shared" si="10"/>
        <v>12015467</v>
      </c>
      <c r="U31" s="3">
        <v>224.74</v>
      </c>
      <c r="V31" s="3">
        <f t="shared" si="11"/>
        <v>4270060</v>
      </c>
      <c r="W31" s="3">
        <v>227.51</v>
      </c>
      <c r="X31" s="3">
        <f t="shared" si="12"/>
        <v>4322690</v>
      </c>
      <c r="Y31" s="3">
        <v>243.47</v>
      </c>
      <c r="Z31" s="3">
        <f t="shared" si="13"/>
        <v>4625930</v>
      </c>
      <c r="AA31" s="3">
        <f t="shared" si="14"/>
        <v>695.72</v>
      </c>
      <c r="AB31" s="3">
        <f t="shared" si="15"/>
        <v>13218680</v>
      </c>
      <c r="AC31" s="3">
        <v>241.62</v>
      </c>
      <c r="AD31" s="3">
        <f t="shared" si="16"/>
        <v>4590780</v>
      </c>
      <c r="AE31" s="3">
        <v>247.21</v>
      </c>
      <c r="AF31" s="3">
        <f t="shared" si="17"/>
        <v>4696990</v>
      </c>
      <c r="AG31" s="3">
        <v>200</v>
      </c>
      <c r="AH31" s="3">
        <f t="shared" si="18"/>
        <v>3800000</v>
      </c>
      <c r="AI31" s="3">
        <f t="shared" si="19"/>
        <v>688.83</v>
      </c>
      <c r="AJ31" s="3">
        <f t="shared" si="20"/>
        <v>13087770</v>
      </c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</row>
    <row r="32" spans="1:73" ht="25" customHeight="1" x14ac:dyDescent="0.2">
      <c r="A32" s="1" t="s">
        <v>31</v>
      </c>
      <c r="B32" s="1" t="s">
        <v>48</v>
      </c>
      <c r="C32" s="3">
        <f t="shared" si="0"/>
        <v>11036.6</v>
      </c>
      <c r="D32" s="3">
        <f t="shared" si="0"/>
        <v>209695400</v>
      </c>
      <c r="E32" s="3">
        <v>730.3</v>
      </c>
      <c r="F32" s="3">
        <f t="shared" si="1"/>
        <v>13875700</v>
      </c>
      <c r="G32" s="10">
        <v>843.5</v>
      </c>
      <c r="H32" s="3">
        <f t="shared" si="2"/>
        <v>16026500</v>
      </c>
      <c r="I32" s="3">
        <v>1444.8</v>
      </c>
      <c r="J32" s="3">
        <f t="shared" si="3"/>
        <v>27451200</v>
      </c>
      <c r="K32" s="3">
        <f t="shared" si="4"/>
        <v>3018.6</v>
      </c>
      <c r="L32" s="3">
        <f t="shared" si="5"/>
        <v>57353400</v>
      </c>
      <c r="M32" s="3">
        <v>1690.4</v>
      </c>
      <c r="N32" s="3">
        <f t="shared" si="6"/>
        <v>32117600</v>
      </c>
      <c r="O32" s="3">
        <v>1023.8</v>
      </c>
      <c r="P32" s="3">
        <f t="shared" si="7"/>
        <v>19452200</v>
      </c>
      <c r="Q32" s="3">
        <v>903</v>
      </c>
      <c r="R32" s="3">
        <f t="shared" si="8"/>
        <v>17157000</v>
      </c>
      <c r="S32" s="3">
        <f t="shared" si="9"/>
        <v>3617.2</v>
      </c>
      <c r="T32" s="3">
        <f t="shared" si="10"/>
        <v>68726800</v>
      </c>
      <c r="U32" s="3">
        <v>843.3</v>
      </c>
      <c r="V32" s="3">
        <f t="shared" si="11"/>
        <v>16022700</v>
      </c>
      <c r="W32" s="3">
        <v>823.9</v>
      </c>
      <c r="X32" s="3">
        <f t="shared" si="12"/>
        <v>15654100</v>
      </c>
      <c r="Y32" s="3">
        <v>821.5</v>
      </c>
      <c r="Z32" s="3">
        <f t="shared" si="13"/>
        <v>15608500</v>
      </c>
      <c r="AA32" s="3">
        <f t="shared" si="14"/>
        <v>2488.6999999999998</v>
      </c>
      <c r="AB32" s="3">
        <f t="shared" si="15"/>
        <v>47285300</v>
      </c>
      <c r="AC32" s="3">
        <v>672</v>
      </c>
      <c r="AD32" s="3">
        <f t="shared" si="16"/>
        <v>12768000</v>
      </c>
      <c r="AE32" s="6">
        <v>645.5</v>
      </c>
      <c r="AF32" s="3">
        <f t="shared" si="17"/>
        <v>12264500</v>
      </c>
      <c r="AG32" s="6">
        <v>594.6</v>
      </c>
      <c r="AH32" s="3">
        <f t="shared" si="18"/>
        <v>11297400</v>
      </c>
      <c r="AI32" s="3">
        <f t="shared" si="19"/>
        <v>1912.1</v>
      </c>
      <c r="AJ32" s="3">
        <f t="shared" si="20"/>
        <v>36329900</v>
      </c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</row>
    <row r="33" spans="1:73" ht="25" customHeight="1" x14ac:dyDescent="0.2">
      <c r="A33" s="1" t="s">
        <v>32</v>
      </c>
      <c r="B33" s="1" t="s">
        <v>48</v>
      </c>
      <c r="C33" s="3">
        <f t="shared" si="0"/>
        <v>4468.7520000000004</v>
      </c>
      <c r="D33" s="3">
        <f t="shared" si="0"/>
        <v>84906288</v>
      </c>
      <c r="E33" s="3">
        <v>383.84500000000003</v>
      </c>
      <c r="F33" s="3">
        <f t="shared" si="1"/>
        <v>7293055.0000000009</v>
      </c>
      <c r="G33" s="10">
        <v>198.99600000000001</v>
      </c>
      <c r="H33" s="3">
        <f t="shared" si="2"/>
        <v>3780924</v>
      </c>
      <c r="I33" s="3">
        <v>212.102</v>
      </c>
      <c r="J33" s="3">
        <f t="shared" si="3"/>
        <v>4029938</v>
      </c>
      <c r="K33" s="3">
        <f t="shared" si="4"/>
        <v>794.94299999999998</v>
      </c>
      <c r="L33" s="3">
        <f t="shared" si="5"/>
        <v>15103917</v>
      </c>
      <c r="M33" s="3">
        <v>379.56</v>
      </c>
      <c r="N33" s="3">
        <f t="shared" si="6"/>
        <v>7211640</v>
      </c>
      <c r="O33" s="3">
        <v>245.12700000000001</v>
      </c>
      <c r="P33" s="3">
        <f t="shared" si="7"/>
        <v>4657413</v>
      </c>
      <c r="Q33" s="3">
        <v>335.09199999999998</v>
      </c>
      <c r="R33" s="3">
        <f t="shared" si="8"/>
        <v>6366748</v>
      </c>
      <c r="S33" s="3">
        <f t="shared" si="9"/>
        <v>959.779</v>
      </c>
      <c r="T33" s="3">
        <f t="shared" si="10"/>
        <v>18235801</v>
      </c>
      <c r="U33" s="3">
        <v>389.93</v>
      </c>
      <c r="V33" s="3">
        <f t="shared" si="11"/>
        <v>7408670</v>
      </c>
      <c r="W33" s="3">
        <v>506.15</v>
      </c>
      <c r="X33" s="3">
        <f t="shared" si="12"/>
        <v>9616850</v>
      </c>
      <c r="Y33" s="3">
        <v>506.69</v>
      </c>
      <c r="Z33" s="3">
        <f t="shared" si="13"/>
        <v>9627110</v>
      </c>
      <c r="AA33" s="3">
        <f t="shared" si="14"/>
        <v>1402.77</v>
      </c>
      <c r="AB33" s="3">
        <f t="shared" si="15"/>
        <v>26652630</v>
      </c>
      <c r="AC33" s="3">
        <v>352.59</v>
      </c>
      <c r="AD33" s="3">
        <f t="shared" si="16"/>
        <v>6699209.9999999991</v>
      </c>
      <c r="AE33" s="3">
        <v>488.03500000000003</v>
      </c>
      <c r="AF33" s="3">
        <f t="shared" si="17"/>
        <v>9272665</v>
      </c>
      <c r="AG33" s="3">
        <v>470.63499999999999</v>
      </c>
      <c r="AH33" s="3">
        <f t="shared" si="18"/>
        <v>8942065</v>
      </c>
      <c r="AI33" s="3">
        <f t="shared" si="19"/>
        <v>1311.26</v>
      </c>
      <c r="AJ33" s="3">
        <f t="shared" si="20"/>
        <v>24913940</v>
      </c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</row>
    <row r="34" spans="1:73" ht="25" customHeight="1" x14ac:dyDescent="0.2">
      <c r="A34" s="1" t="s">
        <v>33</v>
      </c>
      <c r="B34" s="1" t="s">
        <v>48</v>
      </c>
      <c r="C34" s="3">
        <f t="shared" si="0"/>
        <v>31231.600000000002</v>
      </c>
      <c r="D34" s="3">
        <f t="shared" si="0"/>
        <v>593400400</v>
      </c>
      <c r="E34" s="3">
        <v>2152.9</v>
      </c>
      <c r="F34" s="3">
        <f t="shared" si="1"/>
        <v>40905100</v>
      </c>
      <c r="G34" s="10">
        <v>2205.6</v>
      </c>
      <c r="H34" s="3">
        <f t="shared" si="2"/>
        <v>41906400</v>
      </c>
      <c r="I34" s="3">
        <v>2506.8000000000002</v>
      </c>
      <c r="J34" s="3">
        <f t="shared" si="3"/>
        <v>47629200</v>
      </c>
      <c r="K34" s="3">
        <f t="shared" si="4"/>
        <v>6865.3</v>
      </c>
      <c r="L34" s="3">
        <f t="shared" si="5"/>
        <v>130440700</v>
      </c>
      <c r="M34" s="3">
        <v>3814.4</v>
      </c>
      <c r="N34" s="3">
        <f t="shared" si="6"/>
        <v>72473600</v>
      </c>
      <c r="O34" s="3">
        <v>3745.1</v>
      </c>
      <c r="P34" s="3">
        <f t="shared" si="7"/>
        <v>71156900</v>
      </c>
      <c r="Q34" s="3">
        <v>2745.1</v>
      </c>
      <c r="R34" s="3">
        <f t="shared" si="8"/>
        <v>52156900</v>
      </c>
      <c r="S34" s="3">
        <f t="shared" si="9"/>
        <v>10304.6</v>
      </c>
      <c r="T34" s="3">
        <f t="shared" si="10"/>
        <v>195787400</v>
      </c>
      <c r="U34" s="3">
        <v>2305.3000000000002</v>
      </c>
      <c r="V34" s="3">
        <f t="shared" si="11"/>
        <v>43800700</v>
      </c>
      <c r="W34" s="3">
        <v>1902.5</v>
      </c>
      <c r="X34" s="3">
        <f t="shared" si="12"/>
        <v>36147500</v>
      </c>
      <c r="Y34" s="3">
        <v>2615.1</v>
      </c>
      <c r="Z34" s="3">
        <f t="shared" si="13"/>
        <v>49686900</v>
      </c>
      <c r="AA34" s="3">
        <f t="shared" si="14"/>
        <v>6822.9</v>
      </c>
      <c r="AB34" s="3">
        <f t="shared" si="15"/>
        <v>129635100</v>
      </c>
      <c r="AC34" s="6">
        <v>2389.1999999999998</v>
      </c>
      <c r="AD34" s="3">
        <f t="shared" si="16"/>
        <v>45394800</v>
      </c>
      <c r="AE34" s="6">
        <v>2418.1</v>
      </c>
      <c r="AF34" s="3">
        <f t="shared" si="17"/>
        <v>45943900</v>
      </c>
      <c r="AG34" s="6">
        <v>2431.5</v>
      </c>
      <c r="AH34" s="3">
        <f t="shared" si="18"/>
        <v>46198500</v>
      </c>
      <c r="AI34" s="3">
        <f t="shared" si="19"/>
        <v>7238.7999999999993</v>
      </c>
      <c r="AJ34" s="3">
        <f t="shared" si="20"/>
        <v>137537200</v>
      </c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</row>
    <row r="35" spans="1:73" ht="25" customHeight="1" x14ac:dyDescent="0.2">
      <c r="A35" s="1" t="s">
        <v>34</v>
      </c>
      <c r="B35" s="1" t="s">
        <v>48</v>
      </c>
      <c r="C35" s="3">
        <f t="shared" si="0"/>
        <v>1320.6790000000001</v>
      </c>
      <c r="D35" s="3">
        <f t="shared" si="0"/>
        <v>25092901</v>
      </c>
      <c r="E35" s="3">
        <v>44.033999999999999</v>
      </c>
      <c r="F35" s="3">
        <f t="shared" si="1"/>
        <v>836646</v>
      </c>
      <c r="G35" s="10">
        <v>142.76300000000001</v>
      </c>
      <c r="H35" s="3">
        <f t="shared" si="2"/>
        <v>2712497</v>
      </c>
      <c r="I35" s="3">
        <v>37.423000000000002</v>
      </c>
      <c r="J35" s="3">
        <f t="shared" si="3"/>
        <v>711037</v>
      </c>
      <c r="K35" s="3">
        <f t="shared" si="4"/>
        <v>224.22</v>
      </c>
      <c r="L35" s="3">
        <f t="shared" si="5"/>
        <v>4260180</v>
      </c>
      <c r="M35" s="3">
        <v>226.94800000000001</v>
      </c>
      <c r="N35" s="3">
        <f t="shared" si="6"/>
        <v>4312012</v>
      </c>
      <c r="O35" s="3">
        <v>166.82300000000001</v>
      </c>
      <c r="P35" s="3">
        <f t="shared" si="7"/>
        <v>3169637</v>
      </c>
      <c r="Q35" s="3">
        <v>169.64599999999999</v>
      </c>
      <c r="R35" s="3">
        <f t="shared" si="8"/>
        <v>3223273.9999999995</v>
      </c>
      <c r="S35" s="3">
        <f t="shared" si="9"/>
        <v>563.41700000000003</v>
      </c>
      <c r="T35" s="3">
        <f t="shared" si="10"/>
        <v>10704923</v>
      </c>
      <c r="U35" s="3">
        <v>60.154000000000003</v>
      </c>
      <c r="V35" s="3">
        <f t="shared" si="11"/>
        <v>1142926</v>
      </c>
      <c r="W35" s="3">
        <v>71.228999999999999</v>
      </c>
      <c r="X35" s="3">
        <f t="shared" si="12"/>
        <v>1353351</v>
      </c>
      <c r="Y35" s="3">
        <v>45.676000000000002</v>
      </c>
      <c r="Z35" s="3">
        <f t="shared" si="13"/>
        <v>867844</v>
      </c>
      <c r="AA35" s="3">
        <f t="shared" si="14"/>
        <v>177.05900000000003</v>
      </c>
      <c r="AB35" s="3">
        <f t="shared" si="15"/>
        <v>3364121.0000000005</v>
      </c>
      <c r="AC35" s="3">
        <v>108.9</v>
      </c>
      <c r="AD35" s="3">
        <f t="shared" si="16"/>
        <v>2069100</v>
      </c>
      <c r="AE35" s="3">
        <v>123.259</v>
      </c>
      <c r="AF35" s="3">
        <f t="shared" si="17"/>
        <v>2341921</v>
      </c>
      <c r="AG35" s="3">
        <v>123.824</v>
      </c>
      <c r="AH35" s="3">
        <f t="shared" si="18"/>
        <v>2352656</v>
      </c>
      <c r="AI35" s="3">
        <f t="shared" si="19"/>
        <v>355.983</v>
      </c>
      <c r="AJ35" s="3">
        <f t="shared" si="20"/>
        <v>6763677</v>
      </c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</row>
    <row r="36" spans="1:73" ht="25" customHeight="1" x14ac:dyDescent="0.2">
      <c r="A36" s="1" t="s">
        <v>35</v>
      </c>
      <c r="B36" s="1" t="s">
        <v>48</v>
      </c>
      <c r="C36" s="3">
        <f t="shared" si="0"/>
        <v>924.14</v>
      </c>
      <c r="D36" s="3">
        <f t="shared" si="0"/>
        <v>17558660</v>
      </c>
      <c r="E36" s="3">
        <v>56.1</v>
      </c>
      <c r="F36" s="3">
        <f t="shared" si="1"/>
        <v>1065900</v>
      </c>
      <c r="G36" s="10">
        <v>68.8</v>
      </c>
      <c r="H36" s="3">
        <f t="shared" si="2"/>
        <v>1307200</v>
      </c>
      <c r="I36" s="3">
        <v>82.2</v>
      </c>
      <c r="J36" s="3">
        <f t="shared" si="3"/>
        <v>1561800</v>
      </c>
      <c r="K36" s="3">
        <f t="shared" si="4"/>
        <v>207.10000000000002</v>
      </c>
      <c r="L36" s="3">
        <f t="shared" si="5"/>
        <v>3934900.0000000005</v>
      </c>
      <c r="M36" s="3">
        <v>90.9</v>
      </c>
      <c r="N36" s="3">
        <f t="shared" si="6"/>
        <v>1727100</v>
      </c>
      <c r="O36" s="3">
        <v>96.52</v>
      </c>
      <c r="P36" s="3">
        <f t="shared" si="7"/>
        <v>1833880</v>
      </c>
      <c r="Q36" s="3">
        <v>107.73</v>
      </c>
      <c r="R36" s="3">
        <f t="shared" si="8"/>
        <v>2046870</v>
      </c>
      <c r="S36" s="3">
        <f t="shared" si="9"/>
        <v>295.15000000000003</v>
      </c>
      <c r="T36" s="3">
        <f t="shared" si="10"/>
        <v>5607850.0000000009</v>
      </c>
      <c r="U36" s="3">
        <v>77.52</v>
      </c>
      <c r="V36" s="3">
        <f t="shared" si="11"/>
        <v>1472880</v>
      </c>
      <c r="W36" s="3">
        <v>56.9</v>
      </c>
      <c r="X36" s="3">
        <f t="shared" si="12"/>
        <v>1081100</v>
      </c>
      <c r="Y36" s="3">
        <v>54.3</v>
      </c>
      <c r="Z36" s="3">
        <f t="shared" si="13"/>
        <v>1031700</v>
      </c>
      <c r="AA36" s="3">
        <f t="shared" si="14"/>
        <v>188.71999999999997</v>
      </c>
      <c r="AB36" s="3">
        <f t="shared" si="15"/>
        <v>3585679.9999999995</v>
      </c>
      <c r="AC36" s="6">
        <v>65.349999999999994</v>
      </c>
      <c r="AD36" s="3">
        <f t="shared" si="16"/>
        <v>1241650</v>
      </c>
      <c r="AE36" s="6">
        <v>78</v>
      </c>
      <c r="AF36" s="3">
        <f t="shared" si="17"/>
        <v>1482000</v>
      </c>
      <c r="AG36" s="6">
        <v>89.82</v>
      </c>
      <c r="AH36" s="3">
        <f t="shared" si="18"/>
        <v>1706579.9999999998</v>
      </c>
      <c r="AI36" s="3">
        <f t="shared" si="19"/>
        <v>233.17</v>
      </c>
      <c r="AJ36" s="3">
        <f t="shared" si="20"/>
        <v>4430230</v>
      </c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</row>
    <row r="37" spans="1:73" ht="25" customHeight="1" x14ac:dyDescent="0.2">
      <c r="A37" s="1" t="s">
        <v>36</v>
      </c>
      <c r="B37" s="1" t="s">
        <v>48</v>
      </c>
      <c r="C37" s="3">
        <f t="shared" si="0"/>
        <v>30418.918000000001</v>
      </c>
      <c r="D37" s="3">
        <f t="shared" si="0"/>
        <v>577959442</v>
      </c>
      <c r="E37" s="3">
        <v>4690.5</v>
      </c>
      <c r="F37" s="3">
        <f t="shared" si="1"/>
        <v>89119500</v>
      </c>
      <c r="G37" s="10">
        <v>591.37</v>
      </c>
      <c r="H37" s="3">
        <f t="shared" si="2"/>
        <v>11236030</v>
      </c>
      <c r="I37" s="3">
        <v>1994.42</v>
      </c>
      <c r="J37" s="3">
        <f t="shared" si="3"/>
        <v>37893980</v>
      </c>
      <c r="K37" s="3">
        <f t="shared" si="4"/>
        <v>7276.29</v>
      </c>
      <c r="L37" s="3">
        <f t="shared" si="5"/>
        <v>138249510</v>
      </c>
      <c r="M37" s="3">
        <v>1448.53</v>
      </c>
      <c r="N37" s="3">
        <f t="shared" si="6"/>
        <v>27522070</v>
      </c>
      <c r="O37" s="3">
        <v>3178.08</v>
      </c>
      <c r="P37" s="3">
        <f t="shared" si="7"/>
        <v>60383520</v>
      </c>
      <c r="Q37" s="3">
        <v>1895.76</v>
      </c>
      <c r="R37" s="3">
        <f t="shared" si="8"/>
        <v>36019440</v>
      </c>
      <c r="S37" s="3">
        <f t="shared" si="9"/>
        <v>6522.37</v>
      </c>
      <c r="T37" s="3">
        <f t="shared" si="10"/>
        <v>123925030</v>
      </c>
      <c r="U37" s="3">
        <v>3296.0169999999998</v>
      </c>
      <c r="V37" s="3">
        <f t="shared" si="11"/>
        <v>62624323</v>
      </c>
      <c r="W37" s="3">
        <v>953.63800000000003</v>
      </c>
      <c r="X37" s="3">
        <f t="shared" si="12"/>
        <v>18119122</v>
      </c>
      <c r="Y37" s="3">
        <v>3389.5680000000002</v>
      </c>
      <c r="Z37" s="3">
        <f t="shared" si="13"/>
        <v>64401792.000000007</v>
      </c>
      <c r="AA37" s="3">
        <f t="shared" si="14"/>
        <v>7639.223</v>
      </c>
      <c r="AB37" s="3">
        <f t="shared" si="15"/>
        <v>145145237</v>
      </c>
      <c r="AC37" s="3">
        <v>3408.89</v>
      </c>
      <c r="AD37" s="3">
        <f t="shared" si="16"/>
        <v>64768910</v>
      </c>
      <c r="AE37" s="3">
        <v>3253.5839999999998</v>
      </c>
      <c r="AF37" s="3">
        <f t="shared" si="17"/>
        <v>61818096</v>
      </c>
      <c r="AG37" s="3">
        <v>2318.5610000000001</v>
      </c>
      <c r="AH37" s="3">
        <f t="shared" si="18"/>
        <v>44052659</v>
      </c>
      <c r="AI37" s="3">
        <f t="shared" si="19"/>
        <v>8981.0349999999999</v>
      </c>
      <c r="AJ37" s="3">
        <f t="shared" si="20"/>
        <v>170639665</v>
      </c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</row>
    <row r="38" spans="1:73" ht="25" customHeight="1" x14ac:dyDescent="0.2">
      <c r="A38" s="1" t="s">
        <v>37</v>
      </c>
      <c r="B38" s="1" t="s">
        <v>48</v>
      </c>
      <c r="C38" s="3">
        <f t="shared" si="0"/>
        <v>25712.1</v>
      </c>
      <c r="D38" s="3">
        <f t="shared" si="0"/>
        <v>488529900</v>
      </c>
      <c r="E38" s="3">
        <v>1033.4000000000001</v>
      </c>
      <c r="F38" s="3">
        <f t="shared" si="1"/>
        <v>19634600</v>
      </c>
      <c r="G38" s="10">
        <v>1173.7</v>
      </c>
      <c r="H38" s="3">
        <f t="shared" si="2"/>
        <v>22300300</v>
      </c>
      <c r="I38" s="3">
        <v>1015.2</v>
      </c>
      <c r="J38" s="3">
        <f t="shared" si="3"/>
        <v>19288800</v>
      </c>
      <c r="K38" s="3">
        <f t="shared" si="4"/>
        <v>3222.3</v>
      </c>
      <c r="L38" s="3">
        <f t="shared" si="5"/>
        <v>61223700</v>
      </c>
      <c r="M38" s="3">
        <v>1665.1</v>
      </c>
      <c r="N38" s="3">
        <f t="shared" si="6"/>
        <v>31636900</v>
      </c>
      <c r="O38" s="3">
        <v>2844.7</v>
      </c>
      <c r="P38" s="3">
        <f t="shared" si="7"/>
        <v>54049300</v>
      </c>
      <c r="Q38" s="3">
        <v>3079.2</v>
      </c>
      <c r="R38" s="3">
        <f t="shared" si="8"/>
        <v>58504800</v>
      </c>
      <c r="S38" s="3">
        <f t="shared" si="9"/>
        <v>7588.9999999999991</v>
      </c>
      <c r="T38" s="3">
        <f t="shared" si="10"/>
        <v>144190999.99999997</v>
      </c>
      <c r="U38" s="3">
        <v>3314.5</v>
      </c>
      <c r="V38" s="3">
        <f t="shared" si="11"/>
        <v>62975500</v>
      </c>
      <c r="W38" s="3">
        <v>3610.3</v>
      </c>
      <c r="X38" s="3">
        <f t="shared" si="12"/>
        <v>68595700</v>
      </c>
      <c r="Y38" s="3">
        <v>3006.2</v>
      </c>
      <c r="Z38" s="3">
        <f t="shared" si="13"/>
        <v>57117800</v>
      </c>
      <c r="AA38" s="3">
        <f t="shared" si="14"/>
        <v>9931</v>
      </c>
      <c r="AB38" s="3">
        <f t="shared" si="15"/>
        <v>188689000</v>
      </c>
      <c r="AC38" s="3">
        <v>2074.1999999999998</v>
      </c>
      <c r="AD38" s="3">
        <f t="shared" si="16"/>
        <v>39409800</v>
      </c>
      <c r="AE38" s="6">
        <v>1581.4</v>
      </c>
      <c r="AF38" s="3">
        <f t="shared" si="17"/>
        <v>30046600</v>
      </c>
      <c r="AG38" s="6">
        <v>1314.2</v>
      </c>
      <c r="AH38" s="3">
        <f t="shared" si="18"/>
        <v>24969800</v>
      </c>
      <c r="AI38" s="3">
        <f t="shared" si="19"/>
        <v>4969.8</v>
      </c>
      <c r="AJ38" s="3">
        <f t="shared" si="20"/>
        <v>94426200</v>
      </c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</row>
    <row r="39" spans="1:73" ht="25" customHeight="1" x14ac:dyDescent="0.2">
      <c r="A39" s="1" t="s">
        <v>38</v>
      </c>
      <c r="B39" s="1" t="s">
        <v>48</v>
      </c>
      <c r="C39" s="3">
        <f t="shared" si="0"/>
        <v>1935.2930000000001</v>
      </c>
      <c r="D39" s="3">
        <f t="shared" si="0"/>
        <v>36770567</v>
      </c>
      <c r="E39" s="3">
        <v>155.74</v>
      </c>
      <c r="F39" s="3">
        <f t="shared" si="1"/>
        <v>2959060</v>
      </c>
      <c r="G39" s="10">
        <v>52.53</v>
      </c>
      <c r="H39" s="3">
        <f t="shared" si="2"/>
        <v>998070</v>
      </c>
      <c r="I39" s="3">
        <v>57.22</v>
      </c>
      <c r="J39" s="3">
        <f t="shared" si="3"/>
        <v>1087180</v>
      </c>
      <c r="K39" s="3">
        <f t="shared" si="4"/>
        <v>265.49</v>
      </c>
      <c r="L39" s="3">
        <f t="shared" si="5"/>
        <v>5044310</v>
      </c>
      <c r="M39" s="3">
        <v>100.26</v>
      </c>
      <c r="N39" s="3">
        <f t="shared" si="6"/>
        <v>1904940</v>
      </c>
      <c r="O39" s="3">
        <v>92.65</v>
      </c>
      <c r="P39" s="3">
        <f t="shared" si="7"/>
        <v>1760350</v>
      </c>
      <c r="Q39" s="3">
        <v>91.69</v>
      </c>
      <c r="R39" s="3">
        <f t="shared" si="8"/>
        <v>1742110</v>
      </c>
      <c r="S39" s="3">
        <f t="shared" si="9"/>
        <v>284.60000000000002</v>
      </c>
      <c r="T39" s="3">
        <f t="shared" si="10"/>
        <v>5407400</v>
      </c>
      <c r="U39" s="3">
        <v>254.12</v>
      </c>
      <c r="V39" s="3">
        <f t="shared" si="11"/>
        <v>4828280</v>
      </c>
      <c r="W39" s="3">
        <v>232.07</v>
      </c>
      <c r="X39" s="3">
        <f t="shared" si="12"/>
        <v>4409330</v>
      </c>
      <c r="Y39" s="3">
        <v>316.51</v>
      </c>
      <c r="Z39" s="3">
        <f t="shared" si="13"/>
        <v>6013690</v>
      </c>
      <c r="AA39" s="3">
        <f t="shared" si="14"/>
        <v>802.7</v>
      </c>
      <c r="AB39" s="3">
        <f t="shared" si="15"/>
        <v>15251300</v>
      </c>
      <c r="AC39" s="3">
        <v>250.11</v>
      </c>
      <c r="AD39" s="3">
        <f t="shared" si="16"/>
        <v>4752090</v>
      </c>
      <c r="AE39" s="3">
        <v>180.46</v>
      </c>
      <c r="AF39" s="3">
        <f t="shared" si="17"/>
        <v>3428740</v>
      </c>
      <c r="AG39" s="3">
        <v>151.93299999999999</v>
      </c>
      <c r="AH39" s="3">
        <f t="shared" si="18"/>
        <v>2886727</v>
      </c>
      <c r="AI39" s="3">
        <f t="shared" si="19"/>
        <v>582.50300000000004</v>
      </c>
      <c r="AJ39" s="3">
        <f t="shared" si="20"/>
        <v>11067557</v>
      </c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</row>
    <row r="40" spans="1:73" ht="25" customHeight="1" x14ac:dyDescent="0.2">
      <c r="A40" s="1" t="s">
        <v>39</v>
      </c>
      <c r="B40" s="1" t="s">
        <v>48</v>
      </c>
      <c r="C40" s="3">
        <f t="shared" si="0"/>
        <v>16783.099999999999</v>
      </c>
      <c r="D40" s="3">
        <f t="shared" si="0"/>
        <v>318878900</v>
      </c>
      <c r="E40" s="3">
        <v>1061.8</v>
      </c>
      <c r="F40" s="3">
        <f t="shared" si="1"/>
        <v>20174200</v>
      </c>
      <c r="G40" s="10">
        <v>1150.9000000000001</v>
      </c>
      <c r="H40" s="3">
        <f t="shared" si="2"/>
        <v>21867100</v>
      </c>
      <c r="I40" s="3">
        <v>1191.9000000000001</v>
      </c>
      <c r="J40" s="3">
        <f t="shared" si="3"/>
        <v>22646100</v>
      </c>
      <c r="K40" s="3">
        <f t="shared" si="4"/>
        <v>3404.6</v>
      </c>
      <c r="L40" s="3">
        <f t="shared" si="5"/>
        <v>64687400</v>
      </c>
      <c r="M40" s="3">
        <v>1472.8</v>
      </c>
      <c r="N40" s="3">
        <f t="shared" si="6"/>
        <v>27983200</v>
      </c>
      <c r="O40" s="3">
        <v>1625.2</v>
      </c>
      <c r="P40" s="3">
        <f t="shared" si="7"/>
        <v>30878800</v>
      </c>
      <c r="Q40" s="3">
        <v>1745.6</v>
      </c>
      <c r="R40" s="3">
        <f t="shared" si="8"/>
        <v>33166400</v>
      </c>
      <c r="S40" s="3">
        <f t="shared" si="9"/>
        <v>4843.6000000000004</v>
      </c>
      <c r="T40" s="3">
        <f t="shared" si="10"/>
        <v>92028400</v>
      </c>
      <c r="U40" s="3">
        <v>1677.6</v>
      </c>
      <c r="V40" s="3">
        <f t="shared" si="11"/>
        <v>31874400</v>
      </c>
      <c r="W40" s="3">
        <v>1601.8</v>
      </c>
      <c r="X40" s="3">
        <f t="shared" si="12"/>
        <v>30434200</v>
      </c>
      <c r="Y40" s="3">
        <v>1492.5</v>
      </c>
      <c r="Z40" s="3">
        <f t="shared" si="13"/>
        <v>28357500</v>
      </c>
      <c r="AA40" s="3">
        <f t="shared" si="14"/>
        <v>4771.8999999999996</v>
      </c>
      <c r="AB40" s="3">
        <f t="shared" si="15"/>
        <v>90666100</v>
      </c>
      <c r="AC40" s="3">
        <v>1313.7</v>
      </c>
      <c r="AD40" s="3">
        <f t="shared" si="16"/>
        <v>24960300</v>
      </c>
      <c r="AE40" s="6">
        <v>1253.8</v>
      </c>
      <c r="AF40" s="3">
        <f t="shared" si="17"/>
        <v>23822200</v>
      </c>
      <c r="AG40" s="6">
        <v>1195.5</v>
      </c>
      <c r="AH40" s="3">
        <f t="shared" si="18"/>
        <v>22714500</v>
      </c>
      <c r="AI40" s="3">
        <f t="shared" si="19"/>
        <v>3763</v>
      </c>
      <c r="AJ40" s="3">
        <f t="shared" si="20"/>
        <v>71497000</v>
      </c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</row>
    <row r="41" spans="1:73" ht="25" customHeight="1" x14ac:dyDescent="0.2">
      <c r="A41" s="1" t="s">
        <v>40</v>
      </c>
      <c r="B41" s="1" t="s">
        <v>48</v>
      </c>
      <c r="C41" s="3">
        <f t="shared" si="0"/>
        <v>2239.3040000000001</v>
      </c>
      <c r="D41" s="3">
        <f t="shared" si="0"/>
        <v>42546776</v>
      </c>
      <c r="E41" s="3">
        <v>170.2</v>
      </c>
      <c r="F41" s="3">
        <f t="shared" si="1"/>
        <v>3233800</v>
      </c>
      <c r="G41" s="10">
        <v>164.4</v>
      </c>
      <c r="H41" s="3">
        <f t="shared" si="2"/>
        <v>3123600</v>
      </c>
      <c r="I41" s="3">
        <v>232.72499999999999</v>
      </c>
      <c r="J41" s="3">
        <f t="shared" si="3"/>
        <v>4421775</v>
      </c>
      <c r="K41" s="3">
        <f t="shared" si="4"/>
        <v>567.32500000000005</v>
      </c>
      <c r="L41" s="3">
        <f t="shared" si="5"/>
        <v>10779175</v>
      </c>
      <c r="M41" s="3">
        <v>229.35</v>
      </c>
      <c r="N41" s="3">
        <f t="shared" si="6"/>
        <v>4357650</v>
      </c>
      <c r="O41" s="3">
        <v>204.364</v>
      </c>
      <c r="P41" s="3">
        <f t="shared" si="7"/>
        <v>3882916</v>
      </c>
      <c r="Q41" s="3">
        <v>129.75</v>
      </c>
      <c r="R41" s="3">
        <f t="shared" si="8"/>
        <v>2465250</v>
      </c>
      <c r="S41" s="3">
        <f t="shared" si="9"/>
        <v>563.46399999999994</v>
      </c>
      <c r="T41" s="3">
        <f t="shared" si="10"/>
        <v>10705815.999999998</v>
      </c>
      <c r="U41" s="3">
        <v>196.23</v>
      </c>
      <c r="V41" s="3">
        <f t="shared" si="11"/>
        <v>3728370</v>
      </c>
      <c r="W41" s="3">
        <v>223.595</v>
      </c>
      <c r="X41" s="3">
        <f t="shared" si="12"/>
        <v>4248305</v>
      </c>
      <c r="Y41" s="3">
        <v>187.85</v>
      </c>
      <c r="Z41" s="3">
        <f t="shared" si="13"/>
        <v>3569150</v>
      </c>
      <c r="AA41" s="3">
        <f t="shared" si="14"/>
        <v>607.67499999999995</v>
      </c>
      <c r="AB41" s="3">
        <f t="shared" si="15"/>
        <v>11545825</v>
      </c>
      <c r="AC41" s="3">
        <v>178.72499999999999</v>
      </c>
      <c r="AD41" s="3">
        <f t="shared" si="16"/>
        <v>3395775</v>
      </c>
      <c r="AE41" s="3">
        <v>169.65</v>
      </c>
      <c r="AF41" s="3">
        <f t="shared" si="17"/>
        <v>3223350</v>
      </c>
      <c r="AG41" s="3">
        <v>152.465</v>
      </c>
      <c r="AH41" s="3">
        <f t="shared" si="18"/>
        <v>2896835</v>
      </c>
      <c r="AI41" s="3">
        <f t="shared" si="19"/>
        <v>500.84000000000003</v>
      </c>
      <c r="AJ41" s="3">
        <f t="shared" si="20"/>
        <v>9515960</v>
      </c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</row>
    <row r="42" spans="1:73" ht="25" customHeight="1" x14ac:dyDescent="0.2">
      <c r="A42" s="1" t="s">
        <v>41</v>
      </c>
      <c r="B42" s="1" t="s">
        <v>48</v>
      </c>
      <c r="C42" s="3">
        <f t="shared" si="0"/>
        <v>18004.599999999999</v>
      </c>
      <c r="D42" s="3">
        <f t="shared" si="0"/>
        <v>342087400</v>
      </c>
      <c r="E42" s="3">
        <v>1013.1</v>
      </c>
      <c r="F42" s="3">
        <f t="shared" si="1"/>
        <v>19248900</v>
      </c>
      <c r="G42" s="10">
        <v>1284.5</v>
      </c>
      <c r="H42" s="3">
        <f t="shared" si="2"/>
        <v>24405500</v>
      </c>
      <c r="I42" s="3">
        <v>1246.3</v>
      </c>
      <c r="J42" s="3">
        <f t="shared" si="3"/>
        <v>23679700</v>
      </c>
      <c r="K42" s="3">
        <f t="shared" si="4"/>
        <v>3543.8999999999996</v>
      </c>
      <c r="L42" s="3">
        <f t="shared" si="5"/>
        <v>67334100</v>
      </c>
      <c r="M42" s="3">
        <v>1517.5</v>
      </c>
      <c r="N42" s="3">
        <f t="shared" si="6"/>
        <v>28832500</v>
      </c>
      <c r="O42" s="3">
        <v>1624.6</v>
      </c>
      <c r="P42" s="3">
        <f t="shared" si="7"/>
        <v>30867400</v>
      </c>
      <c r="Q42" s="3">
        <v>1870.3</v>
      </c>
      <c r="R42" s="3">
        <f t="shared" si="8"/>
        <v>35535700</v>
      </c>
      <c r="S42" s="3">
        <f t="shared" si="9"/>
        <v>5012.3999999999996</v>
      </c>
      <c r="T42" s="3">
        <f t="shared" si="10"/>
        <v>95235600</v>
      </c>
      <c r="U42" s="3">
        <v>1507.3</v>
      </c>
      <c r="V42" s="3">
        <f t="shared" si="11"/>
        <v>28638700</v>
      </c>
      <c r="W42" s="3">
        <v>1523</v>
      </c>
      <c r="X42" s="3">
        <f t="shared" si="12"/>
        <v>28937000</v>
      </c>
      <c r="Y42" s="3">
        <v>1555.8</v>
      </c>
      <c r="Z42" s="3">
        <f t="shared" si="13"/>
        <v>29560200</v>
      </c>
      <c r="AA42" s="3">
        <f t="shared" si="14"/>
        <v>4586.1000000000004</v>
      </c>
      <c r="AB42" s="3">
        <f t="shared" si="15"/>
        <v>87135900</v>
      </c>
      <c r="AC42" s="3">
        <v>1599.1</v>
      </c>
      <c r="AD42" s="3">
        <f t="shared" si="16"/>
        <v>30382900</v>
      </c>
      <c r="AE42" s="6">
        <v>1663.1</v>
      </c>
      <c r="AF42" s="3">
        <f t="shared" si="17"/>
        <v>31598900</v>
      </c>
      <c r="AG42" s="6">
        <v>1600</v>
      </c>
      <c r="AH42" s="3">
        <f t="shared" si="18"/>
        <v>30400000</v>
      </c>
      <c r="AI42" s="3">
        <f t="shared" si="19"/>
        <v>4862.2</v>
      </c>
      <c r="AJ42" s="3">
        <f t="shared" si="20"/>
        <v>92381800</v>
      </c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</row>
    <row r="43" spans="1:73" ht="25" customHeight="1" x14ac:dyDescent="0.2">
      <c r="A43" s="1" t="s">
        <v>42</v>
      </c>
      <c r="B43" s="1" t="s">
        <v>48</v>
      </c>
      <c r="C43" s="3">
        <f t="shared" si="0"/>
        <v>7157.46</v>
      </c>
      <c r="D43" s="3">
        <f t="shared" si="0"/>
        <v>135991740</v>
      </c>
      <c r="E43" s="3">
        <v>615.5</v>
      </c>
      <c r="F43" s="3">
        <f t="shared" si="1"/>
        <v>11694500</v>
      </c>
      <c r="G43" s="10">
        <v>575.32000000000005</v>
      </c>
      <c r="H43" s="3">
        <f t="shared" si="2"/>
        <v>10931080.000000002</v>
      </c>
      <c r="I43" s="3">
        <v>528.78</v>
      </c>
      <c r="J43" s="3">
        <f t="shared" si="3"/>
        <v>10046820</v>
      </c>
      <c r="K43" s="3">
        <f t="shared" si="4"/>
        <v>1719.6000000000001</v>
      </c>
      <c r="L43" s="3">
        <f t="shared" si="5"/>
        <v>32672400.000000004</v>
      </c>
      <c r="M43" s="3">
        <v>451.33</v>
      </c>
      <c r="N43" s="3">
        <f t="shared" si="6"/>
        <v>8575270</v>
      </c>
      <c r="O43" s="3">
        <v>716.32</v>
      </c>
      <c r="P43" s="3">
        <f t="shared" si="7"/>
        <v>13610080.000000002</v>
      </c>
      <c r="Q43" s="3">
        <v>514.78</v>
      </c>
      <c r="R43" s="3">
        <f t="shared" si="8"/>
        <v>9780820</v>
      </c>
      <c r="S43" s="3">
        <f t="shared" si="9"/>
        <v>1682.43</v>
      </c>
      <c r="T43" s="3">
        <f t="shared" si="10"/>
        <v>31966170</v>
      </c>
      <c r="U43" s="3">
        <v>567.59</v>
      </c>
      <c r="V43" s="3">
        <f t="shared" si="11"/>
        <v>10784210</v>
      </c>
      <c r="W43" s="3">
        <v>658.44</v>
      </c>
      <c r="X43" s="3">
        <f t="shared" si="12"/>
        <v>12510360.000000002</v>
      </c>
      <c r="Y43" s="3">
        <v>661.52</v>
      </c>
      <c r="Z43" s="3">
        <f t="shared" si="13"/>
        <v>12568880</v>
      </c>
      <c r="AA43" s="3">
        <f t="shared" si="14"/>
        <v>1887.5500000000002</v>
      </c>
      <c r="AB43" s="3">
        <f t="shared" si="15"/>
        <v>35863450</v>
      </c>
      <c r="AC43" s="3">
        <v>694.44</v>
      </c>
      <c r="AD43" s="3">
        <f t="shared" si="16"/>
        <v>13194360.000000002</v>
      </c>
      <c r="AE43" s="3">
        <v>660.44</v>
      </c>
      <c r="AF43" s="3">
        <f t="shared" si="17"/>
        <v>12548360.000000002</v>
      </c>
      <c r="AG43" s="3">
        <v>513</v>
      </c>
      <c r="AH43" s="3">
        <f t="shared" si="18"/>
        <v>9747000</v>
      </c>
      <c r="AI43" s="3">
        <f t="shared" si="19"/>
        <v>1867.88</v>
      </c>
      <c r="AJ43" s="3">
        <f t="shared" si="20"/>
        <v>35489720</v>
      </c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</row>
    <row r="44" spans="1:73" ht="25" customHeight="1" x14ac:dyDescent="0.2">
      <c r="A44" s="1" t="s">
        <v>43</v>
      </c>
      <c r="B44" s="1" t="s">
        <v>48</v>
      </c>
      <c r="C44" s="3">
        <f t="shared" si="0"/>
        <v>40058.300000000003</v>
      </c>
      <c r="D44" s="3">
        <f t="shared" si="0"/>
        <v>761107700</v>
      </c>
      <c r="E44" s="3">
        <v>4651.3</v>
      </c>
      <c r="F44" s="3">
        <f t="shared" si="1"/>
        <v>88374700</v>
      </c>
      <c r="G44" s="10">
        <v>4322.1000000000004</v>
      </c>
      <c r="H44" s="3">
        <f t="shared" si="2"/>
        <v>82119900</v>
      </c>
      <c r="I44" s="3">
        <v>3739.8</v>
      </c>
      <c r="J44" s="3">
        <f t="shared" si="3"/>
        <v>71056200</v>
      </c>
      <c r="K44" s="3">
        <f t="shared" si="4"/>
        <v>12713.2</v>
      </c>
      <c r="L44" s="3">
        <f t="shared" si="5"/>
        <v>241550800</v>
      </c>
      <c r="M44" s="3">
        <v>2519</v>
      </c>
      <c r="N44" s="3">
        <f t="shared" si="6"/>
        <v>47861000</v>
      </c>
      <c r="O44" s="3">
        <v>5137.3999999999996</v>
      </c>
      <c r="P44" s="3">
        <f t="shared" si="7"/>
        <v>97610600</v>
      </c>
      <c r="Q44" s="3">
        <v>3836.3</v>
      </c>
      <c r="R44" s="3">
        <f t="shared" si="8"/>
        <v>72889700</v>
      </c>
      <c r="S44" s="3">
        <f t="shared" si="9"/>
        <v>11492.7</v>
      </c>
      <c r="T44" s="3">
        <f t="shared" si="10"/>
        <v>218361300</v>
      </c>
      <c r="U44" s="3">
        <v>2485.6999999999998</v>
      </c>
      <c r="V44" s="3">
        <f t="shared" si="11"/>
        <v>47228300</v>
      </c>
      <c r="W44" s="3">
        <v>2794</v>
      </c>
      <c r="X44" s="3">
        <f t="shared" si="12"/>
        <v>53086000</v>
      </c>
      <c r="Y44" s="3">
        <v>4095.4</v>
      </c>
      <c r="Z44" s="3">
        <f t="shared" si="13"/>
        <v>77812600</v>
      </c>
      <c r="AA44" s="3">
        <f t="shared" si="14"/>
        <v>9375.1</v>
      </c>
      <c r="AB44" s="3">
        <f t="shared" si="15"/>
        <v>178126900</v>
      </c>
      <c r="AC44" s="3">
        <v>2485.4</v>
      </c>
      <c r="AD44" s="3">
        <f t="shared" si="16"/>
        <v>47222600</v>
      </c>
      <c r="AE44" s="6">
        <v>2287.8000000000002</v>
      </c>
      <c r="AF44" s="3">
        <f t="shared" si="17"/>
        <v>43468200</v>
      </c>
      <c r="AG44" s="6">
        <v>1704.1</v>
      </c>
      <c r="AH44" s="3">
        <f t="shared" si="18"/>
        <v>32377900</v>
      </c>
      <c r="AI44" s="3">
        <f t="shared" si="19"/>
        <v>6477.3000000000011</v>
      </c>
      <c r="AJ44" s="3">
        <f t="shared" si="20"/>
        <v>123068700.00000001</v>
      </c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</row>
    <row r="45" spans="1:73" ht="25" customHeight="1" x14ac:dyDescent="0.2">
      <c r="A45" s="1" t="s">
        <v>44</v>
      </c>
      <c r="B45" s="1" t="s">
        <v>48</v>
      </c>
      <c r="C45" s="3">
        <f t="shared" si="0"/>
        <v>7745.1729999999989</v>
      </c>
      <c r="D45" s="3">
        <f t="shared" si="0"/>
        <v>147158287</v>
      </c>
      <c r="E45" s="3">
        <v>138.577</v>
      </c>
      <c r="F45" s="3">
        <f t="shared" si="1"/>
        <v>2632963</v>
      </c>
      <c r="G45" s="10">
        <v>36.328000000000003</v>
      </c>
      <c r="H45" s="3">
        <f t="shared" si="2"/>
        <v>690232</v>
      </c>
      <c r="I45" s="3">
        <v>96.027000000000001</v>
      </c>
      <c r="J45" s="3">
        <f t="shared" si="3"/>
        <v>1824513</v>
      </c>
      <c r="K45" s="3">
        <f t="shared" si="4"/>
        <v>270.93200000000002</v>
      </c>
      <c r="L45" s="3">
        <f t="shared" si="5"/>
        <v>5147708</v>
      </c>
      <c r="M45" s="3">
        <v>292.21300000000002</v>
      </c>
      <c r="N45" s="3">
        <f t="shared" si="6"/>
        <v>5552047</v>
      </c>
      <c r="O45" s="3">
        <v>150.47499999999999</v>
      </c>
      <c r="P45" s="3">
        <f t="shared" si="7"/>
        <v>2859025</v>
      </c>
      <c r="Q45" s="3">
        <v>162.63</v>
      </c>
      <c r="R45" s="3">
        <f t="shared" si="8"/>
        <v>3089970</v>
      </c>
      <c r="S45" s="3">
        <f t="shared" si="9"/>
        <v>605.31799999999998</v>
      </c>
      <c r="T45" s="3">
        <f t="shared" si="10"/>
        <v>11501042</v>
      </c>
      <c r="U45" s="3">
        <v>980.24</v>
      </c>
      <c r="V45" s="3">
        <f t="shared" si="11"/>
        <v>18624560</v>
      </c>
      <c r="W45" s="3">
        <v>1074.107</v>
      </c>
      <c r="X45" s="3">
        <f t="shared" si="12"/>
        <v>20408033</v>
      </c>
      <c r="Y45" s="3">
        <v>1180.0429999999999</v>
      </c>
      <c r="Z45" s="3">
        <f t="shared" si="13"/>
        <v>22420816.999999996</v>
      </c>
      <c r="AA45" s="3">
        <f t="shared" si="14"/>
        <v>3234.3899999999994</v>
      </c>
      <c r="AB45" s="3">
        <f t="shared" si="15"/>
        <v>61453409.999999993</v>
      </c>
      <c r="AC45" s="3">
        <v>1516.338</v>
      </c>
      <c r="AD45" s="3">
        <f t="shared" si="16"/>
        <v>28810422</v>
      </c>
      <c r="AE45" s="3">
        <v>1308.1949999999999</v>
      </c>
      <c r="AF45" s="3">
        <f t="shared" si="17"/>
        <v>24855705</v>
      </c>
      <c r="AG45" s="3">
        <v>810</v>
      </c>
      <c r="AH45" s="3">
        <f t="shared" si="18"/>
        <v>15390000</v>
      </c>
      <c r="AI45" s="3">
        <f t="shared" si="19"/>
        <v>3634.5329999999999</v>
      </c>
      <c r="AJ45" s="3">
        <f t="shared" si="20"/>
        <v>69056127</v>
      </c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</row>
    <row r="46" spans="1:73" ht="25" customHeight="1" x14ac:dyDescent="0.2"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</row>
    <row r="47" spans="1:73" ht="25" customHeight="1" x14ac:dyDescent="0.2">
      <c r="C47" s="9" t="s">
        <v>83</v>
      </c>
      <c r="D47" s="3" t="s">
        <v>82</v>
      </c>
      <c r="E47" s="9" t="s">
        <v>83</v>
      </c>
      <c r="F47" s="3" t="s">
        <v>82</v>
      </c>
      <c r="G47" s="9" t="s">
        <v>83</v>
      </c>
      <c r="H47" s="3" t="s">
        <v>82</v>
      </c>
      <c r="I47" s="9" t="s">
        <v>83</v>
      </c>
      <c r="J47" s="3" t="s">
        <v>82</v>
      </c>
      <c r="K47" s="9" t="s">
        <v>83</v>
      </c>
      <c r="L47" s="3" t="s">
        <v>82</v>
      </c>
      <c r="M47" s="9" t="s">
        <v>83</v>
      </c>
      <c r="N47" s="3" t="s">
        <v>82</v>
      </c>
      <c r="O47" s="9" t="s">
        <v>83</v>
      </c>
      <c r="P47" s="3" t="s">
        <v>82</v>
      </c>
      <c r="Q47" s="9" t="s">
        <v>83</v>
      </c>
      <c r="R47" s="3" t="s">
        <v>82</v>
      </c>
      <c r="S47" s="9" t="s">
        <v>83</v>
      </c>
      <c r="T47" s="3" t="s">
        <v>82</v>
      </c>
      <c r="U47" s="9" t="s">
        <v>83</v>
      </c>
      <c r="V47" s="3" t="s">
        <v>82</v>
      </c>
      <c r="W47" s="9" t="s">
        <v>83</v>
      </c>
      <c r="X47" s="3" t="s">
        <v>82</v>
      </c>
      <c r="Y47" s="9" t="s">
        <v>83</v>
      </c>
      <c r="Z47" s="3" t="s">
        <v>82</v>
      </c>
      <c r="AA47" s="9" t="s">
        <v>83</v>
      </c>
      <c r="AB47" s="3" t="s">
        <v>82</v>
      </c>
      <c r="AC47" s="9" t="s">
        <v>83</v>
      </c>
      <c r="AD47" s="3" t="s">
        <v>82</v>
      </c>
      <c r="AE47" s="9" t="s">
        <v>83</v>
      </c>
      <c r="AF47" s="3" t="s">
        <v>82</v>
      </c>
      <c r="AG47" s="9" t="s">
        <v>83</v>
      </c>
      <c r="AH47" s="3" t="s">
        <v>82</v>
      </c>
      <c r="AI47" s="9" t="s">
        <v>83</v>
      </c>
      <c r="AJ47" s="3" t="s">
        <v>82</v>
      </c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</row>
    <row r="48" spans="1:73" ht="25" customHeight="1" x14ac:dyDescent="0.2">
      <c r="B48" s="1" t="s">
        <v>79</v>
      </c>
      <c r="C48" s="4">
        <f>C2+C4+C6+C9+C11+C13+C14+C16+C20+C21+C23+C25+C28+C29+C30+C32+C34+C36+C38+C40+C42+C44</f>
        <v>392025.40799999994</v>
      </c>
      <c r="D48" s="3">
        <f t="shared" ref="D48:D49" si="21">L48+T48+AB48+AJ48</f>
        <v>7448482752</v>
      </c>
      <c r="E48" s="4">
        <f>E2+E4+E6+E9+E11+E13+E14+E16+E20+E21+E23+E25+E28+E29+E30+E32+E34+E36+E38+E40+E42+E44</f>
        <v>29153.146000000001</v>
      </c>
      <c r="F48" s="3">
        <f>E48*19000</f>
        <v>553909774</v>
      </c>
      <c r="G48" s="4">
        <f t="shared" ref="G48" si="22">G2+G4+G6+G9+G11+G13+G14+G16+G20+G21+G23+G25+G28+G29+G30+G32+G34+G36+G38+G40+G42+G44</f>
        <v>26940.292999999998</v>
      </c>
      <c r="H48" s="3">
        <f t="shared" ref="H48:H50" si="23">G48*19000</f>
        <v>511865566.99999994</v>
      </c>
      <c r="I48" s="4">
        <f t="shared" ref="I48" si="24">I2+I4+I6+I9+I11+I13+I14+I16+I20+I21+I23+I25+I28+I29+I30+I32+I34+I36+I38+I40+I42+I44</f>
        <v>26650.340999999997</v>
      </c>
      <c r="J48" s="3">
        <f t="shared" ref="J48:J50" si="25">I48*19000</f>
        <v>506356478.99999994</v>
      </c>
      <c r="K48" s="4">
        <f t="shared" ref="K48" si="26">K2+K4+K6+K9+K11+K13+K14+K16+K20+K21+K23+K25+K28+K29+K30+K32+K34+K36+K38+K40+K42+K44</f>
        <v>82743.78</v>
      </c>
      <c r="L48" s="3">
        <f t="shared" ref="L48:L49" si="27">K48*19000</f>
        <v>1572131820</v>
      </c>
      <c r="M48" s="4">
        <f t="shared" ref="M48" si="28">M2+M4+M6+M9+M11+M13+M14+M16+M20+M21+M23+M25+M28+M29+M30+M32+M34+M36+M38+M40+M42+M44</f>
        <v>32706.072000000004</v>
      </c>
      <c r="N48" s="3">
        <f t="shared" ref="N48:N50" si="29">M48*19000</f>
        <v>621415368.00000012</v>
      </c>
      <c r="O48" s="4">
        <f t="shared" ref="O48" si="30">O2+O4+O6+O9+O11+O13+O14+O16+O20+O21+O23+O25+O28+O29+O30+O32+O34+O36+O38+O40+O42+O44</f>
        <v>35177.114999999998</v>
      </c>
      <c r="P48" s="3">
        <f t="shared" ref="P48:P50" si="31">O48*19000</f>
        <v>668365185</v>
      </c>
      <c r="Q48" s="4">
        <f t="shared" ref="Q48" si="32">Q2+Q4+Q6+Q9+Q11+Q13+Q14+Q16+Q20+Q21+Q23+Q25+Q28+Q29+Q30+Q32+Q34+Q36+Q38+Q40+Q42+Q44</f>
        <v>34135.074999999997</v>
      </c>
      <c r="R48" s="3">
        <f t="shared" ref="R48:R50" si="33">Q48*19000</f>
        <v>648566425</v>
      </c>
      <c r="S48" s="4">
        <f t="shared" ref="S48" si="34">S2+S4+S6+S9+S11+S13+S14+S16+S20+S21+S23+S25+S28+S29+S30+S32+S34+S36+S38+S40+S42+S44</f>
        <v>102018.26199999999</v>
      </c>
      <c r="T48" s="3">
        <f t="shared" ref="T48:T50" si="35">S48*19000</f>
        <v>1938346977.9999998</v>
      </c>
      <c r="U48" s="4">
        <f t="shared" ref="U48" si="36">U2+U4+U6+U9+U11+U13+U14+U16+U20+U21+U23+U25+U28+U29+U30+U32+U34+U36+U38+U40+U42+U44</f>
        <v>36065.858999999997</v>
      </c>
      <c r="V48" s="3">
        <f t="shared" ref="V48:V50" si="37">U48*19000</f>
        <v>685251320.99999988</v>
      </c>
      <c r="W48" s="4">
        <f t="shared" ref="W48" si="38">W2+W4+W6+W9+W11+W13+W14+W16+W20+W21+W23+W25+W28+W29+W30+W32+W34+W36+W38+W40+W42+W44</f>
        <v>36701.989000000001</v>
      </c>
      <c r="X48" s="3">
        <f t="shared" ref="X48:X50" si="39">W48*19000</f>
        <v>697337791</v>
      </c>
      <c r="Y48" s="4">
        <f t="shared" ref="Y48" si="40">Y2+Y4+Y6+Y9+Y11+Y13+Y14+Y16+Y20+Y21+Y23+Y25+Y28+Y29+Y30+Y32+Y34+Y36+Y38+Y40+Y42+Y44</f>
        <v>40121.112000000001</v>
      </c>
      <c r="Z48" s="3">
        <f t="shared" ref="Z48:Z50" si="41">Y48*19000</f>
        <v>762301128</v>
      </c>
      <c r="AA48" s="4">
        <f t="shared" ref="AA48" si="42">AA2+AA4+AA6+AA9+AA11+AA13+AA14+AA16+AA20+AA21+AA23+AA25+AA28+AA29+AA30+AA32+AA34+AA36+AA38+AA40+AA42+AA44</f>
        <v>112888.95999999999</v>
      </c>
      <c r="AB48" s="3">
        <f t="shared" ref="AB48:AB50" si="43">AA48*19000</f>
        <v>2144890239.9999998</v>
      </c>
      <c r="AC48" s="4">
        <f t="shared" ref="AC48" si="44">AC2+AC4+AC6+AC9+AC11+AC13+AC14+AC16+AC20+AC21+AC23+AC25+AC28+AC29+AC30+AC32+AC34+AC36+AC38+AC40+AC42+AC44</f>
        <v>35914.013000000006</v>
      </c>
      <c r="AD48" s="3">
        <f t="shared" ref="AD48:AD50" si="45">AC48*19000</f>
        <v>682366247.00000012</v>
      </c>
      <c r="AE48" s="4">
        <f t="shared" ref="AE48" si="46">AE2+AE4+AE6+AE9+AE11+AE13+AE14+AE16+AE20+AE21+AE23+AE25+AE28+AE29+AE30+AE32+AE34+AE36+AE38+AE40+AE42+AE44</f>
        <v>31009.543999999998</v>
      </c>
      <c r="AF48" s="3">
        <f t="shared" ref="AF48:AF50" si="47">AE48*19000</f>
        <v>589181336</v>
      </c>
      <c r="AG48" s="4">
        <f t="shared" ref="AG48" si="48">AG2+AG4+AG6+AG9+AG11+AG13+AG14+AG16+AG20+AG21+AG23+AG25+AG28+AG29+AG30+AG32+AG34+AG36+AG38+AG40+AG42+AG44</f>
        <v>27450.848999999998</v>
      </c>
      <c r="AH48" s="3">
        <f t="shared" ref="AH48:AH50" si="49">AG48*19000</f>
        <v>521566130.99999994</v>
      </c>
      <c r="AI48" s="4">
        <f t="shared" ref="AI48" si="50">AI2+AI4+AI6+AI9+AI11+AI13+AI14+AI16+AI20+AI21+AI23+AI25+AI28+AI29+AI30+AI32+AI34+AI36+AI38+AI40+AI42+AI44</f>
        <v>94374.406000000003</v>
      </c>
      <c r="AJ48" s="3">
        <f>AI48*19000</f>
        <v>1793113714</v>
      </c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</row>
    <row r="49" spans="2:73" ht="25" customHeight="1" x14ac:dyDescent="0.2">
      <c r="B49" s="1" t="s">
        <v>80</v>
      </c>
      <c r="C49" s="8">
        <f>C3+C5+C7+C8+C10+C12+C15+C17+C18+C19+C22+C24+C26+C27+C31+C33+C35+C37+C39+C41+C43+C45</f>
        <v>210071.91900000002</v>
      </c>
      <c r="D49" s="3">
        <f t="shared" si="21"/>
        <v>3991366461</v>
      </c>
      <c r="E49" s="8">
        <f>E3+E5+E7+E8+E10+E12+E15+E17+E18+E19+E22+E24+E26+E27+E31+E33+E35+E37+E39+E41+E43+E45</f>
        <v>14042.054</v>
      </c>
      <c r="F49" s="3">
        <f>E49*19000</f>
        <v>266799026</v>
      </c>
      <c r="G49" s="8">
        <f t="shared" ref="G49" si="51">G3+G5+G7+G8+G10+G12+G15+G17+G18+G19+G22+G24+G26+G27+G31+G33+G35+G37+G39+G41+G43+G45</f>
        <v>9371.009</v>
      </c>
      <c r="H49" s="3">
        <f t="shared" si="23"/>
        <v>178049171</v>
      </c>
      <c r="I49" s="8">
        <f t="shared" ref="I49" si="52">I3+I5+I7+I8+I10+I12+I15+I17+I18+I19+I22+I24+I26+I27+I31+I33+I35+I37+I39+I41+I43+I45</f>
        <v>13805.290000000003</v>
      </c>
      <c r="J49" s="3">
        <f t="shared" si="25"/>
        <v>262300510.00000006</v>
      </c>
      <c r="K49" s="8">
        <f t="shared" ref="K49" si="53">K3+K5+K7+K8+K10+K12+K15+K17+K18+K19+K22+K24+K26+K27+K31+K33+K35+K37+K39+K41+K43+K45</f>
        <v>37218.352999999996</v>
      </c>
      <c r="L49" s="3">
        <f t="shared" si="27"/>
        <v>707148706.99999988</v>
      </c>
      <c r="M49" s="8">
        <f t="shared" ref="M49" si="54">M3+M5+M7+M8+M10+M12+M15+M17+M18+M19+M22+M24+M26+M27+M31+M33+M35+M37+M39+M41+M43+M45</f>
        <v>13032.606000000003</v>
      </c>
      <c r="N49" s="3">
        <f t="shared" si="29"/>
        <v>247619514.00000006</v>
      </c>
      <c r="O49" s="8">
        <f t="shared" ref="O49" si="55">O3+O5+O7+O8+O10+O12+O15+O17+O18+O19+O22+O24+O26+O27+O31+O33+O35+O37+O39+O41+O43+O45</f>
        <v>16472.469999999998</v>
      </c>
      <c r="P49" s="3">
        <f t="shared" si="31"/>
        <v>312976929.99999994</v>
      </c>
      <c r="Q49" s="8">
        <f t="shared" ref="Q49" si="56">Q3+Q5+Q7+Q8+Q10+Q12+Q15+Q17+Q18+Q19+Q22+Q24+Q26+Q27+Q31+Q33+Q35+Q37+Q39+Q41+Q43+Q45</f>
        <v>15372.703000000001</v>
      </c>
      <c r="R49" s="3">
        <f t="shared" si="33"/>
        <v>292081357</v>
      </c>
      <c r="S49" s="8">
        <f t="shared" ref="S49" si="57">S3+S5+S7+S8+S10+S12+S15+S17+S18+S19+S22+S24+S26+S27+S31+S33+S35+S37+S39+S41+S43+S45</f>
        <v>44877.779000000002</v>
      </c>
      <c r="T49" s="3">
        <f t="shared" si="35"/>
        <v>852677801</v>
      </c>
      <c r="U49" s="8">
        <f t="shared" ref="U49" si="58">U3+U5+U7+U8+U10+U12+U15+U17+U18+U19+U22+U24+U26+U27+U31+U33+U35+U37+U39+U41+U43+U45</f>
        <v>24598.190000000002</v>
      </c>
      <c r="V49" s="3">
        <f t="shared" si="37"/>
        <v>467365610.00000006</v>
      </c>
      <c r="W49" s="8">
        <f t="shared" ref="W49" si="59">W3+W5+W7+W8+W10+W12+W15+W17+W18+W19+W22+W24+W26+W27+W31+W33+W35+W37+W39+W41+W43+W45</f>
        <v>20632.808999999997</v>
      </c>
      <c r="X49" s="3">
        <f t="shared" si="39"/>
        <v>392023370.99999994</v>
      </c>
      <c r="Y49" s="8">
        <f t="shared" ref="Y49" si="60">Y3+Y5+Y7+Y8+Y10+Y12+Y15+Y17+Y18+Y19+Y22+Y24+Y26+Y27+Y31+Y33+Y35+Y37+Y39+Y41+Y43+Y45</f>
        <v>22615.054999999997</v>
      </c>
      <c r="Z49" s="3">
        <f t="shared" si="41"/>
        <v>429686044.99999994</v>
      </c>
      <c r="AA49" s="8">
        <f t="shared" ref="AA49" si="61">AA3+AA5+AA7+AA8+AA10+AA12+AA15+AA17+AA18+AA19+AA22+AA24+AA26+AA27+AA31+AA33+AA35+AA37+AA39+AA41+AA43+AA45</f>
        <v>67846.054000000004</v>
      </c>
      <c r="AB49" s="3">
        <f t="shared" si="43"/>
        <v>1289075026</v>
      </c>
      <c r="AC49" s="8">
        <f t="shared" ref="AC49" si="62">AC3+AC5+AC7+AC8+AC10+AC12+AC15+AC17+AC18+AC19+AC22+AC24+AC26+AC27+AC31+AC33+AC35+AC37+AC39+AC41+AC43+AC45</f>
        <v>21353.111999999997</v>
      </c>
      <c r="AD49" s="3">
        <f t="shared" si="45"/>
        <v>405709127.99999994</v>
      </c>
      <c r="AE49" s="8">
        <f t="shared" ref="AE49" si="63">AE3+AE5+AE7+AE8+AE10+AE12+AE15+AE17+AE18+AE19+AE22+AE24+AE26+AE27+AE31+AE33+AE35+AE37+AE39+AE41+AE43+AE45</f>
        <v>20609.205999999998</v>
      </c>
      <c r="AF49" s="3">
        <f t="shared" si="47"/>
        <v>391574913.99999994</v>
      </c>
      <c r="AG49" s="8">
        <f t="shared" ref="AG49" si="64">AG3+AG5+AG7+AG8+AG10+AG12+AG15+AG17+AG18+AG19+AG22+AG24+AG26+AG27+AG31+AG33+AG35+AG37+AG39+AG41+AG43+AG45</f>
        <v>18167.415000000005</v>
      </c>
      <c r="AH49" s="3">
        <f t="shared" si="49"/>
        <v>345180885.00000006</v>
      </c>
      <c r="AI49" s="8">
        <f t="shared" ref="AI49" si="65">AI3+AI5+AI7+AI8+AI10+AI12+AI15+AI17+AI18+AI19+AI22+AI24+AI26+AI27+AI31+AI33+AI35+AI37+AI39+AI41+AI43+AI45</f>
        <v>60129.733000000007</v>
      </c>
      <c r="AJ49" s="3">
        <f t="shared" ref="AJ49" si="66">AI49*19000</f>
        <v>1142464927.0000002</v>
      </c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</row>
    <row r="50" spans="2:73" ht="25" customHeight="1" x14ac:dyDescent="0.2">
      <c r="B50" s="1" t="s">
        <v>81</v>
      </c>
      <c r="C50" s="4">
        <f>'PUD (2) FIX'!B34</f>
        <v>13975.271189999999</v>
      </c>
      <c r="D50" s="3">
        <f>L50+T50+AB50+AJ50</f>
        <v>265530152.60999998</v>
      </c>
      <c r="E50" s="4">
        <f>'PUD (2) FIX'!D34</f>
        <v>1125.3110000000004</v>
      </c>
      <c r="F50" s="3">
        <f>E50*19000</f>
        <v>21380909.000000007</v>
      </c>
      <c r="G50" s="4">
        <f>'PUD (2) FIX'!F34</f>
        <v>1224.732</v>
      </c>
      <c r="H50" s="3">
        <f t="shared" si="23"/>
        <v>23269908</v>
      </c>
      <c r="I50" s="4">
        <f>'PUD (2) FIX'!H34</f>
        <v>1312.6900299999998</v>
      </c>
      <c r="J50" s="3">
        <f t="shared" si="25"/>
        <v>24941110.569999997</v>
      </c>
      <c r="K50" s="4">
        <f>E50+G50+I50</f>
        <v>3662.7330300000003</v>
      </c>
      <c r="L50" s="3">
        <f>K50*19000</f>
        <v>69591927.570000008</v>
      </c>
      <c r="M50" s="4">
        <f>'PUD (2) FIX'!L34</f>
        <v>1269.2951399999999</v>
      </c>
      <c r="N50" s="3">
        <f t="shared" si="29"/>
        <v>24116607.66</v>
      </c>
      <c r="O50" s="4">
        <f>'PUD (2) FIX'!N34</f>
        <v>1304.2775000000001</v>
      </c>
      <c r="P50" s="3">
        <f t="shared" si="31"/>
        <v>24781272.500000004</v>
      </c>
      <c r="Q50" s="4">
        <f>'PUD (2) FIX'!P34</f>
        <v>1192.7776199999996</v>
      </c>
      <c r="R50" s="3">
        <f t="shared" si="33"/>
        <v>22662774.779999994</v>
      </c>
      <c r="S50" s="4">
        <f>M50+O50+Q50</f>
        <v>3766.3502600000002</v>
      </c>
      <c r="T50" s="3">
        <f t="shared" si="35"/>
        <v>71560654.939999998</v>
      </c>
      <c r="U50" s="4">
        <f>'PUD (2) FIX'!T34</f>
        <v>1061.9643000000003</v>
      </c>
      <c r="V50" s="3">
        <f t="shared" si="37"/>
        <v>20177321.700000007</v>
      </c>
      <c r="W50" s="4">
        <f>'PUD (2) FIX'!V34</f>
        <v>1112.2301</v>
      </c>
      <c r="X50" s="3">
        <f t="shared" si="39"/>
        <v>21132371.899999999</v>
      </c>
      <c r="Y50" s="4">
        <f>'PUD (2) FIX'!X34</f>
        <v>1122.4162000000001</v>
      </c>
      <c r="Z50" s="3">
        <f t="shared" si="41"/>
        <v>21325907.800000001</v>
      </c>
      <c r="AA50" s="4">
        <f>U50+W50+Y50</f>
        <v>3296.6106000000004</v>
      </c>
      <c r="AB50" s="3">
        <f t="shared" si="43"/>
        <v>62635601.400000006</v>
      </c>
      <c r="AC50" s="4">
        <f>'PUD (2) FIX'!AB34</f>
        <v>1108.9600000000003</v>
      </c>
      <c r="AD50" s="3">
        <f t="shared" si="45"/>
        <v>21070240.000000004</v>
      </c>
      <c r="AE50" s="4">
        <f>'PUD (2) FIX'!AD34</f>
        <v>1085.32</v>
      </c>
      <c r="AF50" s="3">
        <f t="shared" si="47"/>
        <v>20621080</v>
      </c>
      <c r="AG50" s="4">
        <f>'PUD (2) FIX'!AF34</f>
        <v>1055.2973</v>
      </c>
      <c r="AH50" s="3">
        <f t="shared" si="49"/>
        <v>20050648.699999999</v>
      </c>
      <c r="AI50" s="4">
        <f>AC50+AE50+AG50</f>
        <v>3249.5772999999999</v>
      </c>
      <c r="AJ50" s="3">
        <f>AI50*19000</f>
        <v>61741968.699999996</v>
      </c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</row>
    <row r="51" spans="2:73" ht="25" customHeight="1" x14ac:dyDescent="0.2"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</row>
    <row r="52" spans="2:73" ht="25" customHeight="1" x14ac:dyDescent="0.2">
      <c r="B52" s="3"/>
      <c r="C52" s="4">
        <f>SUM(C48:C51)</f>
        <v>616072.59818999993</v>
      </c>
      <c r="D52" s="4">
        <f>C48+C49</f>
        <v>602097.32699999993</v>
      </c>
      <c r="E52" s="4">
        <v>607344.30000000005</v>
      </c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>
        <v>33802.904000000002</v>
      </c>
      <c r="AD52" s="4"/>
      <c r="AE52" s="4">
        <v>29600.963</v>
      </c>
      <c r="AF52" s="4"/>
      <c r="AG52" s="4">
        <v>21345.555</v>
      </c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</row>
    <row r="53" spans="2:73" ht="25" customHeight="1" x14ac:dyDescent="0.2">
      <c r="B53" s="4"/>
      <c r="C53" s="8">
        <f>C48+C50</f>
        <v>406000.67918999994</v>
      </c>
      <c r="E53" s="8">
        <f>C52-E52</f>
        <v>8728.2981899998849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>
        <v>21353.112000000001</v>
      </c>
      <c r="AD53" s="4"/>
      <c r="AE53" s="4">
        <v>20609.205999999998</v>
      </c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</row>
    <row r="54" spans="2:73" ht="25" customHeight="1" x14ac:dyDescent="0.2">
      <c r="B54" s="3"/>
      <c r="C54" s="8">
        <f>C49</f>
        <v>210071.91900000002</v>
      </c>
      <c r="E54" s="3">
        <v>8728.2999999999993</v>
      </c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>
        <v>1160.6099999999999</v>
      </c>
      <c r="AD54" s="4"/>
      <c r="AE54" s="4">
        <v>1113.78</v>
      </c>
      <c r="AF54" s="4"/>
      <c r="AG54" s="4">
        <v>971.07730000000004</v>
      </c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</row>
    <row r="55" spans="2:73" ht="25" customHeight="1" x14ac:dyDescent="0.2">
      <c r="B55" s="3"/>
      <c r="C55" s="4">
        <f>SUM(C53:C54)</f>
        <v>616072.59818999993</v>
      </c>
      <c r="E55" s="20">
        <v>5360.5403999999999</v>
      </c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</row>
    <row r="56" spans="2:73" ht="25" customHeight="1" x14ac:dyDescent="0.2">
      <c r="B56" s="3"/>
      <c r="C56" s="4">
        <v>607344.30000000005</v>
      </c>
      <c r="E56" s="20">
        <f>E54-E55</f>
        <v>3367.7595999999994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</row>
    <row r="57" spans="2:73" ht="25" customHeight="1" x14ac:dyDescent="0.2">
      <c r="C57" s="4">
        <f>C56-C52</f>
        <v>-8728.2981899998849</v>
      </c>
      <c r="D57" s="3"/>
      <c r="E57" s="3"/>
      <c r="F57" s="3"/>
      <c r="G57" s="3"/>
      <c r="I57" s="3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</row>
    <row r="58" spans="2:73" ht="25" customHeight="1" x14ac:dyDescent="0.2">
      <c r="C58" s="4"/>
      <c r="D58" s="4"/>
      <c r="E58" s="3"/>
      <c r="F58" s="3"/>
      <c r="G58" s="3"/>
      <c r="I58" s="3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</row>
    <row r="59" spans="2:73" ht="25" customHeight="1" x14ac:dyDescent="0.2">
      <c r="C59" s="4"/>
      <c r="D59" s="4"/>
      <c r="E59" s="3"/>
      <c r="F59" s="3"/>
      <c r="G59" s="3"/>
      <c r="I59" s="3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</row>
    <row r="60" spans="2:73" ht="25" customHeight="1" x14ac:dyDescent="0.2">
      <c r="C60" s="4"/>
      <c r="D60" s="4"/>
      <c r="E60" s="3"/>
      <c r="F60" s="3"/>
      <c r="G60" s="3"/>
      <c r="I60" s="3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</row>
    <row r="61" spans="2:73" ht="25" customHeight="1" x14ac:dyDescent="0.2"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</row>
    <row r="62" spans="2:73" ht="25" customHeight="1" x14ac:dyDescent="0.2"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</row>
    <row r="63" spans="2:73" ht="25" customHeight="1" x14ac:dyDescent="0.2"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</row>
    <row r="64" spans="2:73" ht="25" customHeight="1" x14ac:dyDescent="0.2">
      <c r="C64" s="4"/>
      <c r="D64" s="4"/>
      <c r="E64" s="4">
        <v>29026.65</v>
      </c>
      <c r="F64" s="4">
        <v>27959.473999999998</v>
      </c>
      <c r="G64" s="4">
        <v>30929.851999999999</v>
      </c>
      <c r="H64" s="4">
        <v>35601.817000000003</v>
      </c>
      <c r="I64" s="4">
        <v>36331.819000000003</v>
      </c>
      <c r="J64" s="4">
        <v>37365</v>
      </c>
      <c r="K64" s="4">
        <v>36418.31</v>
      </c>
      <c r="L64" s="4">
        <v>39402.519999999997</v>
      </c>
      <c r="M64" s="4">
        <v>44013.97</v>
      </c>
      <c r="N64" s="4">
        <v>34149.21</v>
      </c>
      <c r="O64" s="4">
        <v>31022.66</v>
      </c>
      <c r="P64" s="4">
        <v>34882.46</v>
      </c>
      <c r="Q64" s="4">
        <f>SUM(E64:P64)</f>
        <v>417103.74200000003</v>
      </c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</row>
    <row r="65" spans="3:73" ht="25" customHeight="1" x14ac:dyDescent="0.2">
      <c r="C65" s="4"/>
      <c r="D65" s="4"/>
      <c r="E65" s="4">
        <v>13917.26</v>
      </c>
      <c r="F65" s="4">
        <v>9371.0110000000004</v>
      </c>
      <c r="G65" s="4">
        <v>15085.344999999999</v>
      </c>
      <c r="H65" s="4">
        <v>13032.593000000001</v>
      </c>
      <c r="I65" s="4">
        <v>16340.752</v>
      </c>
      <c r="J65" s="4">
        <v>13259.35</v>
      </c>
      <c r="K65" s="4">
        <v>20516.43</v>
      </c>
      <c r="L65" s="4">
        <v>15285.92</v>
      </c>
      <c r="M65" s="4">
        <v>19090.830000000002</v>
      </c>
      <c r="N65" s="4">
        <v>21363.16</v>
      </c>
      <c r="O65" s="4">
        <v>20517.810000000001</v>
      </c>
      <c r="P65" s="4">
        <f>18167.41+2073.47</f>
        <v>20240.88</v>
      </c>
      <c r="Q65" s="4">
        <f>SUM(E65:P65)</f>
        <v>198021.34100000001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</row>
    <row r="66" spans="3:73" ht="25" customHeight="1" x14ac:dyDescent="0.2">
      <c r="C66" s="4"/>
      <c r="D66" s="4"/>
      <c r="E66" s="4">
        <v>1004.83</v>
      </c>
      <c r="F66" s="4">
        <v>1055.866</v>
      </c>
      <c r="G66" s="4">
        <v>2426.384</v>
      </c>
      <c r="H66" s="4">
        <v>3098.2759999999998</v>
      </c>
      <c r="I66" s="4">
        <v>1660.17</v>
      </c>
      <c r="J66" s="4">
        <v>1646.21</v>
      </c>
      <c r="K66" s="4">
        <v>1262.24</v>
      </c>
      <c r="L66" s="4">
        <v>1327.31</v>
      </c>
      <c r="M66" s="4">
        <v>1354.94</v>
      </c>
      <c r="N66" s="4">
        <v>1369.87</v>
      </c>
      <c r="O66" s="4">
        <v>1365.14</v>
      </c>
      <c r="P66" s="4">
        <v>1303.8</v>
      </c>
      <c r="Q66" s="4">
        <f>SUM(E66:P66)</f>
        <v>18875.036</v>
      </c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</row>
    <row r="67" spans="3:73" ht="25" customHeight="1" x14ac:dyDescent="0.2"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>
        <f>SUM(Q64:Q66)</f>
        <v>634000.11900000006</v>
      </c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</row>
    <row r="68" spans="3:73" ht="25" customHeight="1" x14ac:dyDescent="0.2"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</row>
    <row r="69" spans="3:73" ht="25" customHeight="1" x14ac:dyDescent="0.2"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</row>
    <row r="70" spans="3:73" ht="25" customHeight="1" x14ac:dyDescent="0.2"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</row>
    <row r="71" spans="3:73" ht="25" customHeight="1" x14ac:dyDescent="0.2"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</row>
    <row r="72" spans="3:73" ht="25" customHeight="1" x14ac:dyDescent="0.2"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</row>
    <row r="73" spans="3:73" ht="25" customHeight="1" x14ac:dyDescent="0.2"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</row>
    <row r="74" spans="3:73" ht="25" customHeight="1" x14ac:dyDescent="0.2"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</row>
    <row r="75" spans="3:73" ht="25" customHeight="1" x14ac:dyDescent="0.2"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</row>
    <row r="76" spans="3:73" ht="25" customHeight="1" x14ac:dyDescent="0.2"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</row>
    <row r="77" spans="3:73" ht="25" customHeight="1" x14ac:dyDescent="0.2"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</row>
    <row r="78" spans="3:73" ht="25" customHeight="1" x14ac:dyDescent="0.2"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</row>
    <row r="79" spans="3:73" ht="25" customHeight="1" x14ac:dyDescent="0.2"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</row>
    <row r="80" spans="3:73" ht="25" customHeight="1" x14ac:dyDescent="0.2"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</row>
    <row r="81" spans="3:73" ht="25" customHeight="1" x14ac:dyDescent="0.2"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</row>
    <row r="82" spans="3:73" ht="25" customHeight="1" x14ac:dyDescent="0.2"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</row>
    <row r="83" spans="3:73" ht="25" customHeight="1" x14ac:dyDescent="0.2"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</row>
    <row r="84" spans="3:73" ht="25" customHeight="1" x14ac:dyDescent="0.2"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</row>
    <row r="85" spans="3:73" ht="25" customHeight="1" x14ac:dyDescent="0.2"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</row>
    <row r="86" spans="3:73" ht="25" customHeight="1" x14ac:dyDescent="0.2"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</row>
    <row r="87" spans="3:73" ht="25" customHeight="1" x14ac:dyDescent="0.2"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</row>
    <row r="88" spans="3:73" ht="25" customHeight="1" x14ac:dyDescent="0.2"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</row>
    <row r="89" spans="3:73" ht="25" customHeight="1" x14ac:dyDescent="0.2"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</row>
    <row r="90" spans="3:73" ht="25" customHeight="1" x14ac:dyDescent="0.2"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</row>
    <row r="91" spans="3:73" ht="25" customHeight="1" x14ac:dyDescent="0.2"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</row>
    <row r="92" spans="3:73" ht="25" customHeight="1" x14ac:dyDescent="0.2"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</row>
    <row r="93" spans="3:73" ht="25" customHeight="1" x14ac:dyDescent="0.2"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</row>
    <row r="94" spans="3:73" ht="25" customHeight="1" x14ac:dyDescent="0.2"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</row>
    <row r="95" spans="3:73" ht="25" customHeight="1" x14ac:dyDescent="0.2"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</row>
    <row r="96" spans="3:73" ht="25" customHeight="1" x14ac:dyDescent="0.2"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</row>
    <row r="97" spans="3:73" ht="25" customHeight="1" x14ac:dyDescent="0.2"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</row>
    <row r="98" spans="3:73" ht="25" customHeight="1" x14ac:dyDescent="0.2"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</row>
    <row r="99" spans="3:73" ht="25" customHeight="1" x14ac:dyDescent="0.2"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</row>
    <row r="100" spans="3:73" ht="25" customHeight="1" x14ac:dyDescent="0.2"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</row>
    <row r="101" spans="3:73" ht="25" customHeight="1" x14ac:dyDescent="0.2"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</row>
    <row r="102" spans="3:73" ht="25" customHeight="1" x14ac:dyDescent="0.2"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</row>
    <row r="103" spans="3:73" ht="25" customHeight="1" x14ac:dyDescent="0.2"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</row>
    <row r="104" spans="3:73" ht="25" customHeight="1" x14ac:dyDescent="0.2"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</row>
    <row r="105" spans="3:73" ht="25" customHeight="1" x14ac:dyDescent="0.2"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</row>
    <row r="106" spans="3:73" ht="25" customHeight="1" x14ac:dyDescent="0.2"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</row>
    <row r="107" spans="3:73" ht="25" customHeight="1" x14ac:dyDescent="0.2"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</row>
    <row r="108" spans="3:73" ht="25" customHeight="1" x14ac:dyDescent="0.2"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</row>
    <row r="109" spans="3:73" ht="25" customHeight="1" x14ac:dyDescent="0.2"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</row>
    <row r="110" spans="3:73" ht="25" customHeight="1" x14ac:dyDescent="0.2"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</row>
    <row r="111" spans="3:73" ht="25" customHeight="1" x14ac:dyDescent="0.2"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</row>
    <row r="112" spans="3:73" ht="25" customHeight="1" x14ac:dyDescent="0.2"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</row>
    <row r="113" spans="3:73" ht="25" customHeight="1" x14ac:dyDescent="0.2"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</row>
    <row r="114" spans="3:73" ht="25" customHeight="1" x14ac:dyDescent="0.2"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</row>
    <row r="115" spans="3:73" ht="25" customHeight="1" x14ac:dyDescent="0.2"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</row>
    <row r="116" spans="3:73" ht="25" customHeight="1" x14ac:dyDescent="0.2"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</row>
    <row r="117" spans="3:73" ht="25" customHeight="1" x14ac:dyDescent="0.2"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</row>
    <row r="118" spans="3:73" ht="25" customHeight="1" x14ac:dyDescent="0.2"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</row>
    <row r="119" spans="3:73" ht="25" customHeight="1" x14ac:dyDescent="0.2"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</row>
    <row r="120" spans="3:73" ht="25" customHeight="1" x14ac:dyDescent="0.2"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</row>
    <row r="121" spans="3:73" ht="25" customHeight="1" x14ac:dyDescent="0.2"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</row>
    <row r="122" spans="3:73" ht="25" customHeight="1" x14ac:dyDescent="0.2"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</row>
    <row r="123" spans="3:73" ht="25" customHeight="1" x14ac:dyDescent="0.2"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</row>
    <row r="124" spans="3:73" ht="25" customHeight="1" x14ac:dyDescent="0.2"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</row>
    <row r="125" spans="3:73" ht="25" customHeight="1" x14ac:dyDescent="0.2"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</row>
    <row r="126" spans="3:73" ht="25" customHeight="1" x14ac:dyDescent="0.2"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</row>
    <row r="127" spans="3:73" ht="25" customHeight="1" x14ac:dyDescent="0.2"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</row>
    <row r="128" spans="3:73" ht="25" customHeight="1" x14ac:dyDescent="0.2"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</row>
    <row r="129" spans="3:73" ht="25" customHeight="1" x14ac:dyDescent="0.2"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</row>
    <row r="130" spans="3:73" ht="25" customHeight="1" x14ac:dyDescent="0.2"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</row>
    <row r="131" spans="3:73" ht="25" customHeight="1" x14ac:dyDescent="0.2"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</row>
    <row r="132" spans="3:73" ht="25" customHeight="1" x14ac:dyDescent="0.2"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</row>
    <row r="133" spans="3:73" ht="25" customHeight="1" x14ac:dyDescent="0.2"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</row>
    <row r="134" spans="3:73" ht="25" customHeight="1" x14ac:dyDescent="0.2"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</row>
    <row r="135" spans="3:73" ht="25" customHeight="1" x14ac:dyDescent="0.2"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</row>
    <row r="136" spans="3:73" ht="25" customHeight="1" x14ac:dyDescent="0.2"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</row>
    <row r="137" spans="3:73" ht="25" customHeight="1" x14ac:dyDescent="0.2"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</row>
    <row r="138" spans="3:73" ht="25" customHeight="1" x14ac:dyDescent="0.2"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</row>
    <row r="139" spans="3:73" ht="25" customHeight="1" x14ac:dyDescent="0.2"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</row>
    <row r="140" spans="3:73" ht="25" customHeight="1" x14ac:dyDescent="0.2"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</row>
    <row r="141" spans="3:73" ht="25" customHeight="1" x14ac:dyDescent="0.2"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</row>
    <row r="142" spans="3:73" ht="25" customHeight="1" x14ac:dyDescent="0.2"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</row>
    <row r="143" spans="3:73" ht="25" customHeight="1" x14ac:dyDescent="0.2"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</row>
    <row r="144" spans="3:73" ht="25" customHeight="1" x14ac:dyDescent="0.2"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</row>
    <row r="145" spans="3:73" ht="25" customHeight="1" x14ac:dyDescent="0.2"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</row>
    <row r="146" spans="3:73" ht="25" customHeight="1" x14ac:dyDescent="0.2"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</row>
    <row r="147" spans="3:73" ht="25" customHeight="1" x14ac:dyDescent="0.2"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</row>
    <row r="148" spans="3:73" ht="25" customHeight="1" x14ac:dyDescent="0.2"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</row>
    <row r="149" spans="3:73" ht="25" customHeight="1" x14ac:dyDescent="0.2"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</row>
    <row r="150" spans="3:73" ht="25" customHeight="1" x14ac:dyDescent="0.2"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</row>
    <row r="151" spans="3:73" ht="25" customHeight="1" x14ac:dyDescent="0.2"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</row>
    <row r="152" spans="3:73" ht="25" customHeight="1" x14ac:dyDescent="0.2"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</row>
    <row r="153" spans="3:73" ht="25" customHeight="1" x14ac:dyDescent="0.2"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</row>
    <row r="154" spans="3:73" ht="25" customHeight="1" x14ac:dyDescent="0.2"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</row>
    <row r="155" spans="3:73" ht="25" customHeight="1" x14ac:dyDescent="0.2"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</row>
    <row r="156" spans="3:73" ht="25" customHeight="1" x14ac:dyDescent="0.2"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</row>
    <row r="157" spans="3:73" ht="25" customHeight="1" x14ac:dyDescent="0.2"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</row>
    <row r="158" spans="3:73" ht="25" customHeight="1" x14ac:dyDescent="0.2"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</row>
    <row r="159" spans="3:73" ht="25" customHeight="1" x14ac:dyDescent="0.2"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</row>
    <row r="160" spans="3:73" ht="25" customHeight="1" x14ac:dyDescent="0.2"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</row>
    <row r="161" spans="3:73" ht="25" customHeight="1" x14ac:dyDescent="0.2"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</row>
    <row r="162" spans="3:73" ht="25" customHeight="1" x14ac:dyDescent="0.2"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</row>
    <row r="163" spans="3:73" ht="25" customHeight="1" x14ac:dyDescent="0.2"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</row>
    <row r="164" spans="3:73" ht="25" customHeight="1" x14ac:dyDescent="0.2"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</row>
    <row r="165" spans="3:73" ht="25" customHeight="1" x14ac:dyDescent="0.2"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</row>
    <row r="166" spans="3:73" ht="25" customHeight="1" x14ac:dyDescent="0.2"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</row>
    <row r="167" spans="3:73" ht="25" customHeight="1" x14ac:dyDescent="0.2"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</row>
    <row r="168" spans="3:73" ht="25" customHeight="1" x14ac:dyDescent="0.2"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</row>
    <row r="169" spans="3:73" ht="25" customHeight="1" x14ac:dyDescent="0.2"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</row>
    <row r="170" spans="3:73" ht="25" customHeight="1" x14ac:dyDescent="0.2"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</row>
    <row r="171" spans="3:73" ht="25" customHeight="1" x14ac:dyDescent="0.2"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</row>
    <row r="172" spans="3:73" ht="25" customHeight="1" x14ac:dyDescent="0.2"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</row>
    <row r="173" spans="3:73" ht="25" customHeight="1" x14ac:dyDescent="0.2"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</row>
    <row r="174" spans="3:73" ht="25" customHeight="1" x14ac:dyDescent="0.2"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</row>
    <row r="175" spans="3:73" ht="25" customHeight="1" x14ac:dyDescent="0.2"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</row>
    <row r="176" spans="3:73" ht="25" customHeight="1" x14ac:dyDescent="0.2"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</row>
    <row r="177" spans="3:73" ht="25" customHeight="1" x14ac:dyDescent="0.2"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</row>
    <row r="178" spans="3:73" ht="25" customHeight="1" x14ac:dyDescent="0.2"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</row>
    <row r="179" spans="3:73" ht="25" customHeight="1" x14ac:dyDescent="0.2"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</row>
    <row r="180" spans="3:73" ht="25" customHeight="1" x14ac:dyDescent="0.2"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</row>
    <row r="181" spans="3:73" ht="25" customHeight="1" x14ac:dyDescent="0.2"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</row>
    <row r="182" spans="3:73" ht="25" customHeight="1" x14ac:dyDescent="0.2"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</row>
    <row r="183" spans="3:73" ht="25" customHeight="1" x14ac:dyDescent="0.2"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</row>
    <row r="184" spans="3:73" ht="25" customHeight="1" x14ac:dyDescent="0.2"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</row>
    <row r="185" spans="3:73" ht="25" customHeight="1" x14ac:dyDescent="0.2"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</row>
    <row r="186" spans="3:73" ht="25" customHeight="1" x14ac:dyDescent="0.2"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</row>
    <row r="187" spans="3:73" ht="25" customHeight="1" x14ac:dyDescent="0.2"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</row>
    <row r="188" spans="3:73" ht="25" customHeight="1" x14ac:dyDescent="0.2"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</row>
    <row r="189" spans="3:73" ht="25" customHeight="1" x14ac:dyDescent="0.2"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</row>
    <row r="190" spans="3:73" ht="25" customHeight="1" x14ac:dyDescent="0.2"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</row>
    <row r="191" spans="3:73" ht="25" customHeight="1" x14ac:dyDescent="0.2"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</row>
    <row r="192" spans="3:73" ht="25" customHeight="1" x14ac:dyDescent="0.2"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</row>
    <row r="193" spans="3:73" ht="25" customHeight="1" x14ac:dyDescent="0.2"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</row>
    <row r="194" spans="3:73" ht="25" customHeight="1" x14ac:dyDescent="0.2"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</row>
    <row r="195" spans="3:73" ht="25" customHeight="1" x14ac:dyDescent="0.2"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</row>
    <row r="196" spans="3:73" ht="25" customHeight="1" x14ac:dyDescent="0.2"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</row>
    <row r="197" spans="3:73" ht="25" customHeight="1" x14ac:dyDescent="0.2"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</row>
    <row r="198" spans="3:73" ht="25" customHeight="1" x14ac:dyDescent="0.2"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</row>
    <row r="199" spans="3:73" ht="25" customHeight="1" x14ac:dyDescent="0.2"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</row>
    <row r="200" spans="3:73" ht="25" customHeight="1" x14ac:dyDescent="0.2"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</row>
    <row r="201" spans="3:73" ht="25" customHeight="1" x14ac:dyDescent="0.2"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</row>
    <row r="202" spans="3:73" ht="25" customHeight="1" x14ac:dyDescent="0.2"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</row>
    <row r="203" spans="3:73" ht="25" customHeight="1" x14ac:dyDescent="0.2"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</row>
    <row r="204" spans="3:73" ht="25" customHeight="1" x14ac:dyDescent="0.2"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</row>
    <row r="205" spans="3:73" ht="25" customHeight="1" x14ac:dyDescent="0.2"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</row>
    <row r="206" spans="3:73" ht="25" customHeight="1" x14ac:dyDescent="0.2"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</row>
    <row r="207" spans="3:73" ht="25" customHeight="1" x14ac:dyDescent="0.2"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</row>
    <row r="208" spans="3:73" ht="25" customHeight="1" x14ac:dyDescent="0.2"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</row>
    <row r="209" spans="3:73" ht="25" customHeight="1" x14ac:dyDescent="0.2"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</row>
    <row r="210" spans="3:73" ht="25" customHeight="1" x14ac:dyDescent="0.2"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</row>
    <row r="211" spans="3:73" ht="25" customHeight="1" x14ac:dyDescent="0.2"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</row>
    <row r="212" spans="3:73" ht="25" customHeight="1" x14ac:dyDescent="0.2"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</row>
    <row r="213" spans="3:73" ht="25" customHeight="1" x14ac:dyDescent="0.2"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</row>
    <row r="214" spans="3:73" ht="25" customHeight="1" x14ac:dyDescent="0.2"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</row>
    <row r="215" spans="3:73" ht="25" customHeight="1" x14ac:dyDescent="0.2"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</row>
    <row r="216" spans="3:73" ht="25" customHeight="1" x14ac:dyDescent="0.2"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</row>
    <row r="217" spans="3:73" ht="25" customHeight="1" x14ac:dyDescent="0.2"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</row>
    <row r="218" spans="3:73" ht="25" customHeight="1" x14ac:dyDescent="0.2"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</row>
    <row r="219" spans="3:73" ht="25" customHeight="1" x14ac:dyDescent="0.2"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</row>
    <row r="220" spans="3:73" ht="25" customHeight="1" x14ac:dyDescent="0.2"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</row>
    <row r="221" spans="3:73" ht="25" customHeight="1" x14ac:dyDescent="0.2"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</row>
    <row r="222" spans="3:73" ht="25" customHeight="1" x14ac:dyDescent="0.2"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</row>
    <row r="223" spans="3:73" ht="25" customHeight="1" x14ac:dyDescent="0.2"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</row>
    <row r="224" spans="3:73" ht="25" customHeight="1" x14ac:dyDescent="0.2"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</row>
    <row r="225" spans="3:73" ht="25" customHeight="1" x14ac:dyDescent="0.2"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</row>
    <row r="226" spans="3:73" ht="25" customHeight="1" x14ac:dyDescent="0.2"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</row>
    <row r="227" spans="3:73" ht="25" customHeight="1" x14ac:dyDescent="0.2"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</row>
    <row r="228" spans="3:73" ht="25" customHeight="1" x14ac:dyDescent="0.2"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</row>
    <row r="229" spans="3:73" ht="25" customHeight="1" x14ac:dyDescent="0.2"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</row>
    <row r="230" spans="3:73" ht="25" customHeight="1" x14ac:dyDescent="0.2"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</row>
    <row r="231" spans="3:73" ht="25" customHeight="1" x14ac:dyDescent="0.2"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</row>
    <row r="232" spans="3:73" ht="25" customHeight="1" x14ac:dyDescent="0.2"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</row>
    <row r="233" spans="3:73" ht="25" customHeight="1" x14ac:dyDescent="0.2"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</row>
    <row r="234" spans="3:73" ht="25" customHeight="1" x14ac:dyDescent="0.2"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</row>
    <row r="235" spans="3:73" ht="25" customHeight="1" x14ac:dyDescent="0.2"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</row>
    <row r="236" spans="3:73" ht="25" customHeight="1" x14ac:dyDescent="0.2"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</row>
    <row r="237" spans="3:73" ht="25" customHeight="1" x14ac:dyDescent="0.2"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</row>
    <row r="238" spans="3:73" ht="25" customHeight="1" x14ac:dyDescent="0.2"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</row>
    <row r="239" spans="3:73" ht="25" customHeight="1" x14ac:dyDescent="0.2"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</row>
    <row r="240" spans="3:73" ht="25" customHeight="1" x14ac:dyDescent="0.2"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</row>
    <row r="241" spans="3:73" ht="25" customHeight="1" x14ac:dyDescent="0.2"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</row>
    <row r="242" spans="3:73" ht="25" customHeight="1" x14ac:dyDescent="0.2"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</row>
    <row r="243" spans="3:73" ht="25" customHeight="1" x14ac:dyDescent="0.2"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</row>
    <row r="244" spans="3:73" ht="25" customHeight="1" x14ac:dyDescent="0.2"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</row>
    <row r="245" spans="3:73" ht="25" customHeight="1" x14ac:dyDescent="0.2"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</row>
    <row r="246" spans="3:73" ht="25" customHeight="1" x14ac:dyDescent="0.2"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</row>
    <row r="247" spans="3:73" ht="25" customHeight="1" x14ac:dyDescent="0.2"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</row>
    <row r="248" spans="3:73" ht="25" customHeight="1" x14ac:dyDescent="0.2"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</row>
    <row r="249" spans="3:73" ht="25" customHeight="1" x14ac:dyDescent="0.2"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</row>
    <row r="250" spans="3:73" ht="25" customHeight="1" x14ac:dyDescent="0.2"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</row>
    <row r="251" spans="3:73" ht="25" customHeight="1" x14ac:dyDescent="0.2"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</row>
    <row r="252" spans="3:73" ht="25" customHeight="1" x14ac:dyDescent="0.2"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</row>
    <row r="253" spans="3:73" ht="25" customHeight="1" x14ac:dyDescent="0.2"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</row>
    <row r="254" spans="3:73" ht="25" customHeight="1" x14ac:dyDescent="0.2"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</row>
    <row r="255" spans="3:73" ht="25" customHeight="1" x14ac:dyDescent="0.2"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</row>
    <row r="256" spans="3:73" ht="25" customHeight="1" x14ac:dyDescent="0.2"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</row>
    <row r="257" spans="3:73" ht="25" customHeight="1" x14ac:dyDescent="0.2"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</row>
    <row r="258" spans="3:73" ht="25" customHeight="1" x14ac:dyDescent="0.2"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</row>
    <row r="259" spans="3:73" ht="25" customHeight="1" x14ac:dyDescent="0.2"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</row>
    <row r="260" spans="3:73" ht="25" customHeight="1" x14ac:dyDescent="0.2"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</row>
    <row r="261" spans="3:73" ht="25" customHeight="1" x14ac:dyDescent="0.2"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</row>
    <row r="262" spans="3:73" ht="25" customHeight="1" x14ac:dyDescent="0.2"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</row>
    <row r="263" spans="3:73" ht="25" customHeight="1" x14ac:dyDescent="0.2"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</row>
    <row r="264" spans="3:73" ht="25" customHeight="1" x14ac:dyDescent="0.2"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</row>
    <row r="265" spans="3:73" ht="25" customHeight="1" x14ac:dyDescent="0.2"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</row>
    <row r="266" spans="3:73" ht="25" customHeight="1" x14ac:dyDescent="0.2"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</row>
    <row r="267" spans="3:73" ht="25" customHeight="1" x14ac:dyDescent="0.2"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</row>
    <row r="268" spans="3:73" ht="25" customHeight="1" x14ac:dyDescent="0.2"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</row>
    <row r="269" spans="3:73" ht="25" customHeight="1" x14ac:dyDescent="0.2"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</row>
    <row r="270" spans="3:73" ht="25" customHeight="1" x14ac:dyDescent="0.2"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</row>
    <row r="271" spans="3:73" ht="25" customHeight="1" x14ac:dyDescent="0.2"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</row>
    <row r="272" spans="3:73" ht="25" customHeight="1" x14ac:dyDescent="0.2"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</row>
    <row r="273" spans="3:73" ht="25" customHeight="1" x14ac:dyDescent="0.2"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</row>
    <row r="274" spans="3:73" ht="25" customHeight="1" x14ac:dyDescent="0.2"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</row>
    <row r="275" spans="3:73" ht="25" customHeight="1" x14ac:dyDescent="0.2"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</row>
    <row r="276" spans="3:73" ht="25" customHeight="1" x14ac:dyDescent="0.2"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</row>
    <row r="277" spans="3:73" ht="25" customHeight="1" x14ac:dyDescent="0.2"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</row>
    <row r="278" spans="3:73" ht="25" customHeight="1" x14ac:dyDescent="0.2"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</row>
    <row r="279" spans="3:73" ht="25" customHeight="1" x14ac:dyDescent="0.2"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</row>
    <row r="280" spans="3:73" ht="25" customHeight="1" x14ac:dyDescent="0.2"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</row>
    <row r="281" spans="3:73" ht="25" customHeight="1" x14ac:dyDescent="0.2"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</row>
    <row r="282" spans="3:73" ht="25" customHeight="1" x14ac:dyDescent="0.2"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</row>
    <row r="283" spans="3:73" ht="25" customHeight="1" x14ac:dyDescent="0.2"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</row>
    <row r="284" spans="3:73" ht="25" customHeight="1" x14ac:dyDescent="0.2"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</row>
    <row r="285" spans="3:73" ht="25" customHeight="1" x14ac:dyDescent="0.2"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</row>
    <row r="286" spans="3:73" ht="25" customHeight="1" x14ac:dyDescent="0.2"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</row>
    <row r="287" spans="3:73" ht="25" customHeight="1" x14ac:dyDescent="0.2"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</row>
    <row r="288" spans="3:73" ht="25" customHeight="1" x14ac:dyDescent="0.2"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</row>
    <row r="289" spans="3:73" ht="25" customHeight="1" x14ac:dyDescent="0.2"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</row>
    <row r="290" spans="3:73" ht="25" customHeight="1" x14ac:dyDescent="0.2"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</row>
    <row r="291" spans="3:73" ht="25" customHeight="1" x14ac:dyDescent="0.2"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</row>
    <row r="292" spans="3:73" ht="25" customHeight="1" x14ac:dyDescent="0.2"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</row>
    <row r="293" spans="3:73" ht="25" customHeight="1" x14ac:dyDescent="0.2"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</row>
    <row r="294" spans="3:73" ht="25" customHeight="1" x14ac:dyDescent="0.2"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</row>
    <row r="295" spans="3:73" ht="25" customHeight="1" x14ac:dyDescent="0.2"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</row>
    <row r="296" spans="3:73" ht="25" customHeight="1" x14ac:dyDescent="0.2"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</row>
    <row r="297" spans="3:73" ht="25" customHeight="1" x14ac:dyDescent="0.2"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</row>
    <row r="298" spans="3:73" ht="25" customHeight="1" x14ac:dyDescent="0.2"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</row>
    <row r="299" spans="3:73" ht="25" customHeight="1" x14ac:dyDescent="0.2"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</row>
    <row r="300" spans="3:73" ht="25" customHeight="1" x14ac:dyDescent="0.2"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</row>
    <row r="301" spans="3:73" ht="25" customHeight="1" x14ac:dyDescent="0.2"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</row>
    <row r="302" spans="3:73" ht="25" customHeight="1" x14ac:dyDescent="0.2"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</row>
    <row r="303" spans="3:73" ht="25" customHeight="1" x14ac:dyDescent="0.2"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</row>
    <row r="304" spans="3:73" ht="25" customHeight="1" x14ac:dyDescent="0.2"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</row>
    <row r="305" spans="3:73" ht="25" customHeight="1" x14ac:dyDescent="0.2"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</row>
    <row r="306" spans="3:73" ht="25" customHeight="1" x14ac:dyDescent="0.2"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</row>
    <row r="307" spans="3:73" ht="25" customHeight="1" x14ac:dyDescent="0.2"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</row>
    <row r="308" spans="3:73" ht="25" customHeight="1" x14ac:dyDescent="0.2"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</row>
    <row r="309" spans="3:73" ht="25" customHeight="1" x14ac:dyDescent="0.2"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</row>
    <row r="310" spans="3:73" ht="25" customHeight="1" x14ac:dyDescent="0.2"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</row>
    <row r="311" spans="3:73" ht="25" customHeight="1" x14ac:dyDescent="0.2"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</row>
    <row r="312" spans="3:73" ht="25" customHeight="1" x14ac:dyDescent="0.2"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</row>
    <row r="313" spans="3:73" ht="25" customHeight="1" x14ac:dyDescent="0.2"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</row>
    <row r="314" spans="3:73" ht="25" customHeight="1" x14ac:dyDescent="0.2"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</row>
    <row r="315" spans="3:73" ht="25" customHeight="1" x14ac:dyDescent="0.2"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</row>
    <row r="316" spans="3:73" ht="25" customHeight="1" x14ac:dyDescent="0.2"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</row>
    <row r="317" spans="3:73" ht="25" customHeight="1" x14ac:dyDescent="0.2"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</row>
    <row r="318" spans="3:73" ht="25" customHeight="1" x14ac:dyDescent="0.2"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</row>
    <row r="319" spans="3:73" ht="25" customHeight="1" x14ac:dyDescent="0.2"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</row>
    <row r="320" spans="3:73" ht="25" customHeight="1" x14ac:dyDescent="0.2"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</row>
    <row r="321" spans="3:73" ht="25" customHeight="1" x14ac:dyDescent="0.2"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</row>
    <row r="322" spans="3:73" ht="25" customHeight="1" x14ac:dyDescent="0.2"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</row>
    <row r="323" spans="3:73" ht="25" customHeight="1" x14ac:dyDescent="0.2"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</row>
    <row r="324" spans="3:73" ht="25" customHeight="1" x14ac:dyDescent="0.2"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</row>
    <row r="325" spans="3:73" ht="25" customHeight="1" x14ac:dyDescent="0.2"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</row>
    <row r="326" spans="3:73" ht="25" customHeight="1" x14ac:dyDescent="0.2"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</row>
    <row r="327" spans="3:73" ht="25" customHeight="1" x14ac:dyDescent="0.2"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</row>
    <row r="328" spans="3:73" ht="25" customHeight="1" x14ac:dyDescent="0.2"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</row>
    <row r="329" spans="3:73" ht="25" customHeight="1" x14ac:dyDescent="0.2"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</row>
    <row r="330" spans="3:73" ht="25" customHeight="1" x14ac:dyDescent="0.2"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</row>
    <row r="331" spans="3:73" ht="25" customHeight="1" x14ac:dyDescent="0.2"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</row>
    <row r="332" spans="3:73" ht="25" customHeight="1" x14ac:dyDescent="0.2"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</row>
    <row r="333" spans="3:73" ht="25" customHeight="1" x14ac:dyDescent="0.2"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</row>
    <row r="334" spans="3:73" ht="25" customHeight="1" x14ac:dyDescent="0.2"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</row>
    <row r="335" spans="3:73" ht="25" customHeight="1" x14ac:dyDescent="0.2"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</row>
    <row r="336" spans="3:73" ht="25" customHeight="1" x14ac:dyDescent="0.2"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</row>
    <row r="337" spans="3:73" ht="25" customHeight="1" x14ac:dyDescent="0.2"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</row>
    <row r="338" spans="3:73" ht="25" customHeight="1" x14ac:dyDescent="0.2"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</row>
    <row r="339" spans="3:73" ht="25" customHeight="1" x14ac:dyDescent="0.2"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</row>
    <row r="340" spans="3:73" ht="25" customHeight="1" x14ac:dyDescent="0.2"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</row>
    <row r="341" spans="3:73" ht="25" customHeight="1" x14ac:dyDescent="0.2"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</row>
    <row r="342" spans="3:73" ht="25" customHeight="1" x14ac:dyDescent="0.2"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</row>
    <row r="343" spans="3:73" ht="25" customHeight="1" x14ac:dyDescent="0.2"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</row>
    <row r="344" spans="3:73" ht="25" customHeight="1" x14ac:dyDescent="0.2"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</row>
    <row r="345" spans="3:73" ht="25" customHeight="1" x14ac:dyDescent="0.2"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</row>
    <row r="346" spans="3:73" ht="25" customHeight="1" x14ac:dyDescent="0.2"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</row>
    <row r="347" spans="3:73" ht="25" customHeight="1" x14ac:dyDescent="0.2"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</row>
    <row r="348" spans="3:73" ht="25" customHeight="1" x14ac:dyDescent="0.2"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</row>
    <row r="349" spans="3:73" ht="25" customHeight="1" x14ac:dyDescent="0.2"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</row>
    <row r="350" spans="3:73" ht="25" customHeight="1" x14ac:dyDescent="0.2"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</row>
    <row r="351" spans="3:73" ht="25" customHeight="1" x14ac:dyDescent="0.2"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</row>
    <row r="352" spans="3:73" ht="25" customHeight="1" x14ac:dyDescent="0.2"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</row>
    <row r="353" spans="3:73" ht="25" customHeight="1" x14ac:dyDescent="0.2"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</row>
    <row r="354" spans="3:73" ht="25" customHeight="1" x14ac:dyDescent="0.2"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</row>
    <row r="355" spans="3:73" ht="25" customHeight="1" x14ac:dyDescent="0.2"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</row>
    <row r="356" spans="3:73" ht="25" customHeight="1" x14ac:dyDescent="0.2"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</row>
    <row r="357" spans="3:73" ht="25" customHeight="1" x14ac:dyDescent="0.2"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</row>
    <row r="358" spans="3:73" ht="25" customHeight="1" x14ac:dyDescent="0.2"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</row>
    <row r="359" spans="3:73" ht="25" customHeight="1" x14ac:dyDescent="0.2"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</row>
    <row r="360" spans="3:73" ht="25" customHeight="1" x14ac:dyDescent="0.2"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</row>
    <row r="361" spans="3:73" ht="25" customHeight="1" x14ac:dyDescent="0.2"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</row>
    <row r="362" spans="3:73" ht="25" customHeight="1" x14ac:dyDescent="0.2"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</row>
    <row r="363" spans="3:73" ht="25" customHeight="1" x14ac:dyDescent="0.2"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</row>
    <row r="364" spans="3:73" ht="25" customHeight="1" x14ac:dyDescent="0.2"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</row>
    <row r="365" spans="3:73" ht="25" customHeight="1" x14ac:dyDescent="0.2"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</row>
    <row r="366" spans="3:73" ht="25" customHeight="1" x14ac:dyDescent="0.2"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</row>
    <row r="367" spans="3:73" ht="25" customHeight="1" x14ac:dyDescent="0.2"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</row>
    <row r="368" spans="3:73" ht="25" customHeight="1" x14ac:dyDescent="0.2"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</row>
    <row r="369" spans="3:73" ht="25" customHeight="1" x14ac:dyDescent="0.2"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</row>
    <row r="370" spans="3:73" ht="25" customHeight="1" x14ac:dyDescent="0.2"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</row>
    <row r="371" spans="3:73" ht="25" customHeight="1" x14ac:dyDescent="0.2"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</row>
    <row r="372" spans="3:73" ht="25" customHeight="1" x14ac:dyDescent="0.2"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</row>
    <row r="373" spans="3:73" ht="25" customHeight="1" x14ac:dyDescent="0.2"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</row>
    <row r="374" spans="3:73" ht="25" customHeight="1" x14ac:dyDescent="0.2"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</row>
    <row r="375" spans="3:73" ht="25" customHeight="1" x14ac:dyDescent="0.2"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</row>
    <row r="376" spans="3:73" ht="25" customHeight="1" x14ac:dyDescent="0.2"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</row>
    <row r="377" spans="3:73" ht="25" customHeight="1" x14ac:dyDescent="0.2"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</row>
    <row r="378" spans="3:73" ht="25" customHeight="1" x14ac:dyDescent="0.2"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</row>
    <row r="379" spans="3:73" ht="25" customHeight="1" x14ac:dyDescent="0.2"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</row>
    <row r="380" spans="3:73" ht="25" customHeight="1" x14ac:dyDescent="0.2"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</row>
    <row r="381" spans="3:73" ht="25" customHeight="1" x14ac:dyDescent="0.2"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</row>
    <row r="382" spans="3:73" ht="25" customHeight="1" x14ac:dyDescent="0.2"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</row>
    <row r="383" spans="3:73" ht="25" customHeight="1" x14ac:dyDescent="0.2"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</row>
    <row r="384" spans="3:73" ht="25" customHeight="1" x14ac:dyDescent="0.2"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</row>
    <row r="385" spans="3:73" ht="25" customHeight="1" x14ac:dyDescent="0.2"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</row>
    <row r="386" spans="3:73" ht="25" customHeight="1" x14ac:dyDescent="0.2"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</row>
    <row r="387" spans="3:73" ht="25" customHeight="1" x14ac:dyDescent="0.2"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</row>
    <row r="388" spans="3:73" ht="25" customHeight="1" x14ac:dyDescent="0.2"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</row>
    <row r="389" spans="3:73" ht="25" customHeight="1" x14ac:dyDescent="0.2"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</row>
    <row r="390" spans="3:73" ht="25" customHeight="1" x14ac:dyDescent="0.2"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</row>
    <row r="391" spans="3:73" ht="25" customHeight="1" x14ac:dyDescent="0.2"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</row>
    <row r="392" spans="3:73" ht="25" customHeight="1" x14ac:dyDescent="0.2"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</row>
    <row r="393" spans="3:73" ht="25" customHeight="1" x14ac:dyDescent="0.2"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</row>
    <row r="394" spans="3:73" ht="25" customHeight="1" x14ac:dyDescent="0.2"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</row>
    <row r="395" spans="3:73" ht="25" customHeight="1" x14ac:dyDescent="0.2"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</row>
    <row r="396" spans="3:73" ht="25" customHeight="1" x14ac:dyDescent="0.2"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</row>
    <row r="397" spans="3:73" ht="25" customHeight="1" x14ac:dyDescent="0.2"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</row>
    <row r="398" spans="3:73" ht="25" customHeight="1" x14ac:dyDescent="0.2"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</row>
    <row r="399" spans="3:73" ht="25" customHeight="1" x14ac:dyDescent="0.2"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</row>
    <row r="400" spans="3:73" ht="25" customHeight="1" x14ac:dyDescent="0.2"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</row>
    <row r="401" spans="3:73" ht="25" customHeight="1" x14ac:dyDescent="0.2"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</row>
    <row r="402" spans="3:73" ht="25" customHeight="1" x14ac:dyDescent="0.2"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</row>
    <row r="403" spans="3:73" ht="25" customHeight="1" x14ac:dyDescent="0.2"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</row>
    <row r="404" spans="3:73" ht="25" customHeight="1" x14ac:dyDescent="0.2"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</row>
    <row r="405" spans="3:73" ht="25" customHeight="1" x14ac:dyDescent="0.2"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</row>
    <row r="406" spans="3:73" ht="25" customHeight="1" x14ac:dyDescent="0.2"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</row>
    <row r="407" spans="3:73" ht="25" customHeight="1" x14ac:dyDescent="0.2"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</row>
    <row r="408" spans="3:73" ht="25" customHeight="1" x14ac:dyDescent="0.2"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</row>
    <row r="409" spans="3:73" ht="25" customHeight="1" x14ac:dyDescent="0.2"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</row>
    <row r="410" spans="3:73" ht="25" customHeight="1" x14ac:dyDescent="0.2"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</row>
    <row r="411" spans="3:73" ht="25" customHeight="1" x14ac:dyDescent="0.2"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</row>
    <row r="412" spans="3:73" ht="25" customHeight="1" x14ac:dyDescent="0.2"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</row>
    <row r="413" spans="3:73" ht="25" customHeight="1" x14ac:dyDescent="0.2"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</row>
    <row r="414" spans="3:73" ht="25" customHeight="1" x14ac:dyDescent="0.2"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</row>
    <row r="415" spans="3:73" ht="25" customHeight="1" x14ac:dyDescent="0.2"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</row>
    <row r="416" spans="3:73" ht="25" customHeight="1" x14ac:dyDescent="0.2"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</row>
    <row r="417" spans="3:73" ht="25" customHeight="1" x14ac:dyDescent="0.2"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</row>
    <row r="418" spans="3:73" ht="25" customHeight="1" x14ac:dyDescent="0.2"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</row>
    <row r="419" spans="3:73" ht="25" customHeight="1" x14ac:dyDescent="0.2"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</row>
    <row r="420" spans="3:73" ht="25" customHeight="1" x14ac:dyDescent="0.2"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</row>
    <row r="421" spans="3:73" ht="25" customHeight="1" x14ac:dyDescent="0.2"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</row>
    <row r="422" spans="3:73" ht="25" customHeight="1" x14ac:dyDescent="0.2"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</row>
    <row r="423" spans="3:73" ht="25" customHeight="1" x14ac:dyDescent="0.2"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</row>
    <row r="424" spans="3:73" ht="25" customHeight="1" x14ac:dyDescent="0.2"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</row>
    <row r="425" spans="3:73" ht="25" customHeight="1" x14ac:dyDescent="0.2"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</row>
    <row r="426" spans="3:73" ht="25" customHeight="1" x14ac:dyDescent="0.2"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</row>
    <row r="427" spans="3:73" ht="25" customHeight="1" x14ac:dyDescent="0.2"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</row>
    <row r="428" spans="3:73" ht="25" customHeight="1" x14ac:dyDescent="0.2"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</row>
    <row r="429" spans="3:73" ht="25" customHeight="1" x14ac:dyDescent="0.2"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</row>
    <row r="430" spans="3:73" ht="25" customHeight="1" x14ac:dyDescent="0.2"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</row>
    <row r="431" spans="3:73" ht="25" customHeight="1" x14ac:dyDescent="0.2"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</row>
    <row r="432" spans="3:73" ht="25" customHeight="1" x14ac:dyDescent="0.2"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</row>
    <row r="433" spans="3:73" ht="25" customHeight="1" x14ac:dyDescent="0.2"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</row>
    <row r="434" spans="3:73" ht="25" customHeight="1" x14ac:dyDescent="0.2"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</row>
    <row r="435" spans="3:73" ht="25" customHeight="1" x14ac:dyDescent="0.2"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</row>
    <row r="436" spans="3:73" ht="25" customHeight="1" x14ac:dyDescent="0.2"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</row>
    <row r="437" spans="3:73" ht="25" customHeight="1" x14ac:dyDescent="0.2"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</row>
    <row r="438" spans="3:73" ht="25" customHeight="1" x14ac:dyDescent="0.2"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</row>
    <row r="439" spans="3:73" ht="25" customHeight="1" x14ac:dyDescent="0.2"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</row>
    <row r="440" spans="3:73" ht="25" customHeight="1" x14ac:dyDescent="0.2"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</row>
    <row r="441" spans="3:73" ht="25" customHeight="1" x14ac:dyDescent="0.2"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</row>
    <row r="442" spans="3:73" ht="25" customHeight="1" x14ac:dyDescent="0.2"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</row>
    <row r="443" spans="3:73" ht="25" customHeight="1" x14ac:dyDescent="0.2"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</row>
    <row r="444" spans="3:73" ht="25" customHeight="1" x14ac:dyDescent="0.2"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</row>
    <row r="445" spans="3:73" ht="25" customHeight="1" x14ac:dyDescent="0.2"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</row>
    <row r="446" spans="3:73" ht="25" customHeight="1" x14ac:dyDescent="0.2"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</row>
    <row r="447" spans="3:73" ht="25" customHeight="1" x14ac:dyDescent="0.2"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</row>
    <row r="448" spans="3:73" ht="25" customHeight="1" x14ac:dyDescent="0.2"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</row>
    <row r="449" spans="3:73" ht="25" customHeight="1" x14ac:dyDescent="0.2"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</row>
    <row r="450" spans="3:73" ht="25" customHeight="1" x14ac:dyDescent="0.2"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</row>
    <row r="451" spans="3:73" ht="25" customHeight="1" x14ac:dyDescent="0.2"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</row>
    <row r="452" spans="3:73" ht="25" customHeight="1" x14ac:dyDescent="0.2"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</row>
    <row r="453" spans="3:73" ht="25" customHeight="1" x14ac:dyDescent="0.2"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</row>
    <row r="454" spans="3:73" ht="25" customHeight="1" x14ac:dyDescent="0.2"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</row>
    <row r="455" spans="3:73" ht="25" customHeight="1" x14ac:dyDescent="0.2"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</row>
    <row r="456" spans="3:73" ht="25" customHeight="1" x14ac:dyDescent="0.2"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</row>
    <row r="457" spans="3:73" ht="25" customHeight="1" x14ac:dyDescent="0.2"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</row>
    <row r="458" spans="3:73" ht="25" customHeight="1" x14ac:dyDescent="0.2"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</row>
    <row r="459" spans="3:73" ht="25" customHeight="1" x14ac:dyDescent="0.2"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</row>
    <row r="460" spans="3:73" ht="25" customHeight="1" x14ac:dyDescent="0.2"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</row>
    <row r="461" spans="3:73" ht="25" customHeight="1" x14ac:dyDescent="0.2"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</row>
    <row r="462" spans="3:73" ht="25" customHeight="1" x14ac:dyDescent="0.2"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</row>
    <row r="463" spans="3:73" ht="25" customHeight="1" x14ac:dyDescent="0.2"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</row>
    <row r="464" spans="3:73" ht="25" customHeight="1" x14ac:dyDescent="0.2"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</row>
    <row r="465" spans="3:73" ht="25" customHeight="1" x14ac:dyDescent="0.2"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</row>
    <row r="466" spans="3:73" ht="25" customHeight="1" x14ac:dyDescent="0.2"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</row>
    <row r="467" spans="3:73" ht="25" customHeight="1" x14ac:dyDescent="0.2"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</row>
    <row r="468" spans="3:73" ht="25" customHeight="1" x14ac:dyDescent="0.2"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</row>
    <row r="469" spans="3:73" ht="25" customHeight="1" x14ac:dyDescent="0.2"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</row>
    <row r="470" spans="3:73" ht="25" customHeight="1" x14ac:dyDescent="0.2"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</row>
    <row r="471" spans="3:73" ht="25" customHeight="1" x14ac:dyDescent="0.2"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</row>
    <row r="472" spans="3:73" ht="25" customHeight="1" x14ac:dyDescent="0.2"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</row>
    <row r="473" spans="3:73" ht="25" customHeight="1" x14ac:dyDescent="0.2"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</row>
    <row r="474" spans="3:73" ht="25" customHeight="1" x14ac:dyDescent="0.2"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</row>
    <row r="475" spans="3:73" ht="25" customHeight="1" x14ac:dyDescent="0.2"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</row>
    <row r="476" spans="3:73" ht="25" customHeight="1" x14ac:dyDescent="0.2"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</row>
    <row r="477" spans="3:73" ht="25" customHeight="1" x14ac:dyDescent="0.2"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</row>
    <row r="478" spans="3:73" ht="25" customHeight="1" x14ac:dyDescent="0.2"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</row>
    <row r="479" spans="3:73" ht="25" customHeight="1" x14ac:dyDescent="0.2"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</row>
    <row r="480" spans="3:73" ht="25" customHeight="1" x14ac:dyDescent="0.2"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</row>
    <row r="481" spans="3:73" ht="25" customHeight="1" x14ac:dyDescent="0.2"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</row>
    <row r="482" spans="3:73" ht="25" customHeight="1" x14ac:dyDescent="0.2"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</row>
    <row r="483" spans="3:73" ht="25" customHeight="1" x14ac:dyDescent="0.2"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</row>
    <row r="484" spans="3:73" ht="25" customHeight="1" x14ac:dyDescent="0.2"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</row>
    <row r="485" spans="3:73" ht="25" customHeight="1" x14ac:dyDescent="0.2"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</row>
    <row r="486" spans="3:73" ht="25" customHeight="1" x14ac:dyDescent="0.2"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</row>
    <row r="487" spans="3:73" ht="25" customHeight="1" x14ac:dyDescent="0.2"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</row>
    <row r="488" spans="3:73" ht="25" customHeight="1" x14ac:dyDescent="0.2"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</row>
    <row r="489" spans="3:73" ht="25" customHeight="1" x14ac:dyDescent="0.2"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</row>
    <row r="490" spans="3:73" ht="25" customHeight="1" x14ac:dyDescent="0.2"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</row>
    <row r="491" spans="3:73" ht="25" customHeight="1" x14ac:dyDescent="0.2"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</row>
    <row r="492" spans="3:73" ht="25" customHeight="1" x14ac:dyDescent="0.2"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</row>
    <row r="493" spans="3:73" ht="25" customHeight="1" x14ac:dyDescent="0.2"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</row>
    <row r="494" spans="3:73" ht="25" customHeight="1" x14ac:dyDescent="0.2"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</row>
    <row r="495" spans="3:73" ht="25" customHeight="1" x14ac:dyDescent="0.2"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</row>
    <row r="496" spans="3:73" ht="25" customHeight="1" x14ac:dyDescent="0.2"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</row>
    <row r="497" spans="3:73" ht="25" customHeight="1" x14ac:dyDescent="0.2"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</row>
    <row r="498" spans="3:73" ht="25" customHeight="1" x14ac:dyDescent="0.2"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</row>
    <row r="499" spans="3:73" ht="25" customHeight="1" x14ac:dyDescent="0.2"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</row>
    <row r="500" spans="3:73" ht="25" customHeight="1" x14ac:dyDescent="0.2"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</row>
    <row r="501" spans="3:73" ht="25" customHeight="1" x14ac:dyDescent="0.2"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</row>
    <row r="502" spans="3:73" ht="25" customHeight="1" x14ac:dyDescent="0.2"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</row>
    <row r="503" spans="3:73" ht="25" customHeight="1" x14ac:dyDescent="0.2"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</row>
    <row r="504" spans="3:73" ht="25" customHeight="1" x14ac:dyDescent="0.2"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</row>
    <row r="505" spans="3:73" ht="25" customHeight="1" x14ac:dyDescent="0.2"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</row>
    <row r="506" spans="3:73" ht="25" customHeight="1" x14ac:dyDescent="0.2"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</row>
    <row r="507" spans="3:73" ht="25" customHeight="1" x14ac:dyDescent="0.2"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</row>
    <row r="508" spans="3:73" ht="25" customHeight="1" x14ac:dyDescent="0.2"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</row>
    <row r="509" spans="3:73" ht="25" customHeight="1" x14ac:dyDescent="0.2"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</row>
    <row r="510" spans="3:73" ht="25" customHeight="1" x14ac:dyDescent="0.2"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</row>
    <row r="511" spans="3:73" ht="25" customHeight="1" x14ac:dyDescent="0.2"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</row>
  </sheetData>
  <pageMargins left="0.7" right="0.7" top="0.75" bottom="0.75" header="0.3" footer="0.3"/>
  <pageSetup paperSize="14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5</vt:i4>
      </vt:variant>
    </vt:vector>
  </HeadingPairs>
  <TitlesOfParts>
    <vt:vector size="5" baseType="lpstr">
      <vt:lpstr>LAUT</vt:lpstr>
      <vt:lpstr>PUD</vt:lpstr>
      <vt:lpstr>LAUT (2) FIX</vt:lpstr>
      <vt:lpstr>PUD (2) FIX</vt:lpstr>
      <vt:lpstr>LAUT (2) FIX COPY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psdi3 psdi3</dc:creator>
  <cp:lastModifiedBy>psdi3 psdi3</cp:lastModifiedBy>
  <dcterms:created xsi:type="dcterms:W3CDTF">2025-12-15T01:43:34Z</dcterms:created>
  <dcterms:modified xsi:type="dcterms:W3CDTF">2026-01-29T08:51:48Z</dcterms:modified>
</cp:coreProperties>
</file>