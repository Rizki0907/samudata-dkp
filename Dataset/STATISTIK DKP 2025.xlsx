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\STATISTIK\"/>
    </mc:Choice>
  </mc:AlternateContent>
  <xr:revisionPtr revIDLastSave="0" documentId="13_ncr:1_{00B3B33F-5050-4C15-BB50-824B9844A714}" xr6:coauthVersionLast="47" xr6:coauthVersionMax="47" xr10:uidLastSave="{00000000-0000-0000-0000-000000000000}"/>
  <bookViews>
    <workbookView xWindow="9530" yWindow="80" windowWidth="9670" windowHeight="10000" tabRatio="594" activeTab="1" xr2:uid="{8DF339D5-F56F-405F-B87A-91AAB9051787}"/>
  </bookViews>
  <sheets>
    <sheet name="BUDIDAYA" sheetId="1" r:id="rId1"/>
    <sheet name="TANGKAP" sheetId="2" r:id="rId2"/>
    <sheet name="GARAM" sheetId="5" r:id="rId3"/>
    <sheet name="EKSPOR" sheetId="6" state="hidden" r:id="rId4"/>
    <sheet name="TRIWULAN" sheetId="3" r:id="rId5"/>
    <sheet name="SERIE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2" i="1" l="1"/>
  <c r="S315" i="1"/>
  <c r="S299" i="1"/>
  <c r="S298" i="1"/>
  <c r="S297" i="1"/>
  <c r="S294" i="1"/>
  <c r="S291" i="1"/>
  <c r="S290" i="1"/>
  <c r="S288" i="1"/>
  <c r="S287" i="1"/>
  <c r="S281" i="1"/>
  <c r="S280" i="1"/>
  <c r="S279" i="1"/>
  <c r="S268" i="1"/>
  <c r="S262" i="1"/>
  <c r="S258" i="1"/>
  <c r="S244" i="1"/>
  <c r="S236" i="1"/>
  <c r="S235" i="1"/>
  <c r="S221" i="1"/>
  <c r="S219" i="1"/>
  <c r="S215" i="1"/>
  <c r="S198" i="1"/>
  <c r="S195" i="1"/>
  <c r="S194" i="1"/>
  <c r="S193" i="1"/>
  <c r="S186" i="1"/>
  <c r="S185" i="1"/>
  <c r="S184" i="1"/>
  <c r="S183" i="1"/>
  <c r="S182" i="1"/>
  <c r="S181" i="1"/>
  <c r="S180" i="1"/>
  <c r="S179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3" i="1"/>
  <c r="S142" i="1"/>
  <c r="S141" i="1"/>
  <c r="S134" i="1"/>
  <c r="S133" i="1"/>
  <c r="S132" i="1"/>
  <c r="S131" i="1"/>
  <c r="S130" i="1"/>
  <c r="S129" i="1"/>
  <c r="S128" i="1"/>
  <c r="S127" i="1"/>
  <c r="S125" i="1"/>
  <c r="S124" i="1"/>
  <c r="S123" i="1"/>
  <c r="S119" i="1"/>
  <c r="S116" i="1"/>
  <c r="S115" i="1"/>
  <c r="S112" i="1"/>
  <c r="S111" i="1"/>
  <c r="S108" i="1"/>
  <c r="S107" i="1"/>
  <c r="S106" i="1"/>
  <c r="S89" i="1"/>
  <c r="S88" i="1"/>
  <c r="S87" i="1"/>
  <c r="S86" i="1"/>
  <c r="S83" i="1"/>
  <c r="S67" i="1"/>
  <c r="S63" i="1"/>
  <c r="R315" i="1"/>
  <c r="R299" i="1"/>
  <c r="R298" i="1"/>
  <c r="R297" i="1"/>
  <c r="R294" i="1"/>
  <c r="R292" i="1"/>
  <c r="R291" i="1"/>
  <c r="R290" i="1"/>
  <c r="R288" i="1"/>
  <c r="R287" i="1"/>
  <c r="R281" i="1"/>
  <c r="R280" i="1"/>
  <c r="R279" i="1"/>
  <c r="R268" i="1"/>
  <c r="R262" i="1"/>
  <c r="R258" i="1"/>
  <c r="R244" i="1"/>
  <c r="R236" i="1"/>
  <c r="R235" i="1"/>
  <c r="R221" i="1"/>
  <c r="R219" i="1"/>
  <c r="R198" i="1"/>
  <c r="R195" i="1"/>
  <c r="R194" i="1"/>
  <c r="R193" i="1"/>
  <c r="R186" i="1"/>
  <c r="R185" i="1"/>
  <c r="R184" i="1"/>
  <c r="R183" i="1"/>
  <c r="R182" i="1"/>
  <c r="R181" i="1"/>
  <c r="R180" i="1"/>
  <c r="R179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3" i="1"/>
  <c r="R142" i="1"/>
  <c r="R141" i="1"/>
  <c r="R133" i="1"/>
  <c r="R132" i="1"/>
  <c r="R131" i="1"/>
  <c r="R130" i="1"/>
  <c r="R129" i="1"/>
  <c r="R128" i="1"/>
  <c r="R127" i="1"/>
  <c r="R125" i="1"/>
  <c r="R124" i="1"/>
  <c r="R123" i="1"/>
  <c r="R119" i="1"/>
  <c r="R116" i="1"/>
  <c r="R115" i="1"/>
  <c r="R112" i="1"/>
  <c r="R111" i="1"/>
  <c r="R108" i="1"/>
  <c r="R107" i="1"/>
  <c r="R106" i="1"/>
  <c r="R89" i="1"/>
  <c r="R88" i="1"/>
  <c r="R87" i="1"/>
  <c r="R86" i="1"/>
  <c r="R83" i="1"/>
  <c r="R67" i="1"/>
  <c r="R63" i="1"/>
  <c r="Q315" i="1"/>
  <c r="Q299" i="1"/>
  <c r="Q298" i="1"/>
  <c r="Q297" i="1"/>
  <c r="Q294" i="1"/>
  <c r="Q291" i="1"/>
  <c r="Q290" i="1"/>
  <c r="Q288" i="1"/>
  <c r="Q287" i="1"/>
  <c r="Q281" i="1"/>
  <c r="Q280" i="1"/>
  <c r="Q279" i="1"/>
  <c r="Q268" i="1"/>
  <c r="Q262" i="1"/>
  <c r="Q258" i="1"/>
  <c r="Q244" i="1"/>
  <c r="Q236" i="1"/>
  <c r="Q235" i="1"/>
  <c r="Q221" i="1"/>
  <c r="Q219" i="1"/>
  <c r="Q198" i="1"/>
  <c r="Q195" i="1"/>
  <c r="Q194" i="1"/>
  <c r="Q193" i="1"/>
  <c r="Q186" i="1"/>
  <c r="Q185" i="1"/>
  <c r="Q184" i="1"/>
  <c r="Q183" i="1"/>
  <c r="Q182" i="1"/>
  <c r="Q181" i="1"/>
  <c r="Q180" i="1"/>
  <c r="Q179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3" i="1"/>
  <c r="Q142" i="1"/>
  <c r="Q141" i="1"/>
  <c r="Q133" i="1"/>
  <c r="Q132" i="1"/>
  <c r="Q131" i="1"/>
  <c r="Q130" i="1"/>
  <c r="Q129" i="1"/>
  <c r="Q128" i="1"/>
  <c r="Q127" i="1"/>
  <c r="Q125" i="1"/>
  <c r="Q124" i="1"/>
  <c r="Q123" i="1"/>
  <c r="Q119" i="1"/>
  <c r="Q116" i="1"/>
  <c r="Q115" i="1"/>
  <c r="Q112" i="1"/>
  <c r="Q111" i="1"/>
  <c r="Q108" i="1"/>
  <c r="Q107" i="1"/>
  <c r="Q106" i="1"/>
  <c r="Q88" i="1"/>
  <c r="Q87" i="1"/>
  <c r="Q86" i="1"/>
  <c r="Q83" i="1"/>
  <c r="Q67" i="1"/>
  <c r="Q63" i="1"/>
  <c r="O315" i="1"/>
  <c r="O299" i="1"/>
  <c r="O298" i="1"/>
  <c r="O297" i="1"/>
  <c r="O294" i="1"/>
  <c r="O291" i="1"/>
  <c r="O290" i="1"/>
  <c r="O288" i="1"/>
  <c r="O287" i="1"/>
  <c r="O281" i="1"/>
  <c r="O280" i="1"/>
  <c r="O279" i="1"/>
  <c r="O268" i="1"/>
  <c r="O262" i="1"/>
  <c r="O258" i="1"/>
  <c r="O244" i="1"/>
  <c r="O236" i="1"/>
  <c r="O235" i="1"/>
  <c r="O221" i="1"/>
  <c r="O219" i="1"/>
  <c r="O198" i="1"/>
  <c r="O195" i="1"/>
  <c r="O194" i="1"/>
  <c r="O193" i="1"/>
  <c r="O186" i="1"/>
  <c r="O185" i="1"/>
  <c r="O184" i="1"/>
  <c r="O183" i="1"/>
  <c r="O182" i="1"/>
  <c r="O181" i="1"/>
  <c r="O180" i="1"/>
  <c r="O179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3" i="1"/>
  <c r="O142" i="1"/>
  <c r="O141" i="1"/>
  <c r="O133" i="1"/>
  <c r="O132" i="1"/>
  <c r="O131" i="1"/>
  <c r="O130" i="1"/>
  <c r="O129" i="1"/>
  <c r="O128" i="1"/>
  <c r="O127" i="1"/>
  <c r="O125" i="1"/>
  <c r="O124" i="1"/>
  <c r="O123" i="1"/>
  <c r="O119" i="1"/>
  <c r="O116" i="1"/>
  <c r="O115" i="1"/>
  <c r="O112" i="1"/>
  <c r="O111" i="1"/>
  <c r="O108" i="1"/>
  <c r="O107" i="1"/>
  <c r="O106" i="1"/>
  <c r="O89" i="1"/>
  <c r="O88" i="1"/>
  <c r="O87" i="1"/>
  <c r="O86" i="1"/>
  <c r="O83" i="1"/>
  <c r="O67" i="1"/>
  <c r="O63" i="1"/>
  <c r="N315" i="1"/>
  <c r="N299" i="1"/>
  <c r="N298" i="1"/>
  <c r="N297" i="1"/>
  <c r="N294" i="1"/>
  <c r="N291" i="1"/>
  <c r="N290" i="1"/>
  <c r="N288" i="1"/>
  <c r="N287" i="1"/>
  <c r="N281" i="1"/>
  <c r="N280" i="1"/>
  <c r="N279" i="1"/>
  <c r="N268" i="1"/>
  <c r="N262" i="1"/>
  <c r="N258" i="1"/>
  <c r="N249" i="1"/>
  <c r="N244" i="1"/>
  <c r="N236" i="1"/>
  <c r="N235" i="1"/>
  <c r="N221" i="1"/>
  <c r="N219" i="1"/>
  <c r="N198" i="1"/>
  <c r="N195" i="1"/>
  <c r="N194" i="1"/>
  <c r="N193" i="1"/>
  <c r="N186" i="1"/>
  <c r="N185" i="1"/>
  <c r="N184" i="1"/>
  <c r="N183" i="1"/>
  <c r="N182" i="1"/>
  <c r="N181" i="1"/>
  <c r="N180" i="1"/>
  <c r="N179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3" i="1"/>
  <c r="N142" i="1"/>
  <c r="N141" i="1"/>
  <c r="N133" i="1"/>
  <c r="N132" i="1"/>
  <c r="N131" i="1"/>
  <c r="N130" i="1"/>
  <c r="N129" i="1"/>
  <c r="N128" i="1"/>
  <c r="N127" i="1"/>
  <c r="N125" i="1"/>
  <c r="N124" i="1"/>
  <c r="N123" i="1"/>
  <c r="N119" i="1"/>
  <c r="N116" i="1"/>
  <c r="N115" i="1"/>
  <c r="N112" i="1"/>
  <c r="N111" i="1"/>
  <c r="N108" i="1"/>
  <c r="N107" i="1"/>
  <c r="N106" i="1"/>
  <c r="N88" i="1"/>
  <c r="N87" i="1"/>
  <c r="N86" i="1"/>
  <c r="N83" i="1"/>
  <c r="N67" i="1"/>
  <c r="N63" i="1"/>
  <c r="M315" i="1"/>
  <c r="M299" i="1"/>
  <c r="M298" i="1"/>
  <c r="M297" i="1"/>
  <c r="M294" i="1"/>
  <c r="M291" i="1"/>
  <c r="M290" i="1"/>
  <c r="M288" i="1"/>
  <c r="M287" i="1"/>
  <c r="M281" i="1"/>
  <c r="M280" i="1"/>
  <c r="M279" i="1"/>
  <c r="M268" i="1"/>
  <c r="M262" i="1"/>
  <c r="M258" i="1"/>
  <c r="M244" i="1"/>
  <c r="M236" i="1"/>
  <c r="M235" i="1"/>
  <c r="M221" i="1"/>
  <c r="M219" i="1"/>
  <c r="M198" i="1"/>
  <c r="M195" i="1"/>
  <c r="M194" i="1"/>
  <c r="M193" i="1"/>
  <c r="M186" i="1"/>
  <c r="M185" i="1"/>
  <c r="M184" i="1"/>
  <c r="M183" i="1"/>
  <c r="M182" i="1"/>
  <c r="M181" i="1"/>
  <c r="M180" i="1"/>
  <c r="M179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3" i="1"/>
  <c r="M141" i="1"/>
  <c r="M133" i="1"/>
  <c r="M132" i="1"/>
  <c r="M131" i="1"/>
  <c r="M130" i="1"/>
  <c r="M129" i="1"/>
  <c r="M128" i="1"/>
  <c r="M127" i="1"/>
  <c r="M125" i="1"/>
  <c r="M124" i="1"/>
  <c r="M123" i="1"/>
  <c r="M119" i="1"/>
  <c r="M116" i="1"/>
  <c r="M115" i="1"/>
  <c r="M112" i="1"/>
  <c r="M111" i="1"/>
  <c r="M108" i="1"/>
  <c r="M107" i="1"/>
  <c r="M106" i="1"/>
  <c r="M88" i="1"/>
  <c r="M87" i="1"/>
  <c r="M86" i="1"/>
  <c r="M83" i="1"/>
  <c r="M67" i="1"/>
  <c r="M63" i="1"/>
  <c r="K315" i="1"/>
  <c r="K299" i="1"/>
  <c r="K298" i="1"/>
  <c r="K297" i="1"/>
  <c r="K294" i="1"/>
  <c r="K292" i="1"/>
  <c r="K291" i="1"/>
  <c r="K290" i="1"/>
  <c r="K288" i="1"/>
  <c r="K287" i="1"/>
  <c r="K281" i="1"/>
  <c r="K280" i="1"/>
  <c r="K279" i="1"/>
  <c r="K268" i="1"/>
  <c r="K262" i="1"/>
  <c r="K258" i="1"/>
  <c r="K244" i="1"/>
  <c r="K236" i="1"/>
  <c r="K235" i="1"/>
  <c r="K221" i="1"/>
  <c r="K219" i="1"/>
  <c r="K198" i="1"/>
  <c r="K195" i="1"/>
  <c r="K194" i="1"/>
  <c r="K193" i="1"/>
  <c r="K186" i="1"/>
  <c r="K185" i="1"/>
  <c r="K184" i="1"/>
  <c r="K183" i="1"/>
  <c r="K182" i="1"/>
  <c r="K181" i="1"/>
  <c r="K180" i="1"/>
  <c r="K179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3" i="1"/>
  <c r="K142" i="1"/>
  <c r="K141" i="1"/>
  <c r="K134" i="1"/>
  <c r="K133" i="1"/>
  <c r="K132" i="1"/>
  <c r="K131" i="1"/>
  <c r="K130" i="1"/>
  <c r="K129" i="1"/>
  <c r="K128" i="1"/>
  <c r="K127" i="1"/>
  <c r="K125" i="1"/>
  <c r="K124" i="1"/>
  <c r="K123" i="1"/>
  <c r="K119" i="1"/>
  <c r="K116" i="1"/>
  <c r="K115" i="1"/>
  <c r="K112" i="1"/>
  <c r="K111" i="1"/>
  <c r="K108" i="1"/>
  <c r="K107" i="1"/>
  <c r="K106" i="1"/>
  <c r="K88" i="1"/>
  <c r="K87" i="1"/>
  <c r="K86" i="1"/>
  <c r="K83" i="1"/>
  <c r="K67" i="1"/>
  <c r="K63" i="1"/>
  <c r="J89" i="1"/>
  <c r="J88" i="1"/>
  <c r="J87" i="1"/>
  <c r="J86" i="1"/>
  <c r="J83" i="1"/>
  <c r="J67" i="1"/>
  <c r="J63" i="1"/>
  <c r="J143" i="1"/>
  <c r="J142" i="1"/>
  <c r="J141" i="1"/>
  <c r="J133" i="1"/>
  <c r="J132" i="1"/>
  <c r="J131" i="1"/>
  <c r="J130" i="1"/>
  <c r="J129" i="1"/>
  <c r="J128" i="1"/>
  <c r="J127" i="1"/>
  <c r="J125" i="1"/>
  <c r="J124" i="1"/>
  <c r="J123" i="1"/>
  <c r="J119" i="1"/>
  <c r="J116" i="1"/>
  <c r="J115" i="1"/>
  <c r="J112" i="1"/>
  <c r="J111" i="1"/>
  <c r="J108" i="1"/>
  <c r="J107" i="1"/>
  <c r="J106" i="1"/>
  <c r="J186" i="1"/>
  <c r="J185" i="1"/>
  <c r="J184" i="1"/>
  <c r="J183" i="1"/>
  <c r="J182" i="1"/>
  <c r="J181" i="1"/>
  <c r="J180" i="1"/>
  <c r="J179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93" i="1"/>
  <c r="J194" i="1"/>
  <c r="J195" i="1"/>
  <c r="J198" i="1"/>
  <c r="J215" i="1"/>
  <c r="J219" i="1"/>
  <c r="J221" i="1"/>
  <c r="J268" i="1"/>
  <c r="J262" i="1"/>
  <c r="J258" i="1"/>
  <c r="J244" i="1"/>
  <c r="J236" i="1"/>
  <c r="J235" i="1"/>
  <c r="J315" i="1"/>
  <c r="J299" i="1"/>
  <c r="J298" i="1"/>
  <c r="J297" i="1"/>
  <c r="J294" i="1"/>
  <c r="J291" i="1"/>
  <c r="J290" i="1"/>
  <c r="J288" i="1"/>
  <c r="J287" i="1"/>
  <c r="J281" i="1"/>
  <c r="J280" i="1"/>
  <c r="J279" i="1"/>
  <c r="I315" i="1"/>
  <c r="I299" i="1"/>
  <c r="I298" i="1"/>
  <c r="I297" i="1"/>
  <c r="I294" i="1"/>
  <c r="I291" i="1"/>
  <c r="I290" i="1"/>
  <c r="I288" i="1"/>
  <c r="I287" i="1"/>
  <c r="I281" i="1"/>
  <c r="I280" i="1"/>
  <c r="I279" i="1"/>
  <c r="I268" i="1"/>
  <c r="I262" i="1"/>
  <c r="I258" i="1"/>
  <c r="I249" i="1"/>
  <c r="I244" i="1"/>
  <c r="I236" i="1"/>
  <c r="I235" i="1"/>
  <c r="I221" i="1"/>
  <c r="I219" i="1"/>
  <c r="I198" i="1"/>
  <c r="I195" i="1"/>
  <c r="I194" i="1"/>
  <c r="I193" i="1"/>
  <c r="I186" i="1"/>
  <c r="I185" i="1"/>
  <c r="I184" i="1"/>
  <c r="I183" i="1"/>
  <c r="I182" i="1"/>
  <c r="I181" i="1"/>
  <c r="I180" i="1"/>
  <c r="I179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3" i="1"/>
  <c r="I142" i="1"/>
  <c r="I141" i="1"/>
  <c r="I133" i="1"/>
  <c r="I132" i="1"/>
  <c r="I131" i="1"/>
  <c r="I130" i="1"/>
  <c r="I129" i="1"/>
  <c r="I128" i="1"/>
  <c r="I127" i="1"/>
  <c r="I125" i="1"/>
  <c r="I124" i="1"/>
  <c r="I123" i="1"/>
  <c r="I119" i="1"/>
  <c r="I116" i="1"/>
  <c r="I115" i="1"/>
  <c r="I112" i="1"/>
  <c r="I111" i="1"/>
  <c r="I108" i="1"/>
  <c r="I107" i="1"/>
  <c r="I106" i="1"/>
  <c r="I88" i="1"/>
  <c r="I87" i="1"/>
  <c r="I86" i="1"/>
  <c r="I83" i="1"/>
  <c r="I67" i="1"/>
  <c r="I63" i="1"/>
  <c r="G315" i="1"/>
  <c r="G299" i="1"/>
  <c r="G298" i="1"/>
  <c r="G297" i="1"/>
  <c r="G294" i="1"/>
  <c r="G291" i="1"/>
  <c r="G290" i="1"/>
  <c r="G288" i="1"/>
  <c r="G287" i="1"/>
  <c r="G281" i="1"/>
  <c r="G280" i="1"/>
  <c r="G279" i="1"/>
  <c r="G268" i="1"/>
  <c r="G262" i="1"/>
  <c r="G258" i="1"/>
  <c r="G244" i="1"/>
  <c r="G236" i="1"/>
  <c r="G235" i="1"/>
  <c r="G221" i="1"/>
  <c r="G219" i="1"/>
  <c r="G198" i="1"/>
  <c r="G195" i="1"/>
  <c r="G194" i="1"/>
  <c r="G193" i="1"/>
  <c r="G186" i="1"/>
  <c r="G185" i="1"/>
  <c r="G184" i="1"/>
  <c r="G183" i="1"/>
  <c r="G182" i="1"/>
  <c r="G181" i="1"/>
  <c r="G180" i="1"/>
  <c r="G179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3" i="1"/>
  <c r="G142" i="1"/>
  <c r="G141" i="1"/>
  <c r="G133" i="1"/>
  <c r="G132" i="1"/>
  <c r="G131" i="1"/>
  <c r="G130" i="1"/>
  <c r="G129" i="1"/>
  <c r="G128" i="1"/>
  <c r="G127" i="1"/>
  <c r="G125" i="1"/>
  <c r="G124" i="1"/>
  <c r="G123" i="1"/>
  <c r="G119" i="1"/>
  <c r="G116" i="1"/>
  <c r="G115" i="1"/>
  <c r="G112" i="1"/>
  <c r="G111" i="1"/>
  <c r="G108" i="1"/>
  <c r="G107" i="1"/>
  <c r="G106" i="1"/>
  <c r="G88" i="1"/>
  <c r="G87" i="1"/>
  <c r="G86" i="1"/>
  <c r="G83" i="1"/>
  <c r="G67" i="1"/>
  <c r="G63" i="1"/>
  <c r="F315" i="1"/>
  <c r="F299" i="1"/>
  <c r="F298" i="1"/>
  <c r="F297" i="1"/>
  <c r="F294" i="1"/>
  <c r="F291" i="1"/>
  <c r="F290" i="1"/>
  <c r="F288" i="1"/>
  <c r="F287" i="1"/>
  <c r="F281" i="1"/>
  <c r="F280" i="1"/>
  <c r="F279" i="1"/>
  <c r="F268" i="1"/>
  <c r="F262" i="1"/>
  <c r="F258" i="1"/>
  <c r="F249" i="1"/>
  <c r="F244" i="1"/>
  <c r="F236" i="1"/>
  <c r="F235" i="1"/>
  <c r="F221" i="1"/>
  <c r="F219" i="1"/>
  <c r="F198" i="1"/>
  <c r="F195" i="1"/>
  <c r="F194" i="1"/>
  <c r="F193" i="1"/>
  <c r="F186" i="1"/>
  <c r="F185" i="1"/>
  <c r="F184" i="1"/>
  <c r="F183" i="1"/>
  <c r="F182" i="1"/>
  <c r="F181" i="1"/>
  <c r="F180" i="1"/>
  <c r="F179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3" i="1"/>
  <c r="F142" i="1"/>
  <c r="F141" i="1"/>
  <c r="F133" i="1"/>
  <c r="F132" i="1"/>
  <c r="F131" i="1"/>
  <c r="F130" i="1"/>
  <c r="F129" i="1"/>
  <c r="F128" i="1"/>
  <c r="F127" i="1"/>
  <c r="F125" i="1"/>
  <c r="F124" i="1"/>
  <c r="F123" i="1"/>
  <c r="F119" i="1"/>
  <c r="F116" i="1"/>
  <c r="F115" i="1"/>
  <c r="F112" i="1"/>
  <c r="F111" i="1"/>
  <c r="F108" i="1"/>
  <c r="F107" i="1"/>
  <c r="F106" i="1"/>
  <c r="F89" i="1"/>
  <c r="F88" i="1"/>
  <c r="F87" i="1"/>
  <c r="F86" i="1"/>
  <c r="F83" i="1"/>
  <c r="F67" i="1"/>
  <c r="F63" i="1"/>
  <c r="E315" i="1"/>
  <c r="E299" i="1"/>
  <c r="E298" i="1"/>
  <c r="E297" i="1"/>
  <c r="E294" i="1"/>
  <c r="E291" i="1"/>
  <c r="E290" i="1"/>
  <c r="E288" i="1"/>
  <c r="E287" i="1"/>
  <c r="E281" i="1"/>
  <c r="E280" i="1"/>
  <c r="E279" i="1"/>
  <c r="E268" i="1"/>
  <c r="E262" i="1"/>
  <c r="E258" i="1"/>
  <c r="E244" i="1"/>
  <c r="E236" i="1"/>
  <c r="E235" i="1"/>
  <c r="E221" i="1"/>
  <c r="E219" i="1"/>
  <c r="E198" i="1"/>
  <c r="E195" i="1"/>
  <c r="E194" i="1"/>
  <c r="E193" i="1"/>
  <c r="E186" i="1"/>
  <c r="E185" i="1"/>
  <c r="E184" i="1"/>
  <c r="E183" i="1"/>
  <c r="E182" i="1"/>
  <c r="E181" i="1"/>
  <c r="E180" i="1"/>
  <c r="E179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3" i="1"/>
  <c r="E142" i="1"/>
  <c r="E141" i="1"/>
  <c r="E133" i="1"/>
  <c r="E132" i="1"/>
  <c r="E131" i="1"/>
  <c r="E130" i="1"/>
  <c r="E129" i="1"/>
  <c r="E128" i="1"/>
  <c r="E127" i="1"/>
  <c r="E125" i="1"/>
  <c r="E124" i="1"/>
  <c r="E123" i="1"/>
  <c r="E119" i="1"/>
  <c r="E116" i="1"/>
  <c r="E115" i="1"/>
  <c r="E112" i="1"/>
  <c r="E111" i="1"/>
  <c r="E108" i="1"/>
  <c r="E107" i="1"/>
  <c r="E106" i="1"/>
  <c r="E88" i="1"/>
  <c r="E87" i="1"/>
  <c r="E86" i="1"/>
  <c r="E83" i="1"/>
  <c r="E67" i="1"/>
  <c r="E63" i="1"/>
  <c r="G58" i="2" l="1"/>
  <c r="G102" i="2" l="1"/>
  <c r="D20" i="4" l="1"/>
  <c r="D21" i="4"/>
  <c r="D36" i="4"/>
  <c r="D37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5" i="4"/>
  <c r="H6" i="4"/>
  <c r="H7" i="4"/>
  <c r="H4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8" i="4"/>
  <c r="D39" i="4"/>
  <c r="D40" i="4"/>
  <c r="D41" i="4"/>
  <c r="D42" i="4"/>
  <c r="S4" i="4"/>
  <c r="R4" i="4"/>
  <c r="Q4" i="4"/>
  <c r="O4" i="4"/>
  <c r="N4" i="4"/>
  <c r="M4" i="4"/>
  <c r="L4" i="4" s="1"/>
  <c r="I4" i="4"/>
  <c r="K4" i="4"/>
  <c r="J4" i="4"/>
  <c r="G4" i="4"/>
  <c r="G135" i="3"/>
  <c r="G139" i="3"/>
  <c r="G147" i="3"/>
  <c r="G163" i="3"/>
  <c r="G166" i="3"/>
  <c r="G167" i="3"/>
  <c r="F132" i="3"/>
  <c r="F133" i="3"/>
  <c r="E163" i="3"/>
  <c r="E166" i="3"/>
  <c r="E167" i="3"/>
  <c r="E131" i="3"/>
  <c r="A132" i="3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K17" i="3"/>
  <c r="Q17" i="3"/>
  <c r="S17" i="3"/>
  <c r="T44" i="5"/>
  <c r="H168" i="3" s="1"/>
  <c r="P44" i="5"/>
  <c r="G168" i="3" s="1"/>
  <c r="L44" i="5"/>
  <c r="F168" i="3" s="1"/>
  <c r="H44" i="5"/>
  <c r="T43" i="5"/>
  <c r="H167" i="3" s="1"/>
  <c r="P43" i="5"/>
  <c r="L43" i="5"/>
  <c r="F167" i="3" s="1"/>
  <c r="H43" i="5"/>
  <c r="T42" i="5"/>
  <c r="H166" i="3" s="1"/>
  <c r="P42" i="5"/>
  <c r="L42" i="5"/>
  <c r="F166" i="3" s="1"/>
  <c r="H42" i="5"/>
  <c r="T41" i="5"/>
  <c r="H165" i="3" s="1"/>
  <c r="P41" i="5"/>
  <c r="G165" i="3" s="1"/>
  <c r="L41" i="5"/>
  <c r="F165" i="3" s="1"/>
  <c r="H41" i="5"/>
  <c r="T40" i="5"/>
  <c r="H164" i="3" s="1"/>
  <c r="P40" i="5"/>
  <c r="G164" i="3" s="1"/>
  <c r="L40" i="5"/>
  <c r="F164" i="3" s="1"/>
  <c r="H40" i="5"/>
  <c r="T39" i="5"/>
  <c r="H163" i="3" s="1"/>
  <c r="P39" i="5"/>
  <c r="L39" i="5"/>
  <c r="F163" i="3" s="1"/>
  <c r="H39" i="5"/>
  <c r="T38" i="5"/>
  <c r="H162" i="3" s="1"/>
  <c r="P38" i="5"/>
  <c r="G162" i="3" s="1"/>
  <c r="L38" i="5"/>
  <c r="F162" i="3" s="1"/>
  <c r="H38" i="5"/>
  <c r="E162" i="3" s="1"/>
  <c r="T37" i="5"/>
  <c r="H161" i="3" s="1"/>
  <c r="P37" i="5"/>
  <c r="G161" i="3" s="1"/>
  <c r="L37" i="5"/>
  <c r="F161" i="3" s="1"/>
  <c r="H37" i="5"/>
  <c r="T36" i="5"/>
  <c r="H160" i="3" s="1"/>
  <c r="P36" i="5"/>
  <c r="G160" i="3" s="1"/>
  <c r="L36" i="5"/>
  <c r="F160" i="3" s="1"/>
  <c r="H36" i="5"/>
  <c r="T35" i="5"/>
  <c r="H159" i="3" s="1"/>
  <c r="P35" i="5"/>
  <c r="G159" i="3" s="1"/>
  <c r="L35" i="5"/>
  <c r="F159" i="3" s="1"/>
  <c r="H35" i="5"/>
  <c r="T34" i="5"/>
  <c r="H158" i="3" s="1"/>
  <c r="P34" i="5"/>
  <c r="G158" i="3" s="1"/>
  <c r="L34" i="5"/>
  <c r="F158" i="3" s="1"/>
  <c r="H34" i="5"/>
  <c r="E158" i="3" s="1"/>
  <c r="T33" i="5"/>
  <c r="H157" i="3" s="1"/>
  <c r="P33" i="5"/>
  <c r="G157" i="3" s="1"/>
  <c r="L33" i="5"/>
  <c r="F157" i="3" s="1"/>
  <c r="H33" i="5"/>
  <c r="T32" i="5"/>
  <c r="H156" i="3" s="1"/>
  <c r="P32" i="5"/>
  <c r="G156" i="3" s="1"/>
  <c r="L32" i="5"/>
  <c r="F156" i="3" s="1"/>
  <c r="H32" i="5"/>
  <c r="T31" i="5"/>
  <c r="H155" i="3" s="1"/>
  <c r="P31" i="5"/>
  <c r="G155" i="3" s="1"/>
  <c r="L31" i="5"/>
  <c r="F155" i="3" s="1"/>
  <c r="H31" i="5"/>
  <c r="T30" i="5"/>
  <c r="H154" i="3" s="1"/>
  <c r="P30" i="5"/>
  <c r="G154" i="3" s="1"/>
  <c r="L30" i="5"/>
  <c r="F154" i="3" s="1"/>
  <c r="H30" i="5"/>
  <c r="E154" i="3" s="1"/>
  <c r="T29" i="5"/>
  <c r="H153" i="3" s="1"/>
  <c r="P29" i="5"/>
  <c r="G153" i="3" s="1"/>
  <c r="L29" i="5"/>
  <c r="F153" i="3" s="1"/>
  <c r="H29" i="5"/>
  <c r="E153" i="3" s="1"/>
  <c r="T28" i="5"/>
  <c r="H152" i="3" s="1"/>
  <c r="P28" i="5"/>
  <c r="G152" i="3" s="1"/>
  <c r="L28" i="5"/>
  <c r="F152" i="3" s="1"/>
  <c r="H28" i="5"/>
  <c r="T27" i="5"/>
  <c r="H151" i="3" s="1"/>
  <c r="P27" i="5"/>
  <c r="G151" i="3" s="1"/>
  <c r="L27" i="5"/>
  <c r="F151" i="3" s="1"/>
  <c r="H27" i="5"/>
  <c r="E151" i="3" s="1"/>
  <c r="T26" i="5"/>
  <c r="H150" i="3" s="1"/>
  <c r="P26" i="5"/>
  <c r="G150" i="3" s="1"/>
  <c r="L26" i="5"/>
  <c r="F150" i="3" s="1"/>
  <c r="H26" i="5"/>
  <c r="E150" i="3" s="1"/>
  <c r="T25" i="5"/>
  <c r="H149" i="3" s="1"/>
  <c r="P25" i="5"/>
  <c r="G149" i="3" s="1"/>
  <c r="L25" i="5"/>
  <c r="F149" i="3" s="1"/>
  <c r="H25" i="5"/>
  <c r="E149" i="3" s="1"/>
  <c r="T24" i="5"/>
  <c r="H148" i="3" s="1"/>
  <c r="P24" i="5"/>
  <c r="G148" i="3" s="1"/>
  <c r="L24" i="5"/>
  <c r="F148" i="3" s="1"/>
  <c r="H24" i="5"/>
  <c r="T23" i="5"/>
  <c r="H147" i="3" s="1"/>
  <c r="P23" i="5"/>
  <c r="L23" i="5"/>
  <c r="F147" i="3" s="1"/>
  <c r="H23" i="5"/>
  <c r="E147" i="3" s="1"/>
  <c r="T22" i="5"/>
  <c r="H146" i="3" s="1"/>
  <c r="P22" i="5"/>
  <c r="G146" i="3" s="1"/>
  <c r="L22" i="5"/>
  <c r="F146" i="3" s="1"/>
  <c r="H22" i="5"/>
  <c r="T21" i="5"/>
  <c r="H145" i="3" s="1"/>
  <c r="P21" i="5"/>
  <c r="G145" i="3" s="1"/>
  <c r="L21" i="5"/>
  <c r="F145" i="3" s="1"/>
  <c r="H21" i="5"/>
  <c r="E145" i="3" s="1"/>
  <c r="T20" i="5"/>
  <c r="H144" i="3" s="1"/>
  <c r="P20" i="5"/>
  <c r="G144" i="3" s="1"/>
  <c r="L20" i="5"/>
  <c r="F144" i="3" s="1"/>
  <c r="H20" i="5"/>
  <c r="T19" i="5"/>
  <c r="H143" i="3" s="1"/>
  <c r="P19" i="5"/>
  <c r="G143" i="3" s="1"/>
  <c r="L19" i="5"/>
  <c r="F143" i="3" s="1"/>
  <c r="H19" i="5"/>
  <c r="E143" i="3" s="1"/>
  <c r="T18" i="5"/>
  <c r="H142" i="3" s="1"/>
  <c r="P18" i="5"/>
  <c r="G142" i="3" s="1"/>
  <c r="L18" i="5"/>
  <c r="F142" i="3" s="1"/>
  <c r="H18" i="5"/>
  <c r="T17" i="5"/>
  <c r="H141" i="3" s="1"/>
  <c r="P17" i="5"/>
  <c r="G141" i="3" s="1"/>
  <c r="L17" i="5"/>
  <c r="F141" i="3" s="1"/>
  <c r="H17" i="5"/>
  <c r="E141" i="3" s="1"/>
  <c r="T16" i="5"/>
  <c r="H140" i="3" s="1"/>
  <c r="P16" i="5"/>
  <c r="G140" i="3" s="1"/>
  <c r="L16" i="5"/>
  <c r="F140" i="3" s="1"/>
  <c r="H16" i="5"/>
  <c r="T15" i="5"/>
  <c r="H139" i="3" s="1"/>
  <c r="P15" i="5"/>
  <c r="L15" i="5"/>
  <c r="F139" i="3" s="1"/>
  <c r="H15" i="5"/>
  <c r="E139" i="3" s="1"/>
  <c r="T14" i="5"/>
  <c r="H138" i="3" s="1"/>
  <c r="P14" i="5"/>
  <c r="G138" i="3" s="1"/>
  <c r="L14" i="5"/>
  <c r="F138" i="3" s="1"/>
  <c r="H14" i="5"/>
  <c r="T13" i="5"/>
  <c r="H137" i="3" s="1"/>
  <c r="P13" i="5"/>
  <c r="G137" i="3" s="1"/>
  <c r="L13" i="5"/>
  <c r="F137" i="3" s="1"/>
  <c r="H13" i="5"/>
  <c r="E137" i="3" s="1"/>
  <c r="T12" i="5"/>
  <c r="H136" i="3" s="1"/>
  <c r="P12" i="5"/>
  <c r="G136" i="3" s="1"/>
  <c r="L12" i="5"/>
  <c r="F136" i="3" s="1"/>
  <c r="H12" i="5"/>
  <c r="T11" i="5"/>
  <c r="H135" i="3" s="1"/>
  <c r="P11" i="5"/>
  <c r="L11" i="5"/>
  <c r="F135" i="3" s="1"/>
  <c r="H11" i="5"/>
  <c r="E135" i="3" s="1"/>
  <c r="T10" i="5"/>
  <c r="H134" i="3" s="1"/>
  <c r="P10" i="5"/>
  <c r="G134" i="3" s="1"/>
  <c r="L10" i="5"/>
  <c r="F134" i="3" s="1"/>
  <c r="H10" i="5"/>
  <c r="T9" i="5"/>
  <c r="H133" i="3" s="1"/>
  <c r="P9" i="5"/>
  <c r="G133" i="3" s="1"/>
  <c r="L9" i="5"/>
  <c r="H9" i="5"/>
  <c r="E133" i="3" s="1"/>
  <c r="T8" i="5"/>
  <c r="H132" i="3" s="1"/>
  <c r="P8" i="5"/>
  <c r="G132" i="3" s="1"/>
  <c r="L8" i="5"/>
  <c r="H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T7" i="5"/>
  <c r="H131" i="3" s="1"/>
  <c r="P7" i="5"/>
  <c r="G131" i="3" s="1"/>
  <c r="L7" i="5"/>
  <c r="F131" i="3" s="1"/>
  <c r="H7" i="5"/>
  <c r="S6" i="5"/>
  <c r="R6" i="5"/>
  <c r="R17" i="3" s="1"/>
  <c r="Q6" i="5"/>
  <c r="O6" i="5"/>
  <c r="O17" i="3" s="1"/>
  <c r="N6" i="5"/>
  <c r="N17" i="3" s="1"/>
  <c r="M6" i="5"/>
  <c r="P6" i="5" s="1"/>
  <c r="K6" i="5"/>
  <c r="J6" i="5"/>
  <c r="J17" i="3" s="1"/>
  <c r="I6" i="5"/>
  <c r="L6" i="5" s="1"/>
  <c r="G6" i="5"/>
  <c r="G17" i="3" s="1"/>
  <c r="F6" i="5"/>
  <c r="F17" i="3" s="1"/>
  <c r="E6" i="5"/>
  <c r="I17" i="3" l="1"/>
  <c r="D31" i="5"/>
  <c r="T6" i="5"/>
  <c r="D33" i="5"/>
  <c r="D37" i="5"/>
  <c r="D35" i="5"/>
  <c r="D39" i="5"/>
  <c r="D43" i="5"/>
  <c r="D12" i="5"/>
  <c r="D20" i="5"/>
  <c r="D28" i="5"/>
  <c r="M17" i="3"/>
  <c r="D8" i="5"/>
  <c r="D16" i="5"/>
  <c r="D24" i="5"/>
  <c r="D29" i="5"/>
  <c r="D10" i="5"/>
  <c r="D14" i="5"/>
  <c r="D18" i="5"/>
  <c r="D32" i="5"/>
  <c r="D36" i="5"/>
  <c r="D40" i="5"/>
  <c r="D44" i="5"/>
  <c r="D41" i="5"/>
  <c r="D133" i="3"/>
  <c r="W7" i="4" s="1"/>
  <c r="D22" i="5"/>
  <c r="F130" i="3"/>
  <c r="E168" i="3"/>
  <c r="E156" i="3"/>
  <c r="E164" i="3"/>
  <c r="E160" i="3"/>
  <c r="E152" i="3"/>
  <c r="E157" i="3"/>
  <c r="H6" i="5"/>
  <c r="D166" i="3"/>
  <c r="W40" i="4" s="1"/>
  <c r="E165" i="3"/>
  <c r="D165" i="3"/>
  <c r="W39" i="4" s="1"/>
  <c r="E161" i="3"/>
  <c r="D161" i="3" s="1"/>
  <c r="W35" i="4" s="1"/>
  <c r="E159" i="3"/>
  <c r="E155" i="3"/>
  <c r="D155" i="3" s="1"/>
  <c r="W29" i="4" s="1"/>
  <c r="D152" i="3"/>
  <c r="W26" i="4" s="1"/>
  <c r="D150" i="3"/>
  <c r="W24" i="4" s="1"/>
  <c r="D149" i="3"/>
  <c r="W23" i="4" s="1"/>
  <c r="E148" i="3"/>
  <c r="D148" i="3" s="1"/>
  <c r="W22" i="4" s="1"/>
  <c r="E146" i="3"/>
  <c r="E144" i="3"/>
  <c r="D144" i="3" s="1"/>
  <c r="W18" i="4" s="1"/>
  <c r="E142" i="3"/>
  <c r="D142" i="3" s="1"/>
  <c r="W16" i="4" s="1"/>
  <c r="E140" i="3"/>
  <c r="D140" i="3" s="1"/>
  <c r="W14" i="4" s="1"/>
  <c r="E138" i="3"/>
  <c r="D138" i="3" s="1"/>
  <c r="W12" i="4" s="1"/>
  <c r="E136" i="3"/>
  <c r="D136" i="3" s="1"/>
  <c r="W10" i="4" s="1"/>
  <c r="E134" i="3"/>
  <c r="D134" i="3"/>
  <c r="W8" i="4" s="1"/>
  <c r="E132" i="3"/>
  <c r="D132" i="3" s="1"/>
  <c r="W6" i="4" s="1"/>
  <c r="E17" i="3"/>
  <c r="H17" i="3" s="1"/>
  <c r="J36" i="3" s="1"/>
  <c r="D153" i="3"/>
  <c r="W27" i="4" s="1"/>
  <c r="D131" i="3"/>
  <c r="W5" i="4" s="1"/>
  <c r="D164" i="3"/>
  <c r="W38" i="4" s="1"/>
  <c r="D135" i="3"/>
  <c r="W9" i="4" s="1"/>
  <c r="D154" i="3"/>
  <c r="W28" i="4" s="1"/>
  <c r="D167" i="3"/>
  <c r="W41" i="4" s="1"/>
  <c r="P17" i="3"/>
  <c r="L36" i="3" s="1"/>
  <c r="H130" i="3"/>
  <c r="D156" i="3"/>
  <c r="W30" i="4" s="1"/>
  <c r="D137" i="3"/>
  <c r="W11" i="4" s="1"/>
  <c r="D151" i="3"/>
  <c r="W25" i="4" s="1"/>
  <c r="D141" i="3"/>
  <c r="W15" i="4" s="1"/>
  <c r="D168" i="3"/>
  <c r="W42" i="4" s="1"/>
  <c r="D157" i="3"/>
  <c r="W31" i="4" s="1"/>
  <c r="D163" i="3"/>
  <c r="W37" i="4" s="1"/>
  <c r="D145" i="3"/>
  <c r="W19" i="4" s="1"/>
  <c r="D160" i="3"/>
  <c r="W34" i="4" s="1"/>
  <c r="D143" i="3"/>
  <c r="W17" i="4" s="1"/>
  <c r="D158" i="3"/>
  <c r="W32" i="4" s="1"/>
  <c r="D162" i="3"/>
  <c r="W36" i="4" s="1"/>
  <c r="D159" i="3"/>
  <c r="W33" i="4" s="1"/>
  <c r="D147" i="3"/>
  <c r="W21" i="4" s="1"/>
  <c r="D139" i="3"/>
  <c r="W13" i="4" s="1"/>
  <c r="G130" i="3"/>
  <c r="T17" i="3"/>
  <c r="M36" i="3" s="1"/>
  <c r="L17" i="3"/>
  <c r="K36" i="3" s="1"/>
  <c r="D26" i="5"/>
  <c r="D23" i="5"/>
  <c r="D30" i="5"/>
  <c r="D7" i="5"/>
  <c r="D34" i="5"/>
  <c r="D38" i="5"/>
  <c r="D11" i="5"/>
  <c r="D15" i="5"/>
  <c r="D19" i="5"/>
  <c r="D27" i="5"/>
  <c r="D42" i="5"/>
  <c r="D9" i="5"/>
  <c r="D13" i="5"/>
  <c r="D17" i="5"/>
  <c r="D21" i="5"/>
  <c r="D25" i="5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15" i="2"/>
  <c r="G16" i="2"/>
  <c r="G17" i="2"/>
  <c r="G18" i="2"/>
  <c r="G19" i="2"/>
  <c r="G15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25" i="2"/>
  <c r="G26" i="2"/>
  <c r="G27" i="2"/>
  <c r="G28" i="2"/>
  <c r="G29" i="2"/>
  <c r="G30" i="2"/>
  <c r="G31" i="2"/>
  <c r="G32" i="2"/>
  <c r="G33" i="2"/>
  <c r="G34" i="2"/>
  <c r="G35" i="2"/>
  <c r="G36" i="2"/>
  <c r="G20" i="2"/>
  <c r="G21" i="2"/>
  <c r="G22" i="2"/>
  <c r="G23" i="2"/>
  <c r="G24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23" i="2"/>
  <c r="F24" i="2"/>
  <c r="F25" i="2"/>
  <c r="F26" i="2"/>
  <c r="F27" i="2"/>
  <c r="F28" i="2"/>
  <c r="F29" i="2"/>
  <c r="F30" i="2"/>
  <c r="F31" i="2"/>
  <c r="F32" i="2"/>
  <c r="F18" i="2"/>
  <c r="F19" i="2"/>
  <c r="F20" i="2"/>
  <c r="F21" i="2"/>
  <c r="F22" i="2"/>
  <c r="F16" i="2"/>
  <c r="F17" i="2"/>
  <c r="F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15" i="2"/>
  <c r="F58" i="2"/>
  <c r="E58" i="2"/>
  <c r="E6" i="2" s="1"/>
  <c r="R146" i="2"/>
  <c r="S146" i="2"/>
  <c r="Q146" i="2"/>
  <c r="T146" i="2" s="1"/>
  <c r="N146" i="2"/>
  <c r="O146" i="2"/>
  <c r="J146" i="2"/>
  <c r="K146" i="2"/>
  <c r="I146" i="2"/>
  <c r="F146" i="2"/>
  <c r="G146" i="2"/>
  <c r="E146" i="2"/>
  <c r="E102" i="2"/>
  <c r="R58" i="2"/>
  <c r="S58" i="2"/>
  <c r="N58" i="2"/>
  <c r="O58" i="2"/>
  <c r="M58" i="2"/>
  <c r="L59" i="2"/>
  <c r="K58" i="2"/>
  <c r="J58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47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03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L96" i="2"/>
  <c r="R277" i="1"/>
  <c r="S277" i="1"/>
  <c r="Q277" i="1"/>
  <c r="N277" i="1"/>
  <c r="O277" i="1"/>
  <c r="M277" i="1"/>
  <c r="J277" i="1"/>
  <c r="K277" i="1"/>
  <c r="I277" i="1"/>
  <c r="G277" i="1"/>
  <c r="F277" i="1"/>
  <c r="E277" i="1"/>
  <c r="R234" i="1"/>
  <c r="S234" i="1"/>
  <c r="Q234" i="1"/>
  <c r="N234" i="1"/>
  <c r="O234" i="1"/>
  <c r="M234" i="1"/>
  <c r="J234" i="1"/>
  <c r="K234" i="1"/>
  <c r="I234" i="1"/>
  <c r="F234" i="1"/>
  <c r="G234" i="1"/>
  <c r="E234" i="1"/>
  <c r="R191" i="1"/>
  <c r="S191" i="1"/>
  <c r="Q191" i="1"/>
  <c r="O191" i="1"/>
  <c r="N191" i="1"/>
  <c r="M191" i="1"/>
  <c r="J191" i="1"/>
  <c r="K191" i="1"/>
  <c r="I191" i="1"/>
  <c r="F191" i="1"/>
  <c r="G191" i="1"/>
  <c r="E191" i="1"/>
  <c r="R148" i="1"/>
  <c r="S148" i="1"/>
  <c r="Q148" i="1"/>
  <c r="N148" i="1"/>
  <c r="O148" i="1"/>
  <c r="M148" i="1"/>
  <c r="J148" i="1"/>
  <c r="K148" i="1"/>
  <c r="I148" i="1"/>
  <c r="F148" i="1"/>
  <c r="G148" i="1"/>
  <c r="E148" i="1"/>
  <c r="R105" i="1"/>
  <c r="S105" i="1"/>
  <c r="Q105" i="1"/>
  <c r="N105" i="1"/>
  <c r="M105" i="1"/>
  <c r="O105" i="1"/>
  <c r="K105" i="1"/>
  <c r="J105" i="1"/>
  <c r="I105" i="1"/>
  <c r="G105" i="1"/>
  <c r="F105" i="1"/>
  <c r="E105" i="1"/>
  <c r="S61" i="1"/>
  <c r="R61" i="1"/>
  <c r="Q61" i="1"/>
  <c r="O61" i="1"/>
  <c r="N61" i="1"/>
  <c r="M61" i="1"/>
  <c r="K61" i="1"/>
  <c r="J61" i="1"/>
  <c r="I61" i="1"/>
  <c r="G61" i="1"/>
  <c r="G11" i="3" s="1"/>
  <c r="F61" i="1"/>
  <c r="F11" i="3" s="1"/>
  <c r="E61" i="1"/>
  <c r="E11" i="3" s="1"/>
  <c r="I36" i="3" l="1"/>
  <c r="E130" i="3"/>
  <c r="D130" i="3" s="1"/>
  <c r="D146" i="3"/>
  <c r="W20" i="4" s="1"/>
  <c r="W4" i="4" s="1"/>
  <c r="D17" i="3"/>
  <c r="H61" i="1"/>
  <c r="D6" i="5"/>
  <c r="R14" i="2"/>
  <c r="O14" i="2"/>
  <c r="N14" i="2"/>
  <c r="M14" i="2"/>
  <c r="K14" i="2"/>
  <c r="J14" i="2"/>
  <c r="I14" i="2"/>
  <c r="F14" i="2"/>
  <c r="E14" i="2"/>
  <c r="H15" i="2"/>
  <c r="E43" i="3" s="1"/>
  <c r="P183" i="2"/>
  <c r="P184" i="2"/>
  <c r="T95" i="2"/>
  <c r="T96" i="2"/>
  <c r="L95" i="2"/>
  <c r="H95" i="2"/>
  <c r="H96" i="2"/>
  <c r="E6" i="1"/>
  <c r="P182" i="2" l="1"/>
  <c r="T94" i="2"/>
  <c r="L94" i="2"/>
  <c r="H94" i="2"/>
  <c r="Q6" i="1"/>
  <c r="Q11" i="3" s="1"/>
  <c r="S11" i="1"/>
  <c r="R11" i="1"/>
  <c r="Q11" i="1"/>
  <c r="S10" i="1"/>
  <c r="R10" i="1"/>
  <c r="Q10" i="1"/>
  <c r="S9" i="1"/>
  <c r="R9" i="1"/>
  <c r="Q9" i="1"/>
  <c r="S8" i="1"/>
  <c r="R8" i="1"/>
  <c r="Q8" i="1"/>
  <c r="S7" i="1"/>
  <c r="R7" i="1"/>
  <c r="Q7" i="1"/>
  <c r="S6" i="1"/>
  <c r="R6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E11" i="1"/>
  <c r="F6" i="1"/>
  <c r="G6" i="1"/>
  <c r="F7" i="1"/>
  <c r="G7" i="1"/>
  <c r="F8" i="1"/>
  <c r="G8" i="1"/>
  <c r="F9" i="1"/>
  <c r="G9" i="1"/>
  <c r="F10" i="1"/>
  <c r="G10" i="1"/>
  <c r="F11" i="1"/>
  <c r="G11" i="1"/>
  <c r="E7" i="1"/>
  <c r="E8" i="1"/>
  <c r="E9" i="1"/>
  <c r="E10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18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18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18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H9" i="1" l="1"/>
  <c r="H8" i="1"/>
  <c r="T8" i="1"/>
  <c r="P11" i="1"/>
  <c r="L10" i="1"/>
  <c r="H10" i="1"/>
  <c r="L9" i="1"/>
  <c r="F17" i="1"/>
  <c r="P181" i="2"/>
  <c r="T93" i="2"/>
  <c r="L93" i="2"/>
  <c r="H93" i="2"/>
  <c r="N17" i="1"/>
  <c r="K17" i="1"/>
  <c r="S17" i="1"/>
  <c r="O17" i="1"/>
  <c r="I17" i="1"/>
  <c r="Q17" i="1"/>
  <c r="H18" i="1"/>
  <c r="E17" i="1"/>
  <c r="R17" i="1"/>
  <c r="H6" i="1"/>
  <c r="L8" i="1"/>
  <c r="T11" i="1"/>
  <c r="L11" i="1"/>
  <c r="H11" i="1"/>
  <c r="T10" i="1"/>
  <c r="P10" i="1"/>
  <c r="T9" i="1"/>
  <c r="P9" i="1"/>
  <c r="P8" i="1"/>
  <c r="M17" i="1"/>
  <c r="T7" i="1"/>
  <c r="P7" i="1"/>
  <c r="M5" i="1"/>
  <c r="L18" i="1"/>
  <c r="J17" i="1"/>
  <c r="L7" i="1"/>
  <c r="H7" i="1"/>
  <c r="E5" i="1"/>
  <c r="T6" i="1"/>
  <c r="P6" i="1"/>
  <c r="L6" i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F4" i="4"/>
  <c r="A88" i="3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P48" i="2"/>
  <c r="G76" i="3" s="1"/>
  <c r="S15" i="2"/>
  <c r="S14" i="2" s="1"/>
  <c r="L17" i="1" l="1"/>
  <c r="P49" i="2"/>
  <c r="G77" i="3" s="1"/>
  <c r="P180" i="2"/>
  <c r="T92" i="2"/>
  <c r="L92" i="2"/>
  <c r="H92" i="2"/>
  <c r="P50" i="2"/>
  <c r="G78" i="3" s="1"/>
  <c r="P52" i="2"/>
  <c r="G80" i="3" s="1"/>
  <c r="D6" i="1"/>
  <c r="P51" i="2"/>
  <c r="G79" i="3" s="1"/>
  <c r="P179" i="2" l="1"/>
  <c r="P47" i="2"/>
  <c r="G75" i="3" s="1"/>
  <c r="T91" i="2"/>
  <c r="L91" i="2"/>
  <c r="H91" i="2"/>
  <c r="A44" i="3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P178" i="2" l="1"/>
  <c r="P46" i="2"/>
  <c r="G74" i="3" s="1"/>
  <c r="T90" i="2"/>
  <c r="L90" i="2"/>
  <c r="H90" i="2"/>
  <c r="A148" i="2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S8" i="2"/>
  <c r="R8" i="2"/>
  <c r="Q8" i="2"/>
  <c r="O8" i="2"/>
  <c r="N8" i="2"/>
  <c r="K8" i="2"/>
  <c r="J8" i="2"/>
  <c r="I8" i="2"/>
  <c r="G8" i="2"/>
  <c r="F8" i="2"/>
  <c r="A104" i="2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S102" i="2"/>
  <c r="S7" i="2" s="1"/>
  <c r="S8" i="3" s="1"/>
  <c r="R102" i="2"/>
  <c r="R7" i="2" s="1"/>
  <c r="R8" i="3" s="1"/>
  <c r="Q102" i="2"/>
  <c r="Q7" i="2" s="1"/>
  <c r="O102" i="2"/>
  <c r="O7" i="2" s="1"/>
  <c r="O8" i="3" s="1"/>
  <c r="N102" i="2"/>
  <c r="N7" i="2" s="1"/>
  <c r="N8" i="3" s="1"/>
  <c r="M102" i="2"/>
  <c r="M7" i="2" s="1"/>
  <c r="K102" i="2"/>
  <c r="K7" i="2" s="1"/>
  <c r="K8" i="3" s="1"/>
  <c r="J102" i="2"/>
  <c r="J7" i="2" s="1"/>
  <c r="J8" i="3" s="1"/>
  <c r="I102" i="2"/>
  <c r="I7" i="2" s="1"/>
  <c r="G7" i="2"/>
  <c r="G8" i="3" s="1"/>
  <c r="F102" i="2"/>
  <c r="F7" i="2" s="1"/>
  <c r="F8" i="3" s="1"/>
  <c r="E7" i="2"/>
  <c r="P177" i="2" l="1"/>
  <c r="P45" i="2"/>
  <c r="G73" i="3" s="1"/>
  <c r="Q8" i="3"/>
  <c r="T8" i="3" s="1"/>
  <c r="M27" i="3" s="1"/>
  <c r="T7" i="2"/>
  <c r="M8" i="3"/>
  <c r="P8" i="3" s="1"/>
  <c r="L27" i="3" s="1"/>
  <c r="P7" i="2"/>
  <c r="I8" i="3"/>
  <c r="L8" i="3" s="1"/>
  <c r="K27" i="3" s="1"/>
  <c r="L7" i="2"/>
  <c r="E8" i="3"/>
  <c r="H8" i="3" s="1"/>
  <c r="H7" i="2"/>
  <c r="T89" i="2"/>
  <c r="L89" i="2"/>
  <c r="H89" i="2"/>
  <c r="I9" i="3"/>
  <c r="L8" i="2"/>
  <c r="J9" i="3"/>
  <c r="O9" i="3"/>
  <c r="N9" i="3"/>
  <c r="F9" i="3"/>
  <c r="K9" i="3"/>
  <c r="Q9" i="3"/>
  <c r="T8" i="2"/>
  <c r="S9" i="3"/>
  <c r="G9" i="3"/>
  <c r="R9" i="3"/>
  <c r="D177" i="2"/>
  <c r="D178" i="2"/>
  <c r="D179" i="2"/>
  <c r="D181" i="2"/>
  <c r="D180" i="2"/>
  <c r="D182" i="2"/>
  <c r="D183" i="2"/>
  <c r="D184" i="2"/>
  <c r="D106" i="2"/>
  <c r="D108" i="2"/>
  <c r="D110" i="2"/>
  <c r="D112" i="2"/>
  <c r="D113" i="2"/>
  <c r="D114" i="2"/>
  <c r="D115" i="2"/>
  <c r="D116" i="2"/>
  <c r="D117" i="2"/>
  <c r="D118" i="2"/>
  <c r="D119" i="2"/>
  <c r="L146" i="2"/>
  <c r="L102" i="2"/>
  <c r="D105" i="2"/>
  <c r="D107" i="2"/>
  <c r="D109" i="2"/>
  <c r="D111" i="2"/>
  <c r="D120" i="2"/>
  <c r="D121" i="2"/>
  <c r="P102" i="2"/>
  <c r="H102" i="2"/>
  <c r="T102" i="2"/>
  <c r="D122" i="2"/>
  <c r="D123" i="2"/>
  <c r="D124" i="2"/>
  <c r="D103" i="2"/>
  <c r="D104" i="2"/>
  <c r="L9" i="3" l="1"/>
  <c r="K28" i="3" s="1"/>
  <c r="E27" i="3"/>
  <c r="J27" i="3"/>
  <c r="I27" i="3" s="1"/>
  <c r="T9" i="3"/>
  <c r="M28" i="3" s="1"/>
  <c r="P176" i="2"/>
  <c r="D176" i="2" s="1"/>
  <c r="P44" i="2"/>
  <c r="G72" i="3" s="1"/>
  <c r="T88" i="2"/>
  <c r="L88" i="2"/>
  <c r="H88" i="2"/>
  <c r="G27" i="3"/>
  <c r="F27" i="3"/>
  <c r="D102" i="2"/>
  <c r="F28" i="3" l="1"/>
  <c r="P175" i="2"/>
  <c r="D175" i="2" s="1"/>
  <c r="P43" i="2"/>
  <c r="G71" i="3" s="1"/>
  <c r="T87" i="2"/>
  <c r="L87" i="2"/>
  <c r="H87" i="2"/>
  <c r="A60" i="2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S6" i="2"/>
  <c r="R6" i="2"/>
  <c r="O6" i="2"/>
  <c r="N6" i="2"/>
  <c r="M6" i="2"/>
  <c r="K6" i="2"/>
  <c r="J6" i="2"/>
  <c r="G6" i="2"/>
  <c r="F6" i="2"/>
  <c r="T52" i="2"/>
  <c r="H80" i="3" s="1"/>
  <c r="T51" i="2"/>
  <c r="H79" i="3" s="1"/>
  <c r="T50" i="2"/>
  <c r="H78" i="3" s="1"/>
  <c r="T49" i="2"/>
  <c r="H77" i="3" s="1"/>
  <c r="T48" i="2"/>
  <c r="H76" i="3" s="1"/>
  <c r="T47" i="2"/>
  <c r="H75" i="3" s="1"/>
  <c r="T46" i="2"/>
  <c r="H74" i="3" s="1"/>
  <c r="T45" i="2"/>
  <c r="H73" i="3" s="1"/>
  <c r="T44" i="2"/>
  <c r="H72" i="3" s="1"/>
  <c r="T43" i="2"/>
  <c r="H71" i="3" s="1"/>
  <c r="A16" i="2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D7" i="2"/>
  <c r="I11" i="3"/>
  <c r="L62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P21" i="1"/>
  <c r="G90" i="3" s="1"/>
  <c r="P22" i="1"/>
  <c r="G91" i="3" s="1"/>
  <c r="P25" i="1"/>
  <c r="G94" i="3" s="1"/>
  <c r="P26" i="1"/>
  <c r="G95" i="3" s="1"/>
  <c r="P29" i="1"/>
  <c r="G98" i="3" s="1"/>
  <c r="P30" i="1"/>
  <c r="G99" i="3" s="1"/>
  <c r="P33" i="1"/>
  <c r="G102" i="3" s="1"/>
  <c r="P34" i="1"/>
  <c r="G103" i="3" s="1"/>
  <c r="P37" i="1"/>
  <c r="G106" i="3" s="1"/>
  <c r="P38" i="1"/>
  <c r="G107" i="3" s="1"/>
  <c r="P42" i="1"/>
  <c r="G111" i="3" s="1"/>
  <c r="P46" i="1"/>
  <c r="G115" i="3" s="1"/>
  <c r="P50" i="1"/>
  <c r="G119" i="3" s="1"/>
  <c r="P54" i="1"/>
  <c r="G123" i="3" s="1"/>
  <c r="L40" i="1"/>
  <c r="F109" i="3" s="1"/>
  <c r="L44" i="1"/>
  <c r="F113" i="3" s="1"/>
  <c r="L48" i="1"/>
  <c r="F117" i="3" s="1"/>
  <c r="H27" i="1"/>
  <c r="E96" i="3" s="1"/>
  <c r="H31" i="1"/>
  <c r="E100" i="3" s="1"/>
  <c r="H35" i="1"/>
  <c r="E104" i="3" s="1"/>
  <c r="H39" i="1"/>
  <c r="E108" i="3" s="1"/>
  <c r="H41" i="1"/>
  <c r="E110" i="3" s="1"/>
  <c r="H43" i="1"/>
  <c r="E112" i="3" s="1"/>
  <c r="H47" i="1"/>
  <c r="E116" i="3" s="1"/>
  <c r="H51" i="1"/>
  <c r="E120" i="3" s="1"/>
  <c r="H53" i="1"/>
  <c r="E122" i="3" s="1"/>
  <c r="H55" i="1"/>
  <c r="E124" i="3" s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H300" i="1"/>
  <c r="H301" i="1"/>
  <c r="D301" i="1" s="1"/>
  <c r="H302" i="1"/>
  <c r="D302" i="1" s="1"/>
  <c r="H303" i="1"/>
  <c r="D303" i="1" s="1"/>
  <c r="H304" i="1"/>
  <c r="D304" i="1" s="1"/>
  <c r="H305" i="1"/>
  <c r="D305" i="1" s="1"/>
  <c r="H306" i="1"/>
  <c r="D306" i="1" s="1"/>
  <c r="H307" i="1"/>
  <c r="H308" i="1"/>
  <c r="H309" i="1"/>
  <c r="H310" i="1"/>
  <c r="H311" i="1"/>
  <c r="H312" i="1"/>
  <c r="H313" i="1"/>
  <c r="H314" i="1"/>
  <c r="H315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H257" i="1"/>
  <c r="H258" i="1"/>
  <c r="H259" i="1"/>
  <c r="D259" i="1" s="1"/>
  <c r="H260" i="1"/>
  <c r="D260" i="1" s="1"/>
  <c r="H261" i="1"/>
  <c r="D261" i="1" s="1"/>
  <c r="H262" i="1"/>
  <c r="D262" i="1" s="1"/>
  <c r="H263" i="1"/>
  <c r="D263" i="1" s="1"/>
  <c r="H264" i="1"/>
  <c r="H265" i="1"/>
  <c r="H266" i="1"/>
  <c r="H267" i="1"/>
  <c r="H268" i="1"/>
  <c r="H269" i="1"/>
  <c r="H270" i="1"/>
  <c r="H271" i="1"/>
  <c r="D271" i="1" s="1"/>
  <c r="H272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H214" i="1"/>
  <c r="H215" i="1"/>
  <c r="D215" i="1" s="1"/>
  <c r="H216" i="1"/>
  <c r="D216" i="1" s="1"/>
  <c r="H217" i="1"/>
  <c r="D217" i="1" s="1"/>
  <c r="H218" i="1"/>
  <c r="D218" i="1" s="1"/>
  <c r="H219" i="1"/>
  <c r="H220" i="1"/>
  <c r="H221" i="1"/>
  <c r="H222" i="1"/>
  <c r="H223" i="1"/>
  <c r="H224" i="1"/>
  <c r="D224" i="1" s="1"/>
  <c r="H225" i="1"/>
  <c r="H226" i="1"/>
  <c r="H227" i="1"/>
  <c r="H228" i="1"/>
  <c r="H229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H171" i="1"/>
  <c r="H172" i="1"/>
  <c r="D172" i="1" s="1"/>
  <c r="H173" i="1"/>
  <c r="D173" i="1" s="1"/>
  <c r="H174" i="1"/>
  <c r="D174" i="1" s="1"/>
  <c r="H175" i="1"/>
  <c r="D175" i="1" s="1"/>
  <c r="H176" i="1"/>
  <c r="H177" i="1"/>
  <c r="H178" i="1"/>
  <c r="H179" i="1"/>
  <c r="H180" i="1"/>
  <c r="H181" i="1"/>
  <c r="H182" i="1"/>
  <c r="H183" i="1"/>
  <c r="H184" i="1"/>
  <c r="H185" i="1"/>
  <c r="H186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H128" i="1"/>
  <c r="H129" i="1"/>
  <c r="D129" i="1" s="1"/>
  <c r="H130" i="1"/>
  <c r="H131" i="1"/>
  <c r="D131" i="1" s="1"/>
  <c r="H132" i="1"/>
  <c r="D132" i="1" s="1"/>
  <c r="H133" i="1"/>
  <c r="H134" i="1"/>
  <c r="H135" i="1"/>
  <c r="H136" i="1"/>
  <c r="D136" i="1" s="1"/>
  <c r="H137" i="1"/>
  <c r="H138" i="1"/>
  <c r="H139" i="1"/>
  <c r="H140" i="1"/>
  <c r="H141" i="1"/>
  <c r="H142" i="1"/>
  <c r="H14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T40" i="1"/>
  <c r="H109" i="3" s="1"/>
  <c r="T41" i="1"/>
  <c r="H110" i="3" s="1"/>
  <c r="T42" i="1"/>
  <c r="H111" i="3" s="1"/>
  <c r="T43" i="1"/>
  <c r="H112" i="3" s="1"/>
  <c r="T44" i="1"/>
  <c r="H113" i="3" s="1"/>
  <c r="T45" i="1"/>
  <c r="H114" i="3" s="1"/>
  <c r="T46" i="1"/>
  <c r="H115" i="3" s="1"/>
  <c r="T47" i="1"/>
  <c r="H116" i="3" s="1"/>
  <c r="T48" i="1"/>
  <c r="H117" i="3" s="1"/>
  <c r="T49" i="1"/>
  <c r="H118" i="3" s="1"/>
  <c r="T50" i="1"/>
  <c r="H119" i="3" s="1"/>
  <c r="T51" i="1"/>
  <c r="H120" i="3" s="1"/>
  <c r="T52" i="1"/>
  <c r="H121" i="3" s="1"/>
  <c r="T53" i="1"/>
  <c r="H122" i="3" s="1"/>
  <c r="T54" i="1"/>
  <c r="H123" i="3" s="1"/>
  <c r="T55" i="1"/>
  <c r="H124" i="3" s="1"/>
  <c r="P40" i="1"/>
  <c r="G109" i="3" s="1"/>
  <c r="P41" i="1"/>
  <c r="G110" i="3" s="1"/>
  <c r="P43" i="1"/>
  <c r="G112" i="3" s="1"/>
  <c r="P44" i="1"/>
  <c r="G113" i="3" s="1"/>
  <c r="P45" i="1"/>
  <c r="G114" i="3" s="1"/>
  <c r="P47" i="1"/>
  <c r="G116" i="3" s="1"/>
  <c r="P48" i="1"/>
  <c r="G117" i="3" s="1"/>
  <c r="P49" i="1"/>
  <c r="G118" i="3" s="1"/>
  <c r="P51" i="1"/>
  <c r="G120" i="3" s="1"/>
  <c r="P52" i="1"/>
  <c r="G121" i="3" s="1"/>
  <c r="P53" i="1"/>
  <c r="G122" i="3" s="1"/>
  <c r="P55" i="1"/>
  <c r="G124" i="3" s="1"/>
  <c r="L45" i="1"/>
  <c r="F114" i="3" s="1"/>
  <c r="L49" i="1"/>
  <c r="F118" i="3" s="1"/>
  <c r="L39" i="1"/>
  <c r="F108" i="3" s="1"/>
  <c r="S16" i="3"/>
  <c r="R16" i="3"/>
  <c r="Q16" i="3"/>
  <c r="O16" i="3"/>
  <c r="N16" i="3"/>
  <c r="M16" i="3"/>
  <c r="K16" i="3"/>
  <c r="J16" i="3"/>
  <c r="I16" i="3"/>
  <c r="G16" i="3"/>
  <c r="F16" i="3"/>
  <c r="T299" i="1"/>
  <c r="P299" i="1"/>
  <c r="L299" i="1"/>
  <c r="H299" i="1"/>
  <c r="T298" i="1"/>
  <c r="P298" i="1"/>
  <c r="L298" i="1"/>
  <c r="H298" i="1"/>
  <c r="T297" i="1"/>
  <c r="P297" i="1"/>
  <c r="L297" i="1"/>
  <c r="H297" i="1"/>
  <c r="T296" i="1"/>
  <c r="P296" i="1"/>
  <c r="L296" i="1"/>
  <c r="H296" i="1"/>
  <c r="T295" i="1"/>
  <c r="P295" i="1"/>
  <c r="L295" i="1"/>
  <c r="H295" i="1"/>
  <c r="T294" i="1"/>
  <c r="P294" i="1"/>
  <c r="L294" i="1"/>
  <c r="H294" i="1"/>
  <c r="T293" i="1"/>
  <c r="P293" i="1"/>
  <c r="L293" i="1"/>
  <c r="H293" i="1"/>
  <c r="T292" i="1"/>
  <c r="P292" i="1"/>
  <c r="L292" i="1"/>
  <c r="H292" i="1"/>
  <c r="T291" i="1"/>
  <c r="P291" i="1"/>
  <c r="L291" i="1"/>
  <c r="H291" i="1"/>
  <c r="T290" i="1"/>
  <c r="P290" i="1"/>
  <c r="L290" i="1"/>
  <c r="H290" i="1"/>
  <c r="T289" i="1"/>
  <c r="P289" i="1"/>
  <c r="L289" i="1"/>
  <c r="H289" i="1"/>
  <c r="T288" i="1"/>
  <c r="P288" i="1"/>
  <c r="L288" i="1"/>
  <c r="H288" i="1"/>
  <c r="T287" i="1"/>
  <c r="P287" i="1"/>
  <c r="L287" i="1"/>
  <c r="H287" i="1"/>
  <c r="T286" i="1"/>
  <c r="P286" i="1"/>
  <c r="L286" i="1"/>
  <c r="H286" i="1"/>
  <c r="T285" i="1"/>
  <c r="P285" i="1"/>
  <c r="L285" i="1"/>
  <c r="H285" i="1"/>
  <c r="T284" i="1"/>
  <c r="P284" i="1"/>
  <c r="L284" i="1"/>
  <c r="H284" i="1"/>
  <c r="T283" i="1"/>
  <c r="P283" i="1"/>
  <c r="L283" i="1"/>
  <c r="H283" i="1"/>
  <c r="T282" i="1"/>
  <c r="P282" i="1"/>
  <c r="L282" i="1"/>
  <c r="H282" i="1"/>
  <c r="T281" i="1"/>
  <c r="P281" i="1"/>
  <c r="L281" i="1"/>
  <c r="H281" i="1"/>
  <c r="T280" i="1"/>
  <c r="P280" i="1"/>
  <c r="L280" i="1"/>
  <c r="H280" i="1"/>
  <c r="T279" i="1"/>
  <c r="P279" i="1"/>
  <c r="L279" i="1"/>
  <c r="H279" i="1"/>
  <c r="T278" i="1"/>
  <c r="P278" i="1"/>
  <c r="L278" i="1"/>
  <c r="H278" i="1"/>
  <c r="S15" i="3"/>
  <c r="R15" i="3"/>
  <c r="Q15" i="3"/>
  <c r="O15" i="3"/>
  <c r="N15" i="3"/>
  <c r="M15" i="3"/>
  <c r="K15" i="3"/>
  <c r="J15" i="3"/>
  <c r="I15" i="3"/>
  <c r="G15" i="3"/>
  <c r="F15" i="3"/>
  <c r="E15" i="3"/>
  <c r="T256" i="1"/>
  <c r="P256" i="1"/>
  <c r="L256" i="1"/>
  <c r="H256" i="1"/>
  <c r="T255" i="1"/>
  <c r="P255" i="1"/>
  <c r="L255" i="1"/>
  <c r="H255" i="1"/>
  <c r="T254" i="1"/>
  <c r="P254" i="1"/>
  <c r="L254" i="1"/>
  <c r="H254" i="1"/>
  <c r="T253" i="1"/>
  <c r="P253" i="1"/>
  <c r="L253" i="1"/>
  <c r="H253" i="1"/>
  <c r="T252" i="1"/>
  <c r="P252" i="1"/>
  <c r="L252" i="1"/>
  <c r="H252" i="1"/>
  <c r="T251" i="1"/>
  <c r="P251" i="1"/>
  <c r="L251" i="1"/>
  <c r="H251" i="1"/>
  <c r="T250" i="1"/>
  <c r="P250" i="1"/>
  <c r="L250" i="1"/>
  <c r="H250" i="1"/>
  <c r="T249" i="1"/>
  <c r="P249" i="1"/>
  <c r="L249" i="1"/>
  <c r="H249" i="1"/>
  <c r="T248" i="1"/>
  <c r="P248" i="1"/>
  <c r="L248" i="1"/>
  <c r="H248" i="1"/>
  <c r="T247" i="1"/>
  <c r="P247" i="1"/>
  <c r="L247" i="1"/>
  <c r="H247" i="1"/>
  <c r="T246" i="1"/>
  <c r="P246" i="1"/>
  <c r="L246" i="1"/>
  <c r="H246" i="1"/>
  <c r="T245" i="1"/>
  <c r="P245" i="1"/>
  <c r="L245" i="1"/>
  <c r="H245" i="1"/>
  <c r="T244" i="1"/>
  <c r="P244" i="1"/>
  <c r="L244" i="1"/>
  <c r="H244" i="1"/>
  <c r="T243" i="1"/>
  <c r="P243" i="1"/>
  <c r="L243" i="1"/>
  <c r="H243" i="1"/>
  <c r="T242" i="1"/>
  <c r="P242" i="1"/>
  <c r="L242" i="1"/>
  <c r="H242" i="1"/>
  <c r="T241" i="1"/>
  <c r="P241" i="1"/>
  <c r="L241" i="1"/>
  <c r="H241" i="1"/>
  <c r="T240" i="1"/>
  <c r="P240" i="1"/>
  <c r="L240" i="1"/>
  <c r="H240" i="1"/>
  <c r="T239" i="1"/>
  <c r="P239" i="1"/>
  <c r="L239" i="1"/>
  <c r="H239" i="1"/>
  <c r="T238" i="1"/>
  <c r="P238" i="1"/>
  <c r="L238" i="1"/>
  <c r="H238" i="1"/>
  <c r="T237" i="1"/>
  <c r="P237" i="1"/>
  <c r="L237" i="1"/>
  <c r="H237" i="1"/>
  <c r="T236" i="1"/>
  <c r="P236" i="1"/>
  <c r="L236" i="1"/>
  <c r="H236" i="1"/>
  <c r="A236" i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T235" i="1"/>
  <c r="P235" i="1"/>
  <c r="L235" i="1"/>
  <c r="H235" i="1"/>
  <c r="S14" i="3"/>
  <c r="R14" i="3"/>
  <c r="Q14" i="3"/>
  <c r="O14" i="3"/>
  <c r="N14" i="3"/>
  <c r="M14" i="3"/>
  <c r="K14" i="3"/>
  <c r="J14" i="3"/>
  <c r="I14" i="3"/>
  <c r="G14" i="3"/>
  <c r="F14" i="3"/>
  <c r="E14" i="3"/>
  <c r="T213" i="1"/>
  <c r="P213" i="1"/>
  <c r="L213" i="1"/>
  <c r="H213" i="1"/>
  <c r="T212" i="1"/>
  <c r="P212" i="1"/>
  <c r="L212" i="1"/>
  <c r="H212" i="1"/>
  <c r="T211" i="1"/>
  <c r="P211" i="1"/>
  <c r="L211" i="1"/>
  <c r="H211" i="1"/>
  <c r="T210" i="1"/>
  <c r="P210" i="1"/>
  <c r="L210" i="1"/>
  <c r="H210" i="1"/>
  <c r="T209" i="1"/>
  <c r="P209" i="1"/>
  <c r="L209" i="1"/>
  <c r="H209" i="1"/>
  <c r="T208" i="1"/>
  <c r="P208" i="1"/>
  <c r="L208" i="1"/>
  <c r="H208" i="1"/>
  <c r="T207" i="1"/>
  <c r="P207" i="1"/>
  <c r="L207" i="1"/>
  <c r="H207" i="1"/>
  <c r="T206" i="1"/>
  <c r="P206" i="1"/>
  <c r="L206" i="1"/>
  <c r="H206" i="1"/>
  <c r="T205" i="1"/>
  <c r="P205" i="1"/>
  <c r="L205" i="1"/>
  <c r="H205" i="1"/>
  <c r="T204" i="1"/>
  <c r="P204" i="1"/>
  <c r="L204" i="1"/>
  <c r="H204" i="1"/>
  <c r="T203" i="1"/>
  <c r="P203" i="1"/>
  <c r="L203" i="1"/>
  <c r="H203" i="1"/>
  <c r="T202" i="1"/>
  <c r="P202" i="1"/>
  <c r="L202" i="1"/>
  <c r="H202" i="1"/>
  <c r="T201" i="1"/>
  <c r="P201" i="1"/>
  <c r="L201" i="1"/>
  <c r="H201" i="1"/>
  <c r="T200" i="1"/>
  <c r="P200" i="1"/>
  <c r="L200" i="1"/>
  <c r="H200" i="1"/>
  <c r="T199" i="1"/>
  <c r="P199" i="1"/>
  <c r="L199" i="1"/>
  <c r="H199" i="1"/>
  <c r="T198" i="1"/>
  <c r="P198" i="1"/>
  <c r="L198" i="1"/>
  <c r="H198" i="1"/>
  <c r="T197" i="1"/>
  <c r="P197" i="1"/>
  <c r="L197" i="1"/>
  <c r="H197" i="1"/>
  <c r="T196" i="1"/>
  <c r="P196" i="1"/>
  <c r="L196" i="1"/>
  <c r="H196" i="1"/>
  <c r="T195" i="1"/>
  <c r="P195" i="1"/>
  <c r="L195" i="1"/>
  <c r="H195" i="1"/>
  <c r="T194" i="1"/>
  <c r="P194" i="1"/>
  <c r="L194" i="1"/>
  <c r="H194" i="1"/>
  <c r="T193" i="1"/>
  <c r="P193" i="1"/>
  <c r="L193" i="1"/>
  <c r="H193" i="1"/>
  <c r="A193" i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T192" i="1"/>
  <c r="P192" i="1"/>
  <c r="L192" i="1"/>
  <c r="H192" i="1"/>
  <c r="S13" i="3"/>
  <c r="R13" i="3"/>
  <c r="Q13" i="3"/>
  <c r="O13" i="3"/>
  <c r="N13" i="3"/>
  <c r="M13" i="3"/>
  <c r="K13" i="3"/>
  <c r="J13" i="3"/>
  <c r="I13" i="3"/>
  <c r="G13" i="3"/>
  <c r="F13" i="3"/>
  <c r="E13" i="3"/>
  <c r="T170" i="1"/>
  <c r="P170" i="1"/>
  <c r="L170" i="1"/>
  <c r="H170" i="1"/>
  <c r="T169" i="1"/>
  <c r="P169" i="1"/>
  <c r="L169" i="1"/>
  <c r="H169" i="1"/>
  <c r="T168" i="1"/>
  <c r="P168" i="1"/>
  <c r="L168" i="1"/>
  <c r="H168" i="1"/>
  <c r="T167" i="1"/>
  <c r="P167" i="1"/>
  <c r="L167" i="1"/>
  <c r="H167" i="1"/>
  <c r="T166" i="1"/>
  <c r="P166" i="1"/>
  <c r="L166" i="1"/>
  <c r="H166" i="1"/>
  <c r="T165" i="1"/>
  <c r="P165" i="1"/>
  <c r="L165" i="1"/>
  <c r="H165" i="1"/>
  <c r="T164" i="1"/>
  <c r="P164" i="1"/>
  <c r="L164" i="1"/>
  <c r="H164" i="1"/>
  <c r="T163" i="1"/>
  <c r="P163" i="1"/>
  <c r="L163" i="1"/>
  <c r="H163" i="1"/>
  <c r="T162" i="1"/>
  <c r="P162" i="1"/>
  <c r="L162" i="1"/>
  <c r="H162" i="1"/>
  <c r="T161" i="1"/>
  <c r="P161" i="1"/>
  <c r="L161" i="1"/>
  <c r="H161" i="1"/>
  <c r="T160" i="1"/>
  <c r="P160" i="1"/>
  <c r="L160" i="1"/>
  <c r="H160" i="1"/>
  <c r="T159" i="1"/>
  <c r="P159" i="1"/>
  <c r="L159" i="1"/>
  <c r="H159" i="1"/>
  <c r="T158" i="1"/>
  <c r="P158" i="1"/>
  <c r="L158" i="1"/>
  <c r="H158" i="1"/>
  <c r="T157" i="1"/>
  <c r="P157" i="1"/>
  <c r="L157" i="1"/>
  <c r="H157" i="1"/>
  <c r="T156" i="1"/>
  <c r="P156" i="1"/>
  <c r="L156" i="1"/>
  <c r="H156" i="1"/>
  <c r="T155" i="1"/>
  <c r="P155" i="1"/>
  <c r="L155" i="1"/>
  <c r="H155" i="1"/>
  <c r="T154" i="1"/>
  <c r="P154" i="1"/>
  <c r="L154" i="1"/>
  <c r="H154" i="1"/>
  <c r="T153" i="1"/>
  <c r="P153" i="1"/>
  <c r="L153" i="1"/>
  <c r="H153" i="1"/>
  <c r="T152" i="1"/>
  <c r="P152" i="1"/>
  <c r="L152" i="1"/>
  <c r="H152" i="1"/>
  <c r="T151" i="1"/>
  <c r="P151" i="1"/>
  <c r="L151" i="1"/>
  <c r="H151" i="1"/>
  <c r="T150" i="1"/>
  <c r="P150" i="1"/>
  <c r="L150" i="1"/>
  <c r="H150" i="1"/>
  <c r="A150" i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T149" i="1"/>
  <c r="P149" i="1"/>
  <c r="L149" i="1"/>
  <c r="H149" i="1"/>
  <c r="S12" i="3"/>
  <c r="R12" i="3"/>
  <c r="Q12" i="3"/>
  <c r="O12" i="3"/>
  <c r="N12" i="3"/>
  <c r="M12" i="3"/>
  <c r="K12" i="3"/>
  <c r="J12" i="3"/>
  <c r="I12" i="3"/>
  <c r="G12" i="3"/>
  <c r="E12" i="3"/>
  <c r="T127" i="1"/>
  <c r="P127" i="1"/>
  <c r="L127" i="1"/>
  <c r="H127" i="1"/>
  <c r="T126" i="1"/>
  <c r="P126" i="1"/>
  <c r="L126" i="1"/>
  <c r="H126" i="1"/>
  <c r="T125" i="1"/>
  <c r="P125" i="1"/>
  <c r="L125" i="1"/>
  <c r="H125" i="1"/>
  <c r="T124" i="1"/>
  <c r="P124" i="1"/>
  <c r="L124" i="1"/>
  <c r="H124" i="1"/>
  <c r="T123" i="1"/>
  <c r="P123" i="1"/>
  <c r="L123" i="1"/>
  <c r="H123" i="1"/>
  <c r="T122" i="1"/>
  <c r="P122" i="1"/>
  <c r="L122" i="1"/>
  <c r="H122" i="1"/>
  <c r="T121" i="1"/>
  <c r="P121" i="1"/>
  <c r="L121" i="1"/>
  <c r="H121" i="1"/>
  <c r="T120" i="1"/>
  <c r="P120" i="1"/>
  <c r="L120" i="1"/>
  <c r="H120" i="1"/>
  <c r="T119" i="1"/>
  <c r="P119" i="1"/>
  <c r="L119" i="1"/>
  <c r="H119" i="1"/>
  <c r="T118" i="1"/>
  <c r="P118" i="1"/>
  <c r="L118" i="1"/>
  <c r="H118" i="1"/>
  <c r="T117" i="1"/>
  <c r="P117" i="1"/>
  <c r="L117" i="1"/>
  <c r="H117" i="1"/>
  <c r="T116" i="1"/>
  <c r="P116" i="1"/>
  <c r="L116" i="1"/>
  <c r="H116" i="1"/>
  <c r="T115" i="1"/>
  <c r="P115" i="1"/>
  <c r="L115" i="1"/>
  <c r="H115" i="1"/>
  <c r="T114" i="1"/>
  <c r="P114" i="1"/>
  <c r="L114" i="1"/>
  <c r="H114" i="1"/>
  <c r="T113" i="1"/>
  <c r="P113" i="1"/>
  <c r="L113" i="1"/>
  <c r="H113" i="1"/>
  <c r="T112" i="1"/>
  <c r="P112" i="1"/>
  <c r="L112" i="1"/>
  <c r="H112" i="1"/>
  <c r="T111" i="1"/>
  <c r="P111" i="1"/>
  <c r="L111" i="1"/>
  <c r="H111" i="1"/>
  <c r="T110" i="1"/>
  <c r="P110" i="1"/>
  <c r="L110" i="1"/>
  <c r="H110" i="1"/>
  <c r="T109" i="1"/>
  <c r="P109" i="1"/>
  <c r="L109" i="1"/>
  <c r="H109" i="1"/>
  <c r="T108" i="1"/>
  <c r="P108" i="1"/>
  <c r="L108" i="1"/>
  <c r="H108" i="1"/>
  <c r="T107" i="1"/>
  <c r="P107" i="1"/>
  <c r="L107" i="1"/>
  <c r="H107" i="1"/>
  <c r="A107" i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T106" i="1"/>
  <c r="P106" i="1"/>
  <c r="L106" i="1"/>
  <c r="S11" i="3"/>
  <c r="R11" i="3"/>
  <c r="O11" i="3"/>
  <c r="N11" i="3"/>
  <c r="M11" i="3"/>
  <c r="K11" i="3"/>
  <c r="J11" i="3"/>
  <c r="T83" i="1"/>
  <c r="P83" i="1"/>
  <c r="L83" i="1"/>
  <c r="T82" i="1"/>
  <c r="P82" i="1"/>
  <c r="L82" i="1"/>
  <c r="T81" i="1"/>
  <c r="P81" i="1"/>
  <c r="L81" i="1"/>
  <c r="T80" i="1"/>
  <c r="P80" i="1"/>
  <c r="L80" i="1"/>
  <c r="T79" i="1"/>
  <c r="P79" i="1"/>
  <c r="L79" i="1"/>
  <c r="T78" i="1"/>
  <c r="P78" i="1"/>
  <c r="L78" i="1"/>
  <c r="T77" i="1"/>
  <c r="P77" i="1"/>
  <c r="L77" i="1"/>
  <c r="T76" i="1"/>
  <c r="P76" i="1"/>
  <c r="L76" i="1"/>
  <c r="T75" i="1"/>
  <c r="P75" i="1"/>
  <c r="L75" i="1"/>
  <c r="T74" i="1"/>
  <c r="P74" i="1"/>
  <c r="L74" i="1"/>
  <c r="T73" i="1"/>
  <c r="P73" i="1"/>
  <c r="L73" i="1"/>
  <c r="T72" i="1"/>
  <c r="P72" i="1"/>
  <c r="L72" i="1"/>
  <c r="T71" i="1"/>
  <c r="P71" i="1"/>
  <c r="L71" i="1"/>
  <c r="T70" i="1"/>
  <c r="P70" i="1"/>
  <c r="L70" i="1"/>
  <c r="T69" i="1"/>
  <c r="P69" i="1"/>
  <c r="L69" i="1"/>
  <c r="T68" i="1"/>
  <c r="P68" i="1"/>
  <c r="L68" i="1"/>
  <c r="T67" i="1"/>
  <c r="P67" i="1"/>
  <c r="L67" i="1"/>
  <c r="T66" i="1"/>
  <c r="P66" i="1"/>
  <c r="L66" i="1"/>
  <c r="T65" i="1"/>
  <c r="P65" i="1"/>
  <c r="L65" i="1"/>
  <c r="T64" i="1"/>
  <c r="P64" i="1"/>
  <c r="L64" i="1"/>
  <c r="T63" i="1"/>
  <c r="P63" i="1"/>
  <c r="L63" i="1"/>
  <c r="A63" i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T62" i="1"/>
  <c r="P62" i="1"/>
  <c r="T17" i="1"/>
  <c r="T39" i="1"/>
  <c r="H108" i="3" s="1"/>
  <c r="T38" i="1"/>
  <c r="H107" i="3" s="1"/>
  <c r="T37" i="1"/>
  <c r="H106" i="3" s="1"/>
  <c r="T36" i="1"/>
  <c r="H105" i="3" s="1"/>
  <c r="T35" i="1"/>
  <c r="H104" i="3" s="1"/>
  <c r="T34" i="1"/>
  <c r="H103" i="3" s="1"/>
  <c r="T33" i="1"/>
  <c r="H102" i="3" s="1"/>
  <c r="T32" i="1"/>
  <c r="H101" i="3" s="1"/>
  <c r="T31" i="1"/>
  <c r="H100" i="3" s="1"/>
  <c r="T30" i="1"/>
  <c r="H99" i="3" s="1"/>
  <c r="T29" i="1"/>
  <c r="H98" i="3" s="1"/>
  <c r="T28" i="1"/>
  <c r="H97" i="3" s="1"/>
  <c r="T27" i="1"/>
  <c r="H96" i="3" s="1"/>
  <c r="T26" i="1"/>
  <c r="H95" i="3" s="1"/>
  <c r="T25" i="1"/>
  <c r="H94" i="3" s="1"/>
  <c r="T24" i="1"/>
  <c r="H93" i="3" s="1"/>
  <c r="T23" i="1"/>
  <c r="H92" i="3" s="1"/>
  <c r="T22" i="1"/>
  <c r="H91" i="3" s="1"/>
  <c r="T21" i="1"/>
  <c r="H90" i="3" s="1"/>
  <c r="T20" i="1"/>
  <c r="H89" i="3" s="1"/>
  <c r="T19" i="1"/>
  <c r="H88" i="3" s="1"/>
  <c r="T18" i="1"/>
  <c r="H87" i="3" s="1"/>
  <c r="P39" i="1"/>
  <c r="G108" i="3" s="1"/>
  <c r="P36" i="1"/>
  <c r="G105" i="3" s="1"/>
  <c r="P35" i="1"/>
  <c r="G104" i="3" s="1"/>
  <c r="P32" i="1"/>
  <c r="G101" i="3" s="1"/>
  <c r="P31" i="1"/>
  <c r="G100" i="3" s="1"/>
  <c r="P28" i="1"/>
  <c r="G97" i="3" s="1"/>
  <c r="P27" i="1"/>
  <c r="G96" i="3" s="1"/>
  <c r="P24" i="1"/>
  <c r="G93" i="3" s="1"/>
  <c r="P23" i="1"/>
  <c r="G92" i="3" s="1"/>
  <c r="P20" i="1"/>
  <c r="G89" i="3" s="1"/>
  <c r="P19" i="1"/>
  <c r="G88" i="3" s="1"/>
  <c r="P18" i="1"/>
  <c r="F87" i="3"/>
  <c r="L19" i="1"/>
  <c r="F88" i="3" s="1"/>
  <c r="L20" i="1"/>
  <c r="F89" i="3" s="1"/>
  <c r="L24" i="1"/>
  <c r="F93" i="3" s="1"/>
  <c r="L25" i="1"/>
  <c r="F94" i="3" s="1"/>
  <c r="L28" i="1"/>
  <c r="F97" i="3" s="1"/>
  <c r="L29" i="1"/>
  <c r="F98" i="3" s="1"/>
  <c r="L31" i="1"/>
  <c r="F100" i="3" s="1"/>
  <c r="L36" i="1"/>
  <c r="F105" i="3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D313" i="1" l="1"/>
  <c r="D98" i="1"/>
  <c r="D258" i="1"/>
  <c r="D312" i="1"/>
  <c r="D82" i="1"/>
  <c r="D315" i="1"/>
  <c r="D130" i="1"/>
  <c r="D223" i="1"/>
  <c r="D137" i="1"/>
  <c r="D140" i="1"/>
  <c r="D229" i="1"/>
  <c r="D177" i="1"/>
  <c r="D220" i="1"/>
  <c r="D179" i="1"/>
  <c r="D314" i="1"/>
  <c r="D309" i="1"/>
  <c r="D219" i="1"/>
  <c r="D178" i="1"/>
  <c r="D138" i="1"/>
  <c r="D300" i="1"/>
  <c r="D310" i="1"/>
  <c r="D267" i="1"/>
  <c r="D272" i="1"/>
  <c r="D268" i="1"/>
  <c r="D186" i="1"/>
  <c r="D182" i="1"/>
  <c r="D171" i="1"/>
  <c r="D176" i="1"/>
  <c r="D139" i="1"/>
  <c r="D141" i="1"/>
  <c r="D266" i="1"/>
  <c r="D221" i="1"/>
  <c r="D226" i="1"/>
  <c r="D183" i="1"/>
  <c r="D180" i="1"/>
  <c r="D184" i="1"/>
  <c r="D185" i="1"/>
  <c r="D134" i="1"/>
  <c r="D133" i="1"/>
  <c r="D128" i="1"/>
  <c r="D85" i="1"/>
  <c r="D142" i="1"/>
  <c r="D270" i="1"/>
  <c r="D62" i="1"/>
  <c r="D181" i="1"/>
  <c r="D222" i="1"/>
  <c r="D308" i="1"/>
  <c r="D90" i="1"/>
  <c r="D228" i="1"/>
  <c r="D311" i="1"/>
  <c r="D227" i="1"/>
  <c r="D269" i="1"/>
  <c r="D225" i="1"/>
  <c r="D143" i="1"/>
  <c r="D265" i="1"/>
  <c r="D135" i="1"/>
  <c r="D307" i="1"/>
  <c r="D86" i="1"/>
  <c r="D214" i="1"/>
  <c r="D94" i="1"/>
  <c r="D264" i="1"/>
  <c r="T15" i="3"/>
  <c r="M34" i="3" s="1"/>
  <c r="G87" i="3"/>
  <c r="G86" i="3" s="1"/>
  <c r="D18" i="1"/>
  <c r="P174" i="2"/>
  <c r="D174" i="2" s="1"/>
  <c r="P42" i="2"/>
  <c r="G70" i="3" s="1"/>
  <c r="S7" i="3"/>
  <c r="S6" i="3" s="1"/>
  <c r="S5" i="2"/>
  <c r="R7" i="3"/>
  <c r="R6" i="3" s="1"/>
  <c r="R5" i="2"/>
  <c r="T86" i="2"/>
  <c r="T42" i="2"/>
  <c r="H70" i="3" s="1"/>
  <c r="N7" i="3"/>
  <c r="N6" i="3" s="1"/>
  <c r="N5" i="2"/>
  <c r="O7" i="3"/>
  <c r="O6" i="3" s="1"/>
  <c r="O5" i="2"/>
  <c r="M7" i="3"/>
  <c r="P6" i="2"/>
  <c r="K7" i="3"/>
  <c r="K6" i="3" s="1"/>
  <c r="K5" i="2"/>
  <c r="J7" i="3"/>
  <c r="J6" i="3" s="1"/>
  <c r="J5" i="2"/>
  <c r="L86" i="2"/>
  <c r="L42" i="2"/>
  <c r="F70" i="3" s="1"/>
  <c r="G7" i="3"/>
  <c r="G6" i="3" s="1"/>
  <c r="G5" i="2"/>
  <c r="H86" i="2"/>
  <c r="F7" i="3"/>
  <c r="F6" i="3" s="1"/>
  <c r="F5" i="2"/>
  <c r="D257" i="1"/>
  <c r="T12" i="3"/>
  <c r="M31" i="3" s="1"/>
  <c r="D95" i="1"/>
  <c r="D87" i="1"/>
  <c r="T13" i="3"/>
  <c r="M32" i="3" s="1"/>
  <c r="D235" i="1"/>
  <c r="T11" i="3"/>
  <c r="M30" i="3" s="1"/>
  <c r="T14" i="3"/>
  <c r="M33" i="3" s="1"/>
  <c r="T16" i="3"/>
  <c r="M35" i="3" s="1"/>
  <c r="K10" i="3"/>
  <c r="P11" i="3"/>
  <c r="G10" i="3"/>
  <c r="S10" i="3"/>
  <c r="D236" i="1"/>
  <c r="Q10" i="3"/>
  <c r="D194" i="1"/>
  <c r="D196" i="1"/>
  <c r="D198" i="1"/>
  <c r="D201" i="1"/>
  <c r="D203" i="1"/>
  <c r="D205" i="1"/>
  <c r="D207" i="1"/>
  <c r="D209" i="1"/>
  <c r="D212" i="1"/>
  <c r="D193" i="1"/>
  <c r="D195" i="1"/>
  <c r="D197" i="1"/>
  <c r="D199" i="1"/>
  <c r="D200" i="1"/>
  <c r="D202" i="1"/>
  <c r="D204" i="1"/>
  <c r="D206" i="1"/>
  <c r="D208" i="1"/>
  <c r="D210" i="1"/>
  <c r="D211" i="1"/>
  <c r="D213" i="1"/>
  <c r="L43" i="1"/>
  <c r="F112" i="3" s="1"/>
  <c r="D112" i="3" s="1"/>
  <c r="V30" i="4" s="1"/>
  <c r="O10" i="3"/>
  <c r="O5" i="3" s="1"/>
  <c r="N10" i="3"/>
  <c r="J10" i="3"/>
  <c r="D66" i="1"/>
  <c r="D69" i="1"/>
  <c r="D79" i="1"/>
  <c r="D70" i="1"/>
  <c r="D99" i="1"/>
  <c r="D91" i="1"/>
  <c r="D83" i="1"/>
  <c r="D75" i="1"/>
  <c r="D67" i="1"/>
  <c r="D63" i="1"/>
  <c r="G5" i="1"/>
  <c r="P12" i="3"/>
  <c r="L31" i="3" s="1"/>
  <c r="H14" i="3"/>
  <c r="L15" i="3"/>
  <c r="P16" i="3"/>
  <c r="L12" i="3"/>
  <c r="K31" i="3" s="1"/>
  <c r="P13" i="3"/>
  <c r="L32" i="3" s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H15" i="3"/>
  <c r="D278" i="1"/>
  <c r="L16" i="3"/>
  <c r="K35" i="3" s="1"/>
  <c r="J5" i="1"/>
  <c r="O5" i="1"/>
  <c r="H26" i="1"/>
  <c r="E95" i="3" s="1"/>
  <c r="D78" i="1"/>
  <c r="D74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49" i="1"/>
  <c r="L13" i="3"/>
  <c r="K32" i="3" s="1"/>
  <c r="P14" i="3"/>
  <c r="L33" i="3" s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K5" i="1"/>
  <c r="Q5" i="1"/>
  <c r="I5" i="1"/>
  <c r="H23" i="1"/>
  <c r="E92" i="3" s="1"/>
  <c r="L55" i="1"/>
  <c r="F124" i="3" s="1"/>
  <c r="D124" i="3" s="1"/>
  <c r="V42" i="4" s="1"/>
  <c r="L51" i="1"/>
  <c r="F120" i="3" s="1"/>
  <c r="D120" i="3" s="1"/>
  <c r="V38" i="4" s="1"/>
  <c r="L47" i="1"/>
  <c r="F116" i="3" s="1"/>
  <c r="D116" i="3" s="1"/>
  <c r="V34" i="4" s="1"/>
  <c r="L35" i="1"/>
  <c r="F104" i="3" s="1"/>
  <c r="D104" i="3" s="1"/>
  <c r="V22" i="4" s="1"/>
  <c r="L27" i="1"/>
  <c r="F96" i="3" s="1"/>
  <c r="D96" i="3" s="1"/>
  <c r="V14" i="4" s="1"/>
  <c r="L23" i="1"/>
  <c r="F92" i="3" s="1"/>
  <c r="D97" i="1"/>
  <c r="D93" i="1"/>
  <c r="D89" i="1"/>
  <c r="D81" i="1"/>
  <c r="D77" i="1"/>
  <c r="D73" i="1"/>
  <c r="D65" i="1"/>
  <c r="L61" i="1"/>
  <c r="H86" i="3"/>
  <c r="M10" i="3"/>
  <c r="R10" i="3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H13" i="3"/>
  <c r="D192" i="1"/>
  <c r="L14" i="3"/>
  <c r="K33" i="3" s="1"/>
  <c r="P15" i="3"/>
  <c r="L34" i="3" s="1"/>
  <c r="R5" i="1"/>
  <c r="H52" i="1"/>
  <c r="E121" i="3" s="1"/>
  <c r="H48" i="1"/>
  <c r="E117" i="3" s="1"/>
  <c r="D117" i="3" s="1"/>
  <c r="V35" i="4" s="1"/>
  <c r="H44" i="1"/>
  <c r="E113" i="3" s="1"/>
  <c r="D113" i="3" s="1"/>
  <c r="V31" i="4" s="1"/>
  <c r="H40" i="1"/>
  <c r="E109" i="3" s="1"/>
  <c r="D109" i="3" s="1"/>
  <c r="V27" i="4" s="1"/>
  <c r="H36" i="1"/>
  <c r="E105" i="3" s="1"/>
  <c r="D105" i="3" s="1"/>
  <c r="V23" i="4" s="1"/>
  <c r="H32" i="1"/>
  <c r="E101" i="3" s="1"/>
  <c r="H28" i="1"/>
  <c r="E97" i="3" s="1"/>
  <c r="D97" i="3" s="1"/>
  <c r="V15" i="4" s="1"/>
  <c r="H24" i="1"/>
  <c r="E93" i="3" s="1"/>
  <c r="D93" i="3" s="1"/>
  <c r="V11" i="4" s="1"/>
  <c r="H19" i="1"/>
  <c r="D19" i="1" s="1"/>
  <c r="D96" i="1"/>
  <c r="D92" i="1"/>
  <c r="D88" i="1"/>
  <c r="D84" i="1"/>
  <c r="D80" i="1"/>
  <c r="D76" i="1"/>
  <c r="D72" i="1"/>
  <c r="D68" i="1"/>
  <c r="D64" i="1"/>
  <c r="N5" i="1"/>
  <c r="S5" i="1"/>
  <c r="D108" i="3"/>
  <c r="V26" i="4" s="1"/>
  <c r="D100" i="3"/>
  <c r="V18" i="4" s="1"/>
  <c r="D71" i="1"/>
  <c r="I10" i="3"/>
  <c r="L11" i="3"/>
  <c r="H277" i="1"/>
  <c r="E16" i="3"/>
  <c r="H16" i="3" s="1"/>
  <c r="J35" i="3" s="1"/>
  <c r="D39" i="1"/>
  <c r="H37" i="1"/>
  <c r="D31" i="1"/>
  <c r="H25" i="1"/>
  <c r="H21" i="1"/>
  <c r="D89" i="2"/>
  <c r="D93" i="2"/>
  <c r="D87" i="2"/>
  <c r="D88" i="2"/>
  <c r="P58" i="2"/>
  <c r="D90" i="2"/>
  <c r="D91" i="2"/>
  <c r="D92" i="2"/>
  <c r="L18" i="2"/>
  <c r="F46" i="3" s="1"/>
  <c r="G14" i="2"/>
  <c r="D94" i="2"/>
  <c r="D95" i="2"/>
  <c r="D96" i="2"/>
  <c r="L43" i="2"/>
  <c r="F71" i="3" s="1"/>
  <c r="L44" i="2"/>
  <c r="F72" i="3" s="1"/>
  <c r="L45" i="2"/>
  <c r="F73" i="3" s="1"/>
  <c r="L46" i="2"/>
  <c r="F74" i="3" s="1"/>
  <c r="L47" i="2"/>
  <c r="F75" i="3" s="1"/>
  <c r="L48" i="2"/>
  <c r="F76" i="3" s="1"/>
  <c r="L49" i="2"/>
  <c r="F77" i="3" s="1"/>
  <c r="L50" i="2"/>
  <c r="F78" i="3" s="1"/>
  <c r="L51" i="2"/>
  <c r="F79" i="3" s="1"/>
  <c r="L52" i="2"/>
  <c r="F80" i="3" s="1"/>
  <c r="H42" i="2"/>
  <c r="E70" i="3" s="1"/>
  <c r="H43" i="2"/>
  <c r="E71" i="3" s="1"/>
  <c r="H44" i="2"/>
  <c r="E72" i="3" s="1"/>
  <c r="H45" i="2"/>
  <c r="E73" i="3" s="1"/>
  <c r="H46" i="2"/>
  <c r="E74" i="3" s="1"/>
  <c r="H47" i="2"/>
  <c r="E75" i="3" s="1"/>
  <c r="H48" i="2"/>
  <c r="E76" i="3" s="1"/>
  <c r="H49" i="2"/>
  <c r="E77" i="3" s="1"/>
  <c r="H50" i="2"/>
  <c r="E78" i="3" s="1"/>
  <c r="H51" i="2"/>
  <c r="E79" i="3" s="1"/>
  <c r="H52" i="2"/>
  <c r="E80" i="3" s="1"/>
  <c r="H20" i="1"/>
  <c r="L53" i="1"/>
  <c r="F122" i="3" s="1"/>
  <c r="D122" i="3" s="1"/>
  <c r="V40" i="4" s="1"/>
  <c r="L41" i="1"/>
  <c r="F110" i="3" s="1"/>
  <c r="D110" i="3" s="1"/>
  <c r="V28" i="4" s="1"/>
  <c r="L37" i="1"/>
  <c r="F106" i="3" s="1"/>
  <c r="L33" i="1"/>
  <c r="F102" i="3" s="1"/>
  <c r="L21" i="1"/>
  <c r="F90" i="3" s="1"/>
  <c r="H49" i="1"/>
  <c r="H45" i="1"/>
  <c r="H33" i="1"/>
  <c r="H29" i="1"/>
  <c r="H42" i="1"/>
  <c r="G17" i="1"/>
  <c r="L52" i="1"/>
  <c r="F121" i="3" s="1"/>
  <c r="L32" i="1"/>
  <c r="F101" i="3" s="1"/>
  <c r="P17" i="1"/>
  <c r="L54" i="1"/>
  <c r="F123" i="3" s="1"/>
  <c r="L50" i="1"/>
  <c r="F119" i="3" s="1"/>
  <c r="L46" i="1"/>
  <c r="F115" i="3" s="1"/>
  <c r="L42" i="1"/>
  <c r="F111" i="3" s="1"/>
  <c r="L38" i="1"/>
  <c r="F107" i="3" s="1"/>
  <c r="L34" i="1"/>
  <c r="F103" i="3" s="1"/>
  <c r="L30" i="1"/>
  <c r="F99" i="3" s="1"/>
  <c r="L26" i="1"/>
  <c r="F95" i="3" s="1"/>
  <c r="L22" i="1"/>
  <c r="F91" i="3" s="1"/>
  <c r="H54" i="1"/>
  <c r="H50" i="1"/>
  <c r="H46" i="1"/>
  <c r="H38" i="1"/>
  <c r="H34" i="1"/>
  <c r="H30" i="1"/>
  <c r="H22" i="1"/>
  <c r="P61" i="1"/>
  <c r="P105" i="1"/>
  <c r="L148" i="1"/>
  <c r="L191" i="1"/>
  <c r="P234" i="1"/>
  <c r="L105" i="1"/>
  <c r="H191" i="1"/>
  <c r="T234" i="1"/>
  <c r="L277" i="1"/>
  <c r="H148" i="1"/>
  <c r="T148" i="1"/>
  <c r="T191" i="1"/>
  <c r="L234" i="1"/>
  <c r="T277" i="1"/>
  <c r="T61" i="1"/>
  <c r="T105" i="1"/>
  <c r="P148" i="1"/>
  <c r="P191" i="1"/>
  <c r="H234" i="1"/>
  <c r="P277" i="1"/>
  <c r="E32" i="3" l="1"/>
  <c r="J32" i="3"/>
  <c r="I32" i="3" s="1"/>
  <c r="E34" i="3"/>
  <c r="J34" i="3"/>
  <c r="G30" i="3"/>
  <c r="L30" i="3"/>
  <c r="F30" i="3"/>
  <c r="K30" i="3"/>
  <c r="G35" i="3"/>
  <c r="L35" i="3"/>
  <c r="I35" i="3" s="1"/>
  <c r="E33" i="3"/>
  <c r="J33" i="3"/>
  <c r="I33" i="3" s="1"/>
  <c r="F34" i="3"/>
  <c r="K34" i="3"/>
  <c r="E35" i="3"/>
  <c r="D16" i="3"/>
  <c r="D86" i="2"/>
  <c r="D36" i="1"/>
  <c r="D46" i="2"/>
  <c r="D49" i="2"/>
  <c r="D45" i="2"/>
  <c r="S5" i="3"/>
  <c r="P7" i="3"/>
  <c r="L26" i="3" s="1"/>
  <c r="N5" i="3"/>
  <c r="D48" i="2"/>
  <c r="D51" i="2"/>
  <c r="D43" i="2"/>
  <c r="D47" i="2"/>
  <c r="D50" i="2"/>
  <c r="D52" i="2"/>
  <c r="D44" i="2"/>
  <c r="D47" i="1"/>
  <c r="K5" i="3"/>
  <c r="G5" i="3"/>
  <c r="D42" i="2"/>
  <c r="P173" i="2"/>
  <c r="D173" i="2" s="1"/>
  <c r="P41" i="2"/>
  <c r="G69" i="3" s="1"/>
  <c r="D77" i="3"/>
  <c r="U39" i="4" s="1"/>
  <c r="D73" i="3"/>
  <c r="U35" i="4" s="1"/>
  <c r="T35" i="4" s="1"/>
  <c r="D79" i="3"/>
  <c r="U41" i="4" s="1"/>
  <c r="D75" i="3"/>
  <c r="U37" i="4" s="1"/>
  <c r="D71" i="3"/>
  <c r="U33" i="4" s="1"/>
  <c r="D78" i="3"/>
  <c r="U40" i="4" s="1"/>
  <c r="T40" i="4" s="1"/>
  <c r="D74" i="3"/>
  <c r="U36" i="4" s="1"/>
  <c r="D80" i="3"/>
  <c r="U42" i="4" s="1"/>
  <c r="T42" i="4" s="1"/>
  <c r="D76" i="3"/>
  <c r="U38" i="4" s="1"/>
  <c r="T38" i="4" s="1"/>
  <c r="D72" i="3"/>
  <c r="U34" i="4" s="1"/>
  <c r="T34" i="4" s="1"/>
  <c r="R5" i="3"/>
  <c r="J5" i="3"/>
  <c r="T85" i="2"/>
  <c r="T41" i="2"/>
  <c r="H69" i="3" s="1"/>
  <c r="L85" i="2"/>
  <c r="L41" i="2"/>
  <c r="F69" i="3" s="1"/>
  <c r="H85" i="2"/>
  <c r="H41" i="2"/>
  <c r="E69" i="3" s="1"/>
  <c r="D35" i="1"/>
  <c r="D40" i="1"/>
  <c r="D234" i="1"/>
  <c r="D24" i="1"/>
  <c r="D43" i="1"/>
  <c r="D61" i="1"/>
  <c r="D191" i="1"/>
  <c r="D277" i="1"/>
  <c r="G31" i="3"/>
  <c r="H30" i="3"/>
  <c r="D27" i="1"/>
  <c r="D44" i="1"/>
  <c r="D48" i="1"/>
  <c r="D28" i="1"/>
  <c r="T5" i="1"/>
  <c r="P5" i="1"/>
  <c r="L10" i="3"/>
  <c r="K29" i="3" s="1"/>
  <c r="D51" i="1"/>
  <c r="D23" i="1"/>
  <c r="D148" i="1"/>
  <c r="P10" i="3"/>
  <c r="L29" i="3" s="1"/>
  <c r="L5" i="1"/>
  <c r="D55" i="1"/>
  <c r="F86" i="3"/>
  <c r="E88" i="3"/>
  <c r="D88" i="3" s="1"/>
  <c r="V6" i="4" s="1"/>
  <c r="D10" i="1"/>
  <c r="D32" i="1"/>
  <c r="D121" i="3"/>
  <c r="V39" i="4" s="1"/>
  <c r="F33" i="3"/>
  <c r="D92" i="3"/>
  <c r="V10" i="4" s="1"/>
  <c r="F32" i="3"/>
  <c r="D8" i="1"/>
  <c r="G26" i="3"/>
  <c r="D26" i="1"/>
  <c r="D11" i="1"/>
  <c r="G32" i="3"/>
  <c r="D9" i="1"/>
  <c r="D41" i="1"/>
  <c r="D52" i="1"/>
  <c r="D95" i="3"/>
  <c r="V13" i="4" s="1"/>
  <c r="F35" i="3"/>
  <c r="F31" i="3"/>
  <c r="D53" i="1"/>
  <c r="D101" i="3"/>
  <c r="V19" i="4" s="1"/>
  <c r="G34" i="3"/>
  <c r="G33" i="3"/>
  <c r="E123" i="3"/>
  <c r="D123" i="3" s="1"/>
  <c r="V41" i="4" s="1"/>
  <c r="D54" i="1"/>
  <c r="E119" i="3"/>
  <c r="D119" i="3" s="1"/>
  <c r="V37" i="4" s="1"/>
  <c r="D50" i="1"/>
  <c r="E118" i="3"/>
  <c r="D118" i="3" s="1"/>
  <c r="V36" i="4" s="1"/>
  <c r="D49" i="1"/>
  <c r="E115" i="3"/>
  <c r="D115" i="3" s="1"/>
  <c r="V33" i="4" s="1"/>
  <c r="D46" i="1"/>
  <c r="E114" i="3"/>
  <c r="D114" i="3" s="1"/>
  <c r="V32" i="4" s="1"/>
  <c r="D45" i="1"/>
  <c r="E111" i="3"/>
  <c r="D111" i="3" s="1"/>
  <c r="V29" i="4" s="1"/>
  <c r="D42" i="1"/>
  <c r="E107" i="3"/>
  <c r="D107" i="3" s="1"/>
  <c r="V25" i="4" s="1"/>
  <c r="D38" i="1"/>
  <c r="E106" i="3"/>
  <c r="D106" i="3" s="1"/>
  <c r="V24" i="4" s="1"/>
  <c r="D37" i="1"/>
  <c r="E103" i="3"/>
  <c r="D103" i="3" s="1"/>
  <c r="V21" i="4" s="1"/>
  <c r="D34" i="1"/>
  <c r="E102" i="3"/>
  <c r="D102" i="3" s="1"/>
  <c r="V20" i="4" s="1"/>
  <c r="D33" i="1"/>
  <c r="E99" i="3"/>
  <c r="D99" i="3" s="1"/>
  <c r="V17" i="4" s="1"/>
  <c r="D30" i="1"/>
  <c r="E98" i="3"/>
  <c r="D98" i="3" s="1"/>
  <c r="V16" i="4" s="1"/>
  <c r="D29" i="1"/>
  <c r="E94" i="3"/>
  <c r="D94" i="3" s="1"/>
  <c r="V12" i="4" s="1"/>
  <c r="D25" i="1"/>
  <c r="D22" i="1"/>
  <c r="E91" i="3"/>
  <c r="D91" i="3" s="1"/>
  <c r="V9" i="4" s="1"/>
  <c r="D21" i="1"/>
  <c r="E90" i="3"/>
  <c r="D90" i="3" s="1"/>
  <c r="V8" i="4" s="1"/>
  <c r="D20" i="1"/>
  <c r="E89" i="3"/>
  <c r="D89" i="3" s="1"/>
  <c r="V7" i="4" s="1"/>
  <c r="T39" i="4" l="1"/>
  <c r="T36" i="4"/>
  <c r="T33" i="4"/>
  <c r="T41" i="4"/>
  <c r="I34" i="3"/>
  <c r="T37" i="4"/>
  <c r="D70" i="3"/>
  <c r="U32" i="4" s="1"/>
  <c r="T32" i="4" s="1"/>
  <c r="D17" i="1"/>
  <c r="D41" i="2"/>
  <c r="P172" i="2"/>
  <c r="D172" i="2" s="1"/>
  <c r="P40" i="2"/>
  <c r="G68" i="3" s="1"/>
  <c r="T84" i="2"/>
  <c r="T40" i="2"/>
  <c r="H68" i="3" s="1"/>
  <c r="D85" i="2"/>
  <c r="L84" i="2"/>
  <c r="L40" i="2"/>
  <c r="F68" i="3" s="1"/>
  <c r="H84" i="2"/>
  <c r="H40" i="2"/>
  <c r="E68" i="3" s="1"/>
  <c r="F29" i="3"/>
  <c r="G29" i="3"/>
  <c r="H11" i="3"/>
  <c r="J30" i="3" s="1"/>
  <c r="I30" i="3" s="1"/>
  <c r="E10" i="3"/>
  <c r="H35" i="3"/>
  <c r="D35" i="3" s="1"/>
  <c r="D69" i="3" l="1"/>
  <c r="U31" i="4" s="1"/>
  <c r="T31" i="4" s="1"/>
  <c r="D40" i="2"/>
  <c r="P171" i="2"/>
  <c r="D171" i="2" s="1"/>
  <c r="P39" i="2"/>
  <c r="G67" i="3" s="1"/>
  <c r="T83" i="2"/>
  <c r="T39" i="2"/>
  <c r="H67" i="3" s="1"/>
  <c r="L83" i="2"/>
  <c r="L39" i="2"/>
  <c r="F67" i="3" s="1"/>
  <c r="D84" i="2"/>
  <c r="H83" i="2"/>
  <c r="H39" i="2"/>
  <c r="E67" i="3" s="1"/>
  <c r="E30" i="3"/>
  <c r="D11" i="3"/>
  <c r="D68" i="3" l="1"/>
  <c r="U30" i="4" s="1"/>
  <c r="T30" i="4" s="1"/>
  <c r="D39" i="2"/>
  <c r="P170" i="2"/>
  <c r="D170" i="2" s="1"/>
  <c r="P38" i="2"/>
  <c r="G66" i="3" s="1"/>
  <c r="D83" i="2"/>
  <c r="T82" i="2"/>
  <c r="T38" i="2"/>
  <c r="H66" i="3" s="1"/>
  <c r="L82" i="2"/>
  <c r="L38" i="2"/>
  <c r="F66" i="3" s="1"/>
  <c r="H82" i="2"/>
  <c r="H38" i="2"/>
  <c r="E66" i="3" s="1"/>
  <c r="H34" i="3"/>
  <c r="D34" i="3" s="1"/>
  <c r="D15" i="3"/>
  <c r="D67" i="3" l="1"/>
  <c r="U29" i="4" s="1"/>
  <c r="T29" i="4" s="1"/>
  <c r="D38" i="2"/>
  <c r="P169" i="2"/>
  <c r="D169" i="2" s="1"/>
  <c r="P37" i="2"/>
  <c r="G65" i="3" s="1"/>
  <c r="T81" i="2"/>
  <c r="T37" i="2"/>
  <c r="H65" i="3" s="1"/>
  <c r="D82" i="2"/>
  <c r="L81" i="2"/>
  <c r="L37" i="2"/>
  <c r="F65" i="3" s="1"/>
  <c r="D66" i="3"/>
  <c r="U28" i="4" s="1"/>
  <c r="T28" i="4" s="1"/>
  <c r="H81" i="2"/>
  <c r="H37" i="2"/>
  <c r="E65" i="3" s="1"/>
  <c r="D14" i="3"/>
  <c r="H33" i="3"/>
  <c r="D33" i="3" s="1"/>
  <c r="D37" i="2" l="1"/>
  <c r="P168" i="2"/>
  <c r="D168" i="2" s="1"/>
  <c r="P36" i="2"/>
  <c r="G64" i="3" s="1"/>
  <c r="D81" i="2"/>
  <c r="T80" i="2"/>
  <c r="T36" i="2"/>
  <c r="H64" i="3" s="1"/>
  <c r="L80" i="2"/>
  <c r="L36" i="2"/>
  <c r="F64" i="3" s="1"/>
  <c r="H80" i="2"/>
  <c r="H36" i="2"/>
  <c r="E64" i="3" s="1"/>
  <c r="D13" i="3"/>
  <c r="H32" i="3"/>
  <c r="D32" i="3" s="1"/>
  <c r="D65" i="3" l="1"/>
  <c r="U27" i="4" s="1"/>
  <c r="T27" i="4" s="1"/>
  <c r="D36" i="2"/>
  <c r="P167" i="2"/>
  <c r="D167" i="2" s="1"/>
  <c r="P35" i="2"/>
  <c r="G63" i="3" s="1"/>
  <c r="D80" i="2"/>
  <c r="T79" i="2"/>
  <c r="T35" i="2"/>
  <c r="H63" i="3" s="1"/>
  <c r="L79" i="2"/>
  <c r="L35" i="2"/>
  <c r="F63" i="3" s="1"/>
  <c r="D64" i="3"/>
  <c r="U26" i="4" s="1"/>
  <c r="T26" i="4" s="1"/>
  <c r="H79" i="2"/>
  <c r="H35" i="2"/>
  <c r="E63" i="3" s="1"/>
  <c r="H31" i="3"/>
  <c r="D35" i="2" l="1"/>
  <c r="P166" i="2"/>
  <c r="D166" i="2" s="1"/>
  <c r="P34" i="2"/>
  <c r="G62" i="3" s="1"/>
  <c r="D79" i="2"/>
  <c r="T78" i="2"/>
  <c r="T34" i="2"/>
  <c r="H62" i="3" s="1"/>
  <c r="L78" i="2"/>
  <c r="L34" i="2"/>
  <c r="F62" i="3" s="1"/>
  <c r="H78" i="2"/>
  <c r="H34" i="2"/>
  <c r="E62" i="3" s="1"/>
  <c r="T10" i="3"/>
  <c r="M29" i="3" s="1"/>
  <c r="D63" i="3" l="1"/>
  <c r="U25" i="4" s="1"/>
  <c r="T25" i="4" s="1"/>
  <c r="D34" i="2"/>
  <c r="P165" i="2"/>
  <c r="D165" i="2" s="1"/>
  <c r="P33" i="2"/>
  <c r="G61" i="3" s="1"/>
  <c r="T77" i="2"/>
  <c r="T33" i="2"/>
  <c r="H61" i="3" s="1"/>
  <c r="D78" i="2"/>
  <c r="L77" i="2"/>
  <c r="L33" i="2"/>
  <c r="F61" i="3" s="1"/>
  <c r="H77" i="2"/>
  <c r="H33" i="2"/>
  <c r="E61" i="3" s="1"/>
  <c r="H29" i="3"/>
  <c r="D30" i="3"/>
  <c r="D62" i="3" l="1"/>
  <c r="U24" i="4" s="1"/>
  <c r="T24" i="4" s="1"/>
  <c r="D33" i="2"/>
  <c r="P164" i="2"/>
  <c r="D164" i="2" s="1"/>
  <c r="P32" i="2"/>
  <c r="G60" i="3" s="1"/>
  <c r="D77" i="2"/>
  <c r="T76" i="2"/>
  <c r="T32" i="2"/>
  <c r="H60" i="3" s="1"/>
  <c r="L76" i="2"/>
  <c r="L32" i="2"/>
  <c r="F60" i="3" s="1"/>
  <c r="H76" i="2"/>
  <c r="H32" i="2"/>
  <c r="E60" i="3" s="1"/>
  <c r="H28" i="3"/>
  <c r="D61" i="3" l="1"/>
  <c r="U23" i="4" s="1"/>
  <c r="T23" i="4" s="1"/>
  <c r="D32" i="2"/>
  <c r="P163" i="2"/>
  <c r="D163" i="2" s="1"/>
  <c r="P31" i="2"/>
  <c r="G59" i="3" s="1"/>
  <c r="T75" i="2"/>
  <c r="T31" i="2"/>
  <c r="H59" i="3" s="1"/>
  <c r="D76" i="2"/>
  <c r="L75" i="2"/>
  <c r="L31" i="2"/>
  <c r="F59" i="3" s="1"/>
  <c r="H75" i="2"/>
  <c r="H31" i="2"/>
  <c r="E59" i="3" s="1"/>
  <c r="H27" i="3"/>
  <c r="D27" i="3" s="1"/>
  <c r="D8" i="3"/>
  <c r="D60" i="3" l="1"/>
  <c r="U22" i="4" s="1"/>
  <c r="T22" i="4" s="1"/>
  <c r="D31" i="2"/>
  <c r="P162" i="2"/>
  <c r="D162" i="2" s="1"/>
  <c r="P30" i="2"/>
  <c r="G58" i="3" s="1"/>
  <c r="D75" i="2"/>
  <c r="T74" i="2"/>
  <c r="T30" i="2"/>
  <c r="H58" i="3" s="1"/>
  <c r="L74" i="2"/>
  <c r="L30" i="2"/>
  <c r="F58" i="3" s="1"/>
  <c r="H74" i="2"/>
  <c r="H30" i="2"/>
  <c r="E58" i="3" s="1"/>
  <c r="D59" i="3" l="1"/>
  <c r="U21" i="4" s="1"/>
  <c r="T21" i="4" s="1"/>
  <c r="D30" i="2"/>
  <c r="P161" i="2"/>
  <c r="D161" i="2" s="1"/>
  <c r="P29" i="2"/>
  <c r="G57" i="3" s="1"/>
  <c r="D74" i="2"/>
  <c r="T73" i="2"/>
  <c r="T29" i="2"/>
  <c r="H57" i="3" s="1"/>
  <c r="L73" i="2"/>
  <c r="L29" i="2"/>
  <c r="F57" i="3" s="1"/>
  <c r="H73" i="2"/>
  <c r="H29" i="2"/>
  <c r="E57" i="3" s="1"/>
  <c r="D58" i="3" l="1"/>
  <c r="U20" i="4" s="1"/>
  <c r="T20" i="4" s="1"/>
  <c r="D29" i="2"/>
  <c r="P160" i="2"/>
  <c r="D160" i="2" s="1"/>
  <c r="P28" i="2"/>
  <c r="G56" i="3" s="1"/>
  <c r="D73" i="2"/>
  <c r="T72" i="2"/>
  <c r="T28" i="2"/>
  <c r="H56" i="3" s="1"/>
  <c r="L72" i="2"/>
  <c r="L28" i="2"/>
  <c r="F56" i="3" s="1"/>
  <c r="H72" i="2"/>
  <c r="H28" i="2"/>
  <c r="E56" i="3" s="1"/>
  <c r="H105" i="1"/>
  <c r="D7" i="1" s="1"/>
  <c r="D5" i="1" s="1"/>
  <c r="H106" i="1"/>
  <c r="D106" i="1" s="1"/>
  <c r="D105" i="1" s="1"/>
  <c r="D57" i="3" l="1"/>
  <c r="U19" i="4" s="1"/>
  <c r="T19" i="4" s="1"/>
  <c r="D28" i="2"/>
  <c r="P159" i="2"/>
  <c r="D159" i="2" s="1"/>
  <c r="P27" i="2"/>
  <c r="G55" i="3" s="1"/>
  <c r="D72" i="2"/>
  <c r="T71" i="2"/>
  <c r="T27" i="2"/>
  <c r="H55" i="3" s="1"/>
  <c r="L71" i="2"/>
  <c r="L27" i="2"/>
  <c r="F55" i="3" s="1"/>
  <c r="H71" i="2"/>
  <c r="H27" i="2"/>
  <c r="E55" i="3" s="1"/>
  <c r="E87" i="3"/>
  <c r="H17" i="1"/>
  <c r="D56" i="3" l="1"/>
  <c r="U18" i="4" s="1"/>
  <c r="T18" i="4" s="1"/>
  <c r="D27" i="2"/>
  <c r="P158" i="2"/>
  <c r="D158" i="2" s="1"/>
  <c r="P26" i="2"/>
  <c r="G54" i="3" s="1"/>
  <c r="D71" i="2"/>
  <c r="T70" i="2"/>
  <c r="T26" i="2"/>
  <c r="H54" i="3" s="1"/>
  <c r="L70" i="2"/>
  <c r="L26" i="2"/>
  <c r="F54" i="3" s="1"/>
  <c r="H70" i="2"/>
  <c r="H26" i="2"/>
  <c r="E54" i="3" s="1"/>
  <c r="F12" i="3"/>
  <c r="F5" i="1"/>
  <c r="H5" i="1" s="1"/>
  <c r="D87" i="3"/>
  <c r="V5" i="4" s="1"/>
  <c r="E86" i="3"/>
  <c r="D86" i="3" s="1"/>
  <c r="V4" i="4" l="1"/>
  <c r="D55" i="3"/>
  <c r="U17" i="4" s="1"/>
  <c r="T17" i="4" s="1"/>
  <c r="D26" i="2"/>
  <c r="P157" i="2"/>
  <c r="D157" i="2" s="1"/>
  <c r="P25" i="2"/>
  <c r="G53" i="3" s="1"/>
  <c r="D70" i="2"/>
  <c r="T69" i="2"/>
  <c r="T25" i="2"/>
  <c r="H53" i="3" s="1"/>
  <c r="L69" i="2"/>
  <c r="L25" i="2"/>
  <c r="F53" i="3" s="1"/>
  <c r="D54" i="3"/>
  <c r="U16" i="4" s="1"/>
  <c r="T16" i="4" s="1"/>
  <c r="H69" i="2"/>
  <c r="H25" i="2"/>
  <c r="E53" i="3" s="1"/>
  <c r="F10" i="3"/>
  <c r="H12" i="3"/>
  <c r="J31" i="3" s="1"/>
  <c r="I31" i="3" s="1"/>
  <c r="D69" i="2" l="1"/>
  <c r="D25" i="2"/>
  <c r="P156" i="2"/>
  <c r="D156" i="2" s="1"/>
  <c r="P24" i="2"/>
  <c r="G52" i="3" s="1"/>
  <c r="T68" i="2"/>
  <c r="T24" i="2"/>
  <c r="H52" i="3" s="1"/>
  <c r="L68" i="2"/>
  <c r="L24" i="2"/>
  <c r="F52" i="3" s="1"/>
  <c r="H68" i="2"/>
  <c r="H24" i="2"/>
  <c r="E52" i="3" s="1"/>
  <c r="D53" i="3"/>
  <c r="U15" i="4" s="1"/>
  <c r="T15" i="4" s="1"/>
  <c r="D12" i="3"/>
  <c r="E31" i="3"/>
  <c r="E29" i="3" s="1"/>
  <c r="D29" i="3" s="1"/>
  <c r="H10" i="3"/>
  <c r="F5" i="3"/>
  <c r="D10" i="3" l="1"/>
  <c r="J29" i="3"/>
  <c r="I29" i="3" s="1"/>
  <c r="D24" i="2"/>
  <c r="P155" i="2"/>
  <c r="D155" i="2" s="1"/>
  <c r="P23" i="2"/>
  <c r="G51" i="3" s="1"/>
  <c r="T67" i="2"/>
  <c r="T23" i="2"/>
  <c r="H51" i="3" s="1"/>
  <c r="D68" i="2"/>
  <c r="L67" i="2"/>
  <c r="L23" i="2"/>
  <c r="F51" i="3" s="1"/>
  <c r="D52" i="3"/>
  <c r="U14" i="4" s="1"/>
  <c r="T14" i="4" s="1"/>
  <c r="H67" i="2"/>
  <c r="H23" i="2"/>
  <c r="E51" i="3" s="1"/>
  <c r="D31" i="3"/>
  <c r="D23" i="2" l="1"/>
  <c r="P154" i="2"/>
  <c r="D154" i="2" s="1"/>
  <c r="P22" i="2"/>
  <c r="G50" i="3" s="1"/>
  <c r="T66" i="2"/>
  <c r="T22" i="2"/>
  <c r="H50" i="3" s="1"/>
  <c r="D67" i="2"/>
  <c r="L66" i="2"/>
  <c r="L22" i="2"/>
  <c r="F50" i="3" s="1"/>
  <c r="H66" i="2"/>
  <c r="H22" i="2"/>
  <c r="E50" i="3" s="1"/>
  <c r="A279" i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D51" i="3" l="1"/>
  <c r="U13" i="4" s="1"/>
  <c r="T13" i="4" s="1"/>
  <c r="D22" i="2"/>
  <c r="P153" i="2"/>
  <c r="D153" i="2" s="1"/>
  <c r="P21" i="2"/>
  <c r="G49" i="3" s="1"/>
  <c r="T65" i="2"/>
  <c r="T21" i="2"/>
  <c r="H49" i="3" s="1"/>
  <c r="D66" i="2"/>
  <c r="L65" i="2"/>
  <c r="L21" i="2"/>
  <c r="F49" i="3" s="1"/>
  <c r="D50" i="3"/>
  <c r="U12" i="4" s="1"/>
  <c r="T12" i="4" s="1"/>
  <c r="H65" i="2"/>
  <c r="H21" i="2"/>
  <c r="E49" i="3" s="1"/>
  <c r="D21" i="2" l="1"/>
  <c r="P152" i="2"/>
  <c r="D152" i="2" s="1"/>
  <c r="P20" i="2"/>
  <c r="G48" i="3" s="1"/>
  <c r="D65" i="2"/>
  <c r="T64" i="2"/>
  <c r="T20" i="2"/>
  <c r="H48" i="3" s="1"/>
  <c r="L64" i="2"/>
  <c r="L20" i="2"/>
  <c r="F48" i="3" s="1"/>
  <c r="H64" i="2"/>
  <c r="H20" i="2"/>
  <c r="E48" i="3" s="1"/>
  <c r="D49" i="3" l="1"/>
  <c r="U11" i="4" s="1"/>
  <c r="T11" i="4" s="1"/>
  <c r="D20" i="2"/>
  <c r="P151" i="2"/>
  <c r="D151" i="2" s="1"/>
  <c r="P19" i="2"/>
  <c r="G47" i="3" s="1"/>
  <c r="T63" i="2"/>
  <c r="T19" i="2"/>
  <c r="H47" i="3" s="1"/>
  <c r="D64" i="2"/>
  <c r="L63" i="2"/>
  <c r="L19" i="2"/>
  <c r="F47" i="3" s="1"/>
  <c r="D48" i="3"/>
  <c r="U10" i="4" s="1"/>
  <c r="T10" i="4" s="1"/>
  <c r="H63" i="2"/>
  <c r="H19" i="2"/>
  <c r="E47" i="3" s="1"/>
  <c r="D19" i="2" l="1"/>
  <c r="P150" i="2"/>
  <c r="D150" i="2" s="1"/>
  <c r="P18" i="2"/>
  <c r="G46" i="3" s="1"/>
  <c r="D63" i="2"/>
  <c r="T62" i="2"/>
  <c r="T18" i="2"/>
  <c r="H46" i="3" s="1"/>
  <c r="L62" i="2"/>
  <c r="H62" i="2"/>
  <c r="H18" i="2"/>
  <c r="E46" i="3" s="1"/>
  <c r="D47" i="3" l="1"/>
  <c r="U9" i="4" s="1"/>
  <c r="T9" i="4" s="1"/>
  <c r="D18" i="2"/>
  <c r="P149" i="2"/>
  <c r="D149" i="2" s="1"/>
  <c r="P17" i="2"/>
  <c r="G45" i="3" s="1"/>
  <c r="T61" i="2"/>
  <c r="T17" i="2"/>
  <c r="H45" i="3" s="1"/>
  <c r="D62" i="2"/>
  <c r="L61" i="2"/>
  <c r="L17" i="2"/>
  <c r="F45" i="3" s="1"/>
  <c r="H61" i="2"/>
  <c r="H17" i="2"/>
  <c r="E45" i="3" s="1"/>
  <c r="D46" i="3" l="1"/>
  <c r="U8" i="4" s="1"/>
  <c r="T8" i="4" s="1"/>
  <c r="D17" i="2"/>
  <c r="P148" i="2"/>
  <c r="D148" i="2" s="1"/>
  <c r="P16" i="2"/>
  <c r="G44" i="3" s="1"/>
  <c r="T60" i="2"/>
  <c r="T16" i="2"/>
  <c r="H44" i="3" s="1"/>
  <c r="D61" i="2"/>
  <c r="L60" i="2"/>
  <c r="L16" i="2"/>
  <c r="F44" i="3" s="1"/>
  <c r="H60" i="2"/>
  <c r="H16" i="2"/>
  <c r="E44" i="3" s="1"/>
  <c r="E42" i="3" s="1"/>
  <c r="D45" i="3" l="1"/>
  <c r="U7" i="4" s="1"/>
  <c r="T7" i="4" s="1"/>
  <c r="D16" i="2"/>
  <c r="P147" i="2"/>
  <c r="D147" i="2" s="1"/>
  <c r="D146" i="2" s="1"/>
  <c r="M146" i="2"/>
  <c r="T59" i="2"/>
  <c r="Q58" i="2"/>
  <c r="Q15" i="2"/>
  <c r="Q14" i="2" s="1"/>
  <c r="I58" i="2"/>
  <c r="L58" i="2" s="1"/>
  <c r="D60" i="2"/>
  <c r="H59" i="2"/>
  <c r="D59" i="2" s="1"/>
  <c r="D44" i="3" l="1"/>
  <c r="U6" i="4" s="1"/>
  <c r="T6" i="4" s="1"/>
  <c r="P15" i="2"/>
  <c r="G43" i="3" s="1"/>
  <c r="P14" i="2"/>
  <c r="M8" i="2"/>
  <c r="P146" i="2"/>
  <c r="Q6" i="2"/>
  <c r="T58" i="2"/>
  <c r="T15" i="2"/>
  <c r="T14" i="2"/>
  <c r="L14" i="2"/>
  <c r="L15" i="2"/>
  <c r="F43" i="3" s="1"/>
  <c r="I6" i="2"/>
  <c r="D58" i="2"/>
  <c r="H58" i="2"/>
  <c r="H14" i="2"/>
  <c r="H43" i="3" l="1"/>
  <c r="H42" i="3" s="1"/>
  <c r="G42" i="3"/>
  <c r="D15" i="2"/>
  <c r="D14" i="2" s="1"/>
  <c r="F42" i="3"/>
  <c r="M9" i="3"/>
  <c r="P8" i="2"/>
  <c r="M5" i="2"/>
  <c r="P5" i="2" s="1"/>
  <c r="T6" i="2"/>
  <c r="Q5" i="2"/>
  <c r="T5" i="2" s="1"/>
  <c r="Q7" i="3"/>
  <c r="I5" i="2"/>
  <c r="L5" i="2" s="1"/>
  <c r="L6" i="2"/>
  <c r="I7" i="3"/>
  <c r="E7" i="3"/>
  <c r="H6" i="2"/>
  <c r="D6" i="2" l="1"/>
  <c r="P9" i="3"/>
  <c r="L28" i="3" s="1"/>
  <c r="M6" i="3"/>
  <c r="T7" i="3"/>
  <c r="M26" i="3" s="1"/>
  <c r="Q6" i="3"/>
  <c r="I6" i="3"/>
  <c r="L7" i="3"/>
  <c r="K26" i="3" s="1"/>
  <c r="H7" i="3"/>
  <c r="J26" i="3" s="1"/>
  <c r="D42" i="3"/>
  <c r="D43" i="3"/>
  <c r="U5" i="4" l="1"/>
  <c r="I26" i="3"/>
  <c r="M5" i="3"/>
  <c r="P6" i="3"/>
  <c r="G28" i="3"/>
  <c r="G25" i="3" s="1"/>
  <c r="G24" i="3" s="1"/>
  <c r="T6" i="3"/>
  <c r="Q5" i="3"/>
  <c r="H26" i="3"/>
  <c r="H25" i="3" s="1"/>
  <c r="H24" i="3" s="1"/>
  <c r="F26" i="3"/>
  <c r="F25" i="3" s="1"/>
  <c r="F24" i="3" s="1"/>
  <c r="I5" i="3"/>
  <c r="L6" i="3"/>
  <c r="E26" i="3"/>
  <c r="D7" i="3"/>
  <c r="L5" i="3" l="1"/>
  <c r="K25" i="3"/>
  <c r="K24" i="3" s="1"/>
  <c r="T5" i="3"/>
  <c r="M25" i="3"/>
  <c r="M24" i="3" s="1"/>
  <c r="P5" i="3"/>
  <c r="L25" i="3"/>
  <c r="L24" i="3" s="1"/>
  <c r="D5" i="4"/>
  <c r="E4" i="4"/>
  <c r="D4" i="4" s="1"/>
  <c r="U4" i="4"/>
  <c r="T4" i="4" s="1"/>
  <c r="T5" i="4"/>
  <c r="D26" i="3"/>
  <c r="H146" i="2"/>
  <c r="H8" i="2" s="1"/>
  <c r="D8" i="2" s="1"/>
  <c r="D5" i="2" s="1"/>
  <c r="E8" i="2"/>
  <c r="E5" i="2" s="1"/>
  <c r="H5" i="2" s="1"/>
  <c r="E9" i="3" l="1"/>
  <c r="E6" i="3" s="1"/>
  <c r="E5" i="3" s="1"/>
  <c r="H6" i="3" l="1"/>
  <c r="H5" i="3" s="1"/>
  <c r="H9" i="3"/>
  <c r="E28" i="3" s="1"/>
  <c r="D28" i="3" s="1"/>
  <c r="E25" i="3" l="1"/>
  <c r="D25" i="3" s="1"/>
  <c r="D24" i="3" s="1"/>
  <c r="J28" i="3"/>
  <c r="J25" i="3" s="1"/>
  <c r="D9" i="3"/>
  <c r="D6" i="3"/>
  <c r="D5" i="3" s="1"/>
  <c r="E24" i="3" l="1"/>
  <c r="I28" i="3"/>
  <c r="I25" i="3"/>
  <c r="J24" i="3"/>
  <c r="I24" i="3" s="1"/>
</calcChain>
</file>

<file path=xl/sharedStrings.xml><?xml version="1.0" encoding="utf-8"?>
<sst xmlns="http://schemas.openxmlformats.org/spreadsheetml/2006/main" count="1690" uniqueCount="169">
  <si>
    <t>No.</t>
  </si>
  <si>
    <t>U r a i a n</t>
  </si>
  <si>
    <t>Satuan</t>
  </si>
  <si>
    <t>Pacitan</t>
  </si>
  <si>
    <t>Ton</t>
  </si>
  <si>
    <t>Trenggalek</t>
  </si>
  <si>
    <t>Tulungagung</t>
  </si>
  <si>
    <t>Blitar</t>
  </si>
  <si>
    <t>Malang</t>
  </si>
  <si>
    <t>Lumajang</t>
  </si>
  <si>
    <t>Jember</t>
  </si>
  <si>
    <t>Banyuwangi</t>
  </si>
  <si>
    <t>Situbondo</t>
  </si>
  <si>
    <t>Probolinggo</t>
  </si>
  <si>
    <t>Pasuruan</t>
  </si>
  <si>
    <t>Sidoarjo</t>
  </si>
  <si>
    <t>Tuban</t>
  </si>
  <si>
    <t>Lamongan</t>
  </si>
  <si>
    <t>Gresik</t>
  </si>
  <si>
    <t>Bangkalan</t>
  </si>
  <si>
    <t>Sampang</t>
  </si>
  <si>
    <t>Pamekasan</t>
  </si>
  <si>
    <t>Sumenep</t>
  </si>
  <si>
    <t>Kota Probolinggo</t>
  </si>
  <si>
    <t>Kota Pasuruan</t>
  </si>
  <si>
    <t>Kota Surabaya</t>
  </si>
  <si>
    <t>JUMLAH</t>
  </si>
  <si>
    <t>TW I</t>
  </si>
  <si>
    <t>Ponorogo</t>
  </si>
  <si>
    <t>Kediri</t>
  </si>
  <si>
    <t>Bondowoso</t>
  </si>
  <si>
    <t>Mojokerto</t>
  </si>
  <si>
    <t>Jombang</t>
  </si>
  <si>
    <t>Nganjuk</t>
  </si>
  <si>
    <t>Madiun</t>
  </si>
  <si>
    <t>Magetan</t>
  </si>
  <si>
    <t>Ngawi</t>
  </si>
  <si>
    <t>Bojonegoro</t>
  </si>
  <si>
    <t>PRODUKSI BUDIDAYA JAWA TIMUR MENURUT JENIS USAHA</t>
  </si>
  <si>
    <t>JENIS USAHA</t>
  </si>
  <si>
    <t>Laut</t>
  </si>
  <si>
    <t>Tambak</t>
  </si>
  <si>
    <t>Kolam</t>
  </si>
  <si>
    <t>Mina Padi</t>
  </si>
  <si>
    <t>Karamba</t>
  </si>
  <si>
    <t>Japung/ KJA Tawar</t>
  </si>
  <si>
    <t>Kota Kediri</t>
  </si>
  <si>
    <t>Kota Blitar</t>
  </si>
  <si>
    <t>Kota Malang</t>
  </si>
  <si>
    <t>Kota Mojokerto</t>
  </si>
  <si>
    <t>Kota Madiun</t>
  </si>
  <si>
    <t>Kota Batu</t>
  </si>
  <si>
    <t>PRODUKSI BUDIDAYA JAWA TIMUR MENURUT KABUPATEN/KOTA</t>
  </si>
  <si>
    <t xml:space="preserve">PRODUKSI BUDIDAYA LAUT JAWA TIMUR </t>
  </si>
  <si>
    <t>TW II</t>
  </si>
  <si>
    <t>April</t>
  </si>
  <si>
    <t>September</t>
  </si>
  <si>
    <t>TW III</t>
  </si>
  <si>
    <t>November</t>
  </si>
  <si>
    <t>TW IV</t>
  </si>
  <si>
    <t xml:space="preserve">PRODUKSI BUDIDAYA TAMBAK JAWA TIMUR </t>
  </si>
  <si>
    <t xml:space="preserve">PRODUKSI BUDIDAYA KOLAM JAWA TIMUR </t>
  </si>
  <si>
    <t xml:space="preserve">PRODUKSI BUDIDAYA MINAPADI JAWA TIMUR </t>
  </si>
  <si>
    <t xml:space="preserve">PRODUKSI BUDIDAYA KARAMBA JAWA TIMUR </t>
  </si>
  <si>
    <t xml:space="preserve">PRODUKSI BUDIDAYA JAPUNG JAWA TIMUR </t>
  </si>
  <si>
    <t>SATUAN</t>
  </si>
  <si>
    <t>TON</t>
  </si>
  <si>
    <t>Jumlah</t>
  </si>
  <si>
    <t>PRODUKSI PERIKANAN TANGKAP JAWA TIMUR</t>
  </si>
  <si>
    <t>Laut / Non Pelabuhan</t>
  </si>
  <si>
    <t>Pelabuhan</t>
  </si>
  <si>
    <t>PUD</t>
  </si>
  <si>
    <t>PRODUKSI TANGKAP JAWA TIMUR MENURUT KABUPATEN/KOTA</t>
  </si>
  <si>
    <t>PPP Tamperan</t>
  </si>
  <si>
    <t>PPN Prigi</t>
  </si>
  <si>
    <t>PPP Popoh</t>
  </si>
  <si>
    <t>IPP Sine</t>
  </si>
  <si>
    <t>IPPP Tambakrejo</t>
  </si>
  <si>
    <t>PPP Pondokdadap</t>
  </si>
  <si>
    <t>PPP Puger</t>
  </si>
  <si>
    <t>IPPP Pancer</t>
  </si>
  <si>
    <t>IPPP Grajagan</t>
  </si>
  <si>
    <t>PPP Muncar</t>
  </si>
  <si>
    <t>PPP Bulu</t>
  </si>
  <si>
    <t>PPN Brondong</t>
  </si>
  <si>
    <t>IPPP Bawean</t>
  </si>
  <si>
    <t>IPPP Campurejo</t>
  </si>
  <si>
    <t>IPPP Lekok</t>
  </si>
  <si>
    <t>IPPP Ngemplakrejo</t>
  </si>
  <si>
    <t>IPPP Paiton</t>
  </si>
  <si>
    <t>PPP Mayangan</t>
  </si>
  <si>
    <t>IPPP Banyusangkah</t>
  </si>
  <si>
    <t>IPPP Camplong</t>
  </si>
  <si>
    <t>IPPP Branta Pesisir</t>
  </si>
  <si>
    <t>PPP Pasongsongan</t>
  </si>
  <si>
    <t>PRODUKSI PERIKANAN JAWA TIMUR</t>
  </si>
  <si>
    <t>Uraian</t>
  </si>
  <si>
    <t>Total</t>
  </si>
  <si>
    <t>Perikanan Tangkap</t>
  </si>
  <si>
    <t>Perikanan Budidaya</t>
  </si>
  <si>
    <t>No</t>
  </si>
  <si>
    <t>-</t>
  </si>
  <si>
    <t>PRODUKSI PERIKANAN PER TRIWULAN</t>
  </si>
  <si>
    <t xml:space="preserve">PRODUKSI LAUT/ NON PELABUHAN JAWA TIMUR </t>
  </si>
  <si>
    <t xml:space="preserve">PRODUKSI PELABUHAN JAWA TIMUR </t>
  </si>
  <si>
    <t xml:space="preserve">PRODUKSI PUD JAWA TIMUR </t>
  </si>
  <si>
    <t>BUDIDAYA</t>
  </si>
  <si>
    <t>TANGKAP</t>
  </si>
  <si>
    <t xml:space="preserve">PRODUKSI GARAM JAWA TIMUR </t>
  </si>
  <si>
    <t>Garam</t>
  </si>
  <si>
    <t>PRODUKSI GARAM JAWA TIMUR MENURUT KABUPATEN/KOTA</t>
  </si>
  <si>
    <t>GARAM</t>
  </si>
  <si>
    <t>TRIWULAN 2025</t>
  </si>
  <si>
    <t>Januari</t>
  </si>
  <si>
    <t>Februari</t>
  </si>
  <si>
    <t>Maret</t>
  </si>
  <si>
    <t>Mei</t>
  </si>
  <si>
    <t>Juni</t>
  </si>
  <si>
    <t>Juli</t>
  </si>
  <si>
    <t>Agustus</t>
  </si>
  <si>
    <t>Oktober</t>
  </si>
  <si>
    <t>Desember</t>
  </si>
  <si>
    <t>Ekspor</t>
  </si>
  <si>
    <t>TRIWULAN 2024</t>
  </si>
  <si>
    <t>Jumlah 2022</t>
  </si>
  <si>
    <t>Jumlah 2021</t>
  </si>
  <si>
    <t>Jumlah 2023</t>
  </si>
  <si>
    <t>Jumlah 2024</t>
  </si>
  <si>
    <t>Jumlah 2025</t>
  </si>
  <si>
    <t>JUMLAH 2024</t>
  </si>
  <si>
    <t>JUMLAH 2025</t>
  </si>
  <si>
    <t xml:space="preserve"> KABUPATEN BANGKALAN  </t>
  </si>
  <si>
    <t xml:space="preserve"> KABUPATEN BANYUWANGI  </t>
  </si>
  <si>
    <t xml:space="preserve"> KABUPATEN BLITAR  </t>
  </si>
  <si>
    <t xml:space="preserve"> KABUPATEN BOJONEGORO  </t>
  </si>
  <si>
    <t xml:space="preserve"> KABUPATEN BONDOWOSO  </t>
  </si>
  <si>
    <t xml:space="preserve"> KABUPATEN GRESIK  </t>
  </si>
  <si>
    <t xml:space="preserve"> KABUPATEN JEMBER </t>
  </si>
  <si>
    <t xml:space="preserve"> KABUPATEN JOMBANG  </t>
  </si>
  <si>
    <t xml:space="preserve"> KABUPATEN KEDIRI  </t>
  </si>
  <si>
    <t xml:space="preserve"> KABUPATEN LAMONGAN  </t>
  </si>
  <si>
    <t xml:space="preserve"> KABUPATEN LUMAJANG  </t>
  </si>
  <si>
    <t xml:space="preserve"> KABUPATEN MADIUN  </t>
  </si>
  <si>
    <t xml:space="preserve"> KABUPATEN MAGETAN  </t>
  </si>
  <si>
    <t xml:space="preserve"> KABUPATEN MALANG  </t>
  </si>
  <si>
    <t xml:space="preserve"> KABUPATEN MOJOKERTO  </t>
  </si>
  <si>
    <t xml:space="preserve"> KABUPATEN NGANJUK  </t>
  </si>
  <si>
    <t xml:space="preserve"> KABUPATEN NGAWI  </t>
  </si>
  <si>
    <t xml:space="preserve"> KABUPATEN PACITAN  </t>
  </si>
  <si>
    <t xml:space="preserve"> KABUPATEN PAMEKASAN  </t>
  </si>
  <si>
    <t xml:space="preserve"> KABUPATEN PASURUAN  </t>
  </si>
  <si>
    <t xml:space="preserve"> KABUPATEN PONOROGO </t>
  </si>
  <si>
    <t xml:space="preserve"> KABUPATEN PROBOLINGGO  </t>
  </si>
  <si>
    <t xml:space="preserve"> KABUPATEN SAMPANG  </t>
  </si>
  <si>
    <t xml:space="preserve"> KABUPATEN SIDOARJO  </t>
  </si>
  <si>
    <t xml:space="preserve"> KABUPATEN SITUBONDO  </t>
  </si>
  <si>
    <t xml:space="preserve"> KABUPATEN SUMENEP  </t>
  </si>
  <si>
    <t xml:space="preserve"> KABUPATEN TRENGGALEK  </t>
  </si>
  <si>
    <t xml:space="preserve"> KABUPATEN TUBAN  </t>
  </si>
  <si>
    <t xml:space="preserve"> KABUPATEN TULUNGAGUNG  </t>
  </si>
  <si>
    <t xml:space="preserve"> KOTA BATU  </t>
  </si>
  <si>
    <t xml:space="preserve"> KOTA BLITAR  </t>
  </si>
  <si>
    <t xml:space="preserve"> KOTA KEDIRI  </t>
  </si>
  <si>
    <t xml:space="preserve"> KOTA MADIUN  </t>
  </si>
  <si>
    <t xml:space="preserve"> KOTA MALANG  </t>
  </si>
  <si>
    <t xml:space="preserve"> KOTA MOJOKERTO  </t>
  </si>
  <si>
    <t xml:space="preserve"> KOTA PASURUAN  </t>
  </si>
  <si>
    <t xml:space="preserve"> KOTA PROBOLINGGO  </t>
  </si>
  <si>
    <t xml:space="preserve"> KOTA SURABAYA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</si>
</sst>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_(* #,##0.000_);_(* \(#,##0.000\);_(* &quot;-&quot;???_);_(@_)"/>
    <numFmt numFmtId="168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2" fontId="3" fillId="2" borderId="0"/>
    <xf numFmtId="164" fontId="7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165" fontId="5" fillId="2" borderId="1" xfId="1" applyNumberFormat="1" applyFont="1" applyFill="1" applyBorder="1" applyAlignment="1" applyProtection="1">
      <alignment vertical="center"/>
    </xf>
    <xf numFmtId="2" fontId="5" fillId="2" borderId="1" xfId="2" applyFont="1" applyBorder="1" applyAlignment="1">
      <alignment vertical="center"/>
    </xf>
    <xf numFmtId="2" fontId="5" fillId="2" borderId="1" xfId="2" applyFont="1" applyBorder="1" applyAlignment="1">
      <alignment horizontal="center" vertical="center"/>
    </xf>
    <xf numFmtId="2" fontId="5" fillId="3" borderId="1" xfId="2" applyFont="1" applyFill="1" applyBorder="1" applyAlignment="1">
      <alignment horizontal="center" vertical="center"/>
    </xf>
    <xf numFmtId="2" fontId="6" fillId="3" borderId="1" xfId="2" applyFont="1" applyFill="1" applyBorder="1" applyAlignment="1">
      <alignment horizontal="center" vertical="center"/>
    </xf>
    <xf numFmtId="0" fontId="0" fillId="0" borderId="1" xfId="0" applyBorder="1"/>
    <xf numFmtId="49" fontId="6" fillId="2" borderId="2" xfId="2" applyNumberFormat="1" applyFont="1" applyBorder="1" applyAlignment="1">
      <alignment horizontal="center" vertical="center"/>
    </xf>
    <xf numFmtId="49" fontId="6" fillId="2" borderId="3" xfId="2" applyNumberFormat="1" applyFont="1" applyBorder="1" applyAlignment="1">
      <alignment horizontal="center" vertical="center"/>
    </xf>
    <xf numFmtId="2" fontId="4" fillId="2" borderId="2" xfId="2" applyFont="1" applyBorder="1" applyAlignment="1">
      <alignment horizontal="center" vertical="center"/>
    </xf>
    <xf numFmtId="2" fontId="6" fillId="2" borderId="2" xfId="2" applyFont="1" applyBorder="1" applyAlignment="1">
      <alignment horizontal="center" vertical="center"/>
    </xf>
    <xf numFmtId="2" fontId="4" fillId="2" borderId="3" xfId="2" applyFont="1" applyBorder="1" applyAlignment="1">
      <alignment horizontal="center" vertical="center"/>
    </xf>
    <xf numFmtId="2" fontId="6" fillId="2" borderId="3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4" borderId="1" xfId="0" applyFill="1" applyBorder="1" applyAlignment="1">
      <alignment horizontal="center" vertical="center"/>
    </xf>
    <xf numFmtId="2" fontId="5" fillId="5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0" borderId="1" xfId="1" applyFont="1" applyBorder="1"/>
    <xf numFmtId="164" fontId="0" fillId="0" borderId="1" xfId="0" applyNumberFormat="1" applyBorder="1"/>
    <xf numFmtId="164" fontId="5" fillId="2" borderId="1" xfId="1" applyFont="1" applyFill="1" applyBorder="1" applyAlignment="1">
      <alignment horizontal="center" vertical="center"/>
    </xf>
    <xf numFmtId="164" fontId="0" fillId="3" borderId="1" xfId="0" applyNumberFormat="1" applyFill="1" applyBorder="1"/>
    <xf numFmtId="164" fontId="0" fillId="0" borderId="0" xfId="1" applyFont="1"/>
    <xf numFmtId="164" fontId="6" fillId="2" borderId="2" xfId="1" applyFont="1" applyFill="1" applyBorder="1" applyAlignment="1">
      <alignment horizontal="center" vertical="center"/>
    </xf>
    <xf numFmtId="164" fontId="2" fillId="0" borderId="1" xfId="1" applyFont="1" applyBorder="1" applyAlignment="1">
      <alignment horizontal="center"/>
    </xf>
    <xf numFmtId="164" fontId="6" fillId="2" borderId="3" xfId="1" applyFont="1" applyFill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164" fontId="4" fillId="2" borderId="2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6" fillId="3" borderId="1" xfId="1" applyFont="1" applyFill="1" applyBorder="1" applyAlignment="1">
      <alignment horizontal="center" vertical="center"/>
    </xf>
    <xf numFmtId="164" fontId="0" fillId="0" borderId="0" xfId="0" applyNumberFormat="1"/>
    <xf numFmtId="166" fontId="0" fillId="0" borderId="1" xfId="1" applyNumberFormat="1" applyFont="1" applyBorder="1"/>
    <xf numFmtId="166" fontId="2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0" fillId="0" borderId="1" xfId="0" applyNumberFormat="1" applyBorder="1"/>
    <xf numFmtId="167" fontId="0" fillId="0" borderId="0" xfId="0" applyNumberFormat="1"/>
    <xf numFmtId="164" fontId="2" fillId="3" borderId="1" xfId="1" applyFont="1" applyFill="1" applyBorder="1" applyAlignment="1">
      <alignment horizontal="center" vertical="center"/>
    </xf>
    <xf numFmtId="164" fontId="2" fillId="4" borderId="1" xfId="1" applyFont="1" applyFill="1" applyBorder="1" applyAlignment="1">
      <alignment horizontal="center" vertical="center"/>
    </xf>
    <xf numFmtId="164" fontId="2" fillId="4" borderId="1" xfId="1" applyFont="1" applyFill="1" applyBorder="1" applyAlignment="1">
      <alignment horizontal="center"/>
    </xf>
    <xf numFmtId="164" fontId="0" fillId="5" borderId="1" xfId="1" applyFont="1" applyFill="1" applyBorder="1"/>
    <xf numFmtId="164" fontId="5" fillId="3" borderId="1" xfId="1" applyFont="1" applyFill="1" applyBorder="1" applyAlignment="1">
      <alignment horizontal="center" vertical="center"/>
    </xf>
    <xf numFmtId="164" fontId="6" fillId="3" borderId="1" xfId="1" applyFont="1" applyFill="1" applyBorder="1" applyAlignment="1">
      <alignment horizontal="right" vertical="center"/>
    </xf>
    <xf numFmtId="164" fontId="0" fillId="3" borderId="1" xfId="1" applyFont="1" applyFill="1" applyBorder="1" applyAlignment="1">
      <alignment horizontal="right"/>
    </xf>
    <xf numFmtId="164" fontId="5" fillId="2" borderId="1" xfId="1" applyFont="1" applyFill="1" applyBorder="1" applyAlignment="1">
      <alignment vertical="center"/>
    </xf>
    <xf numFmtId="164" fontId="5" fillId="2" borderId="1" xfId="1" applyFont="1" applyFill="1" applyBorder="1" applyAlignment="1">
      <alignment horizontal="right" vertical="center"/>
    </xf>
    <xf numFmtId="164" fontId="0" fillId="0" borderId="1" xfId="1" applyFont="1" applyBorder="1" applyAlignment="1">
      <alignment horizontal="right"/>
    </xf>
    <xf numFmtId="164" fontId="2" fillId="0" borderId="0" xfId="1" applyFont="1"/>
    <xf numFmtId="164" fontId="2" fillId="0" borderId="3" xfId="1" applyFont="1" applyBorder="1" applyAlignment="1">
      <alignment horizontal="center"/>
    </xf>
    <xf numFmtId="164" fontId="2" fillId="3" borderId="3" xfId="1" applyFont="1" applyFill="1" applyBorder="1" applyAlignment="1">
      <alignment horizontal="center" vertical="center"/>
    </xf>
    <xf numFmtId="164" fontId="2" fillId="4" borderId="3" xfId="1" applyFont="1" applyFill="1" applyBorder="1" applyAlignment="1">
      <alignment horizontal="center" vertical="center"/>
    </xf>
    <xf numFmtId="164" fontId="0" fillId="4" borderId="1" xfId="1" applyFont="1" applyFill="1" applyBorder="1" applyAlignment="1">
      <alignment horizontal="center" vertical="center"/>
    </xf>
    <xf numFmtId="164" fontId="2" fillId="0" borderId="1" xfId="1" applyFont="1" applyBorder="1"/>
    <xf numFmtId="164" fontId="2" fillId="5" borderId="1" xfId="1" applyFont="1" applyFill="1" applyBorder="1" applyAlignment="1">
      <alignment horizontal="center"/>
    </xf>
    <xf numFmtId="164" fontId="5" fillId="5" borderId="1" xfId="1" applyFont="1" applyFill="1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1" xfId="1" applyNumberFormat="1" applyFont="1" applyBorder="1" applyAlignment="1">
      <alignment horizontal="right"/>
    </xf>
    <xf numFmtId="164" fontId="0" fillId="0" borderId="0" xfId="1" applyFont="1" applyFill="1" applyBorder="1"/>
    <xf numFmtId="164" fontId="0" fillId="6" borderId="1" xfId="1" applyFont="1" applyFill="1" applyBorder="1"/>
    <xf numFmtId="2" fontId="6" fillId="6" borderId="1" xfId="2" applyFont="1" applyFill="1" applyBorder="1" applyAlignment="1">
      <alignment horizontal="center" vertical="center"/>
    </xf>
    <xf numFmtId="164" fontId="0" fillId="0" borderId="0" xfId="1" applyFont="1" applyBorder="1" applyAlignment="1">
      <alignment horizontal="right"/>
    </xf>
    <xf numFmtId="164" fontId="2" fillId="6" borderId="1" xfId="1" applyFont="1" applyFill="1" applyBorder="1" applyAlignment="1">
      <alignment horizontal="center"/>
    </xf>
    <xf numFmtId="164" fontId="5" fillId="6" borderId="1" xfId="1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right"/>
    </xf>
    <xf numFmtId="49" fontId="6" fillId="2" borderId="0" xfId="2" applyNumberFormat="1" applyFont="1" applyAlignment="1">
      <alignment horizontal="center" vertical="center"/>
    </xf>
    <xf numFmtId="164" fontId="2" fillId="0" borderId="1" xfId="1" applyFont="1" applyFill="1" applyBorder="1" applyAlignment="1">
      <alignment horizontal="center"/>
    </xf>
    <xf numFmtId="164" fontId="0" fillId="0" borderId="0" xfId="1" applyFont="1" applyFill="1" applyBorder="1" applyAlignment="1">
      <alignment horizontal="right"/>
    </xf>
    <xf numFmtId="2" fontId="6" fillId="2" borderId="1" xfId="2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5" fillId="0" borderId="0" xfId="2" applyFont="1" applyFill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164" fontId="6" fillId="2" borderId="1" xfId="1" applyFont="1" applyFill="1" applyBorder="1" applyAlignment="1">
      <alignment horizontal="center" vertical="center"/>
    </xf>
    <xf numFmtId="164" fontId="2" fillId="7" borderId="1" xfId="0" applyNumberFormat="1" applyFont="1" applyFill="1" applyBorder="1"/>
    <xf numFmtId="164" fontId="2" fillId="5" borderId="1" xfId="0" applyNumberFormat="1" applyFont="1" applyFill="1" applyBorder="1"/>
    <xf numFmtId="164" fontId="2" fillId="6" borderId="1" xfId="0" applyNumberFormat="1" applyFont="1" applyFill="1" applyBorder="1"/>
    <xf numFmtId="164" fontId="2" fillId="3" borderId="1" xfId="0" applyNumberFormat="1" applyFont="1" applyFill="1" applyBorder="1"/>
    <xf numFmtId="164" fontId="2" fillId="6" borderId="1" xfId="0" applyNumberFormat="1" applyFont="1" applyFill="1" applyBorder="1" applyAlignment="1">
      <alignment horizontal="center" vertical="top"/>
    </xf>
    <xf numFmtId="164" fontId="2" fillId="3" borderId="1" xfId="1" applyFont="1" applyFill="1" applyBorder="1"/>
    <xf numFmtId="164" fontId="5" fillId="2" borderId="0" xfId="1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5" borderId="1" xfId="1" applyFont="1" applyFill="1" applyBorder="1"/>
    <xf numFmtId="168" fontId="0" fillId="0" borderId="1" xfId="1" applyNumberFormat="1" applyFont="1" applyBorder="1"/>
    <xf numFmtId="164" fontId="2" fillId="6" borderId="1" xfId="1" applyFont="1" applyFill="1" applyBorder="1"/>
    <xf numFmtId="164" fontId="2" fillId="3" borderId="1" xfId="1" applyFont="1" applyFill="1" applyBorder="1" applyAlignment="1">
      <alignment horizontal="right"/>
    </xf>
    <xf numFmtId="2" fontId="6" fillId="6" borderId="1" xfId="1" applyNumberFormat="1" applyFont="1" applyFill="1" applyBorder="1" applyAlignment="1">
      <alignment horizontal="center" vertical="center"/>
    </xf>
    <xf numFmtId="2" fontId="2" fillId="6" borderId="1" xfId="1" applyNumberFormat="1" applyFont="1" applyFill="1" applyBorder="1"/>
    <xf numFmtId="2" fontId="2" fillId="0" borderId="0" xfId="0" applyNumberFormat="1" applyFont="1"/>
    <xf numFmtId="166" fontId="2" fillId="3" borderId="1" xfId="1" applyNumberFormat="1" applyFont="1" applyFill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4" xfId="1" applyFont="1" applyBorder="1" applyAlignment="1">
      <alignment horizontal="center"/>
    </xf>
    <xf numFmtId="164" fontId="2" fillId="0" borderId="5" xfId="1" applyFont="1" applyBorder="1" applyAlignment="1">
      <alignment horizontal="center"/>
    </xf>
    <xf numFmtId="164" fontId="2" fillId="0" borderId="6" xfId="1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/>
    </xf>
    <xf numFmtId="164" fontId="2" fillId="0" borderId="2" xfId="1" applyFont="1" applyBorder="1" applyAlignment="1">
      <alignment horizontal="center" vertical="center"/>
    </xf>
    <xf numFmtId="164" fontId="2" fillId="0" borderId="7" xfId="1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164" fontId="2" fillId="0" borderId="4" xfId="1" applyFont="1" applyBorder="1" applyAlignment="1">
      <alignment horizontal="center" vertical="center"/>
    </xf>
    <xf numFmtId="1" fontId="6" fillId="2" borderId="1" xfId="2" applyNumberFormat="1" applyFont="1" applyBorder="1" applyAlignment="1">
      <alignment horizontal="center" vertical="center"/>
    </xf>
    <xf numFmtId="2" fontId="4" fillId="2" borderId="2" xfId="2" applyFont="1" applyBorder="1" applyAlignment="1">
      <alignment horizontal="center" vertical="center"/>
    </xf>
    <xf numFmtId="2" fontId="4" fillId="2" borderId="3" xfId="2" applyFont="1" applyBorder="1" applyAlignment="1">
      <alignment horizontal="center" vertical="center"/>
    </xf>
    <xf numFmtId="1" fontId="6" fillId="2" borderId="2" xfId="2" applyNumberFormat="1" applyFont="1" applyBorder="1" applyAlignment="1">
      <alignment horizontal="center" vertical="center"/>
    </xf>
    <xf numFmtId="1" fontId="6" fillId="2" borderId="3" xfId="2" applyNumberFormat="1" applyFont="1" applyBorder="1" applyAlignment="1">
      <alignment horizontal="center" vertical="center"/>
    </xf>
    <xf numFmtId="164" fontId="1" fillId="0" borderId="1" xfId="1" applyFont="1" applyBorder="1"/>
    <xf numFmtId="164" fontId="1" fillId="0" borderId="1" xfId="0" applyNumberFormat="1" applyFont="1" applyBorder="1"/>
    <xf numFmtId="0" fontId="1" fillId="0" borderId="1" xfId="0" applyFont="1" applyBorder="1"/>
    <xf numFmtId="168" fontId="8" fillId="0" borderId="1" xfId="3" applyNumberFormat="1" applyFont="1" applyFill="1" applyBorder="1" applyAlignment="1" applyProtection="1">
      <alignment horizontal="left"/>
    </xf>
  </cellXfs>
  <cellStyles count="4">
    <cellStyle name="Comma" xfId="1" builtinId="3"/>
    <cellStyle name="Comma 2" xfId="3" xr:uid="{DFEF96BF-A2DD-4C1D-8F99-1CA0C46829A8}"/>
    <cellStyle name="Normal" xfId="0" builtinId="0"/>
    <cellStyle name="Normal_SEKO.2-PERTAN&amp;KEHUTAN" xfId="2" xr:uid="{92F8AA28-2712-489D-ACBB-5477D9F12D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B052-09D3-488D-84AA-FF2984B05915}">
  <sheetPr codeName="Sheet1"/>
  <dimension ref="A1:V315"/>
  <sheetViews>
    <sheetView zoomScale="81" zoomScaleNormal="81" workbookViewId="0">
      <pane xSplit="3" ySplit="5" topLeftCell="D131" activePane="bottomRight" state="frozen"/>
      <selection pane="topRight" activeCell="D1" sqref="D1"/>
      <selection pane="bottomLeft" activeCell="A6" sqref="A6"/>
      <selection pane="bottomRight" activeCell="M143" sqref="M143"/>
    </sheetView>
  </sheetViews>
  <sheetFormatPr defaultColWidth="8.81640625" defaultRowHeight="14.5" x14ac:dyDescent="0.35"/>
  <cols>
    <col min="1" max="1" width="6.453125" customWidth="1"/>
    <col min="2" max="2" width="17.1796875" customWidth="1"/>
    <col min="3" max="3" width="9.1796875" customWidth="1"/>
    <col min="4" max="4" width="16.81640625" style="26" customWidth="1"/>
    <col min="5" max="5" width="14.1796875" style="26" customWidth="1"/>
    <col min="6" max="6" width="13.7265625" customWidth="1"/>
    <col min="7" max="7" width="17.81640625" customWidth="1"/>
    <col min="8" max="8" width="15.453125" style="26" customWidth="1"/>
    <col min="9" max="9" width="14.81640625" customWidth="1"/>
    <col min="10" max="10" width="16.81640625" customWidth="1"/>
    <col min="11" max="11" width="13.81640625" customWidth="1"/>
    <col min="12" max="12" width="13.1796875" bestFit="1" customWidth="1"/>
    <col min="13" max="13" width="17.08984375" customWidth="1"/>
    <col min="14" max="14" width="14.81640625" customWidth="1"/>
    <col min="15" max="16" width="15.453125" customWidth="1"/>
    <col min="17" max="17" width="14" customWidth="1"/>
    <col min="18" max="18" width="13" customWidth="1"/>
    <col min="19" max="19" width="15.453125" customWidth="1"/>
    <col min="20" max="20" width="16" customWidth="1"/>
    <col min="21" max="21" width="12.7265625" bestFit="1" customWidth="1"/>
    <col min="22" max="22" width="11.7265625" bestFit="1" customWidth="1"/>
  </cols>
  <sheetData>
    <row r="1" spans="1:21" x14ac:dyDescent="0.35">
      <c r="A1" s="1" t="s">
        <v>38</v>
      </c>
    </row>
    <row r="2" spans="1:21" x14ac:dyDescent="0.35">
      <c r="B2" s="1"/>
    </row>
    <row r="3" spans="1:21" x14ac:dyDescent="0.35">
      <c r="B3" s="99" t="s">
        <v>39</v>
      </c>
      <c r="C3" s="99" t="s">
        <v>65</v>
      </c>
      <c r="D3" s="98" t="s">
        <v>26</v>
      </c>
      <c r="E3" s="95" t="s">
        <v>112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7"/>
    </row>
    <row r="4" spans="1:21" x14ac:dyDescent="0.35">
      <c r="B4" s="99"/>
      <c r="C4" s="99"/>
      <c r="D4" s="98"/>
      <c r="E4" s="27" t="s">
        <v>113</v>
      </c>
      <c r="F4" s="11" t="s">
        <v>114</v>
      </c>
      <c r="G4" s="11" t="s">
        <v>115</v>
      </c>
      <c r="H4" s="28" t="s">
        <v>27</v>
      </c>
      <c r="I4" s="11" t="s">
        <v>55</v>
      </c>
      <c r="J4" s="11" t="s">
        <v>116</v>
      </c>
      <c r="K4" s="11" t="s">
        <v>117</v>
      </c>
      <c r="L4" s="15" t="s">
        <v>54</v>
      </c>
      <c r="M4" s="11" t="s">
        <v>118</v>
      </c>
      <c r="N4" s="11" t="s">
        <v>119</v>
      </c>
      <c r="O4" s="11" t="s">
        <v>56</v>
      </c>
      <c r="P4" s="15" t="s">
        <v>57</v>
      </c>
      <c r="Q4" s="11" t="s">
        <v>120</v>
      </c>
      <c r="R4" s="11" t="s">
        <v>58</v>
      </c>
      <c r="S4" s="11" t="s">
        <v>121</v>
      </c>
      <c r="T4" s="15" t="s">
        <v>59</v>
      </c>
    </row>
    <row r="5" spans="1:21" x14ac:dyDescent="0.35">
      <c r="B5" s="99"/>
      <c r="C5" s="14" t="s">
        <v>66</v>
      </c>
      <c r="D5" s="36">
        <f>SUM(D6:D11)</f>
        <v>1442332.9932170778</v>
      </c>
      <c r="E5" s="37">
        <f>SUM(E6:E11)</f>
        <v>100101.99444623124</v>
      </c>
      <c r="F5" s="38">
        <f>SUM(F6:F11)</f>
        <v>109536.39019049582</v>
      </c>
      <c r="G5" s="38">
        <f t="shared" ref="G5" si="0">SUM(G6:G11)</f>
        <v>120474.07205049589</v>
      </c>
      <c r="H5" s="37">
        <f>SUM(E5:G5)</f>
        <v>330112.45668722293</v>
      </c>
      <c r="I5" s="38">
        <f>SUM(I6:I11)</f>
        <v>117859.12110047058</v>
      </c>
      <c r="J5" s="38">
        <f t="shared" ref="J5" si="1">SUM(J6:J11)</f>
        <v>120777.11562826432</v>
      </c>
      <c r="K5" s="38">
        <f t="shared" ref="K5" si="2">SUM(K6:K11)</f>
        <v>112310.70884749669</v>
      </c>
      <c r="L5" s="38">
        <f>SUM(I5:K5)</f>
        <v>350946.94557623158</v>
      </c>
      <c r="M5" s="38">
        <f>SUM(M6:M11)</f>
        <v>125106.37745281791</v>
      </c>
      <c r="N5" s="38">
        <f t="shared" ref="N5" si="3">SUM(N6:N11)</f>
        <v>125340.12648561125</v>
      </c>
      <c r="O5" s="38">
        <f t="shared" ref="O5" si="4">SUM(O6:O11)</f>
        <v>134190.04743138456</v>
      </c>
      <c r="P5" s="38">
        <f>SUM(M5:O5)</f>
        <v>384636.55136981374</v>
      </c>
      <c r="Q5" s="38">
        <f>SUM(Q6:Q11)</f>
        <v>119766.40981799745</v>
      </c>
      <c r="R5" s="38">
        <f t="shared" ref="R5" si="5">SUM(R6:R11)</f>
        <v>122691.28556010836</v>
      </c>
      <c r="S5" s="38">
        <f t="shared" ref="S5" si="6">SUM(S6:S11)</f>
        <v>134179.34420570373</v>
      </c>
      <c r="T5" s="38">
        <f>SUM(Q5:S5)</f>
        <v>376637.03958380956</v>
      </c>
      <c r="U5" s="40"/>
    </row>
    <row r="6" spans="1:21" x14ac:dyDescent="0.35">
      <c r="B6" s="16" t="s">
        <v>40</v>
      </c>
      <c r="C6" s="4" t="s">
        <v>4</v>
      </c>
      <c r="D6" s="35">
        <f>SUM(H6,L6,P6,T6)</f>
        <v>774415.15892607835</v>
      </c>
      <c r="E6" s="35">
        <f>E61</f>
        <v>47094.474000000002</v>
      </c>
      <c r="F6" s="39">
        <f t="shared" ref="F6:G6" si="7">F61</f>
        <v>51144.2</v>
      </c>
      <c r="G6" s="39">
        <f t="shared" si="7"/>
        <v>58230.457000000002</v>
      </c>
      <c r="H6" s="35">
        <f>SUM(E6:G6)</f>
        <v>156469.13099999999</v>
      </c>
      <c r="I6" s="35">
        <f>I61</f>
        <v>55914.418999999994</v>
      </c>
      <c r="J6" s="39">
        <f t="shared" ref="J6:K6" si="8">J61</f>
        <v>57079.483</v>
      </c>
      <c r="K6" s="39">
        <f t="shared" si="8"/>
        <v>56556.369690678563</v>
      </c>
      <c r="L6" s="35">
        <f>SUM(I6:K6)</f>
        <v>169550.27169067855</v>
      </c>
      <c r="M6" s="35">
        <f>M61</f>
        <v>74919.428</v>
      </c>
      <c r="N6" s="39">
        <f t="shared" ref="N6:O6" si="9">N61</f>
        <v>72360.697</v>
      </c>
      <c r="O6" s="39">
        <f t="shared" si="9"/>
        <v>80512.764000000025</v>
      </c>
      <c r="P6" s="35">
        <f>SUM(M6:O6)</f>
        <v>227792.88900000002</v>
      </c>
      <c r="Q6" s="35">
        <f>Q61</f>
        <v>69955.921622135691</v>
      </c>
      <c r="R6" s="39">
        <f t="shared" ref="R6:S6" si="10">R61</f>
        <v>72316.751026384096</v>
      </c>
      <c r="S6" s="39">
        <f t="shared" si="10"/>
        <v>78330.194586879996</v>
      </c>
      <c r="T6" s="35">
        <f>SUM(Q6:S6)</f>
        <v>220602.86723539978</v>
      </c>
      <c r="U6" s="40"/>
    </row>
    <row r="7" spans="1:21" x14ac:dyDescent="0.35">
      <c r="B7" s="16" t="s">
        <v>41</v>
      </c>
      <c r="C7" s="4" t="s">
        <v>4</v>
      </c>
      <c r="D7" s="35">
        <f t="shared" ref="D7:D10" si="11">SUM(H7,L7,P7,T7)</f>
        <v>282359.63146421686</v>
      </c>
      <c r="E7" s="35">
        <f>E105</f>
        <v>22313.374026231231</v>
      </c>
      <c r="F7" s="39">
        <f t="shared" ref="F7:G7" si="12">F105</f>
        <v>23749.563080495813</v>
      </c>
      <c r="G7" s="39">
        <f t="shared" si="12"/>
        <v>25210.44540049589</v>
      </c>
      <c r="H7" s="35">
        <f t="shared" ref="H7:H11" si="13">SUM(E7:G7)</f>
        <v>71273.382507222937</v>
      </c>
      <c r="I7" s="35">
        <f>I105</f>
        <v>23327.004750470565</v>
      </c>
      <c r="J7" s="39">
        <f t="shared" ref="J7:K7" si="14">J105</f>
        <v>21858.863275754498</v>
      </c>
      <c r="K7" s="39">
        <f t="shared" si="14"/>
        <v>22177.339996724524</v>
      </c>
      <c r="L7" s="35">
        <f t="shared" ref="L7:L11" si="15">SUM(I7:K7)</f>
        <v>67363.208022949591</v>
      </c>
      <c r="M7" s="35">
        <f>M105</f>
        <v>22574.998272451896</v>
      </c>
      <c r="N7" s="39">
        <f t="shared" ref="N7:O7" si="16">N105</f>
        <v>25552.928435611266</v>
      </c>
      <c r="O7" s="39">
        <f t="shared" si="16"/>
        <v>26363.971231384527</v>
      </c>
      <c r="P7" s="35">
        <f t="shared" ref="P7:P11" si="17">SUM(M7:O7)</f>
        <v>74491.897939447692</v>
      </c>
      <c r="Q7" s="35">
        <f>Q105</f>
        <v>22767.893175032485</v>
      </c>
      <c r="R7" s="39">
        <f t="shared" ref="R7:S7" si="18">R105</f>
        <v>21933.068294061301</v>
      </c>
      <c r="S7" s="39">
        <f t="shared" si="18"/>
        <v>24530.181525502885</v>
      </c>
      <c r="T7" s="35">
        <f t="shared" ref="T7:T11" si="19">SUM(Q7:S7)</f>
        <v>69231.142994596681</v>
      </c>
      <c r="U7" s="40"/>
    </row>
    <row r="8" spans="1:21" x14ac:dyDescent="0.35">
      <c r="B8" s="16" t="s">
        <v>42</v>
      </c>
      <c r="C8" s="4" t="s">
        <v>4</v>
      </c>
      <c r="D8" s="35">
        <f t="shared" si="11"/>
        <v>356663.33396641648</v>
      </c>
      <c r="E8" s="35">
        <f>E148</f>
        <v>27488.954429999998</v>
      </c>
      <c r="F8" s="39">
        <f t="shared" ref="F8:G8" si="20">F148</f>
        <v>31413.317580000003</v>
      </c>
      <c r="G8" s="39">
        <f t="shared" si="20"/>
        <v>34255.334839999989</v>
      </c>
      <c r="H8" s="35">
        <f t="shared" si="13"/>
        <v>93157.606849999982</v>
      </c>
      <c r="I8" s="35">
        <f>I148</f>
        <v>35644.684940000006</v>
      </c>
      <c r="J8" s="39">
        <f t="shared" ref="J8:K8" si="21">J148</f>
        <v>38914.071302509801</v>
      </c>
      <c r="K8" s="39">
        <f t="shared" si="21"/>
        <v>31587.545890093606</v>
      </c>
      <c r="L8" s="35">
        <f t="shared" si="15"/>
        <v>106146.30213260342</v>
      </c>
      <c r="M8" s="35">
        <f>M148</f>
        <v>26576.820169999999</v>
      </c>
      <c r="N8" s="39">
        <f t="shared" ref="N8:O8" si="22">N148</f>
        <v>26086.586330000006</v>
      </c>
      <c r="O8" s="39">
        <f t="shared" si="22"/>
        <v>25774.86969</v>
      </c>
      <c r="P8" s="35">
        <f t="shared" si="17"/>
        <v>78438.276190000004</v>
      </c>
      <c r="Q8" s="35">
        <f>Q148</f>
        <v>25398.837180829276</v>
      </c>
      <c r="R8" s="39">
        <f t="shared" ref="R8:S8" si="23">R148</f>
        <v>26013.916399662954</v>
      </c>
      <c r="S8" s="39">
        <f t="shared" si="23"/>
        <v>27508.395213320848</v>
      </c>
      <c r="T8" s="35">
        <f t="shared" si="19"/>
        <v>78921.148793813074</v>
      </c>
      <c r="U8" s="40"/>
    </row>
    <row r="9" spans="1:21" x14ac:dyDescent="0.35">
      <c r="B9" s="16" t="s">
        <v>43</v>
      </c>
      <c r="C9" s="4" t="s">
        <v>4</v>
      </c>
      <c r="D9" s="35">
        <f t="shared" si="11"/>
        <v>16316.298000366001</v>
      </c>
      <c r="E9" s="35">
        <f>E191</f>
        <v>1750.2</v>
      </c>
      <c r="F9" s="39">
        <f t="shared" ref="F9:G9" si="24">F191</f>
        <v>1899.32</v>
      </c>
      <c r="G9" s="39">
        <f t="shared" si="24"/>
        <v>1594.7430000000002</v>
      </c>
      <c r="H9" s="35">
        <f t="shared" si="13"/>
        <v>5244.2629999999999</v>
      </c>
      <c r="I9" s="35">
        <f>I191</f>
        <v>1851.2809999999999</v>
      </c>
      <c r="J9" s="39">
        <f t="shared" ref="J9:K9" si="25">J191</f>
        <v>1912.6679999999999</v>
      </c>
      <c r="K9" s="39">
        <f t="shared" si="25"/>
        <v>1128.26</v>
      </c>
      <c r="L9" s="35">
        <f t="shared" si="15"/>
        <v>4892.2089999999998</v>
      </c>
      <c r="M9" s="35">
        <f>M191</f>
        <v>541.16300036600001</v>
      </c>
      <c r="N9" s="39">
        <f t="shared" ref="N9:O9" si="26">N191</f>
        <v>717.71600000000001</v>
      </c>
      <c r="O9" s="39">
        <f t="shared" si="26"/>
        <v>882.19200000000001</v>
      </c>
      <c r="P9" s="35">
        <f t="shared" si="17"/>
        <v>2141.0710003660001</v>
      </c>
      <c r="Q9" s="35">
        <f>Q191</f>
        <v>907.89099999999996</v>
      </c>
      <c r="R9" s="39">
        <f t="shared" ref="R9:S9" si="27">R191</f>
        <v>1138.6870000000001</v>
      </c>
      <c r="S9" s="39">
        <f t="shared" si="27"/>
        <v>1992.1770000000001</v>
      </c>
      <c r="T9" s="35">
        <f t="shared" si="19"/>
        <v>4038.7550000000001</v>
      </c>
      <c r="U9" s="40"/>
    </row>
    <row r="10" spans="1:21" x14ac:dyDescent="0.35">
      <c r="B10" s="16" t="s">
        <v>44</v>
      </c>
      <c r="C10" s="4" t="s">
        <v>4</v>
      </c>
      <c r="D10" s="35">
        <f t="shared" si="11"/>
        <v>6969.165</v>
      </c>
      <c r="E10" s="35">
        <f>E234</f>
        <v>731.76699999999994</v>
      </c>
      <c r="F10" s="39">
        <f t="shared" ref="F10:G10" si="28">F234</f>
        <v>663.73699999999997</v>
      </c>
      <c r="G10" s="39">
        <f t="shared" si="28"/>
        <v>556.78700000000003</v>
      </c>
      <c r="H10" s="35">
        <f t="shared" si="13"/>
        <v>1952.2909999999999</v>
      </c>
      <c r="I10" s="35">
        <f>I234</f>
        <v>534.17900000000009</v>
      </c>
      <c r="J10" s="39">
        <f t="shared" ref="J10:K10" si="29">J234</f>
        <v>515.96500000000003</v>
      </c>
      <c r="K10" s="39">
        <f t="shared" si="29"/>
        <v>407.815</v>
      </c>
      <c r="L10" s="35">
        <f t="shared" si="15"/>
        <v>1457.9590000000003</v>
      </c>
      <c r="M10" s="35">
        <f>M234</f>
        <v>296.267</v>
      </c>
      <c r="N10" s="39">
        <f t="shared" ref="N10:O10" si="30">N234</f>
        <v>422.733</v>
      </c>
      <c r="O10" s="39">
        <f t="shared" si="30"/>
        <v>430.553</v>
      </c>
      <c r="P10" s="35">
        <f t="shared" si="17"/>
        <v>1149.5529999999999</v>
      </c>
      <c r="Q10" s="35">
        <f>Q234</f>
        <v>479.42099999999999</v>
      </c>
      <c r="R10" s="39">
        <f t="shared" ref="R10:S10" si="31">R234</f>
        <v>882.97799999999995</v>
      </c>
      <c r="S10" s="39">
        <f t="shared" si="31"/>
        <v>1046.963</v>
      </c>
      <c r="T10" s="35">
        <f t="shared" si="19"/>
        <v>2409.3620000000001</v>
      </c>
      <c r="U10" s="40"/>
    </row>
    <row r="11" spans="1:21" x14ac:dyDescent="0.35">
      <c r="B11" s="16" t="s">
        <v>45</v>
      </c>
      <c r="C11" s="4" t="s">
        <v>4</v>
      </c>
      <c r="D11" s="35">
        <f>SUM(H11,L11,P11,T11)</f>
        <v>5609.4058599999989</v>
      </c>
      <c r="E11" s="35">
        <f>E277</f>
        <v>723.22498999999993</v>
      </c>
      <c r="F11" s="39">
        <f t="shared" ref="F11:G11" si="32">F277</f>
        <v>666.25252999999998</v>
      </c>
      <c r="G11" s="39">
        <f t="shared" si="32"/>
        <v>626.30480999999986</v>
      </c>
      <c r="H11" s="35">
        <f t="shared" si="13"/>
        <v>2015.7823299999998</v>
      </c>
      <c r="I11" s="35">
        <f>I277</f>
        <v>587.55241000000001</v>
      </c>
      <c r="J11" s="39">
        <f t="shared" ref="J11:K11" si="33">J277</f>
        <v>496.06504999999999</v>
      </c>
      <c r="K11" s="39">
        <f t="shared" si="33"/>
        <v>453.37827000000004</v>
      </c>
      <c r="L11" s="35">
        <f t="shared" si="15"/>
        <v>1536.9957300000001</v>
      </c>
      <c r="M11" s="35">
        <f>M277</f>
        <v>197.70101000000003</v>
      </c>
      <c r="N11" s="39">
        <f t="shared" ref="N11:O11" si="34">N277</f>
        <v>199.46571999999998</v>
      </c>
      <c r="O11" s="39">
        <f t="shared" si="34"/>
        <v>225.69750999999999</v>
      </c>
      <c r="P11" s="35">
        <f t="shared" si="17"/>
        <v>622.86424</v>
      </c>
      <c r="Q11" s="35">
        <f>Q277</f>
        <v>256.44584000000003</v>
      </c>
      <c r="R11" s="39">
        <f t="shared" ref="R11:S11" si="35">R277</f>
        <v>405.88483999999994</v>
      </c>
      <c r="S11" s="39">
        <f t="shared" si="35"/>
        <v>771.43287999999984</v>
      </c>
      <c r="T11" s="35">
        <f t="shared" si="19"/>
        <v>1433.7635599999999</v>
      </c>
      <c r="U11" s="40"/>
    </row>
    <row r="12" spans="1:21" x14ac:dyDescent="0.35">
      <c r="B12" s="1"/>
    </row>
    <row r="13" spans="1:21" x14ac:dyDescent="0.35">
      <c r="B13" s="1"/>
    </row>
    <row r="14" spans="1:21" x14ac:dyDescent="0.35">
      <c r="A14" s="1" t="s">
        <v>52</v>
      </c>
      <c r="B14" s="1"/>
    </row>
    <row r="15" spans="1:21" ht="15.5" x14ac:dyDescent="0.35">
      <c r="A15" s="10" t="s">
        <v>0</v>
      </c>
      <c r="B15" s="10" t="s">
        <v>1</v>
      </c>
      <c r="C15" s="10" t="s">
        <v>2</v>
      </c>
      <c r="D15" s="31" t="s">
        <v>67</v>
      </c>
      <c r="E15" s="27" t="s">
        <v>113</v>
      </c>
      <c r="F15" s="11" t="s">
        <v>114</v>
      </c>
      <c r="G15" s="11" t="s">
        <v>115</v>
      </c>
      <c r="H15" s="28" t="s">
        <v>27</v>
      </c>
      <c r="I15" s="11" t="s">
        <v>55</v>
      </c>
      <c r="J15" s="11" t="s">
        <v>116</v>
      </c>
      <c r="K15" s="11" t="s">
        <v>117</v>
      </c>
      <c r="L15" s="15" t="s">
        <v>54</v>
      </c>
      <c r="M15" s="11" t="s">
        <v>118</v>
      </c>
      <c r="N15" s="11" t="s">
        <v>119</v>
      </c>
      <c r="O15" s="11" t="s">
        <v>56</v>
      </c>
      <c r="P15" s="15" t="s">
        <v>57</v>
      </c>
      <c r="Q15" s="11" t="s">
        <v>120</v>
      </c>
      <c r="R15" s="11" t="s">
        <v>58</v>
      </c>
      <c r="S15" s="11" t="s">
        <v>121</v>
      </c>
      <c r="T15" s="15" t="s">
        <v>59</v>
      </c>
    </row>
    <row r="16" spans="1:21" ht="15.5" x14ac:dyDescent="0.35">
      <c r="A16" s="12"/>
      <c r="B16" s="12"/>
      <c r="C16" s="12"/>
      <c r="D16" s="32"/>
      <c r="E16" s="29"/>
      <c r="F16" s="13"/>
      <c r="G16" s="13"/>
      <c r="H16" s="29"/>
      <c r="I16" s="13"/>
      <c r="J16" s="13"/>
      <c r="K16" s="13"/>
      <c r="L16" s="9"/>
      <c r="M16" s="13"/>
      <c r="N16" s="13"/>
      <c r="O16" s="13"/>
      <c r="P16" s="9"/>
      <c r="Q16" s="13"/>
      <c r="R16" s="13"/>
      <c r="S16" s="13"/>
      <c r="T16" s="9"/>
    </row>
    <row r="17" spans="1:22" x14ac:dyDescent="0.35">
      <c r="A17" s="5"/>
      <c r="B17" s="6" t="s">
        <v>26</v>
      </c>
      <c r="C17" s="6" t="s">
        <v>4</v>
      </c>
      <c r="D17" s="33">
        <f>SUM(D18:D55)</f>
        <v>1442332.9932170776</v>
      </c>
      <c r="E17" s="84">
        <f>SUM(E18:E55)</f>
        <v>100101.99444623121</v>
      </c>
      <c r="F17" s="84">
        <f>SUM(F18:F55)</f>
        <v>109536.39019049585</v>
      </c>
      <c r="G17" s="84">
        <f t="shared" ref="G17" si="36">SUM(G18:G55)</f>
        <v>120474.07205049589</v>
      </c>
      <c r="H17" s="84">
        <f>SUM(E17:G17)</f>
        <v>330112.45668722293</v>
      </c>
      <c r="I17" s="84">
        <f>SUM(I18:I55)</f>
        <v>117859.12110047058</v>
      </c>
      <c r="J17" s="84">
        <f>SUM(J18:J55)</f>
        <v>120777.11562826428</v>
      </c>
      <c r="K17" s="94">
        <f t="shared" ref="K17" si="37">SUM(K18:K55)</f>
        <v>112310.70884749669</v>
      </c>
      <c r="L17" s="84">
        <f>SUM(I17:K17)</f>
        <v>350946.94557623158</v>
      </c>
      <c r="M17" s="84">
        <f>SUM(M18:M55)</f>
        <v>125106.37745281792</v>
      </c>
      <c r="N17" s="86">
        <f>SUM(N18:N55)</f>
        <v>125340.12648561128</v>
      </c>
      <c r="O17" s="86">
        <f t="shared" ref="O17" si="38">SUM(O18:O55)</f>
        <v>134190.0474313845</v>
      </c>
      <c r="P17" s="86">
        <f>SUM(M17:O17)</f>
        <v>384636.55136981374</v>
      </c>
      <c r="Q17" s="84">
        <f>SUM(Q18:Q55)</f>
        <v>119766.40981799744</v>
      </c>
      <c r="R17" s="86">
        <f>SUM(R18:R55)</f>
        <v>122691.28556010836</v>
      </c>
      <c r="S17" s="86">
        <f t="shared" ref="S17" si="39">SUM(S18:S55)</f>
        <v>134179.34420570376</v>
      </c>
      <c r="T17" s="86">
        <f>SUM(Q17:S17)</f>
        <v>376637.03958380956</v>
      </c>
      <c r="V17" s="34"/>
    </row>
    <row r="18" spans="1:22" x14ac:dyDescent="0.35">
      <c r="A18" s="2">
        <v>1</v>
      </c>
      <c r="B18" s="121" t="s">
        <v>131</v>
      </c>
      <c r="C18" s="4" t="s">
        <v>4</v>
      </c>
      <c r="D18" s="24">
        <f>SUM(H18,L18,P18,T18)</f>
        <v>15081.607</v>
      </c>
      <c r="E18" s="118">
        <f>SUM(E62,E106,E149,E192,E235,E278)</f>
        <v>1605.7049999999999</v>
      </c>
      <c r="F18" s="118">
        <f>SUM(F62,F106,F149,F192,F235,F278)</f>
        <v>1634.597</v>
      </c>
      <c r="G18" s="118">
        <f t="shared" ref="G18" si="40">SUM(G62,G106,G149,G192,G235,G278)</f>
        <v>1715.2499999999998</v>
      </c>
      <c r="H18" s="118">
        <f>SUM(E18:G18)</f>
        <v>4955.5519999999997</v>
      </c>
      <c r="I18" s="119">
        <f>SUM(I62,I106,I149,I192,I235,I278)</f>
        <v>736.5</v>
      </c>
      <c r="J18" s="119">
        <f t="shared" ref="J18:K18" si="41">SUM(J62,J106,J149,J192,J235,J278)</f>
        <v>666.78500000000008</v>
      </c>
      <c r="K18" s="119">
        <f t="shared" si="41"/>
        <v>633</v>
      </c>
      <c r="L18" s="119">
        <f>SUM(I18:K18)</f>
        <v>2036.2850000000001</v>
      </c>
      <c r="M18" s="119">
        <f>SUM(M62,M106,M149,M192,M235,M278)</f>
        <v>612.82000000000005</v>
      </c>
      <c r="N18" s="119">
        <f t="shared" ref="N18:O18" si="42">SUM(N62,N106,N149,N192,N235,N278)</f>
        <v>594</v>
      </c>
      <c r="O18" s="119">
        <f t="shared" si="42"/>
        <v>549.95000000000005</v>
      </c>
      <c r="P18" s="120">
        <f>SUM(M18:O18)</f>
        <v>1756.7700000000002</v>
      </c>
      <c r="Q18" s="119">
        <f>SUM(Q62,Q106,Q149,Q192,Q235,Q278)</f>
        <v>1414.4</v>
      </c>
      <c r="R18" s="119">
        <f t="shared" ref="R18:S18" si="43">SUM(R62,R106,R149,R192,R235,R278)</f>
        <v>1938.7</v>
      </c>
      <c r="S18" s="119">
        <f t="shared" si="43"/>
        <v>2979.9</v>
      </c>
      <c r="T18" s="120">
        <f>SUM(Q18:S18)</f>
        <v>6333</v>
      </c>
    </row>
    <row r="19" spans="1:22" ht="15.75" customHeight="1" x14ac:dyDescent="0.35">
      <c r="A19" s="2">
        <f t="shared" ref="A19:A39" si="44">A18+1</f>
        <v>2</v>
      </c>
      <c r="B19" s="121" t="s">
        <v>132</v>
      </c>
      <c r="C19" s="4" t="s">
        <v>4</v>
      </c>
      <c r="D19" s="24">
        <f t="shared" ref="D19:D55" si="45">SUM(H19,L19,P19,T19)</f>
        <v>30646.435000000005</v>
      </c>
      <c r="E19" s="118">
        <f t="shared" ref="E19:E55" si="46">SUM(E63,E107,E150,E193,E236,E279)</f>
        <v>2406.0350000000003</v>
      </c>
      <c r="F19" s="118">
        <f>SUM(F63,F107,F150,F193,F236,F279)</f>
        <v>2451.2550000000001</v>
      </c>
      <c r="G19" s="118">
        <f t="shared" ref="G19:G55" si="47">SUM(G63,G107,G150,G193,G236,G279)</f>
        <v>2444.88</v>
      </c>
      <c r="H19" s="118">
        <f t="shared" ref="H19:H55" si="48">SUM(E19:G19)</f>
        <v>7302.170000000001</v>
      </c>
      <c r="I19" s="119">
        <f t="shared" ref="I19:K55" si="49">SUM(I63,I107,I150,I193,I236,I279)</f>
        <v>2485.8950000000004</v>
      </c>
      <c r="J19" s="119">
        <f t="shared" si="49"/>
        <v>2543.5090000000005</v>
      </c>
      <c r="K19" s="119">
        <f t="shared" si="49"/>
        <v>2519.4499999999998</v>
      </c>
      <c r="L19" s="120">
        <f t="shared" ref="L19:L38" si="50">SUM(I19:K19)</f>
        <v>7548.8540000000003</v>
      </c>
      <c r="M19" s="119">
        <f t="shared" ref="M19:O55" si="51">SUM(M63,M107,M150,M193,M236,M279)</f>
        <v>2582.1460000000002</v>
      </c>
      <c r="N19" s="119">
        <f t="shared" si="51"/>
        <v>2542.5550000000003</v>
      </c>
      <c r="O19" s="119">
        <f t="shared" si="51"/>
        <v>2597.6490000000003</v>
      </c>
      <c r="P19" s="120">
        <f t="shared" ref="P19:P55" si="52">SUM(M19:O19)</f>
        <v>7722.3500000000013</v>
      </c>
      <c r="Q19" s="119">
        <f t="shared" ref="Q19:S55" si="53">SUM(Q63,Q107,Q150,Q193,Q236,Q279)</f>
        <v>2669.63</v>
      </c>
      <c r="R19" s="119">
        <f t="shared" si="53"/>
        <v>2730.0509999999999</v>
      </c>
      <c r="S19" s="119">
        <f t="shared" si="53"/>
        <v>2673.38</v>
      </c>
      <c r="T19" s="120">
        <f t="shared" ref="T19:T55" si="54">SUM(Q19:S19)</f>
        <v>8073.0610000000006</v>
      </c>
    </row>
    <row r="20" spans="1:22" ht="15.75" customHeight="1" x14ac:dyDescent="0.35">
      <c r="A20" s="2">
        <f t="shared" si="44"/>
        <v>3</v>
      </c>
      <c r="B20" s="121" t="s">
        <v>133</v>
      </c>
      <c r="C20" s="4" t="s">
        <v>4</v>
      </c>
      <c r="D20" s="24">
        <f t="shared" si="45"/>
        <v>17736.424999999999</v>
      </c>
      <c r="E20" s="118">
        <f t="shared" si="46"/>
        <v>1348.2999999999997</v>
      </c>
      <c r="F20" s="118">
        <f>SUM(F64,F108,F151,F194,F237,F280)</f>
        <v>1369.32</v>
      </c>
      <c r="G20" s="118">
        <f t="shared" si="47"/>
        <v>1420.56</v>
      </c>
      <c r="H20" s="118">
        <f t="shared" si="48"/>
        <v>4138.18</v>
      </c>
      <c r="I20" s="119">
        <f t="shared" si="49"/>
        <v>1492.15</v>
      </c>
      <c r="J20" s="119">
        <f t="shared" si="49"/>
        <v>1481.8</v>
      </c>
      <c r="K20" s="119">
        <f t="shared" si="49"/>
        <v>1473.79</v>
      </c>
      <c r="L20" s="120">
        <f t="shared" si="50"/>
        <v>4447.74</v>
      </c>
      <c r="M20" s="119">
        <f t="shared" si="51"/>
        <v>1488.4600000000003</v>
      </c>
      <c r="N20" s="119">
        <f t="shared" si="51"/>
        <v>1480.9</v>
      </c>
      <c r="O20" s="119">
        <f t="shared" si="51"/>
        <v>1310.5000000000002</v>
      </c>
      <c r="P20" s="120">
        <f t="shared" si="52"/>
        <v>4279.8600000000006</v>
      </c>
      <c r="Q20" s="119">
        <f t="shared" si="53"/>
        <v>1568.9150000000002</v>
      </c>
      <c r="R20" s="119">
        <f t="shared" si="53"/>
        <v>1641.46</v>
      </c>
      <c r="S20" s="119">
        <f t="shared" si="53"/>
        <v>1660.2699999999998</v>
      </c>
      <c r="T20" s="120">
        <f t="shared" si="54"/>
        <v>4870.6449999999995</v>
      </c>
    </row>
    <row r="21" spans="1:22" x14ac:dyDescent="0.35">
      <c r="A21" s="2">
        <f t="shared" si="44"/>
        <v>4</v>
      </c>
      <c r="B21" s="121" t="s">
        <v>134</v>
      </c>
      <c r="C21" s="4" t="s">
        <v>4</v>
      </c>
      <c r="D21" s="24">
        <f t="shared" si="45"/>
        <v>5384.1280000000006</v>
      </c>
      <c r="E21" s="118">
        <f t="shared" si="46"/>
        <v>566.06299999999999</v>
      </c>
      <c r="F21" s="118">
        <f t="shared" ref="F21:F22" si="55">SUM(F65,F109,F152,F195,F238,F281)</f>
        <v>540.14499999999998</v>
      </c>
      <c r="G21" s="118">
        <f t="shared" si="47"/>
        <v>504.82700000000006</v>
      </c>
      <c r="H21" s="118">
        <f t="shared" si="48"/>
        <v>1611.0350000000001</v>
      </c>
      <c r="I21" s="119">
        <f t="shared" si="49"/>
        <v>460.57000000000005</v>
      </c>
      <c r="J21" s="119">
        <f t="shared" si="49"/>
        <v>422.38</v>
      </c>
      <c r="K21" s="119">
        <f t="shared" si="49"/>
        <v>383.75600000000003</v>
      </c>
      <c r="L21" s="120">
        <f t="shared" si="50"/>
        <v>1266.7060000000001</v>
      </c>
      <c r="M21" s="119">
        <f t="shared" si="51"/>
        <v>331.58399999999995</v>
      </c>
      <c r="N21" s="119">
        <f t="shared" si="51"/>
        <v>345.65299999999996</v>
      </c>
      <c r="O21" s="119">
        <f t="shared" si="51"/>
        <v>386.58499999999998</v>
      </c>
      <c r="P21" s="120">
        <f t="shared" si="52"/>
        <v>1063.8219999999999</v>
      </c>
      <c r="Q21" s="119">
        <f t="shared" si="53"/>
        <v>422.596</v>
      </c>
      <c r="R21" s="119">
        <f t="shared" si="53"/>
        <v>505.61700000000002</v>
      </c>
      <c r="S21" s="119">
        <f t="shared" si="53"/>
        <v>514.35199999999998</v>
      </c>
      <c r="T21" s="120">
        <f t="shared" si="54"/>
        <v>1442.5650000000001</v>
      </c>
    </row>
    <row r="22" spans="1:22" x14ac:dyDescent="0.35">
      <c r="A22" s="2">
        <f t="shared" si="44"/>
        <v>5</v>
      </c>
      <c r="B22" s="121" t="s">
        <v>135</v>
      </c>
      <c r="C22" s="4" t="s">
        <v>4</v>
      </c>
      <c r="D22" s="24">
        <f t="shared" si="45"/>
        <v>849.31600000000003</v>
      </c>
      <c r="E22" s="118">
        <f t="shared" si="46"/>
        <v>75.492000000000004</v>
      </c>
      <c r="F22" s="118">
        <f t="shared" si="55"/>
        <v>72.228999999999999</v>
      </c>
      <c r="G22" s="118">
        <f t="shared" si="47"/>
        <v>78.873000000000005</v>
      </c>
      <c r="H22" s="118">
        <f t="shared" si="48"/>
        <v>226.59399999999999</v>
      </c>
      <c r="I22" s="119">
        <f t="shared" si="49"/>
        <v>70.17</v>
      </c>
      <c r="J22" s="119">
        <f t="shared" si="49"/>
        <v>66.313999999999993</v>
      </c>
      <c r="K22" s="119">
        <f t="shared" si="49"/>
        <v>70.069000000000003</v>
      </c>
      <c r="L22" s="120">
        <f t="shared" si="50"/>
        <v>206.553</v>
      </c>
      <c r="M22" s="119">
        <f t="shared" si="51"/>
        <v>67.283000000000001</v>
      </c>
      <c r="N22" s="119">
        <f t="shared" si="51"/>
        <v>69.231999999999999</v>
      </c>
      <c r="O22" s="119">
        <f t="shared" si="51"/>
        <v>66.201999999999998</v>
      </c>
      <c r="P22" s="120">
        <f t="shared" si="52"/>
        <v>202.71699999999998</v>
      </c>
      <c r="Q22" s="119">
        <f t="shared" si="53"/>
        <v>67.037000000000006</v>
      </c>
      <c r="R22" s="119">
        <f t="shared" si="53"/>
        <v>67.906999999999996</v>
      </c>
      <c r="S22" s="119">
        <f t="shared" si="53"/>
        <v>78.507999999999996</v>
      </c>
      <c r="T22" s="120">
        <f t="shared" si="54"/>
        <v>213.452</v>
      </c>
    </row>
    <row r="23" spans="1:22" x14ac:dyDescent="0.35">
      <c r="A23" s="2">
        <f t="shared" si="44"/>
        <v>6</v>
      </c>
      <c r="B23" s="121" t="s">
        <v>136</v>
      </c>
      <c r="C23" s="4" t="s">
        <v>4</v>
      </c>
      <c r="D23" s="24">
        <f t="shared" si="45"/>
        <v>160439.07452691664</v>
      </c>
      <c r="E23" s="118">
        <f t="shared" si="46"/>
        <v>12043.71675623123</v>
      </c>
      <c r="F23" s="118">
        <f t="shared" ref="F23:F55" si="56">SUM(F67,F111,F154,F197,F240,F283)</f>
        <v>14138.77159</v>
      </c>
      <c r="G23" s="118">
        <f t="shared" si="47"/>
        <v>14661.92</v>
      </c>
      <c r="H23" s="118">
        <f t="shared" si="48"/>
        <v>40844.408346231226</v>
      </c>
      <c r="I23" s="119">
        <f t="shared" si="49"/>
        <v>13614.63967</v>
      </c>
      <c r="J23" s="119">
        <f t="shared" si="49"/>
        <v>13091.10024</v>
      </c>
      <c r="K23" s="119">
        <f t="shared" si="49"/>
        <v>14138.280077881129</v>
      </c>
      <c r="L23" s="120">
        <f t="shared" si="50"/>
        <v>40844.019987881125</v>
      </c>
      <c r="M23" s="119">
        <f t="shared" si="51"/>
        <v>12567.360342798191</v>
      </c>
      <c r="N23" s="119">
        <f t="shared" si="51"/>
        <v>13091.002999999999</v>
      </c>
      <c r="O23" s="119">
        <f t="shared" si="51"/>
        <v>14342.920999999998</v>
      </c>
      <c r="P23" s="120">
        <f t="shared" si="52"/>
        <v>40001.284342798186</v>
      </c>
      <c r="Q23" s="119">
        <f t="shared" si="53"/>
        <v>14661.922013579329</v>
      </c>
      <c r="R23" s="119">
        <f t="shared" si="53"/>
        <v>12043.72006028398</v>
      </c>
      <c r="S23" s="119">
        <f t="shared" si="53"/>
        <v>12043.719776142781</v>
      </c>
      <c r="T23" s="120">
        <f t="shared" si="54"/>
        <v>38749.361850006091</v>
      </c>
    </row>
    <row r="24" spans="1:22" x14ac:dyDescent="0.35">
      <c r="A24" s="2">
        <f t="shared" si="44"/>
        <v>7</v>
      </c>
      <c r="B24" s="121" t="s">
        <v>137</v>
      </c>
      <c r="C24" s="4" t="s">
        <v>4</v>
      </c>
      <c r="D24" s="24">
        <f t="shared" si="45"/>
        <v>16410.715470161089</v>
      </c>
      <c r="E24" s="118">
        <f t="shared" si="46"/>
        <v>1209.7599999999998</v>
      </c>
      <c r="F24" s="118">
        <f t="shared" si="56"/>
        <v>1588.3600004958171</v>
      </c>
      <c r="G24" s="118">
        <f t="shared" si="47"/>
        <v>1430.8680004958878</v>
      </c>
      <c r="H24" s="118">
        <f t="shared" si="48"/>
        <v>4228.9880009917051</v>
      </c>
      <c r="I24" s="119">
        <f t="shared" si="49"/>
        <v>1133.003000470562</v>
      </c>
      <c r="J24" s="119">
        <f t="shared" si="49"/>
        <v>1093.5779982643</v>
      </c>
      <c r="K24" s="119">
        <f t="shared" si="49"/>
        <v>1105.5439996155699</v>
      </c>
      <c r="L24" s="120">
        <f t="shared" si="50"/>
        <v>3332.1249983504322</v>
      </c>
      <c r="M24" s="119">
        <f t="shared" si="51"/>
        <v>1407.4700000197031</v>
      </c>
      <c r="N24" s="119">
        <f t="shared" si="51"/>
        <v>1512.0499656112661</v>
      </c>
      <c r="O24" s="119">
        <f t="shared" si="51"/>
        <v>1469.319971384529</v>
      </c>
      <c r="P24" s="120">
        <f t="shared" si="52"/>
        <v>4388.8399370154984</v>
      </c>
      <c r="Q24" s="119">
        <f t="shared" si="53"/>
        <v>1362.1245344181211</v>
      </c>
      <c r="R24" s="119">
        <f t="shared" si="53"/>
        <v>1335.434999824374</v>
      </c>
      <c r="S24" s="119">
        <f t="shared" si="53"/>
        <v>1763.2029995609578</v>
      </c>
      <c r="T24" s="120">
        <f t="shared" si="54"/>
        <v>4460.7625338034522</v>
      </c>
    </row>
    <row r="25" spans="1:22" x14ac:dyDescent="0.35">
      <c r="A25" s="2">
        <f t="shared" si="44"/>
        <v>8</v>
      </c>
      <c r="B25" s="121" t="s">
        <v>138</v>
      </c>
      <c r="C25" s="4" t="s">
        <v>4</v>
      </c>
      <c r="D25" s="24">
        <f t="shared" si="45"/>
        <v>14792</v>
      </c>
      <c r="E25" s="118">
        <f t="shared" si="46"/>
        <v>1333.2</v>
      </c>
      <c r="F25" s="118">
        <f t="shared" si="56"/>
        <v>1244.8</v>
      </c>
      <c r="G25" s="118">
        <f t="shared" si="47"/>
        <v>1267.7</v>
      </c>
      <c r="H25" s="118">
        <f t="shared" si="48"/>
        <v>3845.7</v>
      </c>
      <c r="I25" s="119">
        <f t="shared" si="49"/>
        <v>1349.7</v>
      </c>
      <c r="J25" s="119">
        <f t="shared" si="49"/>
        <v>1228.5999999999999</v>
      </c>
      <c r="K25" s="119">
        <f t="shared" si="49"/>
        <v>1149.5</v>
      </c>
      <c r="L25" s="120">
        <f t="shared" si="50"/>
        <v>3727.8</v>
      </c>
      <c r="M25" s="119">
        <f t="shared" si="51"/>
        <v>1242.3</v>
      </c>
      <c r="N25" s="119">
        <f t="shared" si="51"/>
        <v>1101.2</v>
      </c>
      <c r="O25" s="119">
        <f t="shared" si="51"/>
        <v>1208.4000000000001</v>
      </c>
      <c r="P25" s="120">
        <f t="shared" si="52"/>
        <v>3551.9</v>
      </c>
      <c r="Q25" s="119">
        <f t="shared" si="53"/>
        <v>1188.8</v>
      </c>
      <c r="R25" s="119">
        <f t="shared" si="53"/>
        <v>1185.0999999999999</v>
      </c>
      <c r="S25" s="119">
        <f t="shared" si="53"/>
        <v>1292.7</v>
      </c>
      <c r="T25" s="120">
        <f t="shared" si="54"/>
        <v>3666.5999999999995</v>
      </c>
    </row>
    <row r="26" spans="1:22" x14ac:dyDescent="0.35">
      <c r="A26" s="2">
        <f t="shared" si="44"/>
        <v>9</v>
      </c>
      <c r="B26" s="121" t="s">
        <v>139</v>
      </c>
      <c r="C26" s="4" t="s">
        <v>4</v>
      </c>
      <c r="D26" s="24">
        <f t="shared" si="45"/>
        <v>25514.275000000001</v>
      </c>
      <c r="E26" s="118">
        <f t="shared" si="46"/>
        <v>2088.5500000000002</v>
      </c>
      <c r="F26" s="118">
        <f t="shared" si="56"/>
        <v>2135.3200000000002</v>
      </c>
      <c r="G26" s="118">
        <f t="shared" si="47"/>
        <v>2193.25</v>
      </c>
      <c r="H26" s="118">
        <f t="shared" si="48"/>
        <v>6417.1200000000008</v>
      </c>
      <c r="I26" s="119">
        <f t="shared" si="49"/>
        <v>2124.38</v>
      </c>
      <c r="J26" s="119">
        <f t="shared" si="49"/>
        <v>2363.3449999999998</v>
      </c>
      <c r="K26" s="119">
        <f t="shared" si="49"/>
        <v>2429.395</v>
      </c>
      <c r="L26" s="120">
        <f t="shared" si="50"/>
        <v>6917.1200000000008</v>
      </c>
      <c r="M26" s="119">
        <f t="shared" si="51"/>
        <v>2040.43</v>
      </c>
      <c r="N26" s="119">
        <f t="shared" si="51"/>
        <v>2054.94</v>
      </c>
      <c r="O26" s="119">
        <f t="shared" si="51"/>
        <v>2003.415</v>
      </c>
      <c r="P26" s="120">
        <f t="shared" si="52"/>
        <v>6098.7849999999999</v>
      </c>
      <c r="Q26" s="119">
        <f t="shared" si="53"/>
        <v>1917.7249999999999</v>
      </c>
      <c r="R26" s="119">
        <f t="shared" si="53"/>
        <v>2044.9449999999999</v>
      </c>
      <c r="S26" s="119">
        <f t="shared" si="53"/>
        <v>2118.58</v>
      </c>
      <c r="T26" s="120">
        <f t="shared" si="54"/>
        <v>6081.25</v>
      </c>
    </row>
    <row r="27" spans="1:22" x14ac:dyDescent="0.35">
      <c r="A27" s="2">
        <f t="shared" si="44"/>
        <v>10</v>
      </c>
      <c r="B27" s="121" t="s">
        <v>140</v>
      </c>
      <c r="C27" s="4" t="s">
        <v>4</v>
      </c>
      <c r="D27" s="24">
        <f t="shared" si="45"/>
        <v>46941.846999999994</v>
      </c>
      <c r="E27" s="118">
        <f t="shared" si="46"/>
        <v>2935.83</v>
      </c>
      <c r="F27" s="118">
        <f t="shared" si="56"/>
        <v>4251.2309999999998</v>
      </c>
      <c r="G27" s="118">
        <f t="shared" si="47"/>
        <v>6773.7190000000001</v>
      </c>
      <c r="H27" s="118">
        <f t="shared" si="48"/>
        <v>13960.779999999999</v>
      </c>
      <c r="I27" s="119">
        <f t="shared" si="49"/>
        <v>8545.4679999999989</v>
      </c>
      <c r="J27" s="119">
        <f t="shared" si="49"/>
        <v>13676.414000000001</v>
      </c>
      <c r="K27" s="119">
        <f t="shared" si="49"/>
        <v>5958.0239999999994</v>
      </c>
      <c r="L27" s="120">
        <f t="shared" si="50"/>
        <v>28179.905999999995</v>
      </c>
      <c r="M27" s="119">
        <f t="shared" si="51"/>
        <v>1631.9009999999998</v>
      </c>
      <c r="N27" s="119">
        <f t="shared" si="51"/>
        <v>809.43700000000001</v>
      </c>
      <c r="O27" s="119">
        <f t="shared" si="51"/>
        <v>573.97500000000002</v>
      </c>
      <c r="P27" s="120">
        <f t="shared" si="52"/>
        <v>3015.3129999999996</v>
      </c>
      <c r="Q27" s="119">
        <f t="shared" si="53"/>
        <v>540.52699999999993</v>
      </c>
      <c r="R27" s="119">
        <f t="shared" si="53"/>
        <v>545.43700000000001</v>
      </c>
      <c r="S27" s="119">
        <f t="shared" si="53"/>
        <v>699.88400000000001</v>
      </c>
      <c r="T27" s="120">
        <f t="shared" si="54"/>
        <v>1785.848</v>
      </c>
    </row>
    <row r="28" spans="1:22" x14ac:dyDescent="0.35">
      <c r="A28" s="2">
        <f t="shared" si="44"/>
        <v>11</v>
      </c>
      <c r="B28" s="121" t="s">
        <v>141</v>
      </c>
      <c r="C28" s="4" t="s">
        <v>4</v>
      </c>
      <c r="D28" s="24">
        <f t="shared" si="45"/>
        <v>5111.5964000000004</v>
      </c>
      <c r="E28" s="118">
        <f t="shared" si="46"/>
        <v>432</v>
      </c>
      <c r="F28" s="118">
        <f t="shared" si="56"/>
        <v>415</v>
      </c>
      <c r="G28" s="118">
        <f t="shared" si="47"/>
        <v>465.00040000000001</v>
      </c>
      <c r="H28" s="118">
        <f t="shared" si="48"/>
        <v>1312.0003999999999</v>
      </c>
      <c r="I28" s="119">
        <f t="shared" si="49"/>
        <v>425.13400000000001</v>
      </c>
      <c r="J28" s="119">
        <f t="shared" si="49"/>
        <v>422.87300000000005</v>
      </c>
      <c r="K28" s="119">
        <f t="shared" si="49"/>
        <v>415.31</v>
      </c>
      <c r="L28" s="120">
        <f t="shared" si="50"/>
        <v>1263.317</v>
      </c>
      <c r="M28" s="119">
        <f t="shared" si="51"/>
        <v>405.43100000000004</v>
      </c>
      <c r="N28" s="119">
        <f t="shared" si="51"/>
        <v>434.85400000000004</v>
      </c>
      <c r="O28" s="119">
        <f t="shared" si="51"/>
        <v>410.608</v>
      </c>
      <c r="P28" s="120">
        <f t="shared" si="52"/>
        <v>1250.893</v>
      </c>
      <c r="Q28" s="119">
        <f t="shared" si="53"/>
        <v>416.41300000000001</v>
      </c>
      <c r="R28" s="119">
        <f t="shared" si="53"/>
        <v>389.45299999999997</v>
      </c>
      <c r="S28" s="119">
        <f t="shared" si="53"/>
        <v>479.52</v>
      </c>
      <c r="T28" s="120">
        <f t="shared" si="54"/>
        <v>1285.386</v>
      </c>
    </row>
    <row r="29" spans="1:22" x14ac:dyDescent="0.35">
      <c r="A29" s="2">
        <f t="shared" si="44"/>
        <v>12</v>
      </c>
      <c r="B29" s="121" t="s">
        <v>142</v>
      </c>
      <c r="C29" s="4" t="s">
        <v>4</v>
      </c>
      <c r="D29" s="24">
        <f t="shared" si="45"/>
        <v>3850.1000000000004</v>
      </c>
      <c r="E29" s="118">
        <f t="shared" si="46"/>
        <v>322.95</v>
      </c>
      <c r="F29" s="118">
        <f t="shared" si="56"/>
        <v>319.05</v>
      </c>
      <c r="G29" s="118">
        <f t="shared" si="47"/>
        <v>341.3</v>
      </c>
      <c r="H29" s="118">
        <f t="shared" si="48"/>
        <v>983.3</v>
      </c>
      <c r="I29" s="119">
        <f t="shared" si="49"/>
        <v>349.1</v>
      </c>
      <c r="J29" s="119">
        <f t="shared" si="49"/>
        <v>314.60000000000002</v>
      </c>
      <c r="K29" s="119">
        <f t="shared" si="49"/>
        <v>327.10000000000002</v>
      </c>
      <c r="L29" s="120">
        <f t="shared" si="50"/>
        <v>990.80000000000007</v>
      </c>
      <c r="M29" s="119">
        <f t="shared" si="51"/>
        <v>287.55</v>
      </c>
      <c r="N29" s="119">
        <f t="shared" si="51"/>
        <v>296.45</v>
      </c>
      <c r="O29" s="119">
        <f t="shared" si="51"/>
        <v>297.45</v>
      </c>
      <c r="P29" s="120">
        <f t="shared" si="52"/>
        <v>881.45</v>
      </c>
      <c r="Q29" s="119">
        <f t="shared" si="53"/>
        <v>326.55</v>
      </c>
      <c r="R29" s="119">
        <f t="shared" si="53"/>
        <v>328.75</v>
      </c>
      <c r="S29" s="119">
        <f t="shared" si="53"/>
        <v>339.25</v>
      </c>
      <c r="T29" s="120">
        <f t="shared" si="54"/>
        <v>994.55</v>
      </c>
    </row>
    <row r="30" spans="1:22" x14ac:dyDescent="0.35">
      <c r="A30" s="2">
        <f t="shared" si="44"/>
        <v>13</v>
      </c>
      <c r="B30" s="121" t="s">
        <v>143</v>
      </c>
      <c r="C30" s="4" t="s">
        <v>4</v>
      </c>
      <c r="D30" s="24">
        <f t="shared" si="45"/>
        <v>1860.28</v>
      </c>
      <c r="E30" s="118">
        <f t="shared" si="46"/>
        <v>153.1</v>
      </c>
      <c r="F30" s="118">
        <f t="shared" si="56"/>
        <v>159.76999999999998</v>
      </c>
      <c r="G30" s="118">
        <f t="shared" si="47"/>
        <v>170.71</v>
      </c>
      <c r="H30" s="118">
        <f t="shared" si="48"/>
        <v>483.58000000000004</v>
      </c>
      <c r="I30" s="119">
        <f t="shared" si="49"/>
        <v>160.70000000000002</v>
      </c>
      <c r="J30" s="119">
        <f t="shared" si="49"/>
        <v>162.29</v>
      </c>
      <c r="K30" s="119">
        <f t="shared" si="49"/>
        <v>160.71</v>
      </c>
      <c r="L30" s="120">
        <f t="shared" si="50"/>
        <v>483.70000000000005</v>
      </c>
      <c r="M30" s="119">
        <f t="shared" si="51"/>
        <v>148.21</v>
      </c>
      <c r="N30" s="119">
        <f t="shared" si="51"/>
        <v>143.65</v>
      </c>
      <c r="O30" s="119">
        <f t="shared" si="51"/>
        <v>139.13</v>
      </c>
      <c r="P30" s="120">
        <f t="shared" si="52"/>
        <v>430.99</v>
      </c>
      <c r="Q30" s="119">
        <f t="shared" si="53"/>
        <v>149.31</v>
      </c>
      <c r="R30" s="119">
        <f t="shared" si="53"/>
        <v>155.65</v>
      </c>
      <c r="S30" s="119">
        <f t="shared" si="53"/>
        <v>157.05000000000001</v>
      </c>
      <c r="T30" s="120">
        <f t="shared" si="54"/>
        <v>462.01000000000005</v>
      </c>
    </row>
    <row r="31" spans="1:22" x14ac:dyDescent="0.35">
      <c r="A31" s="2">
        <f t="shared" si="44"/>
        <v>14</v>
      </c>
      <c r="B31" s="121" t="s">
        <v>144</v>
      </c>
      <c r="C31" s="4" t="s">
        <v>4</v>
      </c>
      <c r="D31" s="24">
        <f t="shared" si="45"/>
        <v>13264.3</v>
      </c>
      <c r="E31" s="118">
        <f t="shared" si="46"/>
        <v>1333</v>
      </c>
      <c r="F31" s="118">
        <f t="shared" si="56"/>
        <v>1210.3</v>
      </c>
      <c r="G31" s="118">
        <f t="shared" si="47"/>
        <v>1278</v>
      </c>
      <c r="H31" s="118">
        <f t="shared" si="48"/>
        <v>3821.3</v>
      </c>
      <c r="I31" s="119">
        <f t="shared" si="49"/>
        <v>1349.5</v>
      </c>
      <c r="J31" s="119">
        <f t="shared" si="49"/>
        <v>1005</v>
      </c>
      <c r="K31" s="119">
        <f t="shared" si="49"/>
        <v>1067</v>
      </c>
      <c r="L31" s="120">
        <f t="shared" si="50"/>
        <v>3421.5</v>
      </c>
      <c r="M31" s="119">
        <f t="shared" si="51"/>
        <v>694.5</v>
      </c>
      <c r="N31" s="119">
        <f t="shared" si="51"/>
        <v>881</v>
      </c>
      <c r="O31" s="119">
        <f t="shared" si="51"/>
        <v>841.5</v>
      </c>
      <c r="P31" s="120">
        <f t="shared" si="52"/>
        <v>2417</v>
      </c>
      <c r="Q31" s="119">
        <f t="shared" si="53"/>
        <v>912</v>
      </c>
      <c r="R31" s="119">
        <f t="shared" si="53"/>
        <v>1144</v>
      </c>
      <c r="S31" s="119">
        <f t="shared" si="53"/>
        <v>1548.5</v>
      </c>
      <c r="T31" s="120">
        <f t="shared" si="54"/>
        <v>3604.5</v>
      </c>
    </row>
    <row r="32" spans="1:22" x14ac:dyDescent="0.35">
      <c r="A32" s="2">
        <f t="shared" si="44"/>
        <v>15</v>
      </c>
      <c r="B32" s="121" t="s">
        <v>145</v>
      </c>
      <c r="C32" s="4" t="s">
        <v>4</v>
      </c>
      <c r="D32" s="24">
        <f t="shared" si="45"/>
        <v>1816.6179999999999</v>
      </c>
      <c r="E32" s="118">
        <f t="shared" si="46"/>
        <v>146.30000000000001</v>
      </c>
      <c r="F32" s="118">
        <f t="shared" si="56"/>
        <v>148.85</v>
      </c>
      <c r="G32" s="118">
        <f t="shared" si="47"/>
        <v>165.35</v>
      </c>
      <c r="H32" s="118">
        <f t="shared" si="48"/>
        <v>460.5</v>
      </c>
      <c r="I32" s="119">
        <f t="shared" si="49"/>
        <v>152.85</v>
      </c>
      <c r="J32" s="119">
        <f t="shared" si="49"/>
        <v>145.22999999999999</v>
      </c>
      <c r="K32" s="119">
        <f t="shared" si="49"/>
        <v>147.67999999999998</v>
      </c>
      <c r="L32" s="120">
        <f t="shared" si="50"/>
        <v>445.76</v>
      </c>
      <c r="M32" s="119">
        <f t="shared" si="51"/>
        <v>149.07300000000001</v>
      </c>
      <c r="N32" s="119">
        <f t="shared" si="51"/>
        <v>148.875</v>
      </c>
      <c r="O32" s="119">
        <f t="shared" si="51"/>
        <v>149.55000000000001</v>
      </c>
      <c r="P32" s="120">
        <f t="shared" si="52"/>
        <v>447.49799999999999</v>
      </c>
      <c r="Q32" s="119">
        <f t="shared" si="53"/>
        <v>149.66</v>
      </c>
      <c r="R32" s="119">
        <f t="shared" si="53"/>
        <v>156.69999999999999</v>
      </c>
      <c r="S32" s="119">
        <f t="shared" si="53"/>
        <v>156.5</v>
      </c>
      <c r="T32" s="120">
        <f t="shared" si="54"/>
        <v>462.86</v>
      </c>
    </row>
    <row r="33" spans="1:20" x14ac:dyDescent="0.35">
      <c r="A33" s="2">
        <f t="shared" si="44"/>
        <v>16</v>
      </c>
      <c r="B33" s="121" t="s">
        <v>146</v>
      </c>
      <c r="C33" s="4" t="s">
        <v>4</v>
      </c>
      <c r="D33" s="24">
        <f t="shared" si="45"/>
        <v>11030</v>
      </c>
      <c r="E33" s="118">
        <f t="shared" si="46"/>
        <v>993</v>
      </c>
      <c r="F33" s="118">
        <f t="shared" si="56"/>
        <v>1009</v>
      </c>
      <c r="G33" s="118">
        <f t="shared" si="47"/>
        <v>1005</v>
      </c>
      <c r="H33" s="118">
        <f t="shared" si="48"/>
        <v>3007</v>
      </c>
      <c r="I33" s="119">
        <f t="shared" si="49"/>
        <v>985</v>
      </c>
      <c r="J33" s="119">
        <f t="shared" si="49"/>
        <v>966</v>
      </c>
      <c r="K33" s="119">
        <f t="shared" si="49"/>
        <v>947</v>
      </c>
      <c r="L33" s="120">
        <f t="shared" si="50"/>
        <v>2898</v>
      </c>
      <c r="M33" s="119">
        <f t="shared" si="51"/>
        <v>876</v>
      </c>
      <c r="N33" s="119">
        <f t="shared" si="51"/>
        <v>834</v>
      </c>
      <c r="O33" s="119">
        <f t="shared" si="51"/>
        <v>810</v>
      </c>
      <c r="P33" s="120">
        <f t="shared" si="52"/>
        <v>2520</v>
      </c>
      <c r="Q33" s="119">
        <f t="shared" si="53"/>
        <v>855.8</v>
      </c>
      <c r="R33" s="119">
        <f t="shared" si="53"/>
        <v>867.6</v>
      </c>
      <c r="S33" s="119">
        <f t="shared" si="53"/>
        <v>881.6</v>
      </c>
      <c r="T33" s="120">
        <f t="shared" si="54"/>
        <v>2605</v>
      </c>
    </row>
    <row r="34" spans="1:20" x14ac:dyDescent="0.35">
      <c r="A34" s="2">
        <f t="shared" si="44"/>
        <v>17</v>
      </c>
      <c r="B34" s="121" t="s">
        <v>147</v>
      </c>
      <c r="C34" s="4" t="s">
        <v>4</v>
      </c>
      <c r="D34" s="24">
        <f t="shared" si="45"/>
        <v>4513.4579999999996</v>
      </c>
      <c r="E34" s="118">
        <f t="shared" si="46"/>
        <v>376.32099999999997</v>
      </c>
      <c r="F34" s="118">
        <f t="shared" si="56"/>
        <v>374.76800000000003</v>
      </c>
      <c r="G34" s="118">
        <f t="shared" si="47"/>
        <v>378.16800000000001</v>
      </c>
      <c r="H34" s="118">
        <f t="shared" si="48"/>
        <v>1129.2570000000001</v>
      </c>
      <c r="I34" s="119">
        <f t="shared" si="49"/>
        <v>386.91199999999998</v>
      </c>
      <c r="J34" s="119">
        <f t="shared" si="49"/>
        <v>384.16499999999996</v>
      </c>
      <c r="K34" s="119">
        <f t="shared" si="49"/>
        <v>375.37</v>
      </c>
      <c r="L34" s="120">
        <f t="shared" si="50"/>
        <v>1146.4470000000001</v>
      </c>
      <c r="M34" s="119">
        <f t="shared" si="51"/>
        <v>382.15499999999997</v>
      </c>
      <c r="N34" s="119">
        <f t="shared" si="51"/>
        <v>381.43699999999995</v>
      </c>
      <c r="O34" s="119">
        <f t="shared" si="51"/>
        <v>377.41999999999996</v>
      </c>
      <c r="P34" s="120">
        <f t="shared" si="52"/>
        <v>1141.0119999999997</v>
      </c>
      <c r="Q34" s="119">
        <f t="shared" si="53"/>
        <v>363.39800000000002</v>
      </c>
      <c r="R34" s="119">
        <f t="shared" si="53"/>
        <v>365.471</v>
      </c>
      <c r="S34" s="119">
        <f t="shared" si="53"/>
        <v>367.87299999999999</v>
      </c>
      <c r="T34" s="120">
        <f t="shared" si="54"/>
        <v>1096.742</v>
      </c>
    </row>
    <row r="35" spans="1:20" x14ac:dyDescent="0.35">
      <c r="A35" s="2">
        <f t="shared" si="44"/>
        <v>18</v>
      </c>
      <c r="B35" s="121" t="s">
        <v>148</v>
      </c>
      <c r="C35" s="4" t="s">
        <v>4</v>
      </c>
      <c r="D35" s="24">
        <f t="shared" si="45"/>
        <v>2663.4620000000004</v>
      </c>
      <c r="E35" s="118">
        <f t="shared" si="46"/>
        <v>136.83199999999999</v>
      </c>
      <c r="F35" s="118">
        <f t="shared" si="56"/>
        <v>202.697</v>
      </c>
      <c r="G35" s="118">
        <f t="shared" si="47"/>
        <v>207.73899999999998</v>
      </c>
      <c r="H35" s="118">
        <f t="shared" si="48"/>
        <v>547.26800000000003</v>
      </c>
      <c r="I35" s="119">
        <f t="shared" si="49"/>
        <v>209.72499999999999</v>
      </c>
      <c r="J35" s="119">
        <f t="shared" si="49"/>
        <v>184.78700000000001</v>
      </c>
      <c r="K35" s="119">
        <f t="shared" si="49"/>
        <v>194.072</v>
      </c>
      <c r="L35" s="120">
        <f t="shared" si="50"/>
        <v>588.58400000000006</v>
      </c>
      <c r="M35" s="119">
        <f t="shared" si="51"/>
        <v>217.881</v>
      </c>
      <c r="N35" s="119">
        <f t="shared" si="51"/>
        <v>205.94499999999999</v>
      </c>
      <c r="O35" s="119">
        <f t="shared" si="51"/>
        <v>318.08499999999998</v>
      </c>
      <c r="P35" s="120">
        <f t="shared" si="52"/>
        <v>741.91100000000006</v>
      </c>
      <c r="Q35" s="119">
        <f t="shared" si="53"/>
        <v>246.46699999999998</v>
      </c>
      <c r="R35" s="119">
        <f t="shared" si="53"/>
        <v>251.44900000000001</v>
      </c>
      <c r="S35" s="119">
        <f t="shared" si="53"/>
        <v>287.78300000000002</v>
      </c>
      <c r="T35" s="120">
        <f t="shared" si="54"/>
        <v>785.69900000000007</v>
      </c>
    </row>
    <row r="36" spans="1:20" x14ac:dyDescent="0.35">
      <c r="A36" s="2">
        <f t="shared" si="44"/>
        <v>19</v>
      </c>
      <c r="B36" s="121" t="s">
        <v>149</v>
      </c>
      <c r="C36" s="4" t="s">
        <v>4</v>
      </c>
      <c r="D36" s="24">
        <f t="shared" si="45"/>
        <v>1315.693</v>
      </c>
      <c r="E36" s="118">
        <f t="shared" si="46"/>
        <v>115.68600000000001</v>
      </c>
      <c r="F36" s="118">
        <f t="shared" si="56"/>
        <v>97.693000000000012</v>
      </c>
      <c r="G36" s="118">
        <f t="shared" si="47"/>
        <v>101.685</v>
      </c>
      <c r="H36" s="118">
        <f t="shared" si="48"/>
        <v>315.06400000000002</v>
      </c>
      <c r="I36" s="119">
        <f t="shared" si="49"/>
        <v>76.644000000000005</v>
      </c>
      <c r="J36" s="119">
        <f t="shared" si="49"/>
        <v>91.193999999999988</v>
      </c>
      <c r="K36" s="119">
        <f t="shared" si="49"/>
        <v>108.643</v>
      </c>
      <c r="L36" s="120">
        <f t="shared" si="50"/>
        <v>276.48099999999999</v>
      </c>
      <c r="M36" s="119">
        <f t="shared" si="51"/>
        <v>116.70699999999999</v>
      </c>
      <c r="N36" s="119">
        <f t="shared" si="51"/>
        <v>76.864000000000004</v>
      </c>
      <c r="O36" s="119">
        <f t="shared" si="51"/>
        <v>96.438999999999993</v>
      </c>
      <c r="P36" s="120">
        <f t="shared" si="52"/>
        <v>290.01</v>
      </c>
      <c r="Q36" s="119">
        <f t="shared" si="53"/>
        <v>139.55599999999998</v>
      </c>
      <c r="R36" s="119">
        <f t="shared" si="53"/>
        <v>144.07999999999998</v>
      </c>
      <c r="S36" s="119">
        <f t="shared" si="53"/>
        <v>150.50200000000001</v>
      </c>
      <c r="T36" s="120">
        <f t="shared" si="54"/>
        <v>434.13799999999998</v>
      </c>
    </row>
    <row r="37" spans="1:20" x14ac:dyDescent="0.35">
      <c r="A37" s="2">
        <f t="shared" si="44"/>
        <v>20</v>
      </c>
      <c r="B37" s="121" t="s">
        <v>150</v>
      </c>
      <c r="C37" s="4" t="s">
        <v>4</v>
      </c>
      <c r="D37" s="24">
        <f t="shared" si="45"/>
        <v>25295.17427</v>
      </c>
      <c r="E37" s="118">
        <f t="shared" si="46"/>
        <v>2366.5979900000002</v>
      </c>
      <c r="F37" s="118">
        <f t="shared" si="56"/>
        <v>1955.7186000000002</v>
      </c>
      <c r="G37" s="118">
        <f t="shared" si="47"/>
        <v>2116.3409700000002</v>
      </c>
      <c r="H37" s="118">
        <f t="shared" si="48"/>
        <v>6438.6575600000006</v>
      </c>
      <c r="I37" s="119">
        <f t="shared" si="49"/>
        <v>2365.8979599999998</v>
      </c>
      <c r="J37" s="119">
        <f t="shared" si="49"/>
        <v>1705.3693900000001</v>
      </c>
      <c r="K37" s="119">
        <f t="shared" si="49"/>
        <v>1865.40777</v>
      </c>
      <c r="L37" s="120">
        <f t="shared" si="50"/>
        <v>5936.6751199999999</v>
      </c>
      <c r="M37" s="119">
        <f t="shared" si="51"/>
        <v>2138.9344100000003</v>
      </c>
      <c r="N37" s="119">
        <f t="shared" si="51"/>
        <v>2572.3555200000001</v>
      </c>
      <c r="O37" s="119">
        <f t="shared" si="51"/>
        <v>2169.0294599999997</v>
      </c>
      <c r="P37" s="120">
        <f t="shared" si="52"/>
        <v>6880.3193900000006</v>
      </c>
      <c r="Q37" s="119">
        <f t="shared" si="53"/>
        <v>1960.9112700000001</v>
      </c>
      <c r="R37" s="119">
        <f t="shared" si="53"/>
        <v>1727.9884999999999</v>
      </c>
      <c r="S37" s="119">
        <f t="shared" si="53"/>
        <v>2350.6224300000003</v>
      </c>
      <c r="T37" s="120">
        <f t="shared" si="54"/>
        <v>6039.5222000000003</v>
      </c>
    </row>
    <row r="38" spans="1:20" x14ac:dyDescent="0.35">
      <c r="A38" s="2">
        <f t="shared" si="44"/>
        <v>21</v>
      </c>
      <c r="B38" s="121" t="s">
        <v>151</v>
      </c>
      <c r="C38" s="4" t="s">
        <v>4</v>
      </c>
      <c r="D38" s="24">
        <f t="shared" si="45"/>
        <v>2197.3159999999998</v>
      </c>
      <c r="E38" s="118">
        <f t="shared" si="46"/>
        <v>187.66099999999997</v>
      </c>
      <c r="F38" s="118">
        <f t="shared" si="56"/>
        <v>181.86999999999998</v>
      </c>
      <c r="G38" s="118">
        <f t="shared" si="47"/>
        <v>202.94200000000001</v>
      </c>
      <c r="H38" s="118">
        <f t="shared" si="48"/>
        <v>572.47299999999996</v>
      </c>
      <c r="I38" s="119">
        <f t="shared" si="49"/>
        <v>207.72399999999999</v>
      </c>
      <c r="J38" s="119">
        <f t="shared" si="49"/>
        <v>189.77799999999999</v>
      </c>
      <c r="K38" s="119">
        <f t="shared" si="49"/>
        <v>180.41299999999998</v>
      </c>
      <c r="L38" s="120">
        <f t="shared" si="50"/>
        <v>577.91499999999996</v>
      </c>
      <c r="M38" s="119">
        <f t="shared" si="51"/>
        <v>178.12700000000001</v>
      </c>
      <c r="N38" s="119">
        <f t="shared" si="51"/>
        <v>174.38800000000001</v>
      </c>
      <c r="O38" s="119">
        <f t="shared" si="51"/>
        <v>164.06100000000001</v>
      </c>
      <c r="P38" s="120">
        <f t="shared" si="52"/>
        <v>516.57600000000002</v>
      </c>
      <c r="Q38" s="119">
        <f t="shared" si="53"/>
        <v>172.30600000000001</v>
      </c>
      <c r="R38" s="119">
        <f t="shared" si="53"/>
        <v>175.79400000000001</v>
      </c>
      <c r="S38" s="119">
        <f t="shared" si="53"/>
        <v>182.25200000000001</v>
      </c>
      <c r="T38" s="120">
        <f t="shared" si="54"/>
        <v>530.35200000000009</v>
      </c>
    </row>
    <row r="39" spans="1:20" x14ac:dyDescent="0.35">
      <c r="A39" s="2">
        <f t="shared" si="44"/>
        <v>22</v>
      </c>
      <c r="B39" s="121" t="s">
        <v>152</v>
      </c>
      <c r="C39" s="4" t="s">
        <v>4</v>
      </c>
      <c r="D39" s="24">
        <f t="shared" si="45"/>
        <v>15433.568000000003</v>
      </c>
      <c r="E39" s="118">
        <f t="shared" si="46"/>
        <v>1847.4</v>
      </c>
      <c r="F39" s="118">
        <f t="shared" si="56"/>
        <v>1693.5000000000002</v>
      </c>
      <c r="G39" s="118">
        <f t="shared" si="47"/>
        <v>1172</v>
      </c>
      <c r="H39" s="118">
        <f t="shared" si="48"/>
        <v>4712.9000000000005</v>
      </c>
      <c r="I39" s="119">
        <f t="shared" si="49"/>
        <v>1939.1</v>
      </c>
      <c r="J39" s="119">
        <f t="shared" si="49"/>
        <v>607.84</v>
      </c>
      <c r="K39" s="119">
        <f t="shared" si="49"/>
        <v>1339.6499999999999</v>
      </c>
      <c r="L39" s="120">
        <f>SUM(I39:K39)</f>
        <v>3886.59</v>
      </c>
      <c r="M39" s="119">
        <f t="shared" si="51"/>
        <v>1524.9379999999999</v>
      </c>
      <c r="N39" s="119">
        <f t="shared" si="51"/>
        <v>1334.75</v>
      </c>
      <c r="O39" s="119">
        <f t="shared" si="51"/>
        <v>1167.52</v>
      </c>
      <c r="P39" s="120">
        <f t="shared" si="52"/>
        <v>4027.2080000000001</v>
      </c>
      <c r="Q39" s="119">
        <f t="shared" si="53"/>
        <v>1014.9700000000001</v>
      </c>
      <c r="R39" s="119">
        <f t="shared" si="53"/>
        <v>736.3900000000001</v>
      </c>
      <c r="S39" s="119">
        <f t="shared" si="53"/>
        <v>1055.51</v>
      </c>
      <c r="T39" s="120">
        <f t="shared" si="54"/>
        <v>2806.87</v>
      </c>
    </row>
    <row r="40" spans="1:20" x14ac:dyDescent="0.35">
      <c r="A40" s="2">
        <v>23</v>
      </c>
      <c r="B40" s="121" t="s">
        <v>153</v>
      </c>
      <c r="C40" s="4" t="s">
        <v>4</v>
      </c>
      <c r="D40" s="24">
        <f t="shared" si="45"/>
        <v>1083.028</v>
      </c>
      <c r="E40" s="118">
        <f t="shared" si="46"/>
        <v>86.751000000000005</v>
      </c>
      <c r="F40" s="118">
        <f t="shared" si="56"/>
        <v>166.83800000000002</v>
      </c>
      <c r="G40" s="118">
        <f t="shared" si="47"/>
        <v>61.055999999999997</v>
      </c>
      <c r="H40" s="118">
        <f t="shared" si="48"/>
        <v>314.64500000000004</v>
      </c>
      <c r="I40" s="119">
        <f t="shared" si="49"/>
        <v>91.712999999999994</v>
      </c>
      <c r="J40" s="119">
        <f t="shared" si="49"/>
        <v>136.99100000000001</v>
      </c>
      <c r="K40" s="119">
        <f t="shared" si="49"/>
        <v>128.66300000000001</v>
      </c>
      <c r="L40" s="120">
        <f t="shared" ref="L40:L55" si="57">SUM(I40:K40)</f>
        <v>357.36700000000002</v>
      </c>
      <c r="M40" s="119">
        <f t="shared" si="51"/>
        <v>54.1</v>
      </c>
      <c r="N40" s="119">
        <f t="shared" si="51"/>
        <v>52.42</v>
      </c>
      <c r="O40" s="119">
        <f t="shared" si="51"/>
        <v>40.85</v>
      </c>
      <c r="P40" s="120">
        <f t="shared" si="52"/>
        <v>147.37</v>
      </c>
      <c r="Q40" s="119">
        <f t="shared" si="53"/>
        <v>63.393000000000001</v>
      </c>
      <c r="R40" s="119">
        <f t="shared" si="53"/>
        <v>76.613</v>
      </c>
      <c r="S40" s="119">
        <f t="shared" si="53"/>
        <v>123.63999999999999</v>
      </c>
      <c r="T40" s="120">
        <f t="shared" si="54"/>
        <v>263.64599999999996</v>
      </c>
    </row>
    <row r="41" spans="1:20" x14ac:dyDescent="0.35">
      <c r="A41" s="2">
        <v>24</v>
      </c>
      <c r="B41" s="121" t="s">
        <v>154</v>
      </c>
      <c r="C41" s="4" t="s">
        <v>4</v>
      </c>
      <c r="D41" s="24">
        <f t="shared" si="45"/>
        <v>110739.68700000001</v>
      </c>
      <c r="E41" s="118">
        <f t="shared" si="46"/>
        <v>6842.34</v>
      </c>
      <c r="F41" s="118">
        <f t="shared" si="56"/>
        <v>8927.8109999999997</v>
      </c>
      <c r="G41" s="118">
        <f t="shared" si="47"/>
        <v>10673.230000000001</v>
      </c>
      <c r="H41" s="118">
        <f t="shared" si="48"/>
        <v>26443.381000000001</v>
      </c>
      <c r="I41" s="119">
        <f t="shared" si="49"/>
        <v>8999.7999999999993</v>
      </c>
      <c r="J41" s="119">
        <f t="shared" si="49"/>
        <v>9316.89</v>
      </c>
      <c r="K41" s="119">
        <f t="shared" si="49"/>
        <v>8322.7619999999988</v>
      </c>
      <c r="L41" s="120">
        <f t="shared" si="57"/>
        <v>26639.451999999997</v>
      </c>
      <c r="M41" s="119">
        <f t="shared" si="51"/>
        <v>8597.5</v>
      </c>
      <c r="N41" s="119">
        <f t="shared" si="51"/>
        <v>11627.927000000001</v>
      </c>
      <c r="O41" s="119">
        <f t="shared" si="51"/>
        <v>11759.277</v>
      </c>
      <c r="P41" s="120">
        <f t="shared" si="52"/>
        <v>31984.704000000005</v>
      </c>
      <c r="Q41" s="119">
        <f t="shared" si="53"/>
        <v>8748.2090000000007</v>
      </c>
      <c r="R41" s="119">
        <f t="shared" si="53"/>
        <v>8025.2569999999996</v>
      </c>
      <c r="S41" s="119">
        <f t="shared" si="53"/>
        <v>8898.6840000000011</v>
      </c>
      <c r="T41" s="120">
        <f t="shared" si="54"/>
        <v>25672.15</v>
      </c>
    </row>
    <row r="42" spans="1:20" x14ac:dyDescent="0.35">
      <c r="A42" s="2">
        <v>25</v>
      </c>
      <c r="B42" s="121" t="s">
        <v>155</v>
      </c>
      <c r="C42" s="4" t="s">
        <v>4</v>
      </c>
      <c r="D42" s="24">
        <f t="shared" si="45"/>
        <v>11675.328</v>
      </c>
      <c r="E42" s="118">
        <f t="shared" si="46"/>
        <v>1003.856</v>
      </c>
      <c r="F42" s="118">
        <f t="shared" si="56"/>
        <v>977.06500000000005</v>
      </c>
      <c r="G42" s="118">
        <f t="shared" si="47"/>
        <v>1002.8059999999999</v>
      </c>
      <c r="H42" s="118">
        <f t="shared" si="48"/>
        <v>2983.7269999999999</v>
      </c>
      <c r="I42" s="119">
        <f t="shared" si="49"/>
        <v>1006.1220000000001</v>
      </c>
      <c r="J42" s="119">
        <f t="shared" si="49"/>
        <v>1104.6380000000001</v>
      </c>
      <c r="K42" s="119">
        <f t="shared" si="49"/>
        <v>1009.395</v>
      </c>
      <c r="L42" s="120">
        <f t="shared" si="57"/>
        <v>3120.1550000000002</v>
      </c>
      <c r="M42" s="119">
        <f t="shared" si="51"/>
        <v>972.56099999999992</v>
      </c>
      <c r="N42" s="119">
        <f t="shared" si="51"/>
        <v>1055.002</v>
      </c>
      <c r="O42" s="119">
        <f t="shared" si="51"/>
        <v>1068.847</v>
      </c>
      <c r="P42" s="120">
        <f t="shared" si="52"/>
        <v>3096.41</v>
      </c>
      <c r="Q42" s="119">
        <f t="shared" si="53"/>
        <v>785.05</v>
      </c>
      <c r="R42" s="119">
        <f t="shared" si="53"/>
        <v>919.50400000000002</v>
      </c>
      <c r="S42" s="119">
        <f t="shared" si="53"/>
        <v>770.48199999999997</v>
      </c>
      <c r="T42" s="120">
        <f t="shared" si="54"/>
        <v>2475.0360000000001</v>
      </c>
    </row>
    <row r="43" spans="1:20" x14ac:dyDescent="0.35">
      <c r="A43" s="2">
        <v>26</v>
      </c>
      <c r="B43" s="121" t="s">
        <v>156</v>
      </c>
      <c r="C43" s="4" t="s">
        <v>4</v>
      </c>
      <c r="D43" s="24">
        <f t="shared" si="45"/>
        <v>770272.09639999992</v>
      </c>
      <c r="E43" s="118">
        <f t="shared" si="46"/>
        <v>47499.914499999999</v>
      </c>
      <c r="F43" s="118">
        <f t="shared" si="56"/>
        <v>51273.364999999998</v>
      </c>
      <c r="G43" s="118">
        <f t="shared" si="47"/>
        <v>58200.255699999994</v>
      </c>
      <c r="H43" s="118">
        <f t="shared" si="48"/>
        <v>156973.53519999998</v>
      </c>
      <c r="I43" s="119">
        <f t="shared" si="49"/>
        <v>56248.260499999997</v>
      </c>
      <c r="J43" s="119">
        <f t="shared" si="49"/>
        <v>56940.771000000001</v>
      </c>
      <c r="K43" s="119">
        <f t="shared" si="49"/>
        <v>56340.022000000004</v>
      </c>
      <c r="L43" s="120">
        <f t="shared" si="57"/>
        <v>169529.05350000001</v>
      </c>
      <c r="M43" s="119">
        <f t="shared" si="51"/>
        <v>75576.903699999995</v>
      </c>
      <c r="N43" s="119">
        <f t="shared" si="51"/>
        <v>72111.453000000009</v>
      </c>
      <c r="O43" s="119">
        <f t="shared" si="51"/>
        <v>80454.008000000002</v>
      </c>
      <c r="P43" s="120">
        <f t="shared" si="52"/>
        <v>228142.36470000001</v>
      </c>
      <c r="Q43" s="119">
        <f t="shared" si="53"/>
        <v>67305.944000000003</v>
      </c>
      <c r="R43" s="119">
        <f t="shared" si="53"/>
        <v>71040.349999999991</v>
      </c>
      <c r="S43" s="119">
        <f t="shared" si="53"/>
        <v>77280.849000000002</v>
      </c>
      <c r="T43" s="120">
        <f t="shared" si="54"/>
        <v>215627.14299999998</v>
      </c>
    </row>
    <row r="44" spans="1:20" x14ac:dyDescent="0.35">
      <c r="A44" s="2">
        <v>27</v>
      </c>
      <c r="B44" s="121" t="s">
        <v>157</v>
      </c>
      <c r="C44" s="4" t="s">
        <v>4</v>
      </c>
      <c r="D44" s="24">
        <f t="shared" si="45"/>
        <v>5088.4629999999997</v>
      </c>
      <c r="E44" s="118">
        <f t="shared" si="46"/>
        <v>429.654</v>
      </c>
      <c r="F44" s="118">
        <f t="shared" si="56"/>
        <v>443.61599999999999</v>
      </c>
      <c r="G44" s="118">
        <f t="shared" si="47"/>
        <v>457.54400000000004</v>
      </c>
      <c r="H44" s="118">
        <f t="shared" si="48"/>
        <v>1330.8140000000001</v>
      </c>
      <c r="I44" s="119">
        <f t="shared" si="49"/>
        <v>485.55799999999999</v>
      </c>
      <c r="J44" s="119">
        <f t="shared" si="49"/>
        <v>462.37</v>
      </c>
      <c r="K44" s="119">
        <f t="shared" si="49"/>
        <v>448.608</v>
      </c>
      <c r="L44" s="120">
        <f t="shared" si="57"/>
        <v>1396.5360000000001</v>
      </c>
      <c r="M44" s="119">
        <f t="shared" si="51"/>
        <v>430.77499999999998</v>
      </c>
      <c r="N44" s="119">
        <f t="shared" si="51"/>
        <v>407.875</v>
      </c>
      <c r="O44" s="119">
        <f t="shared" si="51"/>
        <v>397.79499999999996</v>
      </c>
      <c r="P44" s="120">
        <f t="shared" si="52"/>
        <v>1236.4449999999999</v>
      </c>
      <c r="Q44" s="119">
        <f t="shared" si="53"/>
        <v>386.85599999999999</v>
      </c>
      <c r="R44" s="119">
        <f t="shared" si="53"/>
        <v>376.44299999999998</v>
      </c>
      <c r="S44" s="119">
        <f t="shared" si="53"/>
        <v>361.36900000000003</v>
      </c>
      <c r="T44" s="120">
        <f t="shared" si="54"/>
        <v>1124.6680000000001</v>
      </c>
    </row>
    <row r="45" spans="1:20" x14ac:dyDescent="0.35">
      <c r="A45" s="2">
        <v>28</v>
      </c>
      <c r="B45" s="121" t="s">
        <v>158</v>
      </c>
      <c r="C45" s="4" t="s">
        <v>4</v>
      </c>
      <c r="D45" s="24">
        <f t="shared" si="45"/>
        <v>53319.430000000008</v>
      </c>
      <c r="E45" s="118">
        <f t="shared" si="46"/>
        <v>4897.6099999999997</v>
      </c>
      <c r="F45" s="118">
        <f t="shared" si="56"/>
        <v>5185.71</v>
      </c>
      <c r="G45" s="118">
        <f t="shared" si="47"/>
        <v>4321.42</v>
      </c>
      <c r="H45" s="118">
        <f t="shared" si="48"/>
        <v>14404.74</v>
      </c>
      <c r="I45" s="119">
        <f t="shared" si="49"/>
        <v>4938.7700000000004</v>
      </c>
      <c r="J45" s="119">
        <f t="shared" si="49"/>
        <v>4321.42</v>
      </c>
      <c r="K45" s="119">
        <f t="shared" si="49"/>
        <v>3086.7299999999996</v>
      </c>
      <c r="L45" s="120">
        <f t="shared" si="57"/>
        <v>12346.92</v>
      </c>
      <c r="M45" s="119">
        <f t="shared" si="51"/>
        <v>2639.17</v>
      </c>
      <c r="N45" s="119">
        <f t="shared" si="51"/>
        <v>3518.8799999999997</v>
      </c>
      <c r="O45" s="119">
        <f t="shared" si="51"/>
        <v>3616.62</v>
      </c>
      <c r="P45" s="120">
        <f t="shared" si="52"/>
        <v>9774.6699999999983</v>
      </c>
      <c r="Q45" s="119">
        <f t="shared" si="53"/>
        <v>4475.76</v>
      </c>
      <c r="R45" s="119">
        <f t="shared" si="53"/>
        <v>5623.34</v>
      </c>
      <c r="S45" s="119">
        <f t="shared" si="53"/>
        <v>6694.0000000000009</v>
      </c>
      <c r="T45" s="120">
        <f t="shared" si="54"/>
        <v>16793.100000000002</v>
      </c>
    </row>
    <row r="46" spans="1:20" x14ac:dyDescent="0.35">
      <c r="A46" s="2">
        <v>29</v>
      </c>
      <c r="B46" s="121" t="s">
        <v>159</v>
      </c>
      <c r="C46" s="4" t="s">
        <v>4</v>
      </c>
      <c r="D46" s="24">
        <f t="shared" si="45"/>
        <v>53751.5</v>
      </c>
      <c r="E46" s="118">
        <f t="shared" si="46"/>
        <v>4094</v>
      </c>
      <c r="F46" s="118">
        <f t="shared" si="56"/>
        <v>4034</v>
      </c>
      <c r="G46" s="118">
        <f t="shared" si="47"/>
        <v>4244</v>
      </c>
      <c r="H46" s="118">
        <f t="shared" si="48"/>
        <v>12372</v>
      </c>
      <c r="I46" s="119">
        <f t="shared" si="49"/>
        <v>4436</v>
      </c>
      <c r="J46" s="119">
        <f t="shared" si="49"/>
        <v>4544</v>
      </c>
      <c r="K46" s="119">
        <f t="shared" si="49"/>
        <v>4839.5</v>
      </c>
      <c r="L46" s="120">
        <f t="shared" si="57"/>
        <v>13819.5</v>
      </c>
      <c r="M46" s="119">
        <f t="shared" si="51"/>
        <v>4569.5</v>
      </c>
      <c r="N46" s="119">
        <f t="shared" si="51"/>
        <v>4334.5</v>
      </c>
      <c r="O46" s="119">
        <f t="shared" si="51"/>
        <v>4304.5</v>
      </c>
      <c r="P46" s="120">
        <f t="shared" si="52"/>
        <v>13208.5</v>
      </c>
      <c r="Q46" s="119">
        <f t="shared" si="53"/>
        <v>4334.5</v>
      </c>
      <c r="R46" s="119">
        <f t="shared" si="53"/>
        <v>4935</v>
      </c>
      <c r="S46" s="119">
        <f t="shared" si="53"/>
        <v>5082</v>
      </c>
      <c r="T46" s="120">
        <f t="shared" si="54"/>
        <v>14351.5</v>
      </c>
    </row>
    <row r="47" spans="1:20" x14ac:dyDescent="0.35">
      <c r="A47" s="2">
        <v>30</v>
      </c>
      <c r="B47" s="121" t="s">
        <v>160</v>
      </c>
      <c r="C47" s="4" t="s">
        <v>4</v>
      </c>
      <c r="D47" s="24">
        <f t="shared" si="45"/>
        <v>65.338999999999999</v>
      </c>
      <c r="E47" s="118">
        <f t="shared" si="46"/>
        <v>4.6349999999999998</v>
      </c>
      <c r="F47" s="118">
        <f t="shared" si="56"/>
        <v>5.9930000000000003</v>
      </c>
      <c r="G47" s="118">
        <f t="shared" si="47"/>
        <v>4.5730000000000004</v>
      </c>
      <c r="H47" s="118">
        <f t="shared" si="48"/>
        <v>15.201000000000001</v>
      </c>
      <c r="I47" s="119">
        <f t="shared" si="49"/>
        <v>5.63</v>
      </c>
      <c r="J47" s="119">
        <f t="shared" si="49"/>
        <v>5.2450000000000001</v>
      </c>
      <c r="K47" s="119">
        <f t="shared" si="49"/>
        <v>4.9550000000000001</v>
      </c>
      <c r="L47" s="120">
        <f t="shared" si="57"/>
        <v>15.83</v>
      </c>
      <c r="M47" s="119">
        <f t="shared" si="51"/>
        <v>5.24</v>
      </c>
      <c r="N47" s="119">
        <f t="shared" si="51"/>
        <v>5.7389999999999999</v>
      </c>
      <c r="O47" s="119">
        <f t="shared" si="51"/>
        <v>5.9039999999999999</v>
      </c>
      <c r="P47" s="120">
        <f t="shared" si="52"/>
        <v>16.882999999999999</v>
      </c>
      <c r="Q47" s="119">
        <f t="shared" si="53"/>
        <v>5.8049999999999997</v>
      </c>
      <c r="R47" s="119">
        <f t="shared" si="53"/>
        <v>5.8630000000000004</v>
      </c>
      <c r="S47" s="119">
        <f t="shared" si="53"/>
        <v>5.7569999999999997</v>
      </c>
      <c r="T47" s="120">
        <f t="shared" si="54"/>
        <v>17.424999999999997</v>
      </c>
    </row>
    <row r="48" spans="1:20" x14ac:dyDescent="0.35">
      <c r="A48" s="2">
        <v>31</v>
      </c>
      <c r="B48" s="121" t="s">
        <v>161</v>
      </c>
      <c r="C48" s="4" t="s">
        <v>4</v>
      </c>
      <c r="D48" s="24">
        <f t="shared" si="45"/>
        <v>244.77999999999997</v>
      </c>
      <c r="E48" s="118">
        <f t="shared" si="46"/>
        <v>22.81</v>
      </c>
      <c r="F48" s="118">
        <f t="shared" si="56"/>
        <v>22.63</v>
      </c>
      <c r="G48" s="118">
        <f t="shared" si="47"/>
        <v>22.99</v>
      </c>
      <c r="H48" s="118">
        <f t="shared" si="48"/>
        <v>68.429999999999993</v>
      </c>
      <c r="I48" s="119">
        <f t="shared" si="49"/>
        <v>22.57</v>
      </c>
      <c r="J48" s="119">
        <f t="shared" si="49"/>
        <v>21.56</v>
      </c>
      <c r="K48" s="119">
        <f t="shared" si="49"/>
        <v>18.57</v>
      </c>
      <c r="L48" s="120">
        <f t="shared" si="57"/>
        <v>62.699999999999996</v>
      </c>
      <c r="M48" s="119">
        <f t="shared" si="51"/>
        <v>20.3</v>
      </c>
      <c r="N48" s="119">
        <f t="shared" si="51"/>
        <v>20.41</v>
      </c>
      <c r="O48" s="119">
        <f t="shared" si="51"/>
        <v>20.43</v>
      </c>
      <c r="P48" s="120">
        <f t="shared" si="52"/>
        <v>61.14</v>
      </c>
      <c r="Q48" s="119">
        <f t="shared" si="53"/>
        <v>17.32</v>
      </c>
      <c r="R48" s="119">
        <f t="shared" si="53"/>
        <v>17.5</v>
      </c>
      <c r="S48" s="119">
        <f t="shared" si="53"/>
        <v>17.690000000000001</v>
      </c>
      <c r="T48" s="120">
        <f t="shared" si="54"/>
        <v>52.510000000000005</v>
      </c>
    </row>
    <row r="49" spans="1:20" x14ac:dyDescent="0.35">
      <c r="A49" s="2">
        <v>32</v>
      </c>
      <c r="B49" s="121" t="s">
        <v>162</v>
      </c>
      <c r="C49" s="4" t="s">
        <v>4</v>
      </c>
      <c r="D49" s="24">
        <f t="shared" si="45"/>
        <v>193.10000000000002</v>
      </c>
      <c r="E49" s="118">
        <f t="shared" si="46"/>
        <v>16.2</v>
      </c>
      <c r="F49" s="118">
        <f t="shared" si="56"/>
        <v>16.7</v>
      </c>
      <c r="G49" s="118">
        <f t="shared" si="47"/>
        <v>18</v>
      </c>
      <c r="H49" s="118">
        <f t="shared" si="48"/>
        <v>50.9</v>
      </c>
      <c r="I49" s="119">
        <f t="shared" si="49"/>
        <v>16.100000000000001</v>
      </c>
      <c r="J49" s="119">
        <f t="shared" si="49"/>
        <v>16</v>
      </c>
      <c r="K49" s="119">
        <f t="shared" si="49"/>
        <v>15.5</v>
      </c>
      <c r="L49" s="120">
        <f t="shared" si="57"/>
        <v>47.6</v>
      </c>
      <c r="M49" s="119">
        <f t="shared" si="51"/>
        <v>16</v>
      </c>
      <c r="N49" s="119">
        <f t="shared" si="51"/>
        <v>11.7</v>
      </c>
      <c r="O49" s="119">
        <f t="shared" si="51"/>
        <v>18.600000000000001</v>
      </c>
      <c r="P49" s="120">
        <f t="shared" si="52"/>
        <v>46.3</v>
      </c>
      <c r="Q49" s="119">
        <f t="shared" si="53"/>
        <v>16.100000000000001</v>
      </c>
      <c r="R49" s="119">
        <f t="shared" si="53"/>
        <v>17.100000000000001</v>
      </c>
      <c r="S49" s="119">
        <f t="shared" si="53"/>
        <v>15.1</v>
      </c>
      <c r="T49" s="120">
        <f t="shared" si="54"/>
        <v>48.300000000000004</v>
      </c>
    </row>
    <row r="50" spans="1:20" x14ac:dyDescent="0.35">
      <c r="A50" s="2">
        <v>33</v>
      </c>
      <c r="B50" s="121" t="s">
        <v>163</v>
      </c>
      <c r="C50" s="4" t="s">
        <v>4</v>
      </c>
      <c r="D50" s="24">
        <f t="shared" si="45"/>
        <v>290.62495000000001</v>
      </c>
      <c r="E50" s="118">
        <f t="shared" si="46"/>
        <v>30.024999999999999</v>
      </c>
      <c r="F50" s="118">
        <f t="shared" si="56"/>
        <v>31.594999999999999</v>
      </c>
      <c r="G50" s="118">
        <f t="shared" si="47"/>
        <v>30.32498</v>
      </c>
      <c r="H50" s="118">
        <f t="shared" si="48"/>
        <v>91.944980000000001</v>
      </c>
      <c r="I50" s="119">
        <f t="shared" si="49"/>
        <v>29.89997</v>
      </c>
      <c r="J50" s="119">
        <f t="shared" si="49"/>
        <v>27.22</v>
      </c>
      <c r="K50" s="119">
        <f t="shared" si="49"/>
        <v>25.67</v>
      </c>
      <c r="L50" s="120">
        <f t="shared" si="57"/>
        <v>82.789969999999997</v>
      </c>
      <c r="M50" s="119">
        <f t="shared" si="51"/>
        <v>18.875</v>
      </c>
      <c r="N50" s="119">
        <f t="shared" si="51"/>
        <v>18.565000000000001</v>
      </c>
      <c r="O50" s="119">
        <f t="shared" si="51"/>
        <v>17.925000000000001</v>
      </c>
      <c r="P50" s="120">
        <f t="shared" si="52"/>
        <v>55.364999999999995</v>
      </c>
      <c r="Q50" s="119">
        <f t="shared" si="53"/>
        <v>18.805</v>
      </c>
      <c r="R50" s="119">
        <f t="shared" si="53"/>
        <v>19.864999999999998</v>
      </c>
      <c r="S50" s="119">
        <f t="shared" si="53"/>
        <v>21.855</v>
      </c>
      <c r="T50" s="120">
        <f t="shared" si="54"/>
        <v>60.525000000000006</v>
      </c>
    </row>
    <row r="51" spans="1:20" x14ac:dyDescent="0.35">
      <c r="A51" s="2">
        <v>34</v>
      </c>
      <c r="B51" s="121" t="s">
        <v>164</v>
      </c>
      <c r="C51" s="4" t="s">
        <v>4</v>
      </c>
      <c r="D51" s="24">
        <f t="shared" si="45"/>
        <v>162</v>
      </c>
      <c r="E51" s="118">
        <f t="shared" si="46"/>
        <v>4.8499999999999996</v>
      </c>
      <c r="F51" s="118">
        <f t="shared" si="56"/>
        <v>14.05</v>
      </c>
      <c r="G51" s="118">
        <f t="shared" si="47"/>
        <v>28.1</v>
      </c>
      <c r="H51" s="118">
        <f t="shared" si="48"/>
        <v>47</v>
      </c>
      <c r="I51" s="119">
        <f t="shared" si="49"/>
        <v>6.95</v>
      </c>
      <c r="J51" s="119">
        <f t="shared" si="49"/>
        <v>12.8</v>
      </c>
      <c r="K51" s="119">
        <f t="shared" si="49"/>
        <v>15.25</v>
      </c>
      <c r="L51" s="120">
        <f t="shared" si="57"/>
        <v>35</v>
      </c>
      <c r="M51" s="119">
        <f t="shared" si="51"/>
        <v>10.1</v>
      </c>
      <c r="N51" s="119">
        <f t="shared" si="51"/>
        <v>8.6999999999999993</v>
      </c>
      <c r="O51" s="119">
        <f t="shared" si="51"/>
        <v>6.2</v>
      </c>
      <c r="P51" s="120">
        <f t="shared" si="52"/>
        <v>24.999999999999996</v>
      </c>
      <c r="Q51" s="119">
        <f t="shared" si="53"/>
        <v>8.3000000000000007</v>
      </c>
      <c r="R51" s="119">
        <f t="shared" si="53"/>
        <v>18.5</v>
      </c>
      <c r="S51" s="119">
        <f t="shared" si="53"/>
        <v>28.2</v>
      </c>
      <c r="T51" s="120">
        <f t="shared" si="54"/>
        <v>55</v>
      </c>
    </row>
    <row r="52" spans="1:20" x14ac:dyDescent="0.35">
      <c r="A52" s="2">
        <v>35</v>
      </c>
      <c r="B52" s="121" t="s">
        <v>165</v>
      </c>
      <c r="C52" s="4" t="s">
        <v>4</v>
      </c>
      <c r="D52" s="24">
        <f t="shared" si="45"/>
        <v>228.71099999999998</v>
      </c>
      <c r="E52" s="118">
        <f t="shared" si="46"/>
        <v>19.100000000000001</v>
      </c>
      <c r="F52" s="118">
        <f t="shared" si="56"/>
        <v>19.119</v>
      </c>
      <c r="G52" s="118">
        <f t="shared" si="47"/>
        <v>19.111000000000001</v>
      </c>
      <c r="H52" s="118">
        <f t="shared" si="48"/>
        <v>57.33</v>
      </c>
      <c r="I52" s="119">
        <f t="shared" si="49"/>
        <v>18.963999999999999</v>
      </c>
      <c r="J52" s="119">
        <f t="shared" si="49"/>
        <v>18.899999999999999</v>
      </c>
      <c r="K52" s="119">
        <f t="shared" si="49"/>
        <v>18.78</v>
      </c>
      <c r="L52" s="120">
        <f t="shared" si="57"/>
        <v>56.643999999999998</v>
      </c>
      <c r="M52" s="119">
        <f t="shared" si="51"/>
        <v>18.850000000000001</v>
      </c>
      <c r="N52" s="119">
        <f t="shared" si="51"/>
        <v>18.899999999999999</v>
      </c>
      <c r="O52" s="119">
        <f t="shared" si="51"/>
        <v>19.117999999999999</v>
      </c>
      <c r="P52" s="120">
        <f t="shared" si="52"/>
        <v>56.867999999999995</v>
      </c>
      <c r="Q52" s="119">
        <f t="shared" si="53"/>
        <v>19.149999999999999</v>
      </c>
      <c r="R52" s="119">
        <f t="shared" si="53"/>
        <v>19.2</v>
      </c>
      <c r="S52" s="119">
        <f t="shared" si="53"/>
        <v>19.518999999999998</v>
      </c>
      <c r="T52" s="120">
        <f t="shared" si="54"/>
        <v>57.868999999999993</v>
      </c>
    </row>
    <row r="53" spans="1:20" x14ac:dyDescent="0.35">
      <c r="A53" s="2">
        <v>36</v>
      </c>
      <c r="B53" s="121" t="s">
        <v>166</v>
      </c>
      <c r="C53" s="4" t="s">
        <v>4</v>
      </c>
      <c r="D53" s="24">
        <f t="shared" si="45"/>
        <v>2662.915</v>
      </c>
      <c r="E53" s="118">
        <f t="shared" si="46"/>
        <v>221.83799999999999</v>
      </c>
      <c r="F53" s="118">
        <f t="shared" si="56"/>
        <v>229.57</v>
      </c>
      <c r="G53" s="118">
        <f t="shared" si="47"/>
        <v>204.858</v>
      </c>
      <c r="H53" s="118">
        <f t="shared" si="48"/>
        <v>656.26600000000008</v>
      </c>
      <c r="I53" s="119">
        <f t="shared" si="49"/>
        <v>217.36799999999999</v>
      </c>
      <c r="J53" s="119">
        <f t="shared" si="49"/>
        <v>219.28900000000002</v>
      </c>
      <c r="K53" s="119">
        <f t="shared" si="49"/>
        <v>222.08499999999998</v>
      </c>
      <c r="L53" s="120">
        <f t="shared" si="57"/>
        <v>658.74199999999996</v>
      </c>
      <c r="M53" s="119">
        <f t="shared" si="51"/>
        <v>259.78500000000003</v>
      </c>
      <c r="N53" s="119">
        <f t="shared" si="51"/>
        <v>255.68899999999999</v>
      </c>
      <c r="O53" s="119">
        <f t="shared" si="51"/>
        <v>220.703</v>
      </c>
      <c r="P53" s="120">
        <f t="shared" si="52"/>
        <v>736.17700000000002</v>
      </c>
      <c r="Q53" s="119">
        <f t="shared" si="53"/>
        <v>245.268</v>
      </c>
      <c r="R53" s="119">
        <f t="shared" si="53"/>
        <v>181.21200000000002</v>
      </c>
      <c r="S53" s="119">
        <f t="shared" si="53"/>
        <v>185.25</v>
      </c>
      <c r="T53" s="120">
        <f t="shared" si="54"/>
        <v>611.73</v>
      </c>
    </row>
    <row r="54" spans="1:20" x14ac:dyDescent="0.35">
      <c r="A54" s="2">
        <v>37</v>
      </c>
      <c r="B54" s="121" t="s">
        <v>167</v>
      </c>
      <c r="C54" s="4" t="s">
        <v>4</v>
      </c>
      <c r="D54" s="24">
        <f t="shared" si="45"/>
        <v>429.08219999999994</v>
      </c>
      <c r="E54" s="118">
        <f t="shared" si="46"/>
        <v>31.924199999999999</v>
      </c>
      <c r="F54" s="118">
        <f t="shared" si="56"/>
        <v>30.966000000000001</v>
      </c>
      <c r="G54" s="118">
        <f t="shared" si="47"/>
        <v>31.125</v>
      </c>
      <c r="H54" s="118">
        <f t="shared" si="48"/>
        <v>94.015199999999993</v>
      </c>
      <c r="I54" s="119">
        <f t="shared" si="49"/>
        <v>24.122999999999998</v>
      </c>
      <c r="J54" s="119">
        <f t="shared" si="49"/>
        <v>33.238</v>
      </c>
      <c r="K54" s="119">
        <f t="shared" si="49"/>
        <v>25.786999999999999</v>
      </c>
      <c r="L54" s="120">
        <f t="shared" si="57"/>
        <v>83.147999999999996</v>
      </c>
      <c r="M54" s="119">
        <f t="shared" si="51"/>
        <v>20.826999999999998</v>
      </c>
      <c r="N54" s="119">
        <f t="shared" si="51"/>
        <v>24.398</v>
      </c>
      <c r="O54" s="119">
        <f t="shared" si="51"/>
        <v>14.381</v>
      </c>
      <c r="P54" s="120">
        <f t="shared" si="52"/>
        <v>59.605999999999995</v>
      </c>
      <c r="Q54" s="119">
        <f t="shared" si="53"/>
        <v>14.151999999999999</v>
      </c>
      <c r="R54" s="119">
        <f t="shared" si="53"/>
        <v>71.100999999999999</v>
      </c>
      <c r="S54" s="119">
        <f t="shared" si="53"/>
        <v>107.06</v>
      </c>
      <c r="T54" s="120">
        <f t="shared" si="54"/>
        <v>192.31299999999999</v>
      </c>
    </row>
    <row r="55" spans="1:20" x14ac:dyDescent="0.35">
      <c r="A55" s="2">
        <v>38</v>
      </c>
      <c r="B55" s="121" t="s">
        <v>168</v>
      </c>
      <c r="C55" s="4" t="s">
        <v>4</v>
      </c>
      <c r="D55" s="24">
        <f t="shared" si="45"/>
        <v>9979.52</v>
      </c>
      <c r="E55" s="118">
        <f t="shared" si="46"/>
        <v>872.98699999999997</v>
      </c>
      <c r="F55" s="118">
        <f t="shared" si="56"/>
        <v>963.11699999999996</v>
      </c>
      <c r="G55" s="118">
        <f t="shared" si="47"/>
        <v>1058.596</v>
      </c>
      <c r="H55" s="118">
        <f t="shared" si="48"/>
        <v>2894.7</v>
      </c>
      <c r="I55" s="119">
        <f t="shared" si="49"/>
        <v>690.53000000000009</v>
      </c>
      <c r="J55" s="119">
        <f t="shared" si="49"/>
        <v>782.83199999999999</v>
      </c>
      <c r="K55" s="119">
        <f t="shared" si="49"/>
        <v>799.26800000000003</v>
      </c>
      <c r="L55" s="120">
        <f t="shared" si="57"/>
        <v>2272.63</v>
      </c>
      <c r="M55" s="119">
        <f t="shared" si="51"/>
        <v>804.63</v>
      </c>
      <c r="N55" s="119">
        <f t="shared" si="51"/>
        <v>782.43</v>
      </c>
      <c r="O55" s="119">
        <f t="shared" si="51"/>
        <v>775.18</v>
      </c>
      <c r="P55" s="120">
        <f t="shared" si="52"/>
        <v>2362.2399999999998</v>
      </c>
      <c r="Q55" s="119">
        <f t="shared" si="53"/>
        <v>800.78</v>
      </c>
      <c r="R55" s="119">
        <f t="shared" si="53"/>
        <v>862.74</v>
      </c>
      <c r="S55" s="119">
        <f t="shared" si="53"/>
        <v>786.43</v>
      </c>
      <c r="T55" s="120">
        <f t="shared" si="54"/>
        <v>2449.9499999999998</v>
      </c>
    </row>
    <row r="58" spans="1:20" x14ac:dyDescent="0.35">
      <c r="A58" s="1" t="s">
        <v>53</v>
      </c>
    </row>
    <row r="59" spans="1:20" ht="15.5" x14ac:dyDescent="0.35">
      <c r="A59" s="10" t="s">
        <v>0</v>
      </c>
      <c r="B59" s="10" t="s">
        <v>1</v>
      </c>
      <c r="C59" s="10" t="s">
        <v>2</v>
      </c>
      <c r="D59" s="31" t="s">
        <v>67</v>
      </c>
      <c r="E59" s="27" t="s">
        <v>113</v>
      </c>
      <c r="F59" s="11" t="s">
        <v>114</v>
      </c>
      <c r="G59" s="11" t="s">
        <v>115</v>
      </c>
      <c r="H59" s="28" t="s">
        <v>27</v>
      </c>
      <c r="I59" s="11" t="s">
        <v>55</v>
      </c>
      <c r="J59" s="11" t="s">
        <v>116</v>
      </c>
      <c r="K59" s="11" t="s">
        <v>117</v>
      </c>
      <c r="L59" s="15" t="s">
        <v>54</v>
      </c>
      <c r="M59" s="11" t="s">
        <v>118</v>
      </c>
      <c r="N59" s="11" t="s">
        <v>119</v>
      </c>
      <c r="O59" s="11" t="s">
        <v>56</v>
      </c>
      <c r="P59" s="15" t="s">
        <v>57</v>
      </c>
      <c r="Q59" s="11" t="s">
        <v>120</v>
      </c>
      <c r="R59" s="11" t="s">
        <v>58</v>
      </c>
      <c r="S59" s="11" t="s">
        <v>121</v>
      </c>
      <c r="T59" s="15" t="s">
        <v>59</v>
      </c>
    </row>
    <row r="60" spans="1:20" ht="15.5" x14ac:dyDescent="0.35">
      <c r="A60" s="12"/>
      <c r="B60" s="12"/>
      <c r="C60" s="12"/>
      <c r="D60" s="32"/>
      <c r="E60" s="29"/>
      <c r="F60" s="13"/>
      <c r="G60" s="13"/>
      <c r="H60" s="29"/>
      <c r="I60" s="13"/>
      <c r="J60" s="13"/>
      <c r="K60" s="13"/>
      <c r="L60" s="9"/>
      <c r="M60" s="13"/>
      <c r="N60" s="13"/>
      <c r="O60" s="13"/>
      <c r="P60" s="9"/>
      <c r="Q60" s="13"/>
      <c r="R60" s="13"/>
      <c r="S60" s="13"/>
      <c r="T60" s="9"/>
    </row>
    <row r="61" spans="1:20" x14ac:dyDescent="0.35">
      <c r="A61" s="5"/>
      <c r="B61" s="6" t="s">
        <v>26</v>
      </c>
      <c r="C61" s="6" t="s">
        <v>4</v>
      </c>
      <c r="D61" s="33">
        <f>SUM(D62:D99)</f>
        <v>774415.15892607823</v>
      </c>
      <c r="E61" s="84">
        <f>SUM(E62:E99)</f>
        <v>47094.474000000002</v>
      </c>
      <c r="F61" s="84">
        <f>SUM(F62:F99)</f>
        <v>51144.2</v>
      </c>
      <c r="G61" s="84">
        <f>SUM(G62:G99)</f>
        <v>58230.457000000002</v>
      </c>
      <c r="H61" s="84">
        <f>SUM(E61:G61)</f>
        <v>156469.13099999999</v>
      </c>
      <c r="I61" s="84">
        <f>SUM(I62:I99)</f>
        <v>55914.418999999994</v>
      </c>
      <c r="J61" s="84">
        <f>SUM(J62:J99)</f>
        <v>57079.483</v>
      </c>
      <c r="K61" s="84">
        <f>SUM(K62:K99)</f>
        <v>56556.369690678563</v>
      </c>
      <c r="L61" s="84">
        <f>SUM(I61:K61)</f>
        <v>169550.27169067855</v>
      </c>
      <c r="M61" s="84">
        <f>SUM(M62:M99)</f>
        <v>74919.428</v>
      </c>
      <c r="N61" s="84">
        <f>SUM(N62:N99)</f>
        <v>72360.697</v>
      </c>
      <c r="O61" s="84">
        <f>SUM(O62:O99)</f>
        <v>80512.764000000025</v>
      </c>
      <c r="P61" s="84">
        <f t="shared" ref="P61" si="58">SUM(M61:O61)</f>
        <v>227792.88900000002</v>
      </c>
      <c r="Q61" s="84">
        <f>SUM(Q62:Q99)</f>
        <v>69955.921622135691</v>
      </c>
      <c r="R61" s="84">
        <f>SUM(R62:R99)</f>
        <v>72316.751026384096</v>
      </c>
      <c r="S61" s="84">
        <f>SUM(S62:S99)</f>
        <v>78330.194586879996</v>
      </c>
      <c r="T61" s="84">
        <f t="shared" ref="T61" si="59">SUM(Q61:S61)</f>
        <v>220602.86723539978</v>
      </c>
    </row>
    <row r="62" spans="1:20" x14ac:dyDescent="0.35">
      <c r="A62" s="2">
        <v>1</v>
      </c>
      <c r="B62" s="121" t="s">
        <v>131</v>
      </c>
      <c r="C62" s="4" t="s">
        <v>4</v>
      </c>
      <c r="D62" s="24">
        <f>SUM(H62,L62,P62,T62)</f>
        <v>0</v>
      </c>
      <c r="E62" s="22">
        <v>0</v>
      </c>
      <c r="F62" s="22">
        <v>0</v>
      </c>
      <c r="G62" s="22">
        <v>0</v>
      </c>
      <c r="H62" s="22">
        <f>SUM(E62:G62)</f>
        <v>0</v>
      </c>
      <c r="I62" s="22">
        <v>0</v>
      </c>
      <c r="J62" s="22">
        <v>0</v>
      </c>
      <c r="K62" s="22">
        <v>0</v>
      </c>
      <c r="L62" s="22">
        <f>SUM(I62:K62)</f>
        <v>0</v>
      </c>
      <c r="M62" s="22">
        <v>0</v>
      </c>
      <c r="N62" s="22">
        <v>0</v>
      </c>
      <c r="O62" s="22">
        <v>0</v>
      </c>
      <c r="P62" s="22">
        <f>SUM(M62:O62)</f>
        <v>0</v>
      </c>
      <c r="Q62" s="22">
        <v>0</v>
      </c>
      <c r="R62" s="22">
        <v>0</v>
      </c>
      <c r="S62" s="22">
        <v>0</v>
      </c>
      <c r="T62" s="22">
        <f>SUM(Q62:S62)</f>
        <v>0</v>
      </c>
    </row>
    <row r="63" spans="1:20" x14ac:dyDescent="0.35">
      <c r="A63" s="2">
        <f t="shared" ref="A63:A83" si="60">A62+1</f>
        <v>2</v>
      </c>
      <c r="B63" s="121" t="s">
        <v>132</v>
      </c>
      <c r="C63" s="4" t="s">
        <v>4</v>
      </c>
      <c r="D63" s="24">
        <f t="shared" ref="D63:D99" si="61">SUM(H63,L63,P63,T63)</f>
        <v>48.26</v>
      </c>
      <c r="E63" s="22">
        <f>3900/1000</f>
        <v>3.9</v>
      </c>
      <c r="F63" s="22">
        <f>4380/1000</f>
        <v>4.38</v>
      </c>
      <c r="G63" s="22">
        <f>5150/1000</f>
        <v>5.15</v>
      </c>
      <c r="H63" s="22">
        <f t="shared" ref="H63:H99" si="62">SUM(E63:G63)</f>
        <v>13.43</v>
      </c>
      <c r="I63" s="22">
        <f>9795/1000</f>
        <v>9.7949999999999999</v>
      </c>
      <c r="J63" s="22">
        <f>4630/1000</f>
        <v>4.63</v>
      </c>
      <c r="K63" s="22">
        <f>4045/1000</f>
        <v>4.0449999999999999</v>
      </c>
      <c r="L63" s="22">
        <f t="shared" ref="L63:L99" si="63">SUM(I63:K63)</f>
        <v>18.47</v>
      </c>
      <c r="M63" s="22">
        <f>2615/1000</f>
        <v>2.6150000000000002</v>
      </c>
      <c r="N63" s="22">
        <f>2260/1000</f>
        <v>2.2599999999999998</v>
      </c>
      <c r="O63" s="22">
        <f>2205/1000</f>
        <v>2.2050000000000001</v>
      </c>
      <c r="P63" s="22">
        <f t="shared" ref="P63:P99" si="64">SUM(M63:O63)</f>
        <v>7.08</v>
      </c>
      <c r="Q63" s="22">
        <f>3165/1000</f>
        <v>3.165</v>
      </c>
      <c r="R63" s="22">
        <f>2975/1000</f>
        <v>2.9750000000000001</v>
      </c>
      <c r="S63" s="22">
        <f>3140/1000</f>
        <v>3.14</v>
      </c>
      <c r="T63" s="22">
        <f t="shared" ref="T63:T99" si="65">SUM(Q63:S63)</f>
        <v>9.2800000000000011</v>
      </c>
    </row>
    <row r="64" spans="1:20" x14ac:dyDescent="0.35">
      <c r="A64" s="2">
        <f t="shared" si="60"/>
        <v>3</v>
      </c>
      <c r="B64" s="121" t="s">
        <v>133</v>
      </c>
      <c r="C64" s="4" t="s">
        <v>4</v>
      </c>
      <c r="D64" s="24">
        <f t="shared" si="61"/>
        <v>0</v>
      </c>
      <c r="E64" s="22">
        <v>0</v>
      </c>
      <c r="F64" s="22">
        <v>0</v>
      </c>
      <c r="G64" s="22">
        <v>0</v>
      </c>
      <c r="H64" s="22">
        <f t="shared" si="62"/>
        <v>0</v>
      </c>
      <c r="I64" s="22">
        <v>0</v>
      </c>
      <c r="J64" s="22">
        <v>0</v>
      </c>
      <c r="K64" s="22">
        <v>0</v>
      </c>
      <c r="L64" s="22">
        <f t="shared" si="63"/>
        <v>0</v>
      </c>
      <c r="M64" s="22">
        <v>0</v>
      </c>
      <c r="N64" s="22">
        <v>0</v>
      </c>
      <c r="O64" s="22">
        <v>0</v>
      </c>
      <c r="P64" s="22">
        <f t="shared" si="64"/>
        <v>0</v>
      </c>
      <c r="Q64" s="22">
        <v>0</v>
      </c>
      <c r="R64" s="22">
        <v>0</v>
      </c>
      <c r="S64" s="22">
        <v>0</v>
      </c>
      <c r="T64" s="22">
        <f t="shared" si="65"/>
        <v>0</v>
      </c>
    </row>
    <row r="65" spans="1:20" x14ac:dyDescent="0.35">
      <c r="A65" s="2">
        <f t="shared" si="60"/>
        <v>4</v>
      </c>
      <c r="B65" s="121" t="s">
        <v>134</v>
      </c>
      <c r="C65" s="4" t="s">
        <v>4</v>
      </c>
      <c r="D65" s="24">
        <f t="shared" si="61"/>
        <v>0</v>
      </c>
      <c r="E65" s="22">
        <v>0</v>
      </c>
      <c r="F65" s="22">
        <v>0</v>
      </c>
      <c r="G65" s="22">
        <v>0</v>
      </c>
      <c r="H65" s="22">
        <f t="shared" si="62"/>
        <v>0</v>
      </c>
      <c r="I65" s="22">
        <v>0</v>
      </c>
      <c r="J65" s="22">
        <v>0</v>
      </c>
      <c r="K65" s="22">
        <v>0</v>
      </c>
      <c r="L65" s="22">
        <f t="shared" si="63"/>
        <v>0</v>
      </c>
      <c r="M65" s="22">
        <v>0</v>
      </c>
      <c r="N65" s="22">
        <v>0</v>
      </c>
      <c r="O65" s="22">
        <v>0</v>
      </c>
      <c r="P65" s="22">
        <f t="shared" si="64"/>
        <v>0</v>
      </c>
      <c r="Q65" s="22">
        <v>0</v>
      </c>
      <c r="R65" s="22">
        <v>0</v>
      </c>
      <c r="S65" s="22">
        <v>0</v>
      </c>
      <c r="T65" s="22">
        <f t="shared" si="65"/>
        <v>0</v>
      </c>
    </row>
    <row r="66" spans="1:20" x14ac:dyDescent="0.35">
      <c r="A66" s="2">
        <f t="shared" si="60"/>
        <v>5</v>
      </c>
      <c r="B66" s="121" t="s">
        <v>135</v>
      </c>
      <c r="C66" s="4" t="s">
        <v>4</v>
      </c>
      <c r="D66" s="24">
        <f t="shared" si="61"/>
        <v>0</v>
      </c>
      <c r="E66" s="22">
        <v>0</v>
      </c>
      <c r="F66" s="22">
        <v>0</v>
      </c>
      <c r="G66" s="22">
        <v>0</v>
      </c>
      <c r="H66" s="22">
        <f t="shared" si="62"/>
        <v>0</v>
      </c>
      <c r="I66" s="22">
        <v>0</v>
      </c>
      <c r="J66" s="22">
        <v>0</v>
      </c>
      <c r="K66" s="22">
        <v>0</v>
      </c>
      <c r="L66" s="22">
        <f t="shared" si="63"/>
        <v>0</v>
      </c>
      <c r="M66" s="22">
        <v>0</v>
      </c>
      <c r="N66" s="22">
        <v>0</v>
      </c>
      <c r="O66" s="22">
        <v>0</v>
      </c>
      <c r="P66" s="22">
        <f t="shared" si="64"/>
        <v>0</v>
      </c>
      <c r="Q66" s="22">
        <v>0</v>
      </c>
      <c r="R66" s="22">
        <v>0</v>
      </c>
      <c r="S66" s="22">
        <v>0</v>
      </c>
      <c r="T66" s="22">
        <f t="shared" si="65"/>
        <v>0</v>
      </c>
    </row>
    <row r="67" spans="1:20" x14ac:dyDescent="0.35">
      <c r="A67" s="2">
        <f t="shared" si="60"/>
        <v>6</v>
      </c>
      <c r="B67" s="121" t="s">
        <v>136</v>
      </c>
      <c r="C67" s="4" t="s">
        <v>4</v>
      </c>
      <c r="D67" s="24">
        <f t="shared" si="61"/>
        <v>13740.67892607835</v>
      </c>
      <c r="E67" s="22">
        <f>154755/1000</f>
        <v>154.755</v>
      </c>
      <c r="F67" s="22">
        <f>424871/1000</f>
        <v>424.87099999999998</v>
      </c>
      <c r="G67" s="22">
        <f>598742/1000</f>
        <v>598.74199999999996</v>
      </c>
      <c r="H67" s="22">
        <f t="shared" si="62"/>
        <v>1178.3679999999999</v>
      </c>
      <c r="I67" s="22">
        <f>231117/1000</f>
        <v>231.11699999999999</v>
      </c>
      <c r="J67" s="22">
        <f>532414/1000</f>
        <v>532.41399999999999</v>
      </c>
      <c r="K67" s="22">
        <f>643975.69067856/1000</f>
        <v>643.97569067855989</v>
      </c>
      <c r="L67" s="22">
        <f t="shared" si="63"/>
        <v>1407.5066906785598</v>
      </c>
      <c r="M67" s="22">
        <f>904887/1000</f>
        <v>904.88699999999994</v>
      </c>
      <c r="N67" s="22">
        <f>1868475/1000</f>
        <v>1868.4749999999999</v>
      </c>
      <c r="O67" s="22">
        <f>1910940/1000</f>
        <v>1910.94</v>
      </c>
      <c r="P67" s="22">
        <f t="shared" si="64"/>
        <v>4684.3019999999997</v>
      </c>
      <c r="Q67" s="22">
        <f>3111508.62213569/1000</f>
        <v>3111.5086221356901</v>
      </c>
      <c r="R67" s="22">
        <f>1767741.0263841/1000</f>
        <v>1767.7410263841</v>
      </c>
      <c r="S67" s="22">
        <f>1591252.58688/1000</f>
        <v>1591.2525868800001</v>
      </c>
      <c r="T67" s="22">
        <f t="shared" si="65"/>
        <v>6470.5022353997902</v>
      </c>
    </row>
    <row r="68" spans="1:20" x14ac:dyDescent="0.35">
      <c r="A68" s="2">
        <f t="shared" si="60"/>
        <v>7</v>
      </c>
      <c r="B68" s="121" t="s">
        <v>137</v>
      </c>
      <c r="C68" s="4" t="s">
        <v>4</v>
      </c>
      <c r="D68" s="24">
        <f t="shared" si="61"/>
        <v>0</v>
      </c>
      <c r="E68" s="22">
        <v>0</v>
      </c>
      <c r="F68" s="22">
        <v>0</v>
      </c>
      <c r="G68" s="22">
        <v>0</v>
      </c>
      <c r="H68" s="22">
        <f t="shared" si="62"/>
        <v>0</v>
      </c>
      <c r="I68" s="22">
        <v>0</v>
      </c>
      <c r="J68" s="22">
        <v>0</v>
      </c>
      <c r="K68" s="22">
        <v>0</v>
      </c>
      <c r="L68" s="22">
        <f t="shared" si="63"/>
        <v>0</v>
      </c>
      <c r="M68" s="22">
        <v>0</v>
      </c>
      <c r="N68" s="22">
        <v>0</v>
      </c>
      <c r="O68" s="22">
        <v>0</v>
      </c>
      <c r="P68" s="22">
        <f t="shared" si="64"/>
        <v>0</v>
      </c>
      <c r="Q68" s="22">
        <v>0</v>
      </c>
      <c r="R68" s="22">
        <v>0</v>
      </c>
      <c r="S68" s="22">
        <v>0</v>
      </c>
      <c r="T68" s="22">
        <f t="shared" si="65"/>
        <v>0</v>
      </c>
    </row>
    <row r="69" spans="1:20" x14ac:dyDescent="0.35">
      <c r="A69" s="2">
        <f t="shared" si="60"/>
        <v>8</v>
      </c>
      <c r="B69" s="121" t="s">
        <v>138</v>
      </c>
      <c r="C69" s="4" t="s">
        <v>4</v>
      </c>
      <c r="D69" s="24">
        <f t="shared" si="61"/>
        <v>0</v>
      </c>
      <c r="E69" s="22">
        <v>0</v>
      </c>
      <c r="F69" s="22">
        <v>0</v>
      </c>
      <c r="G69" s="22">
        <v>0</v>
      </c>
      <c r="H69" s="22">
        <f t="shared" si="62"/>
        <v>0</v>
      </c>
      <c r="I69" s="22">
        <v>0</v>
      </c>
      <c r="J69" s="22">
        <v>0</v>
      </c>
      <c r="K69" s="22">
        <v>0</v>
      </c>
      <c r="L69" s="22">
        <f t="shared" si="63"/>
        <v>0</v>
      </c>
      <c r="M69" s="22">
        <v>0</v>
      </c>
      <c r="N69" s="22">
        <v>0</v>
      </c>
      <c r="O69" s="22">
        <v>0</v>
      </c>
      <c r="P69" s="22">
        <f t="shared" si="64"/>
        <v>0</v>
      </c>
      <c r="Q69" s="22">
        <v>0</v>
      </c>
      <c r="R69" s="22">
        <v>0</v>
      </c>
      <c r="S69" s="22">
        <v>0</v>
      </c>
      <c r="T69" s="22">
        <f t="shared" si="65"/>
        <v>0</v>
      </c>
    </row>
    <row r="70" spans="1:20" x14ac:dyDescent="0.35">
      <c r="A70" s="2">
        <f t="shared" si="60"/>
        <v>9</v>
      </c>
      <c r="B70" s="121" t="s">
        <v>139</v>
      </c>
      <c r="C70" s="4" t="s">
        <v>4</v>
      </c>
      <c r="D70" s="24">
        <f t="shared" si="61"/>
        <v>0</v>
      </c>
      <c r="E70" s="22">
        <v>0</v>
      </c>
      <c r="F70" s="22">
        <v>0</v>
      </c>
      <c r="G70" s="22">
        <v>0</v>
      </c>
      <c r="H70" s="22">
        <f t="shared" si="62"/>
        <v>0</v>
      </c>
      <c r="I70" s="22">
        <v>0</v>
      </c>
      <c r="J70" s="22">
        <v>0</v>
      </c>
      <c r="K70" s="22">
        <v>0</v>
      </c>
      <c r="L70" s="22">
        <f t="shared" si="63"/>
        <v>0</v>
      </c>
      <c r="M70" s="22">
        <v>0</v>
      </c>
      <c r="N70" s="22">
        <v>0</v>
      </c>
      <c r="O70" s="22">
        <v>0</v>
      </c>
      <c r="P70" s="22">
        <f t="shared" si="64"/>
        <v>0</v>
      </c>
      <c r="Q70" s="22">
        <v>0</v>
      </c>
      <c r="R70" s="22">
        <v>0</v>
      </c>
      <c r="S70" s="22">
        <v>0</v>
      </c>
      <c r="T70" s="22">
        <f t="shared" si="65"/>
        <v>0</v>
      </c>
    </row>
    <row r="71" spans="1:20" x14ac:dyDescent="0.35">
      <c r="A71" s="2">
        <f t="shared" si="60"/>
        <v>10</v>
      </c>
      <c r="B71" s="121" t="s">
        <v>140</v>
      </c>
      <c r="C71" s="4" t="s">
        <v>4</v>
      </c>
      <c r="D71" s="24">
        <f t="shared" si="61"/>
        <v>0</v>
      </c>
      <c r="E71" s="22">
        <v>0</v>
      </c>
      <c r="F71" s="22">
        <v>0</v>
      </c>
      <c r="G71" s="22">
        <v>0</v>
      </c>
      <c r="H71" s="22">
        <f t="shared" si="62"/>
        <v>0</v>
      </c>
      <c r="I71" s="22">
        <v>0</v>
      </c>
      <c r="J71" s="22">
        <v>0</v>
      </c>
      <c r="K71" s="22">
        <v>0</v>
      </c>
      <c r="L71" s="22">
        <f t="shared" si="63"/>
        <v>0</v>
      </c>
      <c r="M71" s="22">
        <v>0</v>
      </c>
      <c r="N71" s="22">
        <v>0</v>
      </c>
      <c r="O71" s="22">
        <v>0</v>
      </c>
      <c r="P71" s="22">
        <f t="shared" si="64"/>
        <v>0</v>
      </c>
      <c r="Q71" s="22">
        <v>0</v>
      </c>
      <c r="R71" s="22">
        <v>0</v>
      </c>
      <c r="S71" s="22">
        <v>0</v>
      </c>
      <c r="T71" s="22">
        <f t="shared" si="65"/>
        <v>0</v>
      </c>
    </row>
    <row r="72" spans="1:20" x14ac:dyDescent="0.35">
      <c r="A72" s="2">
        <f t="shared" si="60"/>
        <v>11</v>
      </c>
      <c r="B72" s="121" t="s">
        <v>141</v>
      </c>
      <c r="C72" s="4" t="s">
        <v>4</v>
      </c>
      <c r="D72" s="24">
        <f t="shared" si="61"/>
        <v>0</v>
      </c>
      <c r="E72" s="22">
        <v>0</v>
      </c>
      <c r="F72" s="22">
        <v>0</v>
      </c>
      <c r="G72" s="22">
        <v>0</v>
      </c>
      <c r="H72" s="22">
        <f t="shared" si="62"/>
        <v>0</v>
      </c>
      <c r="I72" s="22">
        <v>0</v>
      </c>
      <c r="J72" s="22">
        <v>0</v>
      </c>
      <c r="K72" s="22">
        <v>0</v>
      </c>
      <c r="L72" s="22">
        <f t="shared" si="63"/>
        <v>0</v>
      </c>
      <c r="M72" s="22">
        <v>0</v>
      </c>
      <c r="N72" s="22">
        <v>0</v>
      </c>
      <c r="O72" s="22">
        <v>0</v>
      </c>
      <c r="P72" s="22">
        <f t="shared" si="64"/>
        <v>0</v>
      </c>
      <c r="Q72" s="22">
        <v>0</v>
      </c>
      <c r="R72" s="22">
        <v>0</v>
      </c>
      <c r="S72" s="22">
        <v>0</v>
      </c>
      <c r="T72" s="22">
        <f t="shared" si="65"/>
        <v>0</v>
      </c>
    </row>
    <row r="73" spans="1:20" x14ac:dyDescent="0.35">
      <c r="A73" s="2">
        <f t="shared" si="60"/>
        <v>12</v>
      </c>
      <c r="B73" s="121" t="s">
        <v>142</v>
      </c>
      <c r="C73" s="4" t="s">
        <v>4</v>
      </c>
      <c r="D73" s="24">
        <f t="shared" si="61"/>
        <v>0</v>
      </c>
      <c r="E73" s="22">
        <v>0</v>
      </c>
      <c r="F73" s="22">
        <v>0</v>
      </c>
      <c r="G73" s="22">
        <v>0</v>
      </c>
      <c r="H73" s="22">
        <f t="shared" si="62"/>
        <v>0</v>
      </c>
      <c r="I73" s="22">
        <v>0</v>
      </c>
      <c r="J73" s="22">
        <v>0</v>
      </c>
      <c r="K73" s="22">
        <v>0</v>
      </c>
      <c r="L73" s="22">
        <f t="shared" si="63"/>
        <v>0</v>
      </c>
      <c r="M73" s="22">
        <v>0</v>
      </c>
      <c r="N73" s="22">
        <v>0</v>
      </c>
      <c r="O73" s="22">
        <v>0</v>
      </c>
      <c r="P73" s="22">
        <f t="shared" si="64"/>
        <v>0</v>
      </c>
      <c r="Q73" s="22">
        <v>0</v>
      </c>
      <c r="R73" s="22">
        <v>0</v>
      </c>
      <c r="S73" s="22">
        <v>0</v>
      </c>
      <c r="T73" s="22">
        <f t="shared" si="65"/>
        <v>0</v>
      </c>
    </row>
    <row r="74" spans="1:20" x14ac:dyDescent="0.35">
      <c r="A74" s="2">
        <f t="shared" si="60"/>
        <v>13</v>
      </c>
      <c r="B74" s="121" t="s">
        <v>143</v>
      </c>
      <c r="C74" s="4" t="s">
        <v>4</v>
      </c>
      <c r="D74" s="24">
        <f t="shared" si="61"/>
        <v>0</v>
      </c>
      <c r="E74" s="22">
        <v>0</v>
      </c>
      <c r="F74" s="22">
        <v>0</v>
      </c>
      <c r="G74" s="22">
        <v>0</v>
      </c>
      <c r="H74" s="22">
        <f t="shared" si="62"/>
        <v>0</v>
      </c>
      <c r="I74" s="22">
        <v>0</v>
      </c>
      <c r="J74" s="22">
        <v>0</v>
      </c>
      <c r="K74" s="22">
        <v>0</v>
      </c>
      <c r="L74" s="22">
        <f t="shared" si="63"/>
        <v>0</v>
      </c>
      <c r="M74" s="22">
        <v>0</v>
      </c>
      <c r="N74" s="22">
        <v>0</v>
      </c>
      <c r="O74" s="22">
        <v>0</v>
      </c>
      <c r="P74" s="22">
        <f t="shared" si="64"/>
        <v>0</v>
      </c>
      <c r="Q74" s="22">
        <v>0</v>
      </c>
      <c r="R74" s="22">
        <v>0</v>
      </c>
      <c r="S74" s="22">
        <v>0</v>
      </c>
      <c r="T74" s="22">
        <f t="shared" si="65"/>
        <v>0</v>
      </c>
    </row>
    <row r="75" spans="1:20" x14ac:dyDescent="0.35">
      <c r="A75" s="2">
        <f t="shared" si="60"/>
        <v>14</v>
      </c>
      <c r="B75" s="121" t="s">
        <v>144</v>
      </c>
      <c r="C75" s="4" t="s">
        <v>4</v>
      </c>
      <c r="D75" s="24">
        <f t="shared" si="61"/>
        <v>0</v>
      </c>
      <c r="E75" s="22">
        <v>0</v>
      </c>
      <c r="F75" s="22">
        <v>0</v>
      </c>
      <c r="G75" s="22">
        <v>0</v>
      </c>
      <c r="H75" s="22">
        <f t="shared" si="62"/>
        <v>0</v>
      </c>
      <c r="I75" s="22">
        <v>0</v>
      </c>
      <c r="J75" s="22">
        <v>0</v>
      </c>
      <c r="K75" s="22">
        <v>0</v>
      </c>
      <c r="L75" s="22">
        <f t="shared" si="63"/>
        <v>0</v>
      </c>
      <c r="M75" s="22">
        <v>0</v>
      </c>
      <c r="N75" s="22">
        <v>0</v>
      </c>
      <c r="O75" s="22">
        <v>0</v>
      </c>
      <c r="P75" s="22">
        <f t="shared" si="64"/>
        <v>0</v>
      </c>
      <c r="Q75" s="22">
        <v>0</v>
      </c>
      <c r="R75" s="22">
        <v>0</v>
      </c>
      <c r="S75" s="22">
        <v>0</v>
      </c>
      <c r="T75" s="22">
        <f t="shared" si="65"/>
        <v>0</v>
      </c>
    </row>
    <row r="76" spans="1:20" x14ac:dyDescent="0.35">
      <c r="A76" s="2">
        <f t="shared" si="60"/>
        <v>15</v>
      </c>
      <c r="B76" s="121" t="s">
        <v>145</v>
      </c>
      <c r="C76" s="4" t="s">
        <v>4</v>
      </c>
      <c r="D76" s="24">
        <f t="shared" si="61"/>
        <v>0</v>
      </c>
      <c r="E76" s="22">
        <v>0</v>
      </c>
      <c r="F76" s="22">
        <v>0</v>
      </c>
      <c r="G76" s="22">
        <v>0</v>
      </c>
      <c r="H76" s="22">
        <f t="shared" si="62"/>
        <v>0</v>
      </c>
      <c r="I76" s="22">
        <v>0</v>
      </c>
      <c r="J76" s="22">
        <v>0</v>
      </c>
      <c r="K76" s="22">
        <v>0</v>
      </c>
      <c r="L76" s="22">
        <f t="shared" si="63"/>
        <v>0</v>
      </c>
      <c r="M76" s="22">
        <v>0</v>
      </c>
      <c r="N76" s="22">
        <v>0</v>
      </c>
      <c r="O76" s="22">
        <v>0</v>
      </c>
      <c r="P76" s="22">
        <f t="shared" si="64"/>
        <v>0</v>
      </c>
      <c r="Q76" s="22">
        <v>0</v>
      </c>
      <c r="R76" s="22">
        <v>0</v>
      </c>
      <c r="S76" s="22">
        <v>0</v>
      </c>
      <c r="T76" s="22">
        <f t="shared" si="65"/>
        <v>0</v>
      </c>
    </row>
    <row r="77" spans="1:20" x14ac:dyDescent="0.35">
      <c r="A77" s="2">
        <f t="shared" si="60"/>
        <v>16</v>
      </c>
      <c r="B77" s="121" t="s">
        <v>146</v>
      </c>
      <c r="C77" s="4" t="s">
        <v>4</v>
      </c>
      <c r="D77" s="24">
        <f t="shared" si="61"/>
        <v>0</v>
      </c>
      <c r="E77" s="22">
        <v>0</v>
      </c>
      <c r="F77" s="22">
        <v>0</v>
      </c>
      <c r="G77" s="22">
        <v>0</v>
      </c>
      <c r="H77" s="22">
        <f t="shared" si="62"/>
        <v>0</v>
      </c>
      <c r="I77" s="22">
        <v>0</v>
      </c>
      <c r="J77" s="22">
        <v>0</v>
      </c>
      <c r="K77" s="22">
        <v>0</v>
      </c>
      <c r="L77" s="22">
        <f t="shared" si="63"/>
        <v>0</v>
      </c>
      <c r="M77" s="22">
        <v>0</v>
      </c>
      <c r="N77" s="22">
        <v>0</v>
      </c>
      <c r="O77" s="22">
        <v>0</v>
      </c>
      <c r="P77" s="22">
        <f t="shared" si="64"/>
        <v>0</v>
      </c>
      <c r="Q77" s="22">
        <v>0</v>
      </c>
      <c r="R77" s="22">
        <v>0</v>
      </c>
      <c r="S77" s="22">
        <v>0</v>
      </c>
      <c r="T77" s="22">
        <f t="shared" si="65"/>
        <v>0</v>
      </c>
    </row>
    <row r="78" spans="1:20" x14ac:dyDescent="0.35">
      <c r="A78" s="2">
        <f t="shared" si="60"/>
        <v>17</v>
      </c>
      <c r="B78" s="121" t="s">
        <v>147</v>
      </c>
      <c r="C78" s="4" t="s">
        <v>4</v>
      </c>
      <c r="D78" s="24">
        <f t="shared" si="61"/>
        <v>0</v>
      </c>
      <c r="E78" s="22">
        <v>0</v>
      </c>
      <c r="F78" s="22">
        <v>0</v>
      </c>
      <c r="G78" s="22">
        <v>0</v>
      </c>
      <c r="H78" s="22">
        <f t="shared" si="62"/>
        <v>0</v>
      </c>
      <c r="I78" s="22">
        <v>0</v>
      </c>
      <c r="J78" s="22">
        <v>0</v>
      </c>
      <c r="K78" s="22">
        <v>0</v>
      </c>
      <c r="L78" s="22">
        <f t="shared" si="63"/>
        <v>0</v>
      </c>
      <c r="M78" s="22">
        <v>0</v>
      </c>
      <c r="N78" s="22">
        <v>0</v>
      </c>
      <c r="O78" s="22">
        <v>0</v>
      </c>
      <c r="P78" s="22">
        <f t="shared" si="64"/>
        <v>0</v>
      </c>
      <c r="Q78" s="22">
        <v>0</v>
      </c>
      <c r="R78" s="22">
        <v>0</v>
      </c>
      <c r="S78" s="22">
        <v>0</v>
      </c>
      <c r="T78" s="22">
        <f t="shared" si="65"/>
        <v>0</v>
      </c>
    </row>
    <row r="79" spans="1:20" x14ac:dyDescent="0.35">
      <c r="A79" s="2">
        <f t="shared" si="60"/>
        <v>18</v>
      </c>
      <c r="B79" s="121" t="s">
        <v>148</v>
      </c>
      <c r="C79" s="4" t="s">
        <v>4</v>
      </c>
      <c r="D79" s="24">
        <f t="shared" si="61"/>
        <v>0</v>
      </c>
      <c r="E79" s="22">
        <v>0</v>
      </c>
      <c r="F79" s="22">
        <v>0</v>
      </c>
      <c r="G79" s="22">
        <v>0</v>
      </c>
      <c r="H79" s="22">
        <f t="shared" si="62"/>
        <v>0</v>
      </c>
      <c r="I79" s="22">
        <v>0</v>
      </c>
      <c r="J79" s="22">
        <v>0</v>
      </c>
      <c r="K79" s="22">
        <v>0</v>
      </c>
      <c r="L79" s="22">
        <f t="shared" si="63"/>
        <v>0</v>
      </c>
      <c r="M79" s="22">
        <v>0</v>
      </c>
      <c r="N79" s="22">
        <v>0</v>
      </c>
      <c r="O79" s="22">
        <v>0</v>
      </c>
      <c r="P79" s="22">
        <f t="shared" si="64"/>
        <v>0</v>
      </c>
      <c r="Q79" s="22">
        <v>0</v>
      </c>
      <c r="R79" s="22">
        <v>0</v>
      </c>
      <c r="S79" s="22">
        <v>0</v>
      </c>
      <c r="T79" s="22">
        <f t="shared" si="65"/>
        <v>0</v>
      </c>
    </row>
    <row r="80" spans="1:20" x14ac:dyDescent="0.35">
      <c r="A80" s="2">
        <f t="shared" si="60"/>
        <v>19</v>
      </c>
      <c r="B80" s="121" t="s">
        <v>149</v>
      </c>
      <c r="C80" s="4" t="s">
        <v>4</v>
      </c>
      <c r="D80" s="24">
        <f t="shared" si="61"/>
        <v>0</v>
      </c>
      <c r="E80" s="22">
        <v>0</v>
      </c>
      <c r="F80" s="22">
        <v>0</v>
      </c>
      <c r="G80" s="22">
        <v>0</v>
      </c>
      <c r="H80" s="22">
        <f t="shared" si="62"/>
        <v>0</v>
      </c>
      <c r="I80" s="22">
        <v>0</v>
      </c>
      <c r="J80" s="22">
        <v>0</v>
      </c>
      <c r="K80" s="22">
        <v>0</v>
      </c>
      <c r="L80" s="22">
        <f t="shared" si="63"/>
        <v>0</v>
      </c>
      <c r="M80" s="22">
        <v>0</v>
      </c>
      <c r="N80" s="22">
        <v>0</v>
      </c>
      <c r="O80" s="22">
        <v>0</v>
      </c>
      <c r="P80" s="22">
        <f t="shared" si="64"/>
        <v>0</v>
      </c>
      <c r="Q80" s="22">
        <v>0</v>
      </c>
      <c r="R80" s="22">
        <v>0</v>
      </c>
      <c r="S80" s="22">
        <v>0</v>
      </c>
      <c r="T80" s="22">
        <f t="shared" si="65"/>
        <v>0</v>
      </c>
    </row>
    <row r="81" spans="1:20" x14ac:dyDescent="0.35">
      <c r="A81" s="2">
        <f t="shared" si="60"/>
        <v>20</v>
      </c>
      <c r="B81" s="121" t="s">
        <v>150</v>
      </c>
      <c r="C81" s="4" t="s">
        <v>4</v>
      </c>
      <c r="D81" s="24">
        <f t="shared" si="61"/>
        <v>0</v>
      </c>
      <c r="E81" s="22">
        <v>0</v>
      </c>
      <c r="F81" s="22">
        <v>0</v>
      </c>
      <c r="G81" s="22">
        <v>0</v>
      </c>
      <c r="H81" s="22">
        <f t="shared" si="62"/>
        <v>0</v>
      </c>
      <c r="I81" s="22">
        <v>0</v>
      </c>
      <c r="J81" s="22">
        <v>0</v>
      </c>
      <c r="K81" s="22">
        <v>0</v>
      </c>
      <c r="L81" s="22">
        <f t="shared" si="63"/>
        <v>0</v>
      </c>
      <c r="M81" s="22">
        <v>0</v>
      </c>
      <c r="N81" s="22">
        <v>0</v>
      </c>
      <c r="O81" s="22">
        <v>0</v>
      </c>
      <c r="P81" s="22">
        <f t="shared" si="64"/>
        <v>0</v>
      </c>
      <c r="Q81" s="22">
        <v>0</v>
      </c>
      <c r="R81" s="22">
        <v>0</v>
      </c>
      <c r="S81" s="22">
        <v>0</v>
      </c>
      <c r="T81" s="22">
        <f t="shared" si="65"/>
        <v>0</v>
      </c>
    </row>
    <row r="82" spans="1:20" x14ac:dyDescent="0.35">
      <c r="A82" s="2">
        <f t="shared" si="60"/>
        <v>21</v>
      </c>
      <c r="B82" s="121" t="s">
        <v>151</v>
      </c>
      <c r="C82" s="4" t="s">
        <v>4</v>
      </c>
      <c r="D82" s="24">
        <f t="shared" si="61"/>
        <v>0</v>
      </c>
      <c r="E82" s="22">
        <v>0</v>
      </c>
      <c r="F82" s="22">
        <v>0</v>
      </c>
      <c r="G82" s="22">
        <v>0</v>
      </c>
      <c r="H82" s="22">
        <f t="shared" si="62"/>
        <v>0</v>
      </c>
      <c r="I82" s="22">
        <v>0</v>
      </c>
      <c r="J82" s="22">
        <v>0</v>
      </c>
      <c r="K82" s="22">
        <v>0</v>
      </c>
      <c r="L82" s="22">
        <f t="shared" si="63"/>
        <v>0</v>
      </c>
      <c r="M82" s="22">
        <v>0</v>
      </c>
      <c r="N82" s="22">
        <v>0</v>
      </c>
      <c r="O82" s="22">
        <v>0</v>
      </c>
      <c r="P82" s="22">
        <f t="shared" si="64"/>
        <v>0</v>
      </c>
      <c r="Q82" s="22">
        <v>0</v>
      </c>
      <c r="R82" s="22">
        <v>0</v>
      </c>
      <c r="S82" s="22">
        <v>0</v>
      </c>
      <c r="T82" s="22">
        <f t="shared" si="65"/>
        <v>0</v>
      </c>
    </row>
    <row r="83" spans="1:20" x14ac:dyDescent="0.35">
      <c r="A83" s="2">
        <f t="shared" si="60"/>
        <v>22</v>
      </c>
      <c r="B83" s="121" t="s">
        <v>152</v>
      </c>
      <c r="C83" s="4" t="s">
        <v>4</v>
      </c>
      <c r="D83" s="24">
        <f t="shared" si="61"/>
        <v>435.15</v>
      </c>
      <c r="E83" s="22">
        <f>30900/1000</f>
        <v>30.9</v>
      </c>
      <c r="F83" s="22">
        <f>30900/1000</f>
        <v>30.9</v>
      </c>
      <c r="G83" s="22">
        <f>36000/1000</f>
        <v>36</v>
      </c>
      <c r="H83" s="22">
        <f t="shared" si="62"/>
        <v>97.8</v>
      </c>
      <c r="I83" s="22">
        <f>32000/1000</f>
        <v>32</v>
      </c>
      <c r="J83" s="22">
        <f>26500/1000</f>
        <v>26.5</v>
      </c>
      <c r="K83" s="22">
        <f>31100/1000</f>
        <v>31.1</v>
      </c>
      <c r="L83" s="22">
        <f t="shared" si="63"/>
        <v>89.6</v>
      </c>
      <c r="M83" s="22">
        <f>31800/1000</f>
        <v>31.8</v>
      </c>
      <c r="N83" s="22">
        <f>29600/1000</f>
        <v>29.6</v>
      </c>
      <c r="O83" s="22">
        <f>27250/1000</f>
        <v>27.25</v>
      </c>
      <c r="P83" s="22">
        <f t="shared" si="64"/>
        <v>88.65</v>
      </c>
      <c r="Q83" s="22">
        <f>78200/1000</f>
        <v>78.2</v>
      </c>
      <c r="R83" s="22">
        <f>52600/1000</f>
        <v>52.6</v>
      </c>
      <c r="S83" s="22">
        <f>28300/1000</f>
        <v>28.3</v>
      </c>
      <c r="T83" s="22">
        <f t="shared" si="65"/>
        <v>159.10000000000002</v>
      </c>
    </row>
    <row r="84" spans="1:20" x14ac:dyDescent="0.35">
      <c r="A84" s="2">
        <v>23</v>
      </c>
      <c r="B84" s="121" t="s">
        <v>153</v>
      </c>
      <c r="C84" s="4" t="s">
        <v>4</v>
      </c>
      <c r="D84" s="24">
        <f t="shared" si="61"/>
        <v>0</v>
      </c>
      <c r="E84" s="22">
        <v>0</v>
      </c>
      <c r="F84" s="22">
        <v>0</v>
      </c>
      <c r="G84" s="22">
        <v>0</v>
      </c>
      <c r="H84" s="22">
        <f t="shared" si="62"/>
        <v>0</v>
      </c>
      <c r="I84" s="22">
        <v>0</v>
      </c>
      <c r="J84" s="22"/>
      <c r="K84" s="22">
        <v>0</v>
      </c>
      <c r="L84" s="22">
        <f t="shared" si="63"/>
        <v>0</v>
      </c>
      <c r="M84" s="22">
        <v>0</v>
      </c>
      <c r="N84" s="22">
        <v>0</v>
      </c>
      <c r="O84" s="22">
        <v>0</v>
      </c>
      <c r="P84" s="22">
        <f t="shared" si="64"/>
        <v>0</v>
      </c>
      <c r="Q84" s="22">
        <v>0</v>
      </c>
      <c r="R84" s="22">
        <v>0</v>
      </c>
      <c r="S84" s="22">
        <v>0</v>
      </c>
      <c r="T84" s="22">
        <f t="shared" si="65"/>
        <v>0</v>
      </c>
    </row>
    <row r="85" spans="1:20" x14ac:dyDescent="0.35">
      <c r="A85" s="2">
        <v>24</v>
      </c>
      <c r="B85" s="121" t="s">
        <v>154</v>
      </c>
      <c r="C85" s="4" t="s">
        <v>4</v>
      </c>
      <c r="D85" s="24">
        <f t="shared" si="61"/>
        <v>0</v>
      </c>
      <c r="E85" s="22">
        <v>0</v>
      </c>
      <c r="F85" s="22">
        <v>0</v>
      </c>
      <c r="G85" s="22">
        <v>0</v>
      </c>
      <c r="H85" s="22">
        <f t="shared" si="62"/>
        <v>0</v>
      </c>
      <c r="I85" s="22">
        <v>0</v>
      </c>
      <c r="J85" s="22">
        <v>0</v>
      </c>
      <c r="K85" s="22">
        <v>0</v>
      </c>
      <c r="L85" s="22">
        <f t="shared" si="63"/>
        <v>0</v>
      </c>
      <c r="M85" s="22">
        <v>0</v>
      </c>
      <c r="N85" s="22">
        <v>0</v>
      </c>
      <c r="O85" s="22">
        <v>0</v>
      </c>
      <c r="P85" s="22">
        <f t="shared" si="64"/>
        <v>0</v>
      </c>
      <c r="Q85" s="22">
        <v>0</v>
      </c>
      <c r="R85" s="22">
        <v>0</v>
      </c>
      <c r="S85" s="22">
        <v>0</v>
      </c>
      <c r="T85" s="22">
        <f t="shared" si="65"/>
        <v>0</v>
      </c>
    </row>
    <row r="86" spans="1:20" x14ac:dyDescent="0.35">
      <c r="A86" s="2">
        <v>25</v>
      </c>
      <c r="B86" s="121" t="s">
        <v>155</v>
      </c>
      <c r="C86" s="4" t="s">
        <v>4</v>
      </c>
      <c r="D86" s="24">
        <f t="shared" si="61"/>
        <v>59.275000000000006</v>
      </c>
      <c r="E86" s="22">
        <f>3875/1000</f>
        <v>3.875</v>
      </c>
      <c r="F86" s="22">
        <f>3500/1000</f>
        <v>3.5</v>
      </c>
      <c r="G86" s="22">
        <f>3900/1000</f>
        <v>3.9</v>
      </c>
      <c r="H86" s="22">
        <f t="shared" si="62"/>
        <v>11.275</v>
      </c>
      <c r="I86" s="22">
        <f>4500/1000</f>
        <v>4.5</v>
      </c>
      <c r="J86" s="22">
        <f>1005/1000</f>
        <v>1.0049999999999999</v>
      </c>
      <c r="K86" s="22">
        <f>4965/1000</f>
        <v>4.9649999999999999</v>
      </c>
      <c r="L86" s="22">
        <f t="shared" si="63"/>
        <v>10.469999999999999</v>
      </c>
      <c r="M86" s="22">
        <f>4290/1000</f>
        <v>4.29</v>
      </c>
      <c r="N86" s="22">
        <f>4350/1000</f>
        <v>4.3499999999999996</v>
      </c>
      <c r="O86" s="22">
        <f>5940/1000</f>
        <v>5.94</v>
      </c>
      <c r="P86" s="22">
        <f t="shared" si="64"/>
        <v>14.580000000000002</v>
      </c>
      <c r="Q86" s="22">
        <f>7110/1000</f>
        <v>7.11</v>
      </c>
      <c r="R86" s="22">
        <f>8130/1000</f>
        <v>8.1300000000000008</v>
      </c>
      <c r="S86" s="22">
        <f>7710/1000</f>
        <v>7.71</v>
      </c>
      <c r="T86" s="22">
        <f t="shared" si="65"/>
        <v>22.950000000000003</v>
      </c>
    </row>
    <row r="87" spans="1:20" x14ac:dyDescent="0.35">
      <c r="A87" s="2">
        <v>26</v>
      </c>
      <c r="B87" s="121" t="s">
        <v>156</v>
      </c>
      <c r="C87" s="4" t="s">
        <v>4</v>
      </c>
      <c r="D87" s="24">
        <f t="shared" si="61"/>
        <v>760127.18599999999</v>
      </c>
      <c r="E87" s="22">
        <f>46900824/1000</f>
        <v>46900.824000000001</v>
      </c>
      <c r="F87" s="22">
        <f>50680043/1000</f>
        <v>50680.042999999998</v>
      </c>
      <c r="G87" s="22">
        <f>57586433/1000</f>
        <v>57586.432999999997</v>
      </c>
      <c r="H87" s="22">
        <f t="shared" si="62"/>
        <v>155167.29999999999</v>
      </c>
      <c r="I87" s="22">
        <f>55636810/1000</f>
        <v>55636.81</v>
      </c>
      <c r="J87" s="22">
        <f>56514254/1000</f>
        <v>56514.254000000001</v>
      </c>
      <c r="K87" s="22">
        <f>55872220/1000</f>
        <v>55872.22</v>
      </c>
      <c r="L87" s="22">
        <f t="shared" si="63"/>
        <v>168023.28399999999</v>
      </c>
      <c r="M87" s="22">
        <f>73975764/1000</f>
        <v>73975.763999999996</v>
      </c>
      <c r="N87" s="22">
        <f>70455687/1000</f>
        <v>70455.687000000005</v>
      </c>
      <c r="O87" s="22">
        <f>78565551/1000</f>
        <v>78565.551000000007</v>
      </c>
      <c r="P87" s="22">
        <f t="shared" si="64"/>
        <v>222997.00200000001</v>
      </c>
      <c r="Q87" s="22">
        <f>66755870/1000</f>
        <v>66755.87</v>
      </c>
      <c r="R87" s="22">
        <f>70484650/1000</f>
        <v>70484.649999999994</v>
      </c>
      <c r="S87" s="22">
        <f>76699080/1000</f>
        <v>76699.08</v>
      </c>
      <c r="T87" s="22">
        <f t="shared" si="65"/>
        <v>213939.59999999998</v>
      </c>
    </row>
    <row r="88" spans="1:20" x14ac:dyDescent="0.35">
      <c r="A88" s="2">
        <v>27</v>
      </c>
      <c r="B88" s="121" t="s">
        <v>157</v>
      </c>
      <c r="C88" s="4" t="s">
        <v>4</v>
      </c>
      <c r="D88" s="24">
        <f t="shared" si="61"/>
        <v>2.0089999999999999</v>
      </c>
      <c r="E88" s="22">
        <f>220/1000</f>
        <v>0.22</v>
      </c>
      <c r="F88" s="22">
        <f>226/1000</f>
        <v>0.22600000000000001</v>
      </c>
      <c r="G88" s="22">
        <f>232/1000</f>
        <v>0.23200000000000001</v>
      </c>
      <c r="H88" s="22">
        <f t="shared" si="62"/>
        <v>0.67800000000000005</v>
      </c>
      <c r="I88" s="22">
        <f>197/1000</f>
        <v>0.19700000000000001</v>
      </c>
      <c r="J88" s="22">
        <f>180/1000</f>
        <v>0.18</v>
      </c>
      <c r="K88" s="22">
        <f>64/1000</f>
        <v>6.4000000000000001E-2</v>
      </c>
      <c r="L88" s="22">
        <f t="shared" si="63"/>
        <v>0.441</v>
      </c>
      <c r="M88" s="22">
        <f>72/1000</f>
        <v>7.1999999999999995E-2</v>
      </c>
      <c r="N88" s="22">
        <f>325/1000</f>
        <v>0.32500000000000001</v>
      </c>
      <c r="O88" s="22">
        <f>308/1000</f>
        <v>0.308</v>
      </c>
      <c r="P88" s="22">
        <f t="shared" si="64"/>
        <v>0.70500000000000007</v>
      </c>
      <c r="Q88" s="22">
        <f>68/1000</f>
        <v>6.8000000000000005E-2</v>
      </c>
      <c r="R88" s="22">
        <f>55/1000</f>
        <v>5.5E-2</v>
      </c>
      <c r="S88" s="22">
        <f>62/1000</f>
        <v>6.2E-2</v>
      </c>
      <c r="T88" s="22">
        <f t="shared" si="65"/>
        <v>0.185</v>
      </c>
    </row>
    <row r="89" spans="1:20" x14ac:dyDescent="0.35">
      <c r="A89" s="2">
        <v>28</v>
      </c>
      <c r="B89" s="121" t="s">
        <v>158</v>
      </c>
      <c r="C89" s="4" t="s">
        <v>4</v>
      </c>
      <c r="D89" s="24">
        <f t="shared" si="61"/>
        <v>2.6</v>
      </c>
      <c r="E89" s="22">
        <v>0</v>
      </c>
      <c r="F89" s="22">
        <f>280/1000</f>
        <v>0.28000000000000003</v>
      </c>
      <c r="G89" s="22">
        <v>0</v>
      </c>
      <c r="H89" s="22">
        <f t="shared" si="62"/>
        <v>0.28000000000000003</v>
      </c>
      <c r="I89" s="22">
        <v>0</v>
      </c>
      <c r="J89" s="22">
        <f>500/1000</f>
        <v>0.5</v>
      </c>
      <c r="K89" s="22">
        <v>0</v>
      </c>
      <c r="L89" s="22">
        <f t="shared" si="63"/>
        <v>0.5</v>
      </c>
      <c r="M89" s="22">
        <v>0</v>
      </c>
      <c r="N89" s="22">
        <v>0</v>
      </c>
      <c r="O89" s="22">
        <f>570/1000</f>
        <v>0.56999999999999995</v>
      </c>
      <c r="P89" s="22">
        <f t="shared" si="64"/>
        <v>0.56999999999999995</v>
      </c>
      <c r="Q89" s="22">
        <v>0</v>
      </c>
      <c r="R89" s="22">
        <f>600/1000</f>
        <v>0.6</v>
      </c>
      <c r="S89" s="22">
        <f>650/1000</f>
        <v>0.65</v>
      </c>
      <c r="T89" s="22">
        <f t="shared" si="65"/>
        <v>1.25</v>
      </c>
    </row>
    <row r="90" spans="1:20" x14ac:dyDescent="0.35">
      <c r="A90" s="2">
        <v>29</v>
      </c>
      <c r="B90" s="121" t="s">
        <v>159</v>
      </c>
      <c r="C90" s="4" t="s">
        <v>4</v>
      </c>
      <c r="D90" s="24">
        <f t="shared" si="61"/>
        <v>0</v>
      </c>
      <c r="E90" s="22">
        <v>0</v>
      </c>
      <c r="F90" s="22">
        <v>0</v>
      </c>
      <c r="G90" s="22">
        <v>0</v>
      </c>
      <c r="H90" s="22">
        <f t="shared" si="62"/>
        <v>0</v>
      </c>
      <c r="I90" s="22">
        <v>0</v>
      </c>
      <c r="J90" s="22">
        <v>0</v>
      </c>
      <c r="K90" s="22">
        <v>0</v>
      </c>
      <c r="L90" s="22">
        <f t="shared" si="63"/>
        <v>0</v>
      </c>
      <c r="M90" s="22">
        <v>0</v>
      </c>
      <c r="N90" s="22">
        <v>0</v>
      </c>
      <c r="O90" s="22">
        <v>0</v>
      </c>
      <c r="P90" s="22">
        <f t="shared" si="64"/>
        <v>0</v>
      </c>
      <c r="Q90" s="22">
        <v>0</v>
      </c>
      <c r="R90" s="22">
        <v>0</v>
      </c>
      <c r="S90" s="22">
        <v>0</v>
      </c>
      <c r="T90" s="22">
        <f t="shared" si="65"/>
        <v>0</v>
      </c>
    </row>
    <row r="91" spans="1:20" x14ac:dyDescent="0.35">
      <c r="A91" s="2">
        <v>30</v>
      </c>
      <c r="B91" s="121" t="s">
        <v>160</v>
      </c>
      <c r="C91" s="4" t="s">
        <v>4</v>
      </c>
      <c r="D91" s="24">
        <f t="shared" si="61"/>
        <v>0</v>
      </c>
      <c r="E91" s="22">
        <v>0</v>
      </c>
      <c r="F91" s="22">
        <v>0</v>
      </c>
      <c r="G91" s="22">
        <v>0</v>
      </c>
      <c r="H91" s="22">
        <f t="shared" si="62"/>
        <v>0</v>
      </c>
      <c r="I91" s="22">
        <v>0</v>
      </c>
      <c r="J91" s="22">
        <v>0</v>
      </c>
      <c r="K91" s="22">
        <v>0</v>
      </c>
      <c r="L91" s="22">
        <f t="shared" si="63"/>
        <v>0</v>
      </c>
      <c r="M91" s="22">
        <v>0</v>
      </c>
      <c r="N91" s="22">
        <v>0</v>
      </c>
      <c r="O91" s="22">
        <v>0</v>
      </c>
      <c r="P91" s="22">
        <f t="shared" si="64"/>
        <v>0</v>
      </c>
      <c r="Q91" s="22">
        <v>0</v>
      </c>
      <c r="R91" s="22">
        <v>0</v>
      </c>
      <c r="S91" s="22">
        <v>0</v>
      </c>
      <c r="T91" s="22">
        <f t="shared" si="65"/>
        <v>0</v>
      </c>
    </row>
    <row r="92" spans="1:20" x14ac:dyDescent="0.35">
      <c r="A92" s="2">
        <v>31</v>
      </c>
      <c r="B92" s="121" t="s">
        <v>161</v>
      </c>
      <c r="C92" s="4" t="s">
        <v>4</v>
      </c>
      <c r="D92" s="24">
        <f t="shared" si="61"/>
        <v>0</v>
      </c>
      <c r="E92" s="22">
        <v>0</v>
      </c>
      <c r="F92" s="22">
        <v>0</v>
      </c>
      <c r="G92" s="22">
        <v>0</v>
      </c>
      <c r="H92" s="22">
        <f t="shared" si="62"/>
        <v>0</v>
      </c>
      <c r="I92" s="22">
        <v>0</v>
      </c>
      <c r="J92" s="22">
        <v>0</v>
      </c>
      <c r="K92" s="22">
        <v>0</v>
      </c>
      <c r="L92" s="22">
        <f t="shared" si="63"/>
        <v>0</v>
      </c>
      <c r="M92" s="22">
        <v>0</v>
      </c>
      <c r="N92" s="22">
        <v>0</v>
      </c>
      <c r="O92" s="22">
        <v>0</v>
      </c>
      <c r="P92" s="22">
        <f t="shared" si="64"/>
        <v>0</v>
      </c>
      <c r="Q92" s="22">
        <v>0</v>
      </c>
      <c r="R92" s="22">
        <v>0</v>
      </c>
      <c r="S92" s="22">
        <v>0</v>
      </c>
      <c r="T92" s="22">
        <f t="shared" si="65"/>
        <v>0</v>
      </c>
    </row>
    <row r="93" spans="1:20" x14ac:dyDescent="0.35">
      <c r="A93" s="2">
        <v>32</v>
      </c>
      <c r="B93" s="121" t="s">
        <v>162</v>
      </c>
      <c r="C93" s="4" t="s">
        <v>4</v>
      </c>
      <c r="D93" s="24">
        <f t="shared" si="61"/>
        <v>0</v>
      </c>
      <c r="E93" s="22">
        <v>0</v>
      </c>
      <c r="F93" s="22">
        <v>0</v>
      </c>
      <c r="G93" s="22">
        <v>0</v>
      </c>
      <c r="H93" s="22">
        <f t="shared" si="62"/>
        <v>0</v>
      </c>
      <c r="I93" s="22">
        <v>0</v>
      </c>
      <c r="J93" s="22">
        <v>0</v>
      </c>
      <c r="K93" s="22">
        <v>0</v>
      </c>
      <c r="L93" s="22">
        <f t="shared" si="63"/>
        <v>0</v>
      </c>
      <c r="M93" s="22">
        <v>0</v>
      </c>
      <c r="N93" s="22">
        <v>0</v>
      </c>
      <c r="O93" s="22">
        <v>0</v>
      </c>
      <c r="P93" s="22">
        <f t="shared" si="64"/>
        <v>0</v>
      </c>
      <c r="Q93" s="22">
        <v>0</v>
      </c>
      <c r="R93" s="22">
        <v>0</v>
      </c>
      <c r="S93" s="22">
        <v>0</v>
      </c>
      <c r="T93" s="22">
        <f t="shared" si="65"/>
        <v>0</v>
      </c>
    </row>
    <row r="94" spans="1:20" x14ac:dyDescent="0.35">
      <c r="A94" s="2">
        <v>33</v>
      </c>
      <c r="B94" s="121" t="s">
        <v>163</v>
      </c>
      <c r="C94" s="4" t="s">
        <v>4</v>
      </c>
      <c r="D94" s="24">
        <f t="shared" si="61"/>
        <v>0</v>
      </c>
      <c r="E94" s="22">
        <v>0</v>
      </c>
      <c r="F94" s="22">
        <v>0</v>
      </c>
      <c r="G94" s="22">
        <v>0</v>
      </c>
      <c r="H94" s="22">
        <f t="shared" si="62"/>
        <v>0</v>
      </c>
      <c r="I94" s="22">
        <v>0</v>
      </c>
      <c r="J94" s="22">
        <v>0</v>
      </c>
      <c r="K94" s="22">
        <v>0</v>
      </c>
      <c r="L94" s="22">
        <f t="shared" si="63"/>
        <v>0</v>
      </c>
      <c r="M94" s="22">
        <v>0</v>
      </c>
      <c r="N94" s="22">
        <v>0</v>
      </c>
      <c r="O94" s="22">
        <v>0</v>
      </c>
      <c r="P94" s="22">
        <f t="shared" si="64"/>
        <v>0</v>
      </c>
      <c r="Q94" s="22">
        <v>0</v>
      </c>
      <c r="R94" s="22">
        <v>0</v>
      </c>
      <c r="S94" s="22">
        <v>0</v>
      </c>
      <c r="T94" s="22">
        <f t="shared" si="65"/>
        <v>0</v>
      </c>
    </row>
    <row r="95" spans="1:20" x14ac:dyDescent="0.35">
      <c r="A95" s="2">
        <v>34</v>
      </c>
      <c r="B95" s="121" t="s">
        <v>164</v>
      </c>
      <c r="C95" s="4" t="s">
        <v>4</v>
      </c>
      <c r="D95" s="24">
        <f t="shared" si="61"/>
        <v>0</v>
      </c>
      <c r="E95" s="22">
        <v>0</v>
      </c>
      <c r="F95" s="22">
        <v>0</v>
      </c>
      <c r="G95" s="22">
        <v>0</v>
      </c>
      <c r="H95" s="22">
        <f t="shared" si="62"/>
        <v>0</v>
      </c>
      <c r="I95" s="22">
        <v>0</v>
      </c>
      <c r="J95" s="22">
        <v>0</v>
      </c>
      <c r="K95" s="22">
        <v>0</v>
      </c>
      <c r="L95" s="22">
        <f t="shared" si="63"/>
        <v>0</v>
      </c>
      <c r="M95" s="22">
        <v>0</v>
      </c>
      <c r="N95" s="22">
        <v>0</v>
      </c>
      <c r="O95" s="22">
        <v>0</v>
      </c>
      <c r="P95" s="22">
        <f t="shared" si="64"/>
        <v>0</v>
      </c>
      <c r="Q95" s="22">
        <v>0</v>
      </c>
      <c r="R95" s="22">
        <v>0</v>
      </c>
      <c r="S95" s="22">
        <v>0</v>
      </c>
      <c r="T95" s="22">
        <f t="shared" si="65"/>
        <v>0</v>
      </c>
    </row>
    <row r="96" spans="1:20" x14ac:dyDescent="0.35">
      <c r="A96" s="2">
        <v>35</v>
      </c>
      <c r="B96" s="121" t="s">
        <v>165</v>
      </c>
      <c r="C96" s="4" t="s">
        <v>4</v>
      </c>
      <c r="D96" s="24">
        <f t="shared" si="61"/>
        <v>0</v>
      </c>
      <c r="E96" s="22">
        <v>0</v>
      </c>
      <c r="F96" s="22">
        <v>0</v>
      </c>
      <c r="G96" s="22">
        <v>0</v>
      </c>
      <c r="H96" s="22">
        <f t="shared" si="62"/>
        <v>0</v>
      </c>
      <c r="I96" s="22">
        <v>0</v>
      </c>
      <c r="J96" s="22">
        <v>0</v>
      </c>
      <c r="K96" s="22">
        <v>0</v>
      </c>
      <c r="L96" s="22">
        <f t="shared" si="63"/>
        <v>0</v>
      </c>
      <c r="M96" s="22">
        <v>0</v>
      </c>
      <c r="N96" s="22">
        <v>0</v>
      </c>
      <c r="O96" s="22">
        <v>0</v>
      </c>
      <c r="P96" s="22">
        <f t="shared" si="64"/>
        <v>0</v>
      </c>
      <c r="Q96" s="22">
        <v>0</v>
      </c>
      <c r="R96" s="22">
        <v>0</v>
      </c>
      <c r="S96" s="22">
        <v>0</v>
      </c>
      <c r="T96" s="22">
        <f t="shared" si="65"/>
        <v>0</v>
      </c>
    </row>
    <row r="97" spans="1:20" x14ac:dyDescent="0.35">
      <c r="A97" s="2">
        <v>36</v>
      </c>
      <c r="B97" s="121" t="s">
        <v>166</v>
      </c>
      <c r="C97" s="4" t="s">
        <v>4</v>
      </c>
      <c r="D97" s="24">
        <f t="shared" si="61"/>
        <v>0</v>
      </c>
      <c r="E97" s="22">
        <v>0</v>
      </c>
      <c r="F97" s="22">
        <v>0</v>
      </c>
      <c r="G97" s="22">
        <v>0</v>
      </c>
      <c r="H97" s="22">
        <f t="shared" si="62"/>
        <v>0</v>
      </c>
      <c r="I97" s="22">
        <v>0</v>
      </c>
      <c r="J97" s="22">
        <v>0</v>
      </c>
      <c r="K97" s="22">
        <v>0</v>
      </c>
      <c r="L97" s="22">
        <f t="shared" si="63"/>
        <v>0</v>
      </c>
      <c r="M97" s="22">
        <v>0</v>
      </c>
      <c r="N97" s="22">
        <v>0</v>
      </c>
      <c r="O97" s="22">
        <v>0</v>
      </c>
      <c r="P97" s="22">
        <f t="shared" si="64"/>
        <v>0</v>
      </c>
      <c r="Q97" s="22">
        <v>0</v>
      </c>
      <c r="R97" s="22">
        <v>0</v>
      </c>
      <c r="S97" s="22">
        <v>0</v>
      </c>
      <c r="T97" s="22">
        <f t="shared" si="65"/>
        <v>0</v>
      </c>
    </row>
    <row r="98" spans="1:20" x14ac:dyDescent="0.35">
      <c r="A98" s="2">
        <v>37</v>
      </c>
      <c r="B98" s="121" t="s">
        <v>167</v>
      </c>
      <c r="C98" s="4" t="s">
        <v>4</v>
      </c>
      <c r="D98" s="24">
        <f t="shared" si="61"/>
        <v>0</v>
      </c>
      <c r="E98" s="22">
        <v>0</v>
      </c>
      <c r="F98" s="22">
        <v>0</v>
      </c>
      <c r="G98" s="22">
        <v>0</v>
      </c>
      <c r="H98" s="22">
        <f t="shared" si="62"/>
        <v>0</v>
      </c>
      <c r="I98" s="22">
        <v>0</v>
      </c>
      <c r="J98" s="22">
        <v>0</v>
      </c>
      <c r="K98" s="22">
        <v>0</v>
      </c>
      <c r="L98" s="22">
        <f t="shared" si="63"/>
        <v>0</v>
      </c>
      <c r="M98" s="22">
        <v>0</v>
      </c>
      <c r="N98" s="22">
        <v>0</v>
      </c>
      <c r="O98" s="22">
        <v>0</v>
      </c>
      <c r="P98" s="22">
        <f t="shared" si="64"/>
        <v>0</v>
      </c>
      <c r="Q98" s="22">
        <v>0</v>
      </c>
      <c r="R98" s="22">
        <v>0</v>
      </c>
      <c r="S98" s="22">
        <v>0</v>
      </c>
      <c r="T98" s="22">
        <f t="shared" si="65"/>
        <v>0</v>
      </c>
    </row>
    <row r="99" spans="1:20" x14ac:dyDescent="0.35">
      <c r="A99" s="2">
        <v>38</v>
      </c>
      <c r="B99" s="121" t="s">
        <v>168</v>
      </c>
      <c r="C99" s="4" t="s">
        <v>4</v>
      </c>
      <c r="D99" s="24">
        <f t="shared" si="61"/>
        <v>0</v>
      </c>
      <c r="E99" s="22">
        <v>0</v>
      </c>
      <c r="F99" s="22">
        <v>0</v>
      </c>
      <c r="G99" s="22">
        <v>0</v>
      </c>
      <c r="H99" s="22">
        <f t="shared" si="62"/>
        <v>0</v>
      </c>
      <c r="I99" s="22">
        <v>0</v>
      </c>
      <c r="J99" s="22">
        <v>0</v>
      </c>
      <c r="K99" s="22">
        <v>0</v>
      </c>
      <c r="L99" s="22">
        <f t="shared" si="63"/>
        <v>0</v>
      </c>
      <c r="M99" s="22">
        <v>0</v>
      </c>
      <c r="N99" s="22">
        <v>0</v>
      </c>
      <c r="O99" s="22">
        <v>0</v>
      </c>
      <c r="P99" s="22">
        <f t="shared" si="64"/>
        <v>0</v>
      </c>
      <c r="Q99" s="22">
        <v>0</v>
      </c>
      <c r="R99" s="22">
        <v>0</v>
      </c>
      <c r="S99" s="22">
        <v>0</v>
      </c>
      <c r="T99" s="22">
        <f t="shared" si="65"/>
        <v>0</v>
      </c>
    </row>
    <row r="102" spans="1:20" x14ac:dyDescent="0.35">
      <c r="A102" s="1" t="s">
        <v>60</v>
      </c>
    </row>
    <row r="103" spans="1:20" ht="15.5" x14ac:dyDescent="0.35">
      <c r="A103" s="10" t="s">
        <v>0</v>
      </c>
      <c r="B103" s="10" t="s">
        <v>1</v>
      </c>
      <c r="C103" s="10" t="s">
        <v>2</v>
      </c>
      <c r="D103" s="31" t="s">
        <v>67</v>
      </c>
      <c r="E103" s="27" t="s">
        <v>113</v>
      </c>
      <c r="F103" s="11" t="s">
        <v>114</v>
      </c>
      <c r="G103" s="11" t="s">
        <v>115</v>
      </c>
      <c r="H103" s="28" t="s">
        <v>27</v>
      </c>
      <c r="I103" s="11" t="s">
        <v>55</v>
      </c>
      <c r="J103" s="11" t="s">
        <v>116</v>
      </c>
      <c r="K103" s="11" t="s">
        <v>117</v>
      </c>
      <c r="L103" s="15" t="s">
        <v>54</v>
      </c>
      <c r="M103" s="11" t="s">
        <v>118</v>
      </c>
      <c r="N103" s="11" t="s">
        <v>119</v>
      </c>
      <c r="O103" s="11" t="s">
        <v>56</v>
      </c>
      <c r="P103" s="15" t="s">
        <v>57</v>
      </c>
      <c r="Q103" s="11" t="s">
        <v>120</v>
      </c>
      <c r="R103" s="11" t="s">
        <v>58</v>
      </c>
      <c r="S103" s="11" t="s">
        <v>121</v>
      </c>
      <c r="T103" s="15" t="s">
        <v>59</v>
      </c>
    </row>
    <row r="104" spans="1:20" ht="15.5" x14ac:dyDescent="0.35">
      <c r="A104" s="12"/>
      <c r="B104" s="12"/>
      <c r="C104" s="12"/>
      <c r="D104" s="32"/>
      <c r="E104" s="29"/>
      <c r="F104" s="13"/>
      <c r="G104" s="13"/>
      <c r="H104" s="29"/>
      <c r="I104" s="13"/>
      <c r="J104" s="13"/>
      <c r="K104" s="13"/>
      <c r="L104" s="9"/>
      <c r="M104" s="13"/>
      <c r="N104" s="13"/>
      <c r="O104" s="13"/>
      <c r="P104" s="9"/>
      <c r="Q104" s="13"/>
      <c r="R104" s="13"/>
      <c r="S104" s="13"/>
      <c r="T104" s="9"/>
    </row>
    <row r="105" spans="1:20" s="26" customFormat="1" x14ac:dyDescent="0.35">
      <c r="A105" s="45"/>
      <c r="B105" s="33" t="s">
        <v>26</v>
      </c>
      <c r="C105" s="33" t="s">
        <v>4</v>
      </c>
      <c r="D105" s="33">
        <f>SUM(D106:D143)</f>
        <v>282359.63146421692</v>
      </c>
      <c r="E105" s="84">
        <f>SUM(E106:E143)</f>
        <v>22313.374026231231</v>
      </c>
      <c r="F105" s="84">
        <f>SUM(F106:F143)</f>
        <v>23749.563080495813</v>
      </c>
      <c r="G105" s="84">
        <f>SUM(G106:G143)</f>
        <v>25210.44540049589</v>
      </c>
      <c r="H105" s="84">
        <f>SUM(E105:G105)</f>
        <v>71273.382507222937</v>
      </c>
      <c r="I105" s="84">
        <f>SUM(I106:I143)</f>
        <v>23327.004750470565</v>
      </c>
      <c r="J105" s="84">
        <f>SUM(J106:J143)</f>
        <v>21858.863275754498</v>
      </c>
      <c r="K105" s="84">
        <f>SUM(K106:K143)</f>
        <v>22177.339996724524</v>
      </c>
      <c r="L105" s="84">
        <f t="shared" ref="L105" si="66">SUM(I105:K105)</f>
        <v>67363.208022949591</v>
      </c>
      <c r="M105" s="84">
        <f>SUM(M106:M143)</f>
        <v>22574.998272451896</v>
      </c>
      <c r="N105" s="84">
        <f>SUM(N106:N143)</f>
        <v>25552.928435611266</v>
      </c>
      <c r="O105" s="84">
        <f t="shared" ref="O105" si="67">SUM(O106:O143)</f>
        <v>26363.971231384527</v>
      </c>
      <c r="P105" s="84">
        <f t="shared" ref="P105" si="68">SUM(M105:O105)</f>
        <v>74491.897939447692</v>
      </c>
      <c r="Q105" s="84">
        <f>SUM(Q106:Q143)</f>
        <v>22767.893175032485</v>
      </c>
      <c r="R105" s="84">
        <f t="shared" ref="R105:S105" si="69">SUM(R106:R143)</f>
        <v>21933.068294061301</v>
      </c>
      <c r="S105" s="84">
        <f t="shared" si="69"/>
        <v>24530.181525502885</v>
      </c>
      <c r="T105" s="84">
        <f t="shared" ref="T105" si="70">SUM(Q105:S105)</f>
        <v>69231.142994596681</v>
      </c>
    </row>
    <row r="106" spans="1:20" x14ac:dyDescent="0.35">
      <c r="A106" s="2">
        <v>1</v>
      </c>
      <c r="B106" s="121" t="s">
        <v>131</v>
      </c>
      <c r="C106" s="24" t="s">
        <v>4</v>
      </c>
      <c r="D106" s="24">
        <f>SUM(H106,L106,P106,T106)</f>
        <v>14223.257000000001</v>
      </c>
      <c r="E106" s="22">
        <f>1499605/1000</f>
        <v>1499.605</v>
      </c>
      <c r="F106" s="22">
        <f>1519847/1000</f>
        <v>1519.847</v>
      </c>
      <c r="G106" s="22">
        <f>1596050/1000</f>
        <v>1596.05</v>
      </c>
      <c r="H106" s="22">
        <f>SUM(E106:G106)</f>
        <v>4615.5020000000004</v>
      </c>
      <c r="I106" s="22">
        <f>685250/1000</f>
        <v>685.25</v>
      </c>
      <c r="J106" s="22">
        <f>620085/1000</f>
        <v>620.08500000000004</v>
      </c>
      <c r="K106" s="22">
        <f>590600/1000</f>
        <v>590.6</v>
      </c>
      <c r="L106" s="22">
        <f>SUM(I106:K106)</f>
        <v>1895.9349999999999</v>
      </c>
      <c r="M106" s="22">
        <f>553320/1000</f>
        <v>553.32000000000005</v>
      </c>
      <c r="N106" s="22">
        <f>548500/1000</f>
        <v>548.5</v>
      </c>
      <c r="O106" s="22">
        <f>515900/1000</f>
        <v>515.9</v>
      </c>
      <c r="P106" s="22">
        <f>SUM(M106:O106)</f>
        <v>1617.7200000000003</v>
      </c>
      <c r="Q106" s="22">
        <f>1337700/1000</f>
        <v>1337.7</v>
      </c>
      <c r="R106" s="22">
        <f>1870400/1000</f>
        <v>1870.4</v>
      </c>
      <c r="S106" s="22">
        <f>2886000/1000</f>
        <v>2886</v>
      </c>
      <c r="T106" s="22">
        <f>SUM(Q106:S106)</f>
        <v>6094.1</v>
      </c>
    </row>
    <row r="107" spans="1:20" x14ac:dyDescent="0.35">
      <c r="A107" s="2">
        <f t="shared" ref="A107:A127" si="71">A106+1</f>
        <v>2</v>
      </c>
      <c r="B107" s="121" t="s">
        <v>132</v>
      </c>
      <c r="C107" s="24" t="s">
        <v>4</v>
      </c>
      <c r="D107" s="24">
        <f t="shared" ref="D107:D143" si="72">SUM(H107,L107,P107,T107)</f>
        <v>20072.390000000003</v>
      </c>
      <c r="E107" s="22">
        <f>1543690/1000</f>
        <v>1543.69</v>
      </c>
      <c r="F107" s="22">
        <f>1593845/1000</f>
        <v>1593.845</v>
      </c>
      <c r="G107" s="22">
        <f>1608090/1000</f>
        <v>1608.09</v>
      </c>
      <c r="H107" s="22">
        <f t="shared" ref="H107:H143" si="73">SUM(E107:G107)</f>
        <v>4745.625</v>
      </c>
      <c r="I107" s="22">
        <f>1686755/1000</f>
        <v>1686.7550000000001</v>
      </c>
      <c r="J107" s="22">
        <f>1723220/1000</f>
        <v>1723.22</v>
      </c>
      <c r="K107" s="22">
        <f>1736715/1000</f>
        <v>1736.7149999999999</v>
      </c>
      <c r="L107" s="22">
        <f t="shared" ref="L107:L143" si="74">SUM(I107:K107)</f>
        <v>5146.6900000000005</v>
      </c>
      <c r="M107" s="22">
        <f>1671820/1000</f>
        <v>1671.82</v>
      </c>
      <c r="N107" s="22">
        <f>1677680/1000</f>
        <v>1677.68</v>
      </c>
      <c r="O107" s="22">
        <f>1691140/1000</f>
        <v>1691.14</v>
      </c>
      <c r="P107" s="22">
        <f t="shared" ref="P107:P143" si="75">SUM(M107:O107)</f>
        <v>5040.6400000000003</v>
      </c>
      <c r="Q107" s="22">
        <f>1666265/1000</f>
        <v>1666.2650000000001</v>
      </c>
      <c r="R107" s="22">
        <f>1755495/1000</f>
        <v>1755.4949999999999</v>
      </c>
      <c r="S107" s="22">
        <f>1717675/1000</f>
        <v>1717.675</v>
      </c>
      <c r="T107" s="22">
        <f t="shared" ref="T107:T143" si="76">SUM(Q107:S107)</f>
        <v>5139.4350000000004</v>
      </c>
    </row>
    <row r="108" spans="1:20" x14ac:dyDescent="0.35">
      <c r="A108" s="2">
        <f t="shared" si="71"/>
        <v>3</v>
      </c>
      <c r="B108" s="121" t="s">
        <v>133</v>
      </c>
      <c r="C108" s="24" t="s">
        <v>4</v>
      </c>
      <c r="D108" s="24">
        <f t="shared" si="72"/>
        <v>436.1</v>
      </c>
      <c r="E108" s="22">
        <f>34100/1000</f>
        <v>34.1</v>
      </c>
      <c r="F108" s="26">
        <f>35200/1000</f>
        <v>35.200000000000003</v>
      </c>
      <c r="G108" s="22">
        <f>35700/1000</f>
        <v>35.700000000000003</v>
      </c>
      <c r="H108" s="22">
        <f t="shared" si="73"/>
        <v>105.00000000000001</v>
      </c>
      <c r="I108" s="22">
        <f>36200/1000</f>
        <v>36.200000000000003</v>
      </c>
      <c r="J108" s="22">
        <f>36700/1000</f>
        <v>36.700000000000003</v>
      </c>
      <c r="K108" s="22">
        <f>36100/1000</f>
        <v>36.1</v>
      </c>
      <c r="L108" s="22">
        <f t="shared" si="74"/>
        <v>109</v>
      </c>
      <c r="M108" s="22">
        <f>37900/1000</f>
        <v>37.9</v>
      </c>
      <c r="N108" s="22">
        <f>37200/1000</f>
        <v>37.200000000000003</v>
      </c>
      <c r="O108" s="22">
        <f>37700/1000</f>
        <v>37.700000000000003</v>
      </c>
      <c r="P108" s="22">
        <f t="shared" si="75"/>
        <v>112.8</v>
      </c>
      <c r="Q108" s="22">
        <f>36400/1000</f>
        <v>36.4</v>
      </c>
      <c r="R108" s="22">
        <f>36300/1000</f>
        <v>36.299999999999997</v>
      </c>
      <c r="S108" s="22">
        <f>36600/1000</f>
        <v>36.6</v>
      </c>
      <c r="T108" s="22">
        <f t="shared" si="76"/>
        <v>109.29999999999998</v>
      </c>
    </row>
    <row r="109" spans="1:20" x14ac:dyDescent="0.35">
      <c r="A109" s="2">
        <f t="shared" si="71"/>
        <v>4</v>
      </c>
      <c r="B109" s="121" t="s">
        <v>134</v>
      </c>
      <c r="C109" s="24" t="s">
        <v>4</v>
      </c>
      <c r="D109" s="24">
        <f t="shared" si="72"/>
        <v>0</v>
      </c>
      <c r="E109" s="22">
        <v>0</v>
      </c>
      <c r="F109" s="22">
        <v>0</v>
      </c>
      <c r="G109" s="22">
        <v>0</v>
      </c>
      <c r="H109" s="22">
        <f t="shared" si="73"/>
        <v>0</v>
      </c>
      <c r="I109" s="22">
        <v>0</v>
      </c>
      <c r="J109" s="22">
        <v>0</v>
      </c>
      <c r="K109" s="22">
        <v>0</v>
      </c>
      <c r="L109" s="22">
        <f t="shared" si="74"/>
        <v>0</v>
      </c>
      <c r="M109" s="22">
        <v>0</v>
      </c>
      <c r="N109" s="22">
        <v>0</v>
      </c>
      <c r="O109" s="22">
        <v>0</v>
      </c>
      <c r="P109" s="22">
        <f t="shared" si="75"/>
        <v>0</v>
      </c>
      <c r="Q109" s="22">
        <v>0</v>
      </c>
      <c r="R109" s="22">
        <v>0</v>
      </c>
      <c r="S109" s="22">
        <v>0</v>
      </c>
      <c r="T109" s="22">
        <f t="shared" si="76"/>
        <v>0</v>
      </c>
    </row>
    <row r="110" spans="1:20" x14ac:dyDescent="0.35">
      <c r="A110" s="2">
        <f t="shared" si="71"/>
        <v>5</v>
      </c>
      <c r="B110" s="121" t="s">
        <v>135</v>
      </c>
      <c r="C110" s="24" t="s">
        <v>4</v>
      </c>
      <c r="D110" s="24">
        <f t="shared" si="72"/>
        <v>0</v>
      </c>
      <c r="E110" s="22">
        <v>0</v>
      </c>
      <c r="F110" s="22">
        <v>0</v>
      </c>
      <c r="G110" s="22">
        <v>0</v>
      </c>
      <c r="H110" s="22">
        <f t="shared" si="73"/>
        <v>0</v>
      </c>
      <c r="I110" s="22">
        <v>0</v>
      </c>
      <c r="J110" s="22">
        <v>0</v>
      </c>
      <c r="K110" s="22">
        <v>0</v>
      </c>
      <c r="L110" s="22">
        <f t="shared" si="74"/>
        <v>0</v>
      </c>
      <c r="M110" s="22">
        <v>0</v>
      </c>
      <c r="N110" s="22">
        <v>0</v>
      </c>
      <c r="O110" s="22">
        <v>0</v>
      </c>
      <c r="P110" s="22">
        <f t="shared" si="75"/>
        <v>0</v>
      </c>
      <c r="Q110" s="22">
        <v>0</v>
      </c>
      <c r="R110" s="22">
        <v>0</v>
      </c>
      <c r="S110" s="22">
        <v>0</v>
      </c>
      <c r="T110" s="22">
        <f t="shared" si="76"/>
        <v>0</v>
      </c>
    </row>
    <row r="111" spans="1:20" x14ac:dyDescent="0.35">
      <c r="A111" s="2">
        <f t="shared" si="71"/>
        <v>6</v>
      </c>
      <c r="B111" s="121" t="s">
        <v>136</v>
      </c>
      <c r="C111" s="24" t="s">
        <v>4</v>
      </c>
      <c r="D111" s="24">
        <f t="shared" si="72"/>
        <v>82445.960751360224</v>
      </c>
      <c r="E111" s="22">
        <f>7132948.75623123/1000</f>
        <v>7132.9487562312297</v>
      </c>
      <c r="F111" s="22">
        <f>7147479.59/1000</f>
        <v>7147.4795899999999</v>
      </c>
      <c r="G111" s="22">
        <f>8335551/1000</f>
        <v>8335.5509999999995</v>
      </c>
      <c r="H111" s="22">
        <f t="shared" si="73"/>
        <v>22615.97934623123</v>
      </c>
      <c r="I111" s="22">
        <f>7335629.67/1000</f>
        <v>7335.6296700000003</v>
      </c>
      <c r="J111" s="22">
        <f>6853241.24/1000</f>
        <v>6853.2412400000003</v>
      </c>
      <c r="K111" s="22">
        <f>6698547.86710895/1000</f>
        <v>6698.5478671089504</v>
      </c>
      <c r="L111" s="22">
        <f t="shared" si="74"/>
        <v>20887.418777108953</v>
      </c>
      <c r="M111" s="22">
        <f>6480550.34279819/1000</f>
        <v>6480.5503427981903</v>
      </c>
      <c r="N111" s="22">
        <f>6410932/1000</f>
        <v>6410.9319999999998</v>
      </c>
      <c r="O111" s="22">
        <f>7149253/1000</f>
        <v>7149.2529999999997</v>
      </c>
      <c r="P111" s="22">
        <f t="shared" si="75"/>
        <v>20040.735342798191</v>
      </c>
      <c r="Q111" s="22">
        <f>6567503.80503077/1000</f>
        <v>6567.5038050307694</v>
      </c>
      <c r="R111" s="22">
        <f>6075891.92424915/1000</f>
        <v>6075.8919242491502</v>
      </c>
      <c r="S111" s="22">
        <f>6258431.55594193/1000</f>
        <v>6258.4315559419301</v>
      </c>
      <c r="T111" s="22">
        <f t="shared" si="76"/>
        <v>18901.827285221851</v>
      </c>
    </row>
    <row r="112" spans="1:20" x14ac:dyDescent="0.35">
      <c r="A112" s="2">
        <f t="shared" si="71"/>
        <v>7</v>
      </c>
      <c r="B112" s="121" t="s">
        <v>137</v>
      </c>
      <c r="C112" s="24" t="s">
        <v>4</v>
      </c>
      <c r="D112" s="24">
        <f t="shared" si="72"/>
        <v>3938.0679328566571</v>
      </c>
      <c r="E112" s="22">
        <f>120610/1000</f>
        <v>120.61</v>
      </c>
      <c r="F112" s="22">
        <f>128180.000495817/1000</f>
        <v>128.18000049581701</v>
      </c>
      <c r="G112" s="22">
        <f>119765.000495888/1000</f>
        <v>119.765000495888</v>
      </c>
      <c r="H112" s="22">
        <f t="shared" si="73"/>
        <v>368.55500099170501</v>
      </c>
      <c r="I112" s="22">
        <f>280758.000470562/1000</f>
        <v>280.75800047056202</v>
      </c>
      <c r="J112" s="22">
        <f>326773.9957545/1000</f>
        <v>326.77399575449999</v>
      </c>
      <c r="K112" s="22">
        <f>292310.99961557/1000</f>
        <v>292.31099961556998</v>
      </c>
      <c r="L112" s="22">
        <f t="shared" si="74"/>
        <v>899.84299584063206</v>
      </c>
      <c r="M112" s="22">
        <f>450459.999653703/1000</f>
        <v>450.45999965370299</v>
      </c>
      <c r="N112" s="22">
        <f>455424.965611266/1000</f>
        <v>455.42496561126597</v>
      </c>
      <c r="O112" s="22">
        <f>455424.971384529/1000</f>
        <v>455.42497138452904</v>
      </c>
      <c r="P112" s="22">
        <f t="shared" si="75"/>
        <v>1361.309936649498</v>
      </c>
      <c r="Q112" s="22">
        <f>422800.000001712/1000</f>
        <v>422.80000000171202</v>
      </c>
      <c r="R112" s="22">
        <f>427304.999812152/1000</f>
        <v>427.304999812152</v>
      </c>
      <c r="S112" s="22">
        <f>458254.999560958/1000</f>
        <v>458.25499956095803</v>
      </c>
      <c r="T112" s="22">
        <f t="shared" si="76"/>
        <v>1308.3599993748221</v>
      </c>
    </row>
    <row r="113" spans="1:20" x14ac:dyDescent="0.35">
      <c r="A113" s="2">
        <f t="shared" si="71"/>
        <v>8</v>
      </c>
      <c r="B113" s="121" t="s">
        <v>138</v>
      </c>
      <c r="C113" s="24" t="s">
        <v>4</v>
      </c>
      <c r="D113" s="24">
        <f t="shared" si="72"/>
        <v>0</v>
      </c>
      <c r="E113" s="22">
        <v>0</v>
      </c>
      <c r="F113" s="22">
        <v>0</v>
      </c>
      <c r="G113" s="22">
        <v>0</v>
      </c>
      <c r="H113" s="22">
        <f t="shared" si="73"/>
        <v>0</v>
      </c>
      <c r="I113" s="22">
        <v>0</v>
      </c>
      <c r="J113" s="22">
        <v>0</v>
      </c>
      <c r="K113" s="22">
        <v>0</v>
      </c>
      <c r="L113" s="22">
        <f t="shared" si="74"/>
        <v>0</v>
      </c>
      <c r="M113" s="22">
        <v>0</v>
      </c>
      <c r="N113" s="22">
        <v>0</v>
      </c>
      <c r="O113" s="22">
        <v>0</v>
      </c>
      <c r="P113" s="22">
        <f t="shared" si="75"/>
        <v>0</v>
      </c>
      <c r="Q113" s="22">
        <v>0</v>
      </c>
      <c r="R113" s="22">
        <v>0</v>
      </c>
      <c r="S113" s="22">
        <v>0</v>
      </c>
      <c r="T113" s="22">
        <f t="shared" si="76"/>
        <v>0</v>
      </c>
    </row>
    <row r="114" spans="1:20" x14ac:dyDescent="0.35">
      <c r="A114" s="2">
        <f t="shared" si="71"/>
        <v>9</v>
      </c>
      <c r="B114" s="121" t="s">
        <v>139</v>
      </c>
      <c r="C114" s="24" t="s">
        <v>4</v>
      </c>
      <c r="D114" s="24">
        <f t="shared" si="72"/>
        <v>0</v>
      </c>
      <c r="E114" s="22">
        <v>0</v>
      </c>
      <c r="F114" s="22">
        <v>0</v>
      </c>
      <c r="G114" s="22">
        <v>0</v>
      </c>
      <c r="H114" s="22">
        <f t="shared" si="73"/>
        <v>0</v>
      </c>
      <c r="I114" s="22">
        <v>0</v>
      </c>
      <c r="J114" s="22">
        <v>0</v>
      </c>
      <c r="K114" s="22">
        <v>0</v>
      </c>
      <c r="L114" s="22">
        <f t="shared" si="74"/>
        <v>0</v>
      </c>
      <c r="M114" s="22">
        <v>0</v>
      </c>
      <c r="N114" s="22">
        <v>0</v>
      </c>
      <c r="O114" s="22">
        <v>0</v>
      </c>
      <c r="P114" s="22">
        <f t="shared" si="75"/>
        <v>0</v>
      </c>
      <c r="Q114" s="22">
        <v>0</v>
      </c>
      <c r="R114" s="22">
        <v>0</v>
      </c>
      <c r="S114" s="22">
        <v>0</v>
      </c>
      <c r="T114" s="22">
        <f t="shared" si="76"/>
        <v>0</v>
      </c>
    </row>
    <row r="115" spans="1:20" x14ac:dyDescent="0.35">
      <c r="A115" s="2">
        <f t="shared" si="71"/>
        <v>10</v>
      </c>
      <c r="B115" s="121" t="s">
        <v>140</v>
      </c>
      <c r="C115" s="24" t="s">
        <v>4</v>
      </c>
      <c r="D115" s="24">
        <f t="shared" si="72"/>
        <v>4881.277</v>
      </c>
      <c r="E115" s="22">
        <f>437042/1000</f>
        <v>437.04199999999997</v>
      </c>
      <c r="F115" s="22">
        <f>499479/1000</f>
        <v>499.47899999999998</v>
      </c>
      <c r="G115" s="22">
        <f>312174/1000</f>
        <v>312.17399999999998</v>
      </c>
      <c r="H115" s="22">
        <f t="shared" si="73"/>
        <v>1248.6949999999999</v>
      </c>
      <c r="I115" s="22">
        <f>559417/1000</f>
        <v>559.41700000000003</v>
      </c>
      <c r="J115" s="22">
        <f>543432/1000</f>
        <v>543.43200000000002</v>
      </c>
      <c r="K115" s="22">
        <f>495482/1000</f>
        <v>495.48200000000003</v>
      </c>
      <c r="L115" s="22">
        <f t="shared" si="74"/>
        <v>1598.3310000000001</v>
      </c>
      <c r="M115" s="22">
        <f>331642/1000</f>
        <v>331.642</v>
      </c>
      <c r="N115" s="22">
        <f>316965/1000</f>
        <v>316.96499999999997</v>
      </c>
      <c r="O115" s="22">
        <f>315373/1000</f>
        <v>315.37299999999999</v>
      </c>
      <c r="P115" s="22">
        <f t="shared" si="75"/>
        <v>963.98</v>
      </c>
      <c r="Q115" s="22">
        <f>366414/1000</f>
        <v>366.41399999999999</v>
      </c>
      <c r="R115" s="22">
        <f>341275/1000</f>
        <v>341.27499999999998</v>
      </c>
      <c r="S115" s="22">
        <f>362582/1000</f>
        <v>362.58199999999999</v>
      </c>
      <c r="T115" s="22">
        <f t="shared" si="76"/>
        <v>1070.271</v>
      </c>
    </row>
    <row r="116" spans="1:20" x14ac:dyDescent="0.35">
      <c r="A116" s="2">
        <f t="shared" si="71"/>
        <v>11</v>
      </c>
      <c r="B116" s="121" t="s">
        <v>141</v>
      </c>
      <c r="C116" s="24" t="s">
        <v>4</v>
      </c>
      <c r="D116" s="24">
        <f t="shared" si="72"/>
        <v>1490</v>
      </c>
      <c r="E116" s="22">
        <f>125000/1000</f>
        <v>125</v>
      </c>
      <c r="F116" s="22">
        <f>120000/1000</f>
        <v>120</v>
      </c>
      <c r="G116" s="22">
        <f>140000/1000</f>
        <v>140</v>
      </c>
      <c r="H116" s="22">
        <f t="shared" si="73"/>
        <v>385</v>
      </c>
      <c r="I116" s="22">
        <f>120000/1000</f>
        <v>120</v>
      </c>
      <c r="J116" s="22">
        <f>127000/1000</f>
        <v>127</v>
      </c>
      <c r="K116" s="22">
        <f>123000/1000</f>
        <v>123</v>
      </c>
      <c r="L116" s="22">
        <f t="shared" si="74"/>
        <v>370</v>
      </c>
      <c r="M116" s="22">
        <f>117000/1000</f>
        <v>117</v>
      </c>
      <c r="N116" s="22">
        <f>125000/1000</f>
        <v>125</v>
      </c>
      <c r="O116" s="22">
        <f>118000/1000</f>
        <v>118</v>
      </c>
      <c r="P116" s="22">
        <f t="shared" si="75"/>
        <v>360</v>
      </c>
      <c r="Q116" s="22">
        <f>120000/1000</f>
        <v>120</v>
      </c>
      <c r="R116" s="22">
        <f>115000/1000</f>
        <v>115</v>
      </c>
      <c r="S116" s="22">
        <f>140000/1000</f>
        <v>140</v>
      </c>
      <c r="T116" s="22">
        <f t="shared" si="76"/>
        <v>375</v>
      </c>
    </row>
    <row r="117" spans="1:20" x14ac:dyDescent="0.35">
      <c r="A117" s="2">
        <f t="shared" si="71"/>
        <v>12</v>
      </c>
      <c r="B117" s="121" t="s">
        <v>142</v>
      </c>
      <c r="C117" s="24" t="s">
        <v>4</v>
      </c>
      <c r="D117" s="24">
        <f t="shared" si="72"/>
        <v>0</v>
      </c>
      <c r="E117" s="22">
        <v>0</v>
      </c>
      <c r="F117" s="22">
        <v>0</v>
      </c>
      <c r="G117" s="22">
        <v>0</v>
      </c>
      <c r="H117" s="22">
        <f t="shared" si="73"/>
        <v>0</v>
      </c>
      <c r="I117" s="22">
        <v>0</v>
      </c>
      <c r="J117" s="22">
        <v>0</v>
      </c>
      <c r="K117" s="22">
        <v>0</v>
      </c>
      <c r="L117" s="22">
        <f t="shared" si="74"/>
        <v>0</v>
      </c>
      <c r="M117" s="22">
        <v>0</v>
      </c>
      <c r="N117" s="22">
        <v>0</v>
      </c>
      <c r="O117" s="22">
        <v>0</v>
      </c>
      <c r="P117" s="22">
        <f t="shared" si="75"/>
        <v>0</v>
      </c>
      <c r="Q117" s="22">
        <v>0</v>
      </c>
      <c r="R117" s="22">
        <v>0</v>
      </c>
      <c r="S117" s="22">
        <v>0</v>
      </c>
      <c r="T117" s="22">
        <f t="shared" si="76"/>
        <v>0</v>
      </c>
    </row>
    <row r="118" spans="1:20" x14ac:dyDescent="0.35">
      <c r="A118" s="2">
        <f t="shared" si="71"/>
        <v>13</v>
      </c>
      <c r="B118" s="121" t="s">
        <v>143</v>
      </c>
      <c r="C118" s="24" t="s">
        <v>4</v>
      </c>
      <c r="D118" s="24">
        <f t="shared" si="72"/>
        <v>0</v>
      </c>
      <c r="E118" s="22">
        <v>0</v>
      </c>
      <c r="F118" s="22">
        <v>0</v>
      </c>
      <c r="G118" s="22">
        <v>0</v>
      </c>
      <c r="H118" s="22">
        <f t="shared" si="73"/>
        <v>0</v>
      </c>
      <c r="I118" s="22">
        <v>0</v>
      </c>
      <c r="J118" s="22">
        <v>0</v>
      </c>
      <c r="K118" s="22">
        <v>0</v>
      </c>
      <c r="L118" s="22">
        <f t="shared" si="74"/>
        <v>0</v>
      </c>
      <c r="M118" s="22">
        <v>0</v>
      </c>
      <c r="N118" s="22">
        <v>0</v>
      </c>
      <c r="O118" s="22">
        <v>0</v>
      </c>
      <c r="P118" s="22">
        <f t="shared" si="75"/>
        <v>0</v>
      </c>
      <c r="Q118" s="22">
        <v>0</v>
      </c>
      <c r="R118" s="22">
        <v>0</v>
      </c>
      <c r="S118" s="22">
        <v>0</v>
      </c>
      <c r="T118" s="22">
        <f t="shared" si="76"/>
        <v>0</v>
      </c>
    </row>
    <row r="119" spans="1:20" x14ac:dyDescent="0.35">
      <c r="A119" s="2">
        <f t="shared" si="71"/>
        <v>14</v>
      </c>
      <c r="B119" s="121" t="s">
        <v>144</v>
      </c>
      <c r="C119" s="24" t="s">
        <v>4</v>
      </c>
      <c r="D119" s="24">
        <f t="shared" si="72"/>
        <v>1640</v>
      </c>
      <c r="E119" s="22">
        <f>120000/1000</f>
        <v>120</v>
      </c>
      <c r="F119" s="22">
        <f>105000/1000</f>
        <v>105</v>
      </c>
      <c r="G119" s="22">
        <f>85000/1000</f>
        <v>85</v>
      </c>
      <c r="H119" s="22">
        <f t="shared" si="73"/>
        <v>310</v>
      </c>
      <c r="I119" s="22">
        <f>250000/1000</f>
        <v>250</v>
      </c>
      <c r="J119" s="22">
        <f>75000/1000</f>
        <v>75</v>
      </c>
      <c r="K119" s="22">
        <f>110000/1000</f>
        <v>110</v>
      </c>
      <c r="L119" s="22">
        <f t="shared" si="74"/>
        <v>435</v>
      </c>
      <c r="M119" s="22">
        <f>85000/1000</f>
        <v>85</v>
      </c>
      <c r="N119" s="22">
        <f>235000/1000</f>
        <v>235</v>
      </c>
      <c r="O119" s="22">
        <f>105000/1000</f>
        <v>105</v>
      </c>
      <c r="P119" s="22">
        <f t="shared" si="75"/>
        <v>425</v>
      </c>
      <c r="Q119" s="22">
        <f>90000/1000</f>
        <v>90</v>
      </c>
      <c r="R119" s="22">
        <f>180000/1000</f>
        <v>180</v>
      </c>
      <c r="S119" s="22">
        <f>200000/1000</f>
        <v>200</v>
      </c>
      <c r="T119" s="22">
        <f t="shared" si="76"/>
        <v>470</v>
      </c>
    </row>
    <row r="120" spans="1:20" x14ac:dyDescent="0.35">
      <c r="A120" s="2">
        <f t="shared" si="71"/>
        <v>15</v>
      </c>
      <c r="B120" s="121" t="s">
        <v>145</v>
      </c>
      <c r="C120" s="24" t="s">
        <v>4</v>
      </c>
      <c r="D120" s="24">
        <f t="shared" si="72"/>
        <v>0</v>
      </c>
      <c r="E120" s="22">
        <v>0</v>
      </c>
      <c r="F120" s="22">
        <v>0</v>
      </c>
      <c r="G120" s="22">
        <v>0</v>
      </c>
      <c r="H120" s="22">
        <f t="shared" si="73"/>
        <v>0</v>
      </c>
      <c r="I120" s="22">
        <v>0</v>
      </c>
      <c r="J120" s="22">
        <v>0</v>
      </c>
      <c r="K120" s="22">
        <v>0</v>
      </c>
      <c r="L120" s="22">
        <f t="shared" si="74"/>
        <v>0</v>
      </c>
      <c r="M120" s="22">
        <v>0</v>
      </c>
      <c r="N120" s="22">
        <v>0</v>
      </c>
      <c r="O120" s="22">
        <v>0</v>
      </c>
      <c r="P120" s="22">
        <f t="shared" si="75"/>
        <v>0</v>
      </c>
      <c r="Q120" s="22">
        <v>0</v>
      </c>
      <c r="R120" s="22">
        <v>0</v>
      </c>
      <c r="S120" s="22">
        <v>0</v>
      </c>
      <c r="T120" s="22">
        <f t="shared" si="76"/>
        <v>0</v>
      </c>
    </row>
    <row r="121" spans="1:20" x14ac:dyDescent="0.35">
      <c r="A121" s="2">
        <f t="shared" si="71"/>
        <v>16</v>
      </c>
      <c r="B121" s="121" t="s">
        <v>146</v>
      </c>
      <c r="C121" s="24" t="s">
        <v>4</v>
      </c>
      <c r="D121" s="24">
        <f t="shared" si="72"/>
        <v>0</v>
      </c>
      <c r="E121" s="22">
        <v>0</v>
      </c>
      <c r="F121" s="22">
        <v>0</v>
      </c>
      <c r="G121" s="22">
        <v>0</v>
      </c>
      <c r="H121" s="22">
        <f t="shared" si="73"/>
        <v>0</v>
      </c>
      <c r="I121" s="22">
        <v>0</v>
      </c>
      <c r="J121" s="22">
        <v>0</v>
      </c>
      <c r="K121" s="22">
        <v>0</v>
      </c>
      <c r="L121" s="22">
        <f t="shared" si="74"/>
        <v>0</v>
      </c>
      <c r="M121" s="22">
        <v>0</v>
      </c>
      <c r="N121" s="22">
        <v>0</v>
      </c>
      <c r="O121" s="22">
        <v>0</v>
      </c>
      <c r="P121" s="22">
        <f t="shared" si="75"/>
        <v>0</v>
      </c>
      <c r="Q121" s="22">
        <v>0</v>
      </c>
      <c r="R121" s="22">
        <v>0</v>
      </c>
      <c r="S121" s="22">
        <v>0</v>
      </c>
      <c r="T121" s="22">
        <f t="shared" si="76"/>
        <v>0</v>
      </c>
    </row>
    <row r="122" spans="1:20" x14ac:dyDescent="0.35">
      <c r="A122" s="2">
        <f t="shared" si="71"/>
        <v>17</v>
      </c>
      <c r="B122" s="121" t="s">
        <v>147</v>
      </c>
      <c r="C122" s="24" t="s">
        <v>4</v>
      </c>
      <c r="D122" s="24">
        <f t="shared" si="72"/>
        <v>0</v>
      </c>
      <c r="E122" s="22">
        <v>0</v>
      </c>
      <c r="F122" s="22">
        <v>0</v>
      </c>
      <c r="G122" s="22">
        <v>0</v>
      </c>
      <c r="H122" s="22">
        <f t="shared" si="73"/>
        <v>0</v>
      </c>
      <c r="I122" s="22">
        <v>0</v>
      </c>
      <c r="J122" s="22">
        <v>0</v>
      </c>
      <c r="K122" s="22">
        <v>0</v>
      </c>
      <c r="L122" s="22">
        <f t="shared" si="74"/>
        <v>0</v>
      </c>
      <c r="M122" s="22">
        <v>0</v>
      </c>
      <c r="N122" s="22">
        <v>0</v>
      </c>
      <c r="O122" s="22">
        <v>0</v>
      </c>
      <c r="P122" s="22">
        <f t="shared" si="75"/>
        <v>0</v>
      </c>
      <c r="Q122" s="22">
        <v>0</v>
      </c>
      <c r="R122" s="22">
        <v>0</v>
      </c>
      <c r="S122" s="22">
        <v>0</v>
      </c>
      <c r="T122" s="22">
        <f t="shared" si="76"/>
        <v>0</v>
      </c>
    </row>
    <row r="123" spans="1:20" x14ac:dyDescent="0.35">
      <c r="A123" s="2">
        <f t="shared" si="71"/>
        <v>18</v>
      </c>
      <c r="B123" s="121" t="s">
        <v>148</v>
      </c>
      <c r="C123" s="24" t="s">
        <v>4</v>
      </c>
      <c r="D123" s="24">
        <f t="shared" si="72"/>
        <v>1732.5749999999998</v>
      </c>
      <c r="E123" s="22">
        <f>94548/1000</f>
        <v>94.548000000000002</v>
      </c>
      <c r="F123" s="22">
        <f>150403/1000</f>
        <v>150.40299999999999</v>
      </c>
      <c r="G123" s="22">
        <f>140570/1000</f>
        <v>140.57</v>
      </c>
      <c r="H123" s="22">
        <f t="shared" si="73"/>
        <v>385.52099999999996</v>
      </c>
      <c r="I123" s="22">
        <f>130470/1000</f>
        <v>130.47</v>
      </c>
      <c r="J123" s="22">
        <f>110765/1000</f>
        <v>110.765</v>
      </c>
      <c r="K123" s="22">
        <f>113354/1000</f>
        <v>113.354</v>
      </c>
      <c r="L123" s="22">
        <f t="shared" si="74"/>
        <v>354.589</v>
      </c>
      <c r="M123" s="22">
        <f>141041/1000</f>
        <v>141.041</v>
      </c>
      <c r="N123" s="22">
        <f>120830/1000</f>
        <v>120.83</v>
      </c>
      <c r="O123" s="22">
        <f>234950/1000</f>
        <v>234.95</v>
      </c>
      <c r="P123" s="22">
        <f t="shared" si="75"/>
        <v>496.82099999999997</v>
      </c>
      <c r="Q123" s="22">
        <f>169012/1000</f>
        <v>169.012</v>
      </c>
      <c r="R123" s="22">
        <f>173447/1000</f>
        <v>173.447</v>
      </c>
      <c r="S123" s="22">
        <f>153185/1000</f>
        <v>153.185</v>
      </c>
      <c r="T123" s="22">
        <f t="shared" si="76"/>
        <v>495.64400000000001</v>
      </c>
    </row>
    <row r="124" spans="1:20" x14ac:dyDescent="0.35">
      <c r="A124" s="2">
        <f t="shared" si="71"/>
        <v>19</v>
      </c>
      <c r="B124" s="121" t="s">
        <v>149</v>
      </c>
      <c r="C124" s="24" t="s">
        <v>4</v>
      </c>
      <c r="D124" s="24">
        <f t="shared" si="72"/>
        <v>515.64300000000003</v>
      </c>
      <c r="E124" s="22">
        <f>60882/1000</f>
        <v>60.881999999999998</v>
      </c>
      <c r="F124" s="22">
        <f>46212/1000</f>
        <v>46.212000000000003</v>
      </c>
      <c r="G124" s="22">
        <f>35335/1000</f>
        <v>35.335000000000001</v>
      </c>
      <c r="H124" s="22">
        <f t="shared" si="73"/>
        <v>142.429</v>
      </c>
      <c r="I124" s="22">
        <f>15326/1000</f>
        <v>15.326000000000001</v>
      </c>
      <c r="J124" s="22">
        <f>32272/1000</f>
        <v>32.271999999999998</v>
      </c>
      <c r="K124" s="22">
        <f>48511/1000</f>
        <v>48.511000000000003</v>
      </c>
      <c r="L124" s="22">
        <f t="shared" si="74"/>
        <v>96.109000000000009</v>
      </c>
      <c r="M124" s="22">
        <f>57753/1000</f>
        <v>57.753</v>
      </c>
      <c r="N124" s="22">
        <f>18563/1000</f>
        <v>18.562999999999999</v>
      </c>
      <c r="O124" s="22">
        <f>35678/1000</f>
        <v>35.677999999999997</v>
      </c>
      <c r="P124" s="22">
        <f t="shared" si="75"/>
        <v>111.994</v>
      </c>
      <c r="Q124" s="22">
        <f>50301/1000</f>
        <v>50.301000000000002</v>
      </c>
      <c r="R124" s="22">
        <f>55360/1000</f>
        <v>55.36</v>
      </c>
      <c r="S124" s="22">
        <f>59450/1000</f>
        <v>59.45</v>
      </c>
      <c r="T124" s="22">
        <f t="shared" si="76"/>
        <v>165.11099999999999</v>
      </c>
    </row>
    <row r="125" spans="1:20" x14ac:dyDescent="0.35">
      <c r="A125" s="2">
        <f t="shared" si="71"/>
        <v>20</v>
      </c>
      <c r="B125" s="121" t="s">
        <v>150</v>
      </c>
      <c r="C125" s="24" t="s">
        <v>4</v>
      </c>
      <c r="D125" s="24">
        <f t="shared" si="72"/>
        <v>9211.0027799999989</v>
      </c>
      <c r="E125" s="22">
        <f>782732.27/1000</f>
        <v>782.73226999999997</v>
      </c>
      <c r="F125" s="22">
        <f>617908.49/1000</f>
        <v>617.90849000000003</v>
      </c>
      <c r="G125" s="22">
        <f>446402.4/1000</f>
        <v>446.4024</v>
      </c>
      <c r="H125" s="22">
        <f t="shared" si="73"/>
        <v>1847.0431599999999</v>
      </c>
      <c r="I125" s="22">
        <f>412139.08/1000</f>
        <v>412.13908000000004</v>
      </c>
      <c r="J125" s="22">
        <f>576565.04/1000</f>
        <v>576.56504000000007</v>
      </c>
      <c r="K125" s="22">
        <f>822902.13/1000</f>
        <v>822.90213000000006</v>
      </c>
      <c r="L125" s="22">
        <f t="shared" si="74"/>
        <v>1811.6062500000003</v>
      </c>
      <c r="M125" s="22">
        <f>783184.93/1000</f>
        <v>783.18493000000001</v>
      </c>
      <c r="N125" s="22">
        <f>1263003.47/1000</f>
        <v>1263.0034699999999</v>
      </c>
      <c r="O125" s="22">
        <f>923294.26/1000</f>
        <v>923.29426000000001</v>
      </c>
      <c r="P125" s="22">
        <f t="shared" si="75"/>
        <v>2969.4826600000001</v>
      </c>
      <c r="Q125" s="22">
        <f>762200.37/1000</f>
        <v>762.20037000000002</v>
      </c>
      <c r="R125" s="22">
        <f>690152.37/1000</f>
        <v>690.15237000000002</v>
      </c>
      <c r="S125" s="22">
        <f>1130517.97/1000</f>
        <v>1130.5179699999999</v>
      </c>
      <c r="T125" s="22">
        <f t="shared" si="76"/>
        <v>2582.8707100000001</v>
      </c>
    </row>
    <row r="126" spans="1:20" x14ac:dyDescent="0.35">
      <c r="A126" s="2">
        <f t="shared" si="71"/>
        <v>21</v>
      </c>
      <c r="B126" s="121" t="s">
        <v>151</v>
      </c>
      <c r="C126" s="24" t="s">
        <v>4</v>
      </c>
      <c r="D126" s="24">
        <f t="shared" si="72"/>
        <v>0</v>
      </c>
      <c r="E126" s="22">
        <v>0</v>
      </c>
      <c r="F126" s="22">
        <v>0</v>
      </c>
      <c r="G126" s="22">
        <v>0</v>
      </c>
      <c r="H126" s="22">
        <f t="shared" si="73"/>
        <v>0</v>
      </c>
      <c r="I126" s="22">
        <v>0</v>
      </c>
      <c r="J126" s="22">
        <v>0</v>
      </c>
      <c r="K126" s="22">
        <v>0</v>
      </c>
      <c r="L126" s="22">
        <f t="shared" si="74"/>
        <v>0</v>
      </c>
      <c r="M126" s="22">
        <v>0</v>
      </c>
      <c r="N126" s="22">
        <v>0</v>
      </c>
      <c r="O126" s="22">
        <v>0</v>
      </c>
      <c r="P126" s="22">
        <f t="shared" si="75"/>
        <v>0</v>
      </c>
      <c r="Q126" s="22">
        <v>0</v>
      </c>
      <c r="R126" s="22">
        <v>0</v>
      </c>
      <c r="S126" s="22">
        <v>0</v>
      </c>
      <c r="T126" s="22">
        <f t="shared" si="76"/>
        <v>0</v>
      </c>
    </row>
    <row r="127" spans="1:20" x14ac:dyDescent="0.35">
      <c r="A127" s="2">
        <f t="shared" si="71"/>
        <v>22</v>
      </c>
      <c r="B127" s="121" t="s">
        <v>152</v>
      </c>
      <c r="C127" s="24" t="s">
        <v>4</v>
      </c>
      <c r="D127" s="24">
        <f t="shared" si="72"/>
        <v>14113.148000000001</v>
      </c>
      <c r="E127" s="22">
        <f>1756000/1000</f>
        <v>1756</v>
      </c>
      <c r="F127" s="22">
        <f>1598200/1000</f>
        <v>1598.2</v>
      </c>
      <c r="G127" s="22">
        <f>1029900/1000</f>
        <v>1029.9000000000001</v>
      </c>
      <c r="H127" s="22">
        <f t="shared" si="73"/>
        <v>4384.1000000000004</v>
      </c>
      <c r="I127" s="22">
        <f>1848900/1000</f>
        <v>1848.9</v>
      </c>
      <c r="J127" s="22">
        <f>522600/1000</f>
        <v>522.6</v>
      </c>
      <c r="K127" s="22">
        <f>1216800/1000</f>
        <v>1216.8</v>
      </c>
      <c r="L127" s="22">
        <f t="shared" si="74"/>
        <v>3588.3</v>
      </c>
      <c r="M127" s="22">
        <f>1447338/1000</f>
        <v>1447.338</v>
      </c>
      <c r="N127" s="22">
        <f>1231060/1000</f>
        <v>1231.06</v>
      </c>
      <c r="O127" s="22">
        <f>1038490/1000</f>
        <v>1038.49</v>
      </c>
      <c r="P127" s="22">
        <f t="shared" si="75"/>
        <v>3716.8879999999999</v>
      </c>
      <c r="Q127" s="22">
        <f>877840/1000</f>
        <v>877.84</v>
      </c>
      <c r="R127" s="22">
        <f>627220/1000</f>
        <v>627.22</v>
      </c>
      <c r="S127" s="22">
        <f>918800/1000</f>
        <v>918.8</v>
      </c>
      <c r="T127" s="22">
        <f t="shared" si="76"/>
        <v>2423.8599999999997</v>
      </c>
    </row>
    <row r="128" spans="1:20" x14ac:dyDescent="0.35">
      <c r="A128" s="2">
        <v>23</v>
      </c>
      <c r="B128" s="121" t="s">
        <v>153</v>
      </c>
      <c r="C128" s="24" t="s">
        <v>4</v>
      </c>
      <c r="D128" s="24">
        <f t="shared" si="72"/>
        <v>854.07900000000006</v>
      </c>
      <c r="E128" s="22">
        <f>68000/1000</f>
        <v>68</v>
      </c>
      <c r="F128" s="22">
        <f>151966/1000</f>
        <v>151.96600000000001</v>
      </c>
      <c r="G128" s="22">
        <f>37676/1000</f>
        <v>37.676000000000002</v>
      </c>
      <c r="H128" s="22">
        <f t="shared" si="73"/>
        <v>257.642</v>
      </c>
      <c r="I128" s="22">
        <f>75707/1000</f>
        <v>75.706999999999994</v>
      </c>
      <c r="J128" s="22">
        <f>113510/1000</f>
        <v>113.51</v>
      </c>
      <c r="K128" s="22">
        <f>113754/1000</f>
        <v>113.754</v>
      </c>
      <c r="L128" s="22">
        <f t="shared" si="74"/>
        <v>302.971</v>
      </c>
      <c r="M128" s="22">
        <f>36600/1000</f>
        <v>36.6</v>
      </c>
      <c r="N128" s="22">
        <f>39420/1000</f>
        <v>39.42</v>
      </c>
      <c r="O128" s="22">
        <f>20350/1000</f>
        <v>20.350000000000001</v>
      </c>
      <c r="P128" s="22">
        <f t="shared" si="75"/>
        <v>96.37</v>
      </c>
      <c r="Q128" s="22">
        <f>41083/1000</f>
        <v>41.082999999999998</v>
      </c>
      <c r="R128" s="22">
        <f>56693/1000</f>
        <v>56.692999999999998</v>
      </c>
      <c r="S128" s="22">
        <f>99320/1000</f>
        <v>99.32</v>
      </c>
      <c r="T128" s="22">
        <f t="shared" si="76"/>
        <v>197.096</v>
      </c>
    </row>
    <row r="129" spans="1:20" x14ac:dyDescent="0.35">
      <c r="A129" s="2">
        <v>24</v>
      </c>
      <c r="B129" s="121" t="s">
        <v>154</v>
      </c>
      <c r="C129" s="24" t="s">
        <v>4</v>
      </c>
      <c r="D129" s="24">
        <f t="shared" si="72"/>
        <v>83044.522000000012</v>
      </c>
      <c r="E129" s="22">
        <f>4916900/1000</f>
        <v>4916.8999999999996</v>
      </c>
      <c r="F129" s="22">
        <f>6330751/1000</f>
        <v>6330.7510000000002</v>
      </c>
      <c r="G129" s="22">
        <f>7849540/1000</f>
        <v>7849.54</v>
      </c>
      <c r="H129" s="22">
        <f t="shared" si="73"/>
        <v>19097.190999999999</v>
      </c>
      <c r="I129" s="22">
        <f>6463500/1000</f>
        <v>6463.5</v>
      </c>
      <c r="J129" s="22">
        <f>6942900/1000</f>
        <v>6942.9</v>
      </c>
      <c r="K129" s="22">
        <f>6777800/1000</f>
        <v>6777.8</v>
      </c>
      <c r="L129" s="22">
        <f t="shared" si="74"/>
        <v>20184.2</v>
      </c>
      <c r="M129" s="22">
        <f>6811700/1000</f>
        <v>6811.7</v>
      </c>
      <c r="N129" s="22">
        <f>9333700/1000</f>
        <v>9333.7000000000007</v>
      </c>
      <c r="O129" s="22">
        <f>9707900/1000</f>
        <v>9707.9</v>
      </c>
      <c r="P129" s="22">
        <f t="shared" si="75"/>
        <v>25853.300000000003</v>
      </c>
      <c r="Q129" s="22">
        <f>6549465/1000</f>
        <v>6549.4650000000001</v>
      </c>
      <c r="R129" s="22">
        <f>5538128/1000</f>
        <v>5538.1279999999997</v>
      </c>
      <c r="S129" s="22">
        <f>5822238/1000</f>
        <v>5822.2380000000003</v>
      </c>
      <c r="T129" s="22">
        <f t="shared" si="76"/>
        <v>17909.831000000002</v>
      </c>
    </row>
    <row r="130" spans="1:20" x14ac:dyDescent="0.35">
      <c r="A130" s="2">
        <v>25</v>
      </c>
      <c r="B130" s="121" t="s">
        <v>155</v>
      </c>
      <c r="C130" s="24" t="s">
        <v>4</v>
      </c>
      <c r="D130" s="24">
        <f t="shared" si="72"/>
        <v>10978.224</v>
      </c>
      <c r="E130" s="22">
        <f>944649/1000</f>
        <v>944.649</v>
      </c>
      <c r="F130" s="22">
        <f>914714/1000</f>
        <v>914.71400000000006</v>
      </c>
      <c r="G130" s="22">
        <f>943274/1000</f>
        <v>943.274</v>
      </c>
      <c r="H130" s="22">
        <f t="shared" si="73"/>
        <v>2802.6370000000002</v>
      </c>
      <c r="I130" s="22">
        <f>952571/1000</f>
        <v>952.57100000000003</v>
      </c>
      <c r="J130" s="22">
        <f>1051729/1000</f>
        <v>1051.729</v>
      </c>
      <c r="K130" s="22">
        <f>953702/1000</f>
        <v>953.702</v>
      </c>
      <c r="L130" s="22">
        <f t="shared" si="74"/>
        <v>2958.0020000000004</v>
      </c>
      <c r="M130" s="22">
        <f>923918/1000</f>
        <v>923.91800000000001</v>
      </c>
      <c r="N130" s="22">
        <f>1007388/1000</f>
        <v>1007.388</v>
      </c>
      <c r="O130" s="22">
        <f>1016629/1000</f>
        <v>1016.629</v>
      </c>
      <c r="P130" s="22">
        <f t="shared" si="75"/>
        <v>2947.9349999999999</v>
      </c>
      <c r="Q130" s="22">
        <f>715414/1000</f>
        <v>715.41399999999999</v>
      </c>
      <c r="R130" s="22">
        <f>850490/1000</f>
        <v>850.49</v>
      </c>
      <c r="S130" s="22">
        <f>703746/1000</f>
        <v>703.74599999999998</v>
      </c>
      <c r="T130" s="22">
        <f t="shared" si="76"/>
        <v>2269.65</v>
      </c>
    </row>
    <row r="131" spans="1:20" x14ac:dyDescent="0.35">
      <c r="A131" s="2">
        <v>26</v>
      </c>
      <c r="B131" s="121" t="s">
        <v>156</v>
      </c>
      <c r="C131" s="24" t="s">
        <v>4</v>
      </c>
      <c r="D131" s="24">
        <f t="shared" si="72"/>
        <v>7596.0339999999997</v>
      </c>
      <c r="E131" s="22">
        <f>570305/1000</f>
        <v>570.30499999999995</v>
      </c>
      <c r="F131" s="22">
        <f>560162/1000</f>
        <v>560.16200000000003</v>
      </c>
      <c r="G131" s="22">
        <f>581810/1000</f>
        <v>581.80999999999995</v>
      </c>
      <c r="H131" s="22">
        <f t="shared" si="73"/>
        <v>1712.277</v>
      </c>
      <c r="I131" s="22">
        <f>574097/1000</f>
        <v>574.09699999999998</v>
      </c>
      <c r="J131" s="22">
        <f>392033/1000</f>
        <v>392.03300000000002</v>
      </c>
      <c r="K131" s="22">
        <f>434000/1000</f>
        <v>434</v>
      </c>
      <c r="L131" s="22">
        <f t="shared" si="74"/>
        <v>1400.13</v>
      </c>
      <c r="M131" s="22">
        <f>900953/1000</f>
        <v>900.95299999999997</v>
      </c>
      <c r="N131" s="22">
        <f>904853/1000</f>
        <v>904.85299999999995</v>
      </c>
      <c r="O131" s="22">
        <f>1109434/1000</f>
        <v>1109.434</v>
      </c>
      <c r="P131" s="22">
        <f t="shared" si="75"/>
        <v>2915.24</v>
      </c>
      <c r="Q131" s="22">
        <f>510399/1000</f>
        <v>510.399</v>
      </c>
      <c r="R131" s="22">
        <f>516103/1000</f>
        <v>516.10299999999995</v>
      </c>
      <c r="S131" s="22">
        <f>541885/1000</f>
        <v>541.88499999999999</v>
      </c>
      <c r="T131" s="22">
        <f t="shared" si="76"/>
        <v>1568.3869999999999</v>
      </c>
    </row>
    <row r="132" spans="1:20" x14ac:dyDescent="0.35">
      <c r="A132" s="2">
        <v>27</v>
      </c>
      <c r="B132" s="121" t="s">
        <v>157</v>
      </c>
      <c r="C132" s="24" t="s">
        <v>4</v>
      </c>
      <c r="D132" s="24">
        <f t="shared" si="72"/>
        <v>273.43600000000004</v>
      </c>
      <c r="E132" s="22">
        <f>24975/1000</f>
        <v>24.975000000000001</v>
      </c>
      <c r="F132" s="22">
        <f>52900/1000</f>
        <v>52.9</v>
      </c>
      <c r="G132" s="22">
        <f>26837/1000</f>
        <v>26.837</v>
      </c>
      <c r="H132" s="22">
        <f t="shared" si="73"/>
        <v>104.712</v>
      </c>
      <c r="I132" s="22">
        <f>28991/1000</f>
        <v>28.991</v>
      </c>
      <c r="J132" s="22">
        <f>27960/1000</f>
        <v>27.96</v>
      </c>
      <c r="K132" s="22">
        <f>19330/1000</f>
        <v>19.329999999999998</v>
      </c>
      <c r="L132" s="22">
        <f t="shared" si="74"/>
        <v>76.281000000000006</v>
      </c>
      <c r="M132" s="22">
        <f>17626/1000</f>
        <v>17.626000000000001</v>
      </c>
      <c r="N132" s="22">
        <f>15546/1000</f>
        <v>15.545999999999999</v>
      </c>
      <c r="O132" s="22">
        <f>16825/1000</f>
        <v>16.824999999999999</v>
      </c>
      <c r="P132" s="22">
        <f t="shared" si="75"/>
        <v>49.997</v>
      </c>
      <c r="Q132" s="22">
        <f>14972/1000</f>
        <v>14.972</v>
      </c>
      <c r="R132" s="22">
        <f>13154/1000</f>
        <v>13.154</v>
      </c>
      <c r="S132" s="22">
        <f>14320/1000</f>
        <v>14.32</v>
      </c>
      <c r="T132" s="22">
        <f t="shared" si="76"/>
        <v>42.445999999999998</v>
      </c>
    </row>
    <row r="133" spans="1:20" x14ac:dyDescent="0.35">
      <c r="A133" s="2">
        <v>28</v>
      </c>
      <c r="B133" s="121" t="s">
        <v>158</v>
      </c>
      <c r="C133" s="24" t="s">
        <v>4</v>
      </c>
      <c r="D133" s="24">
        <f t="shared" si="72"/>
        <v>16478.46</v>
      </c>
      <c r="E133" s="22">
        <f>1371330/1000</f>
        <v>1371.33</v>
      </c>
      <c r="F133" s="22">
        <f>1400050/1000</f>
        <v>1400.05</v>
      </c>
      <c r="G133" s="22">
        <f>1080360/1000</f>
        <v>1080.3599999999999</v>
      </c>
      <c r="H133" s="22">
        <f t="shared" si="73"/>
        <v>3851.74</v>
      </c>
      <c r="I133" s="22">
        <f>1284080/1000</f>
        <v>1284.08</v>
      </c>
      <c r="J133" s="22">
        <f>1123570/1000</f>
        <v>1123.57</v>
      </c>
      <c r="K133" s="22">
        <f>771680/1000</f>
        <v>771.68</v>
      </c>
      <c r="L133" s="22">
        <f t="shared" si="74"/>
        <v>3179.3299999999995</v>
      </c>
      <c r="M133" s="22">
        <f>1055660/1000</f>
        <v>1055.6600000000001</v>
      </c>
      <c r="N133" s="22">
        <f>1196420/1000</f>
        <v>1196.42</v>
      </c>
      <c r="O133" s="22">
        <f>1229080/1000</f>
        <v>1229.08</v>
      </c>
      <c r="P133" s="22">
        <f t="shared" si="75"/>
        <v>3481.16</v>
      </c>
      <c r="Q133" s="22">
        <f>1790300/1000</f>
        <v>1790.3</v>
      </c>
      <c r="R133" s="22">
        <f>1967570/1000</f>
        <v>1967.57</v>
      </c>
      <c r="S133" s="22">
        <f>2208360/1000</f>
        <v>2208.36</v>
      </c>
      <c r="T133" s="22">
        <f t="shared" si="76"/>
        <v>5966.23</v>
      </c>
    </row>
    <row r="134" spans="1:20" x14ac:dyDescent="0.35">
      <c r="A134" s="2">
        <v>29</v>
      </c>
      <c r="B134" s="121" t="s">
        <v>159</v>
      </c>
      <c r="C134" s="24" t="s">
        <v>4</v>
      </c>
      <c r="D134" s="24">
        <f t="shared" si="72"/>
        <v>350</v>
      </c>
      <c r="E134" s="22">
        <v>0</v>
      </c>
      <c r="F134" s="22">
        <v>0</v>
      </c>
      <c r="G134" s="22">
        <v>0</v>
      </c>
      <c r="H134" s="22">
        <f t="shared" si="73"/>
        <v>0</v>
      </c>
      <c r="I134" s="22">
        <v>0</v>
      </c>
      <c r="J134" s="22">
        <v>0</v>
      </c>
      <c r="K134" s="22">
        <f>175000/1000</f>
        <v>175</v>
      </c>
      <c r="L134" s="22">
        <f t="shared" si="74"/>
        <v>175</v>
      </c>
      <c r="M134" s="22">
        <v>0</v>
      </c>
      <c r="N134" s="22">
        <v>0</v>
      </c>
      <c r="O134" s="22">
        <v>0</v>
      </c>
      <c r="P134" s="22">
        <f t="shared" si="75"/>
        <v>0</v>
      </c>
      <c r="Q134" s="22">
        <v>0</v>
      </c>
      <c r="R134" s="22">
        <v>0</v>
      </c>
      <c r="S134" s="22">
        <f>175000/1000</f>
        <v>175</v>
      </c>
      <c r="T134" s="22">
        <f t="shared" si="76"/>
        <v>175</v>
      </c>
    </row>
    <row r="135" spans="1:20" x14ac:dyDescent="0.35">
      <c r="A135" s="2">
        <v>30</v>
      </c>
      <c r="B135" s="121" t="s">
        <v>160</v>
      </c>
      <c r="C135" s="24" t="s">
        <v>4</v>
      </c>
      <c r="D135" s="24">
        <f t="shared" si="72"/>
        <v>0</v>
      </c>
      <c r="E135" s="22">
        <v>0</v>
      </c>
      <c r="F135" s="22">
        <v>0</v>
      </c>
      <c r="G135" s="22">
        <v>0</v>
      </c>
      <c r="H135" s="22">
        <f t="shared" si="73"/>
        <v>0</v>
      </c>
      <c r="I135" s="22">
        <v>0</v>
      </c>
      <c r="J135" s="22">
        <v>0</v>
      </c>
      <c r="K135" s="22">
        <v>0</v>
      </c>
      <c r="L135" s="22">
        <f t="shared" si="74"/>
        <v>0</v>
      </c>
      <c r="M135" s="22">
        <v>0</v>
      </c>
      <c r="N135" s="22">
        <v>0</v>
      </c>
      <c r="O135" s="22">
        <v>0</v>
      </c>
      <c r="P135" s="22">
        <f t="shared" si="75"/>
        <v>0</v>
      </c>
      <c r="Q135" s="22">
        <v>0</v>
      </c>
      <c r="R135" s="22">
        <v>0</v>
      </c>
      <c r="S135" s="22">
        <v>0</v>
      </c>
      <c r="T135" s="22">
        <f t="shared" si="76"/>
        <v>0</v>
      </c>
    </row>
    <row r="136" spans="1:20" x14ac:dyDescent="0.35">
      <c r="A136" s="2">
        <v>31</v>
      </c>
      <c r="B136" s="121" t="s">
        <v>161</v>
      </c>
      <c r="C136" s="24" t="s">
        <v>4</v>
      </c>
      <c r="D136" s="24">
        <f t="shared" si="72"/>
        <v>0</v>
      </c>
      <c r="E136" s="22">
        <v>0</v>
      </c>
      <c r="F136" s="22">
        <v>0</v>
      </c>
      <c r="G136" s="22">
        <v>0</v>
      </c>
      <c r="H136" s="22">
        <f t="shared" si="73"/>
        <v>0</v>
      </c>
      <c r="I136" s="22">
        <v>0</v>
      </c>
      <c r="J136" s="22">
        <v>0</v>
      </c>
      <c r="K136" s="22">
        <v>0</v>
      </c>
      <c r="L136" s="22">
        <f t="shared" si="74"/>
        <v>0</v>
      </c>
      <c r="M136" s="22">
        <v>0</v>
      </c>
      <c r="N136" s="22">
        <v>0</v>
      </c>
      <c r="O136" s="22">
        <v>0</v>
      </c>
      <c r="P136" s="22">
        <f t="shared" si="75"/>
        <v>0</v>
      </c>
      <c r="Q136" s="22">
        <v>0</v>
      </c>
      <c r="R136" s="22">
        <v>0</v>
      </c>
      <c r="S136" s="22">
        <v>0</v>
      </c>
      <c r="T136" s="22">
        <f t="shared" si="76"/>
        <v>0</v>
      </c>
    </row>
    <row r="137" spans="1:20" x14ac:dyDescent="0.35">
      <c r="A137" s="2">
        <v>32</v>
      </c>
      <c r="B137" s="121" t="s">
        <v>162</v>
      </c>
      <c r="C137" s="24" t="s">
        <v>4</v>
      </c>
      <c r="D137" s="24">
        <f t="shared" si="72"/>
        <v>0</v>
      </c>
      <c r="E137" s="22">
        <v>0</v>
      </c>
      <c r="F137" s="22">
        <v>0</v>
      </c>
      <c r="G137" s="22">
        <v>0</v>
      </c>
      <c r="H137" s="22">
        <f t="shared" si="73"/>
        <v>0</v>
      </c>
      <c r="I137" s="22">
        <v>0</v>
      </c>
      <c r="J137" s="22">
        <v>0</v>
      </c>
      <c r="K137" s="22">
        <v>0</v>
      </c>
      <c r="L137" s="22">
        <f t="shared" si="74"/>
        <v>0</v>
      </c>
      <c r="M137" s="22">
        <v>0</v>
      </c>
      <c r="N137" s="22">
        <v>0</v>
      </c>
      <c r="O137" s="22">
        <v>0</v>
      </c>
      <c r="P137" s="22">
        <f t="shared" si="75"/>
        <v>0</v>
      </c>
      <c r="Q137" s="22">
        <v>0</v>
      </c>
      <c r="R137" s="22">
        <v>0</v>
      </c>
      <c r="S137" s="22">
        <v>0</v>
      </c>
      <c r="T137" s="22">
        <f t="shared" si="76"/>
        <v>0</v>
      </c>
    </row>
    <row r="138" spans="1:20" x14ac:dyDescent="0.35">
      <c r="A138" s="2">
        <v>33</v>
      </c>
      <c r="B138" s="121" t="s">
        <v>163</v>
      </c>
      <c r="C138" s="24" t="s">
        <v>4</v>
      </c>
      <c r="D138" s="24">
        <f t="shared" si="72"/>
        <v>0</v>
      </c>
      <c r="E138" s="22">
        <v>0</v>
      </c>
      <c r="F138" s="22">
        <v>0</v>
      </c>
      <c r="G138" s="22">
        <v>0</v>
      </c>
      <c r="H138" s="22">
        <f t="shared" si="73"/>
        <v>0</v>
      </c>
      <c r="I138" s="22">
        <v>0</v>
      </c>
      <c r="J138" s="22">
        <v>0</v>
      </c>
      <c r="K138" s="22">
        <v>0</v>
      </c>
      <c r="L138" s="22">
        <f t="shared" si="74"/>
        <v>0</v>
      </c>
      <c r="M138" s="22">
        <v>0</v>
      </c>
      <c r="N138" s="22">
        <v>0</v>
      </c>
      <c r="O138" s="22">
        <v>0</v>
      </c>
      <c r="P138" s="22">
        <f t="shared" si="75"/>
        <v>0</v>
      </c>
      <c r="Q138" s="22">
        <v>0</v>
      </c>
      <c r="R138" s="22">
        <v>0</v>
      </c>
      <c r="S138" s="22">
        <v>0</v>
      </c>
      <c r="T138" s="22">
        <f t="shared" si="76"/>
        <v>0</v>
      </c>
    </row>
    <row r="139" spans="1:20" x14ac:dyDescent="0.35">
      <c r="A139" s="2">
        <v>34</v>
      </c>
      <c r="B139" s="121" t="s">
        <v>164</v>
      </c>
      <c r="C139" s="24" t="s">
        <v>4</v>
      </c>
      <c r="D139" s="24">
        <f t="shared" si="72"/>
        <v>0</v>
      </c>
      <c r="E139" s="22">
        <v>0</v>
      </c>
      <c r="F139" s="22">
        <v>0</v>
      </c>
      <c r="G139" s="22">
        <v>0</v>
      </c>
      <c r="H139" s="22">
        <f t="shared" si="73"/>
        <v>0</v>
      </c>
      <c r="I139" s="22">
        <v>0</v>
      </c>
      <c r="J139" s="22">
        <v>0</v>
      </c>
      <c r="K139" s="22">
        <v>0</v>
      </c>
      <c r="L139" s="22">
        <f t="shared" si="74"/>
        <v>0</v>
      </c>
      <c r="M139" s="22">
        <v>0</v>
      </c>
      <c r="N139" s="22">
        <v>0</v>
      </c>
      <c r="O139" s="22">
        <v>0</v>
      </c>
      <c r="P139" s="22">
        <f t="shared" si="75"/>
        <v>0</v>
      </c>
      <c r="Q139" s="22">
        <v>0</v>
      </c>
      <c r="R139" s="22">
        <v>0</v>
      </c>
      <c r="S139" s="22">
        <v>0</v>
      </c>
      <c r="T139" s="22">
        <f t="shared" si="76"/>
        <v>0</v>
      </c>
    </row>
    <row r="140" spans="1:20" x14ac:dyDescent="0.35">
      <c r="A140" s="2">
        <v>35</v>
      </c>
      <c r="B140" s="121" t="s">
        <v>165</v>
      </c>
      <c r="C140" s="24" t="s">
        <v>4</v>
      </c>
      <c r="D140" s="24">
        <f t="shared" si="72"/>
        <v>0</v>
      </c>
      <c r="E140" s="22">
        <v>0</v>
      </c>
      <c r="F140" s="22">
        <v>0</v>
      </c>
      <c r="G140" s="22">
        <v>0</v>
      </c>
      <c r="H140" s="22">
        <f t="shared" si="73"/>
        <v>0</v>
      </c>
      <c r="I140" s="22">
        <v>0</v>
      </c>
      <c r="J140" s="22">
        <v>0</v>
      </c>
      <c r="K140" s="22">
        <v>0</v>
      </c>
      <c r="L140" s="22">
        <f t="shared" si="74"/>
        <v>0</v>
      </c>
      <c r="M140" s="22">
        <v>0</v>
      </c>
      <c r="N140" s="22">
        <v>0</v>
      </c>
      <c r="O140" s="22">
        <v>0</v>
      </c>
      <c r="P140" s="22">
        <f t="shared" si="75"/>
        <v>0</v>
      </c>
      <c r="Q140" s="22">
        <v>0</v>
      </c>
      <c r="R140" s="22">
        <v>0</v>
      </c>
      <c r="S140" s="22">
        <v>0</v>
      </c>
      <c r="T140" s="22">
        <f t="shared" si="76"/>
        <v>0</v>
      </c>
    </row>
    <row r="141" spans="1:20" x14ac:dyDescent="0.35">
      <c r="A141" s="2">
        <v>36</v>
      </c>
      <c r="B141" s="121" t="s">
        <v>166</v>
      </c>
      <c r="C141" s="24" t="s">
        <v>4</v>
      </c>
      <c r="D141" s="24">
        <f t="shared" si="72"/>
        <v>2627.0520000000001</v>
      </c>
      <c r="E141" s="22">
        <f>214543/1000</f>
        <v>214.54300000000001</v>
      </c>
      <c r="F141" s="22">
        <f>227349/1000</f>
        <v>227.34899999999999</v>
      </c>
      <c r="G141" s="22">
        <f>201891/1000</f>
        <v>201.89099999999999</v>
      </c>
      <c r="H141" s="22">
        <f t="shared" si="73"/>
        <v>643.78300000000002</v>
      </c>
      <c r="I141" s="22">
        <f>210445/1000</f>
        <v>210.44499999999999</v>
      </c>
      <c r="J141" s="22">
        <f>217180/1000</f>
        <v>217.18</v>
      </c>
      <c r="K141" s="22">
        <f>220694/1000</f>
        <v>220.69399999999999</v>
      </c>
      <c r="L141" s="22">
        <f t="shared" si="74"/>
        <v>648.31899999999996</v>
      </c>
      <c r="M141" s="22">
        <f>257528/1000</f>
        <v>257.52800000000002</v>
      </c>
      <c r="N141" s="22">
        <f>254272/1000</f>
        <v>254.27199999999999</v>
      </c>
      <c r="O141" s="22">
        <f>219100/1000</f>
        <v>219.1</v>
      </c>
      <c r="P141" s="22">
        <f t="shared" si="75"/>
        <v>730.9</v>
      </c>
      <c r="Q141" s="22">
        <f>243050/1000</f>
        <v>243.05</v>
      </c>
      <c r="R141" s="22">
        <f>178650/1000</f>
        <v>178.65</v>
      </c>
      <c r="S141" s="22">
        <f>182350/1000</f>
        <v>182.35</v>
      </c>
      <c r="T141" s="22">
        <f t="shared" si="76"/>
        <v>604.05000000000007</v>
      </c>
    </row>
    <row r="142" spans="1:20" x14ac:dyDescent="0.35">
      <c r="A142" s="2">
        <v>37</v>
      </c>
      <c r="B142" s="121" t="s">
        <v>167</v>
      </c>
      <c r="C142" s="24" t="s">
        <v>4</v>
      </c>
      <c r="D142" s="24">
        <f t="shared" si="72"/>
        <v>229.96999999999997</v>
      </c>
      <c r="E142" s="22">
        <f>10615/1000</f>
        <v>10.615</v>
      </c>
      <c r="F142" s="22">
        <f>14818/1000</f>
        <v>14.818</v>
      </c>
      <c r="G142" s="22">
        <f>13995/1000</f>
        <v>13.994999999999999</v>
      </c>
      <c r="H142" s="22">
        <f t="shared" si="73"/>
        <v>39.427999999999997</v>
      </c>
      <c r="I142" s="22">
        <f>11378/1000</f>
        <v>11.378</v>
      </c>
      <c r="J142" s="22">
        <f>18126/1000</f>
        <v>18.126000000000001</v>
      </c>
      <c r="K142" s="22">
        <f>8649/1000</f>
        <v>8.6489999999999991</v>
      </c>
      <c r="L142" s="22">
        <f t="shared" si="74"/>
        <v>38.152999999999999</v>
      </c>
      <c r="M142" s="22">
        <f>5504/1000</f>
        <v>5.5039999999999996</v>
      </c>
      <c r="N142" s="22">
        <f>11061/1000</f>
        <v>11.061</v>
      </c>
      <c r="O142" s="22">
        <f>1740/1000</f>
        <v>1.74</v>
      </c>
      <c r="P142" s="22">
        <f t="shared" si="75"/>
        <v>18.304999999999996</v>
      </c>
      <c r="Q142" s="22">
        <f>2264/1000</f>
        <v>2.2639999999999998</v>
      </c>
      <c r="R142" s="22">
        <f>50614/1000</f>
        <v>50.613999999999997</v>
      </c>
      <c r="S142" s="22">
        <f>81206/1000</f>
        <v>81.206000000000003</v>
      </c>
      <c r="T142" s="22">
        <f t="shared" si="76"/>
        <v>134.084</v>
      </c>
    </row>
    <row r="143" spans="1:20" x14ac:dyDescent="0.35">
      <c r="A143" s="2">
        <v>38</v>
      </c>
      <c r="B143" s="121" t="s">
        <v>168</v>
      </c>
      <c r="C143" s="24" t="s">
        <v>4</v>
      </c>
      <c r="D143" s="24">
        <f t="shared" si="72"/>
        <v>5228.433</v>
      </c>
      <c r="E143" s="22">
        <f>484899/1000</f>
        <v>484.899</v>
      </c>
      <c r="F143" s="22">
        <f>535099/1000</f>
        <v>535.09900000000005</v>
      </c>
      <c r="G143" s="22">
        <f>590525/1000</f>
        <v>590.52499999999998</v>
      </c>
      <c r="H143" s="22">
        <f t="shared" si="73"/>
        <v>1610.5230000000001</v>
      </c>
      <c r="I143" s="22">
        <f>365391/1000</f>
        <v>365.39100000000002</v>
      </c>
      <c r="J143" s="22">
        <f>424201/1000</f>
        <v>424.20100000000002</v>
      </c>
      <c r="K143" s="22">
        <f>418408/1000</f>
        <v>418.40800000000002</v>
      </c>
      <c r="L143" s="22">
        <f t="shared" si="74"/>
        <v>1208</v>
      </c>
      <c r="M143" s="22">
        <f>408500/1000</f>
        <v>408.5</v>
      </c>
      <c r="N143" s="22">
        <f>350110/1000</f>
        <v>350.11</v>
      </c>
      <c r="O143" s="22">
        <f>422710/1000</f>
        <v>422.71</v>
      </c>
      <c r="P143" s="22">
        <f t="shared" si="75"/>
        <v>1181.32</v>
      </c>
      <c r="Q143" s="22">
        <f>434510/1000</f>
        <v>434.51</v>
      </c>
      <c r="R143" s="22">
        <f>413820/1000</f>
        <v>413.82</v>
      </c>
      <c r="S143" s="22">
        <f>380260/1000</f>
        <v>380.26</v>
      </c>
      <c r="T143" s="22">
        <f t="shared" si="76"/>
        <v>1228.5899999999999</v>
      </c>
    </row>
    <row r="145" spans="1:20" x14ac:dyDescent="0.35">
      <c r="A145" s="1" t="s">
        <v>61</v>
      </c>
    </row>
    <row r="146" spans="1:20" ht="15.5" x14ac:dyDescent="0.35">
      <c r="A146" s="10" t="s">
        <v>0</v>
      </c>
      <c r="B146" s="10" t="s">
        <v>1</v>
      </c>
      <c r="C146" s="10" t="s">
        <v>2</v>
      </c>
      <c r="D146" s="31" t="s">
        <v>67</v>
      </c>
      <c r="E146" s="27" t="s">
        <v>113</v>
      </c>
      <c r="F146" s="11" t="s">
        <v>114</v>
      </c>
      <c r="G146" s="11" t="s">
        <v>115</v>
      </c>
      <c r="H146" s="28" t="s">
        <v>27</v>
      </c>
      <c r="I146" s="11" t="s">
        <v>55</v>
      </c>
      <c r="J146" s="11" t="s">
        <v>116</v>
      </c>
      <c r="K146" s="11" t="s">
        <v>117</v>
      </c>
      <c r="L146" s="15" t="s">
        <v>54</v>
      </c>
      <c r="M146" s="11" t="s">
        <v>118</v>
      </c>
      <c r="N146" s="11" t="s">
        <v>119</v>
      </c>
      <c r="O146" s="11" t="s">
        <v>56</v>
      </c>
      <c r="P146" s="15" t="s">
        <v>57</v>
      </c>
      <c r="Q146" s="11" t="s">
        <v>120</v>
      </c>
      <c r="R146" s="11" t="s">
        <v>58</v>
      </c>
      <c r="S146" s="11" t="s">
        <v>121</v>
      </c>
      <c r="T146" s="15" t="s">
        <v>59</v>
      </c>
    </row>
    <row r="147" spans="1:20" ht="15.5" x14ac:dyDescent="0.35">
      <c r="A147" s="12"/>
      <c r="B147" s="12"/>
      <c r="C147" s="12"/>
      <c r="D147" s="32"/>
      <c r="E147" s="29"/>
      <c r="F147" s="13"/>
      <c r="G147" s="13"/>
      <c r="H147" s="29"/>
      <c r="I147" s="13"/>
      <c r="J147" s="13"/>
      <c r="K147" s="13"/>
      <c r="L147" s="9"/>
      <c r="M147" s="13"/>
      <c r="N147" s="13"/>
      <c r="O147" s="13"/>
      <c r="P147" s="9"/>
      <c r="Q147" s="13"/>
      <c r="R147" s="13"/>
      <c r="S147" s="13"/>
      <c r="T147" s="9"/>
    </row>
    <row r="148" spans="1:20" x14ac:dyDescent="0.35">
      <c r="A148" s="45"/>
      <c r="B148" s="33" t="s">
        <v>26</v>
      </c>
      <c r="C148" s="33" t="s">
        <v>4</v>
      </c>
      <c r="D148" s="33">
        <f>SUM(D149:D186)</f>
        <v>356663.33396641654</v>
      </c>
      <c r="E148" s="84">
        <f>SUM(E149:E186)</f>
        <v>27488.954429999998</v>
      </c>
      <c r="F148" s="84">
        <f t="shared" ref="F148:G148" si="77">SUM(F149:F186)</f>
        <v>31413.317580000003</v>
      </c>
      <c r="G148" s="84">
        <f t="shared" si="77"/>
        <v>34255.334839999989</v>
      </c>
      <c r="H148" s="84">
        <f t="shared" ref="H148" si="78">SUM(E148:G148)</f>
        <v>93157.606849999982</v>
      </c>
      <c r="I148" s="84">
        <f>SUM(I149:I186)</f>
        <v>35644.684940000006</v>
      </c>
      <c r="J148" s="84">
        <f t="shared" ref="J148:K148" si="79">SUM(J149:J186)</f>
        <v>38914.071302509801</v>
      </c>
      <c r="K148" s="84">
        <f t="shared" si="79"/>
        <v>31587.545890093606</v>
      </c>
      <c r="L148" s="84">
        <f t="shared" ref="L148" si="80">SUM(I148:K148)</f>
        <v>106146.30213260342</v>
      </c>
      <c r="M148" s="84">
        <f>SUM(M149:M186)</f>
        <v>26576.820169999999</v>
      </c>
      <c r="N148" s="84">
        <f t="shared" ref="N148:O148" si="81">SUM(N149:N186)</f>
        <v>26086.586330000006</v>
      </c>
      <c r="O148" s="84">
        <f t="shared" si="81"/>
        <v>25774.86969</v>
      </c>
      <c r="P148" s="84">
        <f t="shared" ref="P148" si="82">SUM(M148:O148)</f>
        <v>78438.276190000004</v>
      </c>
      <c r="Q148" s="84">
        <f>SUM(Q149:Q186)</f>
        <v>25398.837180829276</v>
      </c>
      <c r="R148" s="84">
        <f t="shared" ref="R148:S148" si="83">SUM(R149:R186)</f>
        <v>26013.916399662954</v>
      </c>
      <c r="S148" s="84">
        <f t="shared" si="83"/>
        <v>27508.395213320848</v>
      </c>
      <c r="T148" s="84">
        <f t="shared" ref="T148" si="84">SUM(Q148:S148)</f>
        <v>78921.148793813074</v>
      </c>
    </row>
    <row r="149" spans="1:20" x14ac:dyDescent="0.35">
      <c r="A149" s="2">
        <v>1</v>
      </c>
      <c r="B149" s="121" t="s">
        <v>131</v>
      </c>
      <c r="C149" s="24" t="s">
        <v>4</v>
      </c>
      <c r="D149" s="24">
        <f>SUM(H149,L149,P149,T149)</f>
        <v>853.75</v>
      </c>
      <c r="E149" s="22">
        <f>105800/1000</f>
        <v>105.8</v>
      </c>
      <c r="F149" s="22">
        <f>114350/1000</f>
        <v>114.35</v>
      </c>
      <c r="G149" s="22">
        <f>118600/1000</f>
        <v>118.6</v>
      </c>
      <c r="H149" s="22">
        <f>SUM(E149:G149)</f>
        <v>338.75</v>
      </c>
      <c r="I149" s="22">
        <f>50750/1000</f>
        <v>50.75</v>
      </c>
      <c r="J149" s="22">
        <f>46500/1000</f>
        <v>46.5</v>
      </c>
      <c r="K149" s="22">
        <f>42300/1000</f>
        <v>42.3</v>
      </c>
      <c r="L149" s="22">
        <f>SUM(I149:K149)</f>
        <v>139.55000000000001</v>
      </c>
      <c r="M149" s="22">
        <f>59300/1000</f>
        <v>59.3</v>
      </c>
      <c r="N149" s="22">
        <f>45200/1000</f>
        <v>45.2</v>
      </c>
      <c r="O149" s="22">
        <f>33850/1000</f>
        <v>33.85</v>
      </c>
      <c r="P149" s="22">
        <f>SUM(M149:O149)</f>
        <v>138.35</v>
      </c>
      <c r="Q149" s="22">
        <f>76300/1000</f>
        <v>76.3</v>
      </c>
      <c r="R149" s="22">
        <f>67700/1000</f>
        <v>67.7</v>
      </c>
      <c r="S149" s="22">
        <f>93100/1000</f>
        <v>93.1</v>
      </c>
      <c r="T149" s="22">
        <f>SUM(Q149:S149)</f>
        <v>237.1</v>
      </c>
    </row>
    <row r="150" spans="1:20" x14ac:dyDescent="0.35">
      <c r="A150" s="2">
        <f t="shared" ref="A150:A170" si="85">A149+1</f>
        <v>2</v>
      </c>
      <c r="B150" s="121" t="s">
        <v>132</v>
      </c>
      <c r="C150" s="24" t="s">
        <v>4</v>
      </c>
      <c r="D150" s="24">
        <f t="shared" ref="D150:D186" si="86">SUM(H150,L150,P150,T150)</f>
        <v>10385.735000000001</v>
      </c>
      <c r="E150" s="22">
        <f>846770/1000</f>
        <v>846.77</v>
      </c>
      <c r="F150" s="22">
        <f>841220/1000</f>
        <v>841.22</v>
      </c>
      <c r="G150" s="22">
        <f>820170/1000</f>
        <v>820.17</v>
      </c>
      <c r="H150" s="22">
        <f t="shared" ref="H150:H186" si="87">SUM(E150:G150)</f>
        <v>2508.16</v>
      </c>
      <c r="I150" s="22">
        <f>778410/1000</f>
        <v>778.41</v>
      </c>
      <c r="J150" s="22">
        <f>804519/1000</f>
        <v>804.51900000000001</v>
      </c>
      <c r="K150" s="22">
        <f>767550/1000</f>
        <v>767.55</v>
      </c>
      <c r="L150" s="22">
        <f t="shared" ref="L150:L186" si="88">SUM(I150:K150)</f>
        <v>2350.4790000000003</v>
      </c>
      <c r="M150" s="22">
        <f>895441/1000</f>
        <v>895.44100000000003</v>
      </c>
      <c r="N150" s="22">
        <f>850960/1000</f>
        <v>850.96</v>
      </c>
      <c r="O150" s="22">
        <f>892994/1000</f>
        <v>892.99400000000003</v>
      </c>
      <c r="P150" s="22">
        <f t="shared" ref="P150:P186" si="89">SUM(M150:O150)</f>
        <v>2639.395</v>
      </c>
      <c r="Q150" s="22">
        <f>988160/1000</f>
        <v>988.16</v>
      </c>
      <c r="R150" s="22">
        <f>959326/1000</f>
        <v>959.32600000000002</v>
      </c>
      <c r="S150" s="22">
        <f>940215/1000</f>
        <v>940.21500000000003</v>
      </c>
      <c r="T150" s="22">
        <f t="shared" ref="T150:T186" si="90">SUM(Q150:S150)</f>
        <v>2887.701</v>
      </c>
    </row>
    <row r="151" spans="1:20" x14ac:dyDescent="0.35">
      <c r="A151" s="2">
        <f t="shared" si="85"/>
        <v>3</v>
      </c>
      <c r="B151" s="121" t="s">
        <v>133</v>
      </c>
      <c r="C151" s="24" t="s">
        <v>4</v>
      </c>
      <c r="D151" s="24">
        <f t="shared" si="86"/>
        <v>17270.3</v>
      </c>
      <c r="E151" s="22">
        <f>1312000/1000</f>
        <v>1312</v>
      </c>
      <c r="F151" s="22">
        <f>1331600/1000</f>
        <v>1331.6</v>
      </c>
      <c r="G151" s="22">
        <f>1382100/1000</f>
        <v>1382.1</v>
      </c>
      <c r="H151" s="22">
        <f t="shared" si="87"/>
        <v>4025.7</v>
      </c>
      <c r="I151" s="22">
        <f>1452700/1000</f>
        <v>1452.7</v>
      </c>
      <c r="J151" s="22">
        <f>1441800/1000</f>
        <v>1441.8</v>
      </c>
      <c r="K151" s="22">
        <f>1434700/1000</f>
        <v>1434.7</v>
      </c>
      <c r="L151" s="22">
        <f t="shared" si="88"/>
        <v>4329.2</v>
      </c>
      <c r="M151" s="22">
        <f>1448200/1000</f>
        <v>1448.2</v>
      </c>
      <c r="N151" s="22">
        <f>1441500/1000</f>
        <v>1441.5</v>
      </c>
      <c r="O151" s="22">
        <f>1270500/1000</f>
        <v>1270.5</v>
      </c>
      <c r="P151" s="22">
        <f t="shared" si="89"/>
        <v>4160.2</v>
      </c>
      <c r="Q151" s="22">
        <f>1530300/1000</f>
        <v>1530.3</v>
      </c>
      <c r="R151" s="22">
        <f>1603100/1000</f>
        <v>1603.1</v>
      </c>
      <c r="S151" s="22">
        <f>1621800/1000</f>
        <v>1621.8</v>
      </c>
      <c r="T151" s="22">
        <f t="shared" si="90"/>
        <v>4755.2</v>
      </c>
    </row>
    <row r="152" spans="1:20" x14ac:dyDescent="0.35">
      <c r="A152" s="2">
        <f t="shared" si="85"/>
        <v>4</v>
      </c>
      <c r="B152" s="121" t="s">
        <v>134</v>
      </c>
      <c r="C152" s="24" t="s">
        <v>4</v>
      </c>
      <c r="D152" s="24">
        <f t="shared" si="86"/>
        <v>5268.4049999999997</v>
      </c>
      <c r="E152" s="22">
        <f>537648/1000</f>
        <v>537.64800000000002</v>
      </c>
      <c r="F152" s="22">
        <f>516246/1000</f>
        <v>516.24599999999998</v>
      </c>
      <c r="G152" s="22">
        <f>488845/1000</f>
        <v>488.84500000000003</v>
      </c>
      <c r="H152" s="22">
        <f t="shared" si="87"/>
        <v>1542.739</v>
      </c>
      <c r="I152" s="22">
        <f>447886/1000</f>
        <v>447.88600000000002</v>
      </c>
      <c r="J152" s="22">
        <f>412161/1000</f>
        <v>412.161</v>
      </c>
      <c r="K152" s="22">
        <f>378066/1000</f>
        <v>378.06599999999997</v>
      </c>
      <c r="L152" s="22">
        <f t="shared" si="88"/>
        <v>1238.1130000000001</v>
      </c>
      <c r="M152" s="22">
        <f>330496/1000</f>
        <v>330.49599999999998</v>
      </c>
      <c r="N152" s="22">
        <f>344298/1000</f>
        <v>344.298</v>
      </c>
      <c r="O152" s="22">
        <f>384462/1000</f>
        <v>384.46199999999999</v>
      </c>
      <c r="P152" s="22">
        <f t="shared" si="89"/>
        <v>1059.2559999999999</v>
      </c>
      <c r="Q152" s="22">
        <f>418951/1000</f>
        <v>418.95100000000002</v>
      </c>
      <c r="R152" s="22">
        <f>500677/1000</f>
        <v>500.67700000000002</v>
      </c>
      <c r="S152" s="22">
        <f>508669/1000</f>
        <v>508.66899999999998</v>
      </c>
      <c r="T152" s="22">
        <f t="shared" si="90"/>
        <v>1428.297</v>
      </c>
    </row>
    <row r="153" spans="1:20" x14ac:dyDescent="0.35">
      <c r="A153" s="2">
        <f t="shared" si="85"/>
        <v>5</v>
      </c>
      <c r="B153" s="121" t="s">
        <v>135</v>
      </c>
      <c r="C153" s="24" t="s">
        <v>4</v>
      </c>
      <c r="D153" s="24">
        <f t="shared" si="86"/>
        <v>849.31600000000003</v>
      </c>
      <c r="E153" s="22">
        <f>75492/1000</f>
        <v>75.492000000000004</v>
      </c>
      <c r="F153" s="22">
        <f>72229/1000</f>
        <v>72.228999999999999</v>
      </c>
      <c r="G153" s="22">
        <f>78873/1000</f>
        <v>78.873000000000005</v>
      </c>
      <c r="H153" s="22">
        <f t="shared" si="87"/>
        <v>226.59399999999999</v>
      </c>
      <c r="I153" s="22">
        <f>70170/1000</f>
        <v>70.17</v>
      </c>
      <c r="J153" s="22">
        <f>66314/1000</f>
        <v>66.313999999999993</v>
      </c>
      <c r="K153" s="22">
        <f>70069/1000</f>
        <v>70.069000000000003</v>
      </c>
      <c r="L153" s="22">
        <f t="shared" si="88"/>
        <v>206.553</v>
      </c>
      <c r="M153" s="22">
        <f>67283/1000</f>
        <v>67.283000000000001</v>
      </c>
      <c r="N153" s="22">
        <f>69232/1000</f>
        <v>69.231999999999999</v>
      </c>
      <c r="O153" s="22">
        <f>66202/1000</f>
        <v>66.201999999999998</v>
      </c>
      <c r="P153" s="22">
        <f t="shared" si="89"/>
        <v>202.71699999999998</v>
      </c>
      <c r="Q153" s="22">
        <f>67037/1000</f>
        <v>67.037000000000006</v>
      </c>
      <c r="R153" s="22">
        <f>67907/1000</f>
        <v>67.906999999999996</v>
      </c>
      <c r="S153" s="22">
        <f>78508/1000</f>
        <v>78.507999999999996</v>
      </c>
      <c r="T153" s="22">
        <f t="shared" si="90"/>
        <v>213.452</v>
      </c>
    </row>
    <row r="154" spans="1:20" x14ac:dyDescent="0.35">
      <c r="A154" s="2">
        <f t="shared" si="85"/>
        <v>6</v>
      </c>
      <c r="B154" s="121" t="s">
        <v>136</v>
      </c>
      <c r="C154" s="24" t="s">
        <v>4</v>
      </c>
      <c r="D154" s="24">
        <f t="shared" si="86"/>
        <v>64252.434849478072</v>
      </c>
      <c r="E154" s="22">
        <f>4756013/1000</f>
        <v>4756.0129999999999</v>
      </c>
      <c r="F154" s="22">
        <f>6566421/1000</f>
        <v>6566.4210000000003</v>
      </c>
      <c r="G154" s="22">
        <f>5727627/1000</f>
        <v>5727.6270000000004</v>
      </c>
      <c r="H154" s="22">
        <f t="shared" si="87"/>
        <v>17050.061000000002</v>
      </c>
      <c r="I154" s="22">
        <f>6047893/1000</f>
        <v>6047.893</v>
      </c>
      <c r="J154" s="22">
        <f>5705445/1000</f>
        <v>5705.4449999999997</v>
      </c>
      <c r="K154" s="22">
        <f>6795756.52009362/1000</f>
        <v>6795.7565200936197</v>
      </c>
      <c r="L154" s="22">
        <f t="shared" si="88"/>
        <v>18549.094520093618</v>
      </c>
      <c r="M154" s="22">
        <f>5181923/1000</f>
        <v>5181.9229999999998</v>
      </c>
      <c r="N154" s="22">
        <f>4811596/1000</f>
        <v>4811.5959999999995</v>
      </c>
      <c r="O154" s="22">
        <f>5282728/1000</f>
        <v>5282.7280000000001</v>
      </c>
      <c r="P154" s="22">
        <f t="shared" si="89"/>
        <v>15276.246999999999</v>
      </c>
      <c r="Q154" s="22">
        <f>4982909.58641287/1000</f>
        <v>4982.9095864128703</v>
      </c>
      <c r="R154" s="22">
        <f>4200087.10965073/1000</f>
        <v>4200.0871096507299</v>
      </c>
      <c r="S154" s="22">
        <f>4194035.63332085/1000</f>
        <v>4194.0356333208501</v>
      </c>
      <c r="T154" s="22">
        <f t="shared" si="90"/>
        <v>13377.032329384452</v>
      </c>
    </row>
    <row r="155" spans="1:20" x14ac:dyDescent="0.35">
      <c r="A155" s="2">
        <f t="shared" si="85"/>
        <v>7</v>
      </c>
      <c r="B155" s="121" t="s">
        <v>137</v>
      </c>
      <c r="C155" s="24" t="s">
        <v>4</v>
      </c>
      <c r="D155" s="24">
        <f t="shared" si="86"/>
        <v>12436.925536938428</v>
      </c>
      <c r="E155" s="22">
        <f>1088540/1000</f>
        <v>1088.54</v>
      </c>
      <c r="F155" s="22">
        <f>1459700/1000</f>
        <v>1459.7</v>
      </c>
      <c r="G155" s="22">
        <f>1295793/1000</f>
        <v>1295.7929999999999</v>
      </c>
      <c r="H155" s="22">
        <f t="shared" si="87"/>
        <v>3844.0329999999994</v>
      </c>
      <c r="I155" s="22">
        <f>849526/1000</f>
        <v>849.52599999999995</v>
      </c>
      <c r="J155" s="22">
        <f>764289.0025098/1000</f>
        <v>764.28900250980007</v>
      </c>
      <c r="K155" s="22">
        <f>811113/1000</f>
        <v>811.11300000000006</v>
      </c>
      <c r="L155" s="22">
        <f t="shared" si="88"/>
        <v>2424.9280025098001</v>
      </c>
      <c r="M155" s="22">
        <f>955080/1000</f>
        <v>955.08</v>
      </c>
      <c r="N155" s="22">
        <f>1054810/1000</f>
        <v>1054.81</v>
      </c>
      <c r="O155" s="22">
        <f>1012095/1000</f>
        <v>1012.095</v>
      </c>
      <c r="P155" s="22">
        <f t="shared" si="89"/>
        <v>3021.9849999999997</v>
      </c>
      <c r="Q155" s="22">
        <f>938779.534416409/1000</f>
        <v>938.77953441640898</v>
      </c>
      <c r="R155" s="22">
        <f>906660.000012222/1000</f>
        <v>906.66000001222199</v>
      </c>
      <c r="S155" s="22">
        <f>1300540/1000</f>
        <v>1300.54</v>
      </c>
      <c r="T155" s="22">
        <f t="shared" si="90"/>
        <v>3145.9795344286308</v>
      </c>
    </row>
    <row r="156" spans="1:20" x14ac:dyDescent="0.35">
      <c r="A156" s="2">
        <f t="shared" si="85"/>
        <v>8</v>
      </c>
      <c r="B156" s="121" t="s">
        <v>138</v>
      </c>
      <c r="C156" s="24" t="s">
        <v>4</v>
      </c>
      <c r="D156" s="24">
        <f t="shared" si="86"/>
        <v>14792</v>
      </c>
      <c r="E156" s="22">
        <f>1333200/1000</f>
        <v>1333.2</v>
      </c>
      <c r="F156" s="22">
        <f>1244800/1000</f>
        <v>1244.8</v>
      </c>
      <c r="G156" s="22">
        <f>1267700/1000</f>
        <v>1267.7</v>
      </c>
      <c r="H156" s="22">
        <f t="shared" si="87"/>
        <v>3845.7</v>
      </c>
      <c r="I156" s="22">
        <f>1349700/1000</f>
        <v>1349.7</v>
      </c>
      <c r="J156" s="22">
        <f>1228600/1000</f>
        <v>1228.5999999999999</v>
      </c>
      <c r="K156" s="22">
        <f>1149500/1000</f>
        <v>1149.5</v>
      </c>
      <c r="L156" s="22">
        <f t="shared" si="88"/>
        <v>3727.8</v>
      </c>
      <c r="M156" s="22">
        <f>1242300/1000</f>
        <v>1242.3</v>
      </c>
      <c r="N156" s="22">
        <f>1101200/1000</f>
        <v>1101.2</v>
      </c>
      <c r="O156" s="22">
        <f>1208400/1000</f>
        <v>1208.4000000000001</v>
      </c>
      <c r="P156" s="22">
        <f t="shared" si="89"/>
        <v>3551.9</v>
      </c>
      <c r="Q156" s="22">
        <f>1188800/1000</f>
        <v>1188.8</v>
      </c>
      <c r="R156" s="22">
        <f>1185100/1000</f>
        <v>1185.0999999999999</v>
      </c>
      <c r="S156" s="22">
        <f>1292700/1000</f>
        <v>1292.7</v>
      </c>
      <c r="T156" s="22">
        <f t="shared" si="90"/>
        <v>3666.5999999999995</v>
      </c>
    </row>
    <row r="157" spans="1:20" x14ac:dyDescent="0.35">
      <c r="A157" s="2">
        <f t="shared" si="85"/>
        <v>9</v>
      </c>
      <c r="B157" s="121" t="s">
        <v>139</v>
      </c>
      <c r="C157" s="24" t="s">
        <v>4</v>
      </c>
      <c r="D157" s="24">
        <f t="shared" si="86"/>
        <v>25514.275000000001</v>
      </c>
      <c r="E157" s="22">
        <f>2088550/1000</f>
        <v>2088.5500000000002</v>
      </c>
      <c r="F157" s="22">
        <f>2135320/1000</f>
        <v>2135.3200000000002</v>
      </c>
      <c r="G157" s="22">
        <f>2193250/1000</f>
        <v>2193.25</v>
      </c>
      <c r="H157" s="22">
        <f t="shared" si="87"/>
        <v>6417.1200000000008</v>
      </c>
      <c r="I157" s="22">
        <f>2124380/1000</f>
        <v>2124.38</v>
      </c>
      <c r="J157" s="22">
        <f>2363345/1000</f>
        <v>2363.3449999999998</v>
      </c>
      <c r="K157" s="22">
        <f>2429395/1000</f>
        <v>2429.395</v>
      </c>
      <c r="L157" s="22">
        <f t="shared" si="88"/>
        <v>6917.1200000000008</v>
      </c>
      <c r="M157" s="22">
        <f>2040430/1000</f>
        <v>2040.43</v>
      </c>
      <c r="N157" s="22">
        <f>2054940/1000</f>
        <v>2054.94</v>
      </c>
      <c r="O157" s="22">
        <f>2003415/1000</f>
        <v>2003.415</v>
      </c>
      <c r="P157" s="22">
        <f t="shared" si="89"/>
        <v>6098.7849999999999</v>
      </c>
      <c r="Q157" s="22">
        <f>1917725/1000</f>
        <v>1917.7249999999999</v>
      </c>
      <c r="R157" s="22">
        <f>2044945/1000</f>
        <v>2044.9449999999999</v>
      </c>
      <c r="S157" s="22">
        <f>2118580/1000</f>
        <v>2118.58</v>
      </c>
      <c r="T157" s="22">
        <f t="shared" si="90"/>
        <v>6081.25</v>
      </c>
    </row>
    <row r="158" spans="1:20" x14ac:dyDescent="0.35">
      <c r="A158" s="2">
        <f t="shared" si="85"/>
        <v>10</v>
      </c>
      <c r="B158" s="121" t="s">
        <v>140</v>
      </c>
      <c r="C158" s="24" t="s">
        <v>4</v>
      </c>
      <c r="D158" s="24">
        <f t="shared" si="86"/>
        <v>41981.323999999993</v>
      </c>
      <c r="E158" s="22">
        <f>2492356/1000</f>
        <v>2492.3560000000002</v>
      </c>
      <c r="F158" s="22">
        <f>3744265/1000</f>
        <v>3744.2649999999999</v>
      </c>
      <c r="G158" s="22">
        <f>6455657/1000</f>
        <v>6455.6570000000002</v>
      </c>
      <c r="H158" s="22">
        <f t="shared" si="87"/>
        <v>12692.278</v>
      </c>
      <c r="I158" s="22">
        <f>7972332/1000</f>
        <v>7972.3320000000003</v>
      </c>
      <c r="J158" s="22">
        <f>13117302/1000</f>
        <v>13117.302</v>
      </c>
      <c r="K158" s="22">
        <f>5452742/1000</f>
        <v>5452.7420000000002</v>
      </c>
      <c r="L158" s="22">
        <f t="shared" si="88"/>
        <v>26542.375999999997</v>
      </c>
      <c r="M158" s="22">
        <f>1294108/1000</f>
        <v>1294.1079999999999</v>
      </c>
      <c r="N158" s="22">
        <f>488781/1000</f>
        <v>488.78100000000001</v>
      </c>
      <c r="O158" s="22">
        <f>256143/1000</f>
        <v>256.14299999999997</v>
      </c>
      <c r="P158" s="22">
        <f t="shared" si="89"/>
        <v>2039.0319999999999</v>
      </c>
      <c r="Q158" s="22">
        <f>171737/1000</f>
        <v>171.73699999999999</v>
      </c>
      <c r="R158" s="22">
        <f>201618/1000</f>
        <v>201.61799999999999</v>
      </c>
      <c r="S158" s="22">
        <f>334283/1000</f>
        <v>334.28300000000002</v>
      </c>
      <c r="T158" s="22">
        <f t="shared" si="90"/>
        <v>707.63800000000003</v>
      </c>
    </row>
    <row r="159" spans="1:20" x14ac:dyDescent="0.35">
      <c r="A159" s="2">
        <f t="shared" si="85"/>
        <v>11</v>
      </c>
      <c r="B159" s="121" t="s">
        <v>141</v>
      </c>
      <c r="C159" s="24" t="s">
        <v>4</v>
      </c>
      <c r="D159" s="24">
        <f t="shared" si="86"/>
        <v>2736.5003999999999</v>
      </c>
      <c r="E159" s="22">
        <f>232000/1000</f>
        <v>232</v>
      </c>
      <c r="F159" s="22">
        <f>220000/1000</f>
        <v>220</v>
      </c>
      <c r="G159" s="22">
        <f>240000.4/1000</f>
        <v>240.00039999999998</v>
      </c>
      <c r="H159" s="22">
        <f t="shared" si="87"/>
        <v>692.00040000000001</v>
      </c>
      <c r="I159" s="22">
        <f>230122/1000</f>
        <v>230.12200000000001</v>
      </c>
      <c r="J159" s="22">
        <f>225600/1000</f>
        <v>225.6</v>
      </c>
      <c r="K159" s="22">
        <f>223510/1000</f>
        <v>223.51</v>
      </c>
      <c r="L159" s="22">
        <f t="shared" si="88"/>
        <v>679.23199999999997</v>
      </c>
      <c r="M159" s="22">
        <f>225071/1000</f>
        <v>225.071</v>
      </c>
      <c r="N159" s="22">
        <f>232389/1000</f>
        <v>232.38900000000001</v>
      </c>
      <c r="O159" s="22">
        <f>222808/1000</f>
        <v>222.80799999999999</v>
      </c>
      <c r="P159" s="22">
        <f t="shared" si="89"/>
        <v>680.26800000000003</v>
      </c>
      <c r="Q159" s="22">
        <f>224413/1000</f>
        <v>224.41300000000001</v>
      </c>
      <c r="R159" s="22">
        <f>206067/1000</f>
        <v>206.06700000000001</v>
      </c>
      <c r="S159" s="22">
        <f>254520/1000</f>
        <v>254.52</v>
      </c>
      <c r="T159" s="22">
        <f t="shared" si="90"/>
        <v>685</v>
      </c>
    </row>
    <row r="160" spans="1:20" x14ac:dyDescent="0.35">
      <c r="A160" s="2">
        <f t="shared" si="85"/>
        <v>12</v>
      </c>
      <c r="B160" s="121" t="s">
        <v>142</v>
      </c>
      <c r="C160" s="24" t="s">
        <v>4</v>
      </c>
      <c r="D160" s="24">
        <f t="shared" si="86"/>
        <v>3850.1000000000004</v>
      </c>
      <c r="E160" s="22">
        <f>322950/1000</f>
        <v>322.95</v>
      </c>
      <c r="F160" s="22">
        <f>319050/1000</f>
        <v>319.05</v>
      </c>
      <c r="G160" s="22">
        <f>341300/1000</f>
        <v>341.3</v>
      </c>
      <c r="H160" s="22">
        <f t="shared" si="87"/>
        <v>983.3</v>
      </c>
      <c r="I160" s="22">
        <f>349100/1000</f>
        <v>349.1</v>
      </c>
      <c r="J160" s="22">
        <f>314600/1000</f>
        <v>314.60000000000002</v>
      </c>
      <c r="K160" s="22">
        <f>327100/1000</f>
        <v>327.10000000000002</v>
      </c>
      <c r="L160" s="22">
        <f t="shared" si="88"/>
        <v>990.80000000000007</v>
      </c>
      <c r="M160" s="22">
        <f>287550/1000</f>
        <v>287.55</v>
      </c>
      <c r="N160" s="22">
        <f>296450/1000</f>
        <v>296.45</v>
      </c>
      <c r="O160" s="22">
        <f>297450/1000</f>
        <v>297.45</v>
      </c>
      <c r="P160" s="22">
        <f t="shared" si="89"/>
        <v>881.45</v>
      </c>
      <c r="Q160" s="22">
        <f>326550/1000</f>
        <v>326.55</v>
      </c>
      <c r="R160" s="22">
        <f>328750/1000</f>
        <v>328.75</v>
      </c>
      <c r="S160" s="22">
        <f>339250/1000</f>
        <v>339.25</v>
      </c>
      <c r="T160" s="22">
        <f t="shared" si="90"/>
        <v>994.55</v>
      </c>
    </row>
    <row r="161" spans="1:20" x14ac:dyDescent="0.35">
      <c r="A161" s="2">
        <f t="shared" si="85"/>
        <v>13</v>
      </c>
      <c r="B161" s="121" t="s">
        <v>143</v>
      </c>
      <c r="C161" s="24" t="s">
        <v>4</v>
      </c>
      <c r="D161" s="24">
        <f t="shared" si="86"/>
        <v>1858.5500000000002</v>
      </c>
      <c r="E161" s="22">
        <f>152950/1000</f>
        <v>152.94999999999999</v>
      </c>
      <c r="F161" s="22">
        <f>159600/1000</f>
        <v>159.6</v>
      </c>
      <c r="G161" s="22">
        <f>170500/1000</f>
        <v>170.5</v>
      </c>
      <c r="H161" s="22">
        <f t="shared" si="87"/>
        <v>483.04999999999995</v>
      </c>
      <c r="I161" s="22">
        <f>160550/1000</f>
        <v>160.55000000000001</v>
      </c>
      <c r="J161" s="22">
        <f>162150/1000</f>
        <v>162.15</v>
      </c>
      <c r="K161" s="22">
        <f>160600/1000</f>
        <v>160.6</v>
      </c>
      <c r="L161" s="22">
        <f t="shared" si="88"/>
        <v>483.30000000000007</v>
      </c>
      <c r="M161" s="22">
        <f>148100/1000</f>
        <v>148.1</v>
      </c>
      <c r="N161" s="22">
        <f>143500/1000</f>
        <v>143.5</v>
      </c>
      <c r="O161" s="22">
        <f>139000/1000</f>
        <v>139</v>
      </c>
      <c r="P161" s="22">
        <f t="shared" si="89"/>
        <v>430.6</v>
      </c>
      <c r="Q161" s="22">
        <f>149200/1000</f>
        <v>149.19999999999999</v>
      </c>
      <c r="R161" s="22">
        <f>155500/1000</f>
        <v>155.5</v>
      </c>
      <c r="S161" s="22">
        <f>156900/1000</f>
        <v>156.9</v>
      </c>
      <c r="T161" s="22">
        <f t="shared" si="90"/>
        <v>461.6</v>
      </c>
    </row>
    <row r="162" spans="1:20" x14ac:dyDescent="0.35">
      <c r="A162" s="2">
        <f t="shared" si="85"/>
        <v>14</v>
      </c>
      <c r="B162" s="121" t="s">
        <v>144</v>
      </c>
      <c r="C162" s="24" t="s">
        <v>4</v>
      </c>
      <c r="D162" s="24">
        <f t="shared" si="86"/>
        <v>7364.3</v>
      </c>
      <c r="E162" s="22">
        <f>613000/1000</f>
        <v>613</v>
      </c>
      <c r="F162" s="22">
        <f>555300/1000</f>
        <v>555.29999999999995</v>
      </c>
      <c r="G162" s="22">
        <f>693000/1000</f>
        <v>693</v>
      </c>
      <c r="H162" s="22">
        <f t="shared" si="87"/>
        <v>1861.3</v>
      </c>
      <c r="I162" s="22">
        <f>629500/1000</f>
        <v>629.5</v>
      </c>
      <c r="J162" s="22">
        <f>550000/1000</f>
        <v>550</v>
      </c>
      <c r="K162" s="22">
        <f>607000/1000</f>
        <v>607</v>
      </c>
      <c r="L162" s="22">
        <f t="shared" si="88"/>
        <v>1786.5</v>
      </c>
      <c r="M162" s="22">
        <f>509500/1000</f>
        <v>509.5</v>
      </c>
      <c r="N162" s="22">
        <f>556000/1000</f>
        <v>556</v>
      </c>
      <c r="O162" s="22">
        <f>616500/1000</f>
        <v>616.5</v>
      </c>
      <c r="P162" s="22">
        <f t="shared" si="89"/>
        <v>1682</v>
      </c>
      <c r="Q162" s="22">
        <f>672000/1000</f>
        <v>672</v>
      </c>
      <c r="R162" s="22">
        <f>664000/1000</f>
        <v>664</v>
      </c>
      <c r="S162" s="22">
        <f>698500/1000</f>
        <v>698.5</v>
      </c>
      <c r="T162" s="22">
        <f t="shared" si="90"/>
        <v>2034.5</v>
      </c>
    </row>
    <row r="163" spans="1:20" x14ac:dyDescent="0.35">
      <c r="A163" s="2">
        <f t="shared" si="85"/>
        <v>15</v>
      </c>
      <c r="B163" s="121" t="s">
        <v>145</v>
      </c>
      <c r="C163" s="24" t="s">
        <v>4</v>
      </c>
      <c r="D163" s="24">
        <f t="shared" si="86"/>
        <v>1813.1179999999999</v>
      </c>
      <c r="E163" s="22">
        <f>146300/1000</f>
        <v>146.30000000000001</v>
      </c>
      <c r="F163" s="22">
        <f>148250/1000</f>
        <v>148.25</v>
      </c>
      <c r="G163" s="22">
        <f>165350/1000</f>
        <v>165.35</v>
      </c>
      <c r="H163" s="22">
        <f t="shared" si="87"/>
        <v>459.9</v>
      </c>
      <c r="I163" s="22">
        <f>152450/1000</f>
        <v>152.44999999999999</v>
      </c>
      <c r="J163" s="22">
        <f>145230/1000</f>
        <v>145.22999999999999</v>
      </c>
      <c r="K163" s="22">
        <f>146480/1000</f>
        <v>146.47999999999999</v>
      </c>
      <c r="L163" s="22">
        <f t="shared" si="88"/>
        <v>444.15999999999997</v>
      </c>
      <c r="M163" s="22">
        <f>149073/1000</f>
        <v>149.07300000000001</v>
      </c>
      <c r="N163" s="22">
        <f>148075/1000</f>
        <v>148.07499999999999</v>
      </c>
      <c r="O163" s="22">
        <f>149550/1000</f>
        <v>149.55000000000001</v>
      </c>
      <c r="P163" s="22">
        <f t="shared" si="89"/>
        <v>446.69800000000004</v>
      </c>
      <c r="Q163" s="22">
        <f>149660/1000</f>
        <v>149.66</v>
      </c>
      <c r="R163" s="22">
        <f>156200/1000</f>
        <v>156.19999999999999</v>
      </c>
      <c r="S163" s="22">
        <f>156500/1000</f>
        <v>156.5</v>
      </c>
      <c r="T163" s="22">
        <f t="shared" si="90"/>
        <v>462.36</v>
      </c>
    </row>
    <row r="164" spans="1:20" x14ac:dyDescent="0.35">
      <c r="A164" s="2">
        <f t="shared" si="85"/>
        <v>16</v>
      </c>
      <c r="B164" s="121" t="s">
        <v>146</v>
      </c>
      <c r="C164" s="24" t="s">
        <v>4</v>
      </c>
      <c r="D164" s="24">
        <f t="shared" si="86"/>
        <v>11030</v>
      </c>
      <c r="E164" s="22">
        <f>993000/1000</f>
        <v>993</v>
      </c>
      <c r="F164" s="22">
        <f>1009000/1000</f>
        <v>1009</v>
      </c>
      <c r="G164" s="22">
        <f>1005000/1000</f>
        <v>1005</v>
      </c>
      <c r="H164" s="22">
        <f t="shared" si="87"/>
        <v>3007</v>
      </c>
      <c r="I164" s="22">
        <f>985000/1000</f>
        <v>985</v>
      </c>
      <c r="J164" s="22">
        <f>966000/1000</f>
        <v>966</v>
      </c>
      <c r="K164" s="22">
        <f>947000/1000</f>
        <v>947</v>
      </c>
      <c r="L164" s="22">
        <f t="shared" si="88"/>
        <v>2898</v>
      </c>
      <c r="M164" s="22">
        <f>876000/1000</f>
        <v>876</v>
      </c>
      <c r="N164" s="22">
        <f>834000/1000</f>
        <v>834</v>
      </c>
      <c r="O164" s="22">
        <f>810000/1000</f>
        <v>810</v>
      </c>
      <c r="P164" s="22">
        <f t="shared" si="89"/>
        <v>2520</v>
      </c>
      <c r="Q164" s="22">
        <f>855800/1000</f>
        <v>855.8</v>
      </c>
      <c r="R164" s="22">
        <f>867600/1000</f>
        <v>867.6</v>
      </c>
      <c r="S164" s="22">
        <f>881600/1000</f>
        <v>881.6</v>
      </c>
      <c r="T164" s="22">
        <f t="shared" si="90"/>
        <v>2605</v>
      </c>
    </row>
    <row r="165" spans="1:20" x14ac:dyDescent="0.35">
      <c r="A165" s="2">
        <f t="shared" si="85"/>
        <v>17</v>
      </c>
      <c r="B165" s="121" t="s">
        <v>147</v>
      </c>
      <c r="C165" s="24" t="s">
        <v>4</v>
      </c>
      <c r="D165" s="24">
        <f t="shared" si="86"/>
        <v>4406.5249999999996</v>
      </c>
      <c r="E165" s="22">
        <f>365758/1000</f>
        <v>365.75799999999998</v>
      </c>
      <c r="F165" s="22">
        <f>364798/1000</f>
        <v>364.798</v>
      </c>
      <c r="G165" s="22">
        <f>366988/1000</f>
        <v>366.988</v>
      </c>
      <c r="H165" s="22">
        <f t="shared" si="87"/>
        <v>1097.5440000000001</v>
      </c>
      <c r="I165" s="22">
        <f>377032/1000</f>
        <v>377.03199999999998</v>
      </c>
      <c r="J165" s="22">
        <f>374905/1000</f>
        <v>374.90499999999997</v>
      </c>
      <c r="K165" s="22">
        <f>365830/1000</f>
        <v>365.83</v>
      </c>
      <c r="L165" s="22">
        <f t="shared" si="88"/>
        <v>1117.7669999999998</v>
      </c>
      <c r="M165" s="22">
        <f>372655/1000</f>
        <v>372.65499999999997</v>
      </c>
      <c r="N165" s="22">
        <f>372167/1000</f>
        <v>372.16699999999997</v>
      </c>
      <c r="O165" s="22">
        <f>368330/1000</f>
        <v>368.33</v>
      </c>
      <c r="P165" s="22">
        <f t="shared" si="89"/>
        <v>1113.1519999999998</v>
      </c>
      <c r="Q165" s="22">
        <f>357158/1000</f>
        <v>357.15800000000002</v>
      </c>
      <c r="R165" s="22">
        <f>359041/1000</f>
        <v>359.041</v>
      </c>
      <c r="S165" s="22">
        <f>361863/1000</f>
        <v>361.863</v>
      </c>
      <c r="T165" s="22">
        <f t="shared" si="90"/>
        <v>1078.0620000000001</v>
      </c>
    </row>
    <row r="166" spans="1:20" x14ac:dyDescent="0.35">
      <c r="A166" s="2">
        <f t="shared" si="85"/>
        <v>18</v>
      </c>
      <c r="B166" s="121" t="s">
        <v>148</v>
      </c>
      <c r="C166" s="24" t="s">
        <v>4</v>
      </c>
      <c r="D166" s="24">
        <f t="shared" si="86"/>
        <v>930.88699999999994</v>
      </c>
      <c r="E166" s="22">
        <f>42284/1000</f>
        <v>42.283999999999999</v>
      </c>
      <c r="F166" s="22">
        <f>52294/1000</f>
        <v>52.293999999999997</v>
      </c>
      <c r="G166" s="22">
        <f>67169/1000</f>
        <v>67.168999999999997</v>
      </c>
      <c r="H166" s="22">
        <f t="shared" si="87"/>
        <v>161.74700000000001</v>
      </c>
      <c r="I166" s="22">
        <f>79255/1000</f>
        <v>79.254999999999995</v>
      </c>
      <c r="J166" s="22">
        <f>74022/1000</f>
        <v>74.022000000000006</v>
      </c>
      <c r="K166" s="22">
        <f>80718/1000</f>
        <v>80.718000000000004</v>
      </c>
      <c r="L166" s="22">
        <f t="shared" si="88"/>
        <v>233.995</v>
      </c>
      <c r="M166" s="22">
        <f>76840/1000</f>
        <v>76.84</v>
      </c>
      <c r="N166" s="22">
        <f>85115/1000</f>
        <v>85.114999999999995</v>
      </c>
      <c r="O166" s="22">
        <f>83135/1000</f>
        <v>83.135000000000005</v>
      </c>
      <c r="P166" s="22">
        <f t="shared" si="89"/>
        <v>245.08999999999997</v>
      </c>
      <c r="Q166" s="22">
        <f>77455/1000</f>
        <v>77.454999999999998</v>
      </c>
      <c r="R166" s="22">
        <f>78002/1000</f>
        <v>78.001999999999995</v>
      </c>
      <c r="S166" s="22">
        <f>134598/1000</f>
        <v>134.59800000000001</v>
      </c>
      <c r="T166" s="22">
        <f t="shared" si="90"/>
        <v>290.05500000000001</v>
      </c>
    </row>
    <row r="167" spans="1:20" x14ac:dyDescent="0.35">
      <c r="A167" s="2">
        <f t="shared" si="85"/>
        <v>19</v>
      </c>
      <c r="B167" s="121" t="s">
        <v>149</v>
      </c>
      <c r="C167" s="24" t="s">
        <v>4</v>
      </c>
      <c r="D167" s="24">
        <f t="shared" si="86"/>
        <v>800.05</v>
      </c>
      <c r="E167" s="22">
        <f>54804/1000</f>
        <v>54.804000000000002</v>
      </c>
      <c r="F167" s="22">
        <f>51481/1000</f>
        <v>51.481000000000002</v>
      </c>
      <c r="G167" s="22">
        <f>66350/1000</f>
        <v>66.349999999999994</v>
      </c>
      <c r="H167" s="22">
        <f t="shared" si="87"/>
        <v>172.63499999999999</v>
      </c>
      <c r="I167" s="22">
        <f>61318/1000</f>
        <v>61.317999999999998</v>
      </c>
      <c r="J167" s="22">
        <f>58922/1000</f>
        <v>58.921999999999997</v>
      </c>
      <c r="K167" s="22">
        <f>60132/1000</f>
        <v>60.131999999999998</v>
      </c>
      <c r="L167" s="22">
        <f t="shared" si="88"/>
        <v>180.37199999999999</v>
      </c>
      <c r="M167" s="22">
        <f>58954/1000</f>
        <v>58.954000000000001</v>
      </c>
      <c r="N167" s="22">
        <f>58301/1000</f>
        <v>58.301000000000002</v>
      </c>
      <c r="O167" s="22">
        <f>60761/1000</f>
        <v>60.761000000000003</v>
      </c>
      <c r="P167" s="22">
        <f t="shared" si="89"/>
        <v>178.01599999999999</v>
      </c>
      <c r="Q167" s="22">
        <f>89255/1000</f>
        <v>89.254999999999995</v>
      </c>
      <c r="R167" s="22">
        <f>88720/1000</f>
        <v>88.72</v>
      </c>
      <c r="S167" s="22">
        <f>91052/1000</f>
        <v>91.052000000000007</v>
      </c>
      <c r="T167" s="22">
        <f t="shared" si="90"/>
        <v>269.02699999999999</v>
      </c>
    </row>
    <row r="168" spans="1:20" x14ac:dyDescent="0.35">
      <c r="A168" s="2">
        <f t="shared" si="85"/>
        <v>20</v>
      </c>
      <c r="B168" s="121" t="s">
        <v>150</v>
      </c>
      <c r="C168" s="24" t="s">
        <v>4</v>
      </c>
      <c r="D168" s="24">
        <f t="shared" si="86"/>
        <v>15942.118629999999</v>
      </c>
      <c r="E168" s="22">
        <f>1570473.73/1000</f>
        <v>1570.4737299999999</v>
      </c>
      <c r="F168" s="22">
        <f>1326576.58/1000</f>
        <v>1326.5765800000001</v>
      </c>
      <c r="G168" s="22">
        <f>1659706.76/1000</f>
        <v>1659.70676</v>
      </c>
      <c r="H168" s="22">
        <f t="shared" si="87"/>
        <v>4556.7570699999997</v>
      </c>
      <c r="I168" s="22">
        <f>1942346.47/1000</f>
        <v>1942.34647</v>
      </c>
      <c r="J168" s="22">
        <f>1111596.3/1000</f>
        <v>1111.5963000000002</v>
      </c>
      <c r="K168" s="22">
        <f>1033144.37/1000</f>
        <v>1033.14437</v>
      </c>
      <c r="L168" s="22">
        <f t="shared" si="88"/>
        <v>4087.0871400000001</v>
      </c>
      <c r="M168" s="22">
        <f>1344432.47/1000</f>
        <v>1344.43247</v>
      </c>
      <c r="N168" s="22">
        <f>1300062.33/1000</f>
        <v>1300.06233</v>
      </c>
      <c r="O168" s="22">
        <f>1232903.69/1000</f>
        <v>1232.9036899999999</v>
      </c>
      <c r="P168" s="22">
        <f t="shared" si="89"/>
        <v>3877.3984899999996</v>
      </c>
      <c r="Q168" s="22">
        <f>1184818.06/1000</f>
        <v>1184.8180600000001</v>
      </c>
      <c r="R168" s="22">
        <f>1023943.29/1000</f>
        <v>1023.94329</v>
      </c>
      <c r="S168" s="22">
        <f>1212114.58/1000</f>
        <v>1212.1145800000002</v>
      </c>
      <c r="T168" s="22">
        <f t="shared" si="90"/>
        <v>3420.8759300000002</v>
      </c>
    </row>
    <row r="169" spans="1:20" x14ac:dyDescent="0.35">
      <c r="A169" s="2">
        <f t="shared" si="85"/>
        <v>21</v>
      </c>
      <c r="B169" s="121" t="s">
        <v>151</v>
      </c>
      <c r="C169" s="24" t="s">
        <v>4</v>
      </c>
      <c r="D169" s="24">
        <f t="shared" si="86"/>
        <v>2179.7129999999997</v>
      </c>
      <c r="E169" s="22">
        <f>185146/1000</f>
        <v>185.14599999999999</v>
      </c>
      <c r="F169" s="22">
        <f>180926/1000</f>
        <v>180.92599999999999</v>
      </c>
      <c r="G169" s="22">
        <f>201672/1000</f>
        <v>201.672</v>
      </c>
      <c r="H169" s="22">
        <f t="shared" si="87"/>
        <v>567.74400000000003</v>
      </c>
      <c r="I169" s="22">
        <f>205789/1000</f>
        <v>205.78899999999999</v>
      </c>
      <c r="J169" s="22">
        <f>187488/1000</f>
        <v>187.488</v>
      </c>
      <c r="K169" s="22">
        <f>178260/1000</f>
        <v>178.26</v>
      </c>
      <c r="L169" s="22">
        <f t="shared" si="88"/>
        <v>571.53700000000003</v>
      </c>
      <c r="M169" s="22">
        <f>177222/1000</f>
        <v>177.22200000000001</v>
      </c>
      <c r="N169" s="22">
        <f>173410/1000</f>
        <v>173.41</v>
      </c>
      <c r="O169" s="22">
        <f>163213/1000</f>
        <v>163.21299999999999</v>
      </c>
      <c r="P169" s="22">
        <f t="shared" si="89"/>
        <v>513.84500000000003</v>
      </c>
      <c r="Q169" s="22">
        <f>171221/1000</f>
        <v>171.221</v>
      </c>
      <c r="R169" s="22">
        <f>174604/1000</f>
        <v>174.60400000000001</v>
      </c>
      <c r="S169" s="22">
        <f>180762/1000</f>
        <v>180.762</v>
      </c>
      <c r="T169" s="22">
        <f t="shared" si="90"/>
        <v>526.58699999999999</v>
      </c>
    </row>
    <row r="170" spans="1:20" x14ac:dyDescent="0.35">
      <c r="A170" s="2">
        <f t="shared" si="85"/>
        <v>22</v>
      </c>
      <c r="B170" s="121" t="s">
        <v>152</v>
      </c>
      <c r="C170" s="24" t="s">
        <v>4</v>
      </c>
      <c r="D170" s="24">
        <f t="shared" si="86"/>
        <v>856.33999999999992</v>
      </c>
      <c r="E170" s="22">
        <f>57300/1000</f>
        <v>57.3</v>
      </c>
      <c r="F170" s="22">
        <f>63200/1000</f>
        <v>63.2</v>
      </c>
      <c r="G170" s="22">
        <f>102500/1000</f>
        <v>102.5</v>
      </c>
      <c r="H170" s="22">
        <f t="shared" si="87"/>
        <v>223</v>
      </c>
      <c r="I170" s="22">
        <f>56100/1000</f>
        <v>56.1</v>
      </c>
      <c r="J170" s="22">
        <f>57040/1000</f>
        <v>57.04</v>
      </c>
      <c r="K170" s="22">
        <f>91150/1000</f>
        <v>91.15</v>
      </c>
      <c r="L170" s="22">
        <f t="shared" si="88"/>
        <v>204.29000000000002</v>
      </c>
      <c r="M170" s="22">
        <f>44990/1000</f>
        <v>44.99</v>
      </c>
      <c r="N170" s="22">
        <f>73200/1000</f>
        <v>73.2</v>
      </c>
      <c r="O170" s="22">
        <f>98770/1000</f>
        <v>98.77</v>
      </c>
      <c r="P170" s="22">
        <f t="shared" si="89"/>
        <v>216.95999999999998</v>
      </c>
      <c r="Q170" s="22">
        <f>57240/1000</f>
        <v>57.24</v>
      </c>
      <c r="R170" s="22">
        <f>54360/1000</f>
        <v>54.36</v>
      </c>
      <c r="S170" s="22">
        <f>100490/1000</f>
        <v>100.49</v>
      </c>
      <c r="T170" s="22">
        <f t="shared" si="90"/>
        <v>212.08999999999997</v>
      </c>
    </row>
    <row r="171" spans="1:20" x14ac:dyDescent="0.35">
      <c r="A171" s="2">
        <v>23</v>
      </c>
      <c r="B171" s="121" t="s">
        <v>153</v>
      </c>
      <c r="C171" s="24" t="s">
        <v>4</v>
      </c>
      <c r="D171" s="24">
        <f t="shared" si="86"/>
        <v>228.94900000000001</v>
      </c>
      <c r="E171" s="22">
        <f>18751/1000</f>
        <v>18.751000000000001</v>
      </c>
      <c r="F171" s="22">
        <f>14872/1000</f>
        <v>14.872</v>
      </c>
      <c r="G171" s="22">
        <f>23380/1000</f>
        <v>23.38</v>
      </c>
      <c r="H171" s="22">
        <f t="shared" si="87"/>
        <v>57.003</v>
      </c>
      <c r="I171" s="22">
        <f>16006/1000</f>
        <v>16.006</v>
      </c>
      <c r="J171" s="22">
        <f>23481/1000</f>
        <v>23.481000000000002</v>
      </c>
      <c r="K171" s="22">
        <f>14909/1000</f>
        <v>14.909000000000001</v>
      </c>
      <c r="L171" s="22">
        <f t="shared" si="88"/>
        <v>54.396000000000001</v>
      </c>
      <c r="M171" s="22">
        <f>17500/1000</f>
        <v>17.5</v>
      </c>
      <c r="N171" s="22">
        <f>13000/1000</f>
        <v>13</v>
      </c>
      <c r="O171" s="22">
        <f>20500/1000</f>
        <v>20.5</v>
      </c>
      <c r="P171" s="22">
        <f t="shared" si="89"/>
        <v>51</v>
      </c>
      <c r="Q171" s="22">
        <f>22310/1000</f>
        <v>22.31</v>
      </c>
      <c r="R171" s="22">
        <f>19920/1000</f>
        <v>19.920000000000002</v>
      </c>
      <c r="S171" s="22">
        <f>24320/1000</f>
        <v>24.32</v>
      </c>
      <c r="T171" s="22">
        <f t="shared" si="90"/>
        <v>66.550000000000011</v>
      </c>
    </row>
    <row r="172" spans="1:20" x14ac:dyDescent="0.35">
      <c r="A172" s="2">
        <v>24</v>
      </c>
      <c r="B172" s="121" t="s">
        <v>154</v>
      </c>
      <c r="C172" s="24" t="s">
        <v>4</v>
      </c>
      <c r="D172" s="24">
        <f t="shared" si="86"/>
        <v>26544.644999999997</v>
      </c>
      <c r="E172" s="22">
        <f>1889600/1000</f>
        <v>1889.6</v>
      </c>
      <c r="F172" s="22">
        <f>2567845/1000</f>
        <v>2567.8449999999998</v>
      </c>
      <c r="G172" s="22">
        <f>2796500/1000</f>
        <v>2796.5</v>
      </c>
      <c r="H172" s="22">
        <f t="shared" si="87"/>
        <v>7253.9449999999997</v>
      </c>
      <c r="I172" s="22">
        <f>2514000/1000</f>
        <v>2514</v>
      </c>
      <c r="J172" s="22">
        <f>2017400/1000</f>
        <v>2017.4</v>
      </c>
      <c r="K172" s="22">
        <f>1522100/1000</f>
        <v>1522.1</v>
      </c>
      <c r="L172" s="22">
        <f t="shared" si="88"/>
        <v>6053.5</v>
      </c>
      <c r="M172" s="22">
        <f>1765200/1000</f>
        <v>1765.2</v>
      </c>
      <c r="N172" s="22">
        <f>2268000/1000</f>
        <v>2268</v>
      </c>
      <c r="O172" s="22">
        <f>2025600/1000</f>
        <v>2025.6</v>
      </c>
      <c r="P172" s="22">
        <f t="shared" si="89"/>
        <v>6058.7999999999993</v>
      </c>
      <c r="Q172" s="22">
        <f>2175500/1000</f>
        <v>2175.5</v>
      </c>
      <c r="R172" s="22">
        <f>2458500/1000</f>
        <v>2458.5</v>
      </c>
      <c r="S172" s="22">
        <f>2544400/1000</f>
        <v>2544.4</v>
      </c>
      <c r="T172" s="22">
        <f t="shared" si="90"/>
        <v>7178.4</v>
      </c>
    </row>
    <row r="173" spans="1:20" x14ac:dyDescent="0.35">
      <c r="A173" s="2">
        <v>25</v>
      </c>
      <c r="B173" s="121" t="s">
        <v>155</v>
      </c>
      <c r="C173" s="24" t="s">
        <v>4</v>
      </c>
      <c r="D173" s="24">
        <f t="shared" si="86"/>
        <v>637.82900000000006</v>
      </c>
      <c r="E173" s="22">
        <f>55332/1000</f>
        <v>55.332000000000001</v>
      </c>
      <c r="F173" s="22">
        <f>58851/1000</f>
        <v>58.850999999999999</v>
      </c>
      <c r="G173" s="22">
        <f>55632/1000</f>
        <v>55.631999999999998</v>
      </c>
      <c r="H173" s="22">
        <f t="shared" si="87"/>
        <v>169.815</v>
      </c>
      <c r="I173" s="22">
        <f>49051/1000</f>
        <v>49.051000000000002</v>
      </c>
      <c r="J173" s="22">
        <f>51904/1000</f>
        <v>51.904000000000003</v>
      </c>
      <c r="K173" s="22">
        <f>50728/1000</f>
        <v>50.728000000000002</v>
      </c>
      <c r="L173" s="22">
        <f t="shared" si="88"/>
        <v>151.68300000000002</v>
      </c>
      <c r="M173" s="22">
        <f>44353/1000</f>
        <v>44.353000000000002</v>
      </c>
      <c r="N173" s="22">
        <f>43264/1000</f>
        <v>43.264000000000003</v>
      </c>
      <c r="O173" s="22">
        <f>46278/1000</f>
        <v>46.277999999999999</v>
      </c>
      <c r="P173" s="22">
        <f t="shared" si="89"/>
        <v>133.89500000000001</v>
      </c>
      <c r="Q173" s="22">
        <f>62526/1000</f>
        <v>62.526000000000003</v>
      </c>
      <c r="R173" s="22">
        <f>60884/1000</f>
        <v>60.884</v>
      </c>
      <c r="S173" s="22">
        <f>59026/1000</f>
        <v>59.026000000000003</v>
      </c>
      <c r="T173" s="22">
        <f t="shared" si="90"/>
        <v>182.43600000000001</v>
      </c>
    </row>
    <row r="174" spans="1:20" x14ac:dyDescent="0.35">
      <c r="A174" s="2">
        <v>26</v>
      </c>
      <c r="B174" s="121" t="s">
        <v>156</v>
      </c>
      <c r="C174" s="24" t="s">
        <v>4</v>
      </c>
      <c r="D174" s="24">
        <f t="shared" si="86"/>
        <v>2548.8763999999996</v>
      </c>
      <c r="E174" s="22">
        <f>28785.5/1000</f>
        <v>28.785499999999999</v>
      </c>
      <c r="F174" s="22">
        <f>33160/1000</f>
        <v>33.159999999999997</v>
      </c>
      <c r="G174" s="22">
        <f>32012.7/1000</f>
        <v>32.012700000000002</v>
      </c>
      <c r="H174" s="22">
        <f t="shared" si="87"/>
        <v>93.958200000000005</v>
      </c>
      <c r="I174" s="22">
        <f>37353.5/1000</f>
        <v>37.353499999999997</v>
      </c>
      <c r="J174" s="22">
        <f>34484/1000</f>
        <v>34.484000000000002</v>
      </c>
      <c r="K174" s="22">
        <f>33802/1000</f>
        <v>33.802</v>
      </c>
      <c r="L174" s="22">
        <f t="shared" si="88"/>
        <v>105.6395</v>
      </c>
      <c r="M174" s="22">
        <f>700186.7/1000</f>
        <v>700.18669999999997</v>
      </c>
      <c r="N174" s="22">
        <f>750913/1000</f>
        <v>750.91300000000001</v>
      </c>
      <c r="O174" s="22">
        <f>779023/1000</f>
        <v>779.02300000000002</v>
      </c>
      <c r="P174" s="22">
        <f t="shared" si="89"/>
        <v>2230.1226999999999</v>
      </c>
      <c r="Q174" s="22">
        <f>39675/1000</f>
        <v>39.674999999999997</v>
      </c>
      <c r="R174" s="22">
        <f>39597/1000</f>
        <v>39.597000000000001</v>
      </c>
      <c r="S174" s="22">
        <f>39884/1000</f>
        <v>39.884</v>
      </c>
      <c r="T174" s="22">
        <f t="shared" si="90"/>
        <v>119.15599999999999</v>
      </c>
    </row>
    <row r="175" spans="1:20" x14ac:dyDescent="0.35">
      <c r="A175" s="2">
        <v>27</v>
      </c>
      <c r="B175" s="121" t="s">
        <v>157</v>
      </c>
      <c r="C175" s="24" t="s">
        <v>4</v>
      </c>
      <c r="D175" s="24">
        <f t="shared" si="86"/>
        <v>4813.018</v>
      </c>
      <c r="E175" s="22">
        <f>404459/1000</f>
        <v>404.459</v>
      </c>
      <c r="F175" s="22">
        <f>390490/1000</f>
        <v>390.49</v>
      </c>
      <c r="G175" s="22">
        <f>430475/1000</f>
        <v>430.47500000000002</v>
      </c>
      <c r="H175" s="22">
        <f t="shared" si="87"/>
        <v>1225.424</v>
      </c>
      <c r="I175" s="22">
        <f>456370/1000</f>
        <v>456.37</v>
      </c>
      <c r="J175" s="22">
        <f>434230/1000</f>
        <v>434.23</v>
      </c>
      <c r="K175" s="22">
        <f>429214/1000</f>
        <v>429.214</v>
      </c>
      <c r="L175" s="22">
        <f t="shared" si="88"/>
        <v>1319.8140000000001</v>
      </c>
      <c r="M175" s="22">
        <f>413077/1000</f>
        <v>413.077</v>
      </c>
      <c r="N175" s="22">
        <f>392004/1000</f>
        <v>392.00400000000002</v>
      </c>
      <c r="O175" s="22">
        <f>380662/1000</f>
        <v>380.66199999999998</v>
      </c>
      <c r="P175" s="22">
        <f t="shared" si="89"/>
        <v>1185.7429999999999</v>
      </c>
      <c r="Q175" s="22">
        <f>371816/1000</f>
        <v>371.81599999999997</v>
      </c>
      <c r="R175" s="22">
        <f>363234/1000</f>
        <v>363.23399999999998</v>
      </c>
      <c r="S175" s="22">
        <f>346987/1000</f>
        <v>346.98700000000002</v>
      </c>
      <c r="T175" s="22">
        <f t="shared" si="90"/>
        <v>1082.037</v>
      </c>
    </row>
    <row r="176" spans="1:20" x14ac:dyDescent="0.35">
      <c r="A176" s="2">
        <v>28</v>
      </c>
      <c r="B176" s="121" t="s">
        <v>158</v>
      </c>
      <c r="C176" s="24" t="s">
        <v>4</v>
      </c>
      <c r="D176" s="24">
        <f t="shared" si="86"/>
        <v>15105.58</v>
      </c>
      <c r="E176" s="22">
        <f>1126450/1000</f>
        <v>1126.45</v>
      </c>
      <c r="F176" s="22">
        <f>1296230/1000</f>
        <v>1296.23</v>
      </c>
      <c r="G176" s="22">
        <f>1166780/1000</f>
        <v>1166.78</v>
      </c>
      <c r="H176" s="22">
        <f t="shared" si="87"/>
        <v>3589.46</v>
      </c>
      <c r="I176" s="22">
        <f>1333470/1000</f>
        <v>1333.47</v>
      </c>
      <c r="J176" s="22">
        <f>1166780/1000</f>
        <v>1166.78</v>
      </c>
      <c r="K176" s="22">
        <f>833420/1000</f>
        <v>833.42</v>
      </c>
      <c r="L176" s="22">
        <f t="shared" si="88"/>
        <v>3333.67</v>
      </c>
      <c r="M176" s="22">
        <f>791750/1000</f>
        <v>791.75</v>
      </c>
      <c r="N176" s="22">
        <f>1231610/1000</f>
        <v>1231.6099999999999</v>
      </c>
      <c r="O176" s="22">
        <f>1121150/1000</f>
        <v>1121.1500000000001</v>
      </c>
      <c r="P176" s="22">
        <f t="shared" si="89"/>
        <v>3144.51</v>
      </c>
      <c r="Q176" s="22">
        <f>1342730/1000</f>
        <v>1342.73</v>
      </c>
      <c r="R176" s="22">
        <f>1687000/1000</f>
        <v>1687</v>
      </c>
      <c r="S176" s="22">
        <f>2008210/1000</f>
        <v>2008.21</v>
      </c>
      <c r="T176" s="22">
        <f t="shared" si="90"/>
        <v>5037.9400000000005</v>
      </c>
    </row>
    <row r="177" spans="1:20" x14ac:dyDescent="0.35">
      <c r="A177" s="2">
        <v>29</v>
      </c>
      <c r="B177" s="121" t="s">
        <v>159</v>
      </c>
      <c r="C177" s="24" t="s">
        <v>4</v>
      </c>
      <c r="D177" s="24">
        <f t="shared" si="86"/>
        <v>53401.5</v>
      </c>
      <c r="E177" s="22">
        <f>4094000/1000</f>
        <v>4094</v>
      </c>
      <c r="F177" s="22">
        <f>4034000/1000</f>
        <v>4034</v>
      </c>
      <c r="G177" s="22">
        <f>4244000/1000</f>
        <v>4244</v>
      </c>
      <c r="H177" s="22">
        <f t="shared" si="87"/>
        <v>12372</v>
      </c>
      <c r="I177" s="22">
        <f>4436000/1000</f>
        <v>4436</v>
      </c>
      <c r="J177" s="22">
        <f>4544000/1000</f>
        <v>4544</v>
      </c>
      <c r="K177" s="22">
        <f>4664500/1000</f>
        <v>4664.5</v>
      </c>
      <c r="L177" s="22">
        <f t="shared" si="88"/>
        <v>13644.5</v>
      </c>
      <c r="M177" s="22">
        <f>4569500/1000</f>
        <v>4569.5</v>
      </c>
      <c r="N177" s="22">
        <f>4334500/1000</f>
        <v>4334.5</v>
      </c>
      <c r="O177" s="22">
        <f>4304500/1000</f>
        <v>4304.5</v>
      </c>
      <c r="P177" s="22">
        <f t="shared" si="89"/>
        <v>13208.5</v>
      </c>
      <c r="Q177" s="22">
        <f>4334500/1000</f>
        <v>4334.5</v>
      </c>
      <c r="R177" s="22">
        <f>4935000/1000</f>
        <v>4935</v>
      </c>
      <c r="S177" s="22">
        <f>4907000/1000</f>
        <v>4907</v>
      </c>
      <c r="T177" s="22">
        <f t="shared" si="90"/>
        <v>14176.5</v>
      </c>
    </row>
    <row r="178" spans="1:20" x14ac:dyDescent="0.35">
      <c r="A178" s="2">
        <v>30</v>
      </c>
      <c r="B178" s="121" t="s">
        <v>160</v>
      </c>
      <c r="C178" s="24" t="s">
        <v>4</v>
      </c>
      <c r="D178" s="24">
        <f t="shared" si="86"/>
        <v>0</v>
      </c>
      <c r="E178" s="22">
        <v>0</v>
      </c>
      <c r="F178" s="22">
        <v>0</v>
      </c>
      <c r="G178" s="22">
        <v>0</v>
      </c>
      <c r="H178" s="22">
        <f t="shared" si="87"/>
        <v>0</v>
      </c>
      <c r="I178" s="22">
        <v>0</v>
      </c>
      <c r="J178" s="22">
        <v>0</v>
      </c>
      <c r="K178" s="22">
        <v>0</v>
      </c>
      <c r="L178" s="22">
        <f t="shared" si="88"/>
        <v>0</v>
      </c>
      <c r="M178" s="22">
        <v>0</v>
      </c>
      <c r="N178" s="22">
        <v>0</v>
      </c>
      <c r="O178" s="22">
        <v>0</v>
      </c>
      <c r="P178" s="22">
        <f t="shared" si="89"/>
        <v>0</v>
      </c>
      <c r="Q178" s="22">
        <v>0</v>
      </c>
      <c r="R178" s="22">
        <v>0</v>
      </c>
      <c r="S178" s="22">
        <v>0</v>
      </c>
      <c r="T178" s="22">
        <f t="shared" si="90"/>
        <v>0</v>
      </c>
    </row>
    <row r="179" spans="1:20" x14ac:dyDescent="0.35">
      <c r="A179" s="2">
        <v>31</v>
      </c>
      <c r="B179" s="121" t="s">
        <v>161</v>
      </c>
      <c r="C179" s="24" t="s">
        <v>4</v>
      </c>
      <c r="D179" s="24">
        <f t="shared" si="86"/>
        <v>244.77999999999997</v>
      </c>
      <c r="E179" s="22">
        <f>22810/1000</f>
        <v>22.81</v>
      </c>
      <c r="F179" s="22">
        <f>22630/1000</f>
        <v>22.63</v>
      </c>
      <c r="G179" s="22">
        <f>22990/1000</f>
        <v>22.99</v>
      </c>
      <c r="H179" s="22">
        <f t="shared" si="87"/>
        <v>68.429999999999993</v>
      </c>
      <c r="I179" s="22">
        <f>22570/1000</f>
        <v>22.57</v>
      </c>
      <c r="J179" s="22">
        <f>21560/1000</f>
        <v>21.56</v>
      </c>
      <c r="K179" s="22">
        <f>18570/1000</f>
        <v>18.57</v>
      </c>
      <c r="L179" s="22">
        <f t="shared" si="88"/>
        <v>62.699999999999996</v>
      </c>
      <c r="M179" s="22">
        <f>20300/1000</f>
        <v>20.3</v>
      </c>
      <c r="N179" s="22">
        <f>20410/1000</f>
        <v>20.41</v>
      </c>
      <c r="O179" s="22">
        <f>20430/1000</f>
        <v>20.43</v>
      </c>
      <c r="P179" s="22">
        <f t="shared" si="89"/>
        <v>61.14</v>
      </c>
      <c r="Q179" s="22">
        <f>17320/1000</f>
        <v>17.32</v>
      </c>
      <c r="R179" s="22">
        <f>17500/1000</f>
        <v>17.5</v>
      </c>
      <c r="S179" s="22">
        <f>17690/1000</f>
        <v>17.690000000000001</v>
      </c>
      <c r="T179" s="22">
        <f t="shared" si="90"/>
        <v>52.510000000000005</v>
      </c>
    </row>
    <row r="180" spans="1:20" x14ac:dyDescent="0.35">
      <c r="A180" s="2">
        <v>32</v>
      </c>
      <c r="B180" s="121" t="s">
        <v>162</v>
      </c>
      <c r="C180" s="24" t="s">
        <v>4</v>
      </c>
      <c r="D180" s="24">
        <f t="shared" si="86"/>
        <v>193.10000000000002</v>
      </c>
      <c r="E180" s="22">
        <f>16200/1000</f>
        <v>16.2</v>
      </c>
      <c r="F180" s="22">
        <f>16700/1000</f>
        <v>16.7</v>
      </c>
      <c r="G180" s="22">
        <f>18000/1000</f>
        <v>18</v>
      </c>
      <c r="H180" s="22">
        <f t="shared" si="87"/>
        <v>50.9</v>
      </c>
      <c r="I180" s="22">
        <f>16100/1000</f>
        <v>16.100000000000001</v>
      </c>
      <c r="J180" s="22">
        <f>16000/1000</f>
        <v>16</v>
      </c>
      <c r="K180" s="22">
        <f>15500/1000</f>
        <v>15.5</v>
      </c>
      <c r="L180" s="22">
        <f t="shared" si="88"/>
        <v>47.6</v>
      </c>
      <c r="M180" s="22">
        <f>16000/1000</f>
        <v>16</v>
      </c>
      <c r="N180" s="22">
        <f>11700/1000</f>
        <v>11.7</v>
      </c>
      <c r="O180" s="22">
        <f>18600/1000</f>
        <v>18.600000000000001</v>
      </c>
      <c r="P180" s="22">
        <f t="shared" si="89"/>
        <v>46.3</v>
      </c>
      <c r="Q180" s="22">
        <f>16100/1000</f>
        <v>16.100000000000001</v>
      </c>
      <c r="R180" s="22">
        <f>17100/1000</f>
        <v>17.100000000000001</v>
      </c>
      <c r="S180" s="22">
        <f>15100/1000</f>
        <v>15.1</v>
      </c>
      <c r="T180" s="22">
        <f t="shared" si="90"/>
        <v>48.300000000000004</v>
      </c>
    </row>
    <row r="181" spans="1:20" x14ac:dyDescent="0.35">
      <c r="A181" s="2">
        <v>33</v>
      </c>
      <c r="B181" s="121" t="s">
        <v>163</v>
      </c>
      <c r="C181" s="24" t="s">
        <v>4</v>
      </c>
      <c r="D181" s="24">
        <f t="shared" si="86"/>
        <v>290.62495000000001</v>
      </c>
      <c r="E181" s="22">
        <f>30025/1000</f>
        <v>30.024999999999999</v>
      </c>
      <c r="F181" s="22">
        <f>31595/1000</f>
        <v>31.594999999999999</v>
      </c>
      <c r="G181" s="22">
        <f>30324.98/1000</f>
        <v>30.32498</v>
      </c>
      <c r="H181" s="22">
        <f t="shared" si="87"/>
        <v>91.944980000000001</v>
      </c>
      <c r="I181" s="22">
        <f>29899.97/1000</f>
        <v>29.89997</v>
      </c>
      <c r="J181" s="22">
        <f>27220/1000</f>
        <v>27.22</v>
      </c>
      <c r="K181" s="22">
        <f>25670/1000</f>
        <v>25.67</v>
      </c>
      <c r="L181" s="22">
        <f t="shared" si="88"/>
        <v>82.789969999999997</v>
      </c>
      <c r="M181" s="22">
        <f>18875/1000</f>
        <v>18.875</v>
      </c>
      <c r="N181" s="22">
        <f>18565/1000</f>
        <v>18.565000000000001</v>
      </c>
      <c r="O181" s="22">
        <f>17925/1000</f>
        <v>17.925000000000001</v>
      </c>
      <c r="P181" s="22">
        <f t="shared" si="89"/>
        <v>55.364999999999995</v>
      </c>
      <c r="Q181" s="22">
        <f>18805/1000</f>
        <v>18.805</v>
      </c>
      <c r="R181" s="22">
        <f>19865/1000</f>
        <v>19.864999999999998</v>
      </c>
      <c r="S181" s="22">
        <f>21855/1000</f>
        <v>21.855</v>
      </c>
      <c r="T181" s="22">
        <f t="shared" si="90"/>
        <v>60.525000000000006</v>
      </c>
    </row>
    <row r="182" spans="1:20" x14ac:dyDescent="0.35">
      <c r="A182" s="2">
        <v>34</v>
      </c>
      <c r="B182" s="121" t="s">
        <v>164</v>
      </c>
      <c r="C182" s="24" t="s">
        <v>4</v>
      </c>
      <c r="D182" s="24">
        <f t="shared" si="86"/>
        <v>143.39999999999998</v>
      </c>
      <c r="E182" s="22">
        <f>4600/1000</f>
        <v>4.5999999999999996</v>
      </c>
      <c r="F182" s="22">
        <f>13300/1000</f>
        <v>13.3</v>
      </c>
      <c r="G182" s="22">
        <f>26600/1000</f>
        <v>26.6</v>
      </c>
      <c r="H182" s="22">
        <f t="shared" si="87"/>
        <v>44.5</v>
      </c>
      <c r="I182" s="22">
        <f>6000/1000</f>
        <v>6</v>
      </c>
      <c r="J182" s="22">
        <f>11300/1000</f>
        <v>11.3</v>
      </c>
      <c r="K182" s="22">
        <f>13300/1000</f>
        <v>13.3</v>
      </c>
      <c r="L182" s="22">
        <f t="shared" si="88"/>
        <v>30.6</v>
      </c>
      <c r="M182" s="22">
        <f>9100/1000</f>
        <v>9.1</v>
      </c>
      <c r="N182" s="22">
        <f>8000/1000</f>
        <v>8</v>
      </c>
      <c r="O182" s="22">
        <f>5700/1000</f>
        <v>5.7</v>
      </c>
      <c r="P182" s="22">
        <f t="shared" si="89"/>
        <v>22.8</v>
      </c>
      <c r="Q182" s="22">
        <f>6800/1000</f>
        <v>6.8</v>
      </c>
      <c r="R182" s="22">
        <f>15500/1000</f>
        <v>15.5</v>
      </c>
      <c r="S182" s="22">
        <f>23200/1000</f>
        <v>23.2</v>
      </c>
      <c r="T182" s="22">
        <f t="shared" si="90"/>
        <v>45.5</v>
      </c>
    </row>
    <row r="183" spans="1:20" x14ac:dyDescent="0.35">
      <c r="A183" s="2">
        <v>35</v>
      </c>
      <c r="B183" s="121" t="s">
        <v>165</v>
      </c>
      <c r="C183" s="24" t="s">
        <v>4</v>
      </c>
      <c r="D183" s="24">
        <f t="shared" si="86"/>
        <v>228.71099999999998</v>
      </c>
      <c r="E183" s="22">
        <f>19100/1000</f>
        <v>19.100000000000001</v>
      </c>
      <c r="F183" s="22">
        <f>19119/1000</f>
        <v>19.119</v>
      </c>
      <c r="G183" s="22">
        <f>19111/1000</f>
        <v>19.111000000000001</v>
      </c>
      <c r="H183" s="22">
        <f t="shared" si="87"/>
        <v>57.33</v>
      </c>
      <c r="I183" s="22">
        <f>18964/1000</f>
        <v>18.963999999999999</v>
      </c>
      <c r="J183" s="22">
        <f>18900/1000</f>
        <v>18.899999999999999</v>
      </c>
      <c r="K183" s="22">
        <f>18780/1000</f>
        <v>18.78</v>
      </c>
      <c r="L183" s="22">
        <f t="shared" si="88"/>
        <v>56.643999999999998</v>
      </c>
      <c r="M183" s="22">
        <f>18850/1000</f>
        <v>18.850000000000001</v>
      </c>
      <c r="N183" s="22">
        <f>18900/1000</f>
        <v>18.899999999999999</v>
      </c>
      <c r="O183" s="22">
        <f>19118/1000</f>
        <v>19.117999999999999</v>
      </c>
      <c r="P183" s="22">
        <f t="shared" si="89"/>
        <v>56.867999999999995</v>
      </c>
      <c r="Q183" s="22">
        <f>19150/1000</f>
        <v>19.149999999999999</v>
      </c>
      <c r="R183" s="22">
        <f>19200/1000</f>
        <v>19.2</v>
      </c>
      <c r="S183" s="22">
        <f>19519/1000</f>
        <v>19.518999999999998</v>
      </c>
      <c r="T183" s="22">
        <f t="shared" si="90"/>
        <v>57.868999999999993</v>
      </c>
    </row>
    <row r="184" spans="1:20" x14ac:dyDescent="0.35">
      <c r="A184" s="2">
        <v>36</v>
      </c>
      <c r="B184" s="121" t="s">
        <v>166</v>
      </c>
      <c r="C184" s="24" t="s">
        <v>4</v>
      </c>
      <c r="D184" s="24">
        <f t="shared" si="86"/>
        <v>35.863</v>
      </c>
      <c r="E184" s="22">
        <f>7295/1000</f>
        <v>7.2949999999999999</v>
      </c>
      <c r="F184" s="22">
        <f>2221/1000</f>
        <v>2.2210000000000001</v>
      </c>
      <c r="G184" s="22">
        <f>2967/1000</f>
        <v>2.9670000000000001</v>
      </c>
      <c r="H184" s="22">
        <f t="shared" si="87"/>
        <v>12.483000000000001</v>
      </c>
      <c r="I184" s="22">
        <f>6923/1000</f>
        <v>6.923</v>
      </c>
      <c r="J184" s="22">
        <f>2109/1000</f>
        <v>2.109</v>
      </c>
      <c r="K184" s="22">
        <f>1391/1000</f>
        <v>1.391</v>
      </c>
      <c r="L184" s="22">
        <f t="shared" si="88"/>
        <v>10.423</v>
      </c>
      <c r="M184" s="22">
        <f>2257/1000</f>
        <v>2.2570000000000001</v>
      </c>
      <c r="N184" s="22">
        <f>1417/1000</f>
        <v>1.417</v>
      </c>
      <c r="O184" s="22">
        <f>1603/1000</f>
        <v>1.603</v>
      </c>
      <c r="P184" s="22">
        <f t="shared" si="89"/>
        <v>5.2770000000000001</v>
      </c>
      <c r="Q184" s="22">
        <f>2218/1000</f>
        <v>2.218</v>
      </c>
      <c r="R184" s="22">
        <f>2562/1000</f>
        <v>2.5619999999999998</v>
      </c>
      <c r="S184" s="22">
        <f>2900/1000</f>
        <v>2.9</v>
      </c>
      <c r="T184" s="22">
        <f t="shared" si="90"/>
        <v>7.68</v>
      </c>
    </row>
    <row r="185" spans="1:20" x14ac:dyDescent="0.35">
      <c r="A185" s="2">
        <v>37</v>
      </c>
      <c r="B185" s="121" t="s">
        <v>167</v>
      </c>
      <c r="C185" s="24" t="s">
        <v>4</v>
      </c>
      <c r="D185" s="24">
        <f t="shared" si="86"/>
        <v>199.11219999999997</v>
      </c>
      <c r="E185" s="22">
        <f>21309.2/1000</f>
        <v>21.309200000000001</v>
      </c>
      <c r="F185" s="22">
        <f>16148/1000</f>
        <v>16.148</v>
      </c>
      <c r="G185" s="22">
        <f>17130/1000</f>
        <v>17.13</v>
      </c>
      <c r="H185" s="22">
        <f t="shared" si="87"/>
        <v>54.587199999999996</v>
      </c>
      <c r="I185" s="22">
        <f>12745/1000</f>
        <v>12.744999999999999</v>
      </c>
      <c r="J185" s="22">
        <f>15112/1000</f>
        <v>15.112</v>
      </c>
      <c r="K185" s="22">
        <f>17138/1000</f>
        <v>17.138000000000002</v>
      </c>
      <c r="L185" s="22">
        <f t="shared" si="88"/>
        <v>44.995000000000005</v>
      </c>
      <c r="M185" s="22">
        <f>15323/1000</f>
        <v>15.323</v>
      </c>
      <c r="N185" s="22">
        <f>13337/1000</f>
        <v>13.337</v>
      </c>
      <c r="O185" s="22">
        <f>12641/1000</f>
        <v>12.641</v>
      </c>
      <c r="P185" s="22">
        <f t="shared" si="89"/>
        <v>41.301000000000002</v>
      </c>
      <c r="Q185" s="22">
        <f>11888/1000</f>
        <v>11.888</v>
      </c>
      <c r="R185" s="22">
        <f>20487/1000</f>
        <v>20.486999999999998</v>
      </c>
      <c r="S185" s="22">
        <f>25854/1000</f>
        <v>25.853999999999999</v>
      </c>
      <c r="T185" s="22">
        <f t="shared" si="90"/>
        <v>58.228999999999999</v>
      </c>
    </row>
    <row r="186" spans="1:20" x14ac:dyDescent="0.35">
      <c r="A186" s="2">
        <v>38</v>
      </c>
      <c r="B186" s="121" t="s">
        <v>168</v>
      </c>
      <c r="C186" s="24" t="s">
        <v>4</v>
      </c>
      <c r="D186" s="24">
        <f t="shared" si="86"/>
        <v>4674.6779999999999</v>
      </c>
      <c r="E186" s="22">
        <f>377903/1000</f>
        <v>377.90300000000002</v>
      </c>
      <c r="F186" s="22">
        <f>419530/1000</f>
        <v>419.53</v>
      </c>
      <c r="G186" s="22">
        <f>461281/1000</f>
        <v>461.28100000000001</v>
      </c>
      <c r="H186" s="22">
        <f t="shared" si="87"/>
        <v>1258.7139999999999</v>
      </c>
      <c r="I186" s="22">
        <f>316923/1000</f>
        <v>316.923</v>
      </c>
      <c r="J186" s="22">
        <f>351763/1000</f>
        <v>351.76299999999998</v>
      </c>
      <c r="K186" s="22">
        <f>376408/1000</f>
        <v>376.40800000000002</v>
      </c>
      <c r="L186" s="22">
        <f t="shared" si="88"/>
        <v>1045.0940000000001</v>
      </c>
      <c r="M186" s="22">
        <f>389600/1000</f>
        <v>389.6</v>
      </c>
      <c r="N186" s="22">
        <f>425780/1000</f>
        <v>425.78</v>
      </c>
      <c r="O186" s="22">
        <f>347930/1000</f>
        <v>347.93</v>
      </c>
      <c r="P186" s="22">
        <f t="shared" si="89"/>
        <v>1163.31</v>
      </c>
      <c r="Q186" s="22">
        <f>362030/1000</f>
        <v>362.03</v>
      </c>
      <c r="R186" s="22">
        <f>443660/1000</f>
        <v>443.66</v>
      </c>
      <c r="S186" s="22">
        <f>401870/1000</f>
        <v>401.87</v>
      </c>
      <c r="T186" s="22">
        <f t="shared" si="90"/>
        <v>1207.56</v>
      </c>
    </row>
    <row r="188" spans="1:20" x14ac:dyDescent="0.35">
      <c r="A188" s="1" t="s">
        <v>62</v>
      </c>
    </row>
    <row r="189" spans="1:20" ht="15.5" x14ac:dyDescent="0.35">
      <c r="A189" s="10" t="s">
        <v>0</v>
      </c>
      <c r="B189" s="10" t="s">
        <v>1</v>
      </c>
      <c r="C189" s="10" t="s">
        <v>2</v>
      </c>
      <c r="D189" s="31" t="s">
        <v>67</v>
      </c>
      <c r="E189" s="27" t="s">
        <v>113</v>
      </c>
      <c r="F189" s="11" t="s">
        <v>114</v>
      </c>
      <c r="G189" s="11" t="s">
        <v>115</v>
      </c>
      <c r="H189" s="28" t="s">
        <v>27</v>
      </c>
      <c r="I189" s="11" t="s">
        <v>55</v>
      </c>
      <c r="J189" s="11" t="s">
        <v>116</v>
      </c>
      <c r="K189" s="11" t="s">
        <v>117</v>
      </c>
      <c r="L189" s="15" t="s">
        <v>54</v>
      </c>
      <c r="M189" s="11" t="s">
        <v>118</v>
      </c>
      <c r="N189" s="11" t="s">
        <v>119</v>
      </c>
      <c r="O189" s="11" t="s">
        <v>56</v>
      </c>
      <c r="P189" s="15" t="s">
        <v>57</v>
      </c>
      <c r="Q189" s="11" t="s">
        <v>120</v>
      </c>
      <c r="R189" s="11" t="s">
        <v>58</v>
      </c>
      <c r="S189" s="11" t="s">
        <v>121</v>
      </c>
      <c r="T189" s="15" t="s">
        <v>59</v>
      </c>
    </row>
    <row r="190" spans="1:20" ht="15.5" x14ac:dyDescent="0.35">
      <c r="A190" s="12"/>
      <c r="B190" s="12"/>
      <c r="C190" s="12"/>
      <c r="D190" s="32"/>
      <c r="E190" s="29"/>
      <c r="F190" s="13"/>
      <c r="G190" s="13"/>
      <c r="H190" s="29"/>
      <c r="I190" s="13"/>
      <c r="J190" s="13"/>
      <c r="K190" s="13"/>
      <c r="L190" s="9"/>
      <c r="M190" s="13"/>
      <c r="N190" s="13"/>
      <c r="O190" s="13"/>
      <c r="P190" s="9"/>
      <c r="Q190" s="13"/>
      <c r="R190" s="13"/>
      <c r="S190" s="13"/>
      <c r="T190" s="9"/>
    </row>
    <row r="191" spans="1:20" x14ac:dyDescent="0.35">
      <c r="A191" s="45"/>
      <c r="B191" s="33" t="s">
        <v>26</v>
      </c>
      <c r="C191" s="33" t="s">
        <v>4</v>
      </c>
      <c r="D191" s="33">
        <f>SUM(D192:D229)</f>
        <v>16316.298000366</v>
      </c>
      <c r="E191" s="84">
        <f>SUM(E192:E229)</f>
        <v>1750.2</v>
      </c>
      <c r="F191" s="84">
        <f t="shared" ref="F191:G191" si="91">SUM(F192:F229)</f>
        <v>1899.32</v>
      </c>
      <c r="G191" s="84">
        <f t="shared" si="91"/>
        <v>1594.7430000000002</v>
      </c>
      <c r="H191" s="84">
        <f t="shared" ref="H191" si="92">SUM(E191:G191)</f>
        <v>5244.2629999999999</v>
      </c>
      <c r="I191" s="84">
        <f>SUM(I192:I229)</f>
        <v>1851.2809999999999</v>
      </c>
      <c r="J191" s="84">
        <f t="shared" ref="J191:K191" si="93">SUM(J192:J229)</f>
        <v>1912.6679999999999</v>
      </c>
      <c r="K191" s="84">
        <f t="shared" si="93"/>
        <v>1128.26</v>
      </c>
      <c r="L191" s="84">
        <f t="shared" ref="L191" si="94">SUM(I191:K191)</f>
        <v>4892.2089999999998</v>
      </c>
      <c r="M191" s="84">
        <f>SUM(M192:M229)</f>
        <v>541.16300036600001</v>
      </c>
      <c r="N191" s="84">
        <f>SUM(N192:N229)</f>
        <v>717.71600000000001</v>
      </c>
      <c r="O191" s="84">
        <f>SUM(O192:O229)</f>
        <v>882.19200000000001</v>
      </c>
      <c r="P191" s="84">
        <f t="shared" ref="P191" si="95">SUM(M191:O191)</f>
        <v>2141.0710003660001</v>
      </c>
      <c r="Q191" s="84">
        <f>SUM(Q192:Q229)</f>
        <v>907.89099999999996</v>
      </c>
      <c r="R191" s="84">
        <f t="shared" ref="R191:S191" si="96">SUM(R192:R229)</f>
        <v>1138.6870000000001</v>
      </c>
      <c r="S191" s="84">
        <f t="shared" si="96"/>
        <v>1992.1770000000001</v>
      </c>
      <c r="T191" s="84">
        <f t="shared" ref="T191" si="97">SUM(Q191:S191)</f>
        <v>4038.7550000000001</v>
      </c>
    </row>
    <row r="192" spans="1:20" x14ac:dyDescent="0.35">
      <c r="A192" s="2">
        <v>1</v>
      </c>
      <c r="B192" s="121" t="s">
        <v>131</v>
      </c>
      <c r="C192" s="24" t="s">
        <v>4</v>
      </c>
      <c r="D192" s="24">
        <f>SUM(H192,L192,P192,T192)</f>
        <v>0</v>
      </c>
      <c r="E192" s="22">
        <v>0</v>
      </c>
      <c r="F192" s="22">
        <v>0</v>
      </c>
      <c r="G192" s="22">
        <v>0</v>
      </c>
      <c r="H192" s="22">
        <f>SUM(E192:G192)</f>
        <v>0</v>
      </c>
      <c r="I192" s="22">
        <v>0</v>
      </c>
      <c r="J192" s="22">
        <v>0</v>
      </c>
      <c r="K192" s="22">
        <v>0</v>
      </c>
      <c r="L192" s="22">
        <f>SUM(I192:K192)</f>
        <v>0</v>
      </c>
      <c r="M192" s="22">
        <v>0</v>
      </c>
      <c r="N192" s="22">
        <v>0</v>
      </c>
      <c r="O192" s="22">
        <v>0</v>
      </c>
      <c r="P192" s="22">
        <f>SUM(M192:O192)</f>
        <v>0</v>
      </c>
      <c r="Q192" s="22">
        <v>0</v>
      </c>
      <c r="R192" s="22">
        <v>0</v>
      </c>
      <c r="S192" s="22">
        <v>0</v>
      </c>
      <c r="T192" s="22">
        <f>SUM(Q192:S192)</f>
        <v>0</v>
      </c>
    </row>
    <row r="193" spans="1:20" x14ac:dyDescent="0.35">
      <c r="A193" s="2">
        <f t="shared" ref="A193:A213" si="98">A192+1</f>
        <v>2</v>
      </c>
      <c r="B193" s="121" t="s">
        <v>132</v>
      </c>
      <c r="C193" s="24" t="s">
        <v>4</v>
      </c>
      <c r="D193" s="24">
        <f t="shared" ref="D193:D229" si="99">SUM(H193,L193,P193,T193)</f>
        <v>68.204999999999998</v>
      </c>
      <c r="E193" s="22">
        <f>6315/1000</f>
        <v>6.3150000000000004</v>
      </c>
      <c r="F193" s="22">
        <f>6210/1000</f>
        <v>6.21</v>
      </c>
      <c r="G193" s="22">
        <f>6215/1000</f>
        <v>6.2149999999999999</v>
      </c>
      <c r="H193" s="22">
        <f t="shared" ref="H193:H229" si="100">SUM(E193:G193)</f>
        <v>18.740000000000002</v>
      </c>
      <c r="I193" s="22">
        <f>5380/1000</f>
        <v>5.38</v>
      </c>
      <c r="J193" s="22">
        <f>5235/1000</f>
        <v>5.2350000000000003</v>
      </c>
      <c r="K193" s="22">
        <f>5335/1000</f>
        <v>5.335</v>
      </c>
      <c r="L193" s="22">
        <f t="shared" ref="L193:L229" si="101">SUM(I193:K193)</f>
        <v>15.95</v>
      </c>
      <c r="M193" s="22">
        <f>5670/1000</f>
        <v>5.67</v>
      </c>
      <c r="N193" s="22">
        <f>5830/1000</f>
        <v>5.83</v>
      </c>
      <c r="O193" s="22">
        <f>5780/1000</f>
        <v>5.78</v>
      </c>
      <c r="P193" s="22">
        <f t="shared" ref="P193:P229" si="102">SUM(M193:O193)</f>
        <v>17.28</v>
      </c>
      <c r="Q193" s="22">
        <f>5415/1000</f>
        <v>5.415</v>
      </c>
      <c r="R193" s="22">
        <f>5405/1000</f>
        <v>5.4050000000000002</v>
      </c>
      <c r="S193" s="22">
        <f>5415/1000</f>
        <v>5.415</v>
      </c>
      <c r="T193" s="22">
        <f t="shared" ref="T193:T229" si="103">SUM(Q193:S193)</f>
        <v>16.234999999999999</v>
      </c>
    </row>
    <row r="194" spans="1:20" x14ac:dyDescent="0.35">
      <c r="A194" s="2">
        <f t="shared" si="98"/>
        <v>3</v>
      </c>
      <c r="B194" s="121" t="s">
        <v>133</v>
      </c>
      <c r="C194" s="24" t="s">
        <v>4</v>
      </c>
      <c r="D194" s="24">
        <f t="shared" si="99"/>
        <v>1.8199999999999998</v>
      </c>
      <c r="E194" s="22">
        <f>100/1000</f>
        <v>0.1</v>
      </c>
      <c r="F194" s="22">
        <f>120/1000</f>
        <v>0.12</v>
      </c>
      <c r="G194" s="22">
        <f>200/1000</f>
        <v>0.2</v>
      </c>
      <c r="H194" s="22">
        <f t="shared" si="100"/>
        <v>0.42000000000000004</v>
      </c>
      <c r="I194" s="22">
        <f>200/1000</f>
        <v>0.2</v>
      </c>
      <c r="J194" s="22">
        <f>190/1000</f>
        <v>0.19</v>
      </c>
      <c r="K194" s="22">
        <f>160/1000</f>
        <v>0.16</v>
      </c>
      <c r="L194" s="22">
        <f t="shared" si="101"/>
        <v>0.55000000000000004</v>
      </c>
      <c r="M194" s="22">
        <f>170/1000</f>
        <v>0.17</v>
      </c>
      <c r="N194" s="22">
        <f>150/1000</f>
        <v>0.15</v>
      </c>
      <c r="O194" s="22">
        <f>150/1000</f>
        <v>0.15</v>
      </c>
      <c r="P194" s="22">
        <f t="shared" si="102"/>
        <v>0.47</v>
      </c>
      <c r="Q194" s="22">
        <f>130/1000</f>
        <v>0.13</v>
      </c>
      <c r="R194" s="22">
        <f>150/1000</f>
        <v>0.15</v>
      </c>
      <c r="S194" s="22">
        <f>100/1000</f>
        <v>0.1</v>
      </c>
      <c r="T194" s="22">
        <f t="shared" si="103"/>
        <v>0.38</v>
      </c>
    </row>
    <row r="195" spans="1:20" x14ac:dyDescent="0.35">
      <c r="A195" s="2">
        <f t="shared" si="98"/>
        <v>4</v>
      </c>
      <c r="B195" s="121" t="s">
        <v>134</v>
      </c>
      <c r="C195" s="24" t="s">
        <v>4</v>
      </c>
      <c r="D195" s="24">
        <f t="shared" si="99"/>
        <v>84.221999999999994</v>
      </c>
      <c r="E195" s="22">
        <f>24380/1000</f>
        <v>24.38</v>
      </c>
      <c r="F195" s="22">
        <f>19657/1000</f>
        <v>19.657</v>
      </c>
      <c r="G195" s="22">
        <f>12735/1000</f>
        <v>12.734999999999999</v>
      </c>
      <c r="H195" s="22">
        <f t="shared" si="100"/>
        <v>56.771999999999998</v>
      </c>
      <c r="I195" s="22">
        <f>10012/1000</f>
        <v>10.012</v>
      </c>
      <c r="J195" s="22">
        <f>8573/1000</f>
        <v>8.5730000000000004</v>
      </c>
      <c r="K195" s="22">
        <f>4470/1000</f>
        <v>4.47</v>
      </c>
      <c r="L195" s="22">
        <f t="shared" si="101"/>
        <v>23.055</v>
      </c>
      <c r="M195" s="22">
        <f>323/1000</f>
        <v>0.32300000000000001</v>
      </c>
      <c r="N195" s="22">
        <f>412/1000</f>
        <v>0.41199999999999998</v>
      </c>
      <c r="O195" s="22">
        <f>568/1000</f>
        <v>0.56799999999999995</v>
      </c>
      <c r="P195" s="22">
        <f t="shared" si="102"/>
        <v>1.3029999999999999</v>
      </c>
      <c r="Q195" s="22">
        <f>846/1000</f>
        <v>0.84599999999999997</v>
      </c>
      <c r="R195" s="22">
        <f>1129/1000</f>
        <v>1.129</v>
      </c>
      <c r="S195" s="22">
        <f>1117/1000</f>
        <v>1.117</v>
      </c>
      <c r="T195" s="22">
        <f t="shared" si="103"/>
        <v>3.0920000000000001</v>
      </c>
    </row>
    <row r="196" spans="1:20" x14ac:dyDescent="0.35">
      <c r="A196" s="2">
        <f t="shared" si="98"/>
        <v>5</v>
      </c>
      <c r="B196" s="121" t="s">
        <v>135</v>
      </c>
      <c r="C196" s="24" t="s">
        <v>4</v>
      </c>
      <c r="D196" s="24">
        <f t="shared" si="99"/>
        <v>0</v>
      </c>
      <c r="E196" s="22">
        <v>0</v>
      </c>
      <c r="F196" s="22">
        <v>0</v>
      </c>
      <c r="G196" s="22">
        <v>0</v>
      </c>
      <c r="H196" s="22">
        <f t="shared" si="100"/>
        <v>0</v>
      </c>
      <c r="I196" s="22">
        <v>0</v>
      </c>
      <c r="J196" s="22">
        <v>0</v>
      </c>
      <c r="K196" s="22">
        <v>0</v>
      </c>
      <c r="L196" s="22">
        <f t="shared" si="101"/>
        <v>0</v>
      </c>
      <c r="M196" s="22">
        <v>0</v>
      </c>
      <c r="N196" s="22">
        <v>0</v>
      </c>
      <c r="O196" s="22">
        <v>0</v>
      </c>
      <c r="P196" s="22">
        <f t="shared" si="102"/>
        <v>0</v>
      </c>
      <c r="Q196" s="22">
        <v>0</v>
      </c>
      <c r="R196" s="22">
        <v>0</v>
      </c>
      <c r="S196" s="22">
        <v>0</v>
      </c>
      <c r="T196" s="22">
        <f t="shared" si="103"/>
        <v>0</v>
      </c>
    </row>
    <row r="197" spans="1:20" x14ac:dyDescent="0.35">
      <c r="A197" s="2">
        <f t="shared" si="98"/>
        <v>6</v>
      </c>
      <c r="B197" s="121" t="s">
        <v>136</v>
      </c>
      <c r="C197" s="24" t="s">
        <v>4</v>
      </c>
      <c r="D197" s="24">
        <f t="shared" si="99"/>
        <v>0</v>
      </c>
      <c r="E197" s="22">
        <v>0</v>
      </c>
      <c r="F197" s="22">
        <v>0</v>
      </c>
      <c r="G197" s="22">
        <v>0</v>
      </c>
      <c r="H197" s="22">
        <f t="shared" si="100"/>
        <v>0</v>
      </c>
      <c r="I197" s="22">
        <v>0</v>
      </c>
      <c r="J197" s="22">
        <v>0</v>
      </c>
      <c r="K197" s="22">
        <v>0</v>
      </c>
      <c r="L197" s="22">
        <f t="shared" si="101"/>
        <v>0</v>
      </c>
      <c r="M197" s="22">
        <v>0</v>
      </c>
      <c r="N197" s="22">
        <v>0</v>
      </c>
      <c r="O197" s="22">
        <v>0</v>
      </c>
      <c r="P197" s="22">
        <f t="shared" si="102"/>
        <v>0</v>
      </c>
      <c r="Q197" s="22">
        <v>0</v>
      </c>
      <c r="R197" s="22">
        <v>0</v>
      </c>
      <c r="S197" s="22">
        <v>0</v>
      </c>
      <c r="T197" s="22">
        <f t="shared" si="103"/>
        <v>0</v>
      </c>
    </row>
    <row r="198" spans="1:20" x14ac:dyDescent="0.35">
      <c r="A198" s="2">
        <f t="shared" si="98"/>
        <v>7</v>
      </c>
      <c r="B198" s="121" t="s">
        <v>137</v>
      </c>
      <c r="C198" s="24" t="s">
        <v>4</v>
      </c>
      <c r="D198" s="24">
        <f t="shared" si="99"/>
        <v>35.722000365999996</v>
      </c>
      <c r="E198" s="22">
        <f>610/1000</f>
        <v>0.61</v>
      </c>
      <c r="F198" s="22">
        <f>480/1000</f>
        <v>0.48</v>
      </c>
      <c r="G198" s="22">
        <f>15310/1000</f>
        <v>15.31</v>
      </c>
      <c r="H198" s="22">
        <f t="shared" si="100"/>
        <v>16.399999999999999</v>
      </c>
      <c r="I198" s="22">
        <f>2719/1000</f>
        <v>2.7189999999999999</v>
      </c>
      <c r="J198" s="22">
        <f>2515/1000</f>
        <v>2.5150000000000001</v>
      </c>
      <c r="K198" s="22">
        <f>2120/1000</f>
        <v>2.12</v>
      </c>
      <c r="L198" s="22">
        <f t="shared" si="101"/>
        <v>7.3540000000000001</v>
      </c>
      <c r="M198" s="22">
        <f>1930.000366/1000</f>
        <v>1.930000366</v>
      </c>
      <c r="N198" s="22">
        <f>1815/1000</f>
        <v>1.8149999999999999</v>
      </c>
      <c r="O198" s="22">
        <f>1800/1000</f>
        <v>1.8</v>
      </c>
      <c r="P198" s="22">
        <f t="shared" si="102"/>
        <v>5.545000366</v>
      </c>
      <c r="Q198" s="22">
        <f>545/1000</f>
        <v>0.54500000000000004</v>
      </c>
      <c r="R198" s="22">
        <f>1470/1000</f>
        <v>1.47</v>
      </c>
      <c r="S198" s="22">
        <f>4408/1000</f>
        <v>4.4080000000000004</v>
      </c>
      <c r="T198" s="22">
        <f t="shared" si="103"/>
        <v>6.423</v>
      </c>
    </row>
    <row r="199" spans="1:20" x14ac:dyDescent="0.35">
      <c r="A199" s="2">
        <f t="shared" si="98"/>
        <v>8</v>
      </c>
      <c r="B199" s="121" t="s">
        <v>138</v>
      </c>
      <c r="C199" s="24" t="s">
        <v>4</v>
      </c>
      <c r="D199" s="24">
        <f t="shared" si="99"/>
        <v>0</v>
      </c>
      <c r="E199" s="22">
        <v>0</v>
      </c>
      <c r="F199" s="22">
        <v>0</v>
      </c>
      <c r="G199" s="22">
        <v>0</v>
      </c>
      <c r="H199" s="22">
        <f t="shared" si="100"/>
        <v>0</v>
      </c>
      <c r="I199" s="22">
        <v>0</v>
      </c>
      <c r="J199" s="22">
        <v>0</v>
      </c>
      <c r="K199" s="22">
        <v>0</v>
      </c>
      <c r="L199" s="22">
        <f t="shared" si="101"/>
        <v>0</v>
      </c>
      <c r="M199" s="22">
        <v>0</v>
      </c>
      <c r="N199" s="22">
        <v>0</v>
      </c>
      <c r="O199" s="22">
        <v>0</v>
      </c>
      <c r="P199" s="22">
        <f t="shared" si="102"/>
        <v>0</v>
      </c>
      <c r="Q199" s="22">
        <v>0</v>
      </c>
      <c r="R199" s="22">
        <v>0</v>
      </c>
      <c r="S199" s="22">
        <v>0</v>
      </c>
      <c r="T199" s="22">
        <f t="shared" si="103"/>
        <v>0</v>
      </c>
    </row>
    <row r="200" spans="1:20" x14ac:dyDescent="0.35">
      <c r="A200" s="2">
        <f t="shared" si="98"/>
        <v>9</v>
      </c>
      <c r="B200" s="121" t="s">
        <v>139</v>
      </c>
      <c r="C200" s="24" t="s">
        <v>4</v>
      </c>
      <c r="D200" s="24">
        <f t="shared" si="99"/>
        <v>0</v>
      </c>
      <c r="E200" s="22">
        <v>0</v>
      </c>
      <c r="F200" s="22">
        <v>0</v>
      </c>
      <c r="G200" s="22">
        <v>0</v>
      </c>
      <c r="H200" s="22">
        <f t="shared" si="100"/>
        <v>0</v>
      </c>
      <c r="I200" s="22">
        <v>0</v>
      </c>
      <c r="J200" s="22">
        <v>0</v>
      </c>
      <c r="K200" s="22">
        <v>0</v>
      </c>
      <c r="L200" s="22">
        <f t="shared" si="101"/>
        <v>0</v>
      </c>
      <c r="M200" s="22">
        <v>0</v>
      </c>
      <c r="N200" s="22">
        <v>0</v>
      </c>
      <c r="O200" s="22">
        <v>0</v>
      </c>
      <c r="P200" s="22">
        <f t="shared" si="102"/>
        <v>0</v>
      </c>
      <c r="Q200" s="22">
        <v>0</v>
      </c>
      <c r="R200" s="22">
        <v>0</v>
      </c>
      <c r="S200" s="22">
        <v>0</v>
      </c>
      <c r="T200" s="22">
        <f t="shared" si="103"/>
        <v>0</v>
      </c>
    </row>
    <row r="201" spans="1:20" x14ac:dyDescent="0.35">
      <c r="A201" s="2">
        <f t="shared" si="98"/>
        <v>10</v>
      </c>
      <c r="B201" s="121" t="s">
        <v>140</v>
      </c>
      <c r="C201" s="24" t="s">
        <v>4</v>
      </c>
      <c r="D201" s="24">
        <f t="shared" si="99"/>
        <v>0</v>
      </c>
      <c r="E201" s="22">
        <v>0</v>
      </c>
      <c r="F201" s="22">
        <v>0</v>
      </c>
      <c r="G201" s="22">
        <v>0</v>
      </c>
      <c r="H201" s="22">
        <f t="shared" si="100"/>
        <v>0</v>
      </c>
      <c r="I201" s="22">
        <v>0</v>
      </c>
      <c r="J201" s="22">
        <v>0</v>
      </c>
      <c r="K201" s="22">
        <v>0</v>
      </c>
      <c r="L201" s="22">
        <f t="shared" si="101"/>
        <v>0</v>
      </c>
      <c r="M201" s="22">
        <v>0</v>
      </c>
      <c r="N201" s="22">
        <v>0</v>
      </c>
      <c r="O201" s="22">
        <v>0</v>
      </c>
      <c r="P201" s="22">
        <f t="shared" si="102"/>
        <v>0</v>
      </c>
      <c r="Q201" s="22">
        <v>0</v>
      </c>
      <c r="R201" s="22">
        <v>0</v>
      </c>
      <c r="S201" s="22">
        <v>0</v>
      </c>
      <c r="T201" s="22">
        <f t="shared" si="103"/>
        <v>0</v>
      </c>
    </row>
    <row r="202" spans="1:20" x14ac:dyDescent="0.35">
      <c r="A202" s="2">
        <f t="shared" si="98"/>
        <v>11</v>
      </c>
      <c r="B202" s="121" t="s">
        <v>141</v>
      </c>
      <c r="C202" s="24" t="s">
        <v>4</v>
      </c>
      <c r="D202" s="24">
        <f t="shared" si="99"/>
        <v>0</v>
      </c>
      <c r="E202" s="22">
        <v>0</v>
      </c>
      <c r="F202" s="22">
        <v>0</v>
      </c>
      <c r="G202" s="22">
        <v>0</v>
      </c>
      <c r="H202" s="22">
        <f t="shared" si="100"/>
        <v>0</v>
      </c>
      <c r="I202" s="22">
        <v>0</v>
      </c>
      <c r="J202" s="22">
        <v>0</v>
      </c>
      <c r="K202" s="22">
        <v>0</v>
      </c>
      <c r="L202" s="22">
        <f t="shared" si="101"/>
        <v>0</v>
      </c>
      <c r="M202" s="22">
        <v>0</v>
      </c>
      <c r="N202" s="22">
        <v>0</v>
      </c>
      <c r="O202" s="22">
        <v>0</v>
      </c>
      <c r="P202" s="22">
        <f t="shared" si="102"/>
        <v>0</v>
      </c>
      <c r="Q202" s="22">
        <v>0</v>
      </c>
      <c r="R202" s="22">
        <v>0</v>
      </c>
      <c r="S202" s="22">
        <v>0</v>
      </c>
      <c r="T202" s="22">
        <f t="shared" si="103"/>
        <v>0</v>
      </c>
    </row>
    <row r="203" spans="1:20" x14ac:dyDescent="0.35">
      <c r="A203" s="2">
        <f t="shared" si="98"/>
        <v>12</v>
      </c>
      <c r="B203" s="121" t="s">
        <v>142</v>
      </c>
      <c r="C203" s="24" t="s">
        <v>4</v>
      </c>
      <c r="D203" s="24">
        <f t="shared" si="99"/>
        <v>0</v>
      </c>
      <c r="E203" s="22">
        <v>0</v>
      </c>
      <c r="F203" s="22">
        <v>0</v>
      </c>
      <c r="G203" s="22">
        <v>0</v>
      </c>
      <c r="H203" s="22">
        <f t="shared" si="100"/>
        <v>0</v>
      </c>
      <c r="I203" s="22">
        <v>0</v>
      </c>
      <c r="J203" s="22">
        <v>0</v>
      </c>
      <c r="K203" s="22">
        <v>0</v>
      </c>
      <c r="L203" s="22">
        <f t="shared" si="101"/>
        <v>0</v>
      </c>
      <c r="M203" s="22">
        <v>0</v>
      </c>
      <c r="N203" s="22">
        <v>0</v>
      </c>
      <c r="O203" s="22">
        <v>0</v>
      </c>
      <c r="P203" s="22">
        <f t="shared" si="102"/>
        <v>0</v>
      </c>
      <c r="Q203" s="22">
        <v>0</v>
      </c>
      <c r="R203" s="22">
        <v>0</v>
      </c>
      <c r="S203" s="22">
        <v>0</v>
      </c>
      <c r="T203" s="22">
        <f t="shared" si="103"/>
        <v>0</v>
      </c>
    </row>
    <row r="204" spans="1:20" x14ac:dyDescent="0.35">
      <c r="A204" s="2">
        <f t="shared" si="98"/>
        <v>13</v>
      </c>
      <c r="B204" s="121" t="s">
        <v>143</v>
      </c>
      <c r="C204" s="24" t="s">
        <v>4</v>
      </c>
      <c r="D204" s="24">
        <f t="shared" si="99"/>
        <v>0</v>
      </c>
      <c r="E204" s="22">
        <v>0</v>
      </c>
      <c r="F204" s="22">
        <v>0</v>
      </c>
      <c r="G204" s="22">
        <v>0</v>
      </c>
      <c r="H204" s="22">
        <f t="shared" si="100"/>
        <v>0</v>
      </c>
      <c r="I204" s="22">
        <v>0</v>
      </c>
      <c r="J204" s="22">
        <v>0</v>
      </c>
      <c r="K204" s="22">
        <v>0</v>
      </c>
      <c r="L204" s="22">
        <f t="shared" si="101"/>
        <v>0</v>
      </c>
      <c r="M204" s="22">
        <v>0</v>
      </c>
      <c r="N204" s="22">
        <v>0</v>
      </c>
      <c r="O204" s="22">
        <v>0</v>
      </c>
      <c r="P204" s="22">
        <f t="shared" si="102"/>
        <v>0</v>
      </c>
      <c r="Q204" s="22">
        <v>0</v>
      </c>
      <c r="R204" s="22">
        <v>0</v>
      </c>
      <c r="S204" s="22">
        <v>0</v>
      </c>
      <c r="T204" s="22">
        <f t="shared" si="103"/>
        <v>0</v>
      </c>
    </row>
    <row r="205" spans="1:20" x14ac:dyDescent="0.35">
      <c r="A205" s="2">
        <f t="shared" si="98"/>
        <v>14</v>
      </c>
      <c r="B205" s="121" t="s">
        <v>144</v>
      </c>
      <c r="C205" s="24" t="s">
        <v>4</v>
      </c>
      <c r="D205" s="24">
        <f t="shared" si="99"/>
        <v>0</v>
      </c>
      <c r="E205" s="22">
        <v>0</v>
      </c>
      <c r="F205" s="22">
        <v>0</v>
      </c>
      <c r="G205" s="22">
        <v>0</v>
      </c>
      <c r="H205" s="22">
        <f t="shared" si="100"/>
        <v>0</v>
      </c>
      <c r="I205" s="22">
        <v>0</v>
      </c>
      <c r="J205" s="22">
        <v>0</v>
      </c>
      <c r="K205" s="22">
        <v>0</v>
      </c>
      <c r="L205" s="22">
        <f t="shared" si="101"/>
        <v>0</v>
      </c>
      <c r="M205" s="22">
        <v>0</v>
      </c>
      <c r="N205" s="22">
        <v>0</v>
      </c>
      <c r="O205" s="22">
        <v>0</v>
      </c>
      <c r="P205" s="22">
        <f t="shared" si="102"/>
        <v>0</v>
      </c>
      <c r="Q205" s="22">
        <v>0</v>
      </c>
      <c r="R205" s="22">
        <v>0</v>
      </c>
      <c r="S205" s="22">
        <v>0</v>
      </c>
      <c r="T205" s="22">
        <f t="shared" si="103"/>
        <v>0</v>
      </c>
    </row>
    <row r="206" spans="1:20" x14ac:dyDescent="0.35">
      <c r="A206" s="2">
        <f t="shared" si="98"/>
        <v>15</v>
      </c>
      <c r="B206" s="121" t="s">
        <v>145</v>
      </c>
      <c r="C206" s="24" t="s">
        <v>4</v>
      </c>
      <c r="D206" s="24">
        <f t="shared" si="99"/>
        <v>0</v>
      </c>
      <c r="E206" s="22">
        <v>0</v>
      </c>
      <c r="F206" s="22">
        <v>0</v>
      </c>
      <c r="G206" s="22">
        <v>0</v>
      </c>
      <c r="H206" s="22">
        <f t="shared" si="100"/>
        <v>0</v>
      </c>
      <c r="I206" s="22">
        <v>0</v>
      </c>
      <c r="J206" s="22">
        <v>0</v>
      </c>
      <c r="K206" s="22">
        <v>0</v>
      </c>
      <c r="L206" s="22">
        <f t="shared" si="101"/>
        <v>0</v>
      </c>
      <c r="M206" s="22">
        <v>0</v>
      </c>
      <c r="N206" s="22">
        <v>0</v>
      </c>
      <c r="O206" s="22">
        <v>0</v>
      </c>
      <c r="P206" s="22">
        <f t="shared" si="102"/>
        <v>0</v>
      </c>
      <c r="Q206" s="22">
        <v>0</v>
      </c>
      <c r="R206" s="22">
        <v>0</v>
      </c>
      <c r="S206" s="22">
        <v>0</v>
      </c>
      <c r="T206" s="22">
        <f t="shared" si="103"/>
        <v>0</v>
      </c>
    </row>
    <row r="207" spans="1:20" x14ac:dyDescent="0.35">
      <c r="A207" s="2">
        <f t="shared" si="98"/>
        <v>16</v>
      </c>
      <c r="B207" s="121" t="s">
        <v>146</v>
      </c>
      <c r="C207" s="24" t="s">
        <v>4</v>
      </c>
      <c r="D207" s="24">
        <f t="shared" si="99"/>
        <v>0</v>
      </c>
      <c r="E207" s="22">
        <v>0</v>
      </c>
      <c r="F207" s="22">
        <v>0</v>
      </c>
      <c r="G207" s="22">
        <v>0</v>
      </c>
      <c r="H207" s="22">
        <f t="shared" si="100"/>
        <v>0</v>
      </c>
      <c r="I207" s="22">
        <v>0</v>
      </c>
      <c r="J207" s="22">
        <v>0</v>
      </c>
      <c r="K207" s="22">
        <v>0</v>
      </c>
      <c r="L207" s="22">
        <f t="shared" si="101"/>
        <v>0</v>
      </c>
      <c r="M207" s="22">
        <v>0</v>
      </c>
      <c r="N207" s="22">
        <v>0</v>
      </c>
      <c r="O207" s="22">
        <v>0</v>
      </c>
      <c r="P207" s="22">
        <f t="shared" si="102"/>
        <v>0</v>
      </c>
      <c r="Q207" s="22">
        <v>0</v>
      </c>
      <c r="R207" s="22">
        <v>0</v>
      </c>
      <c r="S207" s="22">
        <v>0</v>
      </c>
      <c r="T207" s="22">
        <f t="shared" si="103"/>
        <v>0</v>
      </c>
    </row>
    <row r="208" spans="1:20" x14ac:dyDescent="0.35">
      <c r="A208" s="2">
        <f t="shared" si="98"/>
        <v>17</v>
      </c>
      <c r="B208" s="121" t="s">
        <v>147</v>
      </c>
      <c r="C208" s="24" t="s">
        <v>4</v>
      </c>
      <c r="D208" s="24">
        <f t="shared" si="99"/>
        <v>0</v>
      </c>
      <c r="E208" s="22">
        <v>0</v>
      </c>
      <c r="F208" s="22">
        <v>0</v>
      </c>
      <c r="G208" s="22">
        <v>0</v>
      </c>
      <c r="H208" s="22">
        <f t="shared" si="100"/>
        <v>0</v>
      </c>
      <c r="I208" s="22">
        <v>0</v>
      </c>
      <c r="J208" s="22">
        <v>0</v>
      </c>
      <c r="K208" s="22">
        <v>0</v>
      </c>
      <c r="L208" s="22">
        <f t="shared" si="101"/>
        <v>0</v>
      </c>
      <c r="M208" s="22">
        <v>0</v>
      </c>
      <c r="N208" s="22">
        <v>0</v>
      </c>
      <c r="O208" s="22">
        <v>0</v>
      </c>
      <c r="P208" s="22">
        <f t="shared" si="102"/>
        <v>0</v>
      </c>
      <c r="Q208" s="22">
        <v>0</v>
      </c>
      <c r="R208" s="22">
        <v>0</v>
      </c>
      <c r="S208" s="22">
        <v>0</v>
      </c>
      <c r="T208" s="22">
        <f t="shared" si="103"/>
        <v>0</v>
      </c>
    </row>
    <row r="209" spans="1:20" x14ac:dyDescent="0.35">
      <c r="A209" s="2">
        <f t="shared" si="98"/>
        <v>18</v>
      </c>
      <c r="B209" s="121" t="s">
        <v>148</v>
      </c>
      <c r="C209" s="24" t="s">
        <v>4</v>
      </c>
      <c r="D209" s="24">
        <f t="shared" si="99"/>
        <v>0</v>
      </c>
      <c r="E209" s="22">
        <v>0</v>
      </c>
      <c r="F209" s="22">
        <v>0</v>
      </c>
      <c r="G209" s="22">
        <v>0</v>
      </c>
      <c r="H209" s="22">
        <f t="shared" si="100"/>
        <v>0</v>
      </c>
      <c r="I209" s="22">
        <v>0</v>
      </c>
      <c r="J209" s="22">
        <v>0</v>
      </c>
      <c r="K209" s="22">
        <v>0</v>
      </c>
      <c r="L209" s="22">
        <f t="shared" si="101"/>
        <v>0</v>
      </c>
      <c r="M209" s="22">
        <v>0</v>
      </c>
      <c r="N209" s="22">
        <v>0</v>
      </c>
      <c r="O209" s="22">
        <v>0</v>
      </c>
      <c r="P209" s="22">
        <f t="shared" si="102"/>
        <v>0</v>
      </c>
      <c r="Q209" s="22">
        <v>0</v>
      </c>
      <c r="R209" s="22">
        <v>0</v>
      </c>
      <c r="S209" s="22">
        <v>0</v>
      </c>
      <c r="T209" s="22">
        <f t="shared" si="103"/>
        <v>0</v>
      </c>
    </row>
    <row r="210" spans="1:20" x14ac:dyDescent="0.35">
      <c r="A210" s="2">
        <f t="shared" si="98"/>
        <v>19</v>
      </c>
      <c r="B210" s="121" t="s">
        <v>149</v>
      </c>
      <c r="C210" s="24" t="s">
        <v>4</v>
      </c>
      <c r="D210" s="24">
        <f t="shared" si="99"/>
        <v>0</v>
      </c>
      <c r="E210" s="22">
        <v>0</v>
      </c>
      <c r="F210" s="22">
        <v>0</v>
      </c>
      <c r="G210" s="22">
        <v>0</v>
      </c>
      <c r="H210" s="22">
        <f t="shared" si="100"/>
        <v>0</v>
      </c>
      <c r="I210" s="22">
        <v>0</v>
      </c>
      <c r="J210" s="22">
        <v>0</v>
      </c>
      <c r="K210" s="22">
        <v>0</v>
      </c>
      <c r="L210" s="22">
        <f t="shared" si="101"/>
        <v>0</v>
      </c>
      <c r="M210" s="22">
        <v>0</v>
      </c>
      <c r="N210" s="22">
        <v>0</v>
      </c>
      <c r="O210" s="22">
        <v>0</v>
      </c>
      <c r="P210" s="22">
        <f t="shared" si="102"/>
        <v>0</v>
      </c>
      <c r="Q210" s="22">
        <v>0</v>
      </c>
      <c r="R210" s="22">
        <v>0</v>
      </c>
      <c r="S210" s="22">
        <v>0</v>
      </c>
      <c r="T210" s="22">
        <f t="shared" si="103"/>
        <v>0</v>
      </c>
    </row>
    <row r="211" spans="1:20" x14ac:dyDescent="0.35">
      <c r="A211" s="2">
        <f t="shared" si="98"/>
        <v>20</v>
      </c>
      <c r="B211" s="121" t="s">
        <v>150</v>
      </c>
      <c r="C211" s="24" t="s">
        <v>4</v>
      </c>
      <c r="D211" s="24">
        <f t="shared" si="99"/>
        <v>0</v>
      </c>
      <c r="E211" s="22">
        <v>0</v>
      </c>
      <c r="F211" s="22">
        <v>0</v>
      </c>
      <c r="G211" s="22">
        <v>0</v>
      </c>
      <c r="H211" s="22">
        <f t="shared" si="100"/>
        <v>0</v>
      </c>
      <c r="I211" s="22">
        <v>0</v>
      </c>
      <c r="J211" s="22">
        <v>0</v>
      </c>
      <c r="K211" s="22">
        <v>0</v>
      </c>
      <c r="L211" s="22">
        <f t="shared" si="101"/>
        <v>0</v>
      </c>
      <c r="M211" s="22">
        <v>0</v>
      </c>
      <c r="N211" s="22">
        <v>0</v>
      </c>
      <c r="O211" s="22">
        <v>0</v>
      </c>
      <c r="P211" s="22">
        <f t="shared" si="102"/>
        <v>0</v>
      </c>
      <c r="Q211" s="22">
        <v>0</v>
      </c>
      <c r="R211" s="22">
        <v>0</v>
      </c>
      <c r="S211" s="22">
        <v>0</v>
      </c>
      <c r="T211" s="22">
        <f t="shared" si="103"/>
        <v>0</v>
      </c>
    </row>
    <row r="212" spans="1:20" x14ac:dyDescent="0.35">
      <c r="A212" s="2">
        <f t="shared" si="98"/>
        <v>21</v>
      </c>
      <c r="B212" s="121" t="s">
        <v>151</v>
      </c>
      <c r="C212" s="24" t="s">
        <v>4</v>
      </c>
      <c r="D212" s="24">
        <f t="shared" si="99"/>
        <v>0</v>
      </c>
      <c r="E212" s="22">
        <v>0</v>
      </c>
      <c r="F212" s="22">
        <v>0</v>
      </c>
      <c r="G212" s="22">
        <v>0</v>
      </c>
      <c r="H212" s="22">
        <f t="shared" si="100"/>
        <v>0</v>
      </c>
      <c r="I212" s="22">
        <v>0</v>
      </c>
      <c r="J212" s="22">
        <v>0</v>
      </c>
      <c r="K212" s="22">
        <v>0</v>
      </c>
      <c r="L212" s="22">
        <f t="shared" si="101"/>
        <v>0</v>
      </c>
      <c r="M212" s="22">
        <v>0</v>
      </c>
      <c r="N212" s="22">
        <v>0</v>
      </c>
      <c r="O212" s="22">
        <v>0</v>
      </c>
      <c r="P212" s="22">
        <f t="shared" si="102"/>
        <v>0</v>
      </c>
      <c r="Q212" s="22">
        <v>0</v>
      </c>
      <c r="R212" s="22">
        <v>0</v>
      </c>
      <c r="S212" s="22">
        <v>0</v>
      </c>
      <c r="T212" s="22">
        <f t="shared" si="103"/>
        <v>0</v>
      </c>
    </row>
    <row r="213" spans="1:20" x14ac:dyDescent="0.35">
      <c r="A213" s="2">
        <f t="shared" si="98"/>
        <v>22</v>
      </c>
      <c r="B213" s="121" t="s">
        <v>152</v>
      </c>
      <c r="C213" s="24" t="s">
        <v>4</v>
      </c>
      <c r="D213" s="24">
        <f t="shared" si="99"/>
        <v>0</v>
      </c>
      <c r="E213" s="22">
        <v>0</v>
      </c>
      <c r="F213" s="22">
        <v>0</v>
      </c>
      <c r="G213" s="22">
        <v>0</v>
      </c>
      <c r="H213" s="22">
        <f t="shared" si="100"/>
        <v>0</v>
      </c>
      <c r="I213" s="22">
        <v>0</v>
      </c>
      <c r="J213" s="22">
        <v>0</v>
      </c>
      <c r="K213" s="22">
        <v>0</v>
      </c>
      <c r="L213" s="22">
        <f t="shared" si="101"/>
        <v>0</v>
      </c>
      <c r="M213" s="22">
        <v>0</v>
      </c>
      <c r="N213" s="22">
        <v>0</v>
      </c>
      <c r="O213" s="22">
        <v>0</v>
      </c>
      <c r="P213" s="22">
        <f t="shared" si="102"/>
        <v>0</v>
      </c>
      <c r="Q213" s="22">
        <v>0</v>
      </c>
      <c r="R213" s="22">
        <v>0</v>
      </c>
      <c r="S213" s="22">
        <v>0</v>
      </c>
      <c r="T213" s="22">
        <f t="shared" si="103"/>
        <v>0</v>
      </c>
    </row>
    <row r="214" spans="1:20" x14ac:dyDescent="0.35">
      <c r="A214" s="2">
        <v>23</v>
      </c>
      <c r="B214" s="121" t="s">
        <v>153</v>
      </c>
      <c r="C214" s="24" t="s">
        <v>4</v>
      </c>
      <c r="D214" s="24">
        <f t="shared" si="99"/>
        <v>0</v>
      </c>
      <c r="E214" s="22">
        <v>0</v>
      </c>
      <c r="F214" s="22">
        <v>0</v>
      </c>
      <c r="G214" s="22">
        <v>0</v>
      </c>
      <c r="H214" s="22">
        <f t="shared" si="100"/>
        <v>0</v>
      </c>
      <c r="I214" s="22">
        <v>0</v>
      </c>
      <c r="J214" s="22">
        <v>0</v>
      </c>
      <c r="K214" s="22">
        <v>0</v>
      </c>
      <c r="L214" s="22">
        <f t="shared" si="101"/>
        <v>0</v>
      </c>
      <c r="M214" s="22">
        <v>0</v>
      </c>
      <c r="N214" s="22">
        <v>0</v>
      </c>
      <c r="O214" s="22">
        <v>0</v>
      </c>
      <c r="P214" s="22">
        <f t="shared" si="102"/>
        <v>0</v>
      </c>
      <c r="Q214" s="22">
        <v>0</v>
      </c>
      <c r="R214" s="22">
        <v>0</v>
      </c>
      <c r="S214" s="22">
        <v>0</v>
      </c>
      <c r="T214" s="22">
        <f t="shared" si="103"/>
        <v>0</v>
      </c>
    </row>
    <row r="215" spans="1:20" x14ac:dyDescent="0.35">
      <c r="A215" s="2">
        <v>24</v>
      </c>
      <c r="B215" s="121" t="s">
        <v>154</v>
      </c>
      <c r="C215" s="24" t="s">
        <v>4</v>
      </c>
      <c r="D215" s="24">
        <f t="shared" si="99"/>
        <v>837.9</v>
      </c>
      <c r="E215" s="22">
        <v>0</v>
      </c>
      <c r="F215" s="22">
        <v>0</v>
      </c>
      <c r="G215" s="22">
        <v>0</v>
      </c>
      <c r="H215" s="22">
        <f t="shared" si="100"/>
        <v>0</v>
      </c>
      <c r="I215" s="22">
        <v>0</v>
      </c>
      <c r="J215" s="22">
        <f>335200/1000</f>
        <v>335.2</v>
      </c>
      <c r="K215" s="22">
        <v>0</v>
      </c>
      <c r="L215" s="22">
        <f t="shared" si="101"/>
        <v>335.2</v>
      </c>
      <c r="M215" s="22">
        <v>0</v>
      </c>
      <c r="N215" s="22">
        <v>0</v>
      </c>
      <c r="O215" s="22">
        <v>0</v>
      </c>
      <c r="P215" s="22">
        <f t="shared" si="102"/>
        <v>0</v>
      </c>
      <c r="Q215" s="22">
        <v>0</v>
      </c>
      <c r="R215" s="22">
        <v>0</v>
      </c>
      <c r="S215" s="22">
        <f>502700/1000</f>
        <v>502.7</v>
      </c>
      <c r="T215" s="22">
        <f t="shared" si="103"/>
        <v>502.7</v>
      </c>
    </row>
    <row r="216" spans="1:20" x14ac:dyDescent="0.35">
      <c r="A216" s="2">
        <v>25</v>
      </c>
      <c r="B216" s="121" t="s">
        <v>155</v>
      </c>
      <c r="C216" s="24" t="s">
        <v>4</v>
      </c>
      <c r="D216" s="24">
        <f t="shared" si="99"/>
        <v>0</v>
      </c>
      <c r="E216" s="22">
        <v>0</v>
      </c>
      <c r="F216" s="22">
        <v>0</v>
      </c>
      <c r="G216" s="22">
        <v>0</v>
      </c>
      <c r="H216" s="22">
        <f t="shared" si="100"/>
        <v>0</v>
      </c>
      <c r="I216" s="22">
        <v>0</v>
      </c>
      <c r="J216" s="22">
        <v>0</v>
      </c>
      <c r="K216" s="22">
        <v>0</v>
      </c>
      <c r="L216" s="22">
        <f t="shared" si="101"/>
        <v>0</v>
      </c>
      <c r="M216" s="22">
        <v>0</v>
      </c>
      <c r="N216" s="22">
        <v>0</v>
      </c>
      <c r="O216" s="22">
        <v>0</v>
      </c>
      <c r="P216" s="22">
        <f t="shared" si="102"/>
        <v>0</v>
      </c>
      <c r="Q216" s="22">
        <v>0</v>
      </c>
      <c r="R216" s="22">
        <v>0</v>
      </c>
      <c r="S216" s="22">
        <v>0</v>
      </c>
      <c r="T216" s="22">
        <f t="shared" si="103"/>
        <v>0</v>
      </c>
    </row>
    <row r="217" spans="1:20" x14ac:dyDescent="0.35">
      <c r="A217" s="2">
        <v>26</v>
      </c>
      <c r="B217" s="121" t="s">
        <v>156</v>
      </c>
      <c r="C217" s="24" t="s">
        <v>4</v>
      </c>
      <c r="D217" s="24">
        <f t="shared" si="99"/>
        <v>0</v>
      </c>
      <c r="E217" s="22">
        <v>0</v>
      </c>
      <c r="F217" s="22">
        <v>0</v>
      </c>
      <c r="G217" s="22">
        <v>0</v>
      </c>
      <c r="H217" s="22">
        <f t="shared" si="100"/>
        <v>0</v>
      </c>
      <c r="I217" s="22">
        <v>0</v>
      </c>
      <c r="J217" s="22">
        <v>0</v>
      </c>
      <c r="K217" s="22">
        <v>0</v>
      </c>
      <c r="L217" s="22">
        <f t="shared" si="101"/>
        <v>0</v>
      </c>
      <c r="M217" s="22">
        <v>0</v>
      </c>
      <c r="N217" s="22">
        <v>0</v>
      </c>
      <c r="O217" s="22">
        <v>0</v>
      </c>
      <c r="P217" s="22">
        <f t="shared" si="102"/>
        <v>0</v>
      </c>
      <c r="Q217" s="22">
        <v>0</v>
      </c>
      <c r="R217" s="22">
        <v>0</v>
      </c>
      <c r="S217" s="22">
        <v>0</v>
      </c>
      <c r="T217" s="22">
        <f t="shared" si="103"/>
        <v>0</v>
      </c>
    </row>
    <row r="218" spans="1:20" x14ac:dyDescent="0.35">
      <c r="A218" s="2">
        <v>27</v>
      </c>
      <c r="B218" s="121" t="s">
        <v>157</v>
      </c>
      <c r="C218" s="24" t="s">
        <v>4</v>
      </c>
      <c r="D218" s="24">
        <f t="shared" si="99"/>
        <v>0</v>
      </c>
      <c r="E218" s="22">
        <v>0</v>
      </c>
      <c r="F218" s="22">
        <v>0</v>
      </c>
      <c r="G218" s="22">
        <v>0</v>
      </c>
      <c r="H218" s="22">
        <f t="shared" si="100"/>
        <v>0</v>
      </c>
      <c r="I218" s="22">
        <v>0</v>
      </c>
      <c r="J218" s="22">
        <v>0</v>
      </c>
      <c r="K218" s="22">
        <v>0</v>
      </c>
      <c r="L218" s="22">
        <f t="shared" si="101"/>
        <v>0</v>
      </c>
      <c r="M218" s="22">
        <v>0</v>
      </c>
      <c r="N218" s="22">
        <v>0</v>
      </c>
      <c r="O218" s="22">
        <v>0</v>
      </c>
      <c r="P218" s="22">
        <f t="shared" si="102"/>
        <v>0</v>
      </c>
      <c r="Q218" s="22">
        <v>0</v>
      </c>
      <c r="R218" s="22">
        <v>0</v>
      </c>
      <c r="S218" s="22">
        <v>0</v>
      </c>
      <c r="T218" s="22">
        <f t="shared" si="103"/>
        <v>0</v>
      </c>
    </row>
    <row r="219" spans="1:20" x14ac:dyDescent="0.35">
      <c r="A219" s="2">
        <v>28</v>
      </c>
      <c r="B219" s="121" t="s">
        <v>158</v>
      </c>
      <c r="C219" s="24" t="s">
        <v>4</v>
      </c>
      <c r="D219" s="24">
        <f t="shared" si="99"/>
        <v>15223.09</v>
      </c>
      <c r="E219" s="22">
        <f>1714160/1000</f>
        <v>1714.16</v>
      </c>
      <c r="F219" s="22">
        <f>1866860/1000</f>
        <v>1866.86</v>
      </c>
      <c r="G219" s="22">
        <f>1555710/1000</f>
        <v>1555.71</v>
      </c>
      <c r="H219" s="22">
        <f t="shared" si="100"/>
        <v>5136.7299999999996</v>
      </c>
      <c r="I219" s="22">
        <f>1827340/1000</f>
        <v>1827.34</v>
      </c>
      <c r="J219" s="22">
        <f>1555710/1000</f>
        <v>1555.71</v>
      </c>
      <c r="K219" s="22">
        <f>1111220/1000</f>
        <v>1111.22</v>
      </c>
      <c r="L219" s="22">
        <f t="shared" si="101"/>
        <v>4494.2700000000004</v>
      </c>
      <c r="M219" s="22">
        <f>527830/1000</f>
        <v>527.83000000000004</v>
      </c>
      <c r="N219" s="22">
        <f>703770/1000</f>
        <v>703.77</v>
      </c>
      <c r="O219" s="22">
        <f>867990/1000</f>
        <v>867.99</v>
      </c>
      <c r="P219" s="22">
        <f t="shared" si="102"/>
        <v>2099.59</v>
      </c>
      <c r="Q219" s="22">
        <f>895150/1000</f>
        <v>895.15</v>
      </c>
      <c r="R219" s="22">
        <f>1124670/1000</f>
        <v>1124.67</v>
      </c>
      <c r="S219" s="22">
        <f>1472680/1000</f>
        <v>1472.68</v>
      </c>
      <c r="T219" s="22">
        <f t="shared" si="103"/>
        <v>3492.5</v>
      </c>
    </row>
    <row r="220" spans="1:20" x14ac:dyDescent="0.35">
      <c r="A220" s="2">
        <v>29</v>
      </c>
      <c r="B220" s="121" t="s">
        <v>159</v>
      </c>
      <c r="C220" s="24" t="s">
        <v>4</v>
      </c>
      <c r="D220" s="24">
        <f t="shared" si="99"/>
        <v>0</v>
      </c>
      <c r="E220" s="22">
        <v>0</v>
      </c>
      <c r="F220" s="22">
        <v>0</v>
      </c>
      <c r="G220" s="22">
        <v>0</v>
      </c>
      <c r="H220" s="22">
        <f t="shared" si="100"/>
        <v>0</v>
      </c>
      <c r="I220" s="22">
        <v>0</v>
      </c>
      <c r="J220" s="22">
        <v>0</v>
      </c>
      <c r="K220" s="22">
        <v>0</v>
      </c>
      <c r="L220" s="22">
        <f t="shared" si="101"/>
        <v>0</v>
      </c>
      <c r="M220" s="22">
        <v>0</v>
      </c>
      <c r="N220" s="22">
        <v>0</v>
      </c>
      <c r="O220" s="22">
        <v>0</v>
      </c>
      <c r="P220" s="22">
        <f t="shared" si="102"/>
        <v>0</v>
      </c>
      <c r="Q220" s="22">
        <v>0</v>
      </c>
      <c r="R220" s="22">
        <v>0</v>
      </c>
      <c r="S220" s="22">
        <v>0</v>
      </c>
      <c r="T220" s="22">
        <f t="shared" si="103"/>
        <v>0</v>
      </c>
    </row>
    <row r="221" spans="1:20" x14ac:dyDescent="0.35">
      <c r="A221" s="2">
        <v>30</v>
      </c>
      <c r="B221" s="121" t="s">
        <v>160</v>
      </c>
      <c r="C221" s="24" t="s">
        <v>4</v>
      </c>
      <c r="D221" s="24">
        <f t="shared" si="99"/>
        <v>65.338999999999999</v>
      </c>
      <c r="E221" s="22">
        <f>4635/1000</f>
        <v>4.6349999999999998</v>
      </c>
      <c r="F221" s="22">
        <f>5993/1000</f>
        <v>5.9930000000000003</v>
      </c>
      <c r="G221" s="22">
        <f>4573/1000</f>
        <v>4.5730000000000004</v>
      </c>
      <c r="H221" s="22">
        <f t="shared" si="100"/>
        <v>15.201000000000001</v>
      </c>
      <c r="I221" s="22">
        <f>5630/1000</f>
        <v>5.63</v>
      </c>
      <c r="J221" s="22">
        <f>5245/1000</f>
        <v>5.2450000000000001</v>
      </c>
      <c r="K221" s="22">
        <f>4955/1000</f>
        <v>4.9550000000000001</v>
      </c>
      <c r="L221" s="22">
        <f t="shared" si="101"/>
        <v>15.83</v>
      </c>
      <c r="M221" s="22">
        <f>5240/1000</f>
        <v>5.24</v>
      </c>
      <c r="N221" s="22">
        <f>5739/1000</f>
        <v>5.7389999999999999</v>
      </c>
      <c r="O221" s="22">
        <f>5904/1000</f>
        <v>5.9039999999999999</v>
      </c>
      <c r="P221" s="22">
        <f t="shared" si="102"/>
        <v>16.882999999999999</v>
      </c>
      <c r="Q221" s="22">
        <f>5805/1000</f>
        <v>5.8049999999999997</v>
      </c>
      <c r="R221" s="22">
        <f>5863/1000</f>
        <v>5.8630000000000004</v>
      </c>
      <c r="S221" s="22">
        <f>5757/1000</f>
        <v>5.7569999999999997</v>
      </c>
      <c r="T221" s="22">
        <f t="shared" si="103"/>
        <v>17.424999999999997</v>
      </c>
    </row>
    <row r="222" spans="1:20" x14ac:dyDescent="0.35">
      <c r="A222" s="2">
        <v>31</v>
      </c>
      <c r="B222" s="121" t="s">
        <v>161</v>
      </c>
      <c r="C222" s="24" t="s">
        <v>4</v>
      </c>
      <c r="D222" s="24">
        <f t="shared" si="99"/>
        <v>0</v>
      </c>
      <c r="E222" s="22">
        <v>0</v>
      </c>
      <c r="F222" s="22">
        <v>0</v>
      </c>
      <c r="G222" s="22">
        <v>0</v>
      </c>
      <c r="H222" s="22">
        <f t="shared" si="100"/>
        <v>0</v>
      </c>
      <c r="I222" s="22">
        <v>0</v>
      </c>
      <c r="J222" s="22">
        <v>0</v>
      </c>
      <c r="K222" s="22">
        <v>0</v>
      </c>
      <c r="L222" s="22">
        <f t="shared" si="101"/>
        <v>0</v>
      </c>
      <c r="M222" s="22">
        <v>0</v>
      </c>
      <c r="N222" s="22">
        <v>0</v>
      </c>
      <c r="O222" s="22">
        <v>0</v>
      </c>
      <c r="P222" s="22">
        <f t="shared" si="102"/>
        <v>0</v>
      </c>
      <c r="Q222" s="22">
        <v>0</v>
      </c>
      <c r="R222" s="22">
        <v>0</v>
      </c>
      <c r="S222" s="22">
        <v>0</v>
      </c>
      <c r="T222" s="22">
        <f t="shared" si="103"/>
        <v>0</v>
      </c>
    </row>
    <row r="223" spans="1:20" x14ac:dyDescent="0.35">
      <c r="A223" s="2">
        <v>32</v>
      </c>
      <c r="B223" s="121" t="s">
        <v>162</v>
      </c>
      <c r="C223" s="24" t="s">
        <v>4</v>
      </c>
      <c r="D223" s="24">
        <f t="shared" si="99"/>
        <v>0</v>
      </c>
      <c r="E223" s="22">
        <v>0</v>
      </c>
      <c r="F223" s="22">
        <v>0</v>
      </c>
      <c r="G223" s="22">
        <v>0</v>
      </c>
      <c r="H223" s="22">
        <f t="shared" si="100"/>
        <v>0</v>
      </c>
      <c r="I223" s="22">
        <v>0</v>
      </c>
      <c r="J223" s="22">
        <v>0</v>
      </c>
      <c r="K223" s="22">
        <v>0</v>
      </c>
      <c r="L223" s="22">
        <f t="shared" si="101"/>
        <v>0</v>
      </c>
      <c r="M223" s="22">
        <v>0</v>
      </c>
      <c r="N223" s="22">
        <v>0</v>
      </c>
      <c r="O223" s="22">
        <v>0</v>
      </c>
      <c r="P223" s="22">
        <f t="shared" si="102"/>
        <v>0</v>
      </c>
      <c r="Q223" s="22">
        <v>0</v>
      </c>
      <c r="R223" s="22">
        <v>0</v>
      </c>
      <c r="S223" s="22">
        <v>0</v>
      </c>
      <c r="T223" s="22">
        <f t="shared" si="103"/>
        <v>0</v>
      </c>
    </row>
    <row r="224" spans="1:20" x14ac:dyDescent="0.35">
      <c r="A224" s="2">
        <v>33</v>
      </c>
      <c r="B224" s="121" t="s">
        <v>163</v>
      </c>
      <c r="C224" s="24" t="s">
        <v>4</v>
      </c>
      <c r="D224" s="24">
        <f t="shared" si="99"/>
        <v>0</v>
      </c>
      <c r="E224" s="22">
        <v>0</v>
      </c>
      <c r="F224" s="22">
        <v>0</v>
      </c>
      <c r="G224" s="22">
        <v>0</v>
      </c>
      <c r="H224" s="22">
        <f t="shared" si="100"/>
        <v>0</v>
      </c>
      <c r="I224" s="22">
        <v>0</v>
      </c>
      <c r="J224" s="22">
        <v>0</v>
      </c>
      <c r="K224" s="22">
        <v>0</v>
      </c>
      <c r="L224" s="22">
        <f t="shared" si="101"/>
        <v>0</v>
      </c>
      <c r="M224" s="22">
        <v>0</v>
      </c>
      <c r="N224" s="22">
        <v>0</v>
      </c>
      <c r="O224" s="22">
        <v>0</v>
      </c>
      <c r="P224" s="22">
        <f t="shared" si="102"/>
        <v>0</v>
      </c>
      <c r="Q224" s="22">
        <v>0</v>
      </c>
      <c r="R224" s="22">
        <v>0</v>
      </c>
      <c r="S224" s="22">
        <v>0</v>
      </c>
      <c r="T224" s="22">
        <f t="shared" si="103"/>
        <v>0</v>
      </c>
    </row>
    <row r="225" spans="1:20" x14ac:dyDescent="0.35">
      <c r="A225" s="2">
        <v>34</v>
      </c>
      <c r="B225" s="121" t="s">
        <v>164</v>
      </c>
      <c r="C225" s="24" t="s">
        <v>4</v>
      </c>
      <c r="D225" s="24">
        <f t="shared" si="99"/>
        <v>0</v>
      </c>
      <c r="E225" s="22">
        <v>0</v>
      </c>
      <c r="F225" s="22">
        <v>0</v>
      </c>
      <c r="G225" s="22">
        <v>0</v>
      </c>
      <c r="H225" s="22">
        <f t="shared" si="100"/>
        <v>0</v>
      </c>
      <c r="I225" s="22">
        <v>0</v>
      </c>
      <c r="J225" s="22">
        <v>0</v>
      </c>
      <c r="K225" s="22">
        <v>0</v>
      </c>
      <c r="L225" s="22">
        <f t="shared" si="101"/>
        <v>0</v>
      </c>
      <c r="M225" s="22">
        <v>0</v>
      </c>
      <c r="N225" s="22">
        <v>0</v>
      </c>
      <c r="O225" s="22">
        <v>0</v>
      </c>
      <c r="P225" s="22">
        <f t="shared" si="102"/>
        <v>0</v>
      </c>
      <c r="Q225" s="22">
        <v>0</v>
      </c>
      <c r="R225" s="22">
        <v>0</v>
      </c>
      <c r="S225" s="22">
        <v>0</v>
      </c>
      <c r="T225" s="22">
        <f t="shared" si="103"/>
        <v>0</v>
      </c>
    </row>
    <row r="226" spans="1:20" x14ac:dyDescent="0.35">
      <c r="A226" s="2">
        <v>35</v>
      </c>
      <c r="B226" s="121" t="s">
        <v>165</v>
      </c>
      <c r="C226" s="24" t="s">
        <v>4</v>
      </c>
      <c r="D226" s="24">
        <f t="shared" si="99"/>
        <v>0</v>
      </c>
      <c r="E226" s="22">
        <v>0</v>
      </c>
      <c r="F226" s="22">
        <v>0</v>
      </c>
      <c r="G226" s="22">
        <v>0</v>
      </c>
      <c r="H226" s="22">
        <f t="shared" si="100"/>
        <v>0</v>
      </c>
      <c r="I226" s="22">
        <v>0</v>
      </c>
      <c r="J226" s="22">
        <v>0</v>
      </c>
      <c r="K226" s="22">
        <v>0</v>
      </c>
      <c r="L226" s="22">
        <f t="shared" si="101"/>
        <v>0</v>
      </c>
      <c r="M226" s="22">
        <v>0</v>
      </c>
      <c r="N226" s="22">
        <v>0</v>
      </c>
      <c r="O226" s="22">
        <v>0</v>
      </c>
      <c r="P226" s="22">
        <f t="shared" si="102"/>
        <v>0</v>
      </c>
      <c r="Q226" s="22">
        <v>0</v>
      </c>
      <c r="R226" s="22">
        <v>0</v>
      </c>
      <c r="S226" s="22">
        <v>0</v>
      </c>
      <c r="T226" s="22">
        <f t="shared" si="103"/>
        <v>0</v>
      </c>
    </row>
    <row r="227" spans="1:20" x14ac:dyDescent="0.35">
      <c r="A227" s="2">
        <v>36</v>
      </c>
      <c r="B227" s="121" t="s">
        <v>166</v>
      </c>
      <c r="C227" s="24" t="s">
        <v>4</v>
      </c>
      <c r="D227" s="24">
        <f t="shared" si="99"/>
        <v>0</v>
      </c>
      <c r="E227" s="22">
        <v>0</v>
      </c>
      <c r="F227" s="22">
        <v>0</v>
      </c>
      <c r="G227" s="22">
        <v>0</v>
      </c>
      <c r="H227" s="22">
        <f t="shared" si="100"/>
        <v>0</v>
      </c>
      <c r="I227" s="22">
        <v>0</v>
      </c>
      <c r="J227" s="22">
        <v>0</v>
      </c>
      <c r="K227" s="22">
        <v>0</v>
      </c>
      <c r="L227" s="22">
        <f t="shared" si="101"/>
        <v>0</v>
      </c>
      <c r="M227" s="22">
        <v>0</v>
      </c>
      <c r="N227" s="22">
        <v>0</v>
      </c>
      <c r="O227" s="22">
        <v>0</v>
      </c>
      <c r="P227" s="22">
        <f t="shared" si="102"/>
        <v>0</v>
      </c>
      <c r="Q227" s="22">
        <v>0</v>
      </c>
      <c r="R227" s="22">
        <v>0</v>
      </c>
      <c r="S227" s="22">
        <v>0</v>
      </c>
      <c r="T227" s="22">
        <f t="shared" si="103"/>
        <v>0</v>
      </c>
    </row>
    <row r="228" spans="1:20" x14ac:dyDescent="0.35">
      <c r="A228" s="2">
        <v>37</v>
      </c>
      <c r="B228" s="121" t="s">
        <v>167</v>
      </c>
      <c r="C228" s="24" t="s">
        <v>4</v>
      </c>
      <c r="D228" s="24">
        <f t="shared" si="99"/>
        <v>0</v>
      </c>
      <c r="E228" s="22">
        <v>0</v>
      </c>
      <c r="F228" s="22">
        <v>0</v>
      </c>
      <c r="G228" s="22">
        <v>0</v>
      </c>
      <c r="H228" s="22">
        <f t="shared" si="100"/>
        <v>0</v>
      </c>
      <c r="I228" s="22">
        <v>0</v>
      </c>
      <c r="J228" s="22">
        <v>0</v>
      </c>
      <c r="K228" s="22">
        <v>0</v>
      </c>
      <c r="L228" s="22">
        <f t="shared" si="101"/>
        <v>0</v>
      </c>
      <c r="M228" s="22">
        <v>0</v>
      </c>
      <c r="N228" s="22">
        <v>0</v>
      </c>
      <c r="O228" s="22">
        <v>0</v>
      </c>
      <c r="P228" s="22">
        <f t="shared" si="102"/>
        <v>0</v>
      </c>
      <c r="Q228" s="22">
        <v>0</v>
      </c>
      <c r="R228" s="22">
        <v>0</v>
      </c>
      <c r="S228" s="22">
        <v>0</v>
      </c>
      <c r="T228" s="22">
        <f t="shared" si="103"/>
        <v>0</v>
      </c>
    </row>
    <row r="229" spans="1:20" x14ac:dyDescent="0.35">
      <c r="A229" s="2">
        <v>38</v>
      </c>
      <c r="B229" s="121" t="s">
        <v>168</v>
      </c>
      <c r="C229" s="24" t="s">
        <v>4</v>
      </c>
      <c r="D229" s="24">
        <f t="shared" si="99"/>
        <v>0</v>
      </c>
      <c r="E229" s="22">
        <v>0</v>
      </c>
      <c r="F229" s="22">
        <v>0</v>
      </c>
      <c r="G229" s="22">
        <v>0</v>
      </c>
      <c r="H229" s="22">
        <f t="shared" si="100"/>
        <v>0</v>
      </c>
      <c r="I229" s="22">
        <v>0</v>
      </c>
      <c r="J229" s="22">
        <v>0</v>
      </c>
      <c r="K229" s="22">
        <v>0</v>
      </c>
      <c r="L229" s="22">
        <f t="shared" si="101"/>
        <v>0</v>
      </c>
      <c r="M229" s="22">
        <v>0</v>
      </c>
      <c r="N229" s="22">
        <v>0</v>
      </c>
      <c r="O229" s="22">
        <v>0</v>
      </c>
      <c r="P229" s="22">
        <f t="shared" si="102"/>
        <v>0</v>
      </c>
      <c r="Q229" s="22">
        <v>0</v>
      </c>
      <c r="R229" s="22">
        <v>0</v>
      </c>
      <c r="S229" s="22">
        <v>0</v>
      </c>
      <c r="T229" s="22">
        <f t="shared" si="103"/>
        <v>0</v>
      </c>
    </row>
    <row r="231" spans="1:20" x14ac:dyDescent="0.35">
      <c r="A231" s="1" t="s">
        <v>63</v>
      </c>
    </row>
    <row r="232" spans="1:20" ht="15.5" x14ac:dyDescent="0.35">
      <c r="A232" s="10" t="s">
        <v>0</v>
      </c>
      <c r="B232" s="10" t="s">
        <v>1</v>
      </c>
      <c r="C232" s="10" t="s">
        <v>2</v>
      </c>
      <c r="D232" s="31" t="s">
        <v>67</v>
      </c>
      <c r="E232" s="27" t="s">
        <v>113</v>
      </c>
      <c r="F232" s="11" t="s">
        <v>114</v>
      </c>
      <c r="G232" s="11" t="s">
        <v>115</v>
      </c>
      <c r="H232" s="28" t="s">
        <v>27</v>
      </c>
      <c r="I232" s="11" t="s">
        <v>55</v>
      </c>
      <c r="J232" s="11" t="s">
        <v>116</v>
      </c>
      <c r="K232" s="11" t="s">
        <v>117</v>
      </c>
      <c r="L232" s="15" t="s">
        <v>54</v>
      </c>
      <c r="M232" s="11" t="s">
        <v>118</v>
      </c>
      <c r="N232" s="11" t="s">
        <v>119</v>
      </c>
      <c r="O232" s="11" t="s">
        <v>56</v>
      </c>
      <c r="P232" s="15" t="s">
        <v>57</v>
      </c>
      <c r="Q232" s="11" t="s">
        <v>120</v>
      </c>
      <c r="R232" s="11" t="s">
        <v>58</v>
      </c>
      <c r="S232" s="11" t="s">
        <v>121</v>
      </c>
      <c r="T232" s="15" t="s">
        <v>59</v>
      </c>
    </row>
    <row r="233" spans="1:20" ht="15.5" x14ac:dyDescent="0.35">
      <c r="A233" s="12"/>
      <c r="B233" s="12"/>
      <c r="C233" s="12"/>
      <c r="D233" s="32"/>
      <c r="E233" s="29"/>
      <c r="F233" s="13"/>
      <c r="G233" s="13"/>
      <c r="H233" s="29"/>
      <c r="I233" s="13"/>
      <c r="J233" s="13"/>
      <c r="K233" s="13"/>
      <c r="L233" s="9"/>
      <c r="M233" s="13"/>
      <c r="N233" s="13"/>
      <c r="O233" s="13"/>
      <c r="P233" s="9"/>
      <c r="Q233" s="13"/>
      <c r="R233" s="13"/>
      <c r="S233" s="13"/>
      <c r="T233" s="9"/>
    </row>
    <row r="234" spans="1:20" x14ac:dyDescent="0.35">
      <c r="A234" s="45"/>
      <c r="B234" s="33" t="s">
        <v>26</v>
      </c>
      <c r="C234" s="33" t="s">
        <v>4</v>
      </c>
      <c r="D234" s="33">
        <f>SUM(D235:D272)</f>
        <v>6969.1650000000009</v>
      </c>
      <c r="E234" s="84">
        <f>SUM(E235:E272)</f>
        <v>731.76699999999994</v>
      </c>
      <c r="F234" s="84">
        <f t="shared" ref="F234:G234" si="104">SUM(F235:F272)</f>
        <v>663.73699999999997</v>
      </c>
      <c r="G234" s="84">
        <f t="shared" si="104"/>
        <v>556.78700000000003</v>
      </c>
      <c r="H234" s="84">
        <f t="shared" ref="H234" si="105">SUM(E234:G234)</f>
        <v>1952.2909999999999</v>
      </c>
      <c r="I234" s="84">
        <f>SUM(I235:I272)</f>
        <v>534.17900000000009</v>
      </c>
      <c r="J234" s="84">
        <f t="shared" ref="J234:K234" si="106">SUM(J235:J272)</f>
        <v>515.96500000000003</v>
      </c>
      <c r="K234" s="84">
        <f t="shared" si="106"/>
        <v>407.815</v>
      </c>
      <c r="L234" s="84">
        <f t="shared" ref="L234" si="107">SUM(I234:K234)</f>
        <v>1457.9590000000003</v>
      </c>
      <c r="M234" s="84">
        <f>SUM(M235:M272)</f>
        <v>296.267</v>
      </c>
      <c r="N234" s="84">
        <f t="shared" ref="N234:O234" si="108">SUM(N235:N272)</f>
        <v>422.733</v>
      </c>
      <c r="O234" s="84">
        <f t="shared" si="108"/>
        <v>430.553</v>
      </c>
      <c r="P234" s="84">
        <f t="shared" ref="P234" si="109">SUM(M234:O234)</f>
        <v>1149.5529999999999</v>
      </c>
      <c r="Q234" s="84">
        <f>SUM(Q235:Q272)</f>
        <v>479.42099999999999</v>
      </c>
      <c r="R234" s="84">
        <f t="shared" ref="R234:S234" si="110">SUM(R235:R272)</f>
        <v>882.97799999999995</v>
      </c>
      <c r="S234" s="84">
        <f t="shared" si="110"/>
        <v>1046.963</v>
      </c>
      <c r="T234" s="84">
        <f t="shared" ref="T234" si="111">SUM(Q234:S234)</f>
        <v>2409.3620000000001</v>
      </c>
    </row>
    <row r="235" spans="1:20" x14ac:dyDescent="0.35">
      <c r="A235" s="2">
        <v>1</v>
      </c>
      <c r="B235" s="121" t="s">
        <v>131</v>
      </c>
      <c r="C235" s="24" t="s">
        <v>4</v>
      </c>
      <c r="D235" s="24">
        <f>SUM(H235,L235,P235,T235)</f>
        <v>4.5999999999999996</v>
      </c>
      <c r="E235" s="22">
        <f>300/1000</f>
        <v>0.3</v>
      </c>
      <c r="F235" s="22">
        <f>400/1000</f>
        <v>0.4</v>
      </c>
      <c r="G235" s="22">
        <f>600/1000</f>
        <v>0.6</v>
      </c>
      <c r="H235" s="22">
        <f>SUM(E235:G235)</f>
        <v>1.2999999999999998</v>
      </c>
      <c r="I235" s="22">
        <f>500/1000</f>
        <v>0.5</v>
      </c>
      <c r="J235" s="22">
        <f>200/1000</f>
        <v>0.2</v>
      </c>
      <c r="K235" s="22">
        <f>100/1000</f>
        <v>0.1</v>
      </c>
      <c r="L235" s="22">
        <f>SUM(I235:K235)</f>
        <v>0.79999999999999993</v>
      </c>
      <c r="M235" s="22">
        <f>200/1000</f>
        <v>0.2</v>
      </c>
      <c r="N235" s="22">
        <f>300/1000</f>
        <v>0.3</v>
      </c>
      <c r="O235" s="22">
        <f>200/1000</f>
        <v>0.2</v>
      </c>
      <c r="P235" s="22">
        <f>SUM(M235:O235)</f>
        <v>0.7</v>
      </c>
      <c r="Q235" s="22">
        <f>400/1000</f>
        <v>0.4</v>
      </c>
      <c r="R235" s="22">
        <f>600/1000</f>
        <v>0.6</v>
      </c>
      <c r="S235" s="22">
        <f>800/1000</f>
        <v>0.8</v>
      </c>
      <c r="T235" s="22">
        <f>SUM(Q235:S235)</f>
        <v>1.8</v>
      </c>
    </row>
    <row r="236" spans="1:20" x14ac:dyDescent="0.35">
      <c r="A236" s="2">
        <f t="shared" ref="A236:A256" si="112">A235+1</f>
        <v>2</v>
      </c>
      <c r="B236" s="121" t="s">
        <v>132</v>
      </c>
      <c r="C236" s="24" t="s">
        <v>4</v>
      </c>
      <c r="D236" s="24">
        <f t="shared" ref="D236:D272" si="113">SUM(H236,L236,P236,T236)</f>
        <v>47.815000000000005</v>
      </c>
      <c r="E236" s="22">
        <f>3600/1000</f>
        <v>3.6</v>
      </c>
      <c r="F236" s="22">
        <f>3450/1000</f>
        <v>3.45</v>
      </c>
      <c r="G236" s="22">
        <f>3560/1000</f>
        <v>3.56</v>
      </c>
      <c r="H236" s="22">
        <f t="shared" ref="H236:H272" si="114">SUM(E236:G236)</f>
        <v>10.610000000000001</v>
      </c>
      <c r="I236" s="22">
        <f>3195/1000</f>
        <v>3.1949999999999998</v>
      </c>
      <c r="J236" s="22">
        <f>3210/1000</f>
        <v>3.21</v>
      </c>
      <c r="K236" s="22">
        <f>3240/1000</f>
        <v>3.24</v>
      </c>
      <c r="L236" s="22">
        <f t="shared" ref="L236:L272" si="115">SUM(I236:K236)</f>
        <v>9.6449999999999996</v>
      </c>
      <c r="M236" s="22">
        <f>4985/1000</f>
        <v>4.9850000000000003</v>
      </c>
      <c r="N236" s="22">
        <f>4295/1000</f>
        <v>4.2949999999999999</v>
      </c>
      <c r="O236" s="22">
        <f>4025/1000</f>
        <v>4.0250000000000004</v>
      </c>
      <c r="P236" s="22">
        <f t="shared" ref="P236:P272" si="116">SUM(M236:O236)</f>
        <v>13.305000000000001</v>
      </c>
      <c r="Q236" s="22">
        <f>4480/1000</f>
        <v>4.4800000000000004</v>
      </c>
      <c r="R236" s="22">
        <f>4875/1000</f>
        <v>4.875</v>
      </c>
      <c r="S236" s="22">
        <f>4900/1000</f>
        <v>4.9000000000000004</v>
      </c>
      <c r="T236" s="22">
        <f t="shared" ref="T236:T272" si="117">SUM(Q236:S236)</f>
        <v>14.255000000000001</v>
      </c>
    </row>
    <row r="237" spans="1:20" x14ac:dyDescent="0.35">
      <c r="A237" s="2">
        <f t="shared" si="112"/>
        <v>3</v>
      </c>
      <c r="B237" s="121" t="s">
        <v>133</v>
      </c>
      <c r="C237" s="24" t="s">
        <v>4</v>
      </c>
      <c r="D237" s="24">
        <f t="shared" si="113"/>
        <v>0</v>
      </c>
      <c r="E237" s="22">
        <v>0</v>
      </c>
      <c r="F237" s="22">
        <v>0</v>
      </c>
      <c r="G237" s="22">
        <v>0</v>
      </c>
      <c r="H237" s="22">
        <f t="shared" si="114"/>
        <v>0</v>
      </c>
      <c r="I237" s="22">
        <v>0</v>
      </c>
      <c r="J237" s="22">
        <v>0</v>
      </c>
      <c r="K237" s="22">
        <v>0</v>
      </c>
      <c r="L237" s="22">
        <f t="shared" si="115"/>
        <v>0</v>
      </c>
      <c r="M237" s="22">
        <v>0</v>
      </c>
      <c r="N237" s="22">
        <v>0</v>
      </c>
      <c r="O237" s="22">
        <v>0</v>
      </c>
      <c r="P237" s="22">
        <f t="shared" si="116"/>
        <v>0</v>
      </c>
      <c r="Q237" s="22">
        <v>0</v>
      </c>
      <c r="R237" s="22">
        <v>0</v>
      </c>
      <c r="S237" s="22">
        <v>0</v>
      </c>
      <c r="T237" s="22">
        <f t="shared" si="117"/>
        <v>0</v>
      </c>
    </row>
    <row r="238" spans="1:20" x14ac:dyDescent="0.35">
      <c r="A238" s="2">
        <f t="shared" si="112"/>
        <v>4</v>
      </c>
      <c r="B238" s="121" t="s">
        <v>134</v>
      </c>
      <c r="C238" s="24" t="s">
        <v>4</v>
      </c>
      <c r="D238" s="24">
        <f t="shared" si="113"/>
        <v>0</v>
      </c>
      <c r="E238" s="22">
        <v>0</v>
      </c>
      <c r="F238" s="22">
        <v>0</v>
      </c>
      <c r="G238" s="22">
        <v>0</v>
      </c>
      <c r="H238" s="22">
        <f t="shared" si="114"/>
        <v>0</v>
      </c>
      <c r="I238" s="22">
        <v>0</v>
      </c>
      <c r="J238" s="22">
        <v>0</v>
      </c>
      <c r="K238" s="22">
        <v>0</v>
      </c>
      <c r="L238" s="22">
        <f t="shared" si="115"/>
        <v>0</v>
      </c>
      <c r="M238" s="22">
        <v>0</v>
      </c>
      <c r="N238" s="22">
        <v>0</v>
      </c>
      <c r="O238" s="22">
        <v>0</v>
      </c>
      <c r="P238" s="22">
        <f t="shared" si="116"/>
        <v>0</v>
      </c>
      <c r="Q238" s="22">
        <v>0</v>
      </c>
      <c r="R238" s="22">
        <v>0</v>
      </c>
      <c r="S238" s="22">
        <v>0</v>
      </c>
      <c r="T238" s="22">
        <f t="shared" si="117"/>
        <v>0</v>
      </c>
    </row>
    <row r="239" spans="1:20" x14ac:dyDescent="0.35">
      <c r="A239" s="2">
        <f t="shared" si="112"/>
        <v>5</v>
      </c>
      <c r="B239" s="121" t="s">
        <v>135</v>
      </c>
      <c r="C239" s="24" t="s">
        <v>4</v>
      </c>
      <c r="D239" s="24">
        <f t="shared" si="113"/>
        <v>0</v>
      </c>
      <c r="E239" s="22">
        <v>0</v>
      </c>
      <c r="F239" s="22">
        <v>0</v>
      </c>
      <c r="G239" s="22">
        <v>0</v>
      </c>
      <c r="H239" s="22">
        <f t="shared" si="114"/>
        <v>0</v>
      </c>
      <c r="I239" s="22">
        <v>0</v>
      </c>
      <c r="J239" s="22">
        <v>0</v>
      </c>
      <c r="K239" s="22">
        <v>0</v>
      </c>
      <c r="L239" s="22">
        <f t="shared" si="115"/>
        <v>0</v>
      </c>
      <c r="M239" s="22">
        <v>0</v>
      </c>
      <c r="N239" s="22">
        <v>0</v>
      </c>
      <c r="O239" s="22">
        <v>0</v>
      </c>
      <c r="P239" s="22">
        <f t="shared" si="116"/>
        <v>0</v>
      </c>
      <c r="Q239" s="22">
        <v>0</v>
      </c>
      <c r="R239" s="22">
        <v>0</v>
      </c>
      <c r="S239" s="22">
        <v>0</v>
      </c>
      <c r="T239" s="22">
        <f t="shared" si="117"/>
        <v>0</v>
      </c>
    </row>
    <row r="240" spans="1:20" x14ac:dyDescent="0.35">
      <c r="A240" s="2">
        <f t="shared" si="112"/>
        <v>6</v>
      </c>
      <c r="B240" s="121" t="s">
        <v>136</v>
      </c>
      <c r="C240" s="24" t="s">
        <v>4</v>
      </c>
      <c r="D240" s="24">
        <f t="shared" si="113"/>
        <v>0</v>
      </c>
      <c r="E240" s="22">
        <v>0</v>
      </c>
      <c r="F240" s="22">
        <v>0</v>
      </c>
      <c r="G240" s="22">
        <v>0</v>
      </c>
      <c r="H240" s="22">
        <f t="shared" si="114"/>
        <v>0</v>
      </c>
      <c r="I240" s="22">
        <v>0</v>
      </c>
      <c r="J240" s="22">
        <v>0</v>
      </c>
      <c r="K240" s="22">
        <v>0</v>
      </c>
      <c r="L240" s="22">
        <f t="shared" si="115"/>
        <v>0</v>
      </c>
      <c r="M240" s="22">
        <v>0</v>
      </c>
      <c r="N240" s="22">
        <v>0</v>
      </c>
      <c r="O240" s="22">
        <v>0</v>
      </c>
      <c r="P240" s="22">
        <f t="shared" si="116"/>
        <v>0</v>
      </c>
      <c r="Q240" s="22">
        <v>0</v>
      </c>
      <c r="R240" s="22">
        <v>0</v>
      </c>
      <c r="S240" s="22">
        <v>0</v>
      </c>
      <c r="T240" s="22">
        <f t="shared" si="117"/>
        <v>0</v>
      </c>
    </row>
    <row r="241" spans="1:20" x14ac:dyDescent="0.35">
      <c r="A241" s="2">
        <f t="shared" si="112"/>
        <v>7</v>
      </c>
      <c r="B241" s="121" t="s">
        <v>137</v>
      </c>
      <c r="C241" s="24" t="s">
        <v>4</v>
      </c>
      <c r="D241" s="24">
        <f t="shared" si="113"/>
        <v>0</v>
      </c>
      <c r="E241" s="22">
        <v>0</v>
      </c>
      <c r="F241" s="22">
        <v>0</v>
      </c>
      <c r="G241" s="22">
        <v>0</v>
      </c>
      <c r="H241" s="22">
        <f t="shared" si="114"/>
        <v>0</v>
      </c>
      <c r="I241" s="22">
        <v>0</v>
      </c>
      <c r="J241" s="22">
        <v>0</v>
      </c>
      <c r="K241" s="22">
        <v>0</v>
      </c>
      <c r="L241" s="22">
        <f t="shared" si="115"/>
        <v>0</v>
      </c>
      <c r="M241" s="22">
        <v>0</v>
      </c>
      <c r="N241" s="22">
        <v>0</v>
      </c>
      <c r="O241" s="22">
        <v>0</v>
      </c>
      <c r="P241" s="22">
        <f t="shared" si="116"/>
        <v>0</v>
      </c>
      <c r="Q241" s="22">
        <v>0</v>
      </c>
      <c r="R241" s="22">
        <v>0</v>
      </c>
      <c r="S241" s="22">
        <v>0</v>
      </c>
      <c r="T241" s="22">
        <f t="shared" si="117"/>
        <v>0</v>
      </c>
    </row>
    <row r="242" spans="1:20" x14ac:dyDescent="0.35">
      <c r="A242" s="2">
        <f t="shared" si="112"/>
        <v>8</v>
      </c>
      <c r="B242" s="121" t="s">
        <v>138</v>
      </c>
      <c r="C242" s="24" t="s">
        <v>4</v>
      </c>
      <c r="D242" s="24">
        <f t="shared" si="113"/>
        <v>0</v>
      </c>
      <c r="E242" s="22">
        <v>0</v>
      </c>
      <c r="F242" s="22">
        <v>0</v>
      </c>
      <c r="G242" s="22">
        <v>0</v>
      </c>
      <c r="H242" s="22">
        <f t="shared" si="114"/>
        <v>0</v>
      </c>
      <c r="I242" s="22">
        <v>0</v>
      </c>
      <c r="J242" s="22">
        <v>0</v>
      </c>
      <c r="K242" s="22">
        <v>0</v>
      </c>
      <c r="L242" s="22">
        <f t="shared" si="115"/>
        <v>0</v>
      </c>
      <c r="M242" s="22">
        <v>0</v>
      </c>
      <c r="N242" s="22">
        <v>0</v>
      </c>
      <c r="O242" s="22">
        <v>0</v>
      </c>
      <c r="P242" s="22">
        <f t="shared" si="116"/>
        <v>0</v>
      </c>
      <c r="Q242" s="22">
        <v>0</v>
      </c>
      <c r="R242" s="22">
        <v>0</v>
      </c>
      <c r="S242" s="22">
        <v>0</v>
      </c>
      <c r="T242" s="22">
        <f t="shared" si="117"/>
        <v>0</v>
      </c>
    </row>
    <row r="243" spans="1:20" x14ac:dyDescent="0.35">
      <c r="A243" s="2">
        <f t="shared" si="112"/>
        <v>9</v>
      </c>
      <c r="B243" s="121" t="s">
        <v>139</v>
      </c>
      <c r="C243" s="24" t="s">
        <v>4</v>
      </c>
      <c r="D243" s="24">
        <f t="shared" si="113"/>
        <v>0</v>
      </c>
      <c r="E243" s="22">
        <v>0</v>
      </c>
      <c r="F243" s="22">
        <v>0</v>
      </c>
      <c r="G243" s="22">
        <v>0</v>
      </c>
      <c r="H243" s="22">
        <f t="shared" si="114"/>
        <v>0</v>
      </c>
      <c r="I243" s="22">
        <v>0</v>
      </c>
      <c r="J243" s="22">
        <v>0</v>
      </c>
      <c r="K243" s="22">
        <v>0</v>
      </c>
      <c r="L243" s="22">
        <f t="shared" si="115"/>
        <v>0</v>
      </c>
      <c r="M243" s="22">
        <v>0</v>
      </c>
      <c r="N243" s="22">
        <v>0</v>
      </c>
      <c r="O243" s="22">
        <v>0</v>
      </c>
      <c r="P243" s="22">
        <f t="shared" si="116"/>
        <v>0</v>
      </c>
      <c r="Q243" s="22">
        <v>0</v>
      </c>
      <c r="R243" s="22">
        <v>0</v>
      </c>
      <c r="S243" s="22">
        <v>0</v>
      </c>
      <c r="T243" s="22">
        <f t="shared" si="117"/>
        <v>0</v>
      </c>
    </row>
    <row r="244" spans="1:20" x14ac:dyDescent="0.35">
      <c r="A244" s="2">
        <f t="shared" si="112"/>
        <v>10</v>
      </c>
      <c r="B244" s="121" t="s">
        <v>140</v>
      </c>
      <c r="C244" s="24" t="s">
        <v>4</v>
      </c>
      <c r="D244" s="24">
        <f t="shared" si="113"/>
        <v>74.03</v>
      </c>
      <c r="E244" s="22">
        <f>6107/1000</f>
        <v>6.1070000000000002</v>
      </c>
      <c r="F244" s="22">
        <f>7032/1000</f>
        <v>7.032</v>
      </c>
      <c r="G244" s="22">
        <f>5367/1000</f>
        <v>5.367</v>
      </c>
      <c r="H244" s="22">
        <f t="shared" si="114"/>
        <v>18.506</v>
      </c>
      <c r="I244" s="22">
        <f>12954/1000</f>
        <v>12.954000000000001</v>
      </c>
      <c r="J244" s="22">
        <f>14805/1000</f>
        <v>14.805</v>
      </c>
      <c r="K244" s="22">
        <f>9253/1000</f>
        <v>9.2530000000000001</v>
      </c>
      <c r="L244" s="22">
        <f t="shared" si="115"/>
        <v>37.012</v>
      </c>
      <c r="M244" s="22">
        <f>5552/1000</f>
        <v>5.5519999999999996</v>
      </c>
      <c r="N244" s="22">
        <f>3331/1000</f>
        <v>3.331</v>
      </c>
      <c r="O244" s="22">
        <f>2221/1000</f>
        <v>2.2210000000000001</v>
      </c>
      <c r="P244" s="22">
        <f t="shared" si="116"/>
        <v>11.103999999999999</v>
      </c>
      <c r="Q244" s="22">
        <f>2217/1000</f>
        <v>2.2170000000000001</v>
      </c>
      <c r="R244" s="22">
        <f>2374/1000</f>
        <v>2.3740000000000001</v>
      </c>
      <c r="S244" s="22">
        <f>2817/1000</f>
        <v>2.8170000000000002</v>
      </c>
      <c r="T244" s="22">
        <f t="shared" si="117"/>
        <v>7.4080000000000004</v>
      </c>
    </row>
    <row r="245" spans="1:20" x14ac:dyDescent="0.35">
      <c r="A245" s="2">
        <f t="shared" si="112"/>
        <v>11</v>
      </c>
      <c r="B245" s="121" t="s">
        <v>141</v>
      </c>
      <c r="C245" s="24" t="s">
        <v>4</v>
      </c>
      <c r="D245" s="24">
        <f t="shared" si="113"/>
        <v>0</v>
      </c>
      <c r="E245" s="22">
        <v>0</v>
      </c>
      <c r="F245" s="22">
        <v>0</v>
      </c>
      <c r="G245" s="22">
        <v>0</v>
      </c>
      <c r="H245" s="22">
        <f t="shared" si="114"/>
        <v>0</v>
      </c>
      <c r="I245" s="22">
        <v>0</v>
      </c>
      <c r="J245" s="22">
        <v>0</v>
      </c>
      <c r="K245" s="22">
        <v>0</v>
      </c>
      <c r="L245" s="22">
        <f t="shared" si="115"/>
        <v>0</v>
      </c>
      <c r="M245" s="22">
        <v>0</v>
      </c>
      <c r="N245" s="22">
        <v>0</v>
      </c>
      <c r="O245" s="22">
        <v>0</v>
      </c>
      <c r="P245" s="22">
        <f t="shared" si="116"/>
        <v>0</v>
      </c>
      <c r="Q245" s="22">
        <v>0</v>
      </c>
      <c r="R245" s="22">
        <v>0</v>
      </c>
      <c r="S245" s="22">
        <v>0</v>
      </c>
      <c r="T245" s="22">
        <f t="shared" si="117"/>
        <v>0</v>
      </c>
    </row>
    <row r="246" spans="1:20" x14ac:dyDescent="0.35">
      <c r="A246" s="2">
        <f t="shared" si="112"/>
        <v>12</v>
      </c>
      <c r="B246" s="121" t="s">
        <v>142</v>
      </c>
      <c r="C246" s="24" t="s">
        <v>4</v>
      </c>
      <c r="D246" s="24">
        <f t="shared" si="113"/>
        <v>0</v>
      </c>
      <c r="E246" s="22">
        <v>0</v>
      </c>
      <c r="F246" s="22">
        <v>0</v>
      </c>
      <c r="G246" s="22">
        <v>0</v>
      </c>
      <c r="H246" s="22">
        <f t="shared" si="114"/>
        <v>0</v>
      </c>
      <c r="I246" s="22">
        <v>0</v>
      </c>
      <c r="J246" s="22">
        <v>0</v>
      </c>
      <c r="K246" s="22">
        <v>0</v>
      </c>
      <c r="L246" s="22">
        <f t="shared" si="115"/>
        <v>0</v>
      </c>
      <c r="M246" s="22">
        <v>0</v>
      </c>
      <c r="N246" s="22">
        <v>0</v>
      </c>
      <c r="O246" s="22">
        <v>0</v>
      </c>
      <c r="P246" s="22">
        <f t="shared" si="116"/>
        <v>0</v>
      </c>
      <c r="Q246" s="22">
        <v>0</v>
      </c>
      <c r="R246" s="22">
        <v>0</v>
      </c>
      <c r="S246" s="22">
        <v>0</v>
      </c>
      <c r="T246" s="22">
        <f t="shared" si="117"/>
        <v>0</v>
      </c>
    </row>
    <row r="247" spans="1:20" x14ac:dyDescent="0.35">
      <c r="A247" s="2">
        <f t="shared" si="112"/>
        <v>13</v>
      </c>
      <c r="B247" s="121" t="s">
        <v>143</v>
      </c>
      <c r="C247" s="24" t="s">
        <v>4</v>
      </c>
      <c r="D247" s="24">
        <f t="shared" si="113"/>
        <v>0</v>
      </c>
      <c r="E247" s="22">
        <v>0</v>
      </c>
      <c r="F247" s="22">
        <v>0</v>
      </c>
      <c r="G247" s="22">
        <v>0</v>
      </c>
      <c r="H247" s="22">
        <f t="shared" si="114"/>
        <v>0</v>
      </c>
      <c r="I247" s="22">
        <v>0</v>
      </c>
      <c r="J247" s="22">
        <v>0</v>
      </c>
      <c r="K247" s="22">
        <v>0</v>
      </c>
      <c r="L247" s="22">
        <f t="shared" si="115"/>
        <v>0</v>
      </c>
      <c r="M247" s="22">
        <v>0</v>
      </c>
      <c r="N247" s="22">
        <v>0</v>
      </c>
      <c r="O247" s="22">
        <v>0</v>
      </c>
      <c r="P247" s="22">
        <f t="shared" si="116"/>
        <v>0</v>
      </c>
      <c r="Q247" s="22">
        <v>0</v>
      </c>
      <c r="R247" s="22">
        <v>0</v>
      </c>
      <c r="S247" s="22">
        <v>0</v>
      </c>
      <c r="T247" s="22">
        <f t="shared" si="117"/>
        <v>0</v>
      </c>
    </row>
    <row r="248" spans="1:20" x14ac:dyDescent="0.35">
      <c r="A248" s="2">
        <f t="shared" si="112"/>
        <v>14</v>
      </c>
      <c r="B248" s="121" t="s">
        <v>144</v>
      </c>
      <c r="C248" s="24" t="s">
        <v>4</v>
      </c>
      <c r="D248" s="24">
        <f t="shared" si="113"/>
        <v>0</v>
      </c>
      <c r="E248" s="22">
        <v>0</v>
      </c>
      <c r="F248" s="22">
        <v>0</v>
      </c>
      <c r="G248" s="22">
        <v>0</v>
      </c>
      <c r="H248" s="22">
        <f t="shared" si="114"/>
        <v>0</v>
      </c>
      <c r="I248" s="22">
        <v>0</v>
      </c>
      <c r="J248" s="22">
        <v>0</v>
      </c>
      <c r="K248" s="22">
        <v>0</v>
      </c>
      <c r="L248" s="22">
        <f t="shared" si="115"/>
        <v>0</v>
      </c>
      <c r="M248" s="22">
        <v>0</v>
      </c>
      <c r="N248" s="22">
        <v>0</v>
      </c>
      <c r="O248" s="22">
        <v>0</v>
      </c>
      <c r="P248" s="22">
        <f t="shared" si="116"/>
        <v>0</v>
      </c>
      <c r="Q248" s="22">
        <v>0</v>
      </c>
      <c r="R248" s="22">
        <v>0</v>
      </c>
      <c r="S248" s="22">
        <v>0</v>
      </c>
      <c r="T248" s="22">
        <f t="shared" si="117"/>
        <v>0</v>
      </c>
    </row>
    <row r="249" spans="1:20" x14ac:dyDescent="0.35">
      <c r="A249" s="2">
        <f t="shared" si="112"/>
        <v>15</v>
      </c>
      <c r="B249" s="121" t="s">
        <v>145</v>
      </c>
      <c r="C249" s="24" t="s">
        <v>4</v>
      </c>
      <c r="D249" s="24">
        <f t="shared" si="113"/>
        <v>1.8</v>
      </c>
      <c r="E249" s="22">
        <v>0</v>
      </c>
      <c r="F249" s="22">
        <f>600/1000</f>
        <v>0.6</v>
      </c>
      <c r="G249" s="22">
        <v>0</v>
      </c>
      <c r="H249" s="22">
        <f t="shared" si="114"/>
        <v>0.6</v>
      </c>
      <c r="I249" s="22">
        <f>400/1000</f>
        <v>0.4</v>
      </c>
      <c r="J249" s="22">
        <v>0</v>
      </c>
      <c r="K249" s="22">
        <v>0</v>
      </c>
      <c r="L249" s="22">
        <f t="shared" si="115"/>
        <v>0.4</v>
      </c>
      <c r="M249" s="22">
        <v>0</v>
      </c>
      <c r="N249" s="22">
        <f>800/1000</f>
        <v>0.8</v>
      </c>
      <c r="O249" s="22">
        <v>0</v>
      </c>
      <c r="P249" s="22">
        <f t="shared" si="116"/>
        <v>0.8</v>
      </c>
      <c r="Q249" s="22">
        <v>0</v>
      </c>
      <c r="R249" s="22">
        <v>0</v>
      </c>
      <c r="S249" s="22">
        <v>0</v>
      </c>
      <c r="T249" s="22">
        <f t="shared" si="117"/>
        <v>0</v>
      </c>
    </row>
    <row r="250" spans="1:20" x14ac:dyDescent="0.35">
      <c r="A250" s="2">
        <f t="shared" si="112"/>
        <v>16</v>
      </c>
      <c r="B250" s="121" t="s">
        <v>146</v>
      </c>
      <c r="C250" s="24" t="s">
        <v>4</v>
      </c>
      <c r="D250" s="24">
        <f t="shared" si="113"/>
        <v>0</v>
      </c>
      <c r="E250" s="22">
        <v>0</v>
      </c>
      <c r="F250" s="22">
        <v>0</v>
      </c>
      <c r="G250" s="22">
        <v>0</v>
      </c>
      <c r="H250" s="22">
        <f t="shared" si="114"/>
        <v>0</v>
      </c>
      <c r="I250" s="22">
        <v>0</v>
      </c>
      <c r="J250" s="22">
        <v>0</v>
      </c>
      <c r="K250" s="22">
        <v>0</v>
      </c>
      <c r="L250" s="22">
        <f t="shared" si="115"/>
        <v>0</v>
      </c>
      <c r="M250" s="22">
        <v>0</v>
      </c>
      <c r="N250" s="22">
        <v>0</v>
      </c>
      <c r="O250" s="22">
        <v>0</v>
      </c>
      <c r="P250" s="22">
        <f t="shared" si="116"/>
        <v>0</v>
      </c>
      <c r="Q250" s="22">
        <v>0</v>
      </c>
      <c r="R250" s="22">
        <v>0</v>
      </c>
      <c r="S250" s="22">
        <v>0</v>
      </c>
      <c r="T250" s="22">
        <f t="shared" si="117"/>
        <v>0</v>
      </c>
    </row>
    <row r="251" spans="1:20" x14ac:dyDescent="0.35">
      <c r="A251" s="2">
        <f t="shared" si="112"/>
        <v>17</v>
      </c>
      <c r="B251" s="121" t="s">
        <v>147</v>
      </c>
      <c r="C251" s="24" t="s">
        <v>4</v>
      </c>
      <c r="D251" s="24">
        <f t="shared" si="113"/>
        <v>0</v>
      </c>
      <c r="E251" s="22">
        <v>0</v>
      </c>
      <c r="F251" s="22">
        <v>0</v>
      </c>
      <c r="G251" s="22">
        <v>0</v>
      </c>
      <c r="H251" s="22">
        <f t="shared" si="114"/>
        <v>0</v>
      </c>
      <c r="I251" s="22">
        <v>0</v>
      </c>
      <c r="J251" s="22">
        <v>0</v>
      </c>
      <c r="K251" s="22">
        <v>0</v>
      </c>
      <c r="L251" s="22">
        <f t="shared" si="115"/>
        <v>0</v>
      </c>
      <c r="M251" s="22">
        <v>0</v>
      </c>
      <c r="N251" s="22">
        <v>0</v>
      </c>
      <c r="O251" s="22">
        <v>0</v>
      </c>
      <c r="P251" s="22">
        <f t="shared" si="116"/>
        <v>0</v>
      </c>
      <c r="Q251" s="22">
        <v>0</v>
      </c>
      <c r="R251" s="22">
        <v>0</v>
      </c>
      <c r="S251" s="22">
        <v>0</v>
      </c>
      <c r="T251" s="22">
        <f t="shared" si="117"/>
        <v>0</v>
      </c>
    </row>
    <row r="252" spans="1:20" x14ac:dyDescent="0.35">
      <c r="A252" s="2">
        <f t="shared" si="112"/>
        <v>18</v>
      </c>
      <c r="B252" s="121" t="s">
        <v>148</v>
      </c>
      <c r="C252" s="24" t="s">
        <v>4</v>
      </c>
      <c r="D252" s="24">
        <f t="shared" si="113"/>
        <v>0</v>
      </c>
      <c r="E252" s="22">
        <v>0</v>
      </c>
      <c r="F252" s="22">
        <v>0</v>
      </c>
      <c r="G252" s="22">
        <v>0</v>
      </c>
      <c r="H252" s="22">
        <f t="shared" si="114"/>
        <v>0</v>
      </c>
      <c r="I252" s="22">
        <v>0</v>
      </c>
      <c r="J252" s="22">
        <v>0</v>
      </c>
      <c r="K252" s="22">
        <v>0</v>
      </c>
      <c r="L252" s="22">
        <f t="shared" si="115"/>
        <v>0</v>
      </c>
      <c r="M252" s="22">
        <v>0</v>
      </c>
      <c r="N252" s="22">
        <v>0</v>
      </c>
      <c r="O252" s="22">
        <v>0</v>
      </c>
      <c r="P252" s="22">
        <f t="shared" si="116"/>
        <v>0</v>
      </c>
      <c r="Q252" s="22">
        <v>0</v>
      </c>
      <c r="R252" s="22">
        <v>0</v>
      </c>
      <c r="S252" s="22">
        <v>0</v>
      </c>
      <c r="T252" s="22">
        <f t="shared" si="117"/>
        <v>0</v>
      </c>
    </row>
    <row r="253" spans="1:20" x14ac:dyDescent="0.35">
      <c r="A253" s="2">
        <f t="shared" si="112"/>
        <v>19</v>
      </c>
      <c r="B253" s="121" t="s">
        <v>149</v>
      </c>
      <c r="C253" s="24" t="s">
        <v>4</v>
      </c>
      <c r="D253" s="24">
        <f t="shared" si="113"/>
        <v>0</v>
      </c>
      <c r="E253" s="22">
        <v>0</v>
      </c>
      <c r="F253" s="22">
        <v>0</v>
      </c>
      <c r="G253" s="22">
        <v>0</v>
      </c>
      <c r="H253" s="22">
        <f t="shared" si="114"/>
        <v>0</v>
      </c>
      <c r="I253" s="22">
        <v>0</v>
      </c>
      <c r="J253" s="22">
        <v>0</v>
      </c>
      <c r="K253" s="22">
        <v>0</v>
      </c>
      <c r="L253" s="22">
        <f t="shared" si="115"/>
        <v>0</v>
      </c>
      <c r="M253" s="22">
        <v>0</v>
      </c>
      <c r="N253" s="22">
        <v>0</v>
      </c>
      <c r="O253" s="22">
        <v>0</v>
      </c>
      <c r="P253" s="22">
        <f t="shared" si="116"/>
        <v>0</v>
      </c>
      <c r="Q253" s="22">
        <v>0</v>
      </c>
      <c r="R253" s="22">
        <v>0</v>
      </c>
      <c r="S253" s="22">
        <v>0</v>
      </c>
      <c r="T253" s="22">
        <f t="shared" si="117"/>
        <v>0</v>
      </c>
    </row>
    <row r="254" spans="1:20" x14ac:dyDescent="0.35">
      <c r="A254" s="2">
        <f t="shared" si="112"/>
        <v>20</v>
      </c>
      <c r="B254" s="121" t="s">
        <v>150</v>
      </c>
      <c r="C254" s="24" t="s">
        <v>4</v>
      </c>
      <c r="D254" s="24">
        <f t="shared" si="113"/>
        <v>0</v>
      </c>
      <c r="E254" s="22">
        <v>0</v>
      </c>
      <c r="F254" s="22">
        <v>0</v>
      </c>
      <c r="G254" s="22">
        <v>0</v>
      </c>
      <c r="H254" s="22">
        <f t="shared" si="114"/>
        <v>0</v>
      </c>
      <c r="I254" s="22">
        <v>0</v>
      </c>
      <c r="J254" s="22">
        <v>0</v>
      </c>
      <c r="K254" s="22">
        <v>0</v>
      </c>
      <c r="L254" s="22">
        <f t="shared" si="115"/>
        <v>0</v>
      </c>
      <c r="M254" s="22">
        <v>0</v>
      </c>
      <c r="N254" s="22">
        <v>0</v>
      </c>
      <c r="O254" s="22">
        <v>0</v>
      </c>
      <c r="P254" s="22">
        <f t="shared" si="116"/>
        <v>0</v>
      </c>
      <c r="Q254" s="22">
        <v>0</v>
      </c>
      <c r="R254" s="22">
        <v>0</v>
      </c>
      <c r="S254" s="22">
        <v>0</v>
      </c>
      <c r="T254" s="22">
        <f t="shared" si="117"/>
        <v>0</v>
      </c>
    </row>
    <row r="255" spans="1:20" x14ac:dyDescent="0.35">
      <c r="A255" s="2">
        <f t="shared" si="112"/>
        <v>21</v>
      </c>
      <c r="B255" s="121" t="s">
        <v>151</v>
      </c>
      <c r="C255" s="24" t="s">
        <v>4</v>
      </c>
      <c r="D255" s="24">
        <f t="shared" si="113"/>
        <v>0</v>
      </c>
      <c r="E255" s="22">
        <v>0</v>
      </c>
      <c r="F255" s="22">
        <v>0</v>
      </c>
      <c r="G255" s="22">
        <v>0</v>
      </c>
      <c r="H255" s="22">
        <f t="shared" si="114"/>
        <v>0</v>
      </c>
      <c r="I255" s="22">
        <v>0</v>
      </c>
      <c r="J255" s="22">
        <v>0</v>
      </c>
      <c r="K255" s="22">
        <v>0</v>
      </c>
      <c r="L255" s="22">
        <f t="shared" si="115"/>
        <v>0</v>
      </c>
      <c r="M255" s="22">
        <v>0</v>
      </c>
      <c r="N255" s="22">
        <v>0</v>
      </c>
      <c r="O255" s="22">
        <v>0</v>
      </c>
      <c r="P255" s="22">
        <f t="shared" si="116"/>
        <v>0</v>
      </c>
      <c r="Q255" s="22">
        <v>0</v>
      </c>
      <c r="R255" s="22">
        <v>0</v>
      </c>
      <c r="S255" s="22">
        <v>0</v>
      </c>
      <c r="T255" s="22">
        <f t="shared" si="117"/>
        <v>0</v>
      </c>
    </row>
    <row r="256" spans="1:20" x14ac:dyDescent="0.35">
      <c r="A256" s="2">
        <f t="shared" si="112"/>
        <v>22</v>
      </c>
      <c r="B256" s="121" t="s">
        <v>152</v>
      </c>
      <c r="C256" s="24" t="s">
        <v>4</v>
      </c>
      <c r="D256" s="24">
        <f t="shared" si="113"/>
        <v>0</v>
      </c>
      <c r="E256" s="22">
        <v>0</v>
      </c>
      <c r="F256" s="22">
        <v>0</v>
      </c>
      <c r="G256" s="22">
        <v>0</v>
      </c>
      <c r="H256" s="22">
        <f t="shared" si="114"/>
        <v>0</v>
      </c>
      <c r="I256" s="22">
        <v>0</v>
      </c>
      <c r="J256" s="22">
        <v>0</v>
      </c>
      <c r="K256" s="22">
        <v>0</v>
      </c>
      <c r="L256" s="22">
        <f t="shared" si="115"/>
        <v>0</v>
      </c>
      <c r="M256" s="22">
        <v>0</v>
      </c>
      <c r="N256" s="22">
        <v>0</v>
      </c>
      <c r="O256" s="22">
        <v>0</v>
      </c>
      <c r="P256" s="22">
        <f t="shared" si="116"/>
        <v>0</v>
      </c>
      <c r="Q256" s="22">
        <v>0</v>
      </c>
      <c r="R256" s="22">
        <v>0</v>
      </c>
      <c r="S256" s="22">
        <v>0</v>
      </c>
      <c r="T256" s="22">
        <f t="shared" si="117"/>
        <v>0</v>
      </c>
    </row>
    <row r="257" spans="1:20" x14ac:dyDescent="0.35">
      <c r="A257" s="2">
        <v>23</v>
      </c>
      <c r="B257" s="121" t="s">
        <v>153</v>
      </c>
      <c r="C257" s="24" t="s">
        <v>4</v>
      </c>
      <c r="D257" s="24">
        <f t="shared" si="113"/>
        <v>0</v>
      </c>
      <c r="E257" s="22">
        <v>0</v>
      </c>
      <c r="F257" s="22">
        <v>0</v>
      </c>
      <c r="G257" s="22">
        <v>0</v>
      </c>
      <c r="H257" s="22">
        <f t="shared" si="114"/>
        <v>0</v>
      </c>
      <c r="I257" s="22">
        <v>0</v>
      </c>
      <c r="J257" s="22">
        <v>0</v>
      </c>
      <c r="K257" s="22">
        <v>0</v>
      </c>
      <c r="L257" s="22">
        <f t="shared" si="115"/>
        <v>0</v>
      </c>
      <c r="M257" s="22">
        <v>0</v>
      </c>
      <c r="N257" s="22">
        <v>0</v>
      </c>
      <c r="O257" s="22">
        <v>0</v>
      </c>
      <c r="P257" s="22">
        <f t="shared" si="116"/>
        <v>0</v>
      </c>
      <c r="Q257" s="22">
        <v>0</v>
      </c>
      <c r="R257" s="22">
        <v>0</v>
      </c>
      <c r="S257" s="22">
        <v>0</v>
      </c>
      <c r="T257" s="22">
        <f t="shared" si="117"/>
        <v>0</v>
      </c>
    </row>
    <row r="258" spans="1:20" x14ac:dyDescent="0.35">
      <c r="A258" s="2">
        <v>24</v>
      </c>
      <c r="B258" s="121" t="s">
        <v>154</v>
      </c>
      <c r="C258" s="24" t="s">
        <v>4</v>
      </c>
      <c r="D258" s="24">
        <f t="shared" si="113"/>
        <v>312.62</v>
      </c>
      <c r="E258" s="22">
        <f>35840/1000</f>
        <v>35.840000000000003</v>
      </c>
      <c r="F258" s="22">
        <f>29215/1000</f>
        <v>29.215</v>
      </c>
      <c r="G258" s="22">
        <f>27190/1000</f>
        <v>27.19</v>
      </c>
      <c r="H258" s="22">
        <f t="shared" si="114"/>
        <v>92.245000000000005</v>
      </c>
      <c r="I258" s="22">
        <f>22300/1000</f>
        <v>22.3</v>
      </c>
      <c r="J258" s="22">
        <f>21390/1000</f>
        <v>21.39</v>
      </c>
      <c r="K258" s="22">
        <f>22862/1000</f>
        <v>22.861999999999998</v>
      </c>
      <c r="L258" s="22">
        <f t="shared" si="115"/>
        <v>66.551999999999992</v>
      </c>
      <c r="M258" s="22">
        <f>20600/1000</f>
        <v>20.6</v>
      </c>
      <c r="N258" s="22">
        <f>26227/1000</f>
        <v>26.227</v>
      </c>
      <c r="O258" s="22">
        <f>25777/1000</f>
        <v>25.777000000000001</v>
      </c>
      <c r="P258" s="22">
        <f t="shared" si="116"/>
        <v>72.603999999999999</v>
      </c>
      <c r="Q258" s="22">
        <f>23244/1000</f>
        <v>23.244</v>
      </c>
      <c r="R258" s="22">
        <f>28629/1000</f>
        <v>28.629000000000001</v>
      </c>
      <c r="S258" s="22">
        <f>29346/1000</f>
        <v>29.346</v>
      </c>
      <c r="T258" s="22">
        <f t="shared" si="117"/>
        <v>81.219000000000008</v>
      </c>
    </row>
    <row r="259" spans="1:20" x14ac:dyDescent="0.35">
      <c r="A259" s="2">
        <v>25</v>
      </c>
      <c r="B259" s="121" t="s">
        <v>155</v>
      </c>
      <c r="C259" s="24" t="s">
        <v>4</v>
      </c>
      <c r="D259" s="24">
        <f t="shared" si="113"/>
        <v>0</v>
      </c>
      <c r="E259" s="22">
        <v>0</v>
      </c>
      <c r="F259" s="22">
        <v>0</v>
      </c>
      <c r="G259" s="22">
        <v>0</v>
      </c>
      <c r="H259" s="22">
        <f t="shared" si="114"/>
        <v>0</v>
      </c>
      <c r="I259" s="22">
        <v>0</v>
      </c>
      <c r="J259" s="22">
        <v>0</v>
      </c>
      <c r="K259" s="22">
        <v>0</v>
      </c>
      <c r="L259" s="22">
        <f t="shared" si="115"/>
        <v>0</v>
      </c>
      <c r="M259" s="22">
        <v>0</v>
      </c>
      <c r="N259" s="22">
        <v>0</v>
      </c>
      <c r="O259" s="22">
        <v>0</v>
      </c>
      <c r="P259" s="22">
        <f t="shared" si="116"/>
        <v>0</v>
      </c>
      <c r="Q259" s="22">
        <v>0</v>
      </c>
      <c r="R259" s="22">
        <v>0</v>
      </c>
      <c r="S259" s="22">
        <v>0</v>
      </c>
      <c r="T259" s="22">
        <f t="shared" si="117"/>
        <v>0</v>
      </c>
    </row>
    <row r="260" spans="1:20" x14ac:dyDescent="0.35">
      <c r="A260" s="2">
        <v>26</v>
      </c>
      <c r="B260" s="121" t="s">
        <v>156</v>
      </c>
      <c r="C260" s="24" t="s">
        <v>4</v>
      </c>
      <c r="D260" s="24">
        <f t="shared" si="113"/>
        <v>0</v>
      </c>
      <c r="E260" s="22">
        <v>0</v>
      </c>
      <c r="F260" s="22">
        <v>0</v>
      </c>
      <c r="G260" s="22">
        <v>0</v>
      </c>
      <c r="H260" s="22">
        <f t="shared" si="114"/>
        <v>0</v>
      </c>
      <c r="I260" s="22">
        <v>0</v>
      </c>
      <c r="J260" s="22">
        <v>0</v>
      </c>
      <c r="K260" s="22">
        <v>0</v>
      </c>
      <c r="L260" s="22">
        <f t="shared" si="115"/>
        <v>0</v>
      </c>
      <c r="M260" s="22">
        <v>0</v>
      </c>
      <c r="N260" s="22">
        <v>0</v>
      </c>
      <c r="O260" s="22">
        <v>0</v>
      </c>
      <c r="P260" s="22">
        <f t="shared" si="116"/>
        <v>0</v>
      </c>
      <c r="Q260" s="22">
        <v>0</v>
      </c>
      <c r="R260" s="22">
        <v>0</v>
      </c>
      <c r="S260" s="22">
        <v>0</v>
      </c>
      <c r="T260" s="22">
        <f t="shared" si="117"/>
        <v>0</v>
      </c>
    </row>
    <row r="261" spans="1:20" x14ac:dyDescent="0.35">
      <c r="A261" s="2">
        <v>27</v>
      </c>
      <c r="B261" s="121" t="s">
        <v>157</v>
      </c>
      <c r="C261" s="24" t="s">
        <v>4</v>
      </c>
      <c r="D261" s="24">
        <f t="shared" si="113"/>
        <v>0</v>
      </c>
      <c r="E261" s="22">
        <v>0</v>
      </c>
      <c r="F261" s="22">
        <v>0</v>
      </c>
      <c r="G261" s="22">
        <v>0</v>
      </c>
      <c r="H261" s="22">
        <f t="shared" si="114"/>
        <v>0</v>
      </c>
      <c r="I261" s="22">
        <v>0</v>
      </c>
      <c r="J261" s="22">
        <v>0</v>
      </c>
      <c r="K261" s="22">
        <v>0</v>
      </c>
      <c r="L261" s="22">
        <f t="shared" si="115"/>
        <v>0</v>
      </c>
      <c r="M261" s="22">
        <v>0</v>
      </c>
      <c r="N261" s="22">
        <v>0</v>
      </c>
      <c r="O261" s="22">
        <v>0</v>
      </c>
      <c r="P261" s="22">
        <f t="shared" si="116"/>
        <v>0</v>
      </c>
      <c r="Q261" s="22">
        <v>0</v>
      </c>
      <c r="R261" s="22">
        <v>0</v>
      </c>
      <c r="S261" s="22">
        <v>0</v>
      </c>
      <c r="T261" s="22">
        <f t="shared" si="117"/>
        <v>0</v>
      </c>
    </row>
    <row r="262" spans="1:20" x14ac:dyDescent="0.35">
      <c r="A262" s="2">
        <v>28</v>
      </c>
      <c r="B262" s="121" t="s">
        <v>158</v>
      </c>
      <c r="C262" s="24" t="s">
        <v>4</v>
      </c>
      <c r="D262" s="24">
        <f t="shared" si="113"/>
        <v>6509.7000000000007</v>
      </c>
      <c r="E262" s="22">
        <f>685670/1000</f>
        <v>685.67</v>
      </c>
      <c r="F262" s="22">
        <f>622290/1000</f>
        <v>622.29</v>
      </c>
      <c r="G262" s="22">
        <f>518570/1000</f>
        <v>518.57000000000005</v>
      </c>
      <c r="H262" s="22">
        <f t="shared" si="114"/>
        <v>1826.5300000000002</v>
      </c>
      <c r="I262" s="22">
        <f>493880/1000</f>
        <v>493.88</v>
      </c>
      <c r="J262" s="22">
        <f>474860/1000</f>
        <v>474.86</v>
      </c>
      <c r="K262" s="22">
        <f>370410/1000</f>
        <v>370.41</v>
      </c>
      <c r="L262" s="22">
        <f t="shared" si="115"/>
        <v>1339.15</v>
      </c>
      <c r="M262" s="22">
        <f>263930/1000</f>
        <v>263.93</v>
      </c>
      <c r="N262" s="22">
        <f>387080/1000</f>
        <v>387.08</v>
      </c>
      <c r="O262" s="22">
        <f>397830/1000</f>
        <v>397.83</v>
      </c>
      <c r="P262" s="22">
        <f t="shared" si="116"/>
        <v>1048.8399999999999</v>
      </c>
      <c r="Q262" s="22">
        <f>447580/1000</f>
        <v>447.58</v>
      </c>
      <c r="R262" s="22">
        <f>843500/1000</f>
        <v>843.5</v>
      </c>
      <c r="S262" s="22">
        <f>1004100/1000</f>
        <v>1004.1</v>
      </c>
      <c r="T262" s="22">
        <f t="shared" si="117"/>
        <v>2295.1799999999998</v>
      </c>
    </row>
    <row r="263" spans="1:20" x14ac:dyDescent="0.35">
      <c r="A263" s="2">
        <v>29</v>
      </c>
      <c r="B263" s="121" t="s">
        <v>159</v>
      </c>
      <c r="C263" s="24" t="s">
        <v>4</v>
      </c>
      <c r="D263" s="24">
        <f t="shared" si="113"/>
        <v>0</v>
      </c>
      <c r="E263" s="22">
        <v>0</v>
      </c>
      <c r="F263" s="22">
        <v>0</v>
      </c>
      <c r="G263" s="22">
        <v>0</v>
      </c>
      <c r="H263" s="22">
        <f t="shared" si="114"/>
        <v>0</v>
      </c>
      <c r="I263" s="22">
        <v>0</v>
      </c>
      <c r="J263" s="22">
        <v>0</v>
      </c>
      <c r="K263" s="22">
        <v>0</v>
      </c>
      <c r="L263" s="22">
        <f t="shared" si="115"/>
        <v>0</v>
      </c>
      <c r="M263" s="22">
        <v>0</v>
      </c>
      <c r="N263" s="22">
        <v>0</v>
      </c>
      <c r="O263" s="22">
        <v>0</v>
      </c>
      <c r="P263" s="22">
        <f t="shared" si="116"/>
        <v>0</v>
      </c>
      <c r="Q263" s="22">
        <v>0</v>
      </c>
      <c r="R263" s="22">
        <v>0</v>
      </c>
      <c r="S263" s="22">
        <v>0</v>
      </c>
      <c r="T263" s="22">
        <f t="shared" si="117"/>
        <v>0</v>
      </c>
    </row>
    <row r="264" spans="1:20" x14ac:dyDescent="0.35">
      <c r="A264" s="2">
        <v>30</v>
      </c>
      <c r="B264" s="121" t="s">
        <v>160</v>
      </c>
      <c r="C264" s="24" t="s">
        <v>4</v>
      </c>
      <c r="D264" s="24">
        <f t="shared" si="113"/>
        <v>0</v>
      </c>
      <c r="E264" s="22">
        <v>0</v>
      </c>
      <c r="F264" s="22">
        <v>0</v>
      </c>
      <c r="G264" s="22">
        <v>0</v>
      </c>
      <c r="H264" s="22">
        <f t="shared" si="114"/>
        <v>0</v>
      </c>
      <c r="I264" s="22">
        <v>0</v>
      </c>
      <c r="J264" s="22">
        <v>0</v>
      </c>
      <c r="K264" s="22">
        <v>0</v>
      </c>
      <c r="L264" s="22">
        <f t="shared" si="115"/>
        <v>0</v>
      </c>
      <c r="M264" s="22">
        <v>0</v>
      </c>
      <c r="N264" s="22">
        <v>0</v>
      </c>
      <c r="O264" s="22">
        <v>0</v>
      </c>
      <c r="P264" s="22">
        <f t="shared" si="116"/>
        <v>0</v>
      </c>
      <c r="Q264" s="22">
        <v>0</v>
      </c>
      <c r="R264" s="22">
        <v>0</v>
      </c>
      <c r="S264" s="22">
        <v>0</v>
      </c>
      <c r="T264" s="22">
        <f t="shared" si="117"/>
        <v>0</v>
      </c>
    </row>
    <row r="265" spans="1:20" x14ac:dyDescent="0.35">
      <c r="A265" s="2">
        <v>31</v>
      </c>
      <c r="B265" s="121" t="s">
        <v>161</v>
      </c>
      <c r="C265" s="24" t="s">
        <v>4</v>
      </c>
      <c r="D265" s="24">
        <f t="shared" si="113"/>
        <v>0</v>
      </c>
      <c r="E265" s="22">
        <v>0</v>
      </c>
      <c r="F265" s="22">
        <v>0</v>
      </c>
      <c r="G265" s="22">
        <v>0</v>
      </c>
      <c r="H265" s="22">
        <f t="shared" si="114"/>
        <v>0</v>
      </c>
      <c r="I265" s="22">
        <v>0</v>
      </c>
      <c r="J265" s="22">
        <v>0</v>
      </c>
      <c r="K265" s="22">
        <v>0</v>
      </c>
      <c r="L265" s="22">
        <f t="shared" si="115"/>
        <v>0</v>
      </c>
      <c r="M265" s="22">
        <v>0</v>
      </c>
      <c r="N265" s="22">
        <v>0</v>
      </c>
      <c r="O265" s="22">
        <v>0</v>
      </c>
      <c r="P265" s="22">
        <f t="shared" si="116"/>
        <v>0</v>
      </c>
      <c r="Q265" s="22">
        <v>0</v>
      </c>
      <c r="R265" s="22">
        <v>0</v>
      </c>
      <c r="S265" s="22">
        <v>0</v>
      </c>
      <c r="T265" s="22">
        <f t="shared" si="117"/>
        <v>0</v>
      </c>
    </row>
    <row r="266" spans="1:20" x14ac:dyDescent="0.35">
      <c r="A266" s="2">
        <v>32</v>
      </c>
      <c r="B266" s="121" t="s">
        <v>162</v>
      </c>
      <c r="C266" s="24" t="s">
        <v>4</v>
      </c>
      <c r="D266" s="24">
        <f t="shared" si="113"/>
        <v>0</v>
      </c>
      <c r="E266" s="22">
        <v>0</v>
      </c>
      <c r="F266" s="22">
        <v>0</v>
      </c>
      <c r="G266" s="22">
        <v>0</v>
      </c>
      <c r="H266" s="22">
        <f t="shared" si="114"/>
        <v>0</v>
      </c>
      <c r="I266" s="22">
        <v>0</v>
      </c>
      <c r="J266" s="22">
        <v>0</v>
      </c>
      <c r="K266" s="22">
        <v>0</v>
      </c>
      <c r="L266" s="22">
        <f t="shared" si="115"/>
        <v>0</v>
      </c>
      <c r="M266" s="22">
        <v>0</v>
      </c>
      <c r="N266" s="22">
        <v>0</v>
      </c>
      <c r="O266" s="22">
        <v>0</v>
      </c>
      <c r="P266" s="22">
        <f t="shared" si="116"/>
        <v>0</v>
      </c>
      <c r="Q266" s="22">
        <v>0</v>
      </c>
      <c r="R266" s="22">
        <v>0</v>
      </c>
      <c r="S266" s="22">
        <v>0</v>
      </c>
      <c r="T266" s="22">
        <f t="shared" si="117"/>
        <v>0</v>
      </c>
    </row>
    <row r="267" spans="1:20" x14ac:dyDescent="0.35">
      <c r="A267" s="2">
        <v>33</v>
      </c>
      <c r="B267" s="121" t="s">
        <v>163</v>
      </c>
      <c r="C267" s="24" t="s">
        <v>4</v>
      </c>
      <c r="D267" s="24">
        <f t="shared" si="113"/>
        <v>0</v>
      </c>
      <c r="E267" s="22">
        <v>0</v>
      </c>
      <c r="F267" s="22">
        <v>0</v>
      </c>
      <c r="G267" s="22">
        <v>0</v>
      </c>
      <c r="H267" s="22">
        <f t="shared" si="114"/>
        <v>0</v>
      </c>
      <c r="I267" s="22">
        <v>0</v>
      </c>
      <c r="J267" s="22">
        <v>0</v>
      </c>
      <c r="K267" s="22">
        <v>0</v>
      </c>
      <c r="L267" s="22">
        <f t="shared" si="115"/>
        <v>0</v>
      </c>
      <c r="M267" s="22">
        <v>0</v>
      </c>
      <c r="N267" s="22">
        <v>0</v>
      </c>
      <c r="O267" s="22">
        <v>0</v>
      </c>
      <c r="P267" s="22">
        <f t="shared" si="116"/>
        <v>0</v>
      </c>
      <c r="Q267" s="22">
        <v>0</v>
      </c>
      <c r="R267" s="22">
        <v>0</v>
      </c>
      <c r="S267" s="22">
        <v>0</v>
      </c>
      <c r="T267" s="22">
        <f t="shared" si="117"/>
        <v>0</v>
      </c>
    </row>
    <row r="268" spans="1:20" x14ac:dyDescent="0.35">
      <c r="A268" s="2">
        <v>34</v>
      </c>
      <c r="B268" s="121" t="s">
        <v>164</v>
      </c>
      <c r="C268" s="24" t="s">
        <v>4</v>
      </c>
      <c r="D268" s="24">
        <f t="shared" si="113"/>
        <v>18.600000000000001</v>
      </c>
      <c r="E268" s="22">
        <f>250/1000</f>
        <v>0.25</v>
      </c>
      <c r="F268" s="22">
        <f>750/1000</f>
        <v>0.75</v>
      </c>
      <c r="G268" s="22">
        <f>1500/1000</f>
        <v>1.5</v>
      </c>
      <c r="H268" s="22">
        <f t="shared" si="114"/>
        <v>2.5</v>
      </c>
      <c r="I268" s="22">
        <f>950/1000</f>
        <v>0.95</v>
      </c>
      <c r="J268" s="22">
        <f>1500/1000</f>
        <v>1.5</v>
      </c>
      <c r="K268" s="22">
        <f>1950/1000</f>
        <v>1.95</v>
      </c>
      <c r="L268" s="22">
        <f t="shared" si="115"/>
        <v>4.4000000000000004</v>
      </c>
      <c r="M268" s="22">
        <f>1000/1000</f>
        <v>1</v>
      </c>
      <c r="N268" s="22">
        <f>700/1000</f>
        <v>0.7</v>
      </c>
      <c r="O268" s="22">
        <f>500/1000</f>
        <v>0.5</v>
      </c>
      <c r="P268" s="22">
        <f t="shared" si="116"/>
        <v>2.2000000000000002</v>
      </c>
      <c r="Q268" s="22">
        <f>1500/1000</f>
        <v>1.5</v>
      </c>
      <c r="R268" s="22">
        <f>3000/1000</f>
        <v>3</v>
      </c>
      <c r="S268" s="22">
        <f>5000/1000</f>
        <v>5</v>
      </c>
      <c r="T268" s="22">
        <f t="shared" si="117"/>
        <v>9.5</v>
      </c>
    </row>
    <row r="269" spans="1:20" x14ac:dyDescent="0.35">
      <c r="A269" s="2">
        <v>35</v>
      </c>
      <c r="B269" s="121" t="s">
        <v>165</v>
      </c>
      <c r="C269" s="24" t="s">
        <v>4</v>
      </c>
      <c r="D269" s="24">
        <f t="shared" si="113"/>
        <v>0</v>
      </c>
      <c r="E269" s="22">
        <v>0</v>
      </c>
      <c r="F269" s="22">
        <v>0</v>
      </c>
      <c r="G269" s="22">
        <v>0</v>
      </c>
      <c r="H269" s="22">
        <f t="shared" si="114"/>
        <v>0</v>
      </c>
      <c r="I269" s="22">
        <v>0</v>
      </c>
      <c r="J269" s="22">
        <v>0</v>
      </c>
      <c r="K269" s="22">
        <v>0</v>
      </c>
      <c r="L269" s="22">
        <f t="shared" si="115"/>
        <v>0</v>
      </c>
      <c r="M269" s="22">
        <v>0</v>
      </c>
      <c r="N269" s="22">
        <v>0</v>
      </c>
      <c r="O269" s="22">
        <v>0</v>
      </c>
      <c r="P269" s="22">
        <f t="shared" si="116"/>
        <v>0</v>
      </c>
      <c r="Q269" s="22">
        <v>0</v>
      </c>
      <c r="R269" s="22">
        <v>0</v>
      </c>
      <c r="S269" s="22">
        <v>0</v>
      </c>
      <c r="T269" s="22">
        <f t="shared" si="117"/>
        <v>0</v>
      </c>
    </row>
    <row r="270" spans="1:20" x14ac:dyDescent="0.35">
      <c r="A270" s="2">
        <v>36</v>
      </c>
      <c r="B270" s="121" t="s">
        <v>166</v>
      </c>
      <c r="C270" s="24" t="s">
        <v>4</v>
      </c>
      <c r="D270" s="24">
        <f t="shared" si="113"/>
        <v>0</v>
      </c>
      <c r="E270" s="22">
        <v>0</v>
      </c>
      <c r="F270" s="22">
        <v>0</v>
      </c>
      <c r="G270" s="22">
        <v>0</v>
      </c>
      <c r="H270" s="22">
        <f t="shared" si="114"/>
        <v>0</v>
      </c>
      <c r="I270" s="22">
        <v>0</v>
      </c>
      <c r="J270" s="22">
        <v>0</v>
      </c>
      <c r="K270" s="22">
        <v>0</v>
      </c>
      <c r="L270" s="22">
        <f t="shared" si="115"/>
        <v>0</v>
      </c>
      <c r="M270" s="22">
        <v>0</v>
      </c>
      <c r="N270" s="22">
        <v>0</v>
      </c>
      <c r="O270" s="22">
        <v>0</v>
      </c>
      <c r="P270" s="22">
        <f t="shared" si="116"/>
        <v>0</v>
      </c>
      <c r="Q270" s="22">
        <v>0</v>
      </c>
      <c r="R270" s="22">
        <v>0</v>
      </c>
      <c r="S270" s="22">
        <v>0</v>
      </c>
      <c r="T270" s="22">
        <f t="shared" si="117"/>
        <v>0</v>
      </c>
    </row>
    <row r="271" spans="1:20" x14ac:dyDescent="0.35">
      <c r="A271" s="2">
        <v>37</v>
      </c>
      <c r="B271" s="121" t="s">
        <v>167</v>
      </c>
      <c r="C271" s="24" t="s">
        <v>4</v>
      </c>
      <c r="D271" s="24">
        <f t="shared" si="113"/>
        <v>0</v>
      </c>
      <c r="E271" s="22">
        <v>0</v>
      </c>
      <c r="F271" s="22">
        <v>0</v>
      </c>
      <c r="G271" s="22">
        <v>0</v>
      </c>
      <c r="H271" s="22">
        <f t="shared" si="114"/>
        <v>0</v>
      </c>
      <c r="I271" s="22">
        <v>0</v>
      </c>
      <c r="J271" s="22">
        <v>0</v>
      </c>
      <c r="K271" s="22">
        <v>0</v>
      </c>
      <c r="L271" s="22">
        <f t="shared" si="115"/>
        <v>0</v>
      </c>
      <c r="M271" s="22">
        <v>0</v>
      </c>
      <c r="N271" s="22">
        <v>0</v>
      </c>
      <c r="O271" s="22">
        <v>0</v>
      </c>
      <c r="P271" s="22">
        <f t="shared" si="116"/>
        <v>0</v>
      </c>
      <c r="Q271" s="22">
        <v>0</v>
      </c>
      <c r="R271" s="22">
        <v>0</v>
      </c>
      <c r="S271" s="22">
        <v>0</v>
      </c>
      <c r="T271" s="22">
        <f t="shared" si="117"/>
        <v>0</v>
      </c>
    </row>
    <row r="272" spans="1:20" x14ac:dyDescent="0.35">
      <c r="A272" s="2">
        <v>38</v>
      </c>
      <c r="B272" s="121" t="s">
        <v>168</v>
      </c>
      <c r="C272" s="24" t="s">
        <v>4</v>
      </c>
      <c r="D272" s="24">
        <f t="shared" si="113"/>
        <v>0</v>
      </c>
      <c r="E272" s="22">
        <v>0</v>
      </c>
      <c r="F272" s="22">
        <v>0</v>
      </c>
      <c r="G272" s="22">
        <v>0</v>
      </c>
      <c r="H272" s="22">
        <f t="shared" si="114"/>
        <v>0</v>
      </c>
      <c r="I272" s="22">
        <v>0</v>
      </c>
      <c r="J272" s="22">
        <v>0</v>
      </c>
      <c r="K272" s="22">
        <v>0</v>
      </c>
      <c r="L272" s="22">
        <f t="shared" si="115"/>
        <v>0</v>
      </c>
      <c r="M272" s="22">
        <v>0</v>
      </c>
      <c r="N272" s="22">
        <v>0</v>
      </c>
      <c r="O272" s="22">
        <v>0</v>
      </c>
      <c r="P272" s="22">
        <f t="shared" si="116"/>
        <v>0</v>
      </c>
      <c r="Q272" s="22">
        <v>0</v>
      </c>
      <c r="R272" s="22">
        <v>0</v>
      </c>
      <c r="S272" s="22">
        <v>0</v>
      </c>
      <c r="T272" s="22">
        <f t="shared" si="117"/>
        <v>0</v>
      </c>
    </row>
    <row r="274" spans="1:20" x14ac:dyDescent="0.35">
      <c r="A274" s="1" t="s">
        <v>64</v>
      </c>
    </row>
    <row r="275" spans="1:20" ht="15.5" x14ac:dyDescent="0.35">
      <c r="A275" s="10" t="s">
        <v>0</v>
      </c>
      <c r="B275" s="10" t="s">
        <v>1</v>
      </c>
      <c r="C275" s="10" t="s">
        <v>2</v>
      </c>
      <c r="D275" s="31" t="s">
        <v>67</v>
      </c>
      <c r="E275" s="27" t="s">
        <v>113</v>
      </c>
      <c r="F275" s="11" t="s">
        <v>114</v>
      </c>
      <c r="G275" s="11" t="s">
        <v>115</v>
      </c>
      <c r="H275" s="28" t="s">
        <v>27</v>
      </c>
      <c r="I275" s="11" t="s">
        <v>55</v>
      </c>
      <c r="J275" s="11" t="s">
        <v>116</v>
      </c>
      <c r="K275" s="11" t="s">
        <v>117</v>
      </c>
      <c r="L275" s="15" t="s">
        <v>54</v>
      </c>
      <c r="M275" s="11" t="s">
        <v>118</v>
      </c>
      <c r="N275" s="11" t="s">
        <v>119</v>
      </c>
      <c r="O275" s="11" t="s">
        <v>56</v>
      </c>
      <c r="P275" s="15" t="s">
        <v>57</v>
      </c>
      <c r="Q275" s="11" t="s">
        <v>120</v>
      </c>
      <c r="R275" s="11" t="s">
        <v>58</v>
      </c>
      <c r="S275" s="11" t="s">
        <v>121</v>
      </c>
      <c r="T275" s="15" t="s">
        <v>59</v>
      </c>
    </row>
    <row r="276" spans="1:20" ht="15.5" x14ac:dyDescent="0.35">
      <c r="A276" s="12"/>
      <c r="B276" s="12"/>
      <c r="C276" s="12"/>
      <c r="D276" s="32"/>
      <c r="E276" s="29"/>
      <c r="F276" s="13"/>
      <c r="G276" s="13"/>
      <c r="H276" s="29"/>
      <c r="I276" s="13"/>
      <c r="J276" s="13"/>
      <c r="K276" s="13"/>
      <c r="L276" s="9"/>
      <c r="M276" s="13"/>
      <c r="N276" s="13"/>
      <c r="O276" s="13"/>
      <c r="P276" s="9"/>
      <c r="Q276" s="13"/>
      <c r="R276" s="13"/>
      <c r="S276" s="13"/>
      <c r="T276" s="9"/>
    </row>
    <row r="277" spans="1:20" x14ac:dyDescent="0.35">
      <c r="A277" s="45"/>
      <c r="B277" s="33" t="s">
        <v>26</v>
      </c>
      <c r="C277" s="33" t="s">
        <v>4</v>
      </c>
      <c r="D277" s="33">
        <f>SUM(D278:D315)</f>
        <v>5609.4058599999998</v>
      </c>
      <c r="E277" s="84">
        <f>SUM(E278:E315)</f>
        <v>723.22498999999993</v>
      </c>
      <c r="F277" s="84">
        <f t="shared" ref="F277" si="118">SUM(F278:F315)</f>
        <v>666.25252999999998</v>
      </c>
      <c r="G277" s="84">
        <f>SUM(G278:G315)</f>
        <v>626.30480999999986</v>
      </c>
      <c r="H277" s="84">
        <f t="shared" ref="H277" si="119">SUM(E277:G277)</f>
        <v>2015.7823299999998</v>
      </c>
      <c r="I277" s="84">
        <f>SUM(I278:I315)</f>
        <v>587.55241000000001</v>
      </c>
      <c r="J277" s="84">
        <f t="shared" ref="J277:K277" si="120">SUM(J278:J315)</f>
        <v>496.06504999999999</v>
      </c>
      <c r="K277" s="84">
        <f t="shared" si="120"/>
        <v>453.37827000000004</v>
      </c>
      <c r="L277" s="84">
        <f t="shared" ref="L277" si="121">SUM(I277:K277)</f>
        <v>1536.9957300000001</v>
      </c>
      <c r="M277" s="84">
        <f>SUM(M278:M315)</f>
        <v>197.70101000000003</v>
      </c>
      <c r="N277" s="84">
        <f t="shared" ref="N277:O277" si="122">SUM(N278:N315)</f>
        <v>199.46571999999998</v>
      </c>
      <c r="O277" s="84">
        <f t="shared" si="122"/>
        <v>225.69750999999999</v>
      </c>
      <c r="P277" s="84">
        <f t="shared" ref="P277" si="123">SUM(M277:O277)</f>
        <v>622.86424</v>
      </c>
      <c r="Q277" s="84">
        <f>SUM(Q278:Q315)</f>
        <v>256.44584000000003</v>
      </c>
      <c r="R277" s="84">
        <f t="shared" ref="R277:S277" si="124">SUM(R278:R315)</f>
        <v>405.88483999999994</v>
      </c>
      <c r="S277" s="84">
        <f t="shared" si="124"/>
        <v>771.43287999999984</v>
      </c>
      <c r="T277" s="84">
        <f t="shared" ref="T277" si="125">SUM(Q277:S277)</f>
        <v>1433.7635599999999</v>
      </c>
    </row>
    <row r="278" spans="1:20" x14ac:dyDescent="0.35">
      <c r="A278" s="2">
        <v>1</v>
      </c>
      <c r="B278" s="121" t="s">
        <v>131</v>
      </c>
      <c r="C278" s="24" t="s">
        <v>4</v>
      </c>
      <c r="D278" s="24">
        <f>SUM(H278,L278,P278,T278)</f>
        <v>0</v>
      </c>
      <c r="E278" s="22">
        <v>0</v>
      </c>
      <c r="F278" s="22">
        <v>0</v>
      </c>
      <c r="G278" s="22">
        <v>0</v>
      </c>
      <c r="H278" s="22">
        <f>SUM(E278:G278)</f>
        <v>0</v>
      </c>
      <c r="I278" s="22">
        <v>0</v>
      </c>
      <c r="J278" s="22">
        <v>0</v>
      </c>
      <c r="K278" s="22">
        <v>0</v>
      </c>
      <c r="L278" s="22">
        <f>SUM(I278:K278)</f>
        <v>0</v>
      </c>
      <c r="M278" s="22">
        <v>0</v>
      </c>
      <c r="N278" s="22">
        <v>0</v>
      </c>
      <c r="O278" s="22">
        <v>0</v>
      </c>
      <c r="P278" s="22">
        <f>SUM(M278:O278)</f>
        <v>0</v>
      </c>
      <c r="Q278" s="22">
        <v>0</v>
      </c>
      <c r="R278" s="22">
        <v>0</v>
      </c>
      <c r="S278" s="22">
        <v>0</v>
      </c>
      <c r="T278" s="22">
        <f>SUM(Q278:S278)</f>
        <v>0</v>
      </c>
    </row>
    <row r="279" spans="1:20" x14ac:dyDescent="0.35">
      <c r="A279" s="2">
        <f t="shared" ref="A279:A299" si="126">A278+1</f>
        <v>2</v>
      </c>
      <c r="B279" s="121" t="s">
        <v>132</v>
      </c>
      <c r="C279" s="24" t="s">
        <v>4</v>
      </c>
      <c r="D279" s="24">
        <f t="shared" ref="D279:D315" si="127">SUM(H279,L279,P279,T279)</f>
        <v>24.03</v>
      </c>
      <c r="E279" s="22">
        <f>1760/1000</f>
        <v>1.76</v>
      </c>
      <c r="F279" s="22">
        <f>2150/1000</f>
        <v>2.15</v>
      </c>
      <c r="G279" s="22">
        <f>1695/1000</f>
        <v>1.6950000000000001</v>
      </c>
      <c r="H279" s="22">
        <f t="shared" ref="H279:H315" si="128">SUM(E279:G279)</f>
        <v>5.6050000000000004</v>
      </c>
      <c r="I279" s="22">
        <f>2360/1000</f>
        <v>2.36</v>
      </c>
      <c r="J279" s="22">
        <f>2695/1000</f>
        <v>2.6949999999999998</v>
      </c>
      <c r="K279" s="22">
        <f>2565/1000</f>
        <v>2.5649999999999999</v>
      </c>
      <c r="L279" s="22">
        <f t="shared" ref="L279:L315" si="129">SUM(I279:K279)</f>
        <v>7.6199999999999992</v>
      </c>
      <c r="M279" s="22">
        <f>1615/1000</f>
        <v>1.615</v>
      </c>
      <c r="N279" s="22">
        <f>1530/1000</f>
        <v>1.53</v>
      </c>
      <c r="O279" s="22">
        <f>1505/1000</f>
        <v>1.5049999999999999</v>
      </c>
      <c r="P279" s="22">
        <f t="shared" ref="P279:P315" si="130">SUM(M279:O279)</f>
        <v>4.6500000000000004</v>
      </c>
      <c r="Q279" s="22">
        <f>2145/1000</f>
        <v>2.145</v>
      </c>
      <c r="R279" s="22">
        <f>1975/1000</f>
        <v>1.9750000000000001</v>
      </c>
      <c r="S279" s="22">
        <f>2035/1000</f>
        <v>2.0350000000000001</v>
      </c>
      <c r="T279" s="22">
        <f t="shared" ref="T279:T315" si="131">SUM(Q279:S279)</f>
        <v>6.1550000000000002</v>
      </c>
    </row>
    <row r="280" spans="1:20" x14ac:dyDescent="0.35">
      <c r="A280" s="2">
        <f t="shared" si="126"/>
        <v>3</v>
      </c>
      <c r="B280" s="121" t="s">
        <v>133</v>
      </c>
      <c r="C280" s="24" t="s">
        <v>4</v>
      </c>
      <c r="D280" s="24">
        <f t="shared" si="127"/>
        <v>28.205000000000002</v>
      </c>
      <c r="E280" s="22">
        <f>2100/1000</f>
        <v>2.1</v>
      </c>
      <c r="F280" s="22">
        <f>2400/1000</f>
        <v>2.4</v>
      </c>
      <c r="G280" s="22">
        <f>2560/1000</f>
        <v>2.56</v>
      </c>
      <c r="H280" s="22">
        <f t="shared" si="128"/>
        <v>7.0600000000000005</v>
      </c>
      <c r="I280" s="22">
        <f>3050/1000</f>
        <v>3.05</v>
      </c>
      <c r="J280" s="22">
        <f>3110/1000</f>
        <v>3.11</v>
      </c>
      <c r="K280" s="22">
        <f>2830/1000</f>
        <v>2.83</v>
      </c>
      <c r="L280" s="22">
        <f t="shared" si="129"/>
        <v>8.99</v>
      </c>
      <c r="M280" s="22">
        <f>2190/1000</f>
        <v>2.19</v>
      </c>
      <c r="N280" s="22">
        <f>2050/1000</f>
        <v>2.0499999999999998</v>
      </c>
      <c r="O280" s="22">
        <f>2150/1000</f>
        <v>2.15</v>
      </c>
      <c r="P280" s="22">
        <f t="shared" si="130"/>
        <v>6.3900000000000006</v>
      </c>
      <c r="Q280" s="22">
        <f>2085/1000</f>
        <v>2.085</v>
      </c>
      <c r="R280" s="22">
        <f>1910/1000</f>
        <v>1.91</v>
      </c>
      <c r="S280" s="22">
        <f>1770/1000</f>
        <v>1.77</v>
      </c>
      <c r="T280" s="22">
        <f t="shared" si="131"/>
        <v>5.7650000000000006</v>
      </c>
    </row>
    <row r="281" spans="1:20" x14ac:dyDescent="0.35">
      <c r="A281" s="2">
        <f t="shared" si="126"/>
        <v>4</v>
      </c>
      <c r="B281" s="121" t="s">
        <v>134</v>
      </c>
      <c r="C281" s="24" t="s">
        <v>4</v>
      </c>
      <c r="D281" s="24">
        <f t="shared" si="127"/>
        <v>31.501000000000001</v>
      </c>
      <c r="E281" s="22">
        <f>4035/1000</f>
        <v>4.0350000000000001</v>
      </c>
      <c r="F281" s="22">
        <f>4242/1000</f>
        <v>4.242</v>
      </c>
      <c r="G281" s="22">
        <f>3247/1000</f>
        <v>3.2469999999999999</v>
      </c>
      <c r="H281" s="22">
        <f t="shared" si="128"/>
        <v>11.524000000000001</v>
      </c>
      <c r="I281" s="22">
        <f>2672/1000</f>
        <v>2.6720000000000002</v>
      </c>
      <c r="J281" s="22">
        <f>1646/1000</f>
        <v>1.6459999999999999</v>
      </c>
      <c r="K281" s="22">
        <f>1220/1000</f>
        <v>1.22</v>
      </c>
      <c r="L281" s="22">
        <f t="shared" si="129"/>
        <v>5.5379999999999994</v>
      </c>
      <c r="M281" s="22">
        <f>765/1000</f>
        <v>0.76500000000000001</v>
      </c>
      <c r="N281" s="22">
        <f>943/1000</f>
        <v>0.94299999999999995</v>
      </c>
      <c r="O281" s="22">
        <f>1555/1000</f>
        <v>1.5549999999999999</v>
      </c>
      <c r="P281" s="22">
        <f t="shared" si="130"/>
        <v>3.2629999999999999</v>
      </c>
      <c r="Q281" s="22">
        <f>2799/1000</f>
        <v>2.7989999999999999</v>
      </c>
      <c r="R281" s="22">
        <f>3811/1000</f>
        <v>3.8109999999999999</v>
      </c>
      <c r="S281" s="22">
        <f>4566/1000</f>
        <v>4.5659999999999998</v>
      </c>
      <c r="T281" s="22">
        <f t="shared" si="131"/>
        <v>11.175999999999998</v>
      </c>
    </row>
    <row r="282" spans="1:20" x14ac:dyDescent="0.35">
      <c r="A282" s="2">
        <f t="shared" si="126"/>
        <v>5</v>
      </c>
      <c r="B282" s="121" t="s">
        <v>135</v>
      </c>
      <c r="C282" s="24" t="s">
        <v>4</v>
      </c>
      <c r="D282" s="24">
        <f t="shared" si="127"/>
        <v>0</v>
      </c>
      <c r="E282" s="22">
        <v>0</v>
      </c>
      <c r="F282" s="22">
        <v>0</v>
      </c>
      <c r="G282" s="22">
        <v>0</v>
      </c>
      <c r="H282" s="22">
        <f t="shared" si="128"/>
        <v>0</v>
      </c>
      <c r="I282" s="22">
        <v>0</v>
      </c>
      <c r="J282" s="22">
        <v>0</v>
      </c>
      <c r="K282" s="22">
        <v>0</v>
      </c>
      <c r="L282" s="22">
        <f t="shared" si="129"/>
        <v>0</v>
      </c>
      <c r="M282" s="22">
        <v>0</v>
      </c>
      <c r="N282" s="22">
        <v>0</v>
      </c>
      <c r="O282" s="22">
        <v>0</v>
      </c>
      <c r="P282" s="22">
        <f t="shared" si="130"/>
        <v>0</v>
      </c>
      <c r="Q282" s="22">
        <v>0</v>
      </c>
      <c r="R282" s="22">
        <v>0</v>
      </c>
      <c r="S282" s="22">
        <v>0</v>
      </c>
      <c r="T282" s="22">
        <f t="shared" si="131"/>
        <v>0</v>
      </c>
    </row>
    <row r="283" spans="1:20" x14ac:dyDescent="0.35">
      <c r="A283" s="2">
        <f t="shared" si="126"/>
        <v>6</v>
      </c>
      <c r="B283" s="121" t="s">
        <v>136</v>
      </c>
      <c r="C283" s="24" t="s">
        <v>4</v>
      </c>
      <c r="D283" s="24">
        <f t="shared" si="127"/>
        <v>0</v>
      </c>
      <c r="E283" s="22">
        <v>0</v>
      </c>
      <c r="F283" s="22">
        <v>0</v>
      </c>
      <c r="G283" s="22">
        <v>0</v>
      </c>
      <c r="H283" s="22">
        <f t="shared" si="128"/>
        <v>0</v>
      </c>
      <c r="I283" s="22">
        <v>0</v>
      </c>
      <c r="J283" s="22">
        <v>0</v>
      </c>
      <c r="K283" s="22">
        <v>0</v>
      </c>
      <c r="L283" s="22">
        <f t="shared" si="129"/>
        <v>0</v>
      </c>
      <c r="M283" s="22">
        <v>0</v>
      </c>
      <c r="N283" s="22">
        <v>0</v>
      </c>
      <c r="O283" s="22">
        <v>0</v>
      </c>
      <c r="P283" s="22">
        <f t="shared" si="130"/>
        <v>0</v>
      </c>
      <c r="Q283" s="22">
        <v>0</v>
      </c>
      <c r="R283" s="22">
        <v>0</v>
      </c>
      <c r="S283" s="22">
        <v>0</v>
      </c>
      <c r="T283" s="22">
        <f t="shared" si="131"/>
        <v>0</v>
      </c>
    </row>
    <row r="284" spans="1:20" x14ac:dyDescent="0.35">
      <c r="A284" s="2">
        <f t="shared" si="126"/>
        <v>7</v>
      </c>
      <c r="B284" s="121" t="s">
        <v>137</v>
      </c>
      <c r="C284" s="24" t="s">
        <v>4</v>
      </c>
      <c r="D284" s="24">
        <f t="shared" si="127"/>
        <v>0</v>
      </c>
      <c r="E284" s="22">
        <v>0</v>
      </c>
      <c r="F284" s="22">
        <v>0</v>
      </c>
      <c r="G284" s="22">
        <v>0</v>
      </c>
      <c r="H284" s="22">
        <f t="shared" si="128"/>
        <v>0</v>
      </c>
      <c r="I284" s="22">
        <v>0</v>
      </c>
      <c r="J284" s="22">
        <v>0</v>
      </c>
      <c r="K284" s="22">
        <v>0</v>
      </c>
      <c r="L284" s="22">
        <f t="shared" si="129"/>
        <v>0</v>
      </c>
      <c r="M284" s="22">
        <v>0</v>
      </c>
      <c r="N284" s="22">
        <v>0</v>
      </c>
      <c r="O284" s="22">
        <v>0</v>
      </c>
      <c r="P284" s="22">
        <f t="shared" si="130"/>
        <v>0</v>
      </c>
      <c r="Q284" s="22">
        <v>0</v>
      </c>
      <c r="R284" s="22">
        <v>0</v>
      </c>
      <c r="S284" s="22">
        <v>0</v>
      </c>
      <c r="T284" s="22">
        <f t="shared" si="131"/>
        <v>0</v>
      </c>
    </row>
    <row r="285" spans="1:20" x14ac:dyDescent="0.35">
      <c r="A285" s="2">
        <f t="shared" si="126"/>
        <v>8</v>
      </c>
      <c r="B285" s="121" t="s">
        <v>138</v>
      </c>
      <c r="C285" s="24" t="s">
        <v>4</v>
      </c>
      <c r="D285" s="24">
        <f t="shared" si="127"/>
        <v>0</v>
      </c>
      <c r="E285" s="22">
        <v>0</v>
      </c>
      <c r="F285" s="22">
        <v>0</v>
      </c>
      <c r="G285" s="22">
        <v>0</v>
      </c>
      <c r="H285" s="22">
        <f t="shared" si="128"/>
        <v>0</v>
      </c>
      <c r="I285" s="22">
        <v>0</v>
      </c>
      <c r="J285" s="22">
        <v>0</v>
      </c>
      <c r="K285" s="22">
        <v>0</v>
      </c>
      <c r="L285" s="22">
        <f t="shared" si="129"/>
        <v>0</v>
      </c>
      <c r="M285" s="22">
        <v>0</v>
      </c>
      <c r="N285" s="22">
        <v>0</v>
      </c>
      <c r="O285" s="22">
        <v>0</v>
      </c>
      <c r="P285" s="22">
        <f t="shared" si="130"/>
        <v>0</v>
      </c>
      <c r="Q285" s="22">
        <v>0</v>
      </c>
      <c r="R285" s="22">
        <v>0</v>
      </c>
      <c r="S285" s="22">
        <v>0</v>
      </c>
      <c r="T285" s="22">
        <f t="shared" si="131"/>
        <v>0</v>
      </c>
    </row>
    <row r="286" spans="1:20" x14ac:dyDescent="0.35">
      <c r="A286" s="2">
        <f t="shared" si="126"/>
        <v>9</v>
      </c>
      <c r="B286" s="121" t="s">
        <v>139</v>
      </c>
      <c r="C286" s="24" t="s">
        <v>4</v>
      </c>
      <c r="D286" s="24">
        <f t="shared" si="127"/>
        <v>0</v>
      </c>
      <c r="E286" s="22">
        <v>0</v>
      </c>
      <c r="F286" s="22">
        <v>0</v>
      </c>
      <c r="G286" s="22">
        <v>0</v>
      </c>
      <c r="H286" s="22">
        <f t="shared" si="128"/>
        <v>0</v>
      </c>
      <c r="I286" s="22">
        <v>0</v>
      </c>
      <c r="J286" s="22">
        <v>0</v>
      </c>
      <c r="K286" s="22">
        <v>0</v>
      </c>
      <c r="L286" s="22">
        <f t="shared" si="129"/>
        <v>0</v>
      </c>
      <c r="M286" s="22">
        <v>0</v>
      </c>
      <c r="N286" s="22">
        <v>0</v>
      </c>
      <c r="O286" s="22">
        <v>0</v>
      </c>
      <c r="P286" s="22">
        <f t="shared" si="130"/>
        <v>0</v>
      </c>
      <c r="Q286" s="22">
        <v>0</v>
      </c>
      <c r="R286" s="22">
        <v>0</v>
      </c>
      <c r="S286" s="22">
        <v>0</v>
      </c>
      <c r="T286" s="22">
        <f t="shared" si="131"/>
        <v>0</v>
      </c>
    </row>
    <row r="287" spans="1:20" x14ac:dyDescent="0.35">
      <c r="A287" s="2">
        <f t="shared" si="126"/>
        <v>10</v>
      </c>
      <c r="B287" s="121" t="s">
        <v>140</v>
      </c>
      <c r="C287" s="24" t="s">
        <v>4</v>
      </c>
      <c r="D287" s="24">
        <f t="shared" si="127"/>
        <v>5.2160000000000002</v>
      </c>
      <c r="E287" s="22">
        <f>325/1000</f>
        <v>0.32500000000000001</v>
      </c>
      <c r="F287" s="22">
        <f>455/1000</f>
        <v>0.45500000000000002</v>
      </c>
      <c r="G287" s="22">
        <f>521/1000</f>
        <v>0.52100000000000002</v>
      </c>
      <c r="H287" s="22">
        <f t="shared" si="128"/>
        <v>1.3010000000000002</v>
      </c>
      <c r="I287" s="22">
        <f>765/1000</f>
        <v>0.76500000000000001</v>
      </c>
      <c r="J287" s="22">
        <f>875/1000</f>
        <v>0.875</v>
      </c>
      <c r="K287" s="22">
        <f>547/1000</f>
        <v>0.54700000000000004</v>
      </c>
      <c r="L287" s="22">
        <f t="shared" si="129"/>
        <v>2.1870000000000003</v>
      </c>
      <c r="M287" s="22">
        <f>599/1000</f>
        <v>0.59899999999999998</v>
      </c>
      <c r="N287" s="22">
        <f>360/1000</f>
        <v>0.36</v>
      </c>
      <c r="O287" s="22">
        <f>238/1000</f>
        <v>0.23799999999999999</v>
      </c>
      <c r="P287" s="22">
        <f t="shared" si="130"/>
        <v>1.1970000000000001</v>
      </c>
      <c r="Q287" s="22">
        <f>159/1000</f>
        <v>0.159</v>
      </c>
      <c r="R287" s="22">
        <f>170/1000</f>
        <v>0.17</v>
      </c>
      <c r="S287" s="22">
        <f>202/1000</f>
        <v>0.20200000000000001</v>
      </c>
      <c r="T287" s="22">
        <f t="shared" si="131"/>
        <v>0.53100000000000003</v>
      </c>
    </row>
    <row r="288" spans="1:20" x14ac:dyDescent="0.35">
      <c r="A288" s="2">
        <f t="shared" si="126"/>
        <v>11</v>
      </c>
      <c r="B288" s="121" t="s">
        <v>141</v>
      </c>
      <c r="C288" s="24" t="s">
        <v>4</v>
      </c>
      <c r="D288" s="24">
        <f t="shared" si="127"/>
        <v>885.096</v>
      </c>
      <c r="E288" s="22">
        <f>75000/1000</f>
        <v>75</v>
      </c>
      <c r="F288" s="22">
        <f>75000/1000</f>
        <v>75</v>
      </c>
      <c r="G288" s="22">
        <f>85000/1000</f>
        <v>85</v>
      </c>
      <c r="H288" s="22">
        <f t="shared" si="128"/>
        <v>235</v>
      </c>
      <c r="I288" s="22">
        <f>75012/1000</f>
        <v>75.012</v>
      </c>
      <c r="J288" s="22">
        <f>70273/1000</f>
        <v>70.272999999999996</v>
      </c>
      <c r="K288" s="22">
        <f>68800/1000</f>
        <v>68.8</v>
      </c>
      <c r="L288" s="22">
        <f t="shared" si="129"/>
        <v>214.08499999999998</v>
      </c>
      <c r="M288" s="22">
        <f>63360/1000</f>
        <v>63.36</v>
      </c>
      <c r="N288" s="22">
        <f>77465/1000</f>
        <v>77.465000000000003</v>
      </c>
      <c r="O288" s="22">
        <f>69800/1000</f>
        <v>69.8</v>
      </c>
      <c r="P288" s="22">
        <f t="shared" si="130"/>
        <v>210.625</v>
      </c>
      <c r="Q288" s="22">
        <f>72000/1000</f>
        <v>72</v>
      </c>
      <c r="R288" s="22">
        <f>68386/1000</f>
        <v>68.385999999999996</v>
      </c>
      <c r="S288" s="22">
        <f>85000/1000</f>
        <v>85</v>
      </c>
      <c r="T288" s="22">
        <f t="shared" si="131"/>
        <v>225.386</v>
      </c>
    </row>
    <row r="289" spans="1:20" x14ac:dyDescent="0.35">
      <c r="A289" s="2">
        <f t="shared" si="126"/>
        <v>12</v>
      </c>
      <c r="B289" s="121" t="s">
        <v>142</v>
      </c>
      <c r="C289" s="24" t="s">
        <v>4</v>
      </c>
      <c r="D289" s="24">
        <f t="shared" si="127"/>
        <v>0</v>
      </c>
      <c r="E289" s="22">
        <v>0</v>
      </c>
      <c r="F289" s="22">
        <v>0</v>
      </c>
      <c r="G289" s="22">
        <v>0</v>
      </c>
      <c r="H289" s="22">
        <f t="shared" si="128"/>
        <v>0</v>
      </c>
      <c r="I289" s="22">
        <v>0</v>
      </c>
      <c r="J289" s="22">
        <v>0</v>
      </c>
      <c r="K289" s="22">
        <v>0</v>
      </c>
      <c r="L289" s="22">
        <f t="shared" si="129"/>
        <v>0</v>
      </c>
      <c r="M289" s="22">
        <v>0</v>
      </c>
      <c r="N289" s="22">
        <v>0</v>
      </c>
      <c r="O289" s="22">
        <v>0</v>
      </c>
      <c r="P289" s="22">
        <f t="shared" si="130"/>
        <v>0</v>
      </c>
      <c r="Q289" s="22">
        <v>0</v>
      </c>
      <c r="R289" s="22">
        <v>0</v>
      </c>
      <c r="S289" s="22">
        <v>0</v>
      </c>
      <c r="T289" s="22">
        <f t="shared" si="131"/>
        <v>0</v>
      </c>
    </row>
    <row r="290" spans="1:20" x14ac:dyDescent="0.35">
      <c r="A290" s="2">
        <f t="shared" si="126"/>
        <v>13</v>
      </c>
      <c r="B290" s="121" t="s">
        <v>143</v>
      </c>
      <c r="C290" s="24" t="s">
        <v>4</v>
      </c>
      <c r="D290" s="24">
        <f t="shared" si="127"/>
        <v>1.73</v>
      </c>
      <c r="E290" s="22">
        <f>150/1000</f>
        <v>0.15</v>
      </c>
      <c r="F290" s="22">
        <f>170/1000</f>
        <v>0.17</v>
      </c>
      <c r="G290" s="22">
        <f>210/1000</f>
        <v>0.21</v>
      </c>
      <c r="H290" s="22">
        <f t="shared" si="128"/>
        <v>0.53</v>
      </c>
      <c r="I290" s="22">
        <f>150/1000</f>
        <v>0.15</v>
      </c>
      <c r="J290" s="22">
        <f>140/1000</f>
        <v>0.14000000000000001</v>
      </c>
      <c r="K290" s="22">
        <f>110/1000</f>
        <v>0.11</v>
      </c>
      <c r="L290" s="22">
        <f t="shared" si="129"/>
        <v>0.4</v>
      </c>
      <c r="M290" s="22">
        <f>110/1000</f>
        <v>0.11</v>
      </c>
      <c r="N290" s="22">
        <f>150/1000</f>
        <v>0.15</v>
      </c>
      <c r="O290" s="22">
        <f>130/1000</f>
        <v>0.13</v>
      </c>
      <c r="P290" s="22">
        <f t="shared" si="130"/>
        <v>0.39</v>
      </c>
      <c r="Q290" s="22">
        <f>110/1000</f>
        <v>0.11</v>
      </c>
      <c r="R290" s="22">
        <f>150/1000</f>
        <v>0.15</v>
      </c>
      <c r="S290" s="22">
        <f>150/1000</f>
        <v>0.15</v>
      </c>
      <c r="T290" s="22">
        <f t="shared" si="131"/>
        <v>0.41000000000000003</v>
      </c>
    </row>
    <row r="291" spans="1:20" x14ac:dyDescent="0.35">
      <c r="A291" s="2">
        <f t="shared" si="126"/>
        <v>14</v>
      </c>
      <c r="B291" s="121" t="s">
        <v>144</v>
      </c>
      <c r="C291" s="24" t="s">
        <v>4</v>
      </c>
      <c r="D291" s="24">
        <f t="shared" si="127"/>
        <v>4260</v>
      </c>
      <c r="E291" s="22">
        <f>600000/1000</f>
        <v>600</v>
      </c>
      <c r="F291" s="22">
        <f>550000/1000</f>
        <v>550</v>
      </c>
      <c r="G291" s="22">
        <f>500000/1000</f>
        <v>500</v>
      </c>
      <c r="H291" s="22">
        <f t="shared" si="128"/>
        <v>1650</v>
      </c>
      <c r="I291" s="22">
        <f>470000/1000</f>
        <v>470</v>
      </c>
      <c r="J291" s="22">
        <f>380000/1000</f>
        <v>380</v>
      </c>
      <c r="K291" s="22">
        <f>350000/1000</f>
        <v>350</v>
      </c>
      <c r="L291" s="22">
        <f t="shared" si="129"/>
        <v>1200</v>
      </c>
      <c r="M291" s="22">
        <f>100000/1000</f>
        <v>100</v>
      </c>
      <c r="N291" s="22">
        <f>90000/1000</f>
        <v>90</v>
      </c>
      <c r="O291" s="22">
        <f>120000/1000</f>
        <v>120</v>
      </c>
      <c r="P291" s="22">
        <f t="shared" si="130"/>
        <v>310</v>
      </c>
      <c r="Q291" s="22">
        <f>150000/1000</f>
        <v>150</v>
      </c>
      <c r="R291" s="22">
        <f>300000/1000</f>
        <v>300</v>
      </c>
      <c r="S291" s="22">
        <f>650000/1000</f>
        <v>650</v>
      </c>
      <c r="T291" s="22">
        <f t="shared" si="131"/>
        <v>1100</v>
      </c>
    </row>
    <row r="292" spans="1:20" x14ac:dyDescent="0.35">
      <c r="A292" s="2">
        <f t="shared" si="126"/>
        <v>15</v>
      </c>
      <c r="B292" s="121" t="s">
        <v>145</v>
      </c>
      <c r="C292" s="24" t="s">
        <v>4</v>
      </c>
      <c r="D292" s="24">
        <f t="shared" si="127"/>
        <v>1.7</v>
      </c>
      <c r="E292" s="22">
        <v>0</v>
      </c>
      <c r="F292" s="22">
        <v>0</v>
      </c>
      <c r="G292" s="22">
        <v>0</v>
      </c>
      <c r="H292" s="22">
        <f t="shared" si="128"/>
        <v>0</v>
      </c>
      <c r="I292" s="22">
        <v>0</v>
      </c>
      <c r="J292" s="22">
        <v>0</v>
      </c>
      <c r="K292" s="22">
        <f>1200/1000</f>
        <v>1.2</v>
      </c>
      <c r="L292" s="22">
        <f t="shared" si="129"/>
        <v>1.2</v>
      </c>
      <c r="M292" s="22">
        <v>0</v>
      </c>
      <c r="N292" s="22">
        <v>0</v>
      </c>
      <c r="O292" s="22">
        <v>0</v>
      </c>
      <c r="P292" s="22">
        <f t="shared" si="130"/>
        <v>0</v>
      </c>
      <c r="Q292" s="22">
        <v>0</v>
      </c>
      <c r="R292" s="22">
        <f>500/1000</f>
        <v>0.5</v>
      </c>
      <c r="S292" s="22">
        <v>0</v>
      </c>
      <c r="T292" s="22">
        <f t="shared" si="131"/>
        <v>0.5</v>
      </c>
    </row>
    <row r="293" spans="1:20" x14ac:dyDescent="0.35">
      <c r="A293" s="2">
        <f t="shared" si="126"/>
        <v>16</v>
      </c>
      <c r="B293" s="121" t="s">
        <v>146</v>
      </c>
      <c r="C293" s="24" t="s">
        <v>4</v>
      </c>
      <c r="D293" s="24">
        <f t="shared" si="127"/>
        <v>0</v>
      </c>
      <c r="E293" s="22">
        <v>0</v>
      </c>
      <c r="F293" s="22">
        <v>0</v>
      </c>
      <c r="G293" s="22">
        <v>0</v>
      </c>
      <c r="H293" s="22">
        <f t="shared" si="128"/>
        <v>0</v>
      </c>
      <c r="I293" s="22">
        <v>0</v>
      </c>
      <c r="J293" s="22">
        <v>0</v>
      </c>
      <c r="K293" s="22">
        <v>0</v>
      </c>
      <c r="L293" s="22">
        <f t="shared" si="129"/>
        <v>0</v>
      </c>
      <c r="M293" s="22">
        <v>0</v>
      </c>
      <c r="N293" s="22">
        <v>0</v>
      </c>
      <c r="O293" s="22">
        <v>0</v>
      </c>
      <c r="P293" s="22">
        <f t="shared" si="130"/>
        <v>0</v>
      </c>
      <c r="Q293" s="22">
        <v>0</v>
      </c>
      <c r="R293" s="22">
        <v>0</v>
      </c>
      <c r="S293" s="22">
        <v>0</v>
      </c>
      <c r="T293" s="22">
        <f t="shared" si="131"/>
        <v>0</v>
      </c>
    </row>
    <row r="294" spans="1:20" x14ac:dyDescent="0.35">
      <c r="A294" s="2">
        <f t="shared" si="126"/>
        <v>17</v>
      </c>
      <c r="B294" s="121" t="s">
        <v>147</v>
      </c>
      <c r="C294" s="24" t="s">
        <v>4</v>
      </c>
      <c r="D294" s="24">
        <f t="shared" si="127"/>
        <v>106.93299999999999</v>
      </c>
      <c r="E294" s="22">
        <f>10563/1000</f>
        <v>10.563000000000001</v>
      </c>
      <c r="F294" s="22">
        <f>9970/1000</f>
        <v>9.9700000000000006</v>
      </c>
      <c r="G294" s="22">
        <f>11180/1000</f>
        <v>11.18</v>
      </c>
      <c r="H294" s="22">
        <f t="shared" si="128"/>
        <v>31.713000000000001</v>
      </c>
      <c r="I294" s="22">
        <f>9880/1000</f>
        <v>9.8800000000000008</v>
      </c>
      <c r="J294" s="22">
        <f>9260/1000</f>
        <v>9.26</v>
      </c>
      <c r="K294" s="22">
        <f>9540/1000</f>
        <v>9.5399999999999991</v>
      </c>
      <c r="L294" s="22">
        <f t="shared" si="129"/>
        <v>28.68</v>
      </c>
      <c r="M294" s="22">
        <f>9500/1000</f>
        <v>9.5</v>
      </c>
      <c r="N294" s="22">
        <f>9270/1000</f>
        <v>9.27</v>
      </c>
      <c r="O294" s="22">
        <f>9090/1000</f>
        <v>9.09</v>
      </c>
      <c r="P294" s="22">
        <f t="shared" si="130"/>
        <v>27.86</v>
      </c>
      <c r="Q294" s="22">
        <f>6240/1000</f>
        <v>6.24</v>
      </c>
      <c r="R294" s="22">
        <f>6430/1000</f>
        <v>6.43</v>
      </c>
      <c r="S294" s="22">
        <f>6010/1000</f>
        <v>6.01</v>
      </c>
      <c r="T294" s="22">
        <f t="shared" si="131"/>
        <v>18.68</v>
      </c>
    </row>
    <row r="295" spans="1:20" x14ac:dyDescent="0.35">
      <c r="A295" s="2">
        <f t="shared" si="126"/>
        <v>18</v>
      </c>
      <c r="B295" s="121" t="s">
        <v>148</v>
      </c>
      <c r="C295" s="24" t="s">
        <v>4</v>
      </c>
      <c r="D295" s="24">
        <f t="shared" si="127"/>
        <v>0</v>
      </c>
      <c r="E295" s="22">
        <v>0</v>
      </c>
      <c r="F295" s="22">
        <v>0</v>
      </c>
      <c r="G295" s="22">
        <v>0</v>
      </c>
      <c r="H295" s="22">
        <f t="shared" si="128"/>
        <v>0</v>
      </c>
      <c r="I295" s="22">
        <v>0</v>
      </c>
      <c r="J295" s="22">
        <v>0</v>
      </c>
      <c r="K295" s="22">
        <v>0</v>
      </c>
      <c r="L295" s="22">
        <f t="shared" si="129"/>
        <v>0</v>
      </c>
      <c r="M295" s="22">
        <v>0</v>
      </c>
      <c r="N295" s="22">
        <v>0</v>
      </c>
      <c r="O295" s="22">
        <v>0</v>
      </c>
      <c r="P295" s="22">
        <f t="shared" si="130"/>
        <v>0</v>
      </c>
      <c r="Q295" s="22">
        <v>0</v>
      </c>
      <c r="R295" s="22">
        <v>0</v>
      </c>
      <c r="S295" s="22">
        <v>0</v>
      </c>
      <c r="T295" s="22">
        <f t="shared" si="131"/>
        <v>0</v>
      </c>
    </row>
    <row r="296" spans="1:20" x14ac:dyDescent="0.35">
      <c r="A296" s="2">
        <f t="shared" si="126"/>
        <v>19</v>
      </c>
      <c r="B296" s="121" t="s">
        <v>149</v>
      </c>
      <c r="C296" s="24" t="s">
        <v>4</v>
      </c>
      <c r="D296" s="24">
        <f t="shared" si="127"/>
        <v>0</v>
      </c>
      <c r="E296" s="22">
        <v>0</v>
      </c>
      <c r="F296" s="22">
        <v>0</v>
      </c>
      <c r="G296" s="22">
        <v>0</v>
      </c>
      <c r="H296" s="22">
        <f t="shared" si="128"/>
        <v>0</v>
      </c>
      <c r="I296" s="22">
        <v>0</v>
      </c>
      <c r="J296" s="22">
        <v>0</v>
      </c>
      <c r="K296" s="22">
        <v>0</v>
      </c>
      <c r="L296" s="22">
        <f t="shared" si="129"/>
        <v>0</v>
      </c>
      <c r="M296" s="22">
        <v>0</v>
      </c>
      <c r="N296" s="22">
        <v>0</v>
      </c>
      <c r="O296" s="22">
        <v>0</v>
      </c>
      <c r="P296" s="22">
        <f t="shared" si="130"/>
        <v>0</v>
      </c>
      <c r="Q296" s="22">
        <v>0</v>
      </c>
      <c r="R296" s="22">
        <v>0</v>
      </c>
      <c r="S296" s="22">
        <v>0</v>
      </c>
      <c r="T296" s="22">
        <f t="shared" si="131"/>
        <v>0</v>
      </c>
    </row>
    <row r="297" spans="1:20" x14ac:dyDescent="0.35">
      <c r="A297" s="2">
        <f t="shared" si="126"/>
        <v>20</v>
      </c>
      <c r="B297" s="121" t="s">
        <v>150</v>
      </c>
      <c r="C297" s="24" t="s">
        <v>4</v>
      </c>
      <c r="D297" s="24">
        <f t="shared" si="127"/>
        <v>142.05286000000001</v>
      </c>
      <c r="E297" s="22">
        <f>13391.99/1000</f>
        <v>13.39199</v>
      </c>
      <c r="F297" s="22">
        <f>11233.53/1000</f>
        <v>11.23353</v>
      </c>
      <c r="G297" s="22">
        <f>10231.81/1000</f>
        <v>10.231809999999999</v>
      </c>
      <c r="H297" s="22">
        <f t="shared" si="128"/>
        <v>34.857330000000005</v>
      </c>
      <c r="I297" s="22">
        <f>11412.41/1000</f>
        <v>11.412409999999999</v>
      </c>
      <c r="J297" s="22">
        <f>17208.05/1000</f>
        <v>17.20805</v>
      </c>
      <c r="K297" s="22">
        <f>9361.27/1000</f>
        <v>9.3612700000000011</v>
      </c>
      <c r="L297" s="22">
        <f t="shared" si="129"/>
        <v>37.981729999999999</v>
      </c>
      <c r="M297" s="22">
        <f>11317.01/1000</f>
        <v>11.31701</v>
      </c>
      <c r="N297" s="22">
        <f>9289.72/1000</f>
        <v>9.2897199999999991</v>
      </c>
      <c r="O297" s="22">
        <f>12831.51/1000</f>
        <v>12.83151</v>
      </c>
      <c r="P297" s="22">
        <f t="shared" si="130"/>
        <v>33.43824</v>
      </c>
      <c r="Q297" s="22">
        <f>13892.84/1000</f>
        <v>13.89284</v>
      </c>
      <c r="R297" s="22">
        <f>13892.84/1000</f>
        <v>13.89284</v>
      </c>
      <c r="S297" s="22">
        <f>7989.88/1000</f>
        <v>7.9898800000000003</v>
      </c>
      <c r="T297" s="22">
        <f t="shared" si="131"/>
        <v>35.775559999999999</v>
      </c>
    </row>
    <row r="298" spans="1:20" x14ac:dyDescent="0.35">
      <c r="A298" s="2">
        <f t="shared" si="126"/>
        <v>21</v>
      </c>
      <c r="B298" s="121" t="s">
        <v>151</v>
      </c>
      <c r="C298" s="24" t="s">
        <v>4</v>
      </c>
      <c r="D298" s="24">
        <f t="shared" si="127"/>
        <v>17.602999999999998</v>
      </c>
      <c r="E298" s="22">
        <f>2515/1000</f>
        <v>2.5150000000000001</v>
      </c>
      <c r="F298" s="22">
        <f>944/1000</f>
        <v>0.94399999999999995</v>
      </c>
      <c r="G298" s="22">
        <f>1270/1000</f>
        <v>1.27</v>
      </c>
      <c r="H298" s="22">
        <f t="shared" si="128"/>
        <v>4.7290000000000001</v>
      </c>
      <c r="I298" s="22">
        <f>1935/1000</f>
        <v>1.9350000000000001</v>
      </c>
      <c r="J298" s="22">
        <f>2290/1000</f>
        <v>2.29</v>
      </c>
      <c r="K298" s="22">
        <f>2153/1000</f>
        <v>2.153</v>
      </c>
      <c r="L298" s="22">
        <f t="shared" si="129"/>
        <v>6.3780000000000001</v>
      </c>
      <c r="M298" s="22">
        <f>905/1000</f>
        <v>0.90500000000000003</v>
      </c>
      <c r="N298" s="22">
        <f>978/1000</f>
        <v>0.97799999999999998</v>
      </c>
      <c r="O298" s="22">
        <f>848/1000</f>
        <v>0.84799999999999998</v>
      </c>
      <c r="P298" s="22">
        <f t="shared" si="130"/>
        <v>2.7309999999999999</v>
      </c>
      <c r="Q298" s="22">
        <f>1085/1000</f>
        <v>1.085</v>
      </c>
      <c r="R298" s="22">
        <f>1190/1000</f>
        <v>1.19</v>
      </c>
      <c r="S298" s="22">
        <f>1490/1000</f>
        <v>1.49</v>
      </c>
      <c r="T298" s="22">
        <f t="shared" si="131"/>
        <v>3.7649999999999997</v>
      </c>
    </row>
    <row r="299" spans="1:20" x14ac:dyDescent="0.35">
      <c r="A299" s="2">
        <f t="shared" si="126"/>
        <v>22</v>
      </c>
      <c r="B299" s="121" t="s">
        <v>152</v>
      </c>
      <c r="C299" s="24" t="s">
        <v>4</v>
      </c>
      <c r="D299" s="24">
        <f t="shared" si="127"/>
        <v>28.93</v>
      </c>
      <c r="E299" s="22">
        <f>3200/1000</f>
        <v>3.2</v>
      </c>
      <c r="F299" s="22">
        <f>1200/1000</f>
        <v>1.2</v>
      </c>
      <c r="G299" s="22">
        <f>3600/1000</f>
        <v>3.6</v>
      </c>
      <c r="H299" s="22">
        <f t="shared" si="128"/>
        <v>8</v>
      </c>
      <c r="I299" s="22">
        <f>2100/1000</f>
        <v>2.1</v>
      </c>
      <c r="J299" s="22">
        <f>1700/1000</f>
        <v>1.7</v>
      </c>
      <c r="K299" s="22">
        <f>600/1000</f>
        <v>0.6</v>
      </c>
      <c r="L299" s="22">
        <f t="shared" si="129"/>
        <v>4.3999999999999995</v>
      </c>
      <c r="M299" s="22">
        <f>810/1000</f>
        <v>0.81</v>
      </c>
      <c r="N299" s="22">
        <f>890/1000</f>
        <v>0.89</v>
      </c>
      <c r="O299" s="22">
        <f>3010/1000</f>
        <v>3.01</v>
      </c>
      <c r="P299" s="22">
        <f t="shared" si="130"/>
        <v>4.71</v>
      </c>
      <c r="Q299" s="22">
        <f>1690/1000</f>
        <v>1.69</v>
      </c>
      <c r="R299" s="22">
        <f>2210/1000</f>
        <v>2.21</v>
      </c>
      <c r="S299" s="22">
        <f>7920/1000</f>
        <v>7.92</v>
      </c>
      <c r="T299" s="22">
        <f t="shared" si="131"/>
        <v>11.82</v>
      </c>
    </row>
    <row r="300" spans="1:20" x14ac:dyDescent="0.35">
      <c r="A300" s="2">
        <v>23</v>
      </c>
      <c r="B300" s="121" t="s">
        <v>153</v>
      </c>
      <c r="C300" s="24" t="s">
        <v>4</v>
      </c>
      <c r="D300" s="24">
        <f t="shared" si="127"/>
        <v>0</v>
      </c>
      <c r="E300" s="22">
        <v>0</v>
      </c>
      <c r="F300" s="22">
        <v>0</v>
      </c>
      <c r="G300" s="22">
        <v>0</v>
      </c>
      <c r="H300" s="22">
        <f t="shared" si="128"/>
        <v>0</v>
      </c>
      <c r="I300" s="22">
        <v>0</v>
      </c>
      <c r="J300" s="22">
        <v>0</v>
      </c>
      <c r="K300" s="22">
        <v>0</v>
      </c>
      <c r="L300" s="22">
        <f t="shared" si="129"/>
        <v>0</v>
      </c>
      <c r="M300" s="22">
        <v>0</v>
      </c>
      <c r="N300" s="22">
        <v>0</v>
      </c>
      <c r="O300" s="22">
        <v>0</v>
      </c>
      <c r="P300" s="22">
        <f t="shared" si="130"/>
        <v>0</v>
      </c>
      <c r="Q300" s="22">
        <v>0</v>
      </c>
      <c r="R300" s="22">
        <v>0</v>
      </c>
      <c r="S300" s="22">
        <v>0</v>
      </c>
      <c r="T300" s="22">
        <f t="shared" si="131"/>
        <v>0</v>
      </c>
    </row>
    <row r="301" spans="1:20" x14ac:dyDescent="0.35">
      <c r="A301" s="2">
        <v>24</v>
      </c>
      <c r="B301" s="121" t="s">
        <v>154</v>
      </c>
      <c r="C301" s="24" t="s">
        <v>4</v>
      </c>
      <c r="D301" s="24">
        <f t="shared" si="127"/>
        <v>0</v>
      </c>
      <c r="E301" s="22">
        <v>0</v>
      </c>
      <c r="F301" s="22">
        <v>0</v>
      </c>
      <c r="G301" s="22">
        <v>0</v>
      </c>
      <c r="H301" s="22">
        <f t="shared" si="128"/>
        <v>0</v>
      </c>
      <c r="I301" s="22">
        <v>0</v>
      </c>
      <c r="J301" s="22">
        <v>0</v>
      </c>
      <c r="K301" s="22">
        <v>0</v>
      </c>
      <c r="L301" s="22">
        <f t="shared" si="129"/>
        <v>0</v>
      </c>
      <c r="M301" s="22">
        <v>0</v>
      </c>
      <c r="N301" s="22">
        <v>0</v>
      </c>
      <c r="O301" s="22">
        <v>0</v>
      </c>
      <c r="P301" s="22">
        <f t="shared" si="130"/>
        <v>0</v>
      </c>
      <c r="Q301" s="22">
        <v>0</v>
      </c>
      <c r="R301" s="22">
        <v>0</v>
      </c>
      <c r="S301" s="22">
        <v>0</v>
      </c>
      <c r="T301" s="22">
        <f t="shared" si="131"/>
        <v>0</v>
      </c>
    </row>
    <row r="302" spans="1:20" x14ac:dyDescent="0.35">
      <c r="A302" s="2">
        <v>25</v>
      </c>
      <c r="B302" s="121" t="s">
        <v>155</v>
      </c>
      <c r="C302" s="24" t="s">
        <v>4</v>
      </c>
      <c r="D302" s="24">
        <f t="shared" si="127"/>
        <v>0</v>
      </c>
      <c r="E302" s="22">
        <v>0</v>
      </c>
      <c r="F302" s="22">
        <v>0</v>
      </c>
      <c r="G302" s="22">
        <v>0</v>
      </c>
      <c r="H302" s="22">
        <f t="shared" si="128"/>
        <v>0</v>
      </c>
      <c r="I302" s="22">
        <v>0</v>
      </c>
      <c r="J302" s="22">
        <v>0</v>
      </c>
      <c r="K302" s="22">
        <v>0</v>
      </c>
      <c r="L302" s="22">
        <f t="shared" si="129"/>
        <v>0</v>
      </c>
      <c r="M302" s="22">
        <v>0</v>
      </c>
      <c r="N302" s="22">
        <v>0</v>
      </c>
      <c r="O302" s="22">
        <v>0</v>
      </c>
      <c r="P302" s="22">
        <f t="shared" si="130"/>
        <v>0</v>
      </c>
      <c r="Q302" s="22">
        <v>0</v>
      </c>
      <c r="R302" s="22">
        <v>0</v>
      </c>
      <c r="S302" s="22">
        <v>0</v>
      </c>
      <c r="T302" s="22">
        <f t="shared" si="131"/>
        <v>0</v>
      </c>
    </row>
    <row r="303" spans="1:20" x14ac:dyDescent="0.35">
      <c r="A303" s="2">
        <v>26</v>
      </c>
      <c r="B303" s="121" t="s">
        <v>156</v>
      </c>
      <c r="C303" s="24" t="s">
        <v>4</v>
      </c>
      <c r="D303" s="24">
        <f t="shared" si="127"/>
        <v>0</v>
      </c>
      <c r="E303" s="22">
        <v>0</v>
      </c>
      <c r="F303" s="22">
        <v>0</v>
      </c>
      <c r="G303" s="22">
        <v>0</v>
      </c>
      <c r="H303" s="22">
        <f t="shared" si="128"/>
        <v>0</v>
      </c>
      <c r="I303" s="22">
        <v>0</v>
      </c>
      <c r="J303" s="22">
        <v>0</v>
      </c>
      <c r="K303" s="22">
        <v>0</v>
      </c>
      <c r="L303" s="22">
        <f t="shared" si="129"/>
        <v>0</v>
      </c>
      <c r="M303" s="22">
        <v>0</v>
      </c>
      <c r="N303" s="22">
        <v>0</v>
      </c>
      <c r="O303" s="22">
        <v>0</v>
      </c>
      <c r="P303" s="22">
        <f t="shared" si="130"/>
        <v>0</v>
      </c>
      <c r="Q303" s="22">
        <v>0</v>
      </c>
      <c r="R303" s="22">
        <v>0</v>
      </c>
      <c r="S303" s="22">
        <v>0</v>
      </c>
      <c r="T303" s="22">
        <f t="shared" si="131"/>
        <v>0</v>
      </c>
    </row>
    <row r="304" spans="1:20" x14ac:dyDescent="0.35">
      <c r="A304" s="2">
        <v>27</v>
      </c>
      <c r="B304" s="121" t="s">
        <v>157</v>
      </c>
      <c r="C304" s="24" t="s">
        <v>4</v>
      </c>
      <c r="D304" s="24">
        <f t="shared" si="127"/>
        <v>0</v>
      </c>
      <c r="E304" s="22">
        <v>0</v>
      </c>
      <c r="F304" s="22">
        <v>0</v>
      </c>
      <c r="G304" s="22">
        <v>0</v>
      </c>
      <c r="H304" s="22">
        <f t="shared" si="128"/>
        <v>0</v>
      </c>
      <c r="I304" s="22">
        <v>0</v>
      </c>
      <c r="J304" s="22">
        <v>0</v>
      </c>
      <c r="K304" s="22">
        <v>0</v>
      </c>
      <c r="L304" s="22">
        <f t="shared" si="129"/>
        <v>0</v>
      </c>
      <c r="M304" s="22">
        <v>0</v>
      </c>
      <c r="N304" s="22">
        <v>0</v>
      </c>
      <c r="O304" s="22">
        <v>0</v>
      </c>
      <c r="P304" s="22">
        <f t="shared" si="130"/>
        <v>0</v>
      </c>
      <c r="Q304" s="22">
        <v>0</v>
      </c>
      <c r="R304" s="22">
        <v>0</v>
      </c>
      <c r="S304" s="22">
        <v>0</v>
      </c>
      <c r="T304" s="22">
        <f t="shared" si="131"/>
        <v>0</v>
      </c>
    </row>
    <row r="305" spans="1:20" x14ac:dyDescent="0.35">
      <c r="A305" s="2">
        <v>28</v>
      </c>
      <c r="B305" s="121" t="s">
        <v>158</v>
      </c>
      <c r="C305" s="24" t="s">
        <v>4</v>
      </c>
      <c r="D305" s="24">
        <f t="shared" si="127"/>
        <v>0</v>
      </c>
      <c r="E305" s="22">
        <v>0</v>
      </c>
      <c r="F305" s="22">
        <v>0</v>
      </c>
      <c r="G305" s="22">
        <v>0</v>
      </c>
      <c r="H305" s="22">
        <f t="shared" si="128"/>
        <v>0</v>
      </c>
      <c r="I305" s="22">
        <v>0</v>
      </c>
      <c r="J305" s="22">
        <v>0</v>
      </c>
      <c r="K305" s="22">
        <v>0</v>
      </c>
      <c r="L305" s="22">
        <f t="shared" si="129"/>
        <v>0</v>
      </c>
      <c r="M305" s="22">
        <v>0</v>
      </c>
      <c r="N305" s="22">
        <v>0</v>
      </c>
      <c r="O305" s="22">
        <v>0</v>
      </c>
      <c r="P305" s="22">
        <f t="shared" si="130"/>
        <v>0</v>
      </c>
      <c r="Q305" s="22">
        <v>0</v>
      </c>
      <c r="R305" s="22">
        <v>0</v>
      </c>
      <c r="S305" s="22">
        <v>0</v>
      </c>
      <c r="T305" s="22">
        <f t="shared" si="131"/>
        <v>0</v>
      </c>
    </row>
    <row r="306" spans="1:20" x14ac:dyDescent="0.35">
      <c r="A306" s="2">
        <v>29</v>
      </c>
      <c r="B306" s="121" t="s">
        <v>159</v>
      </c>
      <c r="C306" s="24" t="s">
        <v>4</v>
      </c>
      <c r="D306" s="24">
        <f t="shared" si="127"/>
        <v>0</v>
      </c>
      <c r="E306" s="22">
        <v>0</v>
      </c>
      <c r="F306" s="22">
        <v>0</v>
      </c>
      <c r="G306" s="22">
        <v>0</v>
      </c>
      <c r="H306" s="22">
        <f t="shared" si="128"/>
        <v>0</v>
      </c>
      <c r="I306" s="22">
        <v>0</v>
      </c>
      <c r="J306" s="22">
        <v>0</v>
      </c>
      <c r="K306" s="22">
        <v>0</v>
      </c>
      <c r="L306" s="22">
        <f t="shared" si="129"/>
        <v>0</v>
      </c>
      <c r="M306" s="22">
        <v>0</v>
      </c>
      <c r="N306" s="22">
        <v>0</v>
      </c>
      <c r="O306" s="22">
        <v>0</v>
      </c>
      <c r="P306" s="22">
        <f t="shared" si="130"/>
        <v>0</v>
      </c>
      <c r="Q306" s="22">
        <v>0</v>
      </c>
      <c r="R306" s="22">
        <v>0</v>
      </c>
      <c r="S306" s="22">
        <v>0</v>
      </c>
      <c r="T306" s="22">
        <f t="shared" si="131"/>
        <v>0</v>
      </c>
    </row>
    <row r="307" spans="1:20" x14ac:dyDescent="0.35">
      <c r="A307" s="2">
        <v>30</v>
      </c>
      <c r="B307" s="121" t="s">
        <v>160</v>
      </c>
      <c r="C307" s="24" t="s">
        <v>4</v>
      </c>
      <c r="D307" s="24">
        <f t="shared" si="127"/>
        <v>0</v>
      </c>
      <c r="E307" s="22">
        <v>0</v>
      </c>
      <c r="F307" s="22">
        <v>0</v>
      </c>
      <c r="G307" s="22">
        <v>0</v>
      </c>
      <c r="H307" s="22">
        <f t="shared" si="128"/>
        <v>0</v>
      </c>
      <c r="I307" s="22">
        <v>0</v>
      </c>
      <c r="J307" s="22">
        <v>0</v>
      </c>
      <c r="K307" s="22">
        <v>0</v>
      </c>
      <c r="L307" s="22">
        <f t="shared" si="129"/>
        <v>0</v>
      </c>
      <c r="M307" s="22">
        <v>0</v>
      </c>
      <c r="N307" s="22">
        <v>0</v>
      </c>
      <c r="O307" s="22">
        <v>0</v>
      </c>
      <c r="P307" s="22">
        <f t="shared" si="130"/>
        <v>0</v>
      </c>
      <c r="Q307" s="22">
        <v>0</v>
      </c>
      <c r="R307" s="22">
        <v>0</v>
      </c>
      <c r="S307" s="22">
        <v>0</v>
      </c>
      <c r="T307" s="22">
        <f t="shared" si="131"/>
        <v>0</v>
      </c>
    </row>
    <row r="308" spans="1:20" x14ac:dyDescent="0.35">
      <c r="A308" s="2">
        <v>31</v>
      </c>
      <c r="B308" s="121" t="s">
        <v>161</v>
      </c>
      <c r="C308" s="24" t="s">
        <v>4</v>
      </c>
      <c r="D308" s="24">
        <f t="shared" si="127"/>
        <v>0</v>
      </c>
      <c r="E308" s="22">
        <v>0</v>
      </c>
      <c r="F308" s="22">
        <v>0</v>
      </c>
      <c r="G308" s="22">
        <v>0</v>
      </c>
      <c r="H308" s="22">
        <f t="shared" si="128"/>
        <v>0</v>
      </c>
      <c r="I308" s="22">
        <v>0</v>
      </c>
      <c r="J308" s="22">
        <v>0</v>
      </c>
      <c r="K308" s="22">
        <v>0</v>
      </c>
      <c r="L308" s="22">
        <f t="shared" si="129"/>
        <v>0</v>
      </c>
      <c r="M308" s="22">
        <v>0</v>
      </c>
      <c r="N308" s="22">
        <v>0</v>
      </c>
      <c r="O308" s="22">
        <v>0</v>
      </c>
      <c r="P308" s="22">
        <f t="shared" si="130"/>
        <v>0</v>
      </c>
      <c r="Q308" s="22">
        <v>0</v>
      </c>
      <c r="R308" s="22">
        <v>0</v>
      </c>
      <c r="S308" s="22">
        <v>0</v>
      </c>
      <c r="T308" s="22">
        <f t="shared" si="131"/>
        <v>0</v>
      </c>
    </row>
    <row r="309" spans="1:20" x14ac:dyDescent="0.35">
      <c r="A309" s="2">
        <v>32</v>
      </c>
      <c r="B309" s="121" t="s">
        <v>162</v>
      </c>
      <c r="C309" s="24" t="s">
        <v>4</v>
      </c>
      <c r="D309" s="24">
        <f t="shared" si="127"/>
        <v>0</v>
      </c>
      <c r="E309" s="22">
        <v>0</v>
      </c>
      <c r="F309" s="22">
        <v>0</v>
      </c>
      <c r="G309" s="22">
        <v>0</v>
      </c>
      <c r="H309" s="22">
        <f t="shared" si="128"/>
        <v>0</v>
      </c>
      <c r="I309" s="22">
        <v>0</v>
      </c>
      <c r="J309" s="22">
        <v>0</v>
      </c>
      <c r="K309" s="22">
        <v>0</v>
      </c>
      <c r="L309" s="22">
        <f t="shared" si="129"/>
        <v>0</v>
      </c>
      <c r="M309" s="22">
        <v>0</v>
      </c>
      <c r="N309" s="22">
        <v>0</v>
      </c>
      <c r="O309" s="22">
        <v>0</v>
      </c>
      <c r="P309" s="22">
        <f t="shared" si="130"/>
        <v>0</v>
      </c>
      <c r="Q309" s="22">
        <v>0</v>
      </c>
      <c r="R309" s="22">
        <v>0</v>
      </c>
      <c r="S309" s="22">
        <v>0</v>
      </c>
      <c r="T309" s="22">
        <f t="shared" si="131"/>
        <v>0</v>
      </c>
    </row>
    <row r="310" spans="1:20" x14ac:dyDescent="0.35">
      <c r="A310" s="2">
        <v>33</v>
      </c>
      <c r="B310" s="121" t="s">
        <v>163</v>
      </c>
      <c r="C310" s="24" t="s">
        <v>4</v>
      </c>
      <c r="D310" s="24">
        <f t="shared" si="127"/>
        <v>0</v>
      </c>
      <c r="E310" s="22">
        <v>0</v>
      </c>
      <c r="F310" s="22">
        <v>0</v>
      </c>
      <c r="G310" s="22">
        <v>0</v>
      </c>
      <c r="H310" s="22">
        <f t="shared" si="128"/>
        <v>0</v>
      </c>
      <c r="I310" s="22">
        <v>0</v>
      </c>
      <c r="J310" s="22">
        <v>0</v>
      </c>
      <c r="K310" s="22">
        <v>0</v>
      </c>
      <c r="L310" s="22">
        <f t="shared" si="129"/>
        <v>0</v>
      </c>
      <c r="M310" s="22">
        <v>0</v>
      </c>
      <c r="N310" s="22">
        <v>0</v>
      </c>
      <c r="O310" s="22">
        <v>0</v>
      </c>
      <c r="P310" s="22">
        <f t="shared" si="130"/>
        <v>0</v>
      </c>
      <c r="Q310" s="22">
        <v>0</v>
      </c>
      <c r="R310" s="22">
        <v>0</v>
      </c>
      <c r="S310" s="22">
        <v>0</v>
      </c>
      <c r="T310" s="22">
        <f t="shared" si="131"/>
        <v>0</v>
      </c>
    </row>
    <row r="311" spans="1:20" x14ac:dyDescent="0.35">
      <c r="A311" s="2">
        <v>34</v>
      </c>
      <c r="B311" s="121" t="s">
        <v>164</v>
      </c>
      <c r="C311" s="24" t="s">
        <v>4</v>
      </c>
      <c r="D311" s="24">
        <f t="shared" si="127"/>
        <v>0</v>
      </c>
      <c r="E311" s="22">
        <v>0</v>
      </c>
      <c r="F311" s="22">
        <v>0</v>
      </c>
      <c r="G311" s="22">
        <v>0</v>
      </c>
      <c r="H311" s="22">
        <f t="shared" si="128"/>
        <v>0</v>
      </c>
      <c r="I311" s="22">
        <v>0</v>
      </c>
      <c r="J311" s="22">
        <v>0</v>
      </c>
      <c r="K311" s="22">
        <v>0</v>
      </c>
      <c r="L311" s="22">
        <f t="shared" si="129"/>
        <v>0</v>
      </c>
      <c r="M311" s="22">
        <v>0</v>
      </c>
      <c r="N311" s="22">
        <v>0</v>
      </c>
      <c r="O311" s="22">
        <v>0</v>
      </c>
      <c r="P311" s="22">
        <f t="shared" si="130"/>
        <v>0</v>
      </c>
      <c r="Q311" s="22">
        <v>0</v>
      </c>
      <c r="R311" s="22">
        <v>0</v>
      </c>
      <c r="S311" s="22">
        <v>0</v>
      </c>
      <c r="T311" s="22">
        <f t="shared" si="131"/>
        <v>0</v>
      </c>
    </row>
    <row r="312" spans="1:20" x14ac:dyDescent="0.35">
      <c r="A312" s="2">
        <v>35</v>
      </c>
      <c r="B312" s="121" t="s">
        <v>165</v>
      </c>
      <c r="C312" s="24" t="s">
        <v>4</v>
      </c>
      <c r="D312" s="24">
        <f t="shared" si="127"/>
        <v>0</v>
      </c>
      <c r="E312" s="22">
        <v>0</v>
      </c>
      <c r="F312" s="22">
        <v>0</v>
      </c>
      <c r="G312" s="22">
        <v>0</v>
      </c>
      <c r="H312" s="22">
        <f t="shared" si="128"/>
        <v>0</v>
      </c>
      <c r="I312" s="22">
        <v>0</v>
      </c>
      <c r="J312" s="22">
        <v>0</v>
      </c>
      <c r="K312" s="22">
        <v>0</v>
      </c>
      <c r="L312" s="22">
        <f t="shared" si="129"/>
        <v>0</v>
      </c>
      <c r="M312" s="22">
        <v>0</v>
      </c>
      <c r="N312" s="22">
        <v>0</v>
      </c>
      <c r="O312" s="22">
        <v>0</v>
      </c>
      <c r="P312" s="22">
        <f t="shared" si="130"/>
        <v>0</v>
      </c>
      <c r="Q312" s="22">
        <v>0</v>
      </c>
      <c r="R312" s="22">
        <v>0</v>
      </c>
      <c r="S312" s="22">
        <v>0</v>
      </c>
      <c r="T312" s="22">
        <f t="shared" si="131"/>
        <v>0</v>
      </c>
    </row>
    <row r="313" spans="1:20" x14ac:dyDescent="0.35">
      <c r="A313" s="2">
        <v>36</v>
      </c>
      <c r="B313" s="121" t="s">
        <v>166</v>
      </c>
      <c r="C313" s="24" t="s">
        <v>4</v>
      </c>
      <c r="D313" s="24">
        <f t="shared" si="127"/>
        <v>0</v>
      </c>
      <c r="E313" s="22">
        <v>0</v>
      </c>
      <c r="F313" s="22">
        <v>0</v>
      </c>
      <c r="G313" s="22">
        <v>0</v>
      </c>
      <c r="H313" s="22">
        <f t="shared" si="128"/>
        <v>0</v>
      </c>
      <c r="I313" s="22">
        <v>0</v>
      </c>
      <c r="J313" s="22">
        <v>0</v>
      </c>
      <c r="K313" s="22">
        <v>0</v>
      </c>
      <c r="L313" s="22">
        <f t="shared" si="129"/>
        <v>0</v>
      </c>
      <c r="M313" s="22">
        <v>0</v>
      </c>
      <c r="N313" s="22">
        <v>0</v>
      </c>
      <c r="O313" s="22">
        <v>0</v>
      </c>
      <c r="P313" s="22">
        <f t="shared" si="130"/>
        <v>0</v>
      </c>
      <c r="Q313" s="22">
        <v>0</v>
      </c>
      <c r="R313" s="22">
        <v>0</v>
      </c>
      <c r="S313" s="22">
        <v>0</v>
      </c>
      <c r="T313" s="22">
        <f t="shared" si="131"/>
        <v>0</v>
      </c>
    </row>
    <row r="314" spans="1:20" x14ac:dyDescent="0.35">
      <c r="A314" s="2">
        <v>37</v>
      </c>
      <c r="B314" s="121" t="s">
        <v>167</v>
      </c>
      <c r="C314" s="24" t="s">
        <v>4</v>
      </c>
      <c r="D314" s="24">
        <f t="shared" si="127"/>
        <v>0</v>
      </c>
      <c r="E314" s="22">
        <v>0</v>
      </c>
      <c r="F314" s="22">
        <v>0</v>
      </c>
      <c r="G314" s="22">
        <v>0</v>
      </c>
      <c r="H314" s="22">
        <f t="shared" si="128"/>
        <v>0</v>
      </c>
      <c r="I314" s="22">
        <v>0</v>
      </c>
      <c r="J314" s="22">
        <v>0</v>
      </c>
      <c r="K314" s="22">
        <v>0</v>
      </c>
      <c r="L314" s="22">
        <f t="shared" si="129"/>
        <v>0</v>
      </c>
      <c r="M314" s="22">
        <v>0</v>
      </c>
      <c r="N314" s="22">
        <v>0</v>
      </c>
      <c r="O314" s="22">
        <v>0</v>
      </c>
      <c r="P314" s="22">
        <f t="shared" si="130"/>
        <v>0</v>
      </c>
      <c r="Q314" s="22">
        <v>0</v>
      </c>
      <c r="R314" s="22">
        <v>0</v>
      </c>
      <c r="S314" s="22">
        <v>0</v>
      </c>
      <c r="T314" s="22">
        <f t="shared" si="131"/>
        <v>0</v>
      </c>
    </row>
    <row r="315" spans="1:20" x14ac:dyDescent="0.35">
      <c r="A315" s="2">
        <v>38</v>
      </c>
      <c r="B315" s="121" t="s">
        <v>168</v>
      </c>
      <c r="C315" s="24" t="s">
        <v>4</v>
      </c>
      <c r="D315" s="24">
        <f t="shared" si="127"/>
        <v>76.409000000000006</v>
      </c>
      <c r="E315" s="22">
        <f>10185/1000</f>
        <v>10.185</v>
      </c>
      <c r="F315" s="22">
        <f>8488/1000</f>
        <v>8.4879999999999995</v>
      </c>
      <c r="G315" s="22">
        <f>6790/1000</f>
        <v>6.79</v>
      </c>
      <c r="H315" s="22">
        <f t="shared" si="128"/>
        <v>25.463000000000001</v>
      </c>
      <c r="I315" s="22">
        <f>8216/1000</f>
        <v>8.2159999999999993</v>
      </c>
      <c r="J315" s="22">
        <f>6868/1000</f>
        <v>6.8680000000000003</v>
      </c>
      <c r="K315" s="22">
        <f>4452/1000</f>
        <v>4.452</v>
      </c>
      <c r="L315" s="22">
        <f t="shared" si="129"/>
        <v>19.536000000000001</v>
      </c>
      <c r="M315" s="22">
        <f>6530/1000</f>
        <v>6.53</v>
      </c>
      <c r="N315" s="22">
        <f>6540/1000</f>
        <v>6.54</v>
      </c>
      <c r="O315" s="22">
        <f>4540/1000</f>
        <v>4.54</v>
      </c>
      <c r="P315" s="22">
        <f t="shared" si="130"/>
        <v>17.61</v>
      </c>
      <c r="Q315" s="22">
        <f>4240/1000</f>
        <v>4.24</v>
      </c>
      <c r="R315" s="22">
        <f>5260/1000</f>
        <v>5.26</v>
      </c>
      <c r="S315" s="22">
        <f>4300/1000</f>
        <v>4.3</v>
      </c>
      <c r="T315" s="22">
        <f t="shared" si="131"/>
        <v>13.8</v>
      </c>
    </row>
  </sheetData>
  <mergeCells count="4">
    <mergeCell ref="E3:T3"/>
    <mergeCell ref="D3:D4"/>
    <mergeCell ref="C3:C4"/>
    <mergeCell ref="B3:B5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AA7C-3FD8-47D0-8CE6-55CEFFF704E7}">
  <sheetPr codeName="Sheet2"/>
  <dimension ref="A1:T184"/>
  <sheetViews>
    <sheetView tabSelected="1" zoomScale="63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Q147" sqref="Q147:S184"/>
    </sheetView>
  </sheetViews>
  <sheetFormatPr defaultColWidth="8.81640625" defaultRowHeight="14.5" x14ac:dyDescent="0.35"/>
  <cols>
    <col min="1" max="1" width="5" customWidth="1"/>
    <col min="2" max="2" width="20.81640625" customWidth="1"/>
    <col min="4" max="4" width="13.453125" style="26" customWidth="1"/>
    <col min="5" max="5" width="11.7265625" style="26" bestFit="1" customWidth="1"/>
    <col min="6" max="6" width="12.81640625" style="26" bestFit="1" customWidth="1"/>
    <col min="7" max="7" width="11.36328125" bestFit="1" customWidth="1"/>
    <col min="8" max="8" width="12.7265625" customWidth="1"/>
    <col min="9" max="9" width="11.1796875" customWidth="1"/>
    <col min="10" max="10" width="14.6328125" customWidth="1"/>
    <col min="11" max="11" width="12.81640625" customWidth="1"/>
    <col min="12" max="13" width="13.453125" customWidth="1"/>
    <col min="14" max="14" width="12.453125" bestFit="1" customWidth="1"/>
    <col min="15" max="15" width="10.81640625" bestFit="1" customWidth="1"/>
    <col min="16" max="16" width="11.7265625" customWidth="1"/>
    <col min="17" max="17" width="12.7265625" bestFit="1" customWidth="1"/>
    <col min="18" max="18" width="11.54296875" bestFit="1" customWidth="1"/>
    <col min="19" max="19" width="14.7265625" bestFit="1" customWidth="1"/>
    <col min="20" max="20" width="11.54296875" bestFit="1" customWidth="1"/>
  </cols>
  <sheetData>
    <row r="1" spans="1:20" x14ac:dyDescent="0.35">
      <c r="A1" s="1" t="s">
        <v>68</v>
      </c>
    </row>
    <row r="3" spans="1:20" x14ac:dyDescent="0.35">
      <c r="B3" s="98" t="s">
        <v>39</v>
      </c>
      <c r="C3" s="98" t="s">
        <v>65</v>
      </c>
      <c r="D3" s="98" t="s">
        <v>26</v>
      </c>
      <c r="E3" s="100" t="s">
        <v>112</v>
      </c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2"/>
    </row>
    <row r="4" spans="1:20" x14ac:dyDescent="0.35">
      <c r="B4" s="98"/>
      <c r="C4" s="98"/>
      <c r="D4" s="98"/>
      <c r="E4" s="27" t="s">
        <v>113</v>
      </c>
      <c r="F4" s="27" t="s">
        <v>114</v>
      </c>
      <c r="G4" s="27" t="s">
        <v>115</v>
      </c>
      <c r="H4" s="28" t="s">
        <v>27</v>
      </c>
      <c r="I4" s="27" t="s">
        <v>55</v>
      </c>
      <c r="J4" s="27" t="s">
        <v>116</v>
      </c>
      <c r="K4" s="27" t="s">
        <v>117</v>
      </c>
      <c r="L4" s="28" t="s">
        <v>54</v>
      </c>
      <c r="M4" s="27" t="s">
        <v>118</v>
      </c>
      <c r="N4" s="27" t="s">
        <v>119</v>
      </c>
      <c r="O4" s="27" t="s">
        <v>56</v>
      </c>
      <c r="P4" s="28" t="s">
        <v>57</v>
      </c>
      <c r="Q4" s="27" t="s">
        <v>120</v>
      </c>
      <c r="R4" s="27" t="s">
        <v>58</v>
      </c>
      <c r="S4" s="27" t="s">
        <v>121</v>
      </c>
      <c r="T4" s="28" t="s">
        <v>59</v>
      </c>
    </row>
    <row r="5" spans="1:20" x14ac:dyDescent="0.35">
      <c r="B5" s="98"/>
      <c r="C5" s="30" t="s">
        <v>66</v>
      </c>
      <c r="D5" s="30">
        <f>SUM(D6:D8)</f>
        <v>607343.9058999999</v>
      </c>
      <c r="E5" s="37">
        <f>SUM(E6:E8)</f>
        <v>44320.111000000004</v>
      </c>
      <c r="F5" s="28">
        <f t="shared" ref="F5:G5" si="0">SUM(F6:F8)</f>
        <v>37536.034</v>
      </c>
      <c r="G5" s="28">
        <f t="shared" si="0"/>
        <v>41768.325000000004</v>
      </c>
      <c r="H5" s="28">
        <f>SUM(E5:G5)</f>
        <v>123624.47</v>
      </c>
      <c r="I5" s="28">
        <f>SUM(I6:I8)</f>
        <v>47007.972999999998</v>
      </c>
      <c r="J5" s="28">
        <f t="shared" ref="J5" si="1">SUM(J6:J8)</f>
        <v>52953.86299999999</v>
      </c>
      <c r="K5" s="28">
        <f>SUM(K6:K8)</f>
        <v>50700.555999999997</v>
      </c>
      <c r="L5" s="28">
        <f>SUM(I5:K5)</f>
        <v>150662.39199999999</v>
      </c>
      <c r="M5" s="28">
        <f>SUM(M6:M8)</f>
        <v>61473.012999999999</v>
      </c>
      <c r="N5" s="28">
        <f t="shared" ref="N5" si="2">SUM(N6:N8)</f>
        <v>57456.030000000006</v>
      </c>
      <c r="O5" s="28">
        <f t="shared" ref="O5" si="3">SUM(O6:O8)</f>
        <v>63027.588000000003</v>
      </c>
      <c r="P5" s="28">
        <f>SUM(M5:O5)</f>
        <v>181956.63099999999</v>
      </c>
      <c r="Q5" s="28">
        <f>SUM(Q6:Q8)</f>
        <v>56439.268999999993</v>
      </c>
      <c r="R5" s="28">
        <f t="shared" ref="R5" si="4">SUM(R6:R8)</f>
        <v>50806.881999999998</v>
      </c>
      <c r="S5" s="28">
        <f t="shared" ref="S5" si="5">SUM(S6:S8)</f>
        <v>43854.261899999998</v>
      </c>
      <c r="T5" s="28">
        <f>SUM(Q5:S5)</f>
        <v>151100.4129</v>
      </c>
    </row>
    <row r="6" spans="1:20" x14ac:dyDescent="0.35">
      <c r="B6" s="56" t="s">
        <v>69</v>
      </c>
      <c r="C6" s="24" t="s">
        <v>4</v>
      </c>
      <c r="D6" s="22">
        <f>SUM(H6,L6,P6,T6)</f>
        <v>391334.20799999998</v>
      </c>
      <c r="E6" s="22">
        <f>E58</f>
        <v>29152.745999999999</v>
      </c>
      <c r="F6" s="22">
        <f t="shared" ref="F6:S6" si="6">F58</f>
        <v>26940.293000000001</v>
      </c>
      <c r="G6" s="22">
        <f t="shared" si="6"/>
        <v>26650.341</v>
      </c>
      <c r="H6" s="28">
        <f t="shared" ref="H6:H7" si="7">SUM(E6:G6)</f>
        <v>82743.38</v>
      </c>
      <c r="I6" s="22">
        <f t="shared" si="6"/>
        <v>32706.071999999996</v>
      </c>
      <c r="J6" s="22">
        <f t="shared" si="6"/>
        <v>35177.114999999998</v>
      </c>
      <c r="K6" s="22">
        <f t="shared" si="6"/>
        <v>34135.074999999997</v>
      </c>
      <c r="L6" s="28">
        <f t="shared" ref="L6:L7" si="8">SUM(I6:K6)</f>
        <v>102018.26199999999</v>
      </c>
      <c r="M6" s="22">
        <f t="shared" si="6"/>
        <v>36065.858999999997</v>
      </c>
      <c r="N6" s="22">
        <f t="shared" si="6"/>
        <v>36701.989000000001</v>
      </c>
      <c r="O6" s="22">
        <f t="shared" si="6"/>
        <v>40121.112000000008</v>
      </c>
      <c r="P6" s="28">
        <f t="shared" ref="P6:P8" si="9">SUM(M6:O6)</f>
        <v>112888.96000000001</v>
      </c>
      <c r="Q6" s="22">
        <f t="shared" si="6"/>
        <v>35223.212999999996</v>
      </c>
      <c r="R6" s="22">
        <f t="shared" si="6"/>
        <v>31009.543999999998</v>
      </c>
      <c r="S6" s="22">
        <f t="shared" si="6"/>
        <v>27450.848999999998</v>
      </c>
      <c r="T6" s="28">
        <f t="shared" ref="T6:T8" si="10">SUM(Q6:S6)</f>
        <v>93683.606</v>
      </c>
    </row>
    <row r="7" spans="1:20" x14ac:dyDescent="0.35">
      <c r="B7" s="56" t="s">
        <v>70</v>
      </c>
      <c r="C7" s="24" t="s">
        <v>4</v>
      </c>
      <c r="D7" s="22">
        <f t="shared" ref="D7:D8" si="11">SUM(H7,L7,P7,T7)</f>
        <v>202034.42689999999</v>
      </c>
      <c r="E7" s="22">
        <f>E102</f>
        <v>14042.054</v>
      </c>
      <c r="F7" s="22">
        <f t="shared" ref="F7:S7" si="12">F102</f>
        <v>9371.009</v>
      </c>
      <c r="G7" s="22">
        <f t="shared" si="12"/>
        <v>13805.294000000004</v>
      </c>
      <c r="H7" s="28">
        <f t="shared" si="7"/>
        <v>37218.357000000004</v>
      </c>
      <c r="I7" s="22">
        <f t="shared" si="12"/>
        <v>13032.606000000003</v>
      </c>
      <c r="J7" s="22">
        <f t="shared" si="12"/>
        <v>16472.469999999998</v>
      </c>
      <c r="K7" s="22">
        <f t="shared" si="12"/>
        <v>15372.703000000001</v>
      </c>
      <c r="L7" s="28">
        <f t="shared" si="8"/>
        <v>44877.779000000002</v>
      </c>
      <c r="M7" s="22">
        <f t="shared" si="12"/>
        <v>24345.190000000002</v>
      </c>
      <c r="N7" s="22">
        <f t="shared" si="12"/>
        <v>19641.811000000002</v>
      </c>
      <c r="O7" s="22">
        <f t="shared" si="12"/>
        <v>21784.06</v>
      </c>
      <c r="P7" s="28">
        <f t="shared" si="9"/>
        <v>65771.061000000002</v>
      </c>
      <c r="Q7" s="22">
        <f t="shared" si="12"/>
        <v>20107.095999999998</v>
      </c>
      <c r="R7" s="22">
        <f t="shared" si="12"/>
        <v>18712.018</v>
      </c>
      <c r="S7" s="22">
        <f t="shared" si="12"/>
        <v>15348.115900000001</v>
      </c>
      <c r="T7" s="28">
        <f t="shared" si="10"/>
        <v>54167.229900000006</v>
      </c>
    </row>
    <row r="8" spans="1:20" x14ac:dyDescent="0.35">
      <c r="B8" s="56" t="s">
        <v>71</v>
      </c>
      <c r="C8" s="24" t="s">
        <v>4</v>
      </c>
      <c r="D8" s="22">
        <f t="shared" si="11"/>
        <v>13975.270999999999</v>
      </c>
      <c r="E8" s="22">
        <f>E146</f>
        <v>1125.3110000000001</v>
      </c>
      <c r="F8" s="22">
        <f t="shared" ref="F8:S8" si="13">F146</f>
        <v>1224.732</v>
      </c>
      <c r="G8" s="22">
        <f t="shared" si="13"/>
        <v>1312.69</v>
      </c>
      <c r="H8" s="22">
        <f t="shared" si="13"/>
        <v>3662.7330000000002</v>
      </c>
      <c r="I8" s="22">
        <f t="shared" si="13"/>
        <v>1269.2949999999998</v>
      </c>
      <c r="J8" s="22">
        <f t="shared" si="13"/>
        <v>1304.278</v>
      </c>
      <c r="K8" s="22">
        <f t="shared" si="13"/>
        <v>1192.7779999999998</v>
      </c>
      <c r="L8" s="28">
        <f>SUM(I8:K8)</f>
        <v>3766.3509999999997</v>
      </c>
      <c r="M8" s="22">
        <f t="shared" si="13"/>
        <v>1061.9639999999999</v>
      </c>
      <c r="N8" s="22">
        <f t="shared" si="13"/>
        <v>1112.2299999999998</v>
      </c>
      <c r="O8" s="22">
        <f t="shared" si="13"/>
        <v>1122.4160000000002</v>
      </c>
      <c r="P8" s="28">
        <f t="shared" si="9"/>
        <v>3296.6099999999997</v>
      </c>
      <c r="Q8" s="22">
        <f t="shared" si="13"/>
        <v>1108.96</v>
      </c>
      <c r="R8" s="22">
        <f t="shared" si="13"/>
        <v>1085.3199999999997</v>
      </c>
      <c r="S8" s="22">
        <f t="shared" si="13"/>
        <v>1055.297</v>
      </c>
      <c r="T8" s="28">
        <f t="shared" si="10"/>
        <v>3249.5769999999998</v>
      </c>
    </row>
    <row r="11" spans="1:20" x14ac:dyDescent="0.35">
      <c r="A11" s="1" t="s">
        <v>72</v>
      </c>
      <c r="B11" s="1"/>
    </row>
    <row r="12" spans="1:20" ht="15.5" x14ac:dyDescent="0.35">
      <c r="A12" s="10" t="s">
        <v>0</v>
      </c>
      <c r="B12" s="10" t="s">
        <v>1</v>
      </c>
      <c r="C12" s="10" t="s">
        <v>2</v>
      </c>
      <c r="D12" s="31" t="s">
        <v>67</v>
      </c>
      <c r="E12" s="27" t="s">
        <v>113</v>
      </c>
      <c r="F12" s="27" t="s">
        <v>114</v>
      </c>
      <c r="G12" s="27" t="s">
        <v>115</v>
      </c>
      <c r="H12" s="28" t="s">
        <v>27</v>
      </c>
      <c r="I12" s="27" t="s">
        <v>55</v>
      </c>
      <c r="J12" s="27" t="s">
        <v>116</v>
      </c>
      <c r="K12" s="27" t="s">
        <v>117</v>
      </c>
      <c r="L12" s="28" t="s">
        <v>54</v>
      </c>
      <c r="M12" s="27" t="s">
        <v>118</v>
      </c>
      <c r="N12" s="27" t="s">
        <v>119</v>
      </c>
      <c r="O12" s="27" t="s">
        <v>56</v>
      </c>
      <c r="P12" s="28" t="s">
        <v>57</v>
      </c>
      <c r="Q12" s="27" t="s">
        <v>120</v>
      </c>
      <c r="R12" s="27" t="s">
        <v>58</v>
      </c>
      <c r="S12" s="27" t="s">
        <v>121</v>
      </c>
      <c r="T12" s="28" t="s">
        <v>59</v>
      </c>
    </row>
    <row r="13" spans="1:20" ht="15.5" x14ac:dyDescent="0.35">
      <c r="A13" s="12"/>
      <c r="B13" s="12"/>
      <c r="C13" s="12"/>
      <c r="D13" s="32"/>
      <c r="E13" s="29"/>
      <c r="F13" s="29"/>
      <c r="G13" s="13"/>
      <c r="H13" s="9"/>
      <c r="I13" s="13"/>
      <c r="J13" s="13"/>
      <c r="K13" s="13"/>
      <c r="L13" s="9"/>
      <c r="M13" s="13"/>
      <c r="N13" s="13"/>
      <c r="O13" s="13"/>
      <c r="P13" s="9"/>
      <c r="Q13" s="13"/>
      <c r="R13" s="13"/>
      <c r="S13" s="13"/>
      <c r="T13" s="9"/>
    </row>
    <row r="14" spans="1:20" x14ac:dyDescent="0.35">
      <c r="A14" s="45"/>
      <c r="B14" s="33" t="s">
        <v>26</v>
      </c>
      <c r="C14" s="33" t="s">
        <v>4</v>
      </c>
      <c r="D14" s="33">
        <f>SUM(D15:D52)</f>
        <v>607343.90590000013</v>
      </c>
      <c r="E14" s="84">
        <f>SUM(E15:E52)</f>
        <v>44320.110999999997</v>
      </c>
      <c r="F14" s="84">
        <f>SUM(F15:F52)</f>
        <v>37536.034000000014</v>
      </c>
      <c r="G14" s="84">
        <f t="shared" ref="G14" si="14">SUM(G15:G52)</f>
        <v>41768.325000000012</v>
      </c>
      <c r="H14" s="84">
        <f>SUM(E14:G14)</f>
        <v>123624.47000000003</v>
      </c>
      <c r="I14" s="84">
        <f>SUM(I15:I52)</f>
        <v>47007.973000000005</v>
      </c>
      <c r="J14" s="84">
        <f>SUM(J15:J52)</f>
        <v>52953.86299999999</v>
      </c>
      <c r="K14" s="84">
        <f>SUM(K15:K52)</f>
        <v>50700.556000000011</v>
      </c>
      <c r="L14" s="84">
        <f>SUM(I14:K14)</f>
        <v>150662.39199999999</v>
      </c>
      <c r="M14" s="84">
        <f>SUM(M15:M52)</f>
        <v>61473.012999999992</v>
      </c>
      <c r="N14" s="84">
        <f>SUM(N15:N52)</f>
        <v>57456.030000000006</v>
      </c>
      <c r="O14" s="84">
        <f>SUM(O15:O52)</f>
        <v>63027.588000000003</v>
      </c>
      <c r="P14" s="84">
        <f>SUM(M14:O14)</f>
        <v>181956.63099999999</v>
      </c>
      <c r="Q14" s="84">
        <f>SUM(Q15:Q52)</f>
        <v>56439.268999999971</v>
      </c>
      <c r="R14" s="84">
        <f>SUM(R15:R52)</f>
        <v>50806.881999999983</v>
      </c>
      <c r="S14" s="84">
        <f>SUM(S15:S52)</f>
        <v>43854.261900000005</v>
      </c>
      <c r="T14" s="84">
        <f>SUM(Q14:S14)</f>
        <v>151100.41289999997</v>
      </c>
    </row>
    <row r="15" spans="1:20" x14ac:dyDescent="0.35">
      <c r="A15" s="2">
        <v>1</v>
      </c>
      <c r="B15" s="48" t="s">
        <v>3</v>
      </c>
      <c r="C15" s="24" t="s">
        <v>4</v>
      </c>
      <c r="D15" s="24">
        <f>SUM(H15,L15,P15,T15)</f>
        <v>14658.785</v>
      </c>
      <c r="E15" s="22">
        <f>SUM(E59,E103,E147)</f>
        <v>468.36700000000002</v>
      </c>
      <c r="F15" s="22">
        <f>SUM(F59,F103,F147)</f>
        <v>478.54599999999999</v>
      </c>
      <c r="G15" s="22">
        <f>SUM(G59,G103,G147)</f>
        <v>696.58199999999988</v>
      </c>
      <c r="H15" s="22">
        <f>SUM(E15:G15)</f>
        <v>1643.4949999999999</v>
      </c>
      <c r="I15" s="22">
        <f>SUM(I59,I103,I147)</f>
        <v>1041.71</v>
      </c>
      <c r="J15" s="22">
        <f>SUM(J59,J103,J147)</f>
        <v>1461.211</v>
      </c>
      <c r="K15" s="22">
        <f>SUM(K59,K103,K147)</f>
        <v>1720.2279999999998</v>
      </c>
      <c r="L15" s="22">
        <f>SUM(I15:K15)</f>
        <v>4223.1490000000003</v>
      </c>
      <c r="M15" s="22">
        <f>SUM(M59,M103,M147)</f>
        <v>1773.7560000000001</v>
      </c>
      <c r="N15" s="22">
        <f>SUM(N59,N103,N147)</f>
        <v>2503.6609999999996</v>
      </c>
      <c r="O15" s="22">
        <f>SUM(O59,O103,O147)</f>
        <v>1813.6939999999997</v>
      </c>
      <c r="P15" s="22">
        <f>SUM(M15:O15)</f>
        <v>6091.110999999999</v>
      </c>
      <c r="Q15" s="22">
        <f>SUM(Q59,Q103,Q147)</f>
        <v>1188.943</v>
      </c>
      <c r="R15" s="22">
        <f>SUM(R59,R103,R147)</f>
        <v>736.39400000000001</v>
      </c>
      <c r="S15" s="22">
        <f t="shared" ref="S15" si="15">SUM(S59,S103,S147)</f>
        <v>775.69299999999987</v>
      </c>
      <c r="T15" s="22">
        <f>SUM(Q15:S15)</f>
        <v>2701.0299999999997</v>
      </c>
    </row>
    <row r="16" spans="1:20" x14ac:dyDescent="0.35">
      <c r="A16" s="2">
        <f t="shared" ref="A16:A36" si="16">A15+1</f>
        <v>2</v>
      </c>
      <c r="B16" s="48" t="s">
        <v>28</v>
      </c>
      <c r="C16" s="24" t="s">
        <v>4</v>
      </c>
      <c r="D16" s="24">
        <f t="shared" ref="D16:D52" si="17">SUM(H16,L16,P16,T16)</f>
        <v>11963.11</v>
      </c>
      <c r="E16" s="22">
        <f t="shared" ref="E16:G52" si="18">SUM(E60,E104,E148)</f>
        <v>252.72</v>
      </c>
      <c r="F16" s="22">
        <f t="shared" si="18"/>
        <v>100.49</v>
      </c>
      <c r="G16" s="22">
        <f t="shared" si="18"/>
        <v>600.21</v>
      </c>
      <c r="H16" s="22">
        <f t="shared" ref="H16:H52" si="19">SUM(E16:G16)</f>
        <v>953.42000000000007</v>
      </c>
      <c r="I16" s="22">
        <f t="shared" ref="I16:K52" si="20">SUM(I60,I104,I148)</f>
        <v>1404.96</v>
      </c>
      <c r="J16" s="22">
        <f t="shared" si="20"/>
        <v>701.46999999999991</v>
      </c>
      <c r="K16" s="22">
        <f t="shared" si="20"/>
        <v>377.96000000000004</v>
      </c>
      <c r="L16" s="22">
        <f t="shared" ref="L16:L35" si="21">SUM(I16:K16)</f>
        <v>2484.39</v>
      </c>
      <c r="M16" s="22">
        <f t="shared" ref="M16:O52" si="22">SUM(M60,M104,M148)</f>
        <v>4040.57</v>
      </c>
      <c r="N16" s="22">
        <f t="shared" si="22"/>
        <v>1162.73</v>
      </c>
      <c r="O16" s="22">
        <f t="shared" si="22"/>
        <v>2008.71</v>
      </c>
      <c r="P16" s="22">
        <f t="shared" ref="P16:P52" si="23">SUM(M16:O16)</f>
        <v>7212.01</v>
      </c>
      <c r="Q16" s="22">
        <f t="shared" ref="Q16:S52" si="24">SUM(Q60,Q104,Q148)</f>
        <v>981.62</v>
      </c>
      <c r="R16" s="22">
        <f t="shared" si="24"/>
        <v>208.48000000000002</v>
      </c>
      <c r="S16" s="22">
        <f t="shared" si="24"/>
        <v>123.19000000000001</v>
      </c>
      <c r="T16" s="22">
        <f t="shared" ref="T16:T52" si="25">SUM(Q16:S16)</f>
        <v>1313.29</v>
      </c>
    </row>
    <row r="17" spans="1:20" x14ac:dyDescent="0.35">
      <c r="A17" s="2">
        <f t="shared" si="16"/>
        <v>3</v>
      </c>
      <c r="B17" s="48" t="s">
        <v>5</v>
      </c>
      <c r="C17" s="24" t="s">
        <v>4</v>
      </c>
      <c r="D17" s="24">
        <f t="shared" si="17"/>
        <v>7422.0439999999999</v>
      </c>
      <c r="E17" s="22">
        <f t="shared" si="18"/>
        <v>348.495</v>
      </c>
      <c r="F17" s="22">
        <f t="shared" si="18"/>
        <v>248.09300000000002</v>
      </c>
      <c r="G17" s="22">
        <f t="shared" si="18"/>
        <v>363.85899999999998</v>
      </c>
      <c r="H17" s="22">
        <f t="shared" si="19"/>
        <v>960.44699999999989</v>
      </c>
      <c r="I17" s="22">
        <f t="shared" si="20"/>
        <v>431.18200000000002</v>
      </c>
      <c r="J17" s="22">
        <f t="shared" si="20"/>
        <v>561.98199999999997</v>
      </c>
      <c r="K17" s="22">
        <f t="shared" si="20"/>
        <v>537.93700000000001</v>
      </c>
      <c r="L17" s="22">
        <f t="shared" si="21"/>
        <v>1531.1010000000001</v>
      </c>
      <c r="M17" s="22">
        <f t="shared" si="22"/>
        <v>1232.2819999999999</v>
      </c>
      <c r="N17" s="22">
        <f t="shared" si="22"/>
        <v>936.30400000000009</v>
      </c>
      <c r="O17" s="22">
        <f t="shared" si="22"/>
        <v>1012.475</v>
      </c>
      <c r="P17" s="22">
        <f t="shared" si="23"/>
        <v>3181.0610000000001</v>
      </c>
      <c r="Q17" s="22">
        <f t="shared" si="24"/>
        <v>866.00300000000004</v>
      </c>
      <c r="R17" s="22">
        <f t="shared" si="24"/>
        <v>439.79400000000004</v>
      </c>
      <c r="S17" s="22">
        <f t="shared" si="24"/>
        <v>443.63799999999998</v>
      </c>
      <c r="T17" s="22">
        <f t="shared" si="25"/>
        <v>1749.4349999999999</v>
      </c>
    </row>
    <row r="18" spans="1:20" x14ac:dyDescent="0.35">
      <c r="A18" s="2">
        <f t="shared" si="16"/>
        <v>4</v>
      </c>
      <c r="B18" s="48" t="s">
        <v>6</v>
      </c>
      <c r="C18" s="24" t="s">
        <v>4</v>
      </c>
      <c r="D18" s="24">
        <f t="shared" si="17"/>
        <v>13924.346999999998</v>
      </c>
      <c r="E18" s="22">
        <f t="shared" si="18"/>
        <v>1491.1859999999999</v>
      </c>
      <c r="F18" s="22">
        <f t="shared" si="18"/>
        <v>1081.316</v>
      </c>
      <c r="G18" s="22">
        <f t="shared" si="18"/>
        <v>810.22</v>
      </c>
      <c r="H18" s="22">
        <f t="shared" si="19"/>
        <v>3382.7219999999998</v>
      </c>
      <c r="I18" s="22">
        <f t="shared" si="20"/>
        <v>853.52</v>
      </c>
      <c r="J18" s="22">
        <f t="shared" si="20"/>
        <v>1302.5160000000001</v>
      </c>
      <c r="K18" s="22">
        <f t="shared" si="20"/>
        <v>1144.49</v>
      </c>
      <c r="L18" s="22">
        <f t="shared" si="21"/>
        <v>3300.5259999999998</v>
      </c>
      <c r="M18" s="22">
        <f t="shared" si="22"/>
        <v>1323.874</v>
      </c>
      <c r="N18" s="22">
        <f t="shared" si="22"/>
        <v>1478.2139999999999</v>
      </c>
      <c r="O18" s="22">
        <f t="shared" si="22"/>
        <v>1154.7570000000001</v>
      </c>
      <c r="P18" s="22">
        <f t="shared" si="23"/>
        <v>3956.8449999999998</v>
      </c>
      <c r="Q18" s="22">
        <f t="shared" si="24"/>
        <v>1497.153</v>
      </c>
      <c r="R18" s="22">
        <f t="shared" si="24"/>
        <v>886.00599999999997</v>
      </c>
      <c r="S18" s="22">
        <f t="shared" si="24"/>
        <v>901.09500000000003</v>
      </c>
      <c r="T18" s="22">
        <f t="shared" si="25"/>
        <v>3284.2539999999999</v>
      </c>
    </row>
    <row r="19" spans="1:20" x14ac:dyDescent="0.35">
      <c r="A19" s="2">
        <f t="shared" si="16"/>
        <v>5</v>
      </c>
      <c r="B19" s="48" t="s">
        <v>7</v>
      </c>
      <c r="C19" s="24" t="s">
        <v>4</v>
      </c>
      <c r="D19" s="24">
        <f t="shared" si="17"/>
        <v>3828.2420000000002</v>
      </c>
      <c r="E19" s="22">
        <f t="shared" si="18"/>
        <v>151.41</v>
      </c>
      <c r="F19" s="22">
        <f t="shared" ref="F19:G19" si="26">SUM(F63,F107,F151)</f>
        <v>159.95599999999999</v>
      </c>
      <c r="G19" s="22">
        <f t="shared" si="26"/>
        <v>122.509</v>
      </c>
      <c r="H19" s="22">
        <f t="shared" si="19"/>
        <v>433.875</v>
      </c>
      <c r="I19" s="22">
        <f t="shared" si="20"/>
        <v>264.77500000000003</v>
      </c>
      <c r="J19" s="22">
        <f t="shared" si="20"/>
        <v>176.05199999999999</v>
      </c>
      <c r="K19" s="22">
        <f t="shared" si="20"/>
        <v>208.29</v>
      </c>
      <c r="L19" s="22">
        <f t="shared" si="21"/>
        <v>649.11699999999996</v>
      </c>
      <c r="M19" s="22">
        <f t="shared" si="22"/>
        <v>541.34</v>
      </c>
      <c r="N19" s="22">
        <f t="shared" si="22"/>
        <v>497.01</v>
      </c>
      <c r="O19" s="22">
        <f t="shared" si="22"/>
        <v>419.95</v>
      </c>
      <c r="P19" s="22">
        <f t="shared" si="23"/>
        <v>1458.3</v>
      </c>
      <c r="Q19" s="22">
        <f t="shared" si="24"/>
        <v>444.4</v>
      </c>
      <c r="R19" s="22">
        <f t="shared" si="24"/>
        <v>460.75</v>
      </c>
      <c r="S19" s="22">
        <f t="shared" si="24"/>
        <v>381.8</v>
      </c>
      <c r="T19" s="22">
        <f t="shared" si="25"/>
        <v>1286.95</v>
      </c>
    </row>
    <row r="20" spans="1:20" x14ac:dyDescent="0.35">
      <c r="A20" s="2">
        <f t="shared" si="16"/>
        <v>6</v>
      </c>
      <c r="B20" s="48" t="s">
        <v>29</v>
      </c>
      <c r="C20" s="24" t="s">
        <v>4</v>
      </c>
      <c r="D20" s="24">
        <f t="shared" si="17"/>
        <v>17331.796999999999</v>
      </c>
      <c r="E20" s="22">
        <f t="shared" si="18"/>
        <v>50.207000000000001</v>
      </c>
      <c r="F20" s="22">
        <f t="shared" ref="F20:G21" si="27">SUM(F64,F108,F152)</f>
        <v>769.07600000000002</v>
      </c>
      <c r="G20" s="22">
        <f t="shared" si="27"/>
        <v>1581.1420000000001</v>
      </c>
      <c r="H20" s="22">
        <f t="shared" si="19"/>
        <v>2400.4250000000002</v>
      </c>
      <c r="I20" s="22">
        <f t="shared" si="20"/>
        <v>1539.2940000000001</v>
      </c>
      <c r="J20" s="22">
        <f t="shared" si="20"/>
        <v>1956.511</v>
      </c>
      <c r="K20" s="22">
        <f t="shared" si="20"/>
        <v>2481.357</v>
      </c>
      <c r="L20" s="22">
        <f t="shared" si="21"/>
        <v>5977.1620000000003</v>
      </c>
      <c r="M20" s="22">
        <f t="shared" si="22"/>
        <v>2507.17</v>
      </c>
      <c r="N20" s="22">
        <f t="shared" si="22"/>
        <v>1927.09</v>
      </c>
      <c r="O20" s="22">
        <f t="shared" si="22"/>
        <v>1607.21</v>
      </c>
      <c r="P20" s="22">
        <f t="shared" si="23"/>
        <v>6041.47</v>
      </c>
      <c r="Q20" s="22">
        <f t="shared" si="24"/>
        <v>1206.95</v>
      </c>
      <c r="R20" s="22">
        <f t="shared" si="24"/>
        <v>998.55</v>
      </c>
      <c r="S20" s="22">
        <f t="shared" si="24"/>
        <v>707.24</v>
      </c>
      <c r="T20" s="22">
        <f t="shared" si="25"/>
        <v>2912.74</v>
      </c>
    </row>
    <row r="21" spans="1:20" x14ac:dyDescent="0.35">
      <c r="A21" s="2">
        <f t="shared" si="16"/>
        <v>7</v>
      </c>
      <c r="B21" s="48" t="s">
        <v>8</v>
      </c>
      <c r="C21" s="24" t="s">
        <v>4</v>
      </c>
      <c r="D21" s="24">
        <f t="shared" si="17"/>
        <v>15567.705000000002</v>
      </c>
      <c r="E21" s="22">
        <f t="shared" si="18"/>
        <v>1421.461</v>
      </c>
      <c r="F21" s="22">
        <f t="shared" si="27"/>
        <v>900.702</v>
      </c>
      <c r="G21" s="22">
        <f t="shared" si="27"/>
        <v>1668.587</v>
      </c>
      <c r="H21" s="22">
        <f t="shared" si="19"/>
        <v>3990.75</v>
      </c>
      <c r="I21" s="22">
        <f t="shared" si="20"/>
        <v>1481.0070000000001</v>
      </c>
      <c r="J21" s="22">
        <f t="shared" si="20"/>
        <v>1576.4359999999999</v>
      </c>
      <c r="K21" s="22">
        <f t="shared" si="20"/>
        <v>1681.5329999999999</v>
      </c>
      <c r="L21" s="22">
        <f t="shared" si="21"/>
        <v>4738.9760000000006</v>
      </c>
      <c r="M21" s="22">
        <f t="shared" si="22"/>
        <v>1885.309</v>
      </c>
      <c r="N21" s="22">
        <f t="shared" si="22"/>
        <v>1677.105</v>
      </c>
      <c r="O21" s="22">
        <f t="shared" si="22"/>
        <v>1104.569</v>
      </c>
      <c r="P21" s="22">
        <f t="shared" si="23"/>
        <v>4666.9830000000002</v>
      </c>
      <c r="Q21" s="22">
        <f t="shared" si="24"/>
        <v>821.93399999999997</v>
      </c>
      <c r="R21" s="22">
        <f t="shared" si="24"/>
        <v>735.44299999999998</v>
      </c>
      <c r="S21" s="22">
        <f t="shared" si="24"/>
        <v>613.61900000000003</v>
      </c>
      <c r="T21" s="22">
        <f t="shared" si="25"/>
        <v>2170.9960000000001</v>
      </c>
    </row>
    <row r="22" spans="1:20" x14ac:dyDescent="0.35">
      <c r="A22" s="2">
        <f t="shared" si="16"/>
        <v>8</v>
      </c>
      <c r="B22" s="48" t="s">
        <v>9</v>
      </c>
      <c r="C22" s="24" t="s">
        <v>4</v>
      </c>
      <c r="D22" s="24">
        <f t="shared" si="17"/>
        <v>11540.541000000001</v>
      </c>
      <c r="E22" s="22">
        <f t="shared" si="18"/>
        <v>585.77099999999996</v>
      </c>
      <c r="F22" s="22">
        <f t="shared" ref="F22:G23" si="28">SUM(F66,F110,F154)</f>
        <v>596.43299999999999</v>
      </c>
      <c r="G22" s="22">
        <f t="shared" si="28"/>
        <v>720.12400000000002</v>
      </c>
      <c r="H22" s="22">
        <f t="shared" si="19"/>
        <v>1902.328</v>
      </c>
      <c r="I22" s="22">
        <f t="shared" si="20"/>
        <v>410.51299999999998</v>
      </c>
      <c r="J22" s="22">
        <f t="shared" si="20"/>
        <v>432.80899999999997</v>
      </c>
      <c r="K22" s="22">
        <f t="shared" si="20"/>
        <v>1114.1179999999999</v>
      </c>
      <c r="L22" s="22">
        <f t="shared" si="21"/>
        <v>1957.4399999999998</v>
      </c>
      <c r="M22" s="22">
        <f t="shared" si="22"/>
        <v>1594.442</v>
      </c>
      <c r="N22" s="22">
        <f t="shared" si="22"/>
        <v>1508.22</v>
      </c>
      <c r="O22" s="22">
        <f t="shared" si="22"/>
        <v>1453.8790000000001</v>
      </c>
      <c r="P22" s="22">
        <f t="shared" si="23"/>
        <v>4556.5410000000002</v>
      </c>
      <c r="Q22" s="22">
        <f t="shared" si="24"/>
        <v>1048.8319999999999</v>
      </c>
      <c r="R22" s="22">
        <f t="shared" si="24"/>
        <v>1051.8</v>
      </c>
      <c r="S22" s="22">
        <f t="shared" si="24"/>
        <v>1023.6</v>
      </c>
      <c r="T22" s="22">
        <f t="shared" si="25"/>
        <v>3124.2319999999995</v>
      </c>
    </row>
    <row r="23" spans="1:20" x14ac:dyDescent="0.35">
      <c r="A23" s="2">
        <f t="shared" si="16"/>
        <v>9</v>
      </c>
      <c r="B23" s="48" t="s">
        <v>10</v>
      </c>
      <c r="C23" s="24" t="s">
        <v>4</v>
      </c>
      <c r="D23" s="24">
        <f t="shared" si="17"/>
        <v>19172.523000000001</v>
      </c>
      <c r="E23" s="22">
        <f t="shared" si="18"/>
        <v>325.37</v>
      </c>
      <c r="F23" s="22">
        <f t="shared" si="28"/>
        <v>284.2</v>
      </c>
      <c r="G23" s="22">
        <f t="shared" si="28"/>
        <v>458.77</v>
      </c>
      <c r="H23" s="22">
        <f t="shared" si="19"/>
        <v>1068.3399999999999</v>
      </c>
      <c r="I23" s="22">
        <f t="shared" si="20"/>
        <v>494.01</v>
      </c>
      <c r="J23" s="22">
        <f t="shared" si="20"/>
        <v>714.85</v>
      </c>
      <c r="K23" s="22">
        <f t="shared" si="20"/>
        <v>1292.3399999999999</v>
      </c>
      <c r="L23" s="22">
        <f t="shared" si="21"/>
        <v>2501.1999999999998</v>
      </c>
      <c r="M23" s="22">
        <f t="shared" si="22"/>
        <v>1888.56</v>
      </c>
      <c r="N23" s="22">
        <f t="shared" si="22"/>
        <v>2732.96</v>
      </c>
      <c r="O23" s="22">
        <f t="shared" si="22"/>
        <v>3332.9500000000003</v>
      </c>
      <c r="P23" s="22">
        <f t="shared" si="23"/>
        <v>7954.4700000000012</v>
      </c>
      <c r="Q23" s="22">
        <f t="shared" si="24"/>
        <v>2897.1</v>
      </c>
      <c r="R23" s="22">
        <f t="shared" si="24"/>
        <v>2712.11</v>
      </c>
      <c r="S23" s="22">
        <f t="shared" si="24"/>
        <v>2039.3029999999999</v>
      </c>
      <c r="T23" s="22">
        <f t="shared" si="25"/>
        <v>7648.5129999999999</v>
      </c>
    </row>
    <row r="24" spans="1:20" x14ac:dyDescent="0.35">
      <c r="A24" s="2">
        <f t="shared" si="16"/>
        <v>10</v>
      </c>
      <c r="B24" s="48" t="s">
        <v>11</v>
      </c>
      <c r="C24" s="24" t="s">
        <v>4</v>
      </c>
      <c r="D24" s="24">
        <f t="shared" si="17"/>
        <v>72382.492999999988</v>
      </c>
      <c r="E24" s="22">
        <f t="shared" si="18"/>
        <v>6865.7110000000002</v>
      </c>
      <c r="F24" s="22">
        <f t="shared" ref="F24:G24" si="29">SUM(F68,F112,F156)</f>
        <v>4667.9120000000003</v>
      </c>
      <c r="G24" s="22">
        <f t="shared" si="29"/>
        <v>3880.9119999999998</v>
      </c>
      <c r="H24" s="22">
        <f t="shared" si="19"/>
        <v>15414.535</v>
      </c>
      <c r="I24" s="22">
        <f t="shared" si="20"/>
        <v>5304.8139999999994</v>
      </c>
      <c r="J24" s="22">
        <f t="shared" si="20"/>
        <v>5875.2119999999995</v>
      </c>
      <c r="K24" s="22">
        <f t="shared" si="20"/>
        <v>6421.6170000000002</v>
      </c>
      <c r="L24" s="22">
        <f t="shared" si="21"/>
        <v>17601.642999999996</v>
      </c>
      <c r="M24" s="22">
        <f t="shared" si="22"/>
        <v>6700.4189999999999</v>
      </c>
      <c r="N24" s="22">
        <f t="shared" si="22"/>
        <v>4807.8189999999995</v>
      </c>
      <c r="O24" s="22">
        <f t="shared" si="22"/>
        <v>5402.9169999999995</v>
      </c>
      <c r="P24" s="22">
        <f t="shared" si="23"/>
        <v>16911.154999999999</v>
      </c>
      <c r="Q24" s="22">
        <f t="shared" si="24"/>
        <v>7671.9599999999991</v>
      </c>
      <c r="R24" s="22">
        <f t="shared" si="24"/>
        <v>7920.0999999999995</v>
      </c>
      <c r="S24" s="22">
        <f t="shared" si="24"/>
        <v>6863.1</v>
      </c>
      <c r="T24" s="22">
        <f t="shared" si="25"/>
        <v>22455.159999999996</v>
      </c>
    </row>
    <row r="25" spans="1:20" x14ac:dyDescent="0.35">
      <c r="A25" s="2">
        <f t="shared" si="16"/>
        <v>11</v>
      </c>
      <c r="B25" s="48" t="s">
        <v>30</v>
      </c>
      <c r="C25" s="24" t="s">
        <v>4</v>
      </c>
      <c r="D25" s="24">
        <f t="shared" si="17"/>
        <v>8117.96</v>
      </c>
      <c r="E25" s="22">
        <f t="shared" si="18"/>
        <v>259.23</v>
      </c>
      <c r="F25" s="22">
        <f t="shared" ref="F25:G25" si="30">SUM(F69,F113,F157)</f>
        <v>281.65000000000003</v>
      </c>
      <c r="G25" s="22">
        <f t="shared" si="30"/>
        <v>325.92</v>
      </c>
      <c r="H25" s="22">
        <f t="shared" si="19"/>
        <v>866.80000000000018</v>
      </c>
      <c r="I25" s="22">
        <f t="shared" si="20"/>
        <v>441.45000000000005</v>
      </c>
      <c r="J25" s="22">
        <f t="shared" si="20"/>
        <v>480.27</v>
      </c>
      <c r="K25" s="22">
        <f t="shared" si="20"/>
        <v>735.88</v>
      </c>
      <c r="L25" s="22">
        <f t="shared" si="21"/>
        <v>1657.6</v>
      </c>
      <c r="M25" s="22">
        <f t="shared" si="22"/>
        <v>912.97</v>
      </c>
      <c r="N25" s="22">
        <f t="shared" si="22"/>
        <v>988.15</v>
      </c>
      <c r="O25" s="22">
        <f t="shared" si="22"/>
        <v>951.55</v>
      </c>
      <c r="P25" s="22">
        <f t="shared" si="23"/>
        <v>2852.67</v>
      </c>
      <c r="Q25" s="22">
        <f t="shared" si="24"/>
        <v>957.81999999999994</v>
      </c>
      <c r="R25" s="22">
        <f t="shared" si="24"/>
        <v>923.85</v>
      </c>
      <c r="S25" s="22">
        <f t="shared" si="24"/>
        <v>859.22</v>
      </c>
      <c r="T25" s="22">
        <f t="shared" si="25"/>
        <v>2740.8900000000003</v>
      </c>
    </row>
    <row r="26" spans="1:20" x14ac:dyDescent="0.35">
      <c r="A26" s="2">
        <f t="shared" si="16"/>
        <v>12</v>
      </c>
      <c r="B26" s="48" t="s">
        <v>12</v>
      </c>
      <c r="C26" s="24" t="s">
        <v>4</v>
      </c>
      <c r="D26" s="24">
        <f t="shared" si="17"/>
        <v>75133.247000000003</v>
      </c>
      <c r="E26" s="22">
        <f t="shared" si="18"/>
        <v>6311.23</v>
      </c>
      <c r="F26" s="22">
        <f t="shared" ref="F26:G31" si="31">SUM(F70,F114,F158)</f>
        <v>5301.5</v>
      </c>
      <c r="G26" s="22">
        <f t="shared" si="31"/>
        <v>6816.65</v>
      </c>
      <c r="H26" s="22">
        <f t="shared" si="19"/>
        <v>18429.379999999997</v>
      </c>
      <c r="I26" s="22">
        <f t="shared" si="20"/>
        <v>4941.2</v>
      </c>
      <c r="J26" s="22">
        <f t="shared" si="20"/>
        <v>5908.8</v>
      </c>
      <c r="K26" s="22">
        <f t="shared" si="20"/>
        <v>4392.7</v>
      </c>
      <c r="L26" s="22">
        <f t="shared" si="21"/>
        <v>15242.7</v>
      </c>
      <c r="M26" s="22">
        <f t="shared" si="22"/>
        <v>5531.8</v>
      </c>
      <c r="N26" s="22">
        <f t="shared" si="22"/>
        <v>6298.2</v>
      </c>
      <c r="O26" s="22">
        <f t="shared" si="22"/>
        <v>6961.4</v>
      </c>
      <c r="P26" s="22">
        <f t="shared" si="23"/>
        <v>18791.400000000001</v>
      </c>
      <c r="Q26" s="22">
        <f t="shared" si="24"/>
        <v>6896.7</v>
      </c>
      <c r="R26" s="22">
        <f t="shared" si="24"/>
        <v>7748.6</v>
      </c>
      <c r="S26" s="22">
        <f t="shared" si="24"/>
        <v>8024.4670000000006</v>
      </c>
      <c r="T26" s="22">
        <f t="shared" si="25"/>
        <v>22669.767</v>
      </c>
    </row>
    <row r="27" spans="1:20" x14ac:dyDescent="0.35">
      <c r="A27" s="2">
        <f t="shared" si="16"/>
        <v>13</v>
      </c>
      <c r="B27" s="48" t="s">
        <v>13</v>
      </c>
      <c r="C27" s="24" t="s">
        <v>4</v>
      </c>
      <c r="D27" s="24">
        <f t="shared" si="17"/>
        <v>36601.17</v>
      </c>
      <c r="E27" s="22">
        <f t="shared" si="18"/>
        <v>2375.87</v>
      </c>
      <c r="F27" s="22">
        <f t="shared" si="31"/>
        <v>2500.14</v>
      </c>
      <c r="G27" s="22">
        <f t="shared" si="31"/>
        <v>2817.3900000000003</v>
      </c>
      <c r="H27" s="22">
        <f t="shared" si="19"/>
        <v>7693.4000000000005</v>
      </c>
      <c r="I27" s="22">
        <f t="shared" si="20"/>
        <v>4223.1500000000005</v>
      </c>
      <c r="J27" s="22">
        <f t="shared" si="20"/>
        <v>4207.38</v>
      </c>
      <c r="K27" s="22">
        <f t="shared" si="20"/>
        <v>3164.07</v>
      </c>
      <c r="L27" s="22">
        <f t="shared" si="21"/>
        <v>11594.6</v>
      </c>
      <c r="M27" s="22">
        <f t="shared" si="22"/>
        <v>2840.06</v>
      </c>
      <c r="N27" s="22">
        <f t="shared" si="22"/>
        <v>2447.91</v>
      </c>
      <c r="O27" s="22">
        <f t="shared" si="22"/>
        <v>3140.7999999999997</v>
      </c>
      <c r="P27" s="22">
        <f t="shared" si="23"/>
        <v>8428.7699999999986</v>
      </c>
      <c r="Q27" s="22">
        <f t="shared" si="24"/>
        <v>3040.5799999999995</v>
      </c>
      <c r="R27" s="22">
        <f t="shared" si="24"/>
        <v>2939.29</v>
      </c>
      <c r="S27" s="22">
        <f t="shared" si="24"/>
        <v>2904.5299999999997</v>
      </c>
      <c r="T27" s="22">
        <f t="shared" si="25"/>
        <v>8884.3999999999978</v>
      </c>
    </row>
    <row r="28" spans="1:20" x14ac:dyDescent="0.35">
      <c r="A28" s="2">
        <f t="shared" si="16"/>
        <v>14</v>
      </c>
      <c r="B28" s="48" t="s">
        <v>14</v>
      </c>
      <c r="C28" s="24" t="s">
        <v>4</v>
      </c>
      <c r="D28" s="24">
        <f t="shared" si="17"/>
        <v>27882.373</v>
      </c>
      <c r="E28" s="22">
        <f t="shared" si="18"/>
        <v>2184.61</v>
      </c>
      <c r="F28" s="22">
        <f t="shared" si="31"/>
        <v>2359.6400000000003</v>
      </c>
      <c r="G28" s="22">
        <f t="shared" si="31"/>
        <v>1756.12</v>
      </c>
      <c r="H28" s="22">
        <f t="shared" si="19"/>
        <v>6300.37</v>
      </c>
      <c r="I28" s="22">
        <f t="shared" si="20"/>
        <v>4228.45</v>
      </c>
      <c r="J28" s="22">
        <f t="shared" si="20"/>
        <v>1915.47</v>
      </c>
      <c r="K28" s="22">
        <f t="shared" si="20"/>
        <v>2525.8300000000004</v>
      </c>
      <c r="L28" s="22">
        <f t="shared" si="21"/>
        <v>8669.75</v>
      </c>
      <c r="M28" s="22">
        <f t="shared" si="22"/>
        <v>1796.64</v>
      </c>
      <c r="N28" s="22">
        <f t="shared" si="22"/>
        <v>2344.63</v>
      </c>
      <c r="O28" s="22">
        <f t="shared" si="22"/>
        <v>2067.83</v>
      </c>
      <c r="P28" s="22">
        <f t="shared" si="23"/>
        <v>6209.1</v>
      </c>
      <c r="Q28" s="22">
        <f t="shared" si="24"/>
        <v>2394.73</v>
      </c>
      <c r="R28" s="22">
        <f t="shared" si="24"/>
        <v>2384.8700000000003</v>
      </c>
      <c r="S28" s="22">
        <f t="shared" si="24"/>
        <v>1923.5530000000001</v>
      </c>
      <c r="T28" s="22">
        <f t="shared" si="25"/>
        <v>6703.1530000000002</v>
      </c>
    </row>
    <row r="29" spans="1:20" x14ac:dyDescent="0.35">
      <c r="A29" s="2">
        <f t="shared" si="16"/>
        <v>15</v>
      </c>
      <c r="B29" s="48" t="s">
        <v>15</v>
      </c>
      <c r="C29" s="24" t="s">
        <v>4</v>
      </c>
      <c r="D29" s="24">
        <f t="shared" si="17"/>
        <v>19043.699000000001</v>
      </c>
      <c r="E29" s="22">
        <f t="shared" si="18"/>
        <v>1580.9360000000001</v>
      </c>
      <c r="F29" s="22">
        <f t="shared" si="31"/>
        <v>1527.06</v>
      </c>
      <c r="G29" s="22">
        <f t="shared" si="31"/>
        <v>1556.66</v>
      </c>
      <c r="H29" s="22">
        <f t="shared" si="19"/>
        <v>4664.6559999999999</v>
      </c>
      <c r="I29" s="22">
        <f t="shared" si="20"/>
        <v>1514.5900000000001</v>
      </c>
      <c r="J29" s="22">
        <f t="shared" si="20"/>
        <v>1569.1</v>
      </c>
      <c r="K29" s="22">
        <f t="shared" si="20"/>
        <v>1557.403</v>
      </c>
      <c r="L29" s="22">
        <f t="shared" si="21"/>
        <v>4641.0929999999998</v>
      </c>
      <c r="M29" s="22">
        <f t="shared" si="22"/>
        <v>1613.24</v>
      </c>
      <c r="N29" s="22">
        <f t="shared" si="22"/>
        <v>1618.41</v>
      </c>
      <c r="O29" s="22">
        <f t="shared" si="22"/>
        <v>1634.0700000000002</v>
      </c>
      <c r="P29" s="22">
        <f t="shared" si="23"/>
        <v>4865.72</v>
      </c>
      <c r="Q29" s="22">
        <f t="shared" si="24"/>
        <v>1634.0199999999998</v>
      </c>
      <c r="R29" s="22">
        <f t="shared" si="24"/>
        <v>1640.51</v>
      </c>
      <c r="S29" s="22">
        <f t="shared" si="24"/>
        <v>1597.7</v>
      </c>
      <c r="T29" s="22">
        <f t="shared" si="25"/>
        <v>4872.2299999999996</v>
      </c>
    </row>
    <row r="30" spans="1:20" x14ac:dyDescent="0.35">
      <c r="A30" s="2">
        <f t="shared" si="16"/>
        <v>16</v>
      </c>
      <c r="B30" s="48" t="s">
        <v>31</v>
      </c>
      <c r="C30" s="24" t="s">
        <v>4</v>
      </c>
      <c r="D30" s="24">
        <f t="shared" si="17"/>
        <v>4158.4219999999996</v>
      </c>
      <c r="E30" s="22">
        <f t="shared" si="18"/>
        <v>397.17500000000001</v>
      </c>
      <c r="F30" s="22">
        <f t="shared" si="31"/>
        <v>212.946</v>
      </c>
      <c r="G30" s="22">
        <f t="shared" si="31"/>
        <v>231.30199999999999</v>
      </c>
      <c r="H30" s="22">
        <f t="shared" si="19"/>
        <v>841.423</v>
      </c>
      <c r="I30" s="22">
        <f t="shared" si="20"/>
        <v>393.26</v>
      </c>
      <c r="J30" s="22">
        <f t="shared" si="20"/>
        <v>267.327</v>
      </c>
      <c r="K30" s="22">
        <f t="shared" si="20"/>
        <v>357.49199999999996</v>
      </c>
      <c r="L30" s="22">
        <f t="shared" si="21"/>
        <v>1018.079</v>
      </c>
      <c r="M30" s="22">
        <f t="shared" si="22"/>
        <v>404.77</v>
      </c>
      <c r="N30" s="22">
        <f t="shared" si="22"/>
        <v>517.61</v>
      </c>
      <c r="O30" s="22">
        <f t="shared" si="22"/>
        <v>522.41999999999996</v>
      </c>
      <c r="P30" s="22">
        <f t="shared" si="23"/>
        <v>1444.8</v>
      </c>
      <c r="Q30" s="22">
        <f t="shared" si="24"/>
        <v>368.16999999999996</v>
      </c>
      <c r="R30" s="22">
        <f t="shared" si="24"/>
        <v>265.75</v>
      </c>
      <c r="S30" s="22">
        <f t="shared" si="24"/>
        <v>220.2</v>
      </c>
      <c r="T30" s="22">
        <f t="shared" si="25"/>
        <v>854.11999999999989</v>
      </c>
    </row>
    <row r="31" spans="1:20" x14ac:dyDescent="0.35">
      <c r="A31" s="2">
        <f t="shared" si="16"/>
        <v>17</v>
      </c>
      <c r="B31" s="48" t="s">
        <v>32</v>
      </c>
      <c r="C31" s="24" t="s">
        <v>4</v>
      </c>
      <c r="D31" s="24">
        <f t="shared" si="17"/>
        <v>1472.0790000000002</v>
      </c>
      <c r="E31" s="22">
        <f t="shared" si="18"/>
        <v>64.533999999999992</v>
      </c>
      <c r="F31" s="22">
        <f t="shared" si="31"/>
        <v>155.16300000000001</v>
      </c>
      <c r="G31" s="22">
        <f t="shared" si="31"/>
        <v>47.222999999999999</v>
      </c>
      <c r="H31" s="22">
        <f t="shared" si="19"/>
        <v>266.92</v>
      </c>
      <c r="I31" s="22">
        <f t="shared" si="20"/>
        <v>242.34800000000001</v>
      </c>
      <c r="J31" s="22">
        <f t="shared" si="20"/>
        <v>179.423</v>
      </c>
      <c r="K31" s="22">
        <f t="shared" si="20"/>
        <v>179.34599999999998</v>
      </c>
      <c r="L31" s="22">
        <f t="shared" si="21"/>
        <v>601.11699999999996</v>
      </c>
      <c r="M31" s="22">
        <f t="shared" si="22"/>
        <v>70.054000000000002</v>
      </c>
      <c r="N31" s="22">
        <f t="shared" si="22"/>
        <v>85.328999999999994</v>
      </c>
      <c r="O31" s="22">
        <f t="shared" si="22"/>
        <v>58.576000000000001</v>
      </c>
      <c r="P31" s="22">
        <f t="shared" si="23"/>
        <v>213.95899999999997</v>
      </c>
      <c r="Q31" s="22">
        <f t="shared" si="24"/>
        <v>120.7</v>
      </c>
      <c r="R31" s="22">
        <f t="shared" si="24"/>
        <v>133.85900000000001</v>
      </c>
      <c r="S31" s="22">
        <f t="shared" si="24"/>
        <v>135.524</v>
      </c>
      <c r="T31" s="22">
        <f t="shared" si="25"/>
        <v>390.08300000000003</v>
      </c>
    </row>
    <row r="32" spans="1:20" x14ac:dyDescent="0.35">
      <c r="A32" s="2">
        <f t="shared" si="16"/>
        <v>18</v>
      </c>
      <c r="B32" s="48" t="s">
        <v>33</v>
      </c>
      <c r="C32" s="24" t="s">
        <v>4</v>
      </c>
      <c r="D32" s="24">
        <f t="shared" si="17"/>
        <v>30044.6819</v>
      </c>
      <c r="E32" s="22">
        <f t="shared" si="18"/>
        <v>4760.5</v>
      </c>
      <c r="F32" s="22">
        <f t="shared" ref="F32:G33" si="32">SUM(F76,F120,F164)</f>
        <v>660.12</v>
      </c>
      <c r="G32" s="22">
        <f t="shared" si="32"/>
        <v>2062.42</v>
      </c>
      <c r="H32" s="22">
        <f t="shared" si="19"/>
        <v>7483.04</v>
      </c>
      <c r="I32" s="22">
        <f t="shared" si="20"/>
        <v>1508.53</v>
      </c>
      <c r="J32" s="22">
        <f t="shared" si="20"/>
        <v>3235.08</v>
      </c>
      <c r="K32" s="22">
        <f t="shared" si="20"/>
        <v>1949.76</v>
      </c>
      <c r="L32" s="22">
        <f t="shared" si="21"/>
        <v>6693.37</v>
      </c>
      <c r="M32" s="22">
        <f t="shared" si="22"/>
        <v>3345.2169999999996</v>
      </c>
      <c r="N32" s="22">
        <f t="shared" si="22"/>
        <v>998.63800000000003</v>
      </c>
      <c r="O32" s="22">
        <f t="shared" si="22"/>
        <v>3431.5680000000002</v>
      </c>
      <c r="P32" s="22">
        <f t="shared" si="23"/>
        <v>7775.4229999999998</v>
      </c>
      <c r="Q32" s="22">
        <f t="shared" si="24"/>
        <v>3453.89</v>
      </c>
      <c r="R32" s="22">
        <f t="shared" si="24"/>
        <v>3309.5839999999998</v>
      </c>
      <c r="S32" s="22">
        <f t="shared" si="24"/>
        <v>1329.3749</v>
      </c>
      <c r="T32" s="22">
        <f t="shared" si="25"/>
        <v>8092.8489</v>
      </c>
    </row>
    <row r="33" spans="1:20" x14ac:dyDescent="0.35">
      <c r="A33" s="2">
        <f t="shared" si="16"/>
        <v>19</v>
      </c>
      <c r="B33" s="48" t="s">
        <v>34</v>
      </c>
      <c r="C33" s="24" t="s">
        <v>4</v>
      </c>
      <c r="D33" s="24">
        <f t="shared" si="17"/>
        <v>2445.39</v>
      </c>
      <c r="E33" s="22">
        <f t="shared" si="18"/>
        <v>196.94</v>
      </c>
      <c r="F33" s="22">
        <f t="shared" si="32"/>
        <v>93.63</v>
      </c>
      <c r="G33" s="22">
        <f t="shared" si="32"/>
        <v>99.62</v>
      </c>
      <c r="H33" s="22">
        <f t="shared" si="19"/>
        <v>390.19</v>
      </c>
      <c r="I33" s="22">
        <f t="shared" si="20"/>
        <v>142.96</v>
      </c>
      <c r="J33" s="22">
        <f t="shared" si="20"/>
        <v>136.44999999999999</v>
      </c>
      <c r="K33" s="22">
        <f t="shared" si="20"/>
        <v>136.09</v>
      </c>
      <c r="L33" s="22">
        <f t="shared" si="21"/>
        <v>415.5</v>
      </c>
      <c r="M33" s="22">
        <f t="shared" si="22"/>
        <v>298.02</v>
      </c>
      <c r="N33" s="22">
        <f t="shared" si="22"/>
        <v>275.57</v>
      </c>
      <c r="O33" s="22">
        <f t="shared" si="22"/>
        <v>359.01</v>
      </c>
      <c r="P33" s="22">
        <f t="shared" si="23"/>
        <v>932.59999999999991</v>
      </c>
      <c r="Q33" s="22">
        <f t="shared" si="24"/>
        <v>292.11</v>
      </c>
      <c r="R33" s="22">
        <f t="shared" si="24"/>
        <v>221.96</v>
      </c>
      <c r="S33" s="22">
        <f t="shared" si="24"/>
        <v>193.03</v>
      </c>
      <c r="T33" s="22">
        <f t="shared" si="25"/>
        <v>707.1</v>
      </c>
    </row>
    <row r="34" spans="1:20" x14ac:dyDescent="0.35">
      <c r="A34" s="2">
        <f t="shared" si="16"/>
        <v>20</v>
      </c>
      <c r="B34" s="48" t="s">
        <v>35</v>
      </c>
      <c r="C34" s="24" t="s">
        <v>4</v>
      </c>
      <c r="D34" s="24">
        <f t="shared" si="17"/>
        <v>2286.3040000000001</v>
      </c>
      <c r="E34" s="22">
        <f t="shared" si="18"/>
        <v>174.29999999999998</v>
      </c>
      <c r="F34" s="22">
        <f t="shared" ref="F34:G34" si="33">SUM(F78,F122,F166)</f>
        <v>168.5</v>
      </c>
      <c r="G34" s="22">
        <f t="shared" si="33"/>
        <v>236.82499999999999</v>
      </c>
      <c r="H34" s="22">
        <f t="shared" si="19"/>
        <v>579.625</v>
      </c>
      <c r="I34" s="22">
        <f t="shared" si="20"/>
        <v>233.35</v>
      </c>
      <c r="J34" s="22">
        <f t="shared" si="20"/>
        <v>208.26400000000001</v>
      </c>
      <c r="K34" s="22">
        <f t="shared" si="20"/>
        <v>133.55000000000001</v>
      </c>
      <c r="L34" s="22">
        <f t="shared" si="21"/>
        <v>575.16399999999999</v>
      </c>
      <c r="M34" s="22">
        <f t="shared" si="22"/>
        <v>199.63</v>
      </c>
      <c r="N34" s="22">
        <f t="shared" si="22"/>
        <v>226.995</v>
      </c>
      <c r="O34" s="22">
        <f t="shared" si="22"/>
        <v>191.04999999999998</v>
      </c>
      <c r="P34" s="22">
        <f t="shared" si="23"/>
        <v>617.67499999999995</v>
      </c>
      <c r="Q34" s="22">
        <f t="shared" si="24"/>
        <v>182.72499999999999</v>
      </c>
      <c r="R34" s="22">
        <f t="shared" si="24"/>
        <v>173.75</v>
      </c>
      <c r="S34" s="22">
        <f t="shared" si="24"/>
        <v>157.36500000000001</v>
      </c>
      <c r="T34" s="22">
        <f t="shared" si="25"/>
        <v>513.84</v>
      </c>
    </row>
    <row r="35" spans="1:20" x14ac:dyDescent="0.35">
      <c r="A35" s="2">
        <f t="shared" si="16"/>
        <v>21</v>
      </c>
      <c r="B35" s="48" t="s">
        <v>36</v>
      </c>
      <c r="C35" s="24" t="s">
        <v>4</v>
      </c>
      <c r="D35" s="24">
        <f t="shared" si="17"/>
        <v>8045.8600000000006</v>
      </c>
      <c r="E35" s="22">
        <f t="shared" si="18"/>
        <v>689.4</v>
      </c>
      <c r="F35" s="22">
        <f t="shared" ref="F35:G35" si="34">SUM(F79,F123,F167)</f>
        <v>651.5200000000001</v>
      </c>
      <c r="G35" s="22">
        <f t="shared" si="34"/>
        <v>607.38</v>
      </c>
      <c r="H35" s="22">
        <f t="shared" si="19"/>
        <v>1948.3000000000002</v>
      </c>
      <c r="I35" s="22">
        <f t="shared" si="20"/>
        <v>532.32999999999993</v>
      </c>
      <c r="J35" s="22">
        <f t="shared" si="20"/>
        <v>797.82</v>
      </c>
      <c r="K35" s="22">
        <f t="shared" si="20"/>
        <v>597.88</v>
      </c>
      <c r="L35" s="22">
        <f t="shared" si="21"/>
        <v>1928.0300000000002</v>
      </c>
      <c r="M35" s="22">
        <f t="shared" si="22"/>
        <v>648.29000000000008</v>
      </c>
      <c r="N35" s="22">
        <f t="shared" si="22"/>
        <v>735.44</v>
      </c>
      <c r="O35" s="22">
        <f t="shared" si="22"/>
        <v>731.52</v>
      </c>
      <c r="P35" s="22">
        <f t="shared" si="23"/>
        <v>2115.25</v>
      </c>
      <c r="Q35" s="22">
        <f t="shared" si="24"/>
        <v>762.6400000000001</v>
      </c>
      <c r="R35" s="22">
        <f t="shared" si="24"/>
        <v>720.94</v>
      </c>
      <c r="S35" s="22">
        <f t="shared" si="24"/>
        <v>570.70000000000005</v>
      </c>
      <c r="T35" s="22">
        <f t="shared" si="25"/>
        <v>2054.2800000000002</v>
      </c>
    </row>
    <row r="36" spans="1:20" x14ac:dyDescent="0.35">
      <c r="A36" s="2">
        <f t="shared" si="16"/>
        <v>22</v>
      </c>
      <c r="B36" s="48" t="s">
        <v>37</v>
      </c>
      <c r="C36" s="24" t="s">
        <v>4</v>
      </c>
      <c r="D36" s="24">
        <f t="shared" si="17"/>
        <v>7733.4120000000003</v>
      </c>
      <c r="E36" s="22">
        <f t="shared" si="18"/>
        <v>241.87700000000001</v>
      </c>
      <c r="F36" s="22">
        <f t="shared" ref="F36:G51" si="35">SUM(F80,F124,F168)</f>
        <v>139.328</v>
      </c>
      <c r="G36" s="22">
        <f t="shared" si="35"/>
        <v>199.12700000000001</v>
      </c>
      <c r="H36" s="22">
        <f t="shared" si="19"/>
        <v>580.33200000000011</v>
      </c>
      <c r="I36" s="22">
        <f t="shared" si="20"/>
        <v>397.81299999999999</v>
      </c>
      <c r="J36" s="22">
        <f t="shared" si="20"/>
        <v>253.67500000000001</v>
      </c>
      <c r="K36" s="22">
        <f t="shared" si="20"/>
        <v>265.73</v>
      </c>
      <c r="L36" s="22">
        <f>SUM(I36:K36)</f>
        <v>917.21800000000007</v>
      </c>
      <c r="M36" s="22">
        <f t="shared" si="22"/>
        <v>1083.44</v>
      </c>
      <c r="N36" s="22">
        <f t="shared" si="22"/>
        <v>1176.9069999999999</v>
      </c>
      <c r="O36" s="22">
        <f t="shared" si="22"/>
        <v>1283.6429999999998</v>
      </c>
      <c r="P36" s="22">
        <f t="shared" si="23"/>
        <v>3543.99</v>
      </c>
      <c r="Q36" s="22">
        <f t="shared" si="24"/>
        <v>1149.125</v>
      </c>
      <c r="R36" s="22">
        <f t="shared" si="24"/>
        <v>920.702</v>
      </c>
      <c r="S36" s="22">
        <f t="shared" si="24"/>
        <v>622.04499999999996</v>
      </c>
      <c r="T36" s="22">
        <f t="shared" si="25"/>
        <v>2691.8720000000003</v>
      </c>
    </row>
    <row r="37" spans="1:20" x14ac:dyDescent="0.35">
      <c r="A37" s="2">
        <v>23</v>
      </c>
      <c r="B37" s="48" t="s">
        <v>16</v>
      </c>
      <c r="C37" s="24" t="s">
        <v>4</v>
      </c>
      <c r="D37" s="24">
        <f t="shared" si="17"/>
        <v>37758.299999999996</v>
      </c>
      <c r="E37" s="22">
        <f t="shared" si="18"/>
        <v>3254.7</v>
      </c>
      <c r="F37" s="22">
        <f t="shared" si="35"/>
        <v>3475.3</v>
      </c>
      <c r="G37" s="22">
        <f>SUM(G81,G125,G169)</f>
        <v>3339.8</v>
      </c>
      <c r="H37" s="22">
        <f t="shared" si="19"/>
        <v>10069.799999999999</v>
      </c>
      <c r="I37" s="22">
        <f t="shared" si="20"/>
        <v>3055.8</v>
      </c>
      <c r="J37" s="22">
        <f t="shared" si="20"/>
        <v>3094.2</v>
      </c>
      <c r="K37" s="22">
        <f t="shared" si="20"/>
        <v>2880.4</v>
      </c>
      <c r="L37" s="22">
        <f t="shared" ref="L37:L52" si="36">SUM(I37:K37)</f>
        <v>9030.4</v>
      </c>
      <c r="M37" s="22">
        <f t="shared" si="22"/>
        <v>3023.3</v>
      </c>
      <c r="N37" s="22">
        <f t="shared" si="22"/>
        <v>3172.1</v>
      </c>
      <c r="O37" s="22">
        <f t="shared" si="22"/>
        <v>3302.9</v>
      </c>
      <c r="P37" s="22">
        <f t="shared" si="23"/>
        <v>9498.2999999999993</v>
      </c>
      <c r="Q37" s="22">
        <f t="shared" si="24"/>
        <v>3618.7000000000003</v>
      </c>
      <c r="R37" s="22">
        <f t="shared" si="24"/>
        <v>3013.9</v>
      </c>
      <c r="S37" s="22">
        <f t="shared" si="24"/>
        <v>2527.1999999999998</v>
      </c>
      <c r="T37" s="22">
        <f>SUM(Q37:S37)</f>
        <v>9159.7999999999993</v>
      </c>
    </row>
    <row r="38" spans="1:20" x14ac:dyDescent="0.35">
      <c r="A38" s="2">
        <v>24</v>
      </c>
      <c r="B38" s="48" t="s">
        <v>17</v>
      </c>
      <c r="C38" s="24" t="s">
        <v>4</v>
      </c>
      <c r="D38" s="24">
        <f t="shared" si="17"/>
        <v>26006.57</v>
      </c>
      <c r="E38" s="22">
        <f t="shared" si="18"/>
        <v>496.63</v>
      </c>
      <c r="F38" s="22">
        <f t="shared" si="35"/>
        <v>883.76</v>
      </c>
      <c r="G38" s="22">
        <f t="shared" si="35"/>
        <v>577.67000000000007</v>
      </c>
      <c r="H38" s="22">
        <f t="shared" si="19"/>
        <v>1958.06</v>
      </c>
      <c r="I38" s="22">
        <f t="shared" si="20"/>
        <v>945.56999999999994</v>
      </c>
      <c r="J38" s="22">
        <f t="shared" si="20"/>
        <v>1457.47</v>
      </c>
      <c r="K38" s="22">
        <f t="shared" si="20"/>
        <v>2160.35</v>
      </c>
      <c r="L38" s="22">
        <f t="shared" si="36"/>
        <v>4563.3899999999994</v>
      </c>
      <c r="M38" s="22">
        <f t="shared" si="22"/>
        <v>4127.47</v>
      </c>
      <c r="N38" s="22">
        <f t="shared" si="22"/>
        <v>4257.57</v>
      </c>
      <c r="O38" s="22">
        <f t="shared" si="22"/>
        <v>5706.1500000000005</v>
      </c>
      <c r="P38" s="22">
        <f t="shared" si="23"/>
        <v>14091.190000000002</v>
      </c>
      <c r="Q38" s="22">
        <f t="shared" si="24"/>
        <v>3096.73</v>
      </c>
      <c r="R38" s="22">
        <f t="shared" si="24"/>
        <v>1218.5</v>
      </c>
      <c r="S38" s="22">
        <f t="shared" si="24"/>
        <v>1078.7</v>
      </c>
      <c r="T38" s="22">
        <f t="shared" si="25"/>
        <v>5393.9299999999994</v>
      </c>
    </row>
    <row r="39" spans="1:20" x14ac:dyDescent="0.35">
      <c r="A39" s="2">
        <v>25</v>
      </c>
      <c r="B39" s="48" t="s">
        <v>18</v>
      </c>
      <c r="C39" s="24" t="s">
        <v>4</v>
      </c>
      <c r="D39" s="24">
        <f t="shared" si="17"/>
        <v>10843</v>
      </c>
      <c r="E39" s="22">
        <f t="shared" si="18"/>
        <v>540.4</v>
      </c>
      <c r="F39" s="22">
        <f t="shared" si="35"/>
        <v>688.3</v>
      </c>
      <c r="G39" s="22">
        <f t="shared" si="35"/>
        <v>930.19999999999993</v>
      </c>
      <c r="H39" s="22">
        <f t="shared" si="19"/>
        <v>2158.8999999999996</v>
      </c>
      <c r="I39" s="22">
        <f t="shared" si="20"/>
        <v>905.40000000000009</v>
      </c>
      <c r="J39" s="22">
        <f t="shared" si="20"/>
        <v>899</v>
      </c>
      <c r="K39" s="22">
        <f t="shared" si="20"/>
        <v>650.9</v>
      </c>
      <c r="L39" s="22">
        <f t="shared" si="36"/>
        <v>2455.3000000000002</v>
      </c>
      <c r="M39" s="22">
        <f t="shared" si="22"/>
        <v>681.59999999999991</v>
      </c>
      <c r="N39" s="22">
        <f t="shared" si="22"/>
        <v>1012.1</v>
      </c>
      <c r="O39" s="22">
        <f t="shared" si="22"/>
        <v>1370</v>
      </c>
      <c r="P39" s="22">
        <f t="shared" si="23"/>
        <v>3063.7</v>
      </c>
      <c r="Q39" s="22">
        <f t="shared" si="24"/>
        <v>1150.7</v>
      </c>
      <c r="R39" s="22">
        <f t="shared" si="24"/>
        <v>1050.0999999999999</v>
      </c>
      <c r="S39" s="22">
        <f t="shared" si="24"/>
        <v>964.3</v>
      </c>
      <c r="T39" s="22">
        <f t="shared" si="25"/>
        <v>3165.1000000000004</v>
      </c>
    </row>
    <row r="40" spans="1:20" x14ac:dyDescent="0.35">
      <c r="A40" s="2">
        <v>26</v>
      </c>
      <c r="B40" s="48" t="s">
        <v>19</v>
      </c>
      <c r="C40" s="24" t="s">
        <v>4</v>
      </c>
      <c r="D40" s="24">
        <f t="shared" si="17"/>
        <v>25778.300000000003</v>
      </c>
      <c r="E40" s="22">
        <f t="shared" si="18"/>
        <v>1039.4000000000001</v>
      </c>
      <c r="F40" s="22">
        <f t="shared" si="35"/>
        <v>1178.6000000000001</v>
      </c>
      <c r="G40" s="22">
        <f t="shared" si="35"/>
        <v>1021.4000000000001</v>
      </c>
      <c r="H40" s="22">
        <f t="shared" si="19"/>
        <v>3239.4</v>
      </c>
      <c r="I40" s="22">
        <f t="shared" si="20"/>
        <v>1673</v>
      </c>
      <c r="J40" s="22">
        <f t="shared" si="20"/>
        <v>2853.2</v>
      </c>
      <c r="K40" s="22">
        <f t="shared" si="20"/>
        <v>3086.8999999999996</v>
      </c>
      <c r="L40" s="22">
        <f t="shared" si="36"/>
        <v>7613.0999999999995</v>
      </c>
      <c r="M40" s="22">
        <f t="shared" si="22"/>
        <v>3321.5</v>
      </c>
      <c r="N40" s="22">
        <f t="shared" si="22"/>
        <v>3616.3</v>
      </c>
      <c r="O40" s="22">
        <f t="shared" si="22"/>
        <v>3009.8999999999996</v>
      </c>
      <c r="P40" s="22">
        <f t="shared" si="23"/>
        <v>9947.7000000000007</v>
      </c>
      <c r="Q40" s="22">
        <f t="shared" si="24"/>
        <v>2077.2999999999997</v>
      </c>
      <c r="R40" s="22">
        <f t="shared" si="24"/>
        <v>1583.9</v>
      </c>
      <c r="S40" s="22">
        <f t="shared" si="24"/>
        <v>1316.9</v>
      </c>
      <c r="T40" s="22">
        <f t="shared" si="25"/>
        <v>4978.1000000000004</v>
      </c>
    </row>
    <row r="41" spans="1:20" x14ac:dyDescent="0.35">
      <c r="A41" s="2">
        <v>27</v>
      </c>
      <c r="B41" s="48" t="s">
        <v>20</v>
      </c>
      <c r="C41" s="24" t="s">
        <v>4</v>
      </c>
      <c r="D41" s="24">
        <f t="shared" si="17"/>
        <v>16805.300000000003</v>
      </c>
      <c r="E41" s="22">
        <f t="shared" si="18"/>
        <v>1063</v>
      </c>
      <c r="F41" s="22">
        <f t="shared" si="35"/>
        <v>1152.2</v>
      </c>
      <c r="G41" s="22">
        <f t="shared" si="35"/>
        <v>1193.4000000000001</v>
      </c>
      <c r="H41" s="22">
        <f t="shared" si="19"/>
        <v>3408.6</v>
      </c>
      <c r="I41" s="22">
        <f t="shared" si="20"/>
        <v>1474.3999999999999</v>
      </c>
      <c r="J41" s="22">
        <f t="shared" si="20"/>
        <v>1627</v>
      </c>
      <c r="K41" s="22">
        <f t="shared" si="20"/>
        <v>1747.3999999999999</v>
      </c>
      <c r="L41" s="22">
        <f t="shared" si="36"/>
        <v>4848.7999999999993</v>
      </c>
      <c r="M41" s="22">
        <f t="shared" si="22"/>
        <v>1679.1999999999998</v>
      </c>
      <c r="N41" s="22">
        <f t="shared" si="22"/>
        <v>1603.3</v>
      </c>
      <c r="O41" s="22">
        <f t="shared" si="22"/>
        <v>1495.3</v>
      </c>
      <c r="P41" s="22">
        <f t="shared" si="23"/>
        <v>4777.8</v>
      </c>
      <c r="Q41" s="22">
        <f t="shared" si="24"/>
        <v>1316.2</v>
      </c>
      <c r="R41" s="22">
        <f t="shared" si="24"/>
        <v>1256.2</v>
      </c>
      <c r="S41" s="22">
        <f t="shared" si="24"/>
        <v>1197.7</v>
      </c>
      <c r="T41" s="22">
        <f t="shared" si="25"/>
        <v>3770.1000000000004</v>
      </c>
    </row>
    <row r="42" spans="1:20" x14ac:dyDescent="0.35">
      <c r="A42" s="2">
        <v>28</v>
      </c>
      <c r="B42" s="48" t="s">
        <v>21</v>
      </c>
      <c r="C42" s="24" t="s">
        <v>4</v>
      </c>
      <c r="D42" s="24">
        <f t="shared" si="17"/>
        <v>18004.599999999999</v>
      </c>
      <c r="E42" s="22">
        <f t="shared" si="18"/>
        <v>1013.1</v>
      </c>
      <c r="F42" s="22">
        <f t="shared" si="35"/>
        <v>1284.5</v>
      </c>
      <c r="G42" s="22">
        <f t="shared" si="35"/>
        <v>1246.3</v>
      </c>
      <c r="H42" s="22">
        <f t="shared" si="19"/>
        <v>3543.8999999999996</v>
      </c>
      <c r="I42" s="22">
        <f t="shared" si="20"/>
        <v>1517.5</v>
      </c>
      <c r="J42" s="22">
        <f t="shared" si="20"/>
        <v>1624.6</v>
      </c>
      <c r="K42" s="22">
        <f t="shared" si="20"/>
        <v>1870.3</v>
      </c>
      <c r="L42" s="22">
        <f t="shared" si="36"/>
        <v>5012.3999999999996</v>
      </c>
      <c r="M42" s="22">
        <f t="shared" si="22"/>
        <v>1507.3</v>
      </c>
      <c r="N42" s="22">
        <f t="shared" si="22"/>
        <v>1523</v>
      </c>
      <c r="O42" s="22">
        <f t="shared" si="22"/>
        <v>1555.8</v>
      </c>
      <c r="P42" s="22">
        <f t="shared" si="23"/>
        <v>4586.1000000000004</v>
      </c>
      <c r="Q42" s="22">
        <f t="shared" si="24"/>
        <v>1599.1</v>
      </c>
      <c r="R42" s="22">
        <f t="shared" si="24"/>
        <v>1663.1</v>
      </c>
      <c r="S42" s="22">
        <f t="shared" si="24"/>
        <v>1600</v>
      </c>
      <c r="T42" s="22">
        <f t="shared" si="25"/>
        <v>4862.2</v>
      </c>
    </row>
    <row r="43" spans="1:20" x14ac:dyDescent="0.35">
      <c r="A43" s="2">
        <v>29</v>
      </c>
      <c r="B43" s="48" t="s">
        <v>22</v>
      </c>
      <c r="C43" s="24" t="s">
        <v>4</v>
      </c>
      <c r="D43" s="24">
        <f t="shared" si="17"/>
        <v>40137.188999999998</v>
      </c>
      <c r="E43" s="22">
        <f t="shared" si="18"/>
        <v>4660.5</v>
      </c>
      <c r="F43" s="22">
        <f t="shared" si="35"/>
        <v>4330.7000000000007</v>
      </c>
      <c r="G43" s="22">
        <f t="shared" si="35"/>
        <v>3744.3</v>
      </c>
      <c r="H43" s="22">
        <f t="shared" si="19"/>
        <v>12735.5</v>
      </c>
      <c r="I43" s="22">
        <f t="shared" si="20"/>
        <v>2523.4</v>
      </c>
      <c r="J43" s="22">
        <f t="shared" si="20"/>
        <v>5143.5</v>
      </c>
      <c r="K43" s="22">
        <f t="shared" si="20"/>
        <v>3843.5800000000004</v>
      </c>
      <c r="L43" s="22">
        <f t="shared" si="36"/>
        <v>11510.48</v>
      </c>
      <c r="M43" s="22">
        <f t="shared" si="22"/>
        <v>2492.3999999999996</v>
      </c>
      <c r="N43" s="22">
        <f t="shared" si="22"/>
        <v>2800.6</v>
      </c>
      <c r="O43" s="22">
        <f t="shared" si="22"/>
        <v>4101.7</v>
      </c>
      <c r="P43" s="22">
        <f t="shared" si="23"/>
        <v>9394.7000000000007</v>
      </c>
      <c r="Q43" s="22">
        <f t="shared" si="24"/>
        <v>2490.6089999999999</v>
      </c>
      <c r="R43" s="22">
        <f t="shared" si="24"/>
        <v>2293.9</v>
      </c>
      <c r="S43" s="22">
        <f t="shared" si="24"/>
        <v>1712</v>
      </c>
      <c r="T43" s="22">
        <f t="shared" si="25"/>
        <v>6496.509</v>
      </c>
    </row>
    <row r="44" spans="1:20" x14ac:dyDescent="0.35">
      <c r="A44" s="2">
        <v>30</v>
      </c>
      <c r="B44" s="48" t="s">
        <v>46</v>
      </c>
      <c r="C44" s="24" t="s">
        <v>4</v>
      </c>
      <c r="D44" s="24">
        <f t="shared" si="17"/>
        <v>33.200000000000003</v>
      </c>
      <c r="E44" s="22">
        <f t="shared" si="18"/>
        <v>2.7</v>
      </c>
      <c r="F44" s="22">
        <f t="shared" si="35"/>
        <v>2.8</v>
      </c>
      <c r="G44" s="22">
        <f t="shared" si="35"/>
        <v>2.8</v>
      </c>
      <c r="H44" s="22">
        <f t="shared" si="19"/>
        <v>8.3000000000000007</v>
      </c>
      <c r="I44" s="22">
        <f t="shared" si="20"/>
        <v>3.3</v>
      </c>
      <c r="J44" s="22">
        <f t="shared" si="20"/>
        <v>3.1</v>
      </c>
      <c r="K44" s="22">
        <f t="shared" si="20"/>
        <v>2.6</v>
      </c>
      <c r="L44" s="22">
        <f t="shared" si="36"/>
        <v>9</v>
      </c>
      <c r="M44" s="22">
        <f t="shared" si="22"/>
        <v>2.7</v>
      </c>
      <c r="N44" s="22">
        <f t="shared" si="22"/>
        <v>2.6</v>
      </c>
      <c r="O44" s="22">
        <f t="shared" si="22"/>
        <v>2.6</v>
      </c>
      <c r="P44" s="22">
        <f t="shared" si="23"/>
        <v>7.9</v>
      </c>
      <c r="Q44" s="22">
        <f t="shared" si="24"/>
        <v>2.5</v>
      </c>
      <c r="R44" s="22">
        <f t="shared" si="24"/>
        <v>2.7</v>
      </c>
      <c r="S44" s="22">
        <f t="shared" si="24"/>
        <v>2.8</v>
      </c>
      <c r="T44" s="22">
        <f t="shared" si="25"/>
        <v>8</v>
      </c>
    </row>
    <row r="45" spans="1:20" x14ac:dyDescent="0.35">
      <c r="A45" s="2">
        <v>31</v>
      </c>
      <c r="B45" s="48" t="s">
        <v>47</v>
      </c>
      <c r="C45" s="24" t="s">
        <v>4</v>
      </c>
      <c r="D45" s="24">
        <f t="shared" si="17"/>
        <v>0</v>
      </c>
      <c r="E45" s="22">
        <f t="shared" si="18"/>
        <v>0</v>
      </c>
      <c r="F45" s="22">
        <f t="shared" si="35"/>
        <v>0</v>
      </c>
      <c r="G45" s="22">
        <f t="shared" si="35"/>
        <v>0</v>
      </c>
      <c r="H45" s="22">
        <f t="shared" si="19"/>
        <v>0</v>
      </c>
      <c r="I45" s="22">
        <f t="shared" si="20"/>
        <v>0</v>
      </c>
      <c r="J45" s="22">
        <f t="shared" si="20"/>
        <v>0</v>
      </c>
      <c r="K45" s="22">
        <f t="shared" si="20"/>
        <v>0</v>
      </c>
      <c r="L45" s="22">
        <f t="shared" si="36"/>
        <v>0</v>
      </c>
      <c r="M45" s="22">
        <f t="shared" si="22"/>
        <v>0</v>
      </c>
      <c r="N45" s="22">
        <f t="shared" si="22"/>
        <v>0</v>
      </c>
      <c r="O45" s="22">
        <f t="shared" si="22"/>
        <v>0</v>
      </c>
      <c r="P45" s="22">
        <f t="shared" si="23"/>
        <v>0</v>
      </c>
      <c r="Q45" s="22">
        <f t="shared" si="24"/>
        <v>0</v>
      </c>
      <c r="R45" s="22">
        <f t="shared" si="24"/>
        <v>0</v>
      </c>
      <c r="S45" s="22">
        <f t="shared" si="24"/>
        <v>0</v>
      </c>
      <c r="T45" s="22">
        <f t="shared" si="25"/>
        <v>0</v>
      </c>
    </row>
    <row r="46" spans="1:20" x14ac:dyDescent="0.35">
      <c r="A46" s="2">
        <v>32</v>
      </c>
      <c r="B46" s="48" t="s">
        <v>48</v>
      </c>
      <c r="C46" s="24" t="s">
        <v>4</v>
      </c>
      <c r="D46" s="24">
        <f t="shared" si="17"/>
        <v>0</v>
      </c>
      <c r="E46" s="22">
        <f t="shared" si="18"/>
        <v>0</v>
      </c>
      <c r="F46" s="22">
        <f t="shared" si="35"/>
        <v>0</v>
      </c>
      <c r="G46" s="22">
        <f t="shared" si="35"/>
        <v>0</v>
      </c>
      <c r="H46" s="22">
        <f t="shared" si="19"/>
        <v>0</v>
      </c>
      <c r="I46" s="22">
        <f t="shared" si="20"/>
        <v>0</v>
      </c>
      <c r="J46" s="22">
        <f t="shared" si="20"/>
        <v>0</v>
      </c>
      <c r="K46" s="22">
        <f t="shared" si="20"/>
        <v>0</v>
      </c>
      <c r="L46" s="22">
        <f t="shared" si="36"/>
        <v>0</v>
      </c>
      <c r="M46" s="22">
        <f t="shared" si="22"/>
        <v>0</v>
      </c>
      <c r="N46" s="22">
        <f t="shared" si="22"/>
        <v>0</v>
      </c>
      <c r="O46" s="22">
        <f t="shared" si="22"/>
        <v>0</v>
      </c>
      <c r="P46" s="22">
        <f t="shared" si="23"/>
        <v>0</v>
      </c>
      <c r="Q46" s="22">
        <f t="shared" si="24"/>
        <v>0</v>
      </c>
      <c r="R46" s="22">
        <f t="shared" si="24"/>
        <v>0</v>
      </c>
      <c r="S46" s="22">
        <f t="shared" si="24"/>
        <v>0</v>
      </c>
      <c r="T46" s="22">
        <f t="shared" si="25"/>
        <v>0</v>
      </c>
    </row>
    <row r="47" spans="1:20" x14ac:dyDescent="0.35">
      <c r="A47" s="2">
        <v>33</v>
      </c>
      <c r="B47" s="48" t="s">
        <v>23</v>
      </c>
      <c r="C47" s="24" t="s">
        <v>4</v>
      </c>
      <c r="D47" s="24">
        <f t="shared" si="17"/>
        <v>939.077</v>
      </c>
      <c r="E47" s="22">
        <f t="shared" si="18"/>
        <v>57.411000000000001</v>
      </c>
      <c r="F47" s="22">
        <f t="shared" si="35"/>
        <v>70.203000000000003</v>
      </c>
      <c r="G47" s="22">
        <f t="shared" si="35"/>
        <v>83.673000000000002</v>
      </c>
      <c r="H47" s="22">
        <f t="shared" si="19"/>
        <v>211.28700000000001</v>
      </c>
      <c r="I47" s="22">
        <f t="shared" si="20"/>
        <v>92.447000000000003</v>
      </c>
      <c r="J47" s="22">
        <f t="shared" si="20"/>
        <v>98.084999999999994</v>
      </c>
      <c r="K47" s="22">
        <f t="shared" si="20"/>
        <v>109.315</v>
      </c>
      <c r="L47" s="22">
        <f t="shared" si="36"/>
        <v>299.84699999999998</v>
      </c>
      <c r="M47" s="22">
        <f t="shared" si="22"/>
        <v>78.47</v>
      </c>
      <c r="N47" s="22">
        <f t="shared" si="22"/>
        <v>57.617999999999995</v>
      </c>
      <c r="O47" s="22">
        <f t="shared" si="22"/>
        <v>55.19</v>
      </c>
      <c r="P47" s="22">
        <f t="shared" si="23"/>
        <v>191.27799999999999</v>
      </c>
      <c r="Q47" s="22">
        <f t="shared" si="24"/>
        <v>66.38</v>
      </c>
      <c r="R47" s="22">
        <f t="shared" si="24"/>
        <v>79.13</v>
      </c>
      <c r="S47" s="22">
        <f t="shared" si="24"/>
        <v>91.154999999999987</v>
      </c>
      <c r="T47" s="22">
        <f t="shared" si="25"/>
        <v>236.66499999999996</v>
      </c>
    </row>
    <row r="48" spans="1:20" x14ac:dyDescent="0.35">
      <c r="A48" s="2">
        <v>34</v>
      </c>
      <c r="B48" s="48" t="s">
        <v>24</v>
      </c>
      <c r="C48" s="24" t="s">
        <v>4</v>
      </c>
      <c r="D48" s="24">
        <f t="shared" si="17"/>
        <v>11036.6</v>
      </c>
      <c r="E48" s="22">
        <f t="shared" si="18"/>
        <v>730.3</v>
      </c>
      <c r="F48" s="22">
        <f t="shared" si="35"/>
        <v>843.5</v>
      </c>
      <c r="G48" s="22">
        <f t="shared" si="35"/>
        <v>1444.8</v>
      </c>
      <c r="H48" s="22">
        <f t="shared" si="19"/>
        <v>3018.6</v>
      </c>
      <c r="I48" s="22">
        <f t="shared" si="20"/>
        <v>1690.4</v>
      </c>
      <c r="J48" s="22">
        <f t="shared" si="20"/>
        <v>1023.8</v>
      </c>
      <c r="K48" s="22">
        <f t="shared" si="20"/>
        <v>903</v>
      </c>
      <c r="L48" s="22">
        <f t="shared" si="36"/>
        <v>3617.2</v>
      </c>
      <c r="M48" s="22">
        <f t="shared" si="22"/>
        <v>843.3</v>
      </c>
      <c r="N48" s="22">
        <f t="shared" si="22"/>
        <v>823.9</v>
      </c>
      <c r="O48" s="22">
        <f t="shared" si="22"/>
        <v>821.5</v>
      </c>
      <c r="P48" s="22">
        <f t="shared" si="23"/>
        <v>2488.6999999999998</v>
      </c>
      <c r="Q48" s="22">
        <f t="shared" si="24"/>
        <v>672</v>
      </c>
      <c r="R48" s="22">
        <f t="shared" si="24"/>
        <v>645.5</v>
      </c>
      <c r="S48" s="22">
        <f t="shared" si="24"/>
        <v>594.6</v>
      </c>
      <c r="T48" s="22">
        <f t="shared" si="25"/>
        <v>1912.1</v>
      </c>
    </row>
    <row r="49" spans="1:20" x14ac:dyDescent="0.35">
      <c r="A49" s="2">
        <v>35</v>
      </c>
      <c r="B49" s="48" t="s">
        <v>49</v>
      </c>
      <c r="C49" s="24" t="s">
        <v>4</v>
      </c>
      <c r="D49" s="24">
        <f t="shared" si="17"/>
        <v>6.4849999999999994</v>
      </c>
      <c r="E49" s="22">
        <f t="shared" si="18"/>
        <v>0.56999999999999995</v>
      </c>
      <c r="F49" s="22">
        <f t="shared" si="35"/>
        <v>0.55000000000000004</v>
      </c>
      <c r="G49" s="22">
        <f t="shared" si="35"/>
        <v>0.53</v>
      </c>
      <c r="H49" s="22">
        <f t="shared" si="19"/>
        <v>1.6500000000000001</v>
      </c>
      <c r="I49" s="22">
        <f t="shared" si="20"/>
        <v>0.54</v>
      </c>
      <c r="J49" s="22">
        <f t="shared" si="20"/>
        <v>0.5</v>
      </c>
      <c r="K49" s="22">
        <f t="shared" si="20"/>
        <v>0.51</v>
      </c>
      <c r="L49" s="22">
        <f t="shared" si="36"/>
        <v>1.55</v>
      </c>
      <c r="M49" s="22">
        <f t="shared" si="22"/>
        <v>0.52</v>
      </c>
      <c r="N49" s="22">
        <f t="shared" si="22"/>
        <v>0.54</v>
      </c>
      <c r="O49" s="22">
        <f t="shared" si="22"/>
        <v>0.5</v>
      </c>
      <c r="P49" s="22">
        <f t="shared" si="23"/>
        <v>1.56</v>
      </c>
      <c r="Q49" s="22">
        <f t="shared" si="24"/>
        <v>0.54500000000000004</v>
      </c>
      <c r="R49" s="22">
        <f t="shared" si="24"/>
        <v>0.56000000000000005</v>
      </c>
      <c r="S49" s="22">
        <f t="shared" si="24"/>
        <v>0.62</v>
      </c>
      <c r="T49" s="22">
        <f t="shared" si="25"/>
        <v>1.7250000000000001</v>
      </c>
    </row>
    <row r="50" spans="1:20" x14ac:dyDescent="0.35">
      <c r="A50" s="2">
        <v>36</v>
      </c>
      <c r="B50" s="48" t="s">
        <v>50</v>
      </c>
      <c r="C50" s="24" t="s">
        <v>4</v>
      </c>
      <c r="D50" s="24">
        <f t="shared" si="17"/>
        <v>96.8</v>
      </c>
      <c r="E50" s="22">
        <f t="shared" si="18"/>
        <v>8.4</v>
      </c>
      <c r="F50" s="22">
        <f t="shared" si="35"/>
        <v>8.3000000000000007</v>
      </c>
      <c r="G50" s="22">
        <f t="shared" si="35"/>
        <v>8.5</v>
      </c>
      <c r="H50" s="22">
        <f t="shared" si="19"/>
        <v>25.200000000000003</v>
      </c>
      <c r="I50" s="22">
        <f t="shared" si="20"/>
        <v>8.8000000000000007</v>
      </c>
      <c r="J50" s="22">
        <f t="shared" si="20"/>
        <v>9.1999999999999993</v>
      </c>
      <c r="K50" s="22">
        <f t="shared" si="20"/>
        <v>9</v>
      </c>
      <c r="L50" s="22">
        <f t="shared" si="36"/>
        <v>27</v>
      </c>
      <c r="M50" s="22">
        <f t="shared" si="22"/>
        <v>8.9</v>
      </c>
      <c r="N50" s="22">
        <f t="shared" si="22"/>
        <v>8.6999999999999993</v>
      </c>
      <c r="O50" s="22">
        <f t="shared" si="22"/>
        <v>8.1999999999999993</v>
      </c>
      <c r="P50" s="22">
        <f t="shared" si="23"/>
        <v>25.8</v>
      </c>
      <c r="Q50" s="22">
        <f t="shared" si="24"/>
        <v>6.7</v>
      </c>
      <c r="R50" s="22">
        <f t="shared" si="24"/>
        <v>6.1</v>
      </c>
      <c r="S50" s="22">
        <f t="shared" si="24"/>
        <v>6</v>
      </c>
      <c r="T50" s="22">
        <f t="shared" si="25"/>
        <v>18.8</v>
      </c>
    </row>
    <row r="51" spans="1:20" x14ac:dyDescent="0.35">
      <c r="A51" s="2">
        <v>37</v>
      </c>
      <c r="B51" s="48" t="s">
        <v>25</v>
      </c>
      <c r="C51" s="24" t="s">
        <v>4</v>
      </c>
      <c r="D51" s="24">
        <f t="shared" si="17"/>
        <v>9142.3000000000011</v>
      </c>
      <c r="E51" s="22">
        <f t="shared" si="18"/>
        <v>255.7</v>
      </c>
      <c r="F51" s="22">
        <f t="shared" si="35"/>
        <v>279.39999999999998</v>
      </c>
      <c r="G51" s="22">
        <f t="shared" si="35"/>
        <v>515.4</v>
      </c>
      <c r="H51" s="22">
        <f t="shared" si="19"/>
        <v>1050.5</v>
      </c>
      <c r="I51" s="22">
        <f t="shared" si="20"/>
        <v>1092.1999999999998</v>
      </c>
      <c r="J51" s="22">
        <f t="shared" si="20"/>
        <v>1202.0999999999999</v>
      </c>
      <c r="K51" s="22">
        <f t="shared" si="20"/>
        <v>460.70000000000005</v>
      </c>
      <c r="L51" s="22">
        <f t="shared" si="36"/>
        <v>2755</v>
      </c>
      <c r="M51" s="22">
        <f t="shared" si="22"/>
        <v>1474.5</v>
      </c>
      <c r="N51" s="22">
        <f t="shared" si="22"/>
        <v>1632.8000000000002</v>
      </c>
      <c r="O51" s="22">
        <f t="shared" si="22"/>
        <v>953.3</v>
      </c>
      <c r="P51" s="22">
        <f t="shared" si="23"/>
        <v>4060.6000000000004</v>
      </c>
      <c r="Q51" s="22">
        <f t="shared" si="24"/>
        <v>463.7</v>
      </c>
      <c r="R51" s="22">
        <f t="shared" si="24"/>
        <v>460.2</v>
      </c>
      <c r="S51" s="22">
        <f t="shared" si="24"/>
        <v>352.3</v>
      </c>
      <c r="T51" s="22">
        <f t="shared" si="25"/>
        <v>1276.2</v>
      </c>
    </row>
    <row r="52" spans="1:20" x14ac:dyDescent="0.35">
      <c r="A52" s="2">
        <v>38</v>
      </c>
      <c r="B52" s="48" t="s">
        <v>51</v>
      </c>
      <c r="C52" s="24" t="s">
        <v>4</v>
      </c>
      <c r="D52" s="24">
        <f t="shared" si="17"/>
        <v>0</v>
      </c>
      <c r="E52" s="22">
        <f t="shared" si="18"/>
        <v>0</v>
      </c>
      <c r="F52" s="22">
        <f t="shared" ref="F52:G52" si="37">SUM(F96,F140,F184)</f>
        <v>0</v>
      </c>
      <c r="G52" s="22">
        <f t="shared" si="37"/>
        <v>0</v>
      </c>
      <c r="H52" s="22">
        <f t="shared" si="19"/>
        <v>0</v>
      </c>
      <c r="I52" s="22">
        <f t="shared" si="20"/>
        <v>0</v>
      </c>
      <c r="J52" s="22">
        <f t="shared" si="20"/>
        <v>0</v>
      </c>
      <c r="K52" s="22">
        <f t="shared" si="20"/>
        <v>0</v>
      </c>
      <c r="L52" s="22">
        <f t="shared" si="36"/>
        <v>0</v>
      </c>
      <c r="M52" s="22">
        <f t="shared" si="22"/>
        <v>0</v>
      </c>
      <c r="N52" s="22">
        <f t="shared" si="22"/>
        <v>0</v>
      </c>
      <c r="O52" s="22">
        <f t="shared" si="22"/>
        <v>0</v>
      </c>
      <c r="P52" s="22">
        <f t="shared" si="23"/>
        <v>0</v>
      </c>
      <c r="Q52" s="22">
        <f t="shared" si="24"/>
        <v>0</v>
      </c>
      <c r="R52" s="22">
        <f t="shared" si="24"/>
        <v>0</v>
      </c>
      <c r="S52" s="22">
        <f t="shared" si="24"/>
        <v>0</v>
      </c>
      <c r="T52" s="22">
        <f t="shared" si="25"/>
        <v>0</v>
      </c>
    </row>
    <row r="53" spans="1:20" x14ac:dyDescent="0.35">
      <c r="D53" s="85"/>
    </row>
    <row r="55" spans="1:20" x14ac:dyDescent="0.35">
      <c r="A55" s="1" t="s">
        <v>103</v>
      </c>
    </row>
    <row r="56" spans="1:20" ht="15.5" x14ac:dyDescent="0.35">
      <c r="A56" s="10" t="s">
        <v>0</v>
      </c>
      <c r="B56" s="10" t="s">
        <v>1</v>
      </c>
      <c r="C56" s="10" t="s">
        <v>2</v>
      </c>
      <c r="D56" s="31" t="s">
        <v>67</v>
      </c>
      <c r="E56" s="27" t="s">
        <v>113</v>
      </c>
      <c r="F56" s="27" t="s">
        <v>114</v>
      </c>
      <c r="G56" s="27" t="s">
        <v>115</v>
      </c>
      <c r="H56" s="28" t="s">
        <v>27</v>
      </c>
      <c r="I56" s="27" t="s">
        <v>55</v>
      </c>
      <c r="J56" s="27" t="s">
        <v>116</v>
      </c>
      <c r="K56" s="27" t="s">
        <v>117</v>
      </c>
      <c r="L56" s="28" t="s">
        <v>54</v>
      </c>
      <c r="M56" s="27" t="s">
        <v>118</v>
      </c>
      <c r="N56" s="27" t="s">
        <v>119</v>
      </c>
      <c r="O56" s="27" t="s">
        <v>56</v>
      </c>
      <c r="P56" s="28" t="s">
        <v>57</v>
      </c>
      <c r="Q56" s="27" t="s">
        <v>120</v>
      </c>
      <c r="R56" s="27" t="s">
        <v>58</v>
      </c>
      <c r="S56" s="27" t="s">
        <v>121</v>
      </c>
      <c r="T56" s="28" t="s">
        <v>59</v>
      </c>
    </row>
    <row r="57" spans="1:20" ht="15.5" x14ac:dyDescent="0.35">
      <c r="A57" s="12"/>
      <c r="B57" s="12"/>
      <c r="C57" s="12"/>
      <c r="D57" s="32"/>
      <c r="E57" s="29"/>
      <c r="F57" s="29"/>
      <c r="G57" s="13"/>
      <c r="H57" s="9"/>
      <c r="I57" s="13"/>
      <c r="J57" s="13"/>
      <c r="K57" s="13"/>
      <c r="L57" s="9"/>
      <c r="M57" s="13"/>
      <c r="N57" s="13"/>
      <c r="O57" s="13"/>
      <c r="P57" s="9"/>
      <c r="Q57" s="13"/>
      <c r="R57" s="13"/>
      <c r="S57" s="13"/>
      <c r="T57" s="9"/>
    </row>
    <row r="58" spans="1:20" x14ac:dyDescent="0.35">
      <c r="A58" s="5"/>
      <c r="B58" s="6" t="s">
        <v>26</v>
      </c>
      <c r="C58" s="6" t="s">
        <v>4</v>
      </c>
      <c r="D58" s="33">
        <f>SUM(D59:D96)</f>
        <v>391334.20799999993</v>
      </c>
      <c r="E58" s="84">
        <f>SUM(E59:E96)</f>
        <v>29152.745999999999</v>
      </c>
      <c r="F58" s="84">
        <f>SUM(F59:F96)</f>
        <v>26940.293000000001</v>
      </c>
      <c r="G58" s="94">
        <f>SUM(G59:G96)</f>
        <v>26650.341</v>
      </c>
      <c r="H58" s="84">
        <f>SUM(E58:G58)</f>
        <v>82743.38</v>
      </c>
      <c r="I58" s="84">
        <f>SUM(I59:I96)</f>
        <v>32706.071999999996</v>
      </c>
      <c r="J58" s="84">
        <f>SUM(J59:J96)</f>
        <v>35177.114999999998</v>
      </c>
      <c r="K58" s="84">
        <f>SUM(K59:K96)</f>
        <v>34135.074999999997</v>
      </c>
      <c r="L58" s="84">
        <f>SUM(I58:K58)</f>
        <v>102018.26199999999</v>
      </c>
      <c r="M58" s="84">
        <f>SUM(M59:M96)</f>
        <v>36065.858999999997</v>
      </c>
      <c r="N58" s="84">
        <f t="shared" ref="N58:O58" si="38">SUM(N59:N96)</f>
        <v>36701.989000000001</v>
      </c>
      <c r="O58" s="84">
        <f t="shared" si="38"/>
        <v>40121.112000000008</v>
      </c>
      <c r="P58" s="84">
        <f t="shared" ref="P58" si="39">SUM(M58:O58)</f>
        <v>112888.96000000001</v>
      </c>
      <c r="Q58" s="84">
        <f>SUM(Q59:Q96)</f>
        <v>35223.212999999996</v>
      </c>
      <c r="R58" s="84">
        <f t="shared" ref="R58:S58" si="40">SUM(R59:R96)</f>
        <v>31009.543999999998</v>
      </c>
      <c r="S58" s="84">
        <f t="shared" si="40"/>
        <v>27450.848999999998</v>
      </c>
      <c r="T58" s="84">
        <f t="shared" ref="T58" si="41">SUM(Q58:S58)</f>
        <v>93683.606</v>
      </c>
    </row>
    <row r="59" spans="1:20" x14ac:dyDescent="0.35">
      <c r="A59" s="2">
        <v>1</v>
      </c>
      <c r="B59" s="3" t="s">
        <v>3</v>
      </c>
      <c r="C59" s="4" t="s">
        <v>4</v>
      </c>
      <c r="D59" s="24">
        <f>SUM(H59,L59,P59,T59)</f>
        <v>7686.4459999999999</v>
      </c>
      <c r="E59" s="35">
        <v>188.696</v>
      </c>
      <c r="F59" s="35">
        <v>231.33500000000001</v>
      </c>
      <c r="G59" s="35">
        <v>321.07799999999997</v>
      </c>
      <c r="H59" s="22">
        <f>SUM(E59:G59)</f>
        <v>741.10899999999992</v>
      </c>
      <c r="I59" s="35">
        <v>638.54700000000003</v>
      </c>
      <c r="J59" s="35">
        <v>737.928</v>
      </c>
      <c r="K59" s="35">
        <v>666.26199999999994</v>
      </c>
      <c r="L59" s="22">
        <f>SUM(I59:K59)</f>
        <v>2042.7369999999999</v>
      </c>
      <c r="M59" s="22">
        <v>937.3</v>
      </c>
      <c r="N59" s="22">
        <v>1622.1</v>
      </c>
      <c r="O59" s="22">
        <v>1135.5999999999999</v>
      </c>
      <c r="P59" s="22">
        <f>SUM(M59:O59)</f>
        <v>3694.9999999999995</v>
      </c>
      <c r="Q59" s="22">
        <v>612.79999999999995</v>
      </c>
      <c r="R59" s="22">
        <v>324.39999999999998</v>
      </c>
      <c r="S59" s="22">
        <v>270.39999999999998</v>
      </c>
      <c r="T59" s="22">
        <f>SUM(Q59:S59)</f>
        <v>1207.5999999999999</v>
      </c>
    </row>
    <row r="60" spans="1:20" x14ac:dyDescent="0.35">
      <c r="A60" s="2">
        <f t="shared" ref="A60:A80" si="42">A59+1</f>
        <v>2</v>
      </c>
      <c r="B60" s="3" t="s">
        <v>28</v>
      </c>
      <c r="C60" s="4" t="s">
        <v>4</v>
      </c>
      <c r="D60" s="24">
        <f t="shared" ref="D60:D96" si="43">SUM(H60,L60,P60,T60)</f>
        <v>0</v>
      </c>
      <c r="E60" s="35">
        <v>0</v>
      </c>
      <c r="F60" s="35">
        <v>0</v>
      </c>
      <c r="G60" s="35">
        <v>0</v>
      </c>
      <c r="H60" s="22">
        <f t="shared" ref="H60:H96" si="44">SUM(E60:G60)</f>
        <v>0</v>
      </c>
      <c r="I60" s="35">
        <v>0</v>
      </c>
      <c r="J60" s="35">
        <v>0</v>
      </c>
      <c r="K60" s="35"/>
      <c r="L60" s="22">
        <f t="shared" ref="L60:L96" si="45">SUM(I60:K60)</f>
        <v>0</v>
      </c>
      <c r="M60" s="22">
        <v>0</v>
      </c>
      <c r="N60" s="22">
        <v>0</v>
      </c>
      <c r="O60" s="22">
        <v>0</v>
      </c>
      <c r="P60" s="22">
        <f t="shared" ref="P60:P96" si="46">SUM(M60:O60)</f>
        <v>0</v>
      </c>
      <c r="Q60" s="22">
        <v>0</v>
      </c>
      <c r="R60" s="22">
        <v>0</v>
      </c>
      <c r="S60" s="22">
        <v>0</v>
      </c>
      <c r="T60" s="22">
        <f t="shared" ref="T60:T96" si="47">SUM(Q60:S60)</f>
        <v>0</v>
      </c>
    </row>
    <row r="61" spans="1:20" x14ac:dyDescent="0.35">
      <c r="A61" s="2">
        <f t="shared" si="42"/>
        <v>3</v>
      </c>
      <c r="B61" s="3" t="s">
        <v>5</v>
      </c>
      <c r="C61" s="4" t="s">
        <v>4</v>
      </c>
      <c r="D61" s="24">
        <f t="shared" si="43"/>
        <v>802.28399999999999</v>
      </c>
      <c r="E61" s="35">
        <v>40.255000000000003</v>
      </c>
      <c r="F61" s="35">
        <v>30.672999999999998</v>
      </c>
      <c r="G61" s="35">
        <v>39.759</v>
      </c>
      <c r="H61" s="22">
        <f t="shared" si="44"/>
        <v>110.687</v>
      </c>
      <c r="I61" s="35">
        <v>115.512</v>
      </c>
      <c r="J61" s="35">
        <v>45.521999999999998</v>
      </c>
      <c r="K61" s="35">
        <v>19.266999999999999</v>
      </c>
      <c r="L61" s="22">
        <f t="shared" si="45"/>
        <v>180.30099999999999</v>
      </c>
      <c r="M61" s="22">
        <v>115.812</v>
      </c>
      <c r="N61" s="22">
        <v>101.994</v>
      </c>
      <c r="O61" s="22">
        <v>81.715000000000003</v>
      </c>
      <c r="P61" s="22">
        <f t="shared" si="46"/>
        <v>299.52099999999996</v>
      </c>
      <c r="Q61" s="22">
        <v>111.003</v>
      </c>
      <c r="R61" s="22">
        <v>60.893999999999998</v>
      </c>
      <c r="S61" s="22">
        <v>39.878</v>
      </c>
      <c r="T61" s="22">
        <f t="shared" si="47"/>
        <v>211.77499999999998</v>
      </c>
    </row>
    <row r="62" spans="1:20" x14ac:dyDescent="0.35">
      <c r="A62" s="2">
        <f t="shared" si="42"/>
        <v>4</v>
      </c>
      <c r="B62" s="3" t="s">
        <v>6</v>
      </c>
      <c r="C62" s="4" t="s">
        <v>4</v>
      </c>
      <c r="D62" s="24">
        <f t="shared" si="43"/>
        <v>9791.2000000000007</v>
      </c>
      <c r="E62" s="35">
        <v>1197.3</v>
      </c>
      <c r="F62" s="35">
        <v>821.5</v>
      </c>
      <c r="G62" s="35">
        <v>607</v>
      </c>
      <c r="H62" s="22">
        <f t="shared" si="44"/>
        <v>2625.8</v>
      </c>
      <c r="I62" s="35">
        <v>560.5</v>
      </c>
      <c r="J62" s="35">
        <v>985.8</v>
      </c>
      <c r="K62" s="35">
        <v>905.9</v>
      </c>
      <c r="L62" s="22">
        <f t="shared" si="45"/>
        <v>2452.1999999999998</v>
      </c>
      <c r="M62" s="22">
        <v>796.8</v>
      </c>
      <c r="N62" s="22">
        <v>994.6</v>
      </c>
      <c r="O62" s="22">
        <v>706.6</v>
      </c>
      <c r="P62" s="22">
        <f t="shared" si="46"/>
        <v>2498</v>
      </c>
      <c r="Q62" s="22">
        <v>1121.7</v>
      </c>
      <c r="R62" s="22">
        <v>545</v>
      </c>
      <c r="S62" s="22">
        <v>548.5</v>
      </c>
      <c r="T62" s="22">
        <f t="shared" si="47"/>
        <v>2215.1999999999998</v>
      </c>
    </row>
    <row r="63" spans="1:20" x14ac:dyDescent="0.35">
      <c r="A63" s="2">
        <f t="shared" si="42"/>
        <v>5</v>
      </c>
      <c r="B63" s="3" t="s">
        <v>7</v>
      </c>
      <c r="C63" s="4" t="s">
        <v>4</v>
      </c>
      <c r="D63" s="24">
        <f t="shared" si="43"/>
        <v>591.5</v>
      </c>
      <c r="E63" s="35">
        <v>25.5</v>
      </c>
      <c r="F63" s="35">
        <v>38.200000000000003</v>
      </c>
      <c r="G63" s="35">
        <v>54.7</v>
      </c>
      <c r="H63" s="22">
        <f t="shared" si="44"/>
        <v>118.4</v>
      </c>
      <c r="I63" s="35">
        <v>62.4</v>
      </c>
      <c r="J63" s="35">
        <v>47.3</v>
      </c>
      <c r="K63" s="35">
        <v>29.4</v>
      </c>
      <c r="L63" s="22">
        <f t="shared" si="45"/>
        <v>139.1</v>
      </c>
      <c r="M63" s="22">
        <v>59.2</v>
      </c>
      <c r="N63" s="22">
        <v>63.6</v>
      </c>
      <c r="O63" s="22">
        <v>68.7</v>
      </c>
      <c r="P63" s="22">
        <f t="shared" si="46"/>
        <v>191.5</v>
      </c>
      <c r="Q63" s="22">
        <v>50</v>
      </c>
      <c r="R63" s="22">
        <v>47.7</v>
      </c>
      <c r="S63" s="22">
        <v>44.8</v>
      </c>
      <c r="T63" s="22">
        <f t="shared" si="47"/>
        <v>142.5</v>
      </c>
    </row>
    <row r="64" spans="1:20" x14ac:dyDescent="0.35">
      <c r="A64" s="2">
        <f t="shared" si="42"/>
        <v>6</v>
      </c>
      <c r="B64" s="3" t="s">
        <v>29</v>
      </c>
      <c r="C64" s="4" t="s">
        <v>4</v>
      </c>
      <c r="D64" s="24">
        <f t="shared" si="43"/>
        <v>0</v>
      </c>
      <c r="E64" s="35">
        <v>0</v>
      </c>
      <c r="F64" s="35">
        <v>0</v>
      </c>
      <c r="G64" s="35">
        <v>0</v>
      </c>
      <c r="H64" s="22">
        <f t="shared" si="44"/>
        <v>0</v>
      </c>
      <c r="I64" s="35">
        <v>0</v>
      </c>
      <c r="J64" s="35">
        <v>0</v>
      </c>
      <c r="K64" s="35">
        <v>0</v>
      </c>
      <c r="L64" s="22">
        <f t="shared" si="45"/>
        <v>0</v>
      </c>
      <c r="M64" s="22">
        <v>0</v>
      </c>
      <c r="N64" s="22">
        <v>0</v>
      </c>
      <c r="O64" s="22">
        <v>0</v>
      </c>
      <c r="P64" s="22">
        <f t="shared" si="46"/>
        <v>0</v>
      </c>
      <c r="Q64" s="22">
        <v>0</v>
      </c>
      <c r="R64" s="22">
        <v>0</v>
      </c>
      <c r="S64" s="22">
        <v>0</v>
      </c>
      <c r="T64" s="22">
        <f t="shared" si="47"/>
        <v>0</v>
      </c>
    </row>
    <row r="65" spans="1:20" x14ac:dyDescent="0.35">
      <c r="A65" s="2">
        <f t="shared" si="42"/>
        <v>7</v>
      </c>
      <c r="B65" s="3" t="s">
        <v>8</v>
      </c>
      <c r="C65" s="4" t="s">
        <v>4</v>
      </c>
      <c r="D65" s="24">
        <f t="shared" si="43"/>
        <v>8592.4179999999997</v>
      </c>
      <c r="E65" s="35">
        <v>1167.4649999999999</v>
      </c>
      <c r="F65" s="35">
        <v>639.32500000000005</v>
      </c>
      <c r="G65" s="35">
        <v>1382.2840000000001</v>
      </c>
      <c r="H65" s="22">
        <f t="shared" si="44"/>
        <v>3189.0740000000001</v>
      </c>
      <c r="I65" s="35">
        <v>1129.3430000000001</v>
      </c>
      <c r="J65" s="35">
        <v>883.27499999999998</v>
      </c>
      <c r="K65" s="35">
        <v>896.16600000000005</v>
      </c>
      <c r="L65" s="22">
        <f t="shared" si="45"/>
        <v>2908.7840000000001</v>
      </c>
      <c r="M65" s="22">
        <v>925.35699999999997</v>
      </c>
      <c r="N65" s="22">
        <v>791.52499999999998</v>
      </c>
      <c r="O65" s="22">
        <v>334.54700000000003</v>
      </c>
      <c r="P65" s="22">
        <f t="shared" si="46"/>
        <v>2051.4290000000001</v>
      </c>
      <c r="Q65" s="22">
        <v>199.03</v>
      </c>
      <c r="R65" s="22">
        <v>144.05000000000001</v>
      </c>
      <c r="S65" s="22">
        <v>100.051</v>
      </c>
      <c r="T65" s="22">
        <f t="shared" si="47"/>
        <v>443.13100000000003</v>
      </c>
    </row>
    <row r="66" spans="1:20" x14ac:dyDescent="0.35">
      <c r="A66" s="2">
        <f t="shared" si="42"/>
        <v>8</v>
      </c>
      <c r="B66" s="3" t="s">
        <v>9</v>
      </c>
      <c r="C66" s="4" t="s">
        <v>4</v>
      </c>
      <c r="D66" s="24">
        <f t="shared" si="43"/>
        <v>6365.4</v>
      </c>
      <c r="E66" s="35">
        <v>509</v>
      </c>
      <c r="F66" s="35">
        <v>488.9</v>
      </c>
      <c r="G66" s="35">
        <v>621.20000000000005</v>
      </c>
      <c r="H66" s="22">
        <f t="shared" si="44"/>
        <v>1619.1</v>
      </c>
      <c r="I66" s="35">
        <v>311.5</v>
      </c>
      <c r="J66" s="35">
        <v>336.4</v>
      </c>
      <c r="K66" s="35">
        <v>336.4</v>
      </c>
      <c r="L66" s="22">
        <f t="shared" si="45"/>
        <v>984.3</v>
      </c>
      <c r="M66" s="22">
        <v>430.5</v>
      </c>
      <c r="N66" s="22">
        <v>612</v>
      </c>
      <c r="O66" s="22">
        <v>871.2</v>
      </c>
      <c r="P66" s="22">
        <f t="shared" si="46"/>
        <v>1913.7</v>
      </c>
      <c r="Q66" s="22">
        <v>511.4</v>
      </c>
      <c r="R66" s="22">
        <v>649.4</v>
      </c>
      <c r="S66" s="22">
        <v>687.5</v>
      </c>
      <c r="T66" s="22">
        <f t="shared" si="47"/>
        <v>1848.3</v>
      </c>
    </row>
    <row r="67" spans="1:20" x14ac:dyDescent="0.35">
      <c r="A67" s="2">
        <f t="shared" si="42"/>
        <v>9</v>
      </c>
      <c r="B67" s="3" t="s">
        <v>10</v>
      </c>
      <c r="C67" s="4" t="s">
        <v>4</v>
      </c>
      <c r="D67" s="24">
        <f t="shared" si="43"/>
        <v>14517.2</v>
      </c>
      <c r="E67" s="35">
        <v>199.7</v>
      </c>
      <c r="F67" s="35">
        <v>207.5</v>
      </c>
      <c r="G67" s="35">
        <v>331.8</v>
      </c>
      <c r="H67" s="22">
        <f t="shared" si="44"/>
        <v>739</v>
      </c>
      <c r="I67" s="35">
        <v>418</v>
      </c>
      <c r="J67" s="35">
        <v>583.20000000000005</v>
      </c>
      <c r="K67" s="35">
        <v>761.1</v>
      </c>
      <c r="L67" s="22">
        <f t="shared" si="45"/>
        <v>1762.3000000000002</v>
      </c>
      <c r="M67" s="22">
        <v>1254.8</v>
      </c>
      <c r="N67" s="22">
        <v>1832.7</v>
      </c>
      <c r="O67" s="22">
        <v>2835.4</v>
      </c>
      <c r="P67" s="22">
        <f t="shared" si="46"/>
        <v>5922.9</v>
      </c>
      <c r="Q67" s="22">
        <v>2547.5</v>
      </c>
      <c r="R67" s="22">
        <v>2132</v>
      </c>
      <c r="S67" s="22">
        <v>1413.5</v>
      </c>
      <c r="T67" s="22">
        <f t="shared" si="47"/>
        <v>6093</v>
      </c>
    </row>
    <row r="68" spans="1:20" x14ac:dyDescent="0.35">
      <c r="A68" s="2">
        <f t="shared" si="42"/>
        <v>10</v>
      </c>
      <c r="B68" s="3" t="s">
        <v>11</v>
      </c>
      <c r="C68" s="4" t="s">
        <v>4</v>
      </c>
      <c r="D68" s="24">
        <f t="shared" si="43"/>
        <v>61415.3</v>
      </c>
      <c r="E68" s="35">
        <v>6202.7</v>
      </c>
      <c r="F68" s="35">
        <v>3903.7</v>
      </c>
      <c r="G68" s="35">
        <v>3114.4</v>
      </c>
      <c r="H68" s="22">
        <f t="shared" si="44"/>
        <v>13220.8</v>
      </c>
      <c r="I68" s="35">
        <v>4436</v>
      </c>
      <c r="J68" s="35">
        <v>4907.2</v>
      </c>
      <c r="K68" s="35">
        <v>5346.5</v>
      </c>
      <c r="L68" s="22">
        <f t="shared" si="45"/>
        <v>14689.7</v>
      </c>
      <c r="M68" s="22">
        <v>5532.7</v>
      </c>
      <c r="N68" s="22">
        <v>3630.6</v>
      </c>
      <c r="O68" s="22">
        <v>4316.7</v>
      </c>
      <c r="P68" s="22">
        <f t="shared" si="46"/>
        <v>13480</v>
      </c>
      <c r="Q68" s="22">
        <v>6664.4</v>
      </c>
      <c r="R68" s="22">
        <v>7102.4</v>
      </c>
      <c r="S68" s="22">
        <v>6258</v>
      </c>
      <c r="T68" s="22">
        <f t="shared" si="47"/>
        <v>20024.8</v>
      </c>
    </row>
    <row r="69" spans="1:20" x14ac:dyDescent="0.35">
      <c r="A69" s="2">
        <f t="shared" si="42"/>
        <v>11</v>
      </c>
      <c r="B69" s="3" t="s">
        <v>30</v>
      </c>
      <c r="C69" s="4" t="s">
        <v>4</v>
      </c>
      <c r="D69" s="24">
        <f t="shared" si="43"/>
        <v>0</v>
      </c>
      <c r="E69" s="35">
        <v>0</v>
      </c>
      <c r="F69" s="35">
        <v>0</v>
      </c>
      <c r="G69" s="35">
        <v>0</v>
      </c>
      <c r="H69" s="22">
        <f t="shared" si="44"/>
        <v>0</v>
      </c>
      <c r="I69" s="35">
        <v>0</v>
      </c>
      <c r="J69" s="35">
        <v>0</v>
      </c>
      <c r="K69" s="35">
        <v>0</v>
      </c>
      <c r="L69" s="22">
        <f t="shared" si="45"/>
        <v>0</v>
      </c>
      <c r="M69" s="22">
        <v>0</v>
      </c>
      <c r="N69" s="22">
        <v>0</v>
      </c>
      <c r="O69" s="22">
        <v>0</v>
      </c>
      <c r="P69" s="22">
        <f t="shared" si="46"/>
        <v>0</v>
      </c>
      <c r="Q69" s="22">
        <v>0</v>
      </c>
      <c r="R69" s="22">
        <v>0</v>
      </c>
      <c r="S69" s="22">
        <v>0</v>
      </c>
      <c r="T69" s="22">
        <f t="shared" si="47"/>
        <v>0</v>
      </c>
    </row>
    <row r="70" spans="1:20" x14ac:dyDescent="0.35">
      <c r="A70" s="2">
        <f t="shared" si="42"/>
        <v>12</v>
      </c>
      <c r="B70" s="3" t="s">
        <v>12</v>
      </c>
      <c r="C70" s="4" t="s">
        <v>4</v>
      </c>
      <c r="D70" s="24">
        <f t="shared" si="43"/>
        <v>19145.149999999998</v>
      </c>
      <c r="E70" s="35">
        <v>1481</v>
      </c>
      <c r="F70" s="35">
        <v>1304.5</v>
      </c>
      <c r="G70" s="35">
        <v>1423.65</v>
      </c>
      <c r="H70" s="22">
        <f t="shared" si="44"/>
        <v>4209.1499999999996</v>
      </c>
      <c r="I70" s="35">
        <v>1613.2</v>
      </c>
      <c r="J70" s="35">
        <v>1528.8</v>
      </c>
      <c r="K70" s="35">
        <v>1591.7</v>
      </c>
      <c r="L70" s="22">
        <f t="shared" si="45"/>
        <v>4733.7</v>
      </c>
      <c r="M70" s="22">
        <v>2003.8</v>
      </c>
      <c r="N70" s="22">
        <v>1710.2</v>
      </c>
      <c r="O70" s="22">
        <v>2032.4</v>
      </c>
      <c r="P70" s="22">
        <f t="shared" si="46"/>
        <v>5746.4</v>
      </c>
      <c r="Q70" s="22">
        <v>1616.7</v>
      </c>
      <c r="R70" s="22">
        <v>1350.6</v>
      </c>
      <c r="S70" s="22">
        <v>1488.6</v>
      </c>
      <c r="T70" s="22">
        <f t="shared" si="47"/>
        <v>4455.8999999999996</v>
      </c>
    </row>
    <row r="71" spans="1:20" x14ac:dyDescent="0.35">
      <c r="A71" s="2">
        <f t="shared" si="42"/>
        <v>13</v>
      </c>
      <c r="B71" s="3" t="s">
        <v>13</v>
      </c>
      <c r="C71" s="4" t="s">
        <v>4</v>
      </c>
      <c r="D71" s="24">
        <f t="shared" si="43"/>
        <v>31231.600000000002</v>
      </c>
      <c r="E71" s="35">
        <v>2152.9</v>
      </c>
      <c r="F71" s="35">
        <v>2205.6</v>
      </c>
      <c r="G71" s="35">
        <v>2506.8000000000002</v>
      </c>
      <c r="H71" s="22">
        <f t="shared" si="44"/>
        <v>6865.3</v>
      </c>
      <c r="I71" s="35">
        <v>3814.4</v>
      </c>
      <c r="J71" s="35">
        <v>3745.1</v>
      </c>
      <c r="K71" s="35">
        <v>2745.1</v>
      </c>
      <c r="L71" s="22">
        <f t="shared" si="45"/>
        <v>10304.6</v>
      </c>
      <c r="M71" s="22">
        <v>2305.3000000000002</v>
      </c>
      <c r="N71" s="22">
        <v>1902.5</v>
      </c>
      <c r="O71" s="22">
        <v>2615.1</v>
      </c>
      <c r="P71" s="22">
        <f t="shared" si="46"/>
        <v>6822.9</v>
      </c>
      <c r="Q71" s="22">
        <v>2389.1999999999998</v>
      </c>
      <c r="R71" s="22">
        <v>2418.1</v>
      </c>
      <c r="S71" s="22">
        <v>2431.5</v>
      </c>
      <c r="T71" s="22">
        <f t="shared" si="47"/>
        <v>7238.7999999999993</v>
      </c>
    </row>
    <row r="72" spans="1:20" x14ac:dyDescent="0.35">
      <c r="A72" s="2">
        <f t="shared" si="42"/>
        <v>14</v>
      </c>
      <c r="B72" s="3" t="s">
        <v>14</v>
      </c>
      <c r="C72" s="4" t="s">
        <v>4</v>
      </c>
      <c r="D72" s="24">
        <f t="shared" si="43"/>
        <v>23947.7</v>
      </c>
      <c r="E72" s="35">
        <v>2002.9</v>
      </c>
      <c r="F72" s="35">
        <v>2051.1</v>
      </c>
      <c r="G72" s="35">
        <v>1387.8</v>
      </c>
      <c r="H72" s="22">
        <f t="shared" si="44"/>
        <v>5441.8</v>
      </c>
      <c r="I72" s="35">
        <v>3924.7</v>
      </c>
      <c r="J72" s="35">
        <v>1668.7</v>
      </c>
      <c r="K72" s="35">
        <v>2266.3000000000002</v>
      </c>
      <c r="L72" s="22">
        <f t="shared" si="45"/>
        <v>7859.7</v>
      </c>
      <c r="M72" s="22">
        <v>1500.5</v>
      </c>
      <c r="N72" s="22">
        <v>1955.8</v>
      </c>
      <c r="O72" s="22">
        <v>1781.1</v>
      </c>
      <c r="P72" s="22">
        <f t="shared" si="46"/>
        <v>5237.3999999999996</v>
      </c>
      <c r="Q72" s="22">
        <v>1837.4</v>
      </c>
      <c r="R72" s="22">
        <v>1918.7</v>
      </c>
      <c r="S72" s="22">
        <v>1652.7</v>
      </c>
      <c r="T72" s="22">
        <f t="shared" si="47"/>
        <v>5408.8</v>
      </c>
    </row>
    <row r="73" spans="1:20" x14ac:dyDescent="0.35">
      <c r="A73" s="2">
        <f t="shared" si="42"/>
        <v>15</v>
      </c>
      <c r="B73" s="3" t="s">
        <v>15</v>
      </c>
      <c r="C73" s="4" t="s">
        <v>4</v>
      </c>
      <c r="D73" s="24">
        <f t="shared" si="43"/>
        <v>16043.900000000001</v>
      </c>
      <c r="E73" s="35">
        <v>1354.4</v>
      </c>
      <c r="F73" s="35">
        <v>1372.3</v>
      </c>
      <c r="G73" s="35">
        <v>1372.5</v>
      </c>
      <c r="H73" s="22">
        <f t="shared" si="44"/>
        <v>4099.2</v>
      </c>
      <c r="I73" s="35">
        <v>1292.5</v>
      </c>
      <c r="J73" s="35">
        <v>1291.2</v>
      </c>
      <c r="K73" s="35">
        <v>1289.5999999999999</v>
      </c>
      <c r="L73" s="22">
        <f t="shared" si="45"/>
        <v>3873.2999999999997</v>
      </c>
      <c r="M73" s="22">
        <v>1343.5</v>
      </c>
      <c r="N73" s="22">
        <v>1345.7</v>
      </c>
      <c r="O73" s="22">
        <v>1345.4</v>
      </c>
      <c r="P73" s="22">
        <f t="shared" si="46"/>
        <v>4034.6</v>
      </c>
      <c r="Q73" s="22">
        <v>1343.6</v>
      </c>
      <c r="R73" s="22">
        <v>1344.5</v>
      </c>
      <c r="S73" s="22">
        <v>1348.7</v>
      </c>
      <c r="T73" s="22">
        <f t="shared" si="47"/>
        <v>4036.8</v>
      </c>
    </row>
    <row r="74" spans="1:20" x14ac:dyDescent="0.35">
      <c r="A74" s="2">
        <f t="shared" si="42"/>
        <v>16</v>
      </c>
      <c r="B74" s="3" t="s">
        <v>31</v>
      </c>
      <c r="C74" s="4" t="s">
        <v>4</v>
      </c>
      <c r="D74" s="24">
        <f t="shared" si="43"/>
        <v>0</v>
      </c>
      <c r="E74" s="35">
        <v>0</v>
      </c>
      <c r="F74" s="35">
        <v>0</v>
      </c>
      <c r="G74" s="35">
        <v>0</v>
      </c>
      <c r="H74" s="22">
        <f t="shared" si="44"/>
        <v>0</v>
      </c>
      <c r="I74" s="35">
        <v>0</v>
      </c>
      <c r="J74" s="35">
        <v>0</v>
      </c>
      <c r="K74" s="35">
        <v>0</v>
      </c>
      <c r="L74" s="22">
        <f t="shared" si="45"/>
        <v>0</v>
      </c>
      <c r="M74" s="22">
        <v>0</v>
      </c>
      <c r="N74" s="22">
        <v>0</v>
      </c>
      <c r="O74" s="22">
        <v>0</v>
      </c>
      <c r="P74" s="22">
        <f t="shared" si="46"/>
        <v>0</v>
      </c>
      <c r="Q74" s="22">
        <v>0</v>
      </c>
      <c r="R74" s="22">
        <v>0</v>
      </c>
      <c r="S74" s="22">
        <v>0</v>
      </c>
      <c r="T74" s="22">
        <f t="shared" si="47"/>
        <v>0</v>
      </c>
    </row>
    <row r="75" spans="1:20" x14ac:dyDescent="0.35">
      <c r="A75" s="2">
        <f t="shared" si="42"/>
        <v>17</v>
      </c>
      <c r="B75" s="3" t="s">
        <v>32</v>
      </c>
      <c r="C75" s="4" t="s">
        <v>4</v>
      </c>
      <c r="D75" s="24">
        <f t="shared" si="43"/>
        <v>0</v>
      </c>
      <c r="E75" s="35">
        <v>0</v>
      </c>
      <c r="F75" s="35">
        <v>0</v>
      </c>
      <c r="G75" s="35">
        <v>0</v>
      </c>
      <c r="H75" s="22">
        <f t="shared" si="44"/>
        <v>0</v>
      </c>
      <c r="I75" s="35">
        <v>0</v>
      </c>
      <c r="J75" s="35">
        <v>0</v>
      </c>
      <c r="K75" s="35">
        <v>0</v>
      </c>
      <c r="L75" s="22">
        <f t="shared" si="45"/>
        <v>0</v>
      </c>
      <c r="M75" s="22">
        <v>0</v>
      </c>
      <c r="N75" s="22">
        <v>0</v>
      </c>
      <c r="O75" s="22">
        <v>0</v>
      </c>
      <c r="P75" s="22">
        <f t="shared" si="46"/>
        <v>0</v>
      </c>
      <c r="Q75" s="22">
        <v>0</v>
      </c>
      <c r="R75" s="22">
        <v>0</v>
      </c>
      <c r="S75" s="22">
        <v>0</v>
      </c>
      <c r="T75" s="22">
        <f t="shared" si="47"/>
        <v>0</v>
      </c>
    </row>
    <row r="76" spans="1:20" x14ac:dyDescent="0.35">
      <c r="A76" s="2">
        <f t="shared" si="42"/>
        <v>18</v>
      </c>
      <c r="B76" s="3" t="s">
        <v>33</v>
      </c>
      <c r="C76" s="4" t="s">
        <v>4</v>
      </c>
      <c r="D76" s="24">
        <f t="shared" si="43"/>
        <v>0</v>
      </c>
      <c r="E76" s="35">
        <v>0</v>
      </c>
      <c r="F76" s="35">
        <v>0</v>
      </c>
      <c r="G76" s="35">
        <v>0</v>
      </c>
      <c r="H76" s="22">
        <f t="shared" si="44"/>
        <v>0</v>
      </c>
      <c r="I76" s="35">
        <v>0</v>
      </c>
      <c r="J76" s="35">
        <v>0</v>
      </c>
      <c r="K76" s="35">
        <v>0</v>
      </c>
      <c r="L76" s="22">
        <f t="shared" si="45"/>
        <v>0</v>
      </c>
      <c r="M76" s="22">
        <v>0</v>
      </c>
      <c r="N76" s="22">
        <v>0</v>
      </c>
      <c r="O76" s="22">
        <v>0</v>
      </c>
      <c r="P76" s="22">
        <f t="shared" si="46"/>
        <v>0</v>
      </c>
      <c r="Q76" s="22">
        <v>0</v>
      </c>
      <c r="R76" s="22">
        <v>0</v>
      </c>
      <c r="S76" s="22">
        <v>0</v>
      </c>
      <c r="T76" s="22">
        <f t="shared" si="47"/>
        <v>0</v>
      </c>
    </row>
    <row r="77" spans="1:20" x14ac:dyDescent="0.35">
      <c r="A77" s="2">
        <f t="shared" si="42"/>
        <v>19</v>
      </c>
      <c r="B77" s="3" t="s">
        <v>34</v>
      </c>
      <c r="C77" s="4" t="s">
        <v>4</v>
      </c>
      <c r="D77" s="24">
        <f t="shared" si="43"/>
        <v>0</v>
      </c>
      <c r="E77" s="35">
        <v>0</v>
      </c>
      <c r="F77" s="35">
        <v>0</v>
      </c>
      <c r="G77" s="35">
        <v>0</v>
      </c>
      <c r="H77" s="22">
        <f t="shared" si="44"/>
        <v>0</v>
      </c>
      <c r="I77" s="35">
        <v>0</v>
      </c>
      <c r="J77" s="35">
        <v>0</v>
      </c>
      <c r="K77" s="35">
        <v>0</v>
      </c>
      <c r="L77" s="22">
        <f t="shared" si="45"/>
        <v>0</v>
      </c>
      <c r="M77" s="22">
        <v>0</v>
      </c>
      <c r="N77" s="22">
        <v>0</v>
      </c>
      <c r="O77" s="22">
        <v>0</v>
      </c>
      <c r="P77" s="22">
        <f t="shared" si="46"/>
        <v>0</v>
      </c>
      <c r="Q77" s="22">
        <v>0</v>
      </c>
      <c r="R77" s="22">
        <v>0</v>
      </c>
      <c r="S77" s="22">
        <v>0</v>
      </c>
      <c r="T77" s="22">
        <f t="shared" si="47"/>
        <v>0</v>
      </c>
    </row>
    <row r="78" spans="1:20" x14ac:dyDescent="0.35">
      <c r="A78" s="2">
        <f t="shared" si="42"/>
        <v>20</v>
      </c>
      <c r="B78" s="3" t="s">
        <v>35</v>
      </c>
      <c r="C78" s="4" t="s">
        <v>4</v>
      </c>
      <c r="D78" s="24">
        <f t="shared" si="43"/>
        <v>0</v>
      </c>
      <c r="E78" s="35">
        <v>0</v>
      </c>
      <c r="F78" s="35">
        <v>0</v>
      </c>
      <c r="G78" s="35">
        <v>0</v>
      </c>
      <c r="H78" s="22">
        <f t="shared" si="44"/>
        <v>0</v>
      </c>
      <c r="I78" s="35">
        <v>0</v>
      </c>
      <c r="J78" s="35">
        <v>0</v>
      </c>
      <c r="K78" s="35">
        <v>0</v>
      </c>
      <c r="L78" s="22">
        <f t="shared" si="45"/>
        <v>0</v>
      </c>
      <c r="M78" s="22">
        <v>0</v>
      </c>
      <c r="N78" s="22">
        <v>0</v>
      </c>
      <c r="O78" s="22">
        <v>0</v>
      </c>
      <c r="P78" s="22">
        <f t="shared" si="46"/>
        <v>0</v>
      </c>
      <c r="Q78" s="22">
        <v>0</v>
      </c>
      <c r="R78" s="22">
        <v>0</v>
      </c>
      <c r="S78" s="22">
        <v>0</v>
      </c>
      <c r="T78" s="22">
        <f t="shared" si="47"/>
        <v>0</v>
      </c>
    </row>
    <row r="79" spans="1:20" x14ac:dyDescent="0.35">
      <c r="A79" s="2">
        <f t="shared" si="42"/>
        <v>21</v>
      </c>
      <c r="B79" s="3" t="s">
        <v>36</v>
      </c>
      <c r="C79" s="4" t="s">
        <v>4</v>
      </c>
      <c r="D79" s="24">
        <f t="shared" si="43"/>
        <v>0</v>
      </c>
      <c r="E79" s="35">
        <v>0</v>
      </c>
      <c r="F79" s="35">
        <v>0</v>
      </c>
      <c r="G79" s="35">
        <v>0</v>
      </c>
      <c r="H79" s="22">
        <f t="shared" si="44"/>
        <v>0</v>
      </c>
      <c r="I79" s="35">
        <v>0</v>
      </c>
      <c r="J79" s="35">
        <v>0</v>
      </c>
      <c r="K79" s="35">
        <v>0</v>
      </c>
      <c r="L79" s="22">
        <f t="shared" si="45"/>
        <v>0</v>
      </c>
      <c r="M79" s="22">
        <v>0</v>
      </c>
      <c r="N79" s="22">
        <v>0</v>
      </c>
      <c r="O79" s="22">
        <v>0</v>
      </c>
      <c r="P79" s="22">
        <f t="shared" si="46"/>
        <v>0</v>
      </c>
      <c r="Q79" s="22">
        <v>0</v>
      </c>
      <c r="R79" s="22">
        <v>0</v>
      </c>
      <c r="S79" s="22">
        <v>0</v>
      </c>
      <c r="T79" s="22">
        <f t="shared" si="47"/>
        <v>0</v>
      </c>
    </row>
    <row r="80" spans="1:20" x14ac:dyDescent="0.35">
      <c r="A80" s="2">
        <f t="shared" si="42"/>
        <v>22</v>
      </c>
      <c r="B80" s="3" t="s">
        <v>37</v>
      </c>
      <c r="C80" s="4" t="s">
        <v>4</v>
      </c>
      <c r="D80" s="24">
        <f t="shared" si="43"/>
        <v>0</v>
      </c>
      <c r="E80" s="35">
        <v>0</v>
      </c>
      <c r="F80" s="35">
        <v>0</v>
      </c>
      <c r="G80" s="35">
        <v>0</v>
      </c>
      <c r="H80" s="22">
        <f t="shared" si="44"/>
        <v>0</v>
      </c>
      <c r="I80" s="35">
        <v>0</v>
      </c>
      <c r="J80" s="35">
        <v>0</v>
      </c>
      <c r="K80" s="35">
        <v>0</v>
      </c>
      <c r="L80" s="22">
        <f t="shared" si="45"/>
        <v>0</v>
      </c>
      <c r="M80" s="22">
        <v>0</v>
      </c>
      <c r="N80" s="22">
        <v>0</v>
      </c>
      <c r="O80" s="22">
        <v>0</v>
      </c>
      <c r="P80" s="22">
        <f t="shared" si="46"/>
        <v>0</v>
      </c>
      <c r="Q80" s="22">
        <v>0</v>
      </c>
      <c r="R80" s="22">
        <v>0</v>
      </c>
      <c r="S80" s="22">
        <v>0</v>
      </c>
      <c r="T80" s="22">
        <f t="shared" si="47"/>
        <v>0</v>
      </c>
    </row>
    <row r="81" spans="1:20" x14ac:dyDescent="0.35">
      <c r="A81" s="2">
        <v>23</v>
      </c>
      <c r="B81" s="3" t="s">
        <v>16</v>
      </c>
      <c r="C81" s="4" t="s">
        <v>4</v>
      </c>
      <c r="D81" s="24">
        <f t="shared" si="43"/>
        <v>36069.699999999997</v>
      </c>
      <c r="E81" s="35">
        <v>3019.7</v>
      </c>
      <c r="F81" s="35">
        <v>3342.9</v>
      </c>
      <c r="G81" s="35">
        <v>3112.8</v>
      </c>
      <c r="H81" s="22">
        <f t="shared" si="44"/>
        <v>9475.4000000000015</v>
      </c>
      <c r="I81" s="35">
        <v>2919.3</v>
      </c>
      <c r="J81" s="35">
        <v>2953.2</v>
      </c>
      <c r="K81" s="35">
        <v>2755.4</v>
      </c>
      <c r="L81" s="22">
        <f t="shared" si="45"/>
        <v>8627.9</v>
      </c>
      <c r="M81" s="22">
        <v>2909.8</v>
      </c>
      <c r="N81" s="22">
        <v>3057.2</v>
      </c>
      <c r="O81" s="22">
        <v>3184.1</v>
      </c>
      <c r="P81" s="22">
        <f t="shared" si="46"/>
        <v>9151.1</v>
      </c>
      <c r="Q81" s="22">
        <v>3503.3</v>
      </c>
      <c r="R81" s="22">
        <v>2897.5</v>
      </c>
      <c r="S81" s="22">
        <v>2414.5</v>
      </c>
      <c r="T81" s="22">
        <f t="shared" si="47"/>
        <v>8815.2999999999993</v>
      </c>
    </row>
    <row r="82" spans="1:20" x14ac:dyDescent="0.35">
      <c r="A82" s="2">
        <v>24</v>
      </c>
      <c r="B82" s="3" t="s">
        <v>17</v>
      </c>
      <c r="C82" s="4" t="s">
        <v>4</v>
      </c>
      <c r="D82" s="24">
        <f t="shared" si="43"/>
        <v>23712.070000000003</v>
      </c>
      <c r="E82" s="35">
        <v>349.33</v>
      </c>
      <c r="F82" s="35">
        <v>582.76</v>
      </c>
      <c r="G82" s="35">
        <v>301.47000000000003</v>
      </c>
      <c r="H82" s="22">
        <f t="shared" si="44"/>
        <v>1233.56</v>
      </c>
      <c r="I82" s="35">
        <v>616.16999999999996</v>
      </c>
      <c r="J82" s="35">
        <v>1110.47</v>
      </c>
      <c r="K82" s="35">
        <v>1964.65</v>
      </c>
      <c r="L82" s="22">
        <f t="shared" si="45"/>
        <v>3691.29</v>
      </c>
      <c r="M82" s="22">
        <v>3947.37</v>
      </c>
      <c r="N82" s="22">
        <v>4103.17</v>
      </c>
      <c r="O82" s="22">
        <v>5569.55</v>
      </c>
      <c r="P82" s="22">
        <f t="shared" si="46"/>
        <v>13620.09</v>
      </c>
      <c r="Q82" s="22">
        <v>2984.53</v>
      </c>
      <c r="R82" s="22">
        <v>1146.7</v>
      </c>
      <c r="S82" s="22">
        <v>1035.9000000000001</v>
      </c>
      <c r="T82" s="22">
        <f t="shared" si="47"/>
        <v>5167.130000000001</v>
      </c>
    </row>
    <row r="83" spans="1:20" x14ac:dyDescent="0.35">
      <c r="A83" s="2">
        <v>25</v>
      </c>
      <c r="B83" s="3" t="s">
        <v>18</v>
      </c>
      <c r="C83" s="4" t="s">
        <v>4</v>
      </c>
      <c r="D83" s="24">
        <f t="shared" si="43"/>
        <v>9905.2999999999993</v>
      </c>
      <c r="E83" s="35">
        <v>469.4</v>
      </c>
      <c r="F83" s="35">
        <v>605.5</v>
      </c>
      <c r="G83" s="35">
        <v>847.4</v>
      </c>
      <c r="H83" s="22">
        <f t="shared" si="44"/>
        <v>1922.3000000000002</v>
      </c>
      <c r="I83" s="35">
        <v>819.7</v>
      </c>
      <c r="J83" s="35">
        <v>814.2</v>
      </c>
      <c r="K83" s="35">
        <v>570.6</v>
      </c>
      <c r="L83" s="22">
        <f t="shared" si="45"/>
        <v>2204.5</v>
      </c>
      <c r="M83" s="22">
        <v>636.29999999999995</v>
      </c>
      <c r="N83" s="22">
        <v>951</v>
      </c>
      <c r="O83" s="22">
        <v>1273.9000000000001</v>
      </c>
      <c r="P83" s="22">
        <f t="shared" si="46"/>
        <v>2861.2</v>
      </c>
      <c r="Q83" s="22">
        <v>1069.7</v>
      </c>
      <c r="R83" s="22">
        <v>971.1</v>
      </c>
      <c r="S83" s="22">
        <v>876.5</v>
      </c>
      <c r="T83" s="22">
        <f t="shared" si="47"/>
        <v>2917.3</v>
      </c>
    </row>
    <row r="84" spans="1:20" x14ac:dyDescent="0.35">
      <c r="A84" s="2">
        <v>26</v>
      </c>
      <c r="B84" s="3" t="s">
        <v>19</v>
      </c>
      <c r="C84" s="4" t="s">
        <v>4</v>
      </c>
      <c r="D84" s="24">
        <f t="shared" si="43"/>
        <v>25712.1</v>
      </c>
      <c r="E84" s="35">
        <v>1033.4000000000001</v>
      </c>
      <c r="F84" s="35">
        <v>1173.7</v>
      </c>
      <c r="G84" s="35">
        <v>1015.2</v>
      </c>
      <c r="H84" s="22">
        <f t="shared" si="44"/>
        <v>3222.3</v>
      </c>
      <c r="I84" s="35">
        <v>1665.1</v>
      </c>
      <c r="J84" s="35">
        <v>2844.7</v>
      </c>
      <c r="K84" s="35">
        <v>3079.2</v>
      </c>
      <c r="L84" s="22">
        <f t="shared" si="45"/>
        <v>7588.9999999999991</v>
      </c>
      <c r="M84" s="22">
        <v>3314.5</v>
      </c>
      <c r="N84" s="22">
        <v>3610.3</v>
      </c>
      <c r="O84" s="22">
        <v>3006.2</v>
      </c>
      <c r="P84" s="22">
        <f t="shared" si="46"/>
        <v>9931</v>
      </c>
      <c r="Q84" s="22">
        <v>2074.1999999999998</v>
      </c>
      <c r="R84" s="22">
        <v>1581.4</v>
      </c>
      <c r="S84" s="22">
        <v>1314.2</v>
      </c>
      <c r="T84" s="22">
        <f t="shared" si="47"/>
        <v>4969.8</v>
      </c>
    </row>
    <row r="85" spans="1:20" x14ac:dyDescent="0.35">
      <c r="A85" s="2">
        <v>27</v>
      </c>
      <c r="B85" s="3" t="s">
        <v>20</v>
      </c>
      <c r="C85" s="4" t="s">
        <v>4</v>
      </c>
      <c r="D85" s="24">
        <f t="shared" si="43"/>
        <v>16783.099999999999</v>
      </c>
      <c r="E85" s="35">
        <v>1061.8</v>
      </c>
      <c r="F85" s="35">
        <v>1150.9000000000001</v>
      </c>
      <c r="G85" s="35">
        <v>1191.9000000000001</v>
      </c>
      <c r="H85" s="22">
        <f t="shared" si="44"/>
        <v>3404.6</v>
      </c>
      <c r="I85" s="35">
        <v>1472.8</v>
      </c>
      <c r="J85" s="35">
        <v>1625.2</v>
      </c>
      <c r="K85" s="35">
        <v>1745.6</v>
      </c>
      <c r="L85" s="22">
        <f t="shared" si="45"/>
        <v>4843.6000000000004</v>
      </c>
      <c r="M85" s="22">
        <v>1677.6</v>
      </c>
      <c r="N85" s="22">
        <v>1601.8</v>
      </c>
      <c r="O85" s="22">
        <v>1492.5</v>
      </c>
      <c r="P85" s="22">
        <f t="shared" si="46"/>
        <v>4771.8999999999996</v>
      </c>
      <c r="Q85" s="22">
        <v>1313.7</v>
      </c>
      <c r="R85" s="22">
        <v>1253.8</v>
      </c>
      <c r="S85" s="22">
        <v>1195.5</v>
      </c>
      <c r="T85" s="22">
        <f t="shared" si="47"/>
        <v>3763</v>
      </c>
    </row>
    <row r="86" spans="1:20" x14ac:dyDescent="0.35">
      <c r="A86" s="2">
        <v>28</v>
      </c>
      <c r="B86" s="3" t="s">
        <v>21</v>
      </c>
      <c r="C86" s="4" t="s">
        <v>4</v>
      </c>
      <c r="D86" s="24">
        <f t="shared" si="43"/>
        <v>18004.599999999999</v>
      </c>
      <c r="E86" s="35">
        <v>1013.1</v>
      </c>
      <c r="F86" s="35">
        <v>1284.5</v>
      </c>
      <c r="G86" s="35">
        <v>1246.3</v>
      </c>
      <c r="H86" s="22">
        <f t="shared" si="44"/>
        <v>3543.8999999999996</v>
      </c>
      <c r="I86" s="35">
        <v>1517.5</v>
      </c>
      <c r="J86" s="35">
        <v>1624.6</v>
      </c>
      <c r="K86" s="35">
        <v>1870.3</v>
      </c>
      <c r="L86" s="22">
        <f t="shared" si="45"/>
        <v>5012.3999999999996</v>
      </c>
      <c r="M86" s="22">
        <v>1507.3</v>
      </c>
      <c r="N86" s="22">
        <v>1523</v>
      </c>
      <c r="O86" s="22">
        <v>1555.8</v>
      </c>
      <c r="P86" s="22">
        <f t="shared" si="46"/>
        <v>4586.1000000000004</v>
      </c>
      <c r="Q86" s="22">
        <v>1599.1</v>
      </c>
      <c r="R86" s="22">
        <v>1663.1</v>
      </c>
      <c r="S86" s="22">
        <v>1600</v>
      </c>
      <c r="T86" s="22">
        <f t="shared" si="47"/>
        <v>4862.2</v>
      </c>
    </row>
    <row r="87" spans="1:20" x14ac:dyDescent="0.35">
      <c r="A87" s="2">
        <v>29</v>
      </c>
      <c r="B87" s="3" t="s">
        <v>22</v>
      </c>
      <c r="C87" s="4" t="s">
        <v>4</v>
      </c>
      <c r="D87" s="24">
        <f t="shared" si="43"/>
        <v>40058.300000000003</v>
      </c>
      <c r="E87" s="35">
        <v>4651.3</v>
      </c>
      <c r="F87" s="35">
        <v>4322.1000000000004</v>
      </c>
      <c r="G87" s="35">
        <v>3739.8</v>
      </c>
      <c r="H87" s="22">
        <f t="shared" si="44"/>
        <v>12713.2</v>
      </c>
      <c r="I87" s="35">
        <v>2519</v>
      </c>
      <c r="J87" s="35">
        <v>5137.3999999999996</v>
      </c>
      <c r="K87" s="35">
        <v>3836.3</v>
      </c>
      <c r="L87" s="22">
        <f t="shared" si="45"/>
        <v>11492.7</v>
      </c>
      <c r="M87" s="22">
        <v>2485.6999999999998</v>
      </c>
      <c r="N87" s="22">
        <v>2794</v>
      </c>
      <c r="O87" s="22">
        <v>4095.4</v>
      </c>
      <c r="P87" s="22">
        <f t="shared" si="46"/>
        <v>9375.1</v>
      </c>
      <c r="Q87" s="22">
        <v>2485.4</v>
      </c>
      <c r="R87" s="22">
        <v>2287.8000000000002</v>
      </c>
      <c r="S87" s="22">
        <v>1704.1</v>
      </c>
      <c r="T87" s="22">
        <f t="shared" si="47"/>
        <v>6477.3000000000011</v>
      </c>
    </row>
    <row r="88" spans="1:20" x14ac:dyDescent="0.35">
      <c r="A88" s="2">
        <v>30</v>
      </c>
      <c r="B88" s="3" t="s">
        <v>46</v>
      </c>
      <c r="C88" s="4" t="s">
        <v>4</v>
      </c>
      <c r="D88" s="24">
        <f t="shared" si="43"/>
        <v>0</v>
      </c>
      <c r="E88" s="35">
        <v>0</v>
      </c>
      <c r="F88" s="35">
        <v>0</v>
      </c>
      <c r="G88" s="35">
        <v>0</v>
      </c>
      <c r="H88" s="22">
        <f t="shared" si="44"/>
        <v>0</v>
      </c>
      <c r="I88" s="35">
        <v>0</v>
      </c>
      <c r="J88" s="35">
        <v>0</v>
      </c>
      <c r="K88" s="35">
        <v>0</v>
      </c>
      <c r="L88" s="22">
        <f t="shared" si="45"/>
        <v>0</v>
      </c>
      <c r="M88" s="22">
        <v>0</v>
      </c>
      <c r="N88" s="22">
        <v>0</v>
      </c>
      <c r="O88" s="22">
        <v>0</v>
      </c>
      <c r="P88" s="22">
        <f t="shared" si="46"/>
        <v>0</v>
      </c>
      <c r="Q88" s="22">
        <v>0</v>
      </c>
      <c r="R88" s="22">
        <v>0</v>
      </c>
      <c r="S88" s="22">
        <v>0</v>
      </c>
      <c r="T88" s="22">
        <f t="shared" si="47"/>
        <v>0</v>
      </c>
    </row>
    <row r="89" spans="1:20" x14ac:dyDescent="0.35">
      <c r="A89" s="2">
        <v>31</v>
      </c>
      <c r="B89" s="3" t="s">
        <v>47</v>
      </c>
      <c r="C89" s="4" t="s">
        <v>4</v>
      </c>
      <c r="D89" s="24">
        <f t="shared" si="43"/>
        <v>0</v>
      </c>
      <c r="E89" s="35">
        <v>0</v>
      </c>
      <c r="F89" s="35">
        <v>0</v>
      </c>
      <c r="G89" s="35">
        <v>0</v>
      </c>
      <c r="H89" s="22">
        <f t="shared" si="44"/>
        <v>0</v>
      </c>
      <c r="I89" s="35">
        <v>0</v>
      </c>
      <c r="J89" s="35">
        <v>0</v>
      </c>
      <c r="K89" s="35">
        <v>0</v>
      </c>
      <c r="L89" s="22">
        <f t="shared" si="45"/>
        <v>0</v>
      </c>
      <c r="M89" s="22">
        <v>0</v>
      </c>
      <c r="N89" s="22">
        <v>0</v>
      </c>
      <c r="O89" s="22">
        <v>0</v>
      </c>
      <c r="P89" s="22">
        <f t="shared" si="46"/>
        <v>0</v>
      </c>
      <c r="Q89" s="22">
        <v>0</v>
      </c>
      <c r="R89" s="22">
        <v>0</v>
      </c>
      <c r="S89" s="22">
        <v>0</v>
      </c>
      <c r="T89" s="22">
        <f t="shared" si="47"/>
        <v>0</v>
      </c>
    </row>
    <row r="90" spans="1:20" x14ac:dyDescent="0.35">
      <c r="A90" s="2">
        <v>32</v>
      </c>
      <c r="B90" s="3" t="s">
        <v>48</v>
      </c>
      <c r="C90" s="4" t="s">
        <v>4</v>
      </c>
      <c r="D90" s="24">
        <f t="shared" si="43"/>
        <v>0</v>
      </c>
      <c r="E90" s="35">
        <v>0</v>
      </c>
      <c r="F90" s="35">
        <v>0</v>
      </c>
      <c r="G90" s="35">
        <v>0</v>
      </c>
      <c r="H90" s="22">
        <f t="shared" si="44"/>
        <v>0</v>
      </c>
      <c r="I90" s="35">
        <v>0</v>
      </c>
      <c r="J90" s="35">
        <v>0</v>
      </c>
      <c r="K90" s="35">
        <v>0</v>
      </c>
      <c r="L90" s="22">
        <f t="shared" si="45"/>
        <v>0</v>
      </c>
      <c r="M90" s="22">
        <v>0</v>
      </c>
      <c r="N90" s="22">
        <v>0</v>
      </c>
      <c r="O90" s="22">
        <v>0</v>
      </c>
      <c r="P90" s="22">
        <f t="shared" si="46"/>
        <v>0</v>
      </c>
      <c r="Q90" s="22">
        <v>0</v>
      </c>
      <c r="R90" s="22">
        <v>0</v>
      </c>
      <c r="S90" s="22">
        <v>0</v>
      </c>
      <c r="T90" s="22">
        <f t="shared" si="47"/>
        <v>0</v>
      </c>
    </row>
    <row r="91" spans="1:20" x14ac:dyDescent="0.35">
      <c r="A91" s="2">
        <v>33</v>
      </c>
      <c r="B91" s="3" t="s">
        <v>23</v>
      </c>
      <c r="C91" s="4" t="s">
        <v>4</v>
      </c>
      <c r="D91" s="24">
        <f t="shared" si="43"/>
        <v>924.14</v>
      </c>
      <c r="E91" s="35">
        <v>56.1</v>
      </c>
      <c r="F91" s="35">
        <v>68.8</v>
      </c>
      <c r="G91" s="35">
        <v>82.2</v>
      </c>
      <c r="H91" s="22">
        <f t="shared" si="44"/>
        <v>207.10000000000002</v>
      </c>
      <c r="I91" s="35">
        <v>90.9</v>
      </c>
      <c r="J91" s="35">
        <v>96.52</v>
      </c>
      <c r="K91" s="35">
        <v>107.73</v>
      </c>
      <c r="L91" s="22">
        <f t="shared" si="45"/>
        <v>295.15000000000003</v>
      </c>
      <c r="M91" s="22">
        <v>77.52</v>
      </c>
      <c r="N91" s="22">
        <v>56.9</v>
      </c>
      <c r="O91" s="22">
        <v>54.3</v>
      </c>
      <c r="P91" s="22">
        <f t="shared" si="46"/>
        <v>188.71999999999997</v>
      </c>
      <c r="Q91" s="22">
        <v>65.349999999999994</v>
      </c>
      <c r="R91" s="22">
        <v>78</v>
      </c>
      <c r="S91" s="22">
        <v>89.82</v>
      </c>
      <c r="T91" s="22">
        <f t="shared" si="47"/>
        <v>233.17</v>
      </c>
    </row>
    <row r="92" spans="1:20" x14ac:dyDescent="0.35">
      <c r="A92" s="2">
        <v>34</v>
      </c>
      <c r="B92" s="3" t="s">
        <v>24</v>
      </c>
      <c r="C92" s="4" t="s">
        <v>4</v>
      </c>
      <c r="D92" s="24">
        <f t="shared" si="43"/>
        <v>11036.6</v>
      </c>
      <c r="E92" s="35">
        <v>730.3</v>
      </c>
      <c r="F92" s="35">
        <v>843.5</v>
      </c>
      <c r="G92" s="35">
        <v>1444.8</v>
      </c>
      <c r="H92" s="22">
        <f t="shared" si="44"/>
        <v>3018.6</v>
      </c>
      <c r="I92" s="35">
        <v>1690.4</v>
      </c>
      <c r="J92" s="35">
        <v>1023.8</v>
      </c>
      <c r="K92" s="35">
        <v>903</v>
      </c>
      <c r="L92" s="22">
        <f t="shared" si="45"/>
        <v>3617.2</v>
      </c>
      <c r="M92" s="22">
        <v>843.3</v>
      </c>
      <c r="N92" s="22">
        <v>823.9</v>
      </c>
      <c r="O92" s="22">
        <v>821.5</v>
      </c>
      <c r="P92" s="22">
        <f t="shared" si="46"/>
        <v>2488.6999999999998</v>
      </c>
      <c r="Q92" s="22">
        <v>672</v>
      </c>
      <c r="R92" s="22">
        <v>645.5</v>
      </c>
      <c r="S92" s="22">
        <v>594.6</v>
      </c>
      <c r="T92" s="22">
        <f t="shared" si="47"/>
        <v>1912.1</v>
      </c>
    </row>
    <row r="93" spans="1:20" x14ac:dyDescent="0.35">
      <c r="A93" s="2">
        <v>35</v>
      </c>
      <c r="B93" s="3" t="s">
        <v>49</v>
      </c>
      <c r="C93" s="4" t="s">
        <v>4</v>
      </c>
      <c r="D93" s="24">
        <f t="shared" si="43"/>
        <v>0</v>
      </c>
      <c r="E93" s="35">
        <v>0</v>
      </c>
      <c r="F93" s="35">
        <v>0</v>
      </c>
      <c r="G93" s="35">
        <v>0</v>
      </c>
      <c r="H93" s="22">
        <f t="shared" si="44"/>
        <v>0</v>
      </c>
      <c r="I93" s="35">
        <v>0</v>
      </c>
      <c r="J93" s="35">
        <v>0</v>
      </c>
      <c r="K93" s="35">
        <v>0</v>
      </c>
      <c r="L93" s="22">
        <f t="shared" si="45"/>
        <v>0</v>
      </c>
      <c r="M93" s="22">
        <v>0</v>
      </c>
      <c r="N93" s="22">
        <v>0</v>
      </c>
      <c r="O93" s="22">
        <v>0</v>
      </c>
      <c r="P93" s="22">
        <f t="shared" si="46"/>
        <v>0</v>
      </c>
      <c r="Q93" s="22">
        <v>0</v>
      </c>
      <c r="R93" s="22">
        <v>0</v>
      </c>
      <c r="S93" s="22">
        <v>0</v>
      </c>
      <c r="T93" s="22">
        <f t="shared" si="47"/>
        <v>0</v>
      </c>
    </row>
    <row r="94" spans="1:20" x14ac:dyDescent="0.35">
      <c r="A94" s="2">
        <v>36</v>
      </c>
      <c r="B94" s="3" t="s">
        <v>50</v>
      </c>
      <c r="C94" s="4" t="s">
        <v>4</v>
      </c>
      <c r="D94" s="24">
        <f t="shared" si="43"/>
        <v>0</v>
      </c>
      <c r="E94" s="35">
        <v>0</v>
      </c>
      <c r="F94" s="35">
        <v>0</v>
      </c>
      <c r="G94" s="35">
        <v>0</v>
      </c>
      <c r="H94" s="22">
        <f t="shared" si="44"/>
        <v>0</v>
      </c>
      <c r="I94" s="35">
        <v>0</v>
      </c>
      <c r="J94" s="35">
        <v>0</v>
      </c>
      <c r="K94" s="35">
        <v>0</v>
      </c>
      <c r="L94" s="22">
        <f t="shared" si="45"/>
        <v>0</v>
      </c>
      <c r="M94" s="22">
        <v>0</v>
      </c>
      <c r="N94" s="22">
        <v>0</v>
      </c>
      <c r="O94" s="22">
        <v>0</v>
      </c>
      <c r="P94" s="22">
        <f t="shared" si="46"/>
        <v>0</v>
      </c>
      <c r="Q94" s="22">
        <v>0</v>
      </c>
      <c r="R94" s="22">
        <v>0</v>
      </c>
      <c r="S94" s="22">
        <v>0</v>
      </c>
      <c r="T94" s="22">
        <f t="shared" si="47"/>
        <v>0</v>
      </c>
    </row>
    <row r="95" spans="1:20" x14ac:dyDescent="0.35">
      <c r="A95" s="2">
        <v>37</v>
      </c>
      <c r="B95" s="3" t="s">
        <v>25</v>
      </c>
      <c r="C95" s="4" t="s">
        <v>4</v>
      </c>
      <c r="D95" s="24">
        <f t="shared" si="43"/>
        <v>8998.2000000000007</v>
      </c>
      <c r="E95" s="35">
        <v>246.5</v>
      </c>
      <c r="F95" s="35">
        <v>271</v>
      </c>
      <c r="G95" s="35">
        <v>505.5</v>
      </c>
      <c r="H95" s="22">
        <f t="shared" si="44"/>
        <v>1023</v>
      </c>
      <c r="I95" s="35">
        <v>1078.5999999999999</v>
      </c>
      <c r="J95" s="35">
        <v>1186.5999999999999</v>
      </c>
      <c r="K95" s="35">
        <v>448.6</v>
      </c>
      <c r="L95" s="22">
        <f t="shared" si="45"/>
        <v>2713.7999999999997</v>
      </c>
      <c r="M95" s="22">
        <v>1460.9</v>
      </c>
      <c r="N95" s="22">
        <v>1617.4</v>
      </c>
      <c r="O95" s="22">
        <v>943.4</v>
      </c>
      <c r="P95" s="22">
        <f t="shared" si="46"/>
        <v>4021.7000000000003</v>
      </c>
      <c r="Q95" s="22">
        <v>451.2</v>
      </c>
      <c r="R95" s="22">
        <v>446.9</v>
      </c>
      <c r="S95" s="22">
        <v>341.6</v>
      </c>
      <c r="T95" s="22">
        <f t="shared" si="47"/>
        <v>1239.6999999999998</v>
      </c>
    </row>
    <row r="96" spans="1:20" x14ac:dyDescent="0.35">
      <c r="A96" s="2">
        <v>38</v>
      </c>
      <c r="B96" s="3" t="s">
        <v>51</v>
      </c>
      <c r="C96" s="4" t="s">
        <v>4</v>
      </c>
      <c r="D96" s="24">
        <f t="shared" si="43"/>
        <v>0</v>
      </c>
      <c r="E96" s="35">
        <v>0</v>
      </c>
      <c r="F96" s="35">
        <v>0</v>
      </c>
      <c r="G96" s="35">
        <v>0</v>
      </c>
      <c r="H96" s="22">
        <f t="shared" si="44"/>
        <v>0</v>
      </c>
      <c r="I96" s="35">
        <v>0</v>
      </c>
      <c r="J96" s="35">
        <v>0</v>
      </c>
      <c r="K96" s="35">
        <v>0</v>
      </c>
      <c r="L96" s="22">
        <f t="shared" si="45"/>
        <v>0</v>
      </c>
      <c r="M96" s="22">
        <v>0</v>
      </c>
      <c r="N96" s="22">
        <v>0</v>
      </c>
      <c r="O96" s="22">
        <v>0</v>
      </c>
      <c r="P96" s="22">
        <f t="shared" si="46"/>
        <v>0</v>
      </c>
      <c r="Q96" s="22">
        <v>0</v>
      </c>
      <c r="R96" s="22">
        <v>0</v>
      </c>
      <c r="S96" s="22">
        <v>0</v>
      </c>
      <c r="T96" s="22">
        <f t="shared" si="47"/>
        <v>0</v>
      </c>
    </row>
    <row r="99" spans="1:20" x14ac:dyDescent="0.35">
      <c r="A99" s="1" t="s">
        <v>104</v>
      </c>
    </row>
    <row r="100" spans="1:20" ht="15.5" x14ac:dyDescent="0.35">
      <c r="A100" s="10" t="s">
        <v>0</v>
      </c>
      <c r="B100" s="10" t="s">
        <v>1</v>
      </c>
      <c r="C100" s="10" t="s">
        <v>2</v>
      </c>
      <c r="D100" s="31" t="s">
        <v>67</v>
      </c>
      <c r="E100" s="27" t="s">
        <v>113</v>
      </c>
      <c r="F100" s="27" t="s">
        <v>114</v>
      </c>
      <c r="G100" s="27" t="s">
        <v>115</v>
      </c>
      <c r="H100" s="28" t="s">
        <v>27</v>
      </c>
      <c r="I100" s="27" t="s">
        <v>55</v>
      </c>
      <c r="J100" s="27" t="s">
        <v>116</v>
      </c>
      <c r="K100" s="27" t="s">
        <v>117</v>
      </c>
      <c r="L100" s="28" t="s">
        <v>54</v>
      </c>
      <c r="M100" s="27" t="s">
        <v>118</v>
      </c>
      <c r="N100" s="27" t="s">
        <v>119</v>
      </c>
      <c r="O100" s="27" t="s">
        <v>56</v>
      </c>
      <c r="P100" s="28" t="s">
        <v>57</v>
      </c>
      <c r="Q100" s="27" t="s">
        <v>120</v>
      </c>
      <c r="R100" s="27" t="s">
        <v>58</v>
      </c>
      <c r="S100" s="27" t="s">
        <v>121</v>
      </c>
      <c r="T100" s="28" t="s">
        <v>59</v>
      </c>
    </row>
    <row r="101" spans="1:20" ht="15.5" x14ac:dyDescent="0.35">
      <c r="A101" s="12"/>
      <c r="B101" s="12"/>
      <c r="C101" s="12"/>
      <c r="D101" s="32"/>
      <c r="E101" s="29"/>
      <c r="F101" s="29"/>
      <c r="G101" s="13"/>
      <c r="H101" s="9"/>
      <c r="I101" s="13"/>
      <c r="J101" s="13"/>
      <c r="K101" s="13"/>
      <c r="L101" s="9"/>
      <c r="M101" s="13"/>
      <c r="N101" s="13"/>
      <c r="O101" s="13"/>
      <c r="P101" s="9"/>
      <c r="Q101" s="13"/>
      <c r="R101" s="13"/>
      <c r="S101" s="13"/>
      <c r="T101" s="9"/>
    </row>
    <row r="102" spans="1:20" x14ac:dyDescent="0.35">
      <c r="A102" s="5"/>
      <c r="B102" s="6" t="s">
        <v>26</v>
      </c>
      <c r="C102" s="6" t="s">
        <v>4</v>
      </c>
      <c r="D102" s="33">
        <f>SUM(D103:D140)</f>
        <v>202034.42690000002</v>
      </c>
      <c r="E102" s="84">
        <f>SUM(E103:E124)</f>
        <v>14042.054</v>
      </c>
      <c r="F102" s="84">
        <f>SUM(F103:F124)</f>
        <v>9371.009</v>
      </c>
      <c r="G102" s="84">
        <f>SUM(G103:G124)</f>
        <v>13805.294000000004</v>
      </c>
      <c r="H102" s="84">
        <f>SUM(E102:G102)</f>
        <v>37218.357000000004</v>
      </c>
      <c r="I102" s="94">
        <f>SUM(I103:I124)</f>
        <v>13032.606000000003</v>
      </c>
      <c r="J102" s="94">
        <f>SUM(J103:J124)</f>
        <v>16472.469999999998</v>
      </c>
      <c r="K102" s="94">
        <f>SUM(K103:K124)</f>
        <v>15372.703000000001</v>
      </c>
      <c r="L102" s="84">
        <f>SUM(I102:K102)</f>
        <v>44877.779000000002</v>
      </c>
      <c r="M102" s="84">
        <f>SUM(M103:M124)</f>
        <v>24345.190000000002</v>
      </c>
      <c r="N102" s="84">
        <f>SUM(N103:N124)</f>
        <v>19641.811000000002</v>
      </c>
      <c r="O102" s="84">
        <f>SUM(O103:O124)</f>
        <v>21784.06</v>
      </c>
      <c r="P102" s="84">
        <f t="shared" ref="P102" si="48">SUM(M102:O102)</f>
        <v>65771.061000000002</v>
      </c>
      <c r="Q102" s="84">
        <f>SUM(Q103:Q124)</f>
        <v>20107.095999999998</v>
      </c>
      <c r="R102" s="84">
        <f>SUM(R103:R124)</f>
        <v>18712.018</v>
      </c>
      <c r="S102" s="84">
        <f>SUM(S103:S124)</f>
        <v>15348.115900000001</v>
      </c>
      <c r="T102" s="84">
        <f t="shared" ref="T102" si="49">SUM(Q102:S102)</f>
        <v>54167.229900000006</v>
      </c>
    </row>
    <row r="103" spans="1:20" x14ac:dyDescent="0.35">
      <c r="A103" s="2">
        <v>1</v>
      </c>
      <c r="B103" s="3" t="s">
        <v>73</v>
      </c>
      <c r="C103" s="4" t="s">
        <v>4</v>
      </c>
      <c r="D103" s="24">
        <f>SUM(H103,L103,P103,T103)</f>
        <v>6150.9009999999998</v>
      </c>
      <c r="E103" s="35">
        <v>273.80700000000002</v>
      </c>
      <c r="F103" s="35">
        <v>212.62899999999999</v>
      </c>
      <c r="G103" s="35">
        <v>337.55</v>
      </c>
      <c r="H103" s="22">
        <f>SUM(E103:G103)</f>
        <v>823.9860000000001</v>
      </c>
      <c r="I103" s="35">
        <v>366.98899999999998</v>
      </c>
      <c r="J103" s="35">
        <v>676.40099999999995</v>
      </c>
      <c r="K103" s="35">
        <v>948.06</v>
      </c>
      <c r="L103" s="22">
        <f>SUM(I103:K103)</f>
        <v>1991.4499999999998</v>
      </c>
      <c r="M103" s="22">
        <v>785.05600000000004</v>
      </c>
      <c r="N103" s="22">
        <v>775.52599999999995</v>
      </c>
      <c r="O103" s="22">
        <v>574.17999999999995</v>
      </c>
      <c r="P103" s="22">
        <f>SUM(M103:O103)</f>
        <v>2134.7619999999997</v>
      </c>
      <c r="Q103" s="22">
        <v>476.06</v>
      </c>
      <c r="R103" s="22">
        <v>321.53899999999999</v>
      </c>
      <c r="S103" s="22">
        <v>403.10399999999998</v>
      </c>
      <c r="T103" s="22">
        <f>SUM(Q103:S103)</f>
        <v>1200.703</v>
      </c>
    </row>
    <row r="104" spans="1:20" x14ac:dyDescent="0.35">
      <c r="A104" s="2">
        <f t="shared" ref="A104:A124" si="50">A103+1</f>
        <v>2</v>
      </c>
      <c r="B104" s="3" t="s">
        <v>74</v>
      </c>
      <c r="C104" s="4" t="s">
        <v>4</v>
      </c>
      <c r="D104" s="24">
        <f t="shared" ref="D104:D124" si="51">SUM(H104,L104,P104,T104)</f>
        <v>11910.61</v>
      </c>
      <c r="E104" s="35">
        <v>248.12</v>
      </c>
      <c r="F104" s="35">
        <v>98.99</v>
      </c>
      <c r="G104" s="35">
        <v>596.51</v>
      </c>
      <c r="H104" s="22">
        <f t="shared" ref="H104:H124" si="52">SUM(E104:G104)</f>
        <v>943.62</v>
      </c>
      <c r="I104" s="35">
        <v>1401.66</v>
      </c>
      <c r="J104" s="35">
        <v>697.17</v>
      </c>
      <c r="K104" s="35">
        <v>373.86</v>
      </c>
      <c r="L104" s="22">
        <f t="shared" ref="L104:L124" si="53">SUM(I104:K104)</f>
        <v>2472.69</v>
      </c>
      <c r="M104" s="22">
        <v>4039.07</v>
      </c>
      <c r="N104" s="22">
        <v>1158.93</v>
      </c>
      <c r="O104" s="22">
        <v>2002.21</v>
      </c>
      <c r="P104" s="22">
        <f t="shared" ref="P104:P124" si="54">SUM(M104:O104)</f>
        <v>7200.21</v>
      </c>
      <c r="Q104" s="22">
        <v>975.22</v>
      </c>
      <c r="R104" s="22">
        <v>202.08</v>
      </c>
      <c r="S104" s="22">
        <v>116.79</v>
      </c>
      <c r="T104" s="22">
        <f t="shared" ref="T104:T124" si="55">SUM(Q104:S104)</f>
        <v>1294.0899999999999</v>
      </c>
    </row>
    <row r="105" spans="1:20" x14ac:dyDescent="0.35">
      <c r="A105" s="2">
        <f t="shared" si="50"/>
        <v>3</v>
      </c>
      <c r="B105" s="3" t="s">
        <v>75</v>
      </c>
      <c r="C105" s="4" t="s">
        <v>4</v>
      </c>
      <c r="D105" s="24">
        <f t="shared" si="51"/>
        <v>6596.66</v>
      </c>
      <c r="E105" s="35">
        <v>306.14</v>
      </c>
      <c r="F105" s="35">
        <v>215.62</v>
      </c>
      <c r="G105" s="35">
        <v>322.39999999999998</v>
      </c>
      <c r="H105" s="22">
        <f t="shared" si="52"/>
        <v>844.16</v>
      </c>
      <c r="I105" s="35">
        <v>313.57</v>
      </c>
      <c r="J105" s="35">
        <v>514.66</v>
      </c>
      <c r="K105" s="35">
        <v>517.16999999999996</v>
      </c>
      <c r="L105" s="22">
        <f t="shared" si="53"/>
        <v>1345.4</v>
      </c>
      <c r="M105" s="22">
        <v>1114.67</v>
      </c>
      <c r="N105" s="22">
        <v>832.11</v>
      </c>
      <c r="O105" s="22">
        <v>928.46</v>
      </c>
      <c r="P105" s="22">
        <f t="shared" si="54"/>
        <v>2875.2400000000002</v>
      </c>
      <c r="Q105" s="22">
        <v>753.1</v>
      </c>
      <c r="R105" s="22">
        <v>376.8</v>
      </c>
      <c r="S105" s="22">
        <v>401.96</v>
      </c>
      <c r="T105" s="22">
        <f t="shared" si="55"/>
        <v>1531.8600000000001</v>
      </c>
    </row>
    <row r="106" spans="1:20" x14ac:dyDescent="0.35">
      <c r="A106" s="2">
        <f t="shared" si="50"/>
        <v>4</v>
      </c>
      <c r="B106" s="3" t="s">
        <v>76</v>
      </c>
      <c r="C106" s="4" t="s">
        <v>4</v>
      </c>
      <c r="D106" s="24">
        <f t="shared" si="51"/>
        <v>4105.3819999999996</v>
      </c>
      <c r="E106" s="35">
        <v>289.01600000000002</v>
      </c>
      <c r="F106" s="35">
        <v>254.05600000000001</v>
      </c>
      <c r="G106" s="35">
        <v>195.52</v>
      </c>
      <c r="H106" s="22">
        <f t="shared" si="52"/>
        <v>738.59199999999998</v>
      </c>
      <c r="I106" s="35">
        <v>289.37</v>
      </c>
      <c r="J106" s="35">
        <v>313.48599999999999</v>
      </c>
      <c r="K106" s="35">
        <v>236.59</v>
      </c>
      <c r="L106" s="22">
        <f t="shared" si="53"/>
        <v>839.44600000000003</v>
      </c>
      <c r="M106" s="22">
        <v>526.99199999999996</v>
      </c>
      <c r="N106" s="22">
        <v>483.46699999999998</v>
      </c>
      <c r="O106" s="22">
        <v>448.077</v>
      </c>
      <c r="P106" s="22">
        <f t="shared" si="54"/>
        <v>1458.5360000000001</v>
      </c>
      <c r="Q106" s="22">
        <v>375.35399999999998</v>
      </c>
      <c r="R106" s="22">
        <v>340.92399999999998</v>
      </c>
      <c r="S106" s="22">
        <v>352.53</v>
      </c>
      <c r="T106" s="22">
        <f t="shared" si="55"/>
        <v>1068.808</v>
      </c>
    </row>
    <row r="107" spans="1:20" x14ac:dyDescent="0.35">
      <c r="A107" s="2">
        <f t="shared" si="50"/>
        <v>5</v>
      </c>
      <c r="B107" s="3" t="s">
        <v>77</v>
      </c>
      <c r="C107" s="4" t="s">
        <v>4</v>
      </c>
      <c r="D107" s="24">
        <f t="shared" si="51"/>
        <v>2953.6419999999998</v>
      </c>
      <c r="E107" s="35">
        <v>98.01</v>
      </c>
      <c r="F107" s="35">
        <v>98.355999999999995</v>
      </c>
      <c r="G107" s="35">
        <v>48.308999999999997</v>
      </c>
      <c r="H107" s="22">
        <f t="shared" si="52"/>
        <v>244.67499999999998</v>
      </c>
      <c r="I107" s="35">
        <v>174.17500000000001</v>
      </c>
      <c r="J107" s="35">
        <v>110.852</v>
      </c>
      <c r="K107" s="35">
        <v>163.29</v>
      </c>
      <c r="L107" s="22">
        <f t="shared" si="53"/>
        <v>448.31700000000001</v>
      </c>
      <c r="M107" s="22">
        <v>471.04</v>
      </c>
      <c r="N107" s="22">
        <v>419.21</v>
      </c>
      <c r="O107" s="22">
        <v>336.85</v>
      </c>
      <c r="P107" s="22">
        <f t="shared" si="54"/>
        <v>1227.0999999999999</v>
      </c>
      <c r="Q107" s="22">
        <v>370</v>
      </c>
      <c r="R107" s="22">
        <v>363.55</v>
      </c>
      <c r="S107" s="22">
        <v>300</v>
      </c>
      <c r="T107" s="22">
        <f t="shared" si="55"/>
        <v>1033.55</v>
      </c>
    </row>
    <row r="108" spans="1:20" x14ac:dyDescent="0.35">
      <c r="A108" s="2">
        <f t="shared" si="50"/>
        <v>6</v>
      </c>
      <c r="B108" s="3" t="s">
        <v>78</v>
      </c>
      <c r="C108" s="4" t="s">
        <v>4</v>
      </c>
      <c r="D108" s="24">
        <f t="shared" si="51"/>
        <v>17256.496999999999</v>
      </c>
      <c r="E108" s="35">
        <v>43.707000000000001</v>
      </c>
      <c r="F108" s="35">
        <v>763.87599999999998</v>
      </c>
      <c r="G108" s="35">
        <v>1575.942</v>
      </c>
      <c r="H108" s="22">
        <f t="shared" si="52"/>
        <v>2383.5250000000001</v>
      </c>
      <c r="I108" s="35">
        <v>1532.394</v>
      </c>
      <c r="J108" s="35">
        <v>1950.3109999999999</v>
      </c>
      <c r="K108" s="35">
        <v>2475.5569999999998</v>
      </c>
      <c r="L108" s="22">
        <f t="shared" si="53"/>
        <v>5958.2619999999997</v>
      </c>
      <c r="M108" s="22">
        <v>2500.87</v>
      </c>
      <c r="N108" s="22">
        <v>1920.79</v>
      </c>
      <c r="O108" s="22">
        <v>1600.71</v>
      </c>
      <c r="P108" s="22">
        <f t="shared" si="54"/>
        <v>6022.37</v>
      </c>
      <c r="Q108" s="22">
        <v>1200.45</v>
      </c>
      <c r="R108" s="22">
        <v>991.75</v>
      </c>
      <c r="S108" s="22">
        <v>700.14</v>
      </c>
      <c r="T108" s="22">
        <f t="shared" si="55"/>
        <v>2892.3399999999997</v>
      </c>
    </row>
    <row r="109" spans="1:20" x14ac:dyDescent="0.35">
      <c r="A109" s="2">
        <f t="shared" si="50"/>
        <v>7</v>
      </c>
      <c r="B109" s="3" t="s">
        <v>79</v>
      </c>
      <c r="C109" s="4" t="s">
        <v>4</v>
      </c>
      <c r="D109" s="24">
        <f t="shared" si="51"/>
        <v>6863.51</v>
      </c>
      <c r="E109" s="35">
        <v>244.51</v>
      </c>
      <c r="F109" s="35">
        <v>252.17</v>
      </c>
      <c r="G109" s="35">
        <v>277.05</v>
      </c>
      <c r="H109" s="22">
        <f t="shared" si="52"/>
        <v>773.73</v>
      </c>
      <c r="I109" s="35">
        <v>342.51</v>
      </c>
      <c r="J109" s="35">
        <v>683.91</v>
      </c>
      <c r="K109" s="35">
        <v>776.24</v>
      </c>
      <c r="L109" s="22">
        <f t="shared" si="53"/>
        <v>1802.66</v>
      </c>
      <c r="M109" s="22">
        <v>950.44</v>
      </c>
      <c r="N109" s="22">
        <v>876.17</v>
      </c>
      <c r="O109" s="22">
        <v>760.6</v>
      </c>
      <c r="P109" s="22">
        <f t="shared" si="54"/>
        <v>2587.21</v>
      </c>
      <c r="Q109" s="22">
        <v>612.91</v>
      </c>
      <c r="R109" s="22">
        <v>582</v>
      </c>
      <c r="S109" s="22">
        <v>505</v>
      </c>
      <c r="T109" s="22">
        <f t="shared" si="55"/>
        <v>1699.9099999999999</v>
      </c>
    </row>
    <row r="110" spans="1:20" x14ac:dyDescent="0.35">
      <c r="A110" s="2">
        <f t="shared" si="50"/>
        <v>8</v>
      </c>
      <c r="B110" s="3" t="s">
        <v>80</v>
      </c>
      <c r="C110" s="4" t="s">
        <v>4</v>
      </c>
      <c r="D110" s="24">
        <f t="shared" si="51"/>
        <v>4262.6410000000005</v>
      </c>
      <c r="E110" s="35">
        <v>8.8710000000000004</v>
      </c>
      <c r="F110" s="35">
        <v>22.733000000000001</v>
      </c>
      <c r="G110" s="35">
        <v>17.923999999999999</v>
      </c>
      <c r="H110" s="22">
        <f t="shared" si="52"/>
        <v>49.527999999999999</v>
      </c>
      <c r="I110" s="35">
        <v>35.313000000000002</v>
      </c>
      <c r="J110" s="35">
        <v>33.408999999999999</v>
      </c>
      <c r="K110" s="35">
        <v>707.91800000000001</v>
      </c>
      <c r="L110" s="22">
        <f t="shared" si="53"/>
        <v>776.64</v>
      </c>
      <c r="M110" s="22">
        <v>1077.8420000000001</v>
      </c>
      <c r="N110" s="22">
        <v>814.72</v>
      </c>
      <c r="O110" s="22">
        <v>508.97899999999998</v>
      </c>
      <c r="P110" s="22">
        <f t="shared" si="54"/>
        <v>2401.5410000000002</v>
      </c>
      <c r="Q110" s="22">
        <v>459.93200000000002</v>
      </c>
      <c r="R110" s="22">
        <v>325</v>
      </c>
      <c r="S110" s="22">
        <v>250</v>
      </c>
      <c r="T110" s="22">
        <f t="shared" si="55"/>
        <v>1034.932</v>
      </c>
    </row>
    <row r="111" spans="1:20" x14ac:dyDescent="0.35">
      <c r="A111" s="2">
        <f t="shared" si="50"/>
        <v>9</v>
      </c>
      <c r="B111" s="3" t="s">
        <v>81</v>
      </c>
      <c r="C111" s="4" t="s">
        <v>4</v>
      </c>
      <c r="D111" s="24">
        <f t="shared" si="51"/>
        <v>4426.3230000000003</v>
      </c>
      <c r="E111" s="35">
        <v>117.17</v>
      </c>
      <c r="F111" s="35">
        <v>67.400000000000006</v>
      </c>
      <c r="G111" s="35">
        <v>112.47</v>
      </c>
      <c r="H111" s="22">
        <f t="shared" si="52"/>
        <v>297.03999999999996</v>
      </c>
      <c r="I111" s="35">
        <v>60.91</v>
      </c>
      <c r="J111" s="35">
        <v>112.75</v>
      </c>
      <c r="K111" s="35">
        <v>508.94</v>
      </c>
      <c r="L111" s="22">
        <f t="shared" si="53"/>
        <v>682.6</v>
      </c>
      <c r="M111" s="22">
        <v>612.86</v>
      </c>
      <c r="N111" s="22">
        <v>872.26</v>
      </c>
      <c r="O111" s="22">
        <v>470.05</v>
      </c>
      <c r="P111" s="22">
        <f t="shared" si="54"/>
        <v>1955.1699999999998</v>
      </c>
      <c r="Q111" s="22">
        <v>325.2</v>
      </c>
      <c r="R111" s="22">
        <v>559.11</v>
      </c>
      <c r="S111" s="22">
        <v>607.20299999999997</v>
      </c>
      <c r="T111" s="22">
        <f t="shared" si="55"/>
        <v>1491.5129999999999</v>
      </c>
    </row>
    <row r="112" spans="1:20" x14ac:dyDescent="0.35">
      <c r="A112" s="2">
        <f t="shared" si="50"/>
        <v>10</v>
      </c>
      <c r="B112" s="3" t="s">
        <v>82</v>
      </c>
      <c r="C112" s="4" t="s">
        <v>4</v>
      </c>
      <c r="D112" s="24">
        <f t="shared" si="51"/>
        <v>9821.2929999999997</v>
      </c>
      <c r="E112" s="35">
        <v>586.21100000000001</v>
      </c>
      <c r="F112" s="35">
        <v>683.91200000000003</v>
      </c>
      <c r="G112" s="35">
        <v>683.91200000000003</v>
      </c>
      <c r="H112" s="22">
        <f t="shared" si="52"/>
        <v>1954.0350000000001</v>
      </c>
      <c r="I112" s="35">
        <v>781.61400000000003</v>
      </c>
      <c r="J112" s="35">
        <v>879.31200000000001</v>
      </c>
      <c r="K112" s="35">
        <v>977.01700000000005</v>
      </c>
      <c r="L112" s="22">
        <f t="shared" si="53"/>
        <v>2637.9430000000002</v>
      </c>
      <c r="M112" s="22">
        <v>1074.7190000000001</v>
      </c>
      <c r="N112" s="22">
        <v>1074.7190000000001</v>
      </c>
      <c r="O112" s="22">
        <v>977.01700000000005</v>
      </c>
      <c r="P112" s="22">
        <f t="shared" si="54"/>
        <v>3126.4549999999999</v>
      </c>
      <c r="Q112" s="22">
        <v>898.86</v>
      </c>
      <c r="R112" s="22">
        <v>701</v>
      </c>
      <c r="S112" s="22">
        <v>503</v>
      </c>
      <c r="T112" s="22">
        <f t="shared" si="55"/>
        <v>2102.86</v>
      </c>
    </row>
    <row r="113" spans="1:20" x14ac:dyDescent="0.35">
      <c r="A113" s="2">
        <f t="shared" si="50"/>
        <v>11</v>
      </c>
      <c r="B113" s="3" t="s">
        <v>83</v>
      </c>
      <c r="C113" s="4" t="s">
        <v>4</v>
      </c>
      <c r="D113" s="24">
        <f t="shared" si="51"/>
        <v>8005.9700000000012</v>
      </c>
      <c r="E113" s="35">
        <v>251.05</v>
      </c>
      <c r="F113" s="35">
        <v>273.22000000000003</v>
      </c>
      <c r="G113" s="35">
        <v>318.04000000000002</v>
      </c>
      <c r="H113" s="22">
        <f t="shared" si="52"/>
        <v>842.31</v>
      </c>
      <c r="I113" s="35">
        <v>431.72</v>
      </c>
      <c r="J113" s="35">
        <v>471.02</v>
      </c>
      <c r="K113" s="35">
        <v>727.21</v>
      </c>
      <c r="L113" s="22">
        <f t="shared" si="53"/>
        <v>1629.95</v>
      </c>
      <c r="M113" s="22">
        <v>903.51</v>
      </c>
      <c r="N113" s="22">
        <v>977.93</v>
      </c>
      <c r="O113" s="22">
        <v>941.17</v>
      </c>
      <c r="P113" s="22">
        <f t="shared" si="54"/>
        <v>2822.61</v>
      </c>
      <c r="Q113" s="22">
        <v>947.8</v>
      </c>
      <c r="R113" s="22">
        <v>913.2</v>
      </c>
      <c r="S113" s="22">
        <v>850.1</v>
      </c>
      <c r="T113" s="22">
        <f t="shared" si="55"/>
        <v>2711.1</v>
      </c>
    </row>
    <row r="114" spans="1:20" x14ac:dyDescent="0.35">
      <c r="A114" s="2">
        <f t="shared" si="50"/>
        <v>12</v>
      </c>
      <c r="B114" s="3" t="s">
        <v>84</v>
      </c>
      <c r="C114" s="4" t="s">
        <v>4</v>
      </c>
      <c r="D114" s="24">
        <f t="shared" si="51"/>
        <v>55988.096999999994</v>
      </c>
      <c r="E114" s="35">
        <v>4830.2299999999996</v>
      </c>
      <c r="F114" s="35">
        <v>3997</v>
      </c>
      <c r="G114" s="35">
        <v>5393</v>
      </c>
      <c r="H114" s="22">
        <f t="shared" si="52"/>
        <v>14220.23</v>
      </c>
      <c r="I114" s="35">
        <v>3328</v>
      </c>
      <c r="J114" s="35">
        <v>4380</v>
      </c>
      <c r="K114" s="35">
        <v>2801</v>
      </c>
      <c r="L114" s="22">
        <f t="shared" si="53"/>
        <v>10509</v>
      </c>
      <c r="M114" s="22">
        <v>3528</v>
      </c>
      <c r="N114" s="22">
        <v>4588</v>
      </c>
      <c r="O114" s="22">
        <v>4929</v>
      </c>
      <c r="P114" s="22">
        <f t="shared" si="54"/>
        <v>13045</v>
      </c>
      <c r="Q114" s="22">
        <v>5280</v>
      </c>
      <c r="R114" s="22">
        <v>6398</v>
      </c>
      <c r="S114" s="22">
        <v>6535.8670000000002</v>
      </c>
      <c r="T114" s="22">
        <f t="shared" si="55"/>
        <v>18213.866999999998</v>
      </c>
    </row>
    <row r="115" spans="1:20" x14ac:dyDescent="0.35">
      <c r="A115" s="2">
        <f t="shared" si="50"/>
        <v>13</v>
      </c>
      <c r="B115" s="3" t="s">
        <v>85</v>
      </c>
      <c r="C115" s="4" t="s">
        <v>4</v>
      </c>
      <c r="D115" s="24">
        <f t="shared" si="51"/>
        <v>5173.87</v>
      </c>
      <c r="E115" s="35">
        <v>205.87</v>
      </c>
      <c r="F115" s="35">
        <v>276.83999999999997</v>
      </c>
      <c r="G115" s="35">
        <v>291.58999999999997</v>
      </c>
      <c r="H115" s="22">
        <f t="shared" si="52"/>
        <v>774.3</v>
      </c>
      <c r="I115" s="35">
        <v>391.15</v>
      </c>
      <c r="J115" s="35">
        <v>443.48</v>
      </c>
      <c r="K115" s="35">
        <v>402.57</v>
      </c>
      <c r="L115" s="22">
        <f t="shared" si="53"/>
        <v>1237.2</v>
      </c>
      <c r="M115" s="22">
        <v>520.16</v>
      </c>
      <c r="N115" s="22">
        <v>535.30999999999995</v>
      </c>
      <c r="O115" s="22">
        <v>516.6</v>
      </c>
      <c r="P115" s="22">
        <f t="shared" si="54"/>
        <v>1572.0699999999997</v>
      </c>
      <c r="Q115" s="22">
        <v>636.17999999999995</v>
      </c>
      <c r="R115" s="22">
        <v>501.29</v>
      </c>
      <c r="S115" s="22">
        <v>452.83</v>
      </c>
      <c r="T115" s="22">
        <f t="shared" si="55"/>
        <v>1590.3</v>
      </c>
    </row>
    <row r="116" spans="1:20" x14ac:dyDescent="0.35">
      <c r="A116" s="2">
        <f t="shared" si="50"/>
        <v>14</v>
      </c>
      <c r="B116" s="3" t="s">
        <v>86</v>
      </c>
      <c r="C116" s="4" t="s">
        <v>4</v>
      </c>
      <c r="D116" s="24">
        <f t="shared" si="51"/>
        <v>3651.0730000000003</v>
      </c>
      <c r="E116" s="35">
        <v>163.31</v>
      </c>
      <c r="F116" s="35">
        <v>286.74</v>
      </c>
      <c r="G116" s="35">
        <v>341.02</v>
      </c>
      <c r="H116" s="22">
        <f t="shared" si="52"/>
        <v>791.06999999999994</v>
      </c>
      <c r="I116" s="35">
        <v>278.35000000000002</v>
      </c>
      <c r="J116" s="35">
        <v>219.07</v>
      </c>
      <c r="K116" s="35">
        <v>235.03</v>
      </c>
      <c r="L116" s="22">
        <f t="shared" si="53"/>
        <v>732.45</v>
      </c>
      <c r="M116" s="22">
        <v>270.94</v>
      </c>
      <c r="N116" s="22">
        <v>365.93</v>
      </c>
      <c r="O116" s="22">
        <v>258.83</v>
      </c>
      <c r="P116" s="22">
        <f t="shared" si="54"/>
        <v>895.7</v>
      </c>
      <c r="Q116" s="22">
        <v>535.42999999999995</v>
      </c>
      <c r="R116" s="22">
        <v>444.87</v>
      </c>
      <c r="S116" s="22">
        <v>251.553</v>
      </c>
      <c r="T116" s="22">
        <f t="shared" si="55"/>
        <v>1231.8530000000001</v>
      </c>
    </row>
    <row r="117" spans="1:20" x14ac:dyDescent="0.35">
      <c r="A117" s="2">
        <f t="shared" si="50"/>
        <v>15</v>
      </c>
      <c r="B117" s="3" t="s">
        <v>87</v>
      </c>
      <c r="C117" s="4" t="s">
        <v>4</v>
      </c>
      <c r="D117" s="24">
        <f t="shared" si="51"/>
        <v>2435.6990000000001</v>
      </c>
      <c r="E117" s="35">
        <v>177.636</v>
      </c>
      <c r="F117" s="35">
        <v>105.76</v>
      </c>
      <c r="G117" s="35">
        <v>135.36000000000001</v>
      </c>
      <c r="H117" s="22">
        <f t="shared" si="52"/>
        <v>418.75600000000003</v>
      </c>
      <c r="I117" s="35">
        <v>176.69</v>
      </c>
      <c r="J117" s="35">
        <v>232.8</v>
      </c>
      <c r="K117" s="35">
        <v>222.90299999999999</v>
      </c>
      <c r="L117" s="22">
        <f t="shared" si="53"/>
        <v>632.39300000000003</v>
      </c>
      <c r="M117" s="22">
        <v>224.74</v>
      </c>
      <c r="N117" s="22">
        <v>227.51</v>
      </c>
      <c r="O117" s="22">
        <v>243.47</v>
      </c>
      <c r="P117" s="22">
        <f t="shared" si="54"/>
        <v>695.72</v>
      </c>
      <c r="Q117" s="22">
        <v>241.62</v>
      </c>
      <c r="R117" s="22">
        <v>247.21</v>
      </c>
      <c r="S117" s="22">
        <v>200</v>
      </c>
      <c r="T117" s="22">
        <f t="shared" si="55"/>
        <v>688.83</v>
      </c>
    </row>
    <row r="118" spans="1:20" x14ac:dyDescent="0.35">
      <c r="A118" s="2">
        <f t="shared" si="50"/>
        <v>16</v>
      </c>
      <c r="B118" s="3" t="s">
        <v>88</v>
      </c>
      <c r="C118" s="4" t="s">
        <v>4</v>
      </c>
      <c r="D118" s="24">
        <f t="shared" si="51"/>
        <v>3975.0820000000003</v>
      </c>
      <c r="E118" s="35">
        <v>383.84500000000003</v>
      </c>
      <c r="F118" s="35">
        <v>198.99600000000001</v>
      </c>
      <c r="G118" s="35">
        <v>212.102</v>
      </c>
      <c r="H118" s="22">
        <f t="shared" si="52"/>
        <v>794.94299999999998</v>
      </c>
      <c r="I118" s="35">
        <v>379.56</v>
      </c>
      <c r="J118" s="35">
        <v>245.12700000000001</v>
      </c>
      <c r="K118" s="35">
        <v>335.09199999999998</v>
      </c>
      <c r="L118" s="22">
        <f t="shared" si="53"/>
        <v>959.779</v>
      </c>
      <c r="M118" s="22">
        <v>389.93</v>
      </c>
      <c r="N118" s="22">
        <v>506.15</v>
      </c>
      <c r="O118" s="22">
        <v>506.69</v>
      </c>
      <c r="P118" s="22">
        <f t="shared" si="54"/>
        <v>1402.77</v>
      </c>
      <c r="Q118" s="22">
        <v>352.59</v>
      </c>
      <c r="R118" s="22">
        <v>255</v>
      </c>
      <c r="S118" s="22">
        <v>210</v>
      </c>
      <c r="T118" s="22">
        <f t="shared" si="55"/>
        <v>817.58999999999992</v>
      </c>
    </row>
    <row r="119" spans="1:20" x14ac:dyDescent="0.35">
      <c r="A119" s="2">
        <f t="shared" si="50"/>
        <v>17</v>
      </c>
      <c r="B119" s="3" t="s">
        <v>89</v>
      </c>
      <c r="C119" s="4" t="s">
        <v>4</v>
      </c>
      <c r="D119" s="24">
        <f t="shared" si="51"/>
        <v>1320.6790000000001</v>
      </c>
      <c r="E119" s="35">
        <v>44.033999999999999</v>
      </c>
      <c r="F119" s="35">
        <v>142.76300000000001</v>
      </c>
      <c r="G119" s="35">
        <v>37.423000000000002</v>
      </c>
      <c r="H119" s="22">
        <f t="shared" si="52"/>
        <v>224.22</v>
      </c>
      <c r="I119" s="35">
        <v>226.94800000000001</v>
      </c>
      <c r="J119" s="35">
        <v>166.82300000000001</v>
      </c>
      <c r="K119" s="35">
        <v>169.64599999999999</v>
      </c>
      <c r="L119" s="22">
        <f t="shared" si="53"/>
        <v>563.41700000000003</v>
      </c>
      <c r="M119" s="22">
        <v>60.154000000000003</v>
      </c>
      <c r="N119" s="22">
        <v>71.228999999999999</v>
      </c>
      <c r="O119" s="22">
        <v>45.676000000000002</v>
      </c>
      <c r="P119" s="22">
        <f t="shared" si="54"/>
        <v>177.05900000000003</v>
      </c>
      <c r="Q119" s="22">
        <v>108.9</v>
      </c>
      <c r="R119" s="22">
        <v>123.259</v>
      </c>
      <c r="S119" s="22">
        <v>123.824</v>
      </c>
      <c r="T119" s="22">
        <f t="shared" si="55"/>
        <v>355.983</v>
      </c>
    </row>
    <row r="120" spans="1:20" x14ac:dyDescent="0.35">
      <c r="A120" s="2">
        <f t="shared" si="50"/>
        <v>18</v>
      </c>
      <c r="B120" s="3" t="s">
        <v>90</v>
      </c>
      <c r="C120" s="4" t="s">
        <v>4</v>
      </c>
      <c r="D120" s="24">
        <f t="shared" si="51"/>
        <v>29364.731900000002</v>
      </c>
      <c r="E120" s="35">
        <v>4690.5</v>
      </c>
      <c r="F120" s="35">
        <v>591.37</v>
      </c>
      <c r="G120" s="35">
        <v>1994.42</v>
      </c>
      <c r="H120" s="22">
        <f t="shared" si="52"/>
        <v>7276.29</v>
      </c>
      <c r="I120" s="35">
        <v>1448.53</v>
      </c>
      <c r="J120" s="35">
        <v>3178.08</v>
      </c>
      <c r="K120" s="35">
        <v>1895.76</v>
      </c>
      <c r="L120" s="22">
        <f t="shared" si="53"/>
        <v>6522.37</v>
      </c>
      <c r="M120" s="22">
        <v>3296.0169999999998</v>
      </c>
      <c r="N120" s="22">
        <v>953.63800000000003</v>
      </c>
      <c r="O120" s="22">
        <v>3389.5680000000002</v>
      </c>
      <c r="P120" s="22">
        <f t="shared" si="54"/>
        <v>7639.223</v>
      </c>
      <c r="Q120" s="22">
        <v>3408.89</v>
      </c>
      <c r="R120" s="22">
        <v>3253.5839999999998</v>
      </c>
      <c r="S120" s="22">
        <v>1264.3749</v>
      </c>
      <c r="T120" s="22">
        <f t="shared" si="55"/>
        <v>7926.8489</v>
      </c>
    </row>
    <row r="121" spans="1:20" x14ac:dyDescent="0.35">
      <c r="A121" s="2">
        <f t="shared" si="50"/>
        <v>19</v>
      </c>
      <c r="B121" s="3" t="s">
        <v>91</v>
      </c>
      <c r="C121" s="4" t="s">
        <v>4</v>
      </c>
      <c r="D121" s="24">
        <f t="shared" si="51"/>
        <v>1935.29</v>
      </c>
      <c r="E121" s="35">
        <v>155.74</v>
      </c>
      <c r="F121" s="35">
        <v>52.53</v>
      </c>
      <c r="G121" s="35">
        <v>57.22</v>
      </c>
      <c r="H121" s="22">
        <f t="shared" si="52"/>
        <v>265.49</v>
      </c>
      <c r="I121" s="35">
        <v>100.26</v>
      </c>
      <c r="J121" s="35">
        <v>92.65</v>
      </c>
      <c r="K121" s="35">
        <v>91.69</v>
      </c>
      <c r="L121" s="22">
        <f t="shared" si="53"/>
        <v>284.60000000000002</v>
      </c>
      <c r="M121" s="22">
        <v>254.12</v>
      </c>
      <c r="N121" s="22">
        <v>232.07</v>
      </c>
      <c r="O121" s="22">
        <v>316.51</v>
      </c>
      <c r="P121" s="22">
        <f t="shared" si="54"/>
        <v>802.7</v>
      </c>
      <c r="Q121" s="22">
        <v>250.11</v>
      </c>
      <c r="R121" s="22">
        <v>180.46</v>
      </c>
      <c r="S121" s="22">
        <v>151.93</v>
      </c>
      <c r="T121" s="22">
        <f t="shared" si="55"/>
        <v>582.5</v>
      </c>
    </row>
    <row r="122" spans="1:20" x14ac:dyDescent="0.35">
      <c r="A122" s="2">
        <f t="shared" si="50"/>
        <v>20</v>
      </c>
      <c r="B122" s="3" t="s">
        <v>92</v>
      </c>
      <c r="C122" s="4" t="s">
        <v>4</v>
      </c>
      <c r="D122" s="24">
        <f t="shared" si="51"/>
        <v>2239.3040000000001</v>
      </c>
      <c r="E122" s="35">
        <v>170.2</v>
      </c>
      <c r="F122" s="35">
        <v>164.4</v>
      </c>
      <c r="G122" s="35">
        <v>232.72499999999999</v>
      </c>
      <c r="H122" s="22">
        <f t="shared" si="52"/>
        <v>567.32500000000005</v>
      </c>
      <c r="I122" s="35">
        <v>229.35</v>
      </c>
      <c r="J122" s="35">
        <v>204.364</v>
      </c>
      <c r="K122" s="35">
        <v>129.75</v>
      </c>
      <c r="L122" s="22">
        <f t="shared" si="53"/>
        <v>563.46399999999994</v>
      </c>
      <c r="M122" s="22">
        <v>196.23</v>
      </c>
      <c r="N122" s="22">
        <v>223.595</v>
      </c>
      <c r="O122" s="22">
        <v>187.85</v>
      </c>
      <c r="P122" s="22">
        <f t="shared" si="54"/>
        <v>607.67499999999995</v>
      </c>
      <c r="Q122" s="22">
        <v>178.72499999999999</v>
      </c>
      <c r="R122" s="22">
        <v>169.65</v>
      </c>
      <c r="S122" s="22">
        <v>152.465</v>
      </c>
      <c r="T122" s="22">
        <f t="shared" si="55"/>
        <v>500.84000000000003</v>
      </c>
    </row>
    <row r="123" spans="1:20" x14ac:dyDescent="0.35">
      <c r="A123" s="2">
        <f t="shared" si="50"/>
        <v>21</v>
      </c>
      <c r="B123" s="3" t="s">
        <v>93</v>
      </c>
      <c r="C123" s="4" t="s">
        <v>4</v>
      </c>
      <c r="D123" s="24">
        <f t="shared" si="51"/>
        <v>7157.46</v>
      </c>
      <c r="E123" s="35">
        <v>615.5</v>
      </c>
      <c r="F123" s="35">
        <v>575.32000000000005</v>
      </c>
      <c r="G123" s="35">
        <v>528.78</v>
      </c>
      <c r="H123" s="22">
        <f t="shared" si="52"/>
        <v>1719.6000000000001</v>
      </c>
      <c r="I123" s="35">
        <v>451.33</v>
      </c>
      <c r="J123" s="35">
        <v>716.32</v>
      </c>
      <c r="K123" s="35">
        <v>514.78</v>
      </c>
      <c r="L123" s="22">
        <f t="shared" si="53"/>
        <v>1682.43</v>
      </c>
      <c r="M123" s="22">
        <v>567.59</v>
      </c>
      <c r="N123" s="22">
        <v>658.44</v>
      </c>
      <c r="O123" s="22">
        <v>661.52</v>
      </c>
      <c r="P123" s="22">
        <f t="shared" si="54"/>
        <v>1887.5500000000002</v>
      </c>
      <c r="Q123" s="22">
        <v>694.44</v>
      </c>
      <c r="R123" s="22">
        <v>660.44</v>
      </c>
      <c r="S123" s="22">
        <v>513</v>
      </c>
      <c r="T123" s="22">
        <f t="shared" si="55"/>
        <v>1867.88</v>
      </c>
    </row>
    <row r="124" spans="1:20" x14ac:dyDescent="0.35">
      <c r="A124" s="2">
        <f t="shared" si="50"/>
        <v>22</v>
      </c>
      <c r="B124" s="3" t="s">
        <v>94</v>
      </c>
      <c r="C124" s="4" t="s">
        <v>4</v>
      </c>
      <c r="D124" s="24">
        <f t="shared" si="51"/>
        <v>6439.7119999999995</v>
      </c>
      <c r="E124" s="35">
        <v>138.577</v>
      </c>
      <c r="F124" s="35">
        <v>36.328000000000003</v>
      </c>
      <c r="G124" s="35">
        <v>96.027000000000001</v>
      </c>
      <c r="H124" s="22">
        <f t="shared" si="52"/>
        <v>270.93200000000002</v>
      </c>
      <c r="I124" s="35">
        <v>292.21300000000002</v>
      </c>
      <c r="J124" s="35">
        <v>150.47499999999999</v>
      </c>
      <c r="K124" s="35">
        <v>162.63</v>
      </c>
      <c r="L124" s="22">
        <f t="shared" si="53"/>
        <v>605.31799999999998</v>
      </c>
      <c r="M124" s="22">
        <v>980.24</v>
      </c>
      <c r="N124" s="22">
        <v>1074.107</v>
      </c>
      <c r="O124" s="22">
        <v>1180.0429999999999</v>
      </c>
      <c r="P124" s="22">
        <f t="shared" si="54"/>
        <v>3234.3899999999994</v>
      </c>
      <c r="Q124" s="22">
        <v>1025.325</v>
      </c>
      <c r="R124" s="22">
        <v>801.30200000000002</v>
      </c>
      <c r="S124" s="22">
        <v>502.44499999999999</v>
      </c>
      <c r="T124" s="22">
        <f t="shared" si="55"/>
        <v>2329.0720000000001</v>
      </c>
    </row>
    <row r="125" spans="1:20" hidden="1" x14ac:dyDescent="0.35">
      <c r="A125" s="2"/>
      <c r="B125" s="3"/>
      <c r="C125" s="4"/>
      <c r="D125" s="24"/>
      <c r="E125" s="22"/>
      <c r="F125" s="22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hidden="1" x14ac:dyDescent="0.35">
      <c r="A126" s="2"/>
      <c r="B126" s="3"/>
      <c r="C126" s="4"/>
      <c r="D126" s="24"/>
      <c r="E126" s="22"/>
      <c r="F126" s="22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hidden="1" x14ac:dyDescent="0.35">
      <c r="A127" s="2"/>
      <c r="B127" s="3"/>
      <c r="C127" s="4"/>
      <c r="D127" s="24"/>
      <c r="E127" s="22"/>
      <c r="F127" s="22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hidden="1" x14ac:dyDescent="0.35">
      <c r="A128" s="2"/>
      <c r="B128" s="3"/>
      <c r="C128" s="4"/>
      <c r="D128" s="24"/>
      <c r="E128" s="22"/>
      <c r="F128" s="22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hidden="1" x14ac:dyDescent="0.35">
      <c r="A129" s="2"/>
      <c r="B129" s="3"/>
      <c r="C129" s="4"/>
      <c r="D129" s="24"/>
      <c r="E129" s="22"/>
      <c r="F129" s="22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hidden="1" x14ac:dyDescent="0.35">
      <c r="A130" s="2"/>
      <c r="B130" s="3"/>
      <c r="C130" s="4"/>
      <c r="D130" s="24"/>
      <c r="E130" s="22"/>
      <c r="F130" s="22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hidden="1" x14ac:dyDescent="0.35">
      <c r="A131" s="2"/>
      <c r="B131" s="3"/>
      <c r="C131" s="4"/>
      <c r="D131" s="24"/>
      <c r="E131" s="22"/>
      <c r="F131" s="22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hidden="1" x14ac:dyDescent="0.35">
      <c r="A132" s="2"/>
      <c r="B132" s="3"/>
      <c r="C132" s="4"/>
      <c r="D132" s="24"/>
      <c r="E132" s="22"/>
      <c r="F132" s="22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hidden="1" x14ac:dyDescent="0.35">
      <c r="A133" s="2"/>
      <c r="B133" s="3"/>
      <c r="C133" s="4"/>
      <c r="D133" s="24"/>
      <c r="E133" s="22"/>
      <c r="F133" s="22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hidden="1" x14ac:dyDescent="0.35">
      <c r="A134" s="2"/>
      <c r="B134" s="3"/>
      <c r="C134" s="4"/>
      <c r="D134" s="24"/>
      <c r="E134" s="22"/>
      <c r="F134" s="22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hidden="1" x14ac:dyDescent="0.35">
      <c r="A135" s="2"/>
      <c r="B135" s="3"/>
      <c r="C135" s="4"/>
      <c r="D135" s="24"/>
      <c r="E135" s="22"/>
      <c r="F135" s="22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hidden="1" x14ac:dyDescent="0.35">
      <c r="A136" s="2"/>
      <c r="B136" s="3"/>
      <c r="C136" s="4"/>
      <c r="D136" s="24"/>
      <c r="E136" s="22"/>
      <c r="F136" s="22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hidden="1" x14ac:dyDescent="0.35">
      <c r="A137" s="2"/>
      <c r="B137" s="3"/>
      <c r="C137" s="4"/>
      <c r="D137" s="24"/>
      <c r="E137" s="22"/>
      <c r="F137" s="22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hidden="1" x14ac:dyDescent="0.35">
      <c r="A138" s="2"/>
      <c r="B138" s="3"/>
      <c r="C138" s="4"/>
      <c r="D138" s="24"/>
      <c r="E138" s="22"/>
      <c r="F138" s="22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hidden="1" x14ac:dyDescent="0.35">
      <c r="A139" s="2"/>
      <c r="B139" s="3"/>
      <c r="C139" s="4"/>
      <c r="D139" s="24"/>
      <c r="E139" s="22"/>
      <c r="F139" s="22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hidden="1" x14ac:dyDescent="0.35">
      <c r="A140" s="2"/>
      <c r="B140" s="3"/>
      <c r="C140" s="4"/>
      <c r="D140" s="24"/>
      <c r="E140" s="22"/>
      <c r="F140" s="22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3" spans="1:20" x14ac:dyDescent="0.35">
      <c r="A143" s="1" t="s">
        <v>105</v>
      </c>
    </row>
    <row r="144" spans="1:20" ht="15.5" x14ac:dyDescent="0.35">
      <c r="A144" s="10" t="s">
        <v>0</v>
      </c>
      <c r="B144" s="10" t="s">
        <v>1</v>
      </c>
      <c r="C144" s="10" t="s">
        <v>2</v>
      </c>
      <c r="D144" s="31" t="s">
        <v>67</v>
      </c>
      <c r="E144" s="27" t="s">
        <v>113</v>
      </c>
      <c r="F144" s="27" t="s">
        <v>114</v>
      </c>
      <c r="G144" s="27" t="s">
        <v>115</v>
      </c>
      <c r="H144" s="28" t="s">
        <v>27</v>
      </c>
      <c r="I144" s="27" t="s">
        <v>55</v>
      </c>
      <c r="J144" s="27" t="s">
        <v>116</v>
      </c>
      <c r="K144" s="27" t="s">
        <v>117</v>
      </c>
      <c r="L144" s="28" t="s">
        <v>54</v>
      </c>
      <c r="M144" s="27" t="s">
        <v>118</v>
      </c>
      <c r="N144" s="27" t="s">
        <v>119</v>
      </c>
      <c r="O144" s="27" t="s">
        <v>56</v>
      </c>
      <c r="P144" s="28" t="s">
        <v>57</v>
      </c>
      <c r="Q144" s="27" t="s">
        <v>120</v>
      </c>
      <c r="R144" s="27" t="s">
        <v>58</v>
      </c>
      <c r="S144" s="27" t="s">
        <v>121</v>
      </c>
      <c r="T144" s="28" t="s">
        <v>59</v>
      </c>
    </row>
    <row r="145" spans="1:20" ht="15.5" x14ac:dyDescent="0.35">
      <c r="A145" s="12"/>
      <c r="B145" s="12"/>
      <c r="C145" s="12"/>
      <c r="D145" s="32"/>
      <c r="E145" s="29"/>
      <c r="F145" s="29"/>
      <c r="G145" s="13"/>
      <c r="H145" s="9"/>
      <c r="I145" s="13"/>
      <c r="J145" s="13"/>
      <c r="K145" s="13"/>
      <c r="L145" s="9"/>
      <c r="M145" s="13"/>
      <c r="N145" s="13"/>
      <c r="O145" s="13"/>
      <c r="P145" s="9"/>
      <c r="Q145" s="13"/>
      <c r="R145" s="13"/>
      <c r="S145" s="13"/>
      <c r="T145" s="9"/>
    </row>
    <row r="146" spans="1:20" x14ac:dyDescent="0.35">
      <c r="A146" s="5"/>
      <c r="B146" s="6" t="s">
        <v>26</v>
      </c>
      <c r="C146" s="6" t="s">
        <v>4</v>
      </c>
      <c r="D146" s="33">
        <f>SUM(D147:D184)</f>
        <v>13975.271000000002</v>
      </c>
      <c r="E146" s="84">
        <f>SUM(E147:E184)</f>
        <v>1125.3110000000001</v>
      </c>
      <c r="F146" s="84">
        <f t="shared" ref="F146:G146" si="56">SUM(F147:F184)</f>
        <v>1224.732</v>
      </c>
      <c r="G146" s="84">
        <f t="shared" si="56"/>
        <v>1312.69</v>
      </c>
      <c r="H146" s="84">
        <f>SUM(E146:G146)</f>
        <v>3662.7330000000002</v>
      </c>
      <c r="I146" s="84">
        <f>SUM(I147:I184)</f>
        <v>1269.2949999999998</v>
      </c>
      <c r="J146" s="84">
        <f t="shared" ref="J146:K146" si="57">SUM(J147:J184)</f>
        <v>1304.278</v>
      </c>
      <c r="K146" s="84">
        <f t="shared" si="57"/>
        <v>1192.7779999999998</v>
      </c>
      <c r="L146" s="84">
        <f>SUM(I146:K146)</f>
        <v>3766.3509999999997</v>
      </c>
      <c r="M146" s="84">
        <f>SUM(M147:M184)</f>
        <v>1061.9639999999999</v>
      </c>
      <c r="N146" s="84">
        <f t="shared" ref="N146:O146" si="58">SUM(N147:N184)</f>
        <v>1112.2299999999998</v>
      </c>
      <c r="O146" s="84">
        <f t="shared" si="58"/>
        <v>1122.4160000000002</v>
      </c>
      <c r="P146" s="84">
        <f t="shared" ref="P146" si="59">SUM(M146:O146)</f>
        <v>3296.6099999999997</v>
      </c>
      <c r="Q146" s="84">
        <f>SUM(Q147:Q184)</f>
        <v>1108.96</v>
      </c>
      <c r="R146" s="84">
        <f t="shared" ref="R146:S146" si="60">SUM(R147:R184)</f>
        <v>1085.3199999999997</v>
      </c>
      <c r="S146" s="84">
        <f t="shared" si="60"/>
        <v>1055.297</v>
      </c>
      <c r="T146" s="84">
        <f>SUM(Q146:S146)</f>
        <v>3249.5769999999998</v>
      </c>
    </row>
    <row r="147" spans="1:20" x14ac:dyDescent="0.35">
      <c r="A147" s="2">
        <v>1</v>
      </c>
      <c r="B147" s="3" t="s">
        <v>3</v>
      </c>
      <c r="C147" s="4" t="s">
        <v>4</v>
      </c>
      <c r="D147" s="24">
        <f>SUM(H147,L147,P147,T147)</f>
        <v>821.43799999999999</v>
      </c>
      <c r="E147" s="35">
        <v>5.8639999999999999</v>
      </c>
      <c r="F147" s="35">
        <v>34.582000000000001</v>
      </c>
      <c r="G147" s="35">
        <v>37.954000000000001</v>
      </c>
      <c r="H147" s="22">
        <f>SUM(E147:G147)</f>
        <v>78.400000000000006</v>
      </c>
      <c r="I147" s="35">
        <v>36.173999999999999</v>
      </c>
      <c r="J147" s="35">
        <v>46.881999999999998</v>
      </c>
      <c r="K147" s="22">
        <v>105.90600000000001</v>
      </c>
      <c r="L147" s="22">
        <f>SUM(I147:K147)</f>
        <v>188.96199999999999</v>
      </c>
      <c r="M147" s="22">
        <v>51.4</v>
      </c>
      <c r="N147" s="22">
        <v>106.035</v>
      </c>
      <c r="O147" s="22">
        <v>103.914</v>
      </c>
      <c r="P147" s="22">
        <f>SUM(M147:O147)</f>
        <v>261.34899999999999</v>
      </c>
      <c r="Q147" s="22">
        <v>100.083</v>
      </c>
      <c r="R147" s="22">
        <v>90.454999999999998</v>
      </c>
      <c r="S147" s="22">
        <v>102.18899999999999</v>
      </c>
      <c r="T147" s="22">
        <f>SUM(Q147:S147)</f>
        <v>292.72699999999998</v>
      </c>
    </row>
    <row r="148" spans="1:20" x14ac:dyDescent="0.35">
      <c r="A148" s="2">
        <f t="shared" ref="A148:A168" si="61">A147+1</f>
        <v>2</v>
      </c>
      <c r="B148" s="3" t="s">
        <v>28</v>
      </c>
      <c r="C148" s="4" t="s">
        <v>4</v>
      </c>
      <c r="D148" s="24">
        <f t="shared" ref="D148:D184" si="62">SUM(H148,L148,P148,T148)</f>
        <v>52.5</v>
      </c>
      <c r="E148" s="35">
        <v>4.5999999999999996</v>
      </c>
      <c r="F148" s="35">
        <v>1.5</v>
      </c>
      <c r="G148" s="35">
        <v>3.7</v>
      </c>
      <c r="H148" s="22">
        <f t="shared" ref="H148:H184" si="63">SUM(E148:G148)</f>
        <v>9.8000000000000007</v>
      </c>
      <c r="I148" s="35">
        <v>3.3</v>
      </c>
      <c r="J148" s="35">
        <v>4.3</v>
      </c>
      <c r="K148" s="22">
        <v>4.0999999999999996</v>
      </c>
      <c r="L148" s="22">
        <f t="shared" ref="L148:L184" si="64">SUM(I148:K148)</f>
        <v>11.7</v>
      </c>
      <c r="M148" s="22">
        <v>1.5</v>
      </c>
      <c r="N148" s="22">
        <v>3.8</v>
      </c>
      <c r="O148" s="22">
        <v>6.5</v>
      </c>
      <c r="P148" s="22">
        <f t="shared" ref="P148:P184" si="65">SUM(M148:O148)</f>
        <v>11.8</v>
      </c>
      <c r="Q148" s="22">
        <v>6.4</v>
      </c>
      <c r="R148" s="22">
        <v>6.4</v>
      </c>
      <c r="S148" s="22">
        <v>6.4</v>
      </c>
      <c r="T148" s="22">
        <f t="shared" ref="T148:T184" si="66">SUM(Q148:S148)</f>
        <v>19.200000000000003</v>
      </c>
    </row>
    <row r="149" spans="1:20" x14ac:dyDescent="0.35">
      <c r="A149" s="2">
        <f t="shared" si="61"/>
        <v>3</v>
      </c>
      <c r="B149" s="3" t="s">
        <v>5</v>
      </c>
      <c r="C149" s="4" t="s">
        <v>4</v>
      </c>
      <c r="D149" s="24">
        <f t="shared" si="62"/>
        <v>23.1</v>
      </c>
      <c r="E149" s="35">
        <v>2.1</v>
      </c>
      <c r="F149" s="35">
        <v>1.8</v>
      </c>
      <c r="G149" s="35">
        <v>1.7</v>
      </c>
      <c r="H149" s="22">
        <f t="shared" si="63"/>
        <v>5.6000000000000005</v>
      </c>
      <c r="I149" s="35">
        <v>2.1</v>
      </c>
      <c r="J149" s="35">
        <v>1.8</v>
      </c>
      <c r="K149" s="22">
        <v>1.5</v>
      </c>
      <c r="L149" s="22">
        <f t="shared" si="64"/>
        <v>5.4</v>
      </c>
      <c r="M149" s="22">
        <v>1.8</v>
      </c>
      <c r="N149" s="22">
        <v>2.2000000000000002</v>
      </c>
      <c r="O149" s="22">
        <v>2.2999999999999998</v>
      </c>
      <c r="P149" s="22">
        <f t="shared" si="65"/>
        <v>6.3</v>
      </c>
      <c r="Q149" s="22">
        <v>1.9</v>
      </c>
      <c r="R149" s="22">
        <v>2.1</v>
      </c>
      <c r="S149" s="22">
        <v>1.8</v>
      </c>
      <c r="T149" s="22">
        <f t="shared" si="66"/>
        <v>5.8</v>
      </c>
    </row>
    <row r="150" spans="1:20" x14ac:dyDescent="0.35">
      <c r="A150" s="2">
        <f t="shared" si="61"/>
        <v>4</v>
      </c>
      <c r="B150" s="3" t="s">
        <v>6</v>
      </c>
      <c r="C150" s="4" t="s">
        <v>4</v>
      </c>
      <c r="D150" s="24">
        <f t="shared" si="62"/>
        <v>27.764999999999997</v>
      </c>
      <c r="E150" s="35">
        <v>4.87</v>
      </c>
      <c r="F150" s="35">
        <v>5.76</v>
      </c>
      <c r="G150" s="35">
        <v>7.7</v>
      </c>
      <c r="H150" s="22">
        <f t="shared" si="63"/>
        <v>18.329999999999998</v>
      </c>
      <c r="I150" s="35">
        <v>3.65</v>
      </c>
      <c r="J150" s="35">
        <v>3.23</v>
      </c>
      <c r="K150" s="22">
        <v>2</v>
      </c>
      <c r="L150" s="22">
        <f t="shared" si="64"/>
        <v>8.879999999999999</v>
      </c>
      <c r="M150" s="22">
        <v>8.2000000000000003E-2</v>
      </c>
      <c r="N150" s="22">
        <v>0.14699999999999999</v>
      </c>
      <c r="O150" s="22">
        <v>0.08</v>
      </c>
      <c r="P150" s="22">
        <f t="shared" si="65"/>
        <v>0.309</v>
      </c>
      <c r="Q150" s="22">
        <v>9.9000000000000005E-2</v>
      </c>
      <c r="R150" s="22">
        <v>8.2000000000000003E-2</v>
      </c>
      <c r="S150" s="22">
        <v>6.5000000000000002E-2</v>
      </c>
      <c r="T150" s="22">
        <f t="shared" si="66"/>
        <v>0.246</v>
      </c>
    </row>
    <row r="151" spans="1:20" x14ac:dyDescent="0.35">
      <c r="A151" s="2">
        <f t="shared" si="61"/>
        <v>5</v>
      </c>
      <c r="B151" s="3" t="s">
        <v>7</v>
      </c>
      <c r="C151" s="4" t="s">
        <v>4</v>
      </c>
      <c r="D151" s="24">
        <f t="shared" si="62"/>
        <v>283.10000000000002</v>
      </c>
      <c r="E151" s="35">
        <v>27.9</v>
      </c>
      <c r="F151" s="35">
        <v>23.4</v>
      </c>
      <c r="G151" s="35">
        <v>19.5</v>
      </c>
      <c r="H151" s="22">
        <f t="shared" si="63"/>
        <v>70.8</v>
      </c>
      <c r="I151" s="35">
        <v>28.2</v>
      </c>
      <c r="J151" s="35">
        <v>17.899999999999999</v>
      </c>
      <c r="K151" s="22">
        <v>15.6</v>
      </c>
      <c r="L151" s="22">
        <f t="shared" si="64"/>
        <v>61.699999999999996</v>
      </c>
      <c r="M151" s="22">
        <v>11.1</v>
      </c>
      <c r="N151" s="22">
        <v>14.2</v>
      </c>
      <c r="O151" s="22">
        <v>14.4</v>
      </c>
      <c r="P151" s="22">
        <f t="shared" si="65"/>
        <v>39.699999999999996</v>
      </c>
      <c r="Q151" s="22">
        <v>24.4</v>
      </c>
      <c r="R151" s="22">
        <v>49.5</v>
      </c>
      <c r="S151" s="22">
        <v>37</v>
      </c>
      <c r="T151" s="22">
        <f t="shared" si="66"/>
        <v>110.9</v>
      </c>
    </row>
    <row r="152" spans="1:20" x14ac:dyDescent="0.35">
      <c r="A152" s="2">
        <f t="shared" si="61"/>
        <v>6</v>
      </c>
      <c r="B152" s="3" t="s">
        <v>29</v>
      </c>
      <c r="C152" s="4" t="s">
        <v>4</v>
      </c>
      <c r="D152" s="24">
        <f t="shared" si="62"/>
        <v>75.3</v>
      </c>
      <c r="E152" s="35">
        <v>6.5</v>
      </c>
      <c r="F152" s="35">
        <v>5.2</v>
      </c>
      <c r="G152" s="35">
        <v>5.2</v>
      </c>
      <c r="H152" s="22">
        <f t="shared" si="63"/>
        <v>16.899999999999999</v>
      </c>
      <c r="I152" s="35">
        <v>6.9</v>
      </c>
      <c r="J152" s="35">
        <v>6.2</v>
      </c>
      <c r="K152" s="22">
        <v>5.8</v>
      </c>
      <c r="L152" s="22">
        <f t="shared" si="64"/>
        <v>18.900000000000002</v>
      </c>
      <c r="M152" s="22">
        <v>6.3</v>
      </c>
      <c r="N152" s="22">
        <v>6.3</v>
      </c>
      <c r="O152" s="22">
        <v>6.5</v>
      </c>
      <c r="P152" s="22">
        <f t="shared" si="65"/>
        <v>19.100000000000001</v>
      </c>
      <c r="Q152" s="22">
        <v>6.5</v>
      </c>
      <c r="R152" s="22">
        <v>6.8</v>
      </c>
      <c r="S152" s="22">
        <v>7.1</v>
      </c>
      <c r="T152" s="22">
        <f t="shared" si="66"/>
        <v>20.399999999999999</v>
      </c>
    </row>
    <row r="153" spans="1:20" x14ac:dyDescent="0.35">
      <c r="A153" s="2">
        <f t="shared" si="61"/>
        <v>7</v>
      </c>
      <c r="B153" s="3" t="s">
        <v>8</v>
      </c>
      <c r="C153" s="4" t="s">
        <v>4</v>
      </c>
      <c r="D153" s="24">
        <f t="shared" si="62"/>
        <v>111.777</v>
      </c>
      <c r="E153" s="35">
        <v>9.4860000000000007</v>
      </c>
      <c r="F153" s="35">
        <v>9.2070000000000007</v>
      </c>
      <c r="G153" s="35">
        <v>9.2530000000000001</v>
      </c>
      <c r="H153" s="22">
        <f t="shared" si="63"/>
        <v>27.946000000000002</v>
      </c>
      <c r="I153" s="35">
        <v>9.1539999999999999</v>
      </c>
      <c r="J153" s="35">
        <v>9.2509999999999994</v>
      </c>
      <c r="K153" s="22">
        <v>9.1270000000000007</v>
      </c>
      <c r="L153" s="22">
        <f t="shared" si="64"/>
        <v>27.532000000000004</v>
      </c>
      <c r="M153" s="22">
        <v>9.5120000000000005</v>
      </c>
      <c r="N153" s="22">
        <v>9.41</v>
      </c>
      <c r="O153" s="22">
        <v>9.4220000000000006</v>
      </c>
      <c r="P153" s="22">
        <f t="shared" si="65"/>
        <v>28.344000000000001</v>
      </c>
      <c r="Q153" s="22">
        <v>9.9939999999999998</v>
      </c>
      <c r="R153" s="22">
        <v>9.3930000000000007</v>
      </c>
      <c r="S153" s="22">
        <v>8.5679999999999996</v>
      </c>
      <c r="T153" s="22">
        <f t="shared" si="66"/>
        <v>27.954999999999998</v>
      </c>
    </row>
    <row r="154" spans="1:20" x14ac:dyDescent="0.35">
      <c r="A154" s="2">
        <f t="shared" si="61"/>
        <v>8</v>
      </c>
      <c r="B154" s="3" t="s">
        <v>9</v>
      </c>
      <c r="C154" s="4" t="s">
        <v>4</v>
      </c>
      <c r="D154" s="24">
        <f t="shared" si="62"/>
        <v>912.5</v>
      </c>
      <c r="E154" s="35">
        <v>67.900000000000006</v>
      </c>
      <c r="F154" s="35">
        <v>84.8</v>
      </c>
      <c r="G154" s="35">
        <v>81</v>
      </c>
      <c r="H154" s="22">
        <f t="shared" si="63"/>
        <v>233.7</v>
      </c>
      <c r="I154" s="35">
        <v>63.7</v>
      </c>
      <c r="J154" s="35">
        <v>63</v>
      </c>
      <c r="K154" s="22">
        <v>69.8</v>
      </c>
      <c r="L154" s="22">
        <f t="shared" si="64"/>
        <v>196.5</v>
      </c>
      <c r="M154" s="22">
        <v>86.1</v>
      </c>
      <c r="N154" s="22">
        <v>81.5</v>
      </c>
      <c r="O154" s="22">
        <v>73.7</v>
      </c>
      <c r="P154" s="22">
        <f t="shared" si="65"/>
        <v>241.3</v>
      </c>
      <c r="Q154" s="22">
        <v>77.5</v>
      </c>
      <c r="R154" s="22">
        <v>77.400000000000006</v>
      </c>
      <c r="S154" s="22">
        <v>86.1</v>
      </c>
      <c r="T154" s="22">
        <f t="shared" si="66"/>
        <v>241</v>
      </c>
    </row>
    <row r="155" spans="1:20" x14ac:dyDescent="0.35">
      <c r="A155" s="2">
        <f t="shared" si="61"/>
        <v>9</v>
      </c>
      <c r="B155" s="3" t="s">
        <v>10</v>
      </c>
      <c r="C155" s="4" t="s">
        <v>4</v>
      </c>
      <c r="D155" s="24">
        <f t="shared" si="62"/>
        <v>229</v>
      </c>
      <c r="E155" s="35">
        <v>8.5</v>
      </c>
      <c r="F155" s="35">
        <v>9.3000000000000007</v>
      </c>
      <c r="G155" s="35">
        <v>14.5</v>
      </c>
      <c r="H155" s="22">
        <f t="shared" si="63"/>
        <v>32.299999999999997</v>
      </c>
      <c r="I155" s="35">
        <v>15.1</v>
      </c>
      <c r="J155" s="35">
        <v>18.899999999999999</v>
      </c>
      <c r="K155" s="22">
        <v>22.3</v>
      </c>
      <c r="L155" s="22">
        <f t="shared" si="64"/>
        <v>56.3</v>
      </c>
      <c r="M155" s="22">
        <v>20.9</v>
      </c>
      <c r="N155" s="22">
        <v>28</v>
      </c>
      <c r="O155" s="22">
        <v>27.5</v>
      </c>
      <c r="P155" s="22">
        <f t="shared" si="65"/>
        <v>76.400000000000006</v>
      </c>
      <c r="Q155" s="22">
        <v>24.4</v>
      </c>
      <c r="R155" s="22">
        <v>21</v>
      </c>
      <c r="S155" s="22">
        <v>18.600000000000001</v>
      </c>
      <c r="T155" s="22">
        <f t="shared" si="66"/>
        <v>64</v>
      </c>
    </row>
    <row r="156" spans="1:20" x14ac:dyDescent="0.35">
      <c r="A156" s="2">
        <f t="shared" si="61"/>
        <v>10</v>
      </c>
      <c r="B156" s="3" t="s">
        <v>11</v>
      </c>
      <c r="C156" s="4" t="s">
        <v>4</v>
      </c>
      <c r="D156" s="24">
        <f t="shared" si="62"/>
        <v>1145.9000000000001</v>
      </c>
      <c r="E156" s="35">
        <v>76.8</v>
      </c>
      <c r="F156" s="35">
        <v>80.3</v>
      </c>
      <c r="G156" s="35">
        <v>82.6</v>
      </c>
      <c r="H156" s="22">
        <f t="shared" si="63"/>
        <v>239.7</v>
      </c>
      <c r="I156" s="35">
        <v>87.2</v>
      </c>
      <c r="J156" s="35">
        <v>88.7</v>
      </c>
      <c r="K156" s="22">
        <v>98.1</v>
      </c>
      <c r="L156" s="22">
        <f t="shared" si="64"/>
        <v>274</v>
      </c>
      <c r="M156" s="22">
        <v>93</v>
      </c>
      <c r="N156" s="22">
        <v>102.5</v>
      </c>
      <c r="O156" s="22">
        <v>109.2</v>
      </c>
      <c r="P156" s="22">
        <f t="shared" si="65"/>
        <v>304.7</v>
      </c>
      <c r="Q156" s="22">
        <v>108.7</v>
      </c>
      <c r="R156" s="22">
        <v>116.7</v>
      </c>
      <c r="S156" s="22">
        <v>102.1</v>
      </c>
      <c r="T156" s="22">
        <f t="shared" si="66"/>
        <v>327.5</v>
      </c>
    </row>
    <row r="157" spans="1:20" x14ac:dyDescent="0.35">
      <c r="A157" s="2">
        <f t="shared" si="61"/>
        <v>11</v>
      </c>
      <c r="B157" s="3" t="s">
        <v>30</v>
      </c>
      <c r="C157" s="4" t="s">
        <v>4</v>
      </c>
      <c r="D157" s="24">
        <f t="shared" si="62"/>
        <v>111.99000000000001</v>
      </c>
      <c r="E157" s="35">
        <v>8.18</v>
      </c>
      <c r="F157" s="35">
        <v>8.43</v>
      </c>
      <c r="G157" s="35">
        <v>7.88</v>
      </c>
      <c r="H157" s="22">
        <f t="shared" si="63"/>
        <v>24.49</v>
      </c>
      <c r="I157" s="35">
        <v>9.73</v>
      </c>
      <c r="J157" s="35">
        <v>9.25</v>
      </c>
      <c r="K157" s="22">
        <v>8.67</v>
      </c>
      <c r="L157" s="22">
        <f t="shared" si="64"/>
        <v>27.65</v>
      </c>
      <c r="M157" s="22">
        <v>9.4600000000000009</v>
      </c>
      <c r="N157" s="22">
        <v>10.220000000000001</v>
      </c>
      <c r="O157" s="22">
        <v>10.38</v>
      </c>
      <c r="P157" s="22">
        <f t="shared" si="65"/>
        <v>30.060000000000002</v>
      </c>
      <c r="Q157" s="22">
        <v>10.02</v>
      </c>
      <c r="R157" s="22">
        <v>10.65</v>
      </c>
      <c r="S157" s="22">
        <v>9.1199999999999992</v>
      </c>
      <c r="T157" s="22">
        <f t="shared" si="66"/>
        <v>29.79</v>
      </c>
    </row>
    <row r="158" spans="1:20" x14ac:dyDescent="0.35">
      <c r="A158" s="2">
        <f t="shared" si="61"/>
        <v>12</v>
      </c>
      <c r="B158" s="3" t="s">
        <v>12</v>
      </c>
      <c r="C158" s="4" t="s">
        <v>4</v>
      </c>
      <c r="D158" s="24">
        <f t="shared" si="62"/>
        <v>0</v>
      </c>
      <c r="E158" s="35">
        <v>0</v>
      </c>
      <c r="F158" s="35">
        <v>0</v>
      </c>
      <c r="G158" s="35">
        <v>0</v>
      </c>
      <c r="H158" s="22">
        <f t="shared" si="63"/>
        <v>0</v>
      </c>
      <c r="I158" s="35">
        <v>0</v>
      </c>
      <c r="J158" s="35">
        <v>0</v>
      </c>
      <c r="K158" s="22">
        <v>0</v>
      </c>
      <c r="L158" s="22">
        <f t="shared" si="64"/>
        <v>0</v>
      </c>
      <c r="M158" s="22">
        <v>0</v>
      </c>
      <c r="N158" s="22">
        <v>0</v>
      </c>
      <c r="O158" s="22">
        <v>0</v>
      </c>
      <c r="P158" s="22">
        <f t="shared" si="65"/>
        <v>0</v>
      </c>
      <c r="Q158" s="22">
        <v>0</v>
      </c>
      <c r="R158" s="22">
        <v>0</v>
      </c>
      <c r="S158" s="22">
        <v>0</v>
      </c>
      <c r="T158" s="22">
        <f t="shared" si="66"/>
        <v>0</v>
      </c>
    </row>
    <row r="159" spans="1:20" x14ac:dyDescent="0.35">
      <c r="A159" s="2">
        <f t="shared" si="61"/>
        <v>13</v>
      </c>
      <c r="B159" s="3" t="s">
        <v>13</v>
      </c>
      <c r="C159" s="4" t="s">
        <v>4</v>
      </c>
      <c r="D159" s="24">
        <f t="shared" si="62"/>
        <v>195.7</v>
      </c>
      <c r="E159" s="35">
        <v>17.100000000000001</v>
      </c>
      <c r="F159" s="35">
        <v>17.7</v>
      </c>
      <c r="G159" s="35">
        <v>19</v>
      </c>
      <c r="H159" s="22">
        <f t="shared" si="63"/>
        <v>53.8</v>
      </c>
      <c r="I159" s="35">
        <v>17.600000000000001</v>
      </c>
      <c r="J159" s="35">
        <v>18.8</v>
      </c>
      <c r="K159" s="22">
        <v>16.399999999999999</v>
      </c>
      <c r="L159" s="22">
        <f t="shared" si="64"/>
        <v>52.800000000000004</v>
      </c>
      <c r="M159" s="22">
        <v>14.6</v>
      </c>
      <c r="N159" s="22">
        <v>10.1</v>
      </c>
      <c r="O159" s="22">
        <v>9.1</v>
      </c>
      <c r="P159" s="22">
        <f t="shared" si="65"/>
        <v>33.799999999999997</v>
      </c>
      <c r="Q159" s="22">
        <v>15.2</v>
      </c>
      <c r="R159" s="22">
        <v>19.899999999999999</v>
      </c>
      <c r="S159" s="22">
        <v>20.2</v>
      </c>
      <c r="T159" s="22">
        <f t="shared" si="66"/>
        <v>55.3</v>
      </c>
    </row>
    <row r="160" spans="1:20" x14ac:dyDescent="0.35">
      <c r="A160" s="2">
        <f t="shared" si="61"/>
        <v>14</v>
      </c>
      <c r="B160" s="3" t="s">
        <v>14</v>
      </c>
      <c r="C160" s="4" t="s">
        <v>4</v>
      </c>
      <c r="D160" s="24">
        <f t="shared" si="62"/>
        <v>283.60000000000002</v>
      </c>
      <c r="E160" s="35">
        <v>18.399999999999999</v>
      </c>
      <c r="F160" s="35">
        <v>21.8</v>
      </c>
      <c r="G160" s="35">
        <v>27.3</v>
      </c>
      <c r="H160" s="22">
        <f t="shared" si="63"/>
        <v>67.5</v>
      </c>
      <c r="I160" s="35">
        <v>25.4</v>
      </c>
      <c r="J160" s="35">
        <v>27.7</v>
      </c>
      <c r="K160" s="22">
        <v>24.5</v>
      </c>
      <c r="L160" s="22">
        <f t="shared" si="64"/>
        <v>77.599999999999994</v>
      </c>
      <c r="M160" s="22">
        <v>25.2</v>
      </c>
      <c r="N160" s="22">
        <v>22.9</v>
      </c>
      <c r="O160" s="22">
        <v>27.9</v>
      </c>
      <c r="P160" s="22">
        <f t="shared" si="65"/>
        <v>76</v>
      </c>
      <c r="Q160" s="22">
        <v>21.9</v>
      </c>
      <c r="R160" s="22">
        <v>21.3</v>
      </c>
      <c r="S160" s="22">
        <v>19.3</v>
      </c>
      <c r="T160" s="22">
        <f t="shared" si="66"/>
        <v>62.5</v>
      </c>
    </row>
    <row r="161" spans="1:20" x14ac:dyDescent="0.35">
      <c r="A161" s="2">
        <f t="shared" si="61"/>
        <v>15</v>
      </c>
      <c r="B161" s="3" t="s">
        <v>15</v>
      </c>
      <c r="C161" s="4" t="s">
        <v>4</v>
      </c>
      <c r="D161" s="24">
        <f t="shared" si="62"/>
        <v>564.1</v>
      </c>
      <c r="E161" s="35">
        <v>48.9</v>
      </c>
      <c r="F161" s="35">
        <v>49</v>
      </c>
      <c r="G161" s="35">
        <v>48.8</v>
      </c>
      <c r="H161" s="22">
        <f t="shared" si="63"/>
        <v>146.69999999999999</v>
      </c>
      <c r="I161" s="35">
        <v>45.4</v>
      </c>
      <c r="J161" s="35">
        <v>45.1</v>
      </c>
      <c r="K161" s="22">
        <v>44.9</v>
      </c>
      <c r="L161" s="22">
        <f t="shared" si="64"/>
        <v>135.4</v>
      </c>
      <c r="M161" s="22">
        <v>45</v>
      </c>
      <c r="N161" s="22">
        <v>45.2</v>
      </c>
      <c r="O161" s="22">
        <v>45.2</v>
      </c>
      <c r="P161" s="22">
        <f t="shared" si="65"/>
        <v>135.4</v>
      </c>
      <c r="Q161" s="22">
        <v>48.8</v>
      </c>
      <c r="R161" s="22">
        <v>48.8</v>
      </c>
      <c r="S161" s="22">
        <v>49</v>
      </c>
      <c r="T161" s="22">
        <f t="shared" si="66"/>
        <v>146.6</v>
      </c>
    </row>
    <row r="162" spans="1:20" x14ac:dyDescent="0.35">
      <c r="A162" s="2">
        <f t="shared" si="61"/>
        <v>16</v>
      </c>
      <c r="B162" s="3" t="s">
        <v>31</v>
      </c>
      <c r="C162" s="4" t="s">
        <v>4</v>
      </c>
      <c r="D162" s="24">
        <f t="shared" si="62"/>
        <v>183.34</v>
      </c>
      <c r="E162" s="35">
        <v>13.33</v>
      </c>
      <c r="F162" s="35">
        <v>13.95</v>
      </c>
      <c r="G162" s="35">
        <v>19.2</v>
      </c>
      <c r="H162" s="22">
        <f t="shared" si="63"/>
        <v>46.480000000000004</v>
      </c>
      <c r="I162" s="35">
        <v>13.7</v>
      </c>
      <c r="J162" s="35">
        <v>22.2</v>
      </c>
      <c r="K162" s="22">
        <v>22.4</v>
      </c>
      <c r="L162" s="22">
        <f t="shared" si="64"/>
        <v>58.3</v>
      </c>
      <c r="M162" s="22">
        <v>14.84</v>
      </c>
      <c r="N162" s="22">
        <v>11.46</v>
      </c>
      <c r="O162" s="22">
        <v>15.73</v>
      </c>
      <c r="P162" s="22">
        <f t="shared" si="65"/>
        <v>42.03</v>
      </c>
      <c r="Q162" s="22">
        <v>15.58</v>
      </c>
      <c r="R162" s="22">
        <v>10.75</v>
      </c>
      <c r="S162" s="22">
        <v>10.199999999999999</v>
      </c>
      <c r="T162" s="22">
        <f t="shared" si="66"/>
        <v>36.53</v>
      </c>
    </row>
    <row r="163" spans="1:20" x14ac:dyDescent="0.35">
      <c r="A163" s="2">
        <f t="shared" si="61"/>
        <v>17</v>
      </c>
      <c r="B163" s="3" t="s">
        <v>32</v>
      </c>
      <c r="C163" s="4" t="s">
        <v>4</v>
      </c>
      <c r="D163" s="24">
        <f t="shared" si="62"/>
        <v>151.4</v>
      </c>
      <c r="E163" s="35">
        <v>20.5</v>
      </c>
      <c r="F163" s="35">
        <v>12.4</v>
      </c>
      <c r="G163" s="35">
        <v>9.8000000000000007</v>
      </c>
      <c r="H163" s="22">
        <f t="shared" si="63"/>
        <v>42.7</v>
      </c>
      <c r="I163" s="35">
        <v>15.4</v>
      </c>
      <c r="J163" s="35">
        <v>12.6</v>
      </c>
      <c r="K163" s="22">
        <v>9.6999999999999993</v>
      </c>
      <c r="L163" s="22">
        <f t="shared" si="64"/>
        <v>37.700000000000003</v>
      </c>
      <c r="M163" s="22">
        <v>9.9</v>
      </c>
      <c r="N163" s="22">
        <v>14.1</v>
      </c>
      <c r="O163" s="22">
        <v>12.9</v>
      </c>
      <c r="P163" s="22">
        <f t="shared" si="65"/>
        <v>36.9</v>
      </c>
      <c r="Q163" s="22">
        <v>11.8</v>
      </c>
      <c r="R163" s="22">
        <v>10.6</v>
      </c>
      <c r="S163" s="22">
        <v>11.7</v>
      </c>
      <c r="T163" s="22">
        <f t="shared" si="66"/>
        <v>34.099999999999994</v>
      </c>
    </row>
    <row r="164" spans="1:20" x14ac:dyDescent="0.35">
      <c r="A164" s="2">
        <f t="shared" si="61"/>
        <v>18</v>
      </c>
      <c r="B164" s="3" t="s">
        <v>33</v>
      </c>
      <c r="C164" s="4" t="s">
        <v>4</v>
      </c>
      <c r="D164" s="24">
        <f t="shared" si="62"/>
        <v>679.95</v>
      </c>
      <c r="E164" s="35">
        <v>70</v>
      </c>
      <c r="F164" s="35">
        <v>68.75</v>
      </c>
      <c r="G164" s="35">
        <v>68</v>
      </c>
      <c r="H164" s="22">
        <f t="shared" si="63"/>
        <v>206.75</v>
      </c>
      <c r="I164" s="35">
        <v>60</v>
      </c>
      <c r="J164" s="35">
        <v>57</v>
      </c>
      <c r="K164" s="22">
        <v>54</v>
      </c>
      <c r="L164" s="22">
        <f t="shared" si="64"/>
        <v>171</v>
      </c>
      <c r="M164" s="22">
        <v>49.2</v>
      </c>
      <c r="N164" s="22">
        <v>45</v>
      </c>
      <c r="O164" s="22">
        <v>42</v>
      </c>
      <c r="P164" s="22">
        <f t="shared" si="65"/>
        <v>136.19999999999999</v>
      </c>
      <c r="Q164" s="22">
        <v>45</v>
      </c>
      <c r="R164" s="22">
        <v>56</v>
      </c>
      <c r="S164" s="22">
        <v>65</v>
      </c>
      <c r="T164" s="22">
        <f t="shared" si="66"/>
        <v>166</v>
      </c>
    </row>
    <row r="165" spans="1:20" x14ac:dyDescent="0.35">
      <c r="A165" s="2">
        <f t="shared" si="61"/>
        <v>19</v>
      </c>
      <c r="B165" s="3" t="s">
        <v>34</v>
      </c>
      <c r="C165" s="4" t="s">
        <v>4</v>
      </c>
      <c r="D165" s="24">
        <f t="shared" si="62"/>
        <v>510.1</v>
      </c>
      <c r="E165" s="35">
        <v>41.2</v>
      </c>
      <c r="F165" s="35">
        <v>41.1</v>
      </c>
      <c r="G165" s="35">
        <v>42.4</v>
      </c>
      <c r="H165" s="22">
        <f t="shared" si="63"/>
        <v>124.70000000000002</v>
      </c>
      <c r="I165" s="35">
        <v>42.7</v>
      </c>
      <c r="J165" s="35">
        <v>43.8</v>
      </c>
      <c r="K165" s="22">
        <v>44.4</v>
      </c>
      <c r="L165" s="22">
        <f t="shared" si="64"/>
        <v>130.9</v>
      </c>
      <c r="M165" s="22">
        <v>43.9</v>
      </c>
      <c r="N165" s="22">
        <v>43.5</v>
      </c>
      <c r="O165" s="22">
        <v>42.5</v>
      </c>
      <c r="P165" s="22">
        <f t="shared" si="65"/>
        <v>129.9</v>
      </c>
      <c r="Q165" s="22">
        <v>42</v>
      </c>
      <c r="R165" s="22">
        <v>41.5</v>
      </c>
      <c r="S165" s="22">
        <v>41.1</v>
      </c>
      <c r="T165" s="22">
        <f t="shared" si="66"/>
        <v>124.6</v>
      </c>
    </row>
    <row r="166" spans="1:20" x14ac:dyDescent="0.35">
      <c r="A166" s="2">
        <f t="shared" si="61"/>
        <v>20</v>
      </c>
      <c r="B166" s="3" t="s">
        <v>35</v>
      </c>
      <c r="C166" s="4" t="s">
        <v>4</v>
      </c>
      <c r="D166" s="24">
        <f t="shared" si="62"/>
        <v>47</v>
      </c>
      <c r="E166" s="35">
        <v>4.0999999999999996</v>
      </c>
      <c r="F166" s="35">
        <v>4.0999999999999996</v>
      </c>
      <c r="G166" s="35">
        <v>4.0999999999999996</v>
      </c>
      <c r="H166" s="22">
        <f t="shared" si="63"/>
        <v>12.299999999999999</v>
      </c>
      <c r="I166" s="35">
        <v>4</v>
      </c>
      <c r="J166" s="35">
        <v>3.9</v>
      </c>
      <c r="K166" s="22">
        <v>3.8</v>
      </c>
      <c r="L166" s="22">
        <f t="shared" si="64"/>
        <v>11.7</v>
      </c>
      <c r="M166" s="22">
        <v>3.4</v>
      </c>
      <c r="N166" s="22">
        <v>3.4</v>
      </c>
      <c r="O166" s="22">
        <v>3.2</v>
      </c>
      <c r="P166" s="22">
        <f t="shared" si="65"/>
        <v>10</v>
      </c>
      <c r="Q166" s="22">
        <v>4</v>
      </c>
      <c r="R166" s="22">
        <v>4.0999999999999996</v>
      </c>
      <c r="S166" s="22">
        <v>4.9000000000000004</v>
      </c>
      <c r="T166" s="22">
        <f t="shared" si="66"/>
        <v>13</v>
      </c>
    </row>
    <row r="167" spans="1:20" x14ac:dyDescent="0.35">
      <c r="A167" s="2">
        <f t="shared" si="61"/>
        <v>21</v>
      </c>
      <c r="B167" s="3" t="s">
        <v>36</v>
      </c>
      <c r="C167" s="4" t="s">
        <v>4</v>
      </c>
      <c r="D167" s="24">
        <f t="shared" si="62"/>
        <v>888.4</v>
      </c>
      <c r="E167" s="35">
        <v>73.900000000000006</v>
      </c>
      <c r="F167" s="35">
        <v>76.2</v>
      </c>
      <c r="G167" s="35">
        <v>78.599999999999994</v>
      </c>
      <c r="H167" s="22">
        <f t="shared" si="63"/>
        <v>228.70000000000002</v>
      </c>
      <c r="I167" s="35">
        <v>81</v>
      </c>
      <c r="J167" s="35">
        <v>81.5</v>
      </c>
      <c r="K167" s="22">
        <v>83.1</v>
      </c>
      <c r="L167" s="22">
        <f t="shared" si="64"/>
        <v>245.6</v>
      </c>
      <c r="M167" s="22">
        <v>80.7</v>
      </c>
      <c r="N167" s="22">
        <v>77</v>
      </c>
      <c r="O167" s="22">
        <v>70</v>
      </c>
      <c r="P167" s="22">
        <f t="shared" si="65"/>
        <v>227.7</v>
      </c>
      <c r="Q167" s="22">
        <v>68.2</v>
      </c>
      <c r="R167" s="22">
        <v>60.5</v>
      </c>
      <c r="S167" s="22">
        <v>57.7</v>
      </c>
      <c r="T167" s="22">
        <f t="shared" si="66"/>
        <v>186.39999999999998</v>
      </c>
    </row>
    <row r="168" spans="1:20" x14ac:dyDescent="0.35">
      <c r="A168" s="2">
        <f t="shared" si="61"/>
        <v>22</v>
      </c>
      <c r="B168" s="3" t="s">
        <v>37</v>
      </c>
      <c r="C168" s="4" t="s">
        <v>4</v>
      </c>
      <c r="D168" s="24">
        <f t="shared" si="62"/>
        <v>1293.6999999999998</v>
      </c>
      <c r="E168" s="35">
        <v>103.3</v>
      </c>
      <c r="F168" s="35">
        <v>103</v>
      </c>
      <c r="G168" s="35">
        <v>103.1</v>
      </c>
      <c r="H168" s="22">
        <f t="shared" si="63"/>
        <v>309.39999999999998</v>
      </c>
      <c r="I168" s="35">
        <v>105.6</v>
      </c>
      <c r="J168" s="35">
        <v>103.2</v>
      </c>
      <c r="K168" s="22">
        <v>103.1</v>
      </c>
      <c r="L168" s="22">
        <f t="shared" si="64"/>
        <v>311.89999999999998</v>
      </c>
      <c r="M168" s="22">
        <v>103.2</v>
      </c>
      <c r="N168" s="22">
        <v>102.8</v>
      </c>
      <c r="O168" s="22">
        <v>103.6</v>
      </c>
      <c r="P168" s="22">
        <f t="shared" si="65"/>
        <v>309.60000000000002</v>
      </c>
      <c r="Q168" s="22">
        <v>123.8</v>
      </c>
      <c r="R168" s="22">
        <v>119.4</v>
      </c>
      <c r="S168" s="22">
        <v>119.6</v>
      </c>
      <c r="T168" s="22">
        <f t="shared" si="66"/>
        <v>362.79999999999995</v>
      </c>
    </row>
    <row r="169" spans="1:20" x14ac:dyDescent="0.35">
      <c r="A169" s="2">
        <v>23</v>
      </c>
      <c r="B169" s="3" t="s">
        <v>16</v>
      </c>
      <c r="C169" s="4" t="s">
        <v>4</v>
      </c>
      <c r="D169" s="24">
        <f t="shared" si="62"/>
        <v>1688.6</v>
      </c>
      <c r="E169" s="35">
        <v>235</v>
      </c>
      <c r="F169" s="35">
        <v>132.4</v>
      </c>
      <c r="G169" s="35">
        <v>227</v>
      </c>
      <c r="H169" s="22">
        <f t="shared" si="63"/>
        <v>594.4</v>
      </c>
      <c r="I169" s="35">
        <v>136.5</v>
      </c>
      <c r="J169" s="35">
        <v>141</v>
      </c>
      <c r="K169" s="22">
        <v>125</v>
      </c>
      <c r="L169" s="22">
        <f t="shared" si="64"/>
        <v>402.5</v>
      </c>
      <c r="M169" s="22">
        <v>113.5</v>
      </c>
      <c r="N169" s="22">
        <v>114.9</v>
      </c>
      <c r="O169" s="22">
        <v>118.8</v>
      </c>
      <c r="P169" s="22">
        <f t="shared" si="65"/>
        <v>347.2</v>
      </c>
      <c r="Q169" s="22">
        <v>115.4</v>
      </c>
      <c r="R169" s="22">
        <v>116.4</v>
      </c>
      <c r="S169" s="22">
        <v>112.7</v>
      </c>
      <c r="T169" s="22">
        <f t="shared" si="66"/>
        <v>344.5</v>
      </c>
    </row>
    <row r="170" spans="1:20" x14ac:dyDescent="0.35">
      <c r="A170" s="2">
        <v>24</v>
      </c>
      <c r="B170" s="3" t="s">
        <v>17</v>
      </c>
      <c r="C170" s="4" t="s">
        <v>4</v>
      </c>
      <c r="D170" s="24">
        <f t="shared" si="62"/>
        <v>2294.5</v>
      </c>
      <c r="E170" s="35">
        <v>147.30000000000001</v>
      </c>
      <c r="F170" s="35">
        <v>301</v>
      </c>
      <c r="G170" s="35">
        <v>276.2</v>
      </c>
      <c r="H170" s="22">
        <f t="shared" si="63"/>
        <v>724.5</v>
      </c>
      <c r="I170" s="35">
        <v>329.4</v>
      </c>
      <c r="J170" s="35">
        <v>347</v>
      </c>
      <c r="K170" s="22">
        <v>195.7</v>
      </c>
      <c r="L170" s="22">
        <f t="shared" si="64"/>
        <v>872.09999999999991</v>
      </c>
      <c r="M170" s="22">
        <v>180.1</v>
      </c>
      <c r="N170" s="22">
        <v>154.4</v>
      </c>
      <c r="O170" s="22">
        <v>136.6</v>
      </c>
      <c r="P170" s="22">
        <f t="shared" si="65"/>
        <v>471.1</v>
      </c>
      <c r="Q170" s="22">
        <v>112.2</v>
      </c>
      <c r="R170" s="22">
        <v>71.8</v>
      </c>
      <c r="S170" s="22">
        <v>42.8</v>
      </c>
      <c r="T170" s="22">
        <f t="shared" si="66"/>
        <v>226.8</v>
      </c>
    </row>
    <row r="171" spans="1:20" x14ac:dyDescent="0.35">
      <c r="A171" s="2">
        <v>25</v>
      </c>
      <c r="B171" s="3" t="s">
        <v>18</v>
      </c>
      <c r="C171" s="4" t="s">
        <v>4</v>
      </c>
      <c r="D171" s="24">
        <f t="shared" si="62"/>
        <v>937.7</v>
      </c>
      <c r="E171" s="35">
        <v>71</v>
      </c>
      <c r="F171" s="35">
        <v>82.8</v>
      </c>
      <c r="G171" s="35">
        <v>82.8</v>
      </c>
      <c r="H171" s="22">
        <f t="shared" si="63"/>
        <v>236.60000000000002</v>
      </c>
      <c r="I171" s="35">
        <v>85.7</v>
      </c>
      <c r="J171" s="35">
        <v>84.8</v>
      </c>
      <c r="K171" s="22">
        <v>80.3</v>
      </c>
      <c r="L171" s="22">
        <f t="shared" si="64"/>
        <v>250.8</v>
      </c>
      <c r="M171" s="22">
        <v>45.3</v>
      </c>
      <c r="N171" s="22">
        <v>61.1</v>
      </c>
      <c r="O171" s="22">
        <v>96.1</v>
      </c>
      <c r="P171" s="22">
        <f t="shared" si="65"/>
        <v>202.5</v>
      </c>
      <c r="Q171" s="22">
        <v>81</v>
      </c>
      <c r="R171" s="22">
        <v>79</v>
      </c>
      <c r="S171" s="22">
        <v>87.8</v>
      </c>
      <c r="T171" s="22">
        <f t="shared" si="66"/>
        <v>247.8</v>
      </c>
    </row>
    <row r="172" spans="1:20" x14ac:dyDescent="0.35">
      <c r="A172" s="2">
        <v>26</v>
      </c>
      <c r="B172" s="3" t="s">
        <v>19</v>
      </c>
      <c r="C172" s="4" t="s">
        <v>4</v>
      </c>
      <c r="D172" s="24">
        <f t="shared" si="62"/>
        <v>66.2</v>
      </c>
      <c r="E172" s="35">
        <v>6</v>
      </c>
      <c r="F172" s="35">
        <v>4.9000000000000004</v>
      </c>
      <c r="G172" s="35">
        <v>6.2</v>
      </c>
      <c r="H172" s="22">
        <f t="shared" si="63"/>
        <v>17.100000000000001</v>
      </c>
      <c r="I172" s="35">
        <v>7.9</v>
      </c>
      <c r="J172" s="35">
        <v>8.5</v>
      </c>
      <c r="K172" s="22">
        <v>7.7</v>
      </c>
      <c r="L172" s="22">
        <f t="shared" si="64"/>
        <v>24.099999999999998</v>
      </c>
      <c r="M172" s="22">
        <v>7</v>
      </c>
      <c r="N172" s="22">
        <v>6</v>
      </c>
      <c r="O172" s="22">
        <v>3.7</v>
      </c>
      <c r="P172" s="22">
        <f t="shared" si="65"/>
        <v>16.7</v>
      </c>
      <c r="Q172" s="22">
        <v>3.1</v>
      </c>
      <c r="R172" s="22">
        <v>2.5</v>
      </c>
      <c r="S172" s="22">
        <v>2.7</v>
      </c>
      <c r="T172" s="22">
        <f t="shared" si="66"/>
        <v>8.3000000000000007</v>
      </c>
    </row>
    <row r="173" spans="1:20" x14ac:dyDescent="0.35">
      <c r="A173" s="2">
        <v>27</v>
      </c>
      <c r="B173" s="3" t="s">
        <v>20</v>
      </c>
      <c r="C173" s="4" t="s">
        <v>4</v>
      </c>
      <c r="D173" s="24">
        <f t="shared" si="62"/>
        <v>22.2</v>
      </c>
      <c r="E173" s="35">
        <v>1.2</v>
      </c>
      <c r="F173" s="35">
        <v>1.3</v>
      </c>
      <c r="G173" s="35">
        <v>1.5</v>
      </c>
      <c r="H173" s="22">
        <f t="shared" si="63"/>
        <v>4</v>
      </c>
      <c r="I173" s="35">
        <v>1.6</v>
      </c>
      <c r="J173" s="35">
        <v>1.8</v>
      </c>
      <c r="K173" s="22">
        <v>1.8</v>
      </c>
      <c r="L173" s="22">
        <f t="shared" si="64"/>
        <v>5.2</v>
      </c>
      <c r="M173" s="22">
        <v>1.6</v>
      </c>
      <c r="N173" s="22">
        <v>1.5</v>
      </c>
      <c r="O173" s="22">
        <v>2.8</v>
      </c>
      <c r="P173" s="22">
        <f t="shared" si="65"/>
        <v>5.9</v>
      </c>
      <c r="Q173" s="22">
        <v>2.5</v>
      </c>
      <c r="R173" s="22">
        <v>2.4</v>
      </c>
      <c r="S173" s="22">
        <v>2.2000000000000002</v>
      </c>
      <c r="T173" s="22">
        <f t="shared" si="66"/>
        <v>7.1000000000000005</v>
      </c>
    </row>
    <row r="174" spans="1:20" x14ac:dyDescent="0.35">
      <c r="A174" s="2">
        <v>28</v>
      </c>
      <c r="B174" s="3" t="s">
        <v>21</v>
      </c>
      <c r="C174" s="4" t="s">
        <v>4</v>
      </c>
      <c r="D174" s="24">
        <f t="shared" si="62"/>
        <v>0</v>
      </c>
      <c r="E174" s="35">
        <v>0</v>
      </c>
      <c r="F174" s="35">
        <v>0</v>
      </c>
      <c r="G174" s="35">
        <v>0</v>
      </c>
      <c r="H174" s="22">
        <f t="shared" si="63"/>
        <v>0</v>
      </c>
      <c r="I174" s="35">
        <v>0</v>
      </c>
      <c r="J174" s="35">
        <v>0</v>
      </c>
      <c r="K174" s="22">
        <v>0</v>
      </c>
      <c r="L174" s="22">
        <f t="shared" si="64"/>
        <v>0</v>
      </c>
      <c r="M174" s="22">
        <v>0</v>
      </c>
      <c r="N174" s="22">
        <v>0</v>
      </c>
      <c r="O174" s="22">
        <v>0</v>
      </c>
      <c r="P174" s="22">
        <f t="shared" si="65"/>
        <v>0</v>
      </c>
      <c r="Q174" s="22">
        <v>0</v>
      </c>
      <c r="R174" s="22">
        <v>0</v>
      </c>
      <c r="S174" s="22">
        <v>0</v>
      </c>
      <c r="T174" s="22">
        <f t="shared" si="66"/>
        <v>0</v>
      </c>
    </row>
    <row r="175" spans="1:20" x14ac:dyDescent="0.35">
      <c r="A175" s="2">
        <v>29</v>
      </c>
      <c r="B175" s="3" t="s">
        <v>22</v>
      </c>
      <c r="C175" s="4" t="s">
        <v>4</v>
      </c>
      <c r="D175" s="24">
        <f t="shared" si="62"/>
        <v>78.888999999999996</v>
      </c>
      <c r="E175" s="35">
        <v>9.1999999999999993</v>
      </c>
      <c r="F175" s="35">
        <v>8.6</v>
      </c>
      <c r="G175" s="35">
        <v>4.5</v>
      </c>
      <c r="H175" s="22">
        <f t="shared" si="63"/>
        <v>22.299999999999997</v>
      </c>
      <c r="I175" s="35">
        <v>4.4000000000000004</v>
      </c>
      <c r="J175" s="35">
        <v>6.1</v>
      </c>
      <c r="K175" s="22">
        <v>7.28</v>
      </c>
      <c r="L175" s="22">
        <f t="shared" si="64"/>
        <v>17.78</v>
      </c>
      <c r="M175" s="22">
        <v>6.7</v>
      </c>
      <c r="N175" s="22">
        <v>6.6</v>
      </c>
      <c r="O175" s="22">
        <v>6.3</v>
      </c>
      <c r="P175" s="22">
        <f t="shared" si="65"/>
        <v>19.600000000000001</v>
      </c>
      <c r="Q175" s="22">
        <v>5.2089999999999996</v>
      </c>
      <c r="R175" s="22">
        <v>6.1</v>
      </c>
      <c r="S175" s="22">
        <v>7.9</v>
      </c>
      <c r="T175" s="22">
        <f t="shared" si="66"/>
        <v>19.209</v>
      </c>
    </row>
    <row r="176" spans="1:20" x14ac:dyDescent="0.35">
      <c r="A176" s="2">
        <v>30</v>
      </c>
      <c r="B176" s="3" t="s">
        <v>46</v>
      </c>
      <c r="C176" s="4" t="s">
        <v>4</v>
      </c>
      <c r="D176" s="24">
        <f t="shared" si="62"/>
        <v>33.200000000000003</v>
      </c>
      <c r="E176" s="35">
        <v>2.7</v>
      </c>
      <c r="F176" s="35">
        <v>2.8</v>
      </c>
      <c r="G176" s="35">
        <v>2.8</v>
      </c>
      <c r="H176" s="22">
        <f t="shared" si="63"/>
        <v>8.3000000000000007</v>
      </c>
      <c r="I176" s="35">
        <v>3.3</v>
      </c>
      <c r="J176" s="35">
        <v>3.1</v>
      </c>
      <c r="K176" s="22">
        <v>2.6</v>
      </c>
      <c r="L176" s="22">
        <f t="shared" si="64"/>
        <v>9</v>
      </c>
      <c r="M176" s="22">
        <v>2.7</v>
      </c>
      <c r="N176" s="22">
        <v>2.6</v>
      </c>
      <c r="O176" s="22">
        <v>2.6</v>
      </c>
      <c r="P176" s="22">
        <f t="shared" si="65"/>
        <v>7.9</v>
      </c>
      <c r="Q176" s="22">
        <v>2.5</v>
      </c>
      <c r="R176" s="22">
        <v>2.7</v>
      </c>
      <c r="S176" s="22">
        <v>2.8</v>
      </c>
      <c r="T176" s="22">
        <f t="shared" si="66"/>
        <v>8</v>
      </c>
    </row>
    <row r="177" spans="1:20" x14ac:dyDescent="0.35">
      <c r="A177" s="2">
        <v>31</v>
      </c>
      <c r="B177" s="3" t="s">
        <v>47</v>
      </c>
      <c r="C177" s="4" t="s">
        <v>4</v>
      </c>
      <c r="D177" s="24">
        <f t="shared" si="62"/>
        <v>0</v>
      </c>
      <c r="E177" s="35">
        <v>0</v>
      </c>
      <c r="F177" s="35">
        <v>0</v>
      </c>
      <c r="G177" s="35">
        <v>0</v>
      </c>
      <c r="H177" s="22">
        <f t="shared" si="63"/>
        <v>0</v>
      </c>
      <c r="I177" s="35">
        <v>0</v>
      </c>
      <c r="J177" s="35">
        <v>0</v>
      </c>
      <c r="K177" s="22">
        <v>0</v>
      </c>
      <c r="L177" s="22">
        <f t="shared" si="64"/>
        <v>0</v>
      </c>
      <c r="M177" s="22">
        <v>0</v>
      </c>
      <c r="N177" s="22">
        <v>0</v>
      </c>
      <c r="O177" s="22">
        <v>0</v>
      </c>
      <c r="P177" s="22">
        <f t="shared" si="65"/>
        <v>0</v>
      </c>
      <c r="Q177" s="22">
        <v>0</v>
      </c>
      <c r="R177" s="22">
        <v>0</v>
      </c>
      <c r="S177" s="22">
        <v>0</v>
      </c>
      <c r="T177" s="22">
        <f t="shared" si="66"/>
        <v>0</v>
      </c>
    </row>
    <row r="178" spans="1:20" x14ac:dyDescent="0.35">
      <c r="A178" s="2">
        <v>32</v>
      </c>
      <c r="B178" s="3" t="s">
        <v>48</v>
      </c>
      <c r="C178" s="4" t="s">
        <v>4</v>
      </c>
      <c r="D178" s="24">
        <f t="shared" si="62"/>
        <v>0</v>
      </c>
      <c r="E178" s="35">
        <v>0</v>
      </c>
      <c r="F178" s="35">
        <v>0</v>
      </c>
      <c r="G178" s="35">
        <v>0</v>
      </c>
      <c r="H178" s="22">
        <f t="shared" si="63"/>
        <v>0</v>
      </c>
      <c r="I178" s="35">
        <v>0</v>
      </c>
      <c r="J178" s="35">
        <v>0</v>
      </c>
      <c r="K178" s="22">
        <v>0</v>
      </c>
      <c r="L178" s="22">
        <f t="shared" si="64"/>
        <v>0</v>
      </c>
      <c r="M178" s="22">
        <v>0</v>
      </c>
      <c r="N178" s="22">
        <v>0</v>
      </c>
      <c r="O178" s="22">
        <v>0</v>
      </c>
      <c r="P178" s="22">
        <f t="shared" si="65"/>
        <v>0</v>
      </c>
      <c r="Q178" s="22">
        <v>0</v>
      </c>
      <c r="R178" s="22">
        <v>0</v>
      </c>
      <c r="S178" s="22">
        <v>0</v>
      </c>
      <c r="T178" s="22">
        <f t="shared" si="66"/>
        <v>0</v>
      </c>
    </row>
    <row r="179" spans="1:20" x14ac:dyDescent="0.35">
      <c r="A179" s="2">
        <v>33</v>
      </c>
      <c r="B179" s="3" t="s">
        <v>23</v>
      </c>
      <c r="C179" s="4" t="s">
        <v>4</v>
      </c>
      <c r="D179" s="24">
        <f t="shared" si="62"/>
        <v>14.937000000000001</v>
      </c>
      <c r="E179" s="35">
        <v>1.3109999999999999</v>
      </c>
      <c r="F179" s="35">
        <v>1.403</v>
      </c>
      <c r="G179" s="35">
        <v>1.4730000000000001</v>
      </c>
      <c r="H179" s="22">
        <f t="shared" si="63"/>
        <v>4.1870000000000003</v>
      </c>
      <c r="I179" s="35">
        <v>1.5469999999999999</v>
      </c>
      <c r="J179" s="35">
        <v>1.5649999999999999</v>
      </c>
      <c r="K179" s="22">
        <v>1.585</v>
      </c>
      <c r="L179" s="22">
        <f t="shared" si="64"/>
        <v>4.6970000000000001</v>
      </c>
      <c r="M179" s="22">
        <v>0.95</v>
      </c>
      <c r="N179" s="22">
        <v>0.71799999999999997</v>
      </c>
      <c r="O179" s="22">
        <v>0.89</v>
      </c>
      <c r="P179" s="22">
        <f t="shared" si="65"/>
        <v>2.5579999999999998</v>
      </c>
      <c r="Q179" s="22">
        <v>1.03</v>
      </c>
      <c r="R179" s="22">
        <v>1.1299999999999999</v>
      </c>
      <c r="S179" s="22">
        <v>1.335</v>
      </c>
      <c r="T179" s="22">
        <f t="shared" si="66"/>
        <v>3.4950000000000001</v>
      </c>
    </row>
    <row r="180" spans="1:20" x14ac:dyDescent="0.35">
      <c r="A180" s="2">
        <v>34</v>
      </c>
      <c r="B180" s="3" t="s">
        <v>24</v>
      </c>
      <c r="C180" s="4" t="s">
        <v>4</v>
      </c>
      <c r="D180" s="24">
        <f t="shared" si="62"/>
        <v>0</v>
      </c>
      <c r="E180" s="35">
        <v>0</v>
      </c>
      <c r="F180" s="35">
        <v>0</v>
      </c>
      <c r="G180" s="35">
        <v>0</v>
      </c>
      <c r="H180" s="22">
        <f t="shared" si="63"/>
        <v>0</v>
      </c>
      <c r="I180" s="35">
        <v>0</v>
      </c>
      <c r="J180" s="35">
        <v>0</v>
      </c>
      <c r="K180" s="22">
        <v>0</v>
      </c>
      <c r="L180" s="22">
        <f t="shared" si="64"/>
        <v>0</v>
      </c>
      <c r="M180" s="22">
        <v>0</v>
      </c>
      <c r="N180" s="22">
        <v>0</v>
      </c>
      <c r="O180" s="22">
        <v>0</v>
      </c>
      <c r="P180" s="22">
        <f t="shared" si="65"/>
        <v>0</v>
      </c>
      <c r="Q180" s="22">
        <v>0</v>
      </c>
      <c r="R180" s="22">
        <v>0</v>
      </c>
      <c r="S180" s="22">
        <v>0</v>
      </c>
      <c r="T180" s="22">
        <f t="shared" si="66"/>
        <v>0</v>
      </c>
    </row>
    <row r="181" spans="1:20" x14ac:dyDescent="0.35">
      <c r="A181" s="2">
        <v>35</v>
      </c>
      <c r="B181" s="3" t="s">
        <v>49</v>
      </c>
      <c r="C181" s="4" t="s">
        <v>4</v>
      </c>
      <c r="D181" s="24">
        <f t="shared" si="62"/>
        <v>6.4849999999999994</v>
      </c>
      <c r="E181" s="35">
        <v>0.56999999999999995</v>
      </c>
      <c r="F181" s="35">
        <v>0.55000000000000004</v>
      </c>
      <c r="G181" s="35">
        <v>0.53</v>
      </c>
      <c r="H181" s="22">
        <f t="shared" si="63"/>
        <v>1.6500000000000001</v>
      </c>
      <c r="I181" s="35">
        <v>0.54</v>
      </c>
      <c r="J181" s="35">
        <v>0.5</v>
      </c>
      <c r="K181" s="22">
        <v>0.51</v>
      </c>
      <c r="L181" s="22">
        <f t="shared" si="64"/>
        <v>1.55</v>
      </c>
      <c r="M181" s="22">
        <v>0.52</v>
      </c>
      <c r="N181" s="22">
        <v>0.54</v>
      </c>
      <c r="O181" s="22">
        <v>0.5</v>
      </c>
      <c r="P181" s="22">
        <f t="shared" si="65"/>
        <v>1.56</v>
      </c>
      <c r="Q181" s="22">
        <v>0.54500000000000004</v>
      </c>
      <c r="R181" s="22">
        <v>0.56000000000000005</v>
      </c>
      <c r="S181" s="22">
        <v>0.62</v>
      </c>
      <c r="T181" s="22">
        <f t="shared" si="66"/>
        <v>1.7250000000000001</v>
      </c>
    </row>
    <row r="182" spans="1:20" x14ac:dyDescent="0.35">
      <c r="A182" s="2">
        <v>36</v>
      </c>
      <c r="B182" s="3" t="s">
        <v>50</v>
      </c>
      <c r="C182" s="4" t="s">
        <v>4</v>
      </c>
      <c r="D182" s="24">
        <f t="shared" si="62"/>
        <v>96.8</v>
      </c>
      <c r="E182" s="35">
        <v>8.4</v>
      </c>
      <c r="F182" s="35">
        <v>8.3000000000000007</v>
      </c>
      <c r="G182" s="35">
        <v>8.5</v>
      </c>
      <c r="H182" s="22">
        <f t="shared" si="63"/>
        <v>25.200000000000003</v>
      </c>
      <c r="I182" s="35">
        <v>8.8000000000000007</v>
      </c>
      <c r="J182" s="35">
        <v>9.1999999999999993</v>
      </c>
      <c r="K182" s="22">
        <v>9</v>
      </c>
      <c r="L182" s="22">
        <f t="shared" si="64"/>
        <v>27</v>
      </c>
      <c r="M182" s="22">
        <v>8.9</v>
      </c>
      <c r="N182" s="22">
        <v>8.6999999999999993</v>
      </c>
      <c r="O182" s="22">
        <v>8.1999999999999993</v>
      </c>
      <c r="P182" s="22">
        <f t="shared" si="65"/>
        <v>25.8</v>
      </c>
      <c r="Q182" s="22">
        <v>6.7</v>
      </c>
      <c r="R182" s="22">
        <v>6.1</v>
      </c>
      <c r="S182" s="22">
        <v>6</v>
      </c>
      <c r="T182" s="22">
        <f t="shared" si="66"/>
        <v>18.8</v>
      </c>
    </row>
    <row r="183" spans="1:20" x14ac:dyDescent="0.35">
      <c r="A183" s="2">
        <v>37</v>
      </c>
      <c r="B183" s="3" t="s">
        <v>25</v>
      </c>
      <c r="C183" s="4" t="s">
        <v>4</v>
      </c>
      <c r="D183" s="24">
        <f t="shared" si="62"/>
        <v>144.1</v>
      </c>
      <c r="E183" s="35">
        <v>9.1999999999999993</v>
      </c>
      <c r="F183" s="35">
        <v>8.4</v>
      </c>
      <c r="G183" s="35">
        <v>9.9</v>
      </c>
      <c r="H183" s="22">
        <f t="shared" si="63"/>
        <v>27.5</v>
      </c>
      <c r="I183" s="35">
        <v>13.6</v>
      </c>
      <c r="J183" s="35">
        <v>15.5</v>
      </c>
      <c r="K183" s="22">
        <v>12.1</v>
      </c>
      <c r="L183" s="22">
        <f t="shared" si="64"/>
        <v>41.2</v>
      </c>
      <c r="M183" s="22">
        <v>13.6</v>
      </c>
      <c r="N183" s="22">
        <v>15.4</v>
      </c>
      <c r="O183" s="22">
        <v>9.9</v>
      </c>
      <c r="P183" s="22">
        <f t="shared" si="65"/>
        <v>38.9</v>
      </c>
      <c r="Q183" s="22">
        <v>12.5</v>
      </c>
      <c r="R183" s="22">
        <v>13.3</v>
      </c>
      <c r="S183" s="22">
        <v>10.7</v>
      </c>
      <c r="T183" s="22">
        <f t="shared" si="66"/>
        <v>36.5</v>
      </c>
    </row>
    <row r="184" spans="1:20" x14ac:dyDescent="0.35">
      <c r="A184" s="2">
        <v>38</v>
      </c>
      <c r="B184" s="3" t="s">
        <v>51</v>
      </c>
      <c r="C184" s="4" t="s">
        <v>4</v>
      </c>
      <c r="D184" s="24">
        <f t="shared" si="62"/>
        <v>0</v>
      </c>
      <c r="E184" s="35">
        <v>0</v>
      </c>
      <c r="F184" s="35">
        <v>0</v>
      </c>
      <c r="G184" s="35">
        <v>0</v>
      </c>
      <c r="H184" s="22">
        <f t="shared" si="63"/>
        <v>0</v>
      </c>
      <c r="I184" s="35">
        <v>0</v>
      </c>
      <c r="J184" s="35">
        <v>0</v>
      </c>
      <c r="K184" s="22">
        <v>0</v>
      </c>
      <c r="L184" s="22">
        <f t="shared" si="64"/>
        <v>0</v>
      </c>
      <c r="M184" s="22">
        <v>0</v>
      </c>
      <c r="N184" s="22">
        <v>0</v>
      </c>
      <c r="O184" s="22">
        <v>0</v>
      </c>
      <c r="P184" s="22">
        <f t="shared" si="65"/>
        <v>0</v>
      </c>
      <c r="Q184" s="22">
        <v>0</v>
      </c>
      <c r="R184" s="22">
        <v>0</v>
      </c>
      <c r="S184" s="22">
        <v>0</v>
      </c>
      <c r="T184" s="22">
        <f t="shared" si="66"/>
        <v>0</v>
      </c>
    </row>
  </sheetData>
  <mergeCells count="4">
    <mergeCell ref="B3:B5"/>
    <mergeCell ref="C3:C4"/>
    <mergeCell ref="D3:D4"/>
    <mergeCell ref="E3:T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5AEA-4865-4775-AB30-830F68B40978}">
  <dimension ref="A1:T44"/>
  <sheetViews>
    <sheetView zoomScale="84" workbookViewId="0">
      <pane xSplit="4" ySplit="6" topLeftCell="I14" activePane="bottomRight" state="frozen"/>
      <selection pane="topRight" activeCell="E1" sqref="E1"/>
      <selection pane="bottomLeft" activeCell="A7" sqref="A7"/>
      <selection pane="bottomRight" activeCell="I19" sqref="I19"/>
    </sheetView>
  </sheetViews>
  <sheetFormatPr defaultRowHeight="14.5" x14ac:dyDescent="0.35"/>
  <cols>
    <col min="1" max="1" width="4.7265625" customWidth="1"/>
    <col min="2" max="2" width="17.1796875" customWidth="1"/>
    <col min="3" max="3" width="14" customWidth="1"/>
    <col min="4" max="4" width="16.81640625" customWidth="1"/>
    <col min="5" max="5" width="14.1796875" customWidth="1"/>
    <col min="6" max="6" width="13.7265625" customWidth="1"/>
    <col min="7" max="7" width="15.7265625" bestFit="1" customWidth="1"/>
    <col min="8" max="8" width="12.54296875" customWidth="1"/>
    <col min="9" max="9" width="14.81640625" customWidth="1"/>
    <col min="10" max="10" width="14.453125" customWidth="1"/>
    <col min="11" max="11" width="12.26953125" customWidth="1"/>
    <col min="12" max="12" width="12.1796875" customWidth="1"/>
    <col min="13" max="15" width="12.7265625" customWidth="1"/>
    <col min="17" max="17" width="14" customWidth="1"/>
    <col min="18" max="18" width="13" customWidth="1"/>
    <col min="19" max="19" width="15.54296875" customWidth="1"/>
  </cols>
  <sheetData>
    <row r="1" spans="1:20" x14ac:dyDescent="0.35">
      <c r="A1" s="1" t="s">
        <v>108</v>
      </c>
    </row>
    <row r="2" spans="1:20" x14ac:dyDescent="0.35">
      <c r="A2" s="1"/>
    </row>
    <row r="3" spans="1:20" x14ac:dyDescent="0.35">
      <c r="A3" s="1"/>
    </row>
    <row r="4" spans="1:20" ht="15.5" x14ac:dyDescent="0.35">
      <c r="A4" s="10" t="s">
        <v>0</v>
      </c>
      <c r="B4" s="10" t="s">
        <v>1</v>
      </c>
      <c r="C4" s="10" t="s">
        <v>2</v>
      </c>
      <c r="D4" s="10" t="s">
        <v>67</v>
      </c>
      <c r="E4" s="11" t="s">
        <v>113</v>
      </c>
      <c r="F4" s="11" t="s">
        <v>114</v>
      </c>
      <c r="G4" s="11" t="s">
        <v>115</v>
      </c>
      <c r="H4" s="103" t="s">
        <v>27</v>
      </c>
      <c r="I4" s="11" t="s">
        <v>55</v>
      </c>
      <c r="J4" s="11" t="s">
        <v>116</v>
      </c>
      <c r="K4" s="11" t="s">
        <v>117</v>
      </c>
      <c r="L4" s="103" t="s">
        <v>54</v>
      </c>
      <c r="M4" s="11" t="s">
        <v>118</v>
      </c>
      <c r="N4" s="11" t="s">
        <v>119</v>
      </c>
      <c r="O4" s="11" t="s">
        <v>56</v>
      </c>
      <c r="P4" s="103" t="s">
        <v>57</v>
      </c>
      <c r="Q4" s="11" t="s">
        <v>120</v>
      </c>
      <c r="R4" s="11" t="s">
        <v>58</v>
      </c>
      <c r="S4" s="11" t="s">
        <v>121</v>
      </c>
      <c r="T4" s="103" t="s">
        <v>59</v>
      </c>
    </row>
    <row r="5" spans="1:20" ht="15.5" x14ac:dyDescent="0.35">
      <c r="A5" s="12"/>
      <c r="B5" s="12"/>
      <c r="C5" s="12"/>
      <c r="D5" s="12"/>
      <c r="E5" s="13"/>
      <c r="F5" s="13"/>
      <c r="G5" s="13"/>
      <c r="H5" s="104"/>
      <c r="I5" s="13"/>
      <c r="J5" s="13"/>
      <c r="K5" s="13"/>
      <c r="L5" s="104"/>
      <c r="M5" s="13"/>
      <c r="N5" s="13"/>
      <c r="O5" s="13"/>
      <c r="P5" s="104"/>
      <c r="Q5" s="13"/>
      <c r="R5" s="13"/>
      <c r="S5" s="13"/>
      <c r="T5" s="104"/>
    </row>
    <row r="6" spans="1:20" s="93" customFormat="1" x14ac:dyDescent="0.35">
      <c r="A6" s="63"/>
      <c r="B6" s="63" t="s">
        <v>26</v>
      </c>
      <c r="C6" s="63" t="s">
        <v>4</v>
      </c>
      <c r="D6" s="91">
        <f>SUM(D7:D44)</f>
        <v>161.30000000000001</v>
      </c>
      <c r="E6" s="92">
        <f>SUM(E7:E44)</f>
        <v>1</v>
      </c>
      <c r="F6" s="92">
        <f>SUM(F7:F44)</f>
        <v>1.2</v>
      </c>
      <c r="G6" s="92">
        <f>SUM(G7:G44)</f>
        <v>10.5</v>
      </c>
      <c r="H6" s="92">
        <f>SUM(E6:G6)</f>
        <v>12.7</v>
      </c>
      <c r="I6" s="92">
        <f>SUM(I7:I44)</f>
        <v>148.6</v>
      </c>
      <c r="J6" s="92">
        <f>SUM(J7:J44)</f>
        <v>0</v>
      </c>
      <c r="K6" s="92">
        <f>SUM(K7:K44)</f>
        <v>0</v>
      </c>
      <c r="L6" s="92">
        <f>SUM(I6:K6)</f>
        <v>148.6</v>
      </c>
      <c r="M6" s="92">
        <f>SUM(M7:M28)</f>
        <v>0</v>
      </c>
      <c r="N6" s="92">
        <f>SUM(N7:N28)</f>
        <v>0</v>
      </c>
      <c r="O6" s="92">
        <f>SUM(O7:O28)</f>
        <v>0</v>
      </c>
      <c r="P6" s="92">
        <f t="shared" ref="P6" si="0">SUM(M6:O6)</f>
        <v>0</v>
      </c>
      <c r="Q6" s="92">
        <f>SUM(Q7:Q28)</f>
        <v>0</v>
      </c>
      <c r="R6" s="92">
        <f>SUM(R7:R28)</f>
        <v>0</v>
      </c>
      <c r="S6" s="92">
        <f>SUM(S7:S28)</f>
        <v>0</v>
      </c>
      <c r="T6" s="92">
        <f t="shared" ref="T6" si="1">SUM(Q6:S6)</f>
        <v>0</v>
      </c>
    </row>
    <row r="7" spans="1:20" x14ac:dyDescent="0.35">
      <c r="A7" s="2">
        <v>1</v>
      </c>
      <c r="B7" s="3" t="s">
        <v>3</v>
      </c>
      <c r="C7" s="4" t="s">
        <v>4</v>
      </c>
      <c r="D7" s="24">
        <f>SUM(H7,L7,P7,T7)</f>
        <v>0</v>
      </c>
      <c r="E7" s="88">
        <v>0</v>
      </c>
      <c r="F7" s="88">
        <v>0</v>
      </c>
      <c r="G7" s="88">
        <v>0</v>
      </c>
      <c r="H7" s="88">
        <f>SUM(E7:G7)</f>
        <v>0</v>
      </c>
      <c r="I7" s="88">
        <v>0</v>
      </c>
      <c r="J7" s="88">
        <v>0</v>
      </c>
      <c r="K7" s="88">
        <v>0</v>
      </c>
      <c r="L7" s="88">
        <f>SUM(I7:K7)</f>
        <v>0</v>
      </c>
      <c r="M7" s="88">
        <v>0</v>
      </c>
      <c r="N7" s="88">
        <v>0</v>
      </c>
      <c r="O7" s="88">
        <v>0</v>
      </c>
      <c r="P7" s="88">
        <f>SUM(M7:O7)</f>
        <v>0</v>
      </c>
      <c r="Q7" s="88">
        <v>0</v>
      </c>
      <c r="R7" s="88">
        <v>0</v>
      </c>
      <c r="S7" s="88">
        <v>0</v>
      </c>
      <c r="T7" s="88">
        <f>SUM(Q7:S7)</f>
        <v>0</v>
      </c>
    </row>
    <row r="8" spans="1:20" x14ac:dyDescent="0.35">
      <c r="A8" s="2">
        <f t="shared" ref="A8:A28" si="2">A7+1</f>
        <v>2</v>
      </c>
      <c r="B8" s="3" t="s">
        <v>28</v>
      </c>
      <c r="C8" s="4" t="s">
        <v>4</v>
      </c>
      <c r="D8" s="24">
        <f t="shared" ref="D8:D44" si="3">SUM(H8,L8,P8,T8)</f>
        <v>0</v>
      </c>
      <c r="E8" s="88">
        <v>0</v>
      </c>
      <c r="F8" s="88">
        <v>0</v>
      </c>
      <c r="G8" s="88">
        <v>0</v>
      </c>
      <c r="H8" s="88">
        <f t="shared" ref="H8:H44" si="4">SUM(E8:G8)</f>
        <v>0</v>
      </c>
      <c r="I8" s="88">
        <v>0</v>
      </c>
      <c r="J8" s="88">
        <v>0</v>
      </c>
      <c r="K8" s="88">
        <v>0</v>
      </c>
      <c r="L8" s="88">
        <f t="shared" ref="L8:L44" si="5">SUM(I8:K8)</f>
        <v>0</v>
      </c>
      <c r="M8" s="88">
        <v>0</v>
      </c>
      <c r="N8" s="88">
        <v>0</v>
      </c>
      <c r="O8" s="88">
        <v>0</v>
      </c>
      <c r="P8" s="88">
        <f t="shared" ref="P8:P44" si="6">SUM(M8:O8)</f>
        <v>0</v>
      </c>
      <c r="Q8" s="88">
        <v>0</v>
      </c>
      <c r="R8" s="88">
        <v>0</v>
      </c>
      <c r="S8" s="88">
        <v>0</v>
      </c>
      <c r="T8" s="88">
        <f t="shared" ref="T8:T44" si="7">SUM(Q8:S8)</f>
        <v>0</v>
      </c>
    </row>
    <row r="9" spans="1:20" x14ac:dyDescent="0.35">
      <c r="A9" s="2">
        <f t="shared" si="2"/>
        <v>3</v>
      </c>
      <c r="B9" s="3" t="s">
        <v>5</v>
      </c>
      <c r="C9" s="4" t="s">
        <v>4</v>
      </c>
      <c r="D9" s="24">
        <f t="shared" si="3"/>
        <v>0</v>
      </c>
      <c r="E9" s="88">
        <v>0</v>
      </c>
      <c r="F9" s="88">
        <v>0</v>
      </c>
      <c r="G9" s="88">
        <v>0</v>
      </c>
      <c r="H9" s="88">
        <f t="shared" si="4"/>
        <v>0</v>
      </c>
      <c r="I9" s="88">
        <v>0</v>
      </c>
      <c r="J9" s="88">
        <v>0</v>
      </c>
      <c r="K9" s="88">
        <v>0</v>
      </c>
      <c r="L9" s="88">
        <f t="shared" si="5"/>
        <v>0</v>
      </c>
      <c r="M9" s="88">
        <v>0</v>
      </c>
      <c r="N9" s="88">
        <v>0</v>
      </c>
      <c r="O9" s="88">
        <v>0</v>
      </c>
      <c r="P9" s="88">
        <f t="shared" si="6"/>
        <v>0</v>
      </c>
      <c r="Q9" s="88">
        <v>0</v>
      </c>
      <c r="R9" s="88">
        <v>0</v>
      </c>
      <c r="S9" s="88">
        <v>0</v>
      </c>
      <c r="T9" s="88">
        <f t="shared" si="7"/>
        <v>0</v>
      </c>
    </row>
    <row r="10" spans="1:20" x14ac:dyDescent="0.35">
      <c r="A10" s="2">
        <f t="shared" si="2"/>
        <v>4</v>
      </c>
      <c r="B10" s="3" t="s">
        <v>6</v>
      </c>
      <c r="C10" s="4" t="s">
        <v>4</v>
      </c>
      <c r="D10" s="24">
        <f t="shared" si="3"/>
        <v>0</v>
      </c>
      <c r="E10" s="88">
        <v>0</v>
      </c>
      <c r="F10" s="88">
        <v>0</v>
      </c>
      <c r="G10" s="88">
        <v>0</v>
      </c>
      <c r="H10" s="88">
        <f t="shared" si="4"/>
        <v>0</v>
      </c>
      <c r="I10" s="88">
        <v>0</v>
      </c>
      <c r="J10" s="88">
        <v>0</v>
      </c>
      <c r="K10" s="88">
        <v>0</v>
      </c>
      <c r="L10" s="88">
        <f t="shared" si="5"/>
        <v>0</v>
      </c>
      <c r="M10" s="88">
        <v>0</v>
      </c>
      <c r="N10" s="88">
        <v>0</v>
      </c>
      <c r="O10" s="88">
        <v>0</v>
      </c>
      <c r="P10" s="88">
        <f t="shared" si="6"/>
        <v>0</v>
      </c>
      <c r="Q10" s="88">
        <v>0</v>
      </c>
      <c r="R10" s="88">
        <v>0</v>
      </c>
      <c r="S10" s="88">
        <v>0</v>
      </c>
      <c r="T10" s="88">
        <f t="shared" si="7"/>
        <v>0</v>
      </c>
    </row>
    <row r="11" spans="1:20" x14ac:dyDescent="0.35">
      <c r="A11" s="2">
        <f t="shared" si="2"/>
        <v>5</v>
      </c>
      <c r="B11" s="3" t="s">
        <v>7</v>
      </c>
      <c r="C11" s="4" t="s">
        <v>4</v>
      </c>
      <c r="D11" s="24">
        <f t="shared" si="3"/>
        <v>0</v>
      </c>
      <c r="E11" s="88">
        <v>0</v>
      </c>
      <c r="F11" s="88">
        <v>0</v>
      </c>
      <c r="G11" s="88">
        <v>0</v>
      </c>
      <c r="H11" s="88">
        <f t="shared" si="4"/>
        <v>0</v>
      </c>
      <c r="I11" s="88">
        <v>0</v>
      </c>
      <c r="J11" s="88">
        <v>0</v>
      </c>
      <c r="K11" s="88">
        <v>0</v>
      </c>
      <c r="L11" s="88">
        <f t="shared" si="5"/>
        <v>0</v>
      </c>
      <c r="M11" s="88">
        <v>0</v>
      </c>
      <c r="N11" s="88">
        <v>0</v>
      </c>
      <c r="O11" s="88">
        <v>0</v>
      </c>
      <c r="P11" s="88">
        <f t="shared" si="6"/>
        <v>0</v>
      </c>
      <c r="Q11" s="88">
        <v>0</v>
      </c>
      <c r="R11" s="88">
        <v>0</v>
      </c>
      <c r="S11" s="88">
        <v>0</v>
      </c>
      <c r="T11" s="88">
        <f t="shared" si="7"/>
        <v>0</v>
      </c>
    </row>
    <row r="12" spans="1:20" x14ac:dyDescent="0.35">
      <c r="A12" s="2">
        <f t="shared" si="2"/>
        <v>6</v>
      </c>
      <c r="B12" s="3" t="s">
        <v>29</v>
      </c>
      <c r="C12" s="4" t="s">
        <v>4</v>
      </c>
      <c r="D12" s="24">
        <f t="shared" si="3"/>
        <v>0</v>
      </c>
      <c r="E12" s="88">
        <v>0</v>
      </c>
      <c r="F12" s="88">
        <v>0</v>
      </c>
      <c r="G12" s="88">
        <v>0</v>
      </c>
      <c r="H12" s="88">
        <f t="shared" si="4"/>
        <v>0</v>
      </c>
      <c r="I12" s="88">
        <v>0</v>
      </c>
      <c r="J12" s="88">
        <v>0</v>
      </c>
      <c r="K12" s="88">
        <v>0</v>
      </c>
      <c r="L12" s="88">
        <f t="shared" si="5"/>
        <v>0</v>
      </c>
      <c r="M12" s="88">
        <v>0</v>
      </c>
      <c r="N12" s="88">
        <v>0</v>
      </c>
      <c r="O12" s="88">
        <v>0</v>
      </c>
      <c r="P12" s="88">
        <f t="shared" si="6"/>
        <v>0</v>
      </c>
      <c r="Q12" s="88">
        <v>0</v>
      </c>
      <c r="R12" s="88">
        <v>0</v>
      </c>
      <c r="S12" s="88">
        <v>0</v>
      </c>
      <c r="T12" s="88">
        <f t="shared" si="7"/>
        <v>0</v>
      </c>
    </row>
    <row r="13" spans="1:20" x14ac:dyDescent="0.35">
      <c r="A13" s="2">
        <f t="shared" si="2"/>
        <v>7</v>
      </c>
      <c r="B13" s="3" t="s">
        <v>8</v>
      </c>
      <c r="C13" s="4" t="s">
        <v>4</v>
      </c>
      <c r="D13" s="24">
        <f t="shared" si="3"/>
        <v>0</v>
      </c>
      <c r="E13" s="88">
        <v>0</v>
      </c>
      <c r="F13" s="88">
        <v>0</v>
      </c>
      <c r="G13" s="88">
        <v>0</v>
      </c>
      <c r="H13" s="88">
        <f t="shared" si="4"/>
        <v>0</v>
      </c>
      <c r="I13" s="88">
        <v>0</v>
      </c>
      <c r="J13" s="88">
        <v>0</v>
      </c>
      <c r="K13" s="88">
        <v>0</v>
      </c>
      <c r="L13" s="88">
        <f t="shared" si="5"/>
        <v>0</v>
      </c>
      <c r="M13" s="88">
        <v>0</v>
      </c>
      <c r="N13" s="88">
        <v>0</v>
      </c>
      <c r="O13" s="88">
        <v>0</v>
      </c>
      <c r="P13" s="88">
        <f t="shared" si="6"/>
        <v>0</v>
      </c>
      <c r="Q13" s="88">
        <v>0</v>
      </c>
      <c r="R13" s="88">
        <v>0</v>
      </c>
      <c r="S13" s="88">
        <v>0</v>
      </c>
      <c r="T13" s="88">
        <f t="shared" si="7"/>
        <v>0</v>
      </c>
    </row>
    <row r="14" spans="1:20" x14ac:dyDescent="0.35">
      <c r="A14" s="2">
        <f t="shared" si="2"/>
        <v>8</v>
      </c>
      <c r="B14" s="3" t="s">
        <v>9</v>
      </c>
      <c r="C14" s="4" t="s">
        <v>4</v>
      </c>
      <c r="D14" s="24">
        <f t="shared" si="3"/>
        <v>0</v>
      </c>
      <c r="E14" s="88">
        <v>0</v>
      </c>
      <c r="F14" s="88">
        <v>0</v>
      </c>
      <c r="G14" s="88">
        <v>0</v>
      </c>
      <c r="H14" s="88">
        <f t="shared" si="4"/>
        <v>0</v>
      </c>
      <c r="I14" s="88">
        <v>0</v>
      </c>
      <c r="J14" s="88">
        <v>0</v>
      </c>
      <c r="K14" s="88">
        <v>0</v>
      </c>
      <c r="L14" s="88">
        <f t="shared" si="5"/>
        <v>0</v>
      </c>
      <c r="M14" s="88">
        <v>0</v>
      </c>
      <c r="N14" s="88">
        <v>0</v>
      </c>
      <c r="O14" s="88">
        <v>0</v>
      </c>
      <c r="P14" s="88">
        <f t="shared" si="6"/>
        <v>0</v>
      </c>
      <c r="Q14" s="88">
        <v>0</v>
      </c>
      <c r="R14" s="88">
        <v>0</v>
      </c>
      <c r="S14" s="88">
        <v>0</v>
      </c>
      <c r="T14" s="88">
        <f t="shared" si="7"/>
        <v>0</v>
      </c>
    </row>
    <row r="15" spans="1:20" x14ac:dyDescent="0.35">
      <c r="A15" s="2">
        <f t="shared" si="2"/>
        <v>9</v>
      </c>
      <c r="B15" s="3" t="s">
        <v>10</v>
      </c>
      <c r="C15" s="4" t="s">
        <v>4</v>
      </c>
      <c r="D15" s="24">
        <f t="shared" si="3"/>
        <v>0</v>
      </c>
      <c r="E15" s="88">
        <v>0</v>
      </c>
      <c r="F15" s="88">
        <v>0</v>
      </c>
      <c r="G15" s="88">
        <v>0</v>
      </c>
      <c r="H15" s="88">
        <f t="shared" si="4"/>
        <v>0</v>
      </c>
      <c r="I15" s="88">
        <v>0</v>
      </c>
      <c r="J15" s="88">
        <v>0</v>
      </c>
      <c r="K15" s="88">
        <v>0</v>
      </c>
      <c r="L15" s="88">
        <f t="shared" si="5"/>
        <v>0</v>
      </c>
      <c r="M15" s="88">
        <v>0</v>
      </c>
      <c r="N15" s="88">
        <v>0</v>
      </c>
      <c r="O15" s="88">
        <v>0</v>
      </c>
      <c r="P15" s="88">
        <f t="shared" si="6"/>
        <v>0</v>
      </c>
      <c r="Q15" s="88">
        <v>0</v>
      </c>
      <c r="R15" s="88">
        <v>0</v>
      </c>
      <c r="S15" s="88">
        <v>0</v>
      </c>
      <c r="T15" s="88">
        <f t="shared" si="7"/>
        <v>0</v>
      </c>
    </row>
    <row r="16" spans="1:20" x14ac:dyDescent="0.35">
      <c r="A16" s="2">
        <f t="shared" si="2"/>
        <v>10</v>
      </c>
      <c r="B16" s="3" t="s">
        <v>11</v>
      </c>
      <c r="C16" s="4" t="s">
        <v>4</v>
      </c>
      <c r="D16" s="24">
        <f t="shared" si="3"/>
        <v>0</v>
      </c>
      <c r="E16" s="88">
        <v>0</v>
      </c>
      <c r="F16" s="88">
        <v>0</v>
      </c>
      <c r="G16" s="88">
        <v>0</v>
      </c>
      <c r="H16" s="88">
        <f t="shared" si="4"/>
        <v>0</v>
      </c>
      <c r="I16" s="88">
        <v>0</v>
      </c>
      <c r="J16" s="88">
        <v>0</v>
      </c>
      <c r="K16" s="88">
        <v>0</v>
      </c>
      <c r="L16" s="88">
        <f t="shared" si="5"/>
        <v>0</v>
      </c>
      <c r="M16" s="88">
        <v>0</v>
      </c>
      <c r="N16" s="88">
        <v>0</v>
      </c>
      <c r="O16" s="88">
        <v>0</v>
      </c>
      <c r="P16" s="88">
        <f t="shared" si="6"/>
        <v>0</v>
      </c>
      <c r="Q16" s="88">
        <v>0</v>
      </c>
      <c r="R16" s="88">
        <v>0</v>
      </c>
      <c r="S16" s="88">
        <v>0</v>
      </c>
      <c r="T16" s="88">
        <f t="shared" si="7"/>
        <v>0</v>
      </c>
    </row>
    <row r="17" spans="1:20" x14ac:dyDescent="0.35">
      <c r="A17" s="2">
        <f t="shared" si="2"/>
        <v>11</v>
      </c>
      <c r="B17" s="3" t="s">
        <v>30</v>
      </c>
      <c r="C17" s="4" t="s">
        <v>4</v>
      </c>
      <c r="D17" s="24">
        <f t="shared" si="3"/>
        <v>0</v>
      </c>
      <c r="E17" s="88">
        <v>0</v>
      </c>
      <c r="F17" s="88">
        <v>0</v>
      </c>
      <c r="G17" s="88">
        <v>0</v>
      </c>
      <c r="H17" s="88">
        <f t="shared" si="4"/>
        <v>0</v>
      </c>
      <c r="I17" s="88">
        <v>0</v>
      </c>
      <c r="J17" s="88">
        <v>0</v>
      </c>
      <c r="K17" s="88">
        <v>0</v>
      </c>
      <c r="L17" s="88">
        <f t="shared" si="5"/>
        <v>0</v>
      </c>
      <c r="M17" s="88">
        <v>0</v>
      </c>
      <c r="N17" s="88">
        <v>0</v>
      </c>
      <c r="O17" s="88">
        <v>0</v>
      </c>
      <c r="P17" s="88">
        <f t="shared" si="6"/>
        <v>0</v>
      </c>
      <c r="Q17" s="88">
        <v>0</v>
      </c>
      <c r="R17" s="88">
        <v>0</v>
      </c>
      <c r="S17" s="88">
        <v>0</v>
      </c>
      <c r="T17" s="88">
        <f t="shared" si="7"/>
        <v>0</v>
      </c>
    </row>
    <row r="18" spans="1:20" x14ac:dyDescent="0.35">
      <c r="A18" s="2">
        <f t="shared" si="2"/>
        <v>12</v>
      </c>
      <c r="B18" s="3" t="s">
        <v>12</v>
      </c>
      <c r="C18" s="4" t="s">
        <v>4</v>
      </c>
      <c r="D18" s="24">
        <f t="shared" si="3"/>
        <v>14.1</v>
      </c>
      <c r="E18" s="88">
        <v>0</v>
      </c>
      <c r="F18" s="88">
        <v>0</v>
      </c>
      <c r="G18" s="88">
        <v>9</v>
      </c>
      <c r="H18" s="88">
        <f t="shared" si="4"/>
        <v>9</v>
      </c>
      <c r="I18" s="88">
        <v>5.0999999999999996</v>
      </c>
      <c r="J18" s="88">
        <v>0</v>
      </c>
      <c r="K18" s="88">
        <v>0</v>
      </c>
      <c r="L18" s="88">
        <f t="shared" si="5"/>
        <v>5.0999999999999996</v>
      </c>
      <c r="M18" s="88">
        <v>0</v>
      </c>
      <c r="N18" s="88">
        <v>0</v>
      </c>
      <c r="O18" s="88">
        <v>0</v>
      </c>
      <c r="P18" s="88">
        <f t="shared" si="6"/>
        <v>0</v>
      </c>
      <c r="Q18" s="88">
        <v>0</v>
      </c>
      <c r="R18" s="88">
        <v>0</v>
      </c>
      <c r="S18" s="88">
        <v>0</v>
      </c>
      <c r="T18" s="88">
        <f t="shared" si="7"/>
        <v>0</v>
      </c>
    </row>
    <row r="19" spans="1:20" x14ac:dyDescent="0.35">
      <c r="A19" s="2">
        <f t="shared" si="2"/>
        <v>13</v>
      </c>
      <c r="B19" s="3" t="s">
        <v>13</v>
      </c>
      <c r="C19" s="4" t="s">
        <v>4</v>
      </c>
      <c r="D19" s="24">
        <f t="shared" si="3"/>
        <v>0</v>
      </c>
      <c r="E19" s="88">
        <v>0</v>
      </c>
      <c r="F19" s="88">
        <v>0</v>
      </c>
      <c r="G19" s="88">
        <v>0</v>
      </c>
      <c r="H19" s="88">
        <f t="shared" si="4"/>
        <v>0</v>
      </c>
      <c r="I19" s="88">
        <v>0</v>
      </c>
      <c r="J19" s="88">
        <v>0</v>
      </c>
      <c r="K19" s="88">
        <v>0</v>
      </c>
      <c r="L19" s="88">
        <f t="shared" si="5"/>
        <v>0</v>
      </c>
      <c r="M19" s="88">
        <v>0</v>
      </c>
      <c r="N19" s="88">
        <v>0</v>
      </c>
      <c r="O19" s="88">
        <v>0</v>
      </c>
      <c r="P19" s="88">
        <f t="shared" si="6"/>
        <v>0</v>
      </c>
      <c r="Q19" s="88">
        <v>0</v>
      </c>
      <c r="R19" s="88">
        <v>0</v>
      </c>
      <c r="S19" s="88">
        <v>0</v>
      </c>
      <c r="T19" s="88">
        <f t="shared" si="7"/>
        <v>0</v>
      </c>
    </row>
    <row r="20" spans="1:20" x14ac:dyDescent="0.35">
      <c r="A20" s="2">
        <f t="shared" si="2"/>
        <v>14</v>
      </c>
      <c r="B20" s="3" t="s">
        <v>14</v>
      </c>
      <c r="C20" s="4" t="s">
        <v>4</v>
      </c>
      <c r="D20" s="24">
        <f t="shared" si="3"/>
        <v>0</v>
      </c>
      <c r="E20" s="88">
        <v>0</v>
      </c>
      <c r="F20" s="88">
        <v>0</v>
      </c>
      <c r="G20" s="88">
        <v>0</v>
      </c>
      <c r="H20" s="88">
        <f t="shared" si="4"/>
        <v>0</v>
      </c>
      <c r="I20" s="88">
        <v>0</v>
      </c>
      <c r="J20" s="88">
        <v>0</v>
      </c>
      <c r="K20" s="88">
        <v>0</v>
      </c>
      <c r="L20" s="88">
        <f t="shared" si="5"/>
        <v>0</v>
      </c>
      <c r="M20" s="88">
        <v>0</v>
      </c>
      <c r="N20" s="88">
        <v>0</v>
      </c>
      <c r="O20" s="88">
        <v>0</v>
      </c>
      <c r="P20" s="88">
        <f t="shared" si="6"/>
        <v>0</v>
      </c>
      <c r="Q20" s="88">
        <v>0</v>
      </c>
      <c r="R20" s="88">
        <v>0</v>
      </c>
      <c r="S20" s="88">
        <v>0</v>
      </c>
      <c r="T20" s="88">
        <f t="shared" si="7"/>
        <v>0</v>
      </c>
    </row>
    <row r="21" spans="1:20" x14ac:dyDescent="0.35">
      <c r="A21" s="2">
        <f t="shared" si="2"/>
        <v>15</v>
      </c>
      <c r="B21" s="3" t="s">
        <v>15</v>
      </c>
      <c r="C21" s="4" t="s">
        <v>4</v>
      </c>
      <c r="D21" s="24">
        <f t="shared" si="3"/>
        <v>0</v>
      </c>
      <c r="E21" s="88">
        <v>0</v>
      </c>
      <c r="F21" s="88">
        <v>0</v>
      </c>
      <c r="G21" s="88">
        <v>0</v>
      </c>
      <c r="H21" s="88">
        <f t="shared" si="4"/>
        <v>0</v>
      </c>
      <c r="I21" s="88">
        <v>0</v>
      </c>
      <c r="J21" s="88">
        <v>0</v>
      </c>
      <c r="K21" s="88">
        <v>0</v>
      </c>
      <c r="L21" s="88">
        <f t="shared" si="5"/>
        <v>0</v>
      </c>
      <c r="M21" s="88">
        <v>0</v>
      </c>
      <c r="N21" s="88">
        <v>0</v>
      </c>
      <c r="O21" s="88">
        <v>0</v>
      </c>
      <c r="P21" s="88">
        <f t="shared" si="6"/>
        <v>0</v>
      </c>
      <c r="Q21" s="88">
        <v>0</v>
      </c>
      <c r="R21" s="88">
        <v>0</v>
      </c>
      <c r="S21" s="88">
        <v>0</v>
      </c>
      <c r="T21" s="88">
        <f t="shared" si="7"/>
        <v>0</v>
      </c>
    </row>
    <row r="22" spans="1:20" x14ac:dyDescent="0.35">
      <c r="A22" s="2">
        <f t="shared" si="2"/>
        <v>16</v>
      </c>
      <c r="B22" s="3" t="s">
        <v>31</v>
      </c>
      <c r="C22" s="4" t="s">
        <v>4</v>
      </c>
      <c r="D22" s="24">
        <f t="shared" si="3"/>
        <v>0</v>
      </c>
      <c r="E22" s="88">
        <v>0</v>
      </c>
      <c r="F22" s="88">
        <v>0</v>
      </c>
      <c r="G22" s="88">
        <v>0</v>
      </c>
      <c r="H22" s="88">
        <f t="shared" si="4"/>
        <v>0</v>
      </c>
      <c r="I22" s="88">
        <v>0</v>
      </c>
      <c r="J22" s="88">
        <v>0</v>
      </c>
      <c r="K22" s="88">
        <v>0</v>
      </c>
      <c r="L22" s="88">
        <f t="shared" si="5"/>
        <v>0</v>
      </c>
      <c r="M22" s="88">
        <v>0</v>
      </c>
      <c r="N22" s="88">
        <v>0</v>
      </c>
      <c r="O22" s="88">
        <v>0</v>
      </c>
      <c r="P22" s="88">
        <f t="shared" si="6"/>
        <v>0</v>
      </c>
      <c r="Q22" s="88">
        <v>0</v>
      </c>
      <c r="R22" s="88">
        <v>0</v>
      </c>
      <c r="S22" s="88">
        <v>0</v>
      </c>
      <c r="T22" s="88">
        <f t="shared" si="7"/>
        <v>0</v>
      </c>
    </row>
    <row r="23" spans="1:20" x14ac:dyDescent="0.35">
      <c r="A23" s="2">
        <f t="shared" si="2"/>
        <v>17</v>
      </c>
      <c r="B23" s="3" t="s">
        <v>32</v>
      </c>
      <c r="C23" s="4" t="s">
        <v>4</v>
      </c>
      <c r="D23" s="24">
        <f t="shared" si="3"/>
        <v>0</v>
      </c>
      <c r="E23" s="88">
        <v>0</v>
      </c>
      <c r="F23" s="88">
        <v>0</v>
      </c>
      <c r="G23" s="88">
        <v>0</v>
      </c>
      <c r="H23" s="88">
        <f t="shared" si="4"/>
        <v>0</v>
      </c>
      <c r="I23" s="88">
        <v>0</v>
      </c>
      <c r="J23" s="88">
        <v>0</v>
      </c>
      <c r="K23" s="88">
        <v>0</v>
      </c>
      <c r="L23" s="88">
        <f t="shared" si="5"/>
        <v>0</v>
      </c>
      <c r="M23" s="88">
        <v>0</v>
      </c>
      <c r="N23" s="88">
        <v>0</v>
      </c>
      <c r="O23" s="88">
        <v>0</v>
      </c>
      <c r="P23" s="88">
        <f t="shared" si="6"/>
        <v>0</v>
      </c>
      <c r="Q23" s="88">
        <v>0</v>
      </c>
      <c r="R23" s="88">
        <v>0</v>
      </c>
      <c r="S23" s="88">
        <v>0</v>
      </c>
      <c r="T23" s="88">
        <f t="shared" si="7"/>
        <v>0</v>
      </c>
    </row>
    <row r="24" spans="1:20" x14ac:dyDescent="0.35">
      <c r="A24" s="2">
        <f t="shared" si="2"/>
        <v>18</v>
      </c>
      <c r="B24" s="3" t="s">
        <v>33</v>
      </c>
      <c r="C24" s="4" t="s">
        <v>4</v>
      </c>
      <c r="D24" s="24">
        <f t="shared" si="3"/>
        <v>0</v>
      </c>
      <c r="E24" s="88">
        <v>0</v>
      </c>
      <c r="F24" s="88">
        <v>0</v>
      </c>
      <c r="G24" s="88">
        <v>0</v>
      </c>
      <c r="H24" s="88">
        <f t="shared" si="4"/>
        <v>0</v>
      </c>
      <c r="I24" s="88">
        <v>0</v>
      </c>
      <c r="J24" s="88">
        <v>0</v>
      </c>
      <c r="K24" s="88">
        <v>0</v>
      </c>
      <c r="L24" s="88">
        <f t="shared" si="5"/>
        <v>0</v>
      </c>
      <c r="M24" s="88">
        <v>0</v>
      </c>
      <c r="N24" s="88">
        <v>0</v>
      </c>
      <c r="O24" s="88">
        <v>0</v>
      </c>
      <c r="P24" s="88">
        <f t="shared" si="6"/>
        <v>0</v>
      </c>
      <c r="Q24" s="88">
        <v>0</v>
      </c>
      <c r="R24" s="88">
        <v>0</v>
      </c>
      <c r="S24" s="88">
        <v>0</v>
      </c>
      <c r="T24" s="88">
        <f t="shared" si="7"/>
        <v>0</v>
      </c>
    </row>
    <row r="25" spans="1:20" x14ac:dyDescent="0.35">
      <c r="A25" s="2">
        <f t="shared" si="2"/>
        <v>19</v>
      </c>
      <c r="B25" s="3" t="s">
        <v>34</v>
      </c>
      <c r="C25" s="4" t="s">
        <v>4</v>
      </c>
      <c r="D25" s="24">
        <f t="shared" si="3"/>
        <v>0</v>
      </c>
      <c r="E25" s="88">
        <v>0</v>
      </c>
      <c r="F25" s="88">
        <v>0</v>
      </c>
      <c r="G25" s="88">
        <v>0</v>
      </c>
      <c r="H25" s="88">
        <f t="shared" si="4"/>
        <v>0</v>
      </c>
      <c r="I25" s="88">
        <v>0</v>
      </c>
      <c r="J25" s="88">
        <v>0</v>
      </c>
      <c r="K25" s="88">
        <v>0</v>
      </c>
      <c r="L25" s="88">
        <f t="shared" si="5"/>
        <v>0</v>
      </c>
      <c r="M25" s="88">
        <v>0</v>
      </c>
      <c r="N25" s="88">
        <v>0</v>
      </c>
      <c r="O25" s="88">
        <v>0</v>
      </c>
      <c r="P25" s="88">
        <f t="shared" si="6"/>
        <v>0</v>
      </c>
      <c r="Q25" s="88">
        <v>0</v>
      </c>
      <c r="R25" s="88">
        <v>0</v>
      </c>
      <c r="S25" s="88">
        <v>0</v>
      </c>
      <c r="T25" s="88">
        <f t="shared" si="7"/>
        <v>0</v>
      </c>
    </row>
    <row r="26" spans="1:20" x14ac:dyDescent="0.35">
      <c r="A26" s="2">
        <f t="shared" si="2"/>
        <v>20</v>
      </c>
      <c r="B26" s="3" t="s">
        <v>35</v>
      </c>
      <c r="C26" s="4" t="s">
        <v>4</v>
      </c>
      <c r="D26" s="24">
        <f t="shared" si="3"/>
        <v>0</v>
      </c>
      <c r="E26" s="88">
        <v>0</v>
      </c>
      <c r="F26" s="88">
        <v>0</v>
      </c>
      <c r="G26" s="88">
        <v>0</v>
      </c>
      <c r="H26" s="88">
        <f t="shared" si="4"/>
        <v>0</v>
      </c>
      <c r="I26" s="88">
        <v>0</v>
      </c>
      <c r="J26" s="88">
        <v>0</v>
      </c>
      <c r="K26" s="88">
        <v>0</v>
      </c>
      <c r="L26" s="88">
        <f t="shared" si="5"/>
        <v>0</v>
      </c>
      <c r="M26" s="88">
        <v>0</v>
      </c>
      <c r="N26" s="88">
        <v>0</v>
      </c>
      <c r="O26" s="88">
        <v>0</v>
      </c>
      <c r="P26" s="88">
        <f t="shared" si="6"/>
        <v>0</v>
      </c>
      <c r="Q26" s="88">
        <v>0</v>
      </c>
      <c r="R26" s="88">
        <v>0</v>
      </c>
      <c r="S26" s="88">
        <v>0</v>
      </c>
      <c r="T26" s="88">
        <f t="shared" si="7"/>
        <v>0</v>
      </c>
    </row>
    <row r="27" spans="1:20" x14ac:dyDescent="0.35">
      <c r="A27" s="2">
        <f t="shared" si="2"/>
        <v>21</v>
      </c>
      <c r="B27" s="3" t="s">
        <v>36</v>
      </c>
      <c r="C27" s="4" t="s">
        <v>4</v>
      </c>
      <c r="D27" s="24">
        <f t="shared" si="3"/>
        <v>0</v>
      </c>
      <c r="E27" s="88">
        <v>0</v>
      </c>
      <c r="F27" s="88">
        <v>0</v>
      </c>
      <c r="G27" s="88">
        <v>0</v>
      </c>
      <c r="H27" s="88">
        <f t="shared" si="4"/>
        <v>0</v>
      </c>
      <c r="I27" s="88">
        <v>0</v>
      </c>
      <c r="J27" s="88">
        <v>0</v>
      </c>
      <c r="K27" s="88">
        <v>0</v>
      </c>
      <c r="L27" s="88">
        <f t="shared" si="5"/>
        <v>0</v>
      </c>
      <c r="M27" s="88">
        <v>0</v>
      </c>
      <c r="N27" s="88">
        <v>0</v>
      </c>
      <c r="O27" s="88">
        <v>0</v>
      </c>
      <c r="P27" s="88">
        <f t="shared" si="6"/>
        <v>0</v>
      </c>
      <c r="Q27" s="88">
        <v>0</v>
      </c>
      <c r="R27" s="88">
        <v>0</v>
      </c>
      <c r="S27" s="88">
        <v>0</v>
      </c>
      <c r="T27" s="88">
        <f t="shared" si="7"/>
        <v>0</v>
      </c>
    </row>
    <row r="28" spans="1:20" x14ac:dyDescent="0.35">
      <c r="A28" s="2">
        <f t="shared" si="2"/>
        <v>22</v>
      </c>
      <c r="B28" s="3" t="s">
        <v>37</v>
      </c>
      <c r="C28" s="4" t="s">
        <v>4</v>
      </c>
      <c r="D28" s="24">
        <f t="shared" si="3"/>
        <v>0</v>
      </c>
      <c r="E28" s="88">
        <v>0</v>
      </c>
      <c r="F28" s="88">
        <v>0</v>
      </c>
      <c r="G28" s="88">
        <v>0</v>
      </c>
      <c r="H28" s="88">
        <f t="shared" si="4"/>
        <v>0</v>
      </c>
      <c r="I28" s="88">
        <v>0</v>
      </c>
      <c r="J28" s="88">
        <v>0</v>
      </c>
      <c r="K28" s="88">
        <v>0</v>
      </c>
      <c r="L28" s="88">
        <f t="shared" si="5"/>
        <v>0</v>
      </c>
      <c r="M28" s="88">
        <v>0</v>
      </c>
      <c r="N28" s="88">
        <v>0</v>
      </c>
      <c r="O28" s="88">
        <v>0</v>
      </c>
      <c r="P28" s="88">
        <f t="shared" si="6"/>
        <v>0</v>
      </c>
      <c r="Q28" s="88">
        <v>0</v>
      </c>
      <c r="R28" s="88">
        <v>0</v>
      </c>
      <c r="S28" s="88">
        <v>0</v>
      </c>
      <c r="T28" s="88">
        <f t="shared" si="7"/>
        <v>0</v>
      </c>
    </row>
    <row r="29" spans="1:20" x14ac:dyDescent="0.35">
      <c r="A29" s="2">
        <v>23</v>
      </c>
      <c r="B29" s="3" t="s">
        <v>16</v>
      </c>
      <c r="C29" s="4" t="s">
        <v>4</v>
      </c>
      <c r="D29" s="24">
        <f t="shared" si="3"/>
        <v>5.2</v>
      </c>
      <c r="E29" s="88">
        <v>1</v>
      </c>
      <c r="F29" s="22">
        <v>1.2</v>
      </c>
      <c r="G29" s="88">
        <v>1.5</v>
      </c>
      <c r="H29" s="88">
        <f t="shared" si="4"/>
        <v>3.7</v>
      </c>
      <c r="I29" s="22">
        <v>1.5</v>
      </c>
      <c r="J29" s="88">
        <v>0</v>
      </c>
      <c r="K29" s="88">
        <v>0</v>
      </c>
      <c r="L29" s="88">
        <f t="shared" si="5"/>
        <v>1.5</v>
      </c>
      <c r="M29" s="88">
        <v>0</v>
      </c>
      <c r="N29" s="88">
        <v>0</v>
      </c>
      <c r="O29" s="88">
        <v>0</v>
      </c>
      <c r="P29" s="88">
        <f t="shared" si="6"/>
        <v>0</v>
      </c>
      <c r="Q29" s="88">
        <v>0</v>
      </c>
      <c r="R29" s="88">
        <v>0</v>
      </c>
      <c r="S29" s="88">
        <v>0</v>
      </c>
      <c r="T29" s="88">
        <f t="shared" si="7"/>
        <v>0</v>
      </c>
    </row>
    <row r="30" spans="1:20" x14ac:dyDescent="0.35">
      <c r="A30" s="2">
        <v>24</v>
      </c>
      <c r="B30" s="3" t="s">
        <v>17</v>
      </c>
      <c r="C30" s="4" t="s">
        <v>4</v>
      </c>
      <c r="D30" s="24">
        <f t="shared" si="3"/>
        <v>4</v>
      </c>
      <c r="E30" s="88">
        <v>0</v>
      </c>
      <c r="F30" s="88">
        <v>0</v>
      </c>
      <c r="G30" s="88">
        <v>0</v>
      </c>
      <c r="H30" s="88">
        <f t="shared" si="4"/>
        <v>0</v>
      </c>
      <c r="I30" s="88">
        <v>4</v>
      </c>
      <c r="J30" s="88">
        <v>0</v>
      </c>
      <c r="K30" s="88">
        <v>0</v>
      </c>
      <c r="L30" s="88">
        <f t="shared" si="5"/>
        <v>4</v>
      </c>
      <c r="M30" s="88">
        <v>0</v>
      </c>
      <c r="N30" s="88">
        <v>0</v>
      </c>
      <c r="O30" s="88">
        <v>0</v>
      </c>
      <c r="P30" s="88">
        <f t="shared" si="6"/>
        <v>0</v>
      </c>
      <c r="Q30" s="88">
        <v>0</v>
      </c>
      <c r="R30" s="88">
        <v>0</v>
      </c>
      <c r="S30" s="88">
        <v>0</v>
      </c>
      <c r="T30" s="88">
        <f t="shared" si="7"/>
        <v>0</v>
      </c>
    </row>
    <row r="31" spans="1:20" x14ac:dyDescent="0.35">
      <c r="A31" s="2">
        <v>25</v>
      </c>
      <c r="B31" s="3" t="s">
        <v>18</v>
      </c>
      <c r="C31" s="4" t="s">
        <v>4</v>
      </c>
      <c r="D31" s="24">
        <f t="shared" si="3"/>
        <v>0</v>
      </c>
      <c r="E31" s="88">
        <v>0</v>
      </c>
      <c r="F31" s="88">
        <v>0</v>
      </c>
      <c r="G31" s="88">
        <v>0</v>
      </c>
      <c r="H31" s="88">
        <f t="shared" si="4"/>
        <v>0</v>
      </c>
      <c r="I31" s="88">
        <v>0</v>
      </c>
      <c r="J31" s="88">
        <v>0</v>
      </c>
      <c r="K31" s="88">
        <v>0</v>
      </c>
      <c r="L31" s="88">
        <f t="shared" si="5"/>
        <v>0</v>
      </c>
      <c r="M31" s="88">
        <v>0</v>
      </c>
      <c r="N31" s="88">
        <v>0</v>
      </c>
      <c r="O31" s="88">
        <v>0</v>
      </c>
      <c r="P31" s="88">
        <f t="shared" si="6"/>
        <v>0</v>
      </c>
      <c r="Q31" s="88">
        <v>0</v>
      </c>
      <c r="R31" s="88">
        <v>0</v>
      </c>
      <c r="S31" s="88">
        <v>0</v>
      </c>
      <c r="T31" s="88">
        <f t="shared" si="7"/>
        <v>0</v>
      </c>
    </row>
    <row r="32" spans="1:20" x14ac:dyDescent="0.35">
      <c r="A32" s="2">
        <v>26</v>
      </c>
      <c r="B32" s="3" t="s">
        <v>19</v>
      </c>
      <c r="C32" s="4" t="s">
        <v>4</v>
      </c>
      <c r="D32" s="24">
        <f t="shared" si="3"/>
        <v>138</v>
      </c>
      <c r="E32" s="88">
        <v>0</v>
      </c>
      <c r="F32" s="88">
        <v>0</v>
      </c>
      <c r="G32" s="88">
        <v>0</v>
      </c>
      <c r="H32" s="88">
        <f t="shared" si="4"/>
        <v>0</v>
      </c>
      <c r="I32" s="88">
        <v>138</v>
      </c>
      <c r="J32" s="88">
        <v>0</v>
      </c>
      <c r="K32" s="88">
        <v>0</v>
      </c>
      <c r="L32" s="88">
        <f t="shared" si="5"/>
        <v>138</v>
      </c>
      <c r="M32" s="88">
        <v>0</v>
      </c>
      <c r="N32" s="88">
        <v>0</v>
      </c>
      <c r="O32" s="88">
        <v>0</v>
      </c>
      <c r="P32" s="88">
        <f t="shared" si="6"/>
        <v>0</v>
      </c>
      <c r="Q32" s="88">
        <v>0</v>
      </c>
      <c r="R32" s="88">
        <v>0</v>
      </c>
      <c r="S32" s="88">
        <v>0</v>
      </c>
      <c r="T32" s="88">
        <f t="shared" si="7"/>
        <v>0</v>
      </c>
    </row>
    <row r="33" spans="1:20" x14ac:dyDescent="0.35">
      <c r="A33" s="2">
        <v>27</v>
      </c>
      <c r="B33" s="3" t="s">
        <v>20</v>
      </c>
      <c r="C33" s="4" t="s">
        <v>4</v>
      </c>
      <c r="D33" s="24">
        <f t="shared" si="3"/>
        <v>0</v>
      </c>
      <c r="E33" s="88">
        <v>0</v>
      </c>
      <c r="F33" s="88">
        <v>0</v>
      </c>
      <c r="G33" s="88">
        <v>0</v>
      </c>
      <c r="H33" s="88">
        <f t="shared" si="4"/>
        <v>0</v>
      </c>
      <c r="I33" s="88">
        <v>0</v>
      </c>
      <c r="J33" s="88">
        <v>0</v>
      </c>
      <c r="K33" s="88">
        <v>0</v>
      </c>
      <c r="L33" s="88">
        <f t="shared" si="5"/>
        <v>0</v>
      </c>
      <c r="M33" s="88">
        <v>0</v>
      </c>
      <c r="N33" s="88">
        <v>0</v>
      </c>
      <c r="O33" s="88">
        <v>0</v>
      </c>
      <c r="P33" s="88">
        <f t="shared" si="6"/>
        <v>0</v>
      </c>
      <c r="Q33" s="88">
        <v>0</v>
      </c>
      <c r="R33" s="88">
        <v>0</v>
      </c>
      <c r="S33" s="88">
        <v>0</v>
      </c>
      <c r="T33" s="88">
        <f t="shared" si="7"/>
        <v>0</v>
      </c>
    </row>
    <row r="34" spans="1:20" x14ac:dyDescent="0.35">
      <c r="A34" s="2">
        <v>28</v>
      </c>
      <c r="B34" s="3" t="s">
        <v>21</v>
      </c>
      <c r="C34" s="4" t="s">
        <v>4</v>
      </c>
      <c r="D34" s="24">
        <f t="shared" si="3"/>
        <v>0</v>
      </c>
      <c r="E34" s="88">
        <v>0</v>
      </c>
      <c r="F34" s="88">
        <v>0</v>
      </c>
      <c r="G34" s="88">
        <v>0</v>
      </c>
      <c r="H34" s="88">
        <f t="shared" si="4"/>
        <v>0</v>
      </c>
      <c r="I34" s="88">
        <v>0</v>
      </c>
      <c r="J34" s="88">
        <v>0</v>
      </c>
      <c r="K34" s="88">
        <v>0</v>
      </c>
      <c r="L34" s="88">
        <f t="shared" si="5"/>
        <v>0</v>
      </c>
      <c r="M34" s="88">
        <v>0</v>
      </c>
      <c r="N34" s="88">
        <v>0</v>
      </c>
      <c r="O34" s="88">
        <v>0</v>
      </c>
      <c r="P34" s="88">
        <f t="shared" si="6"/>
        <v>0</v>
      </c>
      <c r="Q34" s="88">
        <v>0</v>
      </c>
      <c r="R34" s="88">
        <v>0</v>
      </c>
      <c r="S34" s="88">
        <v>0</v>
      </c>
      <c r="T34" s="88">
        <f t="shared" si="7"/>
        <v>0</v>
      </c>
    </row>
    <row r="35" spans="1:20" x14ac:dyDescent="0.35">
      <c r="A35" s="2">
        <v>29</v>
      </c>
      <c r="B35" s="3" t="s">
        <v>22</v>
      </c>
      <c r="C35" s="4" t="s">
        <v>4</v>
      </c>
      <c r="D35" s="24">
        <f t="shared" si="3"/>
        <v>0</v>
      </c>
      <c r="E35" s="88">
        <v>0</v>
      </c>
      <c r="F35" s="88">
        <v>0</v>
      </c>
      <c r="G35" s="88">
        <v>0</v>
      </c>
      <c r="H35" s="88">
        <f t="shared" si="4"/>
        <v>0</v>
      </c>
      <c r="I35" s="88">
        <v>0</v>
      </c>
      <c r="J35" s="88">
        <v>0</v>
      </c>
      <c r="K35" s="88">
        <v>0</v>
      </c>
      <c r="L35" s="88">
        <f t="shared" si="5"/>
        <v>0</v>
      </c>
      <c r="M35" s="88">
        <v>0</v>
      </c>
      <c r="N35" s="88">
        <v>0</v>
      </c>
      <c r="O35" s="88">
        <v>0</v>
      </c>
      <c r="P35" s="88">
        <f t="shared" si="6"/>
        <v>0</v>
      </c>
      <c r="Q35" s="88">
        <v>0</v>
      </c>
      <c r="R35" s="88">
        <v>0</v>
      </c>
      <c r="S35" s="88">
        <v>0</v>
      </c>
      <c r="T35" s="88">
        <f t="shared" si="7"/>
        <v>0</v>
      </c>
    </row>
    <row r="36" spans="1:20" x14ac:dyDescent="0.35">
      <c r="A36" s="2">
        <v>30</v>
      </c>
      <c r="B36" s="3" t="s">
        <v>46</v>
      </c>
      <c r="C36" s="4" t="s">
        <v>4</v>
      </c>
      <c r="D36" s="24">
        <f t="shared" si="3"/>
        <v>0</v>
      </c>
      <c r="E36" s="88">
        <v>0</v>
      </c>
      <c r="F36" s="88">
        <v>0</v>
      </c>
      <c r="G36" s="88">
        <v>0</v>
      </c>
      <c r="H36" s="88">
        <f t="shared" si="4"/>
        <v>0</v>
      </c>
      <c r="I36" s="88">
        <v>0</v>
      </c>
      <c r="J36" s="88">
        <v>0</v>
      </c>
      <c r="K36" s="88">
        <v>0</v>
      </c>
      <c r="L36" s="88">
        <f t="shared" si="5"/>
        <v>0</v>
      </c>
      <c r="M36" s="88">
        <v>0</v>
      </c>
      <c r="N36" s="88">
        <v>0</v>
      </c>
      <c r="O36" s="88">
        <v>0</v>
      </c>
      <c r="P36" s="88">
        <f t="shared" si="6"/>
        <v>0</v>
      </c>
      <c r="Q36" s="88">
        <v>0</v>
      </c>
      <c r="R36" s="88">
        <v>0</v>
      </c>
      <c r="S36" s="88">
        <v>0</v>
      </c>
      <c r="T36" s="88">
        <f t="shared" si="7"/>
        <v>0</v>
      </c>
    </row>
    <row r="37" spans="1:20" x14ac:dyDescent="0.35">
      <c r="A37" s="2">
        <v>31</v>
      </c>
      <c r="B37" s="3" t="s">
        <v>47</v>
      </c>
      <c r="C37" s="4" t="s">
        <v>4</v>
      </c>
      <c r="D37" s="24">
        <f t="shared" si="3"/>
        <v>0</v>
      </c>
      <c r="E37" s="88">
        <v>0</v>
      </c>
      <c r="F37" s="88">
        <v>0</v>
      </c>
      <c r="G37" s="88">
        <v>0</v>
      </c>
      <c r="H37" s="88">
        <f t="shared" si="4"/>
        <v>0</v>
      </c>
      <c r="I37" s="88">
        <v>0</v>
      </c>
      <c r="J37" s="88">
        <v>0</v>
      </c>
      <c r="K37" s="88">
        <v>0</v>
      </c>
      <c r="L37" s="88">
        <f t="shared" si="5"/>
        <v>0</v>
      </c>
      <c r="M37" s="88">
        <v>0</v>
      </c>
      <c r="N37" s="88">
        <v>0</v>
      </c>
      <c r="O37" s="88">
        <v>0</v>
      </c>
      <c r="P37" s="88">
        <f t="shared" si="6"/>
        <v>0</v>
      </c>
      <c r="Q37" s="88">
        <v>0</v>
      </c>
      <c r="R37" s="88">
        <v>0</v>
      </c>
      <c r="S37" s="88">
        <v>0</v>
      </c>
      <c r="T37" s="88">
        <f t="shared" si="7"/>
        <v>0</v>
      </c>
    </row>
    <row r="38" spans="1:20" x14ac:dyDescent="0.35">
      <c r="A38" s="2">
        <v>32</v>
      </c>
      <c r="B38" s="3" t="s">
        <v>48</v>
      </c>
      <c r="C38" s="4" t="s">
        <v>4</v>
      </c>
      <c r="D38" s="24">
        <f t="shared" si="3"/>
        <v>0</v>
      </c>
      <c r="E38" s="88">
        <v>0</v>
      </c>
      <c r="F38" s="88">
        <v>0</v>
      </c>
      <c r="G38" s="88">
        <v>0</v>
      </c>
      <c r="H38" s="88">
        <f t="shared" si="4"/>
        <v>0</v>
      </c>
      <c r="I38" s="88">
        <v>0</v>
      </c>
      <c r="J38" s="88">
        <v>0</v>
      </c>
      <c r="K38" s="88">
        <v>0</v>
      </c>
      <c r="L38" s="88">
        <f t="shared" si="5"/>
        <v>0</v>
      </c>
      <c r="M38" s="88">
        <v>0</v>
      </c>
      <c r="N38" s="88">
        <v>0</v>
      </c>
      <c r="O38" s="88">
        <v>0</v>
      </c>
      <c r="P38" s="88">
        <f t="shared" si="6"/>
        <v>0</v>
      </c>
      <c r="Q38" s="88">
        <v>0</v>
      </c>
      <c r="R38" s="88">
        <v>0</v>
      </c>
      <c r="S38" s="88">
        <v>0</v>
      </c>
      <c r="T38" s="88">
        <f t="shared" si="7"/>
        <v>0</v>
      </c>
    </row>
    <row r="39" spans="1:20" x14ac:dyDescent="0.35">
      <c r="A39" s="2">
        <v>33</v>
      </c>
      <c r="B39" s="3" t="s">
        <v>23</v>
      </c>
      <c r="C39" s="4" t="s">
        <v>4</v>
      </c>
      <c r="D39" s="24">
        <f t="shared" si="3"/>
        <v>0</v>
      </c>
      <c r="E39" s="88">
        <v>0</v>
      </c>
      <c r="F39" s="88">
        <v>0</v>
      </c>
      <c r="G39" s="88">
        <v>0</v>
      </c>
      <c r="H39" s="88">
        <f t="shared" si="4"/>
        <v>0</v>
      </c>
      <c r="I39" s="88">
        <v>0</v>
      </c>
      <c r="J39" s="88">
        <v>0</v>
      </c>
      <c r="K39" s="88">
        <v>0</v>
      </c>
      <c r="L39" s="88">
        <f t="shared" si="5"/>
        <v>0</v>
      </c>
      <c r="M39" s="88">
        <v>0</v>
      </c>
      <c r="N39" s="88">
        <v>0</v>
      </c>
      <c r="O39" s="88">
        <v>0</v>
      </c>
      <c r="P39" s="88">
        <f t="shared" si="6"/>
        <v>0</v>
      </c>
      <c r="Q39" s="88">
        <v>0</v>
      </c>
      <c r="R39" s="88">
        <v>0</v>
      </c>
      <c r="S39" s="88">
        <v>0</v>
      </c>
      <c r="T39" s="88">
        <f t="shared" si="7"/>
        <v>0</v>
      </c>
    </row>
    <row r="40" spans="1:20" x14ac:dyDescent="0.35">
      <c r="A40" s="2">
        <v>34</v>
      </c>
      <c r="B40" s="3" t="s">
        <v>24</v>
      </c>
      <c r="C40" s="4" t="s">
        <v>4</v>
      </c>
      <c r="D40" s="24">
        <f t="shared" si="3"/>
        <v>0</v>
      </c>
      <c r="E40" s="88">
        <v>0</v>
      </c>
      <c r="F40" s="88">
        <v>0</v>
      </c>
      <c r="G40" s="88">
        <v>0</v>
      </c>
      <c r="H40" s="88">
        <f t="shared" si="4"/>
        <v>0</v>
      </c>
      <c r="I40" s="88">
        <v>0</v>
      </c>
      <c r="J40" s="88">
        <v>0</v>
      </c>
      <c r="K40" s="88">
        <v>0</v>
      </c>
      <c r="L40" s="88">
        <f t="shared" si="5"/>
        <v>0</v>
      </c>
      <c r="M40" s="88">
        <v>0</v>
      </c>
      <c r="N40" s="88">
        <v>0</v>
      </c>
      <c r="O40" s="88">
        <v>0</v>
      </c>
      <c r="P40" s="88">
        <f t="shared" si="6"/>
        <v>0</v>
      </c>
      <c r="Q40" s="88">
        <v>0</v>
      </c>
      <c r="R40" s="88">
        <v>0</v>
      </c>
      <c r="S40" s="88">
        <v>0</v>
      </c>
      <c r="T40" s="88">
        <f t="shared" si="7"/>
        <v>0</v>
      </c>
    </row>
    <row r="41" spans="1:20" x14ac:dyDescent="0.35">
      <c r="A41" s="2">
        <v>35</v>
      </c>
      <c r="B41" s="3" t="s">
        <v>49</v>
      </c>
      <c r="C41" s="4" t="s">
        <v>4</v>
      </c>
      <c r="D41" s="24">
        <f t="shared" si="3"/>
        <v>0</v>
      </c>
      <c r="E41" s="88">
        <v>0</v>
      </c>
      <c r="F41" s="88">
        <v>0</v>
      </c>
      <c r="G41" s="88">
        <v>0</v>
      </c>
      <c r="H41" s="88">
        <f t="shared" si="4"/>
        <v>0</v>
      </c>
      <c r="I41" s="88">
        <v>0</v>
      </c>
      <c r="J41" s="88">
        <v>0</v>
      </c>
      <c r="K41" s="88">
        <v>0</v>
      </c>
      <c r="L41" s="88">
        <f t="shared" si="5"/>
        <v>0</v>
      </c>
      <c r="M41" s="88">
        <v>0</v>
      </c>
      <c r="N41" s="88">
        <v>0</v>
      </c>
      <c r="O41" s="88">
        <v>0</v>
      </c>
      <c r="P41" s="88">
        <f t="shared" si="6"/>
        <v>0</v>
      </c>
      <c r="Q41" s="88">
        <v>0</v>
      </c>
      <c r="R41" s="88">
        <v>0</v>
      </c>
      <c r="S41" s="88">
        <v>0</v>
      </c>
      <c r="T41" s="88">
        <f t="shared" si="7"/>
        <v>0</v>
      </c>
    </row>
    <row r="42" spans="1:20" x14ac:dyDescent="0.35">
      <c r="A42" s="2">
        <v>36</v>
      </c>
      <c r="B42" s="3" t="s">
        <v>50</v>
      </c>
      <c r="C42" s="4" t="s">
        <v>4</v>
      </c>
      <c r="D42" s="24">
        <f t="shared" si="3"/>
        <v>0</v>
      </c>
      <c r="E42" s="88">
        <v>0</v>
      </c>
      <c r="F42" s="88">
        <v>0</v>
      </c>
      <c r="G42" s="88">
        <v>0</v>
      </c>
      <c r="H42" s="88">
        <f t="shared" si="4"/>
        <v>0</v>
      </c>
      <c r="I42" s="88">
        <v>0</v>
      </c>
      <c r="J42" s="88">
        <v>0</v>
      </c>
      <c r="K42" s="88">
        <v>0</v>
      </c>
      <c r="L42" s="88">
        <f t="shared" si="5"/>
        <v>0</v>
      </c>
      <c r="M42" s="88">
        <v>0</v>
      </c>
      <c r="N42" s="88">
        <v>0</v>
      </c>
      <c r="O42" s="88">
        <v>0</v>
      </c>
      <c r="P42" s="88">
        <f t="shared" si="6"/>
        <v>0</v>
      </c>
      <c r="Q42" s="88">
        <v>0</v>
      </c>
      <c r="R42" s="88">
        <v>0</v>
      </c>
      <c r="S42" s="88">
        <v>0</v>
      </c>
      <c r="T42" s="88">
        <f t="shared" si="7"/>
        <v>0</v>
      </c>
    </row>
    <row r="43" spans="1:20" x14ac:dyDescent="0.35">
      <c r="A43" s="2">
        <v>37</v>
      </c>
      <c r="B43" s="3" t="s">
        <v>25</v>
      </c>
      <c r="C43" s="4" t="s">
        <v>4</v>
      </c>
      <c r="D43" s="24">
        <f t="shared" si="3"/>
        <v>0</v>
      </c>
      <c r="E43" s="88">
        <v>0</v>
      </c>
      <c r="F43" s="88">
        <v>0</v>
      </c>
      <c r="G43" s="88">
        <v>0</v>
      </c>
      <c r="H43" s="88">
        <f t="shared" si="4"/>
        <v>0</v>
      </c>
      <c r="I43" s="88">
        <v>0</v>
      </c>
      <c r="J43" s="88">
        <v>0</v>
      </c>
      <c r="K43" s="88">
        <v>0</v>
      </c>
      <c r="L43" s="88">
        <f t="shared" si="5"/>
        <v>0</v>
      </c>
      <c r="M43" s="88">
        <v>0</v>
      </c>
      <c r="N43" s="88">
        <v>0</v>
      </c>
      <c r="O43" s="88">
        <v>0</v>
      </c>
      <c r="P43" s="88">
        <f t="shared" si="6"/>
        <v>0</v>
      </c>
      <c r="Q43" s="88">
        <v>0</v>
      </c>
      <c r="R43" s="88">
        <v>0</v>
      </c>
      <c r="S43" s="88">
        <v>0</v>
      </c>
      <c r="T43" s="88">
        <f t="shared" si="7"/>
        <v>0</v>
      </c>
    </row>
    <row r="44" spans="1:20" x14ac:dyDescent="0.35">
      <c r="A44" s="2">
        <v>38</v>
      </c>
      <c r="B44" s="3" t="s">
        <v>51</v>
      </c>
      <c r="C44" s="4" t="s">
        <v>4</v>
      </c>
      <c r="D44" s="24">
        <f t="shared" si="3"/>
        <v>0</v>
      </c>
      <c r="E44" s="35">
        <v>0</v>
      </c>
      <c r="F44" s="35">
        <v>0</v>
      </c>
      <c r="G44" s="22">
        <v>0</v>
      </c>
      <c r="H44" s="22">
        <f t="shared" si="4"/>
        <v>0</v>
      </c>
      <c r="I44" s="22">
        <v>0</v>
      </c>
      <c r="J44" s="35">
        <v>0</v>
      </c>
      <c r="K44" s="22">
        <v>0</v>
      </c>
      <c r="L44" s="22">
        <f t="shared" si="5"/>
        <v>0</v>
      </c>
      <c r="M44" s="22">
        <v>0</v>
      </c>
      <c r="N44" s="22">
        <v>0</v>
      </c>
      <c r="O44" s="22">
        <v>0</v>
      </c>
      <c r="P44" s="22">
        <f t="shared" si="6"/>
        <v>0</v>
      </c>
      <c r="Q44" s="22">
        <v>0</v>
      </c>
      <c r="R44" s="22">
        <v>0</v>
      </c>
      <c r="S44" s="22">
        <v>0</v>
      </c>
      <c r="T44" s="22">
        <f t="shared" si="7"/>
        <v>0</v>
      </c>
    </row>
  </sheetData>
  <mergeCells count="4">
    <mergeCell ref="H4:H5"/>
    <mergeCell ref="L4:L5"/>
    <mergeCell ref="P4:P5"/>
    <mergeCell ref="T4:T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2BFE-6186-4530-B1DE-918619D3A77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B3FA-246E-4FAF-A122-BF1C9249C4B9}">
  <sheetPr codeName="Sheet3"/>
  <dimension ref="A1:U168"/>
  <sheetViews>
    <sheetView zoomScale="51" workbookViewId="0">
      <selection activeCell="I11" sqref="I11"/>
    </sheetView>
  </sheetViews>
  <sheetFormatPr defaultColWidth="8.81640625" defaultRowHeight="14.5" x14ac:dyDescent="0.35"/>
  <cols>
    <col min="1" max="1" width="6" customWidth="1"/>
    <col min="2" max="2" width="21" customWidth="1"/>
    <col min="3" max="3" width="10.453125" customWidth="1"/>
    <col min="4" max="4" width="17" customWidth="1"/>
    <col min="5" max="5" width="15.90625" customWidth="1"/>
    <col min="6" max="6" width="19.36328125" customWidth="1"/>
    <col min="7" max="7" width="15.81640625" customWidth="1"/>
    <col min="8" max="8" width="15.6328125" customWidth="1"/>
    <col min="9" max="9" width="16.7265625" customWidth="1"/>
    <col min="10" max="10" width="12.26953125" customWidth="1"/>
    <col min="11" max="11" width="14.81640625" customWidth="1"/>
    <col min="12" max="12" width="15" customWidth="1"/>
    <col min="13" max="13" width="15.453125" customWidth="1"/>
    <col min="14" max="14" width="18.26953125" customWidth="1"/>
    <col min="15" max="15" width="18.453125" customWidth="1"/>
    <col min="16" max="16" width="13.453125" customWidth="1"/>
    <col min="17" max="17" width="18" customWidth="1"/>
    <col min="18" max="18" width="12.7265625" bestFit="1" customWidth="1"/>
    <col min="19" max="19" width="14.453125" customWidth="1"/>
    <col min="20" max="20" width="14.7265625" bestFit="1" customWidth="1"/>
    <col min="21" max="21" width="13.1796875" customWidth="1"/>
  </cols>
  <sheetData>
    <row r="1" spans="1:21" x14ac:dyDescent="0.35">
      <c r="B1" s="1" t="s">
        <v>95</v>
      </c>
    </row>
    <row r="3" spans="1:21" x14ac:dyDescent="0.35">
      <c r="A3" s="105" t="s">
        <v>100</v>
      </c>
      <c r="B3" s="105" t="s">
        <v>96</v>
      </c>
      <c r="C3" s="99" t="s">
        <v>65</v>
      </c>
      <c r="D3" s="99" t="s">
        <v>26</v>
      </c>
      <c r="E3" s="95" t="s">
        <v>112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7"/>
    </row>
    <row r="4" spans="1:21" x14ac:dyDescent="0.35">
      <c r="A4" s="106"/>
      <c r="B4" s="106"/>
      <c r="C4" s="99"/>
      <c r="D4" s="99"/>
      <c r="E4" s="11" t="s">
        <v>113</v>
      </c>
      <c r="F4" s="11" t="s">
        <v>114</v>
      </c>
      <c r="G4" s="11" t="s">
        <v>115</v>
      </c>
      <c r="H4" s="15" t="s">
        <v>27</v>
      </c>
      <c r="I4" s="11" t="s">
        <v>55</v>
      </c>
      <c r="J4" s="11" t="s">
        <v>116</v>
      </c>
      <c r="K4" s="11" t="s">
        <v>117</v>
      </c>
      <c r="L4" s="15" t="s">
        <v>54</v>
      </c>
      <c r="M4" s="11" t="s">
        <v>118</v>
      </c>
      <c r="N4" s="11" t="s">
        <v>119</v>
      </c>
      <c r="O4" s="11" t="s">
        <v>56</v>
      </c>
      <c r="P4" s="15" t="s">
        <v>57</v>
      </c>
      <c r="Q4" s="11" t="s">
        <v>120</v>
      </c>
      <c r="R4" s="11" t="s">
        <v>58</v>
      </c>
      <c r="S4" s="11" t="s">
        <v>121</v>
      </c>
      <c r="T4" s="15" t="s">
        <v>59</v>
      </c>
    </row>
    <row r="5" spans="1:21" x14ac:dyDescent="0.35">
      <c r="A5" s="107"/>
      <c r="B5" s="20" t="s">
        <v>97</v>
      </c>
      <c r="C5" s="21" t="s">
        <v>66</v>
      </c>
      <c r="D5" s="41">
        <f>SUM(D6,D10)</f>
        <v>2049676.8991170779</v>
      </c>
      <c r="E5" s="41">
        <f t="shared" ref="E5:F5" si="0">SUM(E6,E10)</f>
        <v>144422.10544623126</v>
      </c>
      <c r="F5" s="41">
        <f t="shared" si="0"/>
        <v>147072.4241904958</v>
      </c>
      <c r="G5" s="41">
        <f>SUM(G6,G10)</f>
        <v>162242.3970504959</v>
      </c>
      <c r="H5" s="41">
        <f t="shared" ref="H5:K5" si="1">SUM(H6,H10)</f>
        <v>453736.92668722291</v>
      </c>
      <c r="I5" s="41">
        <f t="shared" si="1"/>
        <v>164867.0941004706</v>
      </c>
      <c r="J5" s="41">
        <f t="shared" si="1"/>
        <v>173730.9786282643</v>
      </c>
      <c r="K5" s="41">
        <f t="shared" si="1"/>
        <v>163011.2648474967</v>
      </c>
      <c r="L5" s="41">
        <f t="shared" ref="L5" si="2">SUM(L6,L10)</f>
        <v>501609.33757623157</v>
      </c>
      <c r="M5" s="41">
        <f t="shared" ref="M5" si="3">SUM(M6,M10)</f>
        <v>186579.3904528179</v>
      </c>
      <c r="N5" s="41">
        <f t="shared" ref="N5:O5" si="4">SUM(N6,N10)</f>
        <v>182796.15648561125</v>
      </c>
      <c r="O5" s="41">
        <f t="shared" si="4"/>
        <v>197217.63543138455</v>
      </c>
      <c r="P5" s="41">
        <f t="shared" ref="P5" si="5">SUM(P6,P10)</f>
        <v>566593.18236981379</v>
      </c>
      <c r="Q5" s="41">
        <f t="shared" ref="Q5" si="6">SUM(Q6,Q10)</f>
        <v>176205.67881799745</v>
      </c>
      <c r="R5" s="41">
        <f t="shared" ref="R5:S5" si="7">SUM(R6,R10)</f>
        <v>173498.16756010836</v>
      </c>
      <c r="S5" s="41">
        <f t="shared" si="7"/>
        <v>178033.60610570374</v>
      </c>
      <c r="T5" s="41">
        <f t="shared" ref="T5" si="8">SUM(T6,T10)</f>
        <v>527737.45248380955</v>
      </c>
    </row>
    <row r="6" spans="1:21" x14ac:dyDescent="0.35">
      <c r="A6" s="7">
        <v>1</v>
      </c>
      <c r="B6" s="76" t="s">
        <v>98</v>
      </c>
      <c r="C6" s="17" t="s">
        <v>66</v>
      </c>
      <c r="D6" s="42">
        <f t="shared" ref="D6:D17" si="9">SUM(H6,L6,P6,T6)</f>
        <v>607343.9058999999</v>
      </c>
      <c r="E6" s="43">
        <f>SUM(E7:E9)</f>
        <v>44320.111000000004</v>
      </c>
      <c r="F6" s="43">
        <f t="shared" ref="F6:G6" si="10">SUM(F7:F9)</f>
        <v>37536.034</v>
      </c>
      <c r="G6" s="43">
        <f t="shared" si="10"/>
        <v>41768.325000000004</v>
      </c>
      <c r="H6" s="43">
        <f>SUM(E6:G6)</f>
        <v>123624.47</v>
      </c>
      <c r="I6" s="43">
        <f>SUM(I7:I9)</f>
        <v>47007.972999999998</v>
      </c>
      <c r="J6" s="43">
        <f t="shared" ref="J6:K6" si="11">SUM(J7:J9)</f>
        <v>52953.86299999999</v>
      </c>
      <c r="K6" s="43">
        <f t="shared" si="11"/>
        <v>50700.555999999997</v>
      </c>
      <c r="L6" s="43">
        <f>SUM(I6:K6)</f>
        <v>150662.39199999999</v>
      </c>
      <c r="M6" s="43">
        <f>SUM(M7:M9)</f>
        <v>61473.012999999999</v>
      </c>
      <c r="N6" s="43">
        <f t="shared" ref="N6:O6" si="12">SUM(N7:N9)</f>
        <v>57456.030000000006</v>
      </c>
      <c r="O6" s="43">
        <f t="shared" si="12"/>
        <v>63027.588000000003</v>
      </c>
      <c r="P6" s="43">
        <f>SUM(M6:O6)</f>
        <v>181956.63099999999</v>
      </c>
      <c r="Q6" s="43">
        <f>SUM(Q7:Q9)</f>
        <v>56439.268999999993</v>
      </c>
      <c r="R6" s="43">
        <f t="shared" ref="R6:S6" si="13">SUM(R7:R9)</f>
        <v>50806.881999999998</v>
      </c>
      <c r="S6" s="43">
        <f t="shared" si="13"/>
        <v>43854.261899999998</v>
      </c>
      <c r="T6" s="43">
        <f>SUM(Q6:S6)</f>
        <v>151100.4129</v>
      </c>
    </row>
    <row r="7" spans="1:21" x14ac:dyDescent="0.35">
      <c r="A7" s="19" t="s">
        <v>101</v>
      </c>
      <c r="B7" s="16" t="s">
        <v>69</v>
      </c>
      <c r="C7" s="4" t="s">
        <v>4</v>
      </c>
      <c r="D7" s="42">
        <f t="shared" si="9"/>
        <v>391334.20799999998</v>
      </c>
      <c r="E7" s="22">
        <f>TANGKAP!E6</f>
        <v>29152.745999999999</v>
      </c>
      <c r="F7" s="22">
        <f>TANGKAP!F6</f>
        <v>26940.293000000001</v>
      </c>
      <c r="G7" s="22">
        <f>TANGKAP!G6</f>
        <v>26650.341</v>
      </c>
      <c r="H7" s="43">
        <f>SUM(E7:G7)</f>
        <v>82743.38</v>
      </c>
      <c r="I7" s="22">
        <f>TANGKAP!I6</f>
        <v>32706.071999999996</v>
      </c>
      <c r="J7" s="22">
        <f>TANGKAP!J6</f>
        <v>35177.114999999998</v>
      </c>
      <c r="K7" s="22">
        <f>TANGKAP!K6</f>
        <v>34135.074999999997</v>
      </c>
      <c r="L7" s="43">
        <f t="shared" ref="L7:L9" si="14">SUM(I7:K7)</f>
        <v>102018.26199999999</v>
      </c>
      <c r="M7" s="22">
        <f>TANGKAP!M6</f>
        <v>36065.858999999997</v>
      </c>
      <c r="N7" s="22">
        <f>TANGKAP!N6</f>
        <v>36701.989000000001</v>
      </c>
      <c r="O7" s="22">
        <f>TANGKAP!O6</f>
        <v>40121.112000000008</v>
      </c>
      <c r="P7" s="43">
        <f t="shared" ref="P7:P9" si="15">SUM(M7:O7)</f>
        <v>112888.96000000001</v>
      </c>
      <c r="Q7" s="22">
        <f>TANGKAP!Q6</f>
        <v>35223.212999999996</v>
      </c>
      <c r="R7" s="22">
        <f>TANGKAP!R6</f>
        <v>31009.543999999998</v>
      </c>
      <c r="S7" s="22">
        <f>TANGKAP!S6</f>
        <v>27450.848999999998</v>
      </c>
      <c r="T7" s="43">
        <f t="shared" ref="T7:T9" si="16">SUM(Q7:S7)</f>
        <v>93683.606</v>
      </c>
    </row>
    <row r="8" spans="1:21" x14ac:dyDescent="0.35">
      <c r="A8" s="19" t="s">
        <v>101</v>
      </c>
      <c r="B8" s="16" t="s">
        <v>70</v>
      </c>
      <c r="C8" s="4" t="s">
        <v>4</v>
      </c>
      <c r="D8" s="42">
        <f t="shared" si="9"/>
        <v>202034.42689999999</v>
      </c>
      <c r="E8" s="22">
        <f>TANGKAP!E7</f>
        <v>14042.054</v>
      </c>
      <c r="F8" s="22">
        <f>TANGKAP!F7</f>
        <v>9371.009</v>
      </c>
      <c r="G8" s="22">
        <f>TANGKAP!G7</f>
        <v>13805.294000000004</v>
      </c>
      <c r="H8" s="43">
        <f t="shared" ref="H8:H9" si="17">SUM(E8:G8)</f>
        <v>37218.357000000004</v>
      </c>
      <c r="I8" s="22">
        <f>TANGKAP!I7</f>
        <v>13032.606000000003</v>
      </c>
      <c r="J8" s="22">
        <f>TANGKAP!J7</f>
        <v>16472.469999999998</v>
      </c>
      <c r="K8" s="22">
        <f>TANGKAP!K7</f>
        <v>15372.703000000001</v>
      </c>
      <c r="L8" s="43">
        <f t="shared" si="14"/>
        <v>44877.779000000002</v>
      </c>
      <c r="M8" s="22">
        <f>TANGKAP!M7</f>
        <v>24345.190000000002</v>
      </c>
      <c r="N8" s="22">
        <f>TANGKAP!N7</f>
        <v>19641.811000000002</v>
      </c>
      <c r="O8" s="22">
        <f>TANGKAP!O7</f>
        <v>21784.06</v>
      </c>
      <c r="P8" s="43">
        <f t="shared" si="15"/>
        <v>65771.061000000002</v>
      </c>
      <c r="Q8" s="22">
        <f>TANGKAP!Q7</f>
        <v>20107.095999999998</v>
      </c>
      <c r="R8" s="22">
        <f>TANGKAP!R7</f>
        <v>18712.018</v>
      </c>
      <c r="S8" s="22">
        <f>TANGKAP!S7</f>
        <v>15348.115900000001</v>
      </c>
      <c r="T8" s="43">
        <f t="shared" si="16"/>
        <v>54167.229900000006</v>
      </c>
    </row>
    <row r="9" spans="1:21" x14ac:dyDescent="0.35">
      <c r="A9" s="19" t="s">
        <v>101</v>
      </c>
      <c r="B9" s="16" t="s">
        <v>71</v>
      </c>
      <c r="C9" s="4" t="s">
        <v>4</v>
      </c>
      <c r="D9" s="42">
        <f t="shared" si="9"/>
        <v>13975.270999999999</v>
      </c>
      <c r="E9" s="22">
        <f>TANGKAP!E8</f>
        <v>1125.3110000000001</v>
      </c>
      <c r="F9" s="22">
        <f>TANGKAP!F8</f>
        <v>1224.732</v>
      </c>
      <c r="G9" s="22">
        <f>TANGKAP!G8</f>
        <v>1312.69</v>
      </c>
      <c r="H9" s="43">
        <f t="shared" si="17"/>
        <v>3662.7330000000002</v>
      </c>
      <c r="I9" s="22">
        <f>TANGKAP!I8</f>
        <v>1269.2949999999998</v>
      </c>
      <c r="J9" s="22">
        <f>TANGKAP!J8</f>
        <v>1304.278</v>
      </c>
      <c r="K9" s="22">
        <f>TANGKAP!K8</f>
        <v>1192.7779999999998</v>
      </c>
      <c r="L9" s="43">
        <f t="shared" si="14"/>
        <v>3766.3509999999997</v>
      </c>
      <c r="M9" s="22">
        <f>TANGKAP!M8</f>
        <v>1061.9639999999999</v>
      </c>
      <c r="N9" s="22">
        <f>TANGKAP!N8</f>
        <v>1112.2299999999998</v>
      </c>
      <c r="O9" s="22">
        <f>TANGKAP!O8</f>
        <v>1122.4160000000002</v>
      </c>
      <c r="P9" s="43">
        <f t="shared" si="15"/>
        <v>3296.6099999999997</v>
      </c>
      <c r="Q9" s="22">
        <f>TANGKAP!Q8</f>
        <v>1108.96</v>
      </c>
      <c r="R9" s="22">
        <f>TANGKAP!R8</f>
        <v>1085.3199999999997</v>
      </c>
      <c r="S9" s="22">
        <f>TANGKAP!S8</f>
        <v>1055.297</v>
      </c>
      <c r="T9" s="43">
        <f t="shared" si="16"/>
        <v>3249.5769999999998</v>
      </c>
    </row>
    <row r="10" spans="1:21" x14ac:dyDescent="0.35">
      <c r="A10" s="7">
        <v>2</v>
      </c>
      <c r="B10" s="75" t="s">
        <v>99</v>
      </c>
      <c r="C10" s="18" t="s">
        <v>4</v>
      </c>
      <c r="D10" s="87">
        <f t="shared" si="9"/>
        <v>1442332.993217078</v>
      </c>
      <c r="E10" s="87">
        <f>SUM(E11:E16)</f>
        <v>100101.99444623124</v>
      </c>
      <c r="F10" s="87">
        <f t="shared" ref="F10:G10" si="18">SUM(F11:F16)</f>
        <v>109536.39019049582</v>
      </c>
      <c r="G10" s="87">
        <f t="shared" si="18"/>
        <v>120474.07205049589</v>
      </c>
      <c r="H10" s="87">
        <f>SUM(E10:G10)</f>
        <v>330112.45668722293</v>
      </c>
      <c r="I10" s="87">
        <f>SUM(I11:I16)</f>
        <v>117859.12110047058</v>
      </c>
      <c r="J10" s="87">
        <f t="shared" ref="J10:K10" si="19">SUM(J11:J16)</f>
        <v>120777.11562826432</v>
      </c>
      <c r="K10" s="87">
        <f t="shared" si="19"/>
        <v>112310.70884749669</v>
      </c>
      <c r="L10" s="87">
        <f>SUM(I10:K10)</f>
        <v>350946.94557623158</v>
      </c>
      <c r="M10" s="87">
        <f>SUM(M11:M16)</f>
        <v>125106.37745281791</v>
      </c>
      <c r="N10" s="87">
        <f t="shared" ref="N10:O10" si="20">SUM(N11:N16)</f>
        <v>125340.12648561125</v>
      </c>
      <c r="O10" s="87">
        <f t="shared" si="20"/>
        <v>134190.04743138456</v>
      </c>
      <c r="P10" s="87">
        <f>SUM(M10:O10)</f>
        <v>384636.55136981374</v>
      </c>
      <c r="Q10" s="87">
        <f>SUM(Q11:Q16)</f>
        <v>119766.40981799745</v>
      </c>
      <c r="R10" s="87">
        <f t="shared" ref="R10:S10" si="21">SUM(R11:R16)</f>
        <v>122691.28556010836</v>
      </c>
      <c r="S10" s="87">
        <f t="shared" si="21"/>
        <v>134179.34420570373</v>
      </c>
      <c r="T10" s="87">
        <f>SUM(T11:T16)</f>
        <v>376637.03958380956</v>
      </c>
    </row>
    <row r="11" spans="1:21" x14ac:dyDescent="0.35">
      <c r="A11" s="19" t="s">
        <v>101</v>
      </c>
      <c r="B11" s="16" t="s">
        <v>40</v>
      </c>
      <c r="C11" s="4" t="s">
        <v>4</v>
      </c>
      <c r="D11" s="87">
        <f t="shared" si="9"/>
        <v>774415.15892607835</v>
      </c>
      <c r="E11" s="22">
        <f>BUDIDAYA!E61</f>
        <v>47094.474000000002</v>
      </c>
      <c r="F11" s="22">
        <f>BUDIDAYA!F61</f>
        <v>51144.2</v>
      </c>
      <c r="G11" s="22">
        <f>BUDIDAYA!G61</f>
        <v>58230.457000000002</v>
      </c>
      <c r="H11" s="87">
        <f>SUM(E11:G11)</f>
        <v>156469.13099999999</v>
      </c>
      <c r="I11" s="22">
        <f>BUDIDAYA!I6</f>
        <v>55914.418999999994</v>
      </c>
      <c r="J11" s="22">
        <f>BUDIDAYA!J6</f>
        <v>57079.483</v>
      </c>
      <c r="K11" s="22">
        <f>BUDIDAYA!K6</f>
        <v>56556.369690678563</v>
      </c>
      <c r="L11" s="44">
        <f t="shared" ref="L11:L17" si="22">SUM(I11:K11)</f>
        <v>169550.27169067855</v>
      </c>
      <c r="M11" s="22">
        <f>BUDIDAYA!M6</f>
        <v>74919.428</v>
      </c>
      <c r="N11" s="22">
        <f>BUDIDAYA!N6</f>
        <v>72360.697</v>
      </c>
      <c r="O11" s="22">
        <f>BUDIDAYA!O6</f>
        <v>80512.764000000025</v>
      </c>
      <c r="P11" s="44">
        <f>SUM(M11:O11)</f>
        <v>227792.88900000002</v>
      </c>
      <c r="Q11" s="22">
        <f>BUDIDAYA!Q6</f>
        <v>69955.921622135691</v>
      </c>
      <c r="R11" s="22">
        <f>BUDIDAYA!R6</f>
        <v>72316.751026384096</v>
      </c>
      <c r="S11" s="22">
        <f>BUDIDAYA!S6</f>
        <v>78330.194586879996</v>
      </c>
      <c r="T11" s="44">
        <f>SUM(Q11:S11)</f>
        <v>220602.86723539978</v>
      </c>
    </row>
    <row r="12" spans="1:21" x14ac:dyDescent="0.35">
      <c r="A12" s="19" t="s">
        <v>101</v>
      </c>
      <c r="B12" s="16" t="s">
        <v>41</v>
      </c>
      <c r="C12" s="4" t="s">
        <v>4</v>
      </c>
      <c r="D12" s="87">
        <f t="shared" si="9"/>
        <v>282359.63146421686</v>
      </c>
      <c r="E12" s="22">
        <f>BUDIDAYA!E7</f>
        <v>22313.374026231231</v>
      </c>
      <c r="F12" s="22">
        <f>BUDIDAYA!F7</f>
        <v>23749.563080495813</v>
      </c>
      <c r="G12" s="22">
        <f>BUDIDAYA!G7</f>
        <v>25210.44540049589</v>
      </c>
      <c r="H12" s="87">
        <f t="shared" ref="H12:H17" si="23">SUM(E12:G12)</f>
        <v>71273.382507222937</v>
      </c>
      <c r="I12" s="22">
        <f>BUDIDAYA!I7</f>
        <v>23327.004750470565</v>
      </c>
      <c r="J12" s="22">
        <f>BUDIDAYA!J7</f>
        <v>21858.863275754498</v>
      </c>
      <c r="K12" s="22">
        <f>BUDIDAYA!K7</f>
        <v>22177.339996724524</v>
      </c>
      <c r="L12" s="44">
        <f t="shared" si="22"/>
        <v>67363.208022949591</v>
      </c>
      <c r="M12" s="22">
        <f>BUDIDAYA!M7</f>
        <v>22574.998272451896</v>
      </c>
      <c r="N12" s="22">
        <f>BUDIDAYA!N7</f>
        <v>25552.928435611266</v>
      </c>
      <c r="O12" s="22">
        <f>BUDIDAYA!O7</f>
        <v>26363.971231384527</v>
      </c>
      <c r="P12" s="44">
        <f t="shared" ref="P12:P17" si="24">SUM(M12:O12)</f>
        <v>74491.897939447692</v>
      </c>
      <c r="Q12" s="22">
        <f>BUDIDAYA!Q7</f>
        <v>22767.893175032485</v>
      </c>
      <c r="R12" s="22">
        <f>BUDIDAYA!R7</f>
        <v>21933.068294061301</v>
      </c>
      <c r="S12" s="22">
        <f>BUDIDAYA!S7</f>
        <v>24530.181525502885</v>
      </c>
      <c r="T12" s="44">
        <f t="shared" ref="T12:T17" si="25">SUM(Q12:S12)</f>
        <v>69231.142994596681</v>
      </c>
    </row>
    <row r="13" spans="1:21" x14ac:dyDescent="0.35">
      <c r="A13" s="19" t="s">
        <v>101</v>
      </c>
      <c r="B13" s="16" t="s">
        <v>42</v>
      </c>
      <c r="C13" s="4" t="s">
        <v>4</v>
      </c>
      <c r="D13" s="87">
        <f t="shared" si="9"/>
        <v>356663.33396641648</v>
      </c>
      <c r="E13" s="22">
        <f>BUDIDAYA!E8</f>
        <v>27488.954429999998</v>
      </c>
      <c r="F13" s="22">
        <f>BUDIDAYA!F8</f>
        <v>31413.317580000003</v>
      </c>
      <c r="G13" s="22">
        <f>BUDIDAYA!G8</f>
        <v>34255.334839999989</v>
      </c>
      <c r="H13" s="87">
        <f t="shared" si="23"/>
        <v>93157.606849999982</v>
      </c>
      <c r="I13" s="22">
        <f>BUDIDAYA!I8</f>
        <v>35644.684940000006</v>
      </c>
      <c r="J13" s="22">
        <f>BUDIDAYA!J8</f>
        <v>38914.071302509801</v>
      </c>
      <c r="K13" s="22">
        <f>BUDIDAYA!K8</f>
        <v>31587.545890093606</v>
      </c>
      <c r="L13" s="44">
        <f t="shared" si="22"/>
        <v>106146.30213260342</v>
      </c>
      <c r="M13" s="22">
        <f>BUDIDAYA!M8</f>
        <v>26576.820169999999</v>
      </c>
      <c r="N13" s="22">
        <f>BUDIDAYA!N8</f>
        <v>26086.586330000006</v>
      </c>
      <c r="O13" s="22">
        <f>BUDIDAYA!O8</f>
        <v>25774.86969</v>
      </c>
      <c r="P13" s="44">
        <f t="shared" si="24"/>
        <v>78438.276190000004</v>
      </c>
      <c r="Q13" s="22">
        <f>BUDIDAYA!Q8</f>
        <v>25398.837180829276</v>
      </c>
      <c r="R13" s="22">
        <f>BUDIDAYA!R8</f>
        <v>26013.916399662954</v>
      </c>
      <c r="S13" s="22">
        <f>BUDIDAYA!S8</f>
        <v>27508.395213320848</v>
      </c>
      <c r="T13" s="44">
        <f t="shared" si="25"/>
        <v>78921.148793813074</v>
      </c>
    </row>
    <row r="14" spans="1:21" x14ac:dyDescent="0.35">
      <c r="A14" s="19" t="s">
        <v>101</v>
      </c>
      <c r="B14" s="16" t="s">
        <v>43</v>
      </c>
      <c r="C14" s="4" t="s">
        <v>4</v>
      </c>
      <c r="D14" s="87">
        <f t="shared" si="9"/>
        <v>16316.298000366001</v>
      </c>
      <c r="E14" s="22">
        <f>BUDIDAYA!E9</f>
        <v>1750.2</v>
      </c>
      <c r="F14" s="22">
        <f>BUDIDAYA!F9</f>
        <v>1899.32</v>
      </c>
      <c r="G14" s="22">
        <f>BUDIDAYA!G9</f>
        <v>1594.7430000000002</v>
      </c>
      <c r="H14" s="87">
        <f>SUM(E14:G14)</f>
        <v>5244.2629999999999</v>
      </c>
      <c r="I14" s="22">
        <f>BUDIDAYA!I9</f>
        <v>1851.2809999999999</v>
      </c>
      <c r="J14" s="22">
        <f>BUDIDAYA!J9</f>
        <v>1912.6679999999999</v>
      </c>
      <c r="K14" s="22">
        <f>BUDIDAYA!K9</f>
        <v>1128.26</v>
      </c>
      <c r="L14" s="44">
        <f t="shared" si="22"/>
        <v>4892.2089999999998</v>
      </c>
      <c r="M14" s="22">
        <f>BUDIDAYA!M9</f>
        <v>541.16300036600001</v>
      </c>
      <c r="N14" s="22">
        <f>BUDIDAYA!N9</f>
        <v>717.71600000000001</v>
      </c>
      <c r="O14" s="22">
        <f>BUDIDAYA!O9</f>
        <v>882.19200000000001</v>
      </c>
      <c r="P14" s="44">
        <f t="shared" si="24"/>
        <v>2141.0710003660001</v>
      </c>
      <c r="Q14" s="22">
        <f>BUDIDAYA!Q9</f>
        <v>907.89099999999996</v>
      </c>
      <c r="R14" s="22">
        <f>BUDIDAYA!R9</f>
        <v>1138.6870000000001</v>
      </c>
      <c r="S14" s="22">
        <f>BUDIDAYA!S9</f>
        <v>1992.1770000000001</v>
      </c>
      <c r="T14" s="44">
        <f t="shared" si="25"/>
        <v>4038.7550000000001</v>
      </c>
    </row>
    <row r="15" spans="1:21" x14ac:dyDescent="0.35">
      <c r="A15" s="19" t="s">
        <v>101</v>
      </c>
      <c r="B15" s="16" t="s">
        <v>44</v>
      </c>
      <c r="C15" s="4" t="s">
        <v>4</v>
      </c>
      <c r="D15" s="87">
        <f t="shared" si="9"/>
        <v>6969.165</v>
      </c>
      <c r="E15" s="22">
        <f>BUDIDAYA!E10</f>
        <v>731.76699999999994</v>
      </c>
      <c r="F15" s="22">
        <f>BUDIDAYA!F10</f>
        <v>663.73699999999997</v>
      </c>
      <c r="G15" s="22">
        <f>BUDIDAYA!G10</f>
        <v>556.78700000000003</v>
      </c>
      <c r="H15" s="87">
        <f t="shared" si="23"/>
        <v>1952.2909999999999</v>
      </c>
      <c r="I15" s="22">
        <f>BUDIDAYA!I10</f>
        <v>534.17900000000009</v>
      </c>
      <c r="J15" s="22">
        <f>BUDIDAYA!J10</f>
        <v>515.96500000000003</v>
      </c>
      <c r="K15" s="22">
        <f>BUDIDAYA!K10</f>
        <v>407.815</v>
      </c>
      <c r="L15" s="44">
        <f t="shared" si="22"/>
        <v>1457.9590000000003</v>
      </c>
      <c r="M15" s="22">
        <f>BUDIDAYA!M10</f>
        <v>296.267</v>
      </c>
      <c r="N15" s="22">
        <f>BUDIDAYA!N10</f>
        <v>422.733</v>
      </c>
      <c r="O15" s="22">
        <f>BUDIDAYA!O10</f>
        <v>430.553</v>
      </c>
      <c r="P15" s="44">
        <f t="shared" si="24"/>
        <v>1149.5529999999999</v>
      </c>
      <c r="Q15" s="22">
        <f>BUDIDAYA!Q10</f>
        <v>479.42099999999999</v>
      </c>
      <c r="R15" s="22">
        <f>BUDIDAYA!R10</f>
        <v>882.97799999999995</v>
      </c>
      <c r="S15" s="22">
        <f>BUDIDAYA!S10</f>
        <v>1046.963</v>
      </c>
      <c r="T15" s="44">
        <f t="shared" si="25"/>
        <v>2409.3620000000001</v>
      </c>
    </row>
    <row r="16" spans="1:21" x14ac:dyDescent="0.35">
      <c r="A16" s="19" t="s">
        <v>101</v>
      </c>
      <c r="B16" s="16" t="s">
        <v>45</v>
      </c>
      <c r="C16" s="4" t="s">
        <v>4</v>
      </c>
      <c r="D16" s="87">
        <f t="shared" si="9"/>
        <v>5609.4058599999989</v>
      </c>
      <c r="E16" s="22">
        <f>BUDIDAYA!E11</f>
        <v>723.22498999999993</v>
      </c>
      <c r="F16" s="22">
        <f>BUDIDAYA!F11</f>
        <v>666.25252999999998</v>
      </c>
      <c r="G16" s="22">
        <f>BUDIDAYA!G11</f>
        <v>626.30480999999986</v>
      </c>
      <c r="H16" s="87">
        <f t="shared" si="23"/>
        <v>2015.7823299999998</v>
      </c>
      <c r="I16" s="22">
        <f>BUDIDAYA!I11</f>
        <v>587.55241000000001</v>
      </c>
      <c r="J16" s="22">
        <f>BUDIDAYA!J11</f>
        <v>496.06504999999999</v>
      </c>
      <c r="K16" s="22">
        <f>BUDIDAYA!K11</f>
        <v>453.37827000000004</v>
      </c>
      <c r="L16" s="44">
        <f t="shared" si="22"/>
        <v>1536.9957300000001</v>
      </c>
      <c r="M16" s="22">
        <f>BUDIDAYA!M11</f>
        <v>197.70101000000003</v>
      </c>
      <c r="N16" s="22">
        <f>BUDIDAYA!N11</f>
        <v>199.46571999999998</v>
      </c>
      <c r="O16" s="22">
        <f>BUDIDAYA!O11</f>
        <v>225.69750999999999</v>
      </c>
      <c r="P16" s="44">
        <f t="shared" si="24"/>
        <v>622.86424</v>
      </c>
      <c r="Q16" s="22">
        <f>BUDIDAYA!Q11</f>
        <v>256.44584000000003</v>
      </c>
      <c r="R16" s="22">
        <f>BUDIDAYA!R11</f>
        <v>405.88483999999994</v>
      </c>
      <c r="S16" s="22">
        <f>BUDIDAYA!S11</f>
        <v>771.43287999999984</v>
      </c>
      <c r="T16" s="44">
        <f t="shared" si="25"/>
        <v>1433.7635599999999</v>
      </c>
    </row>
    <row r="17" spans="1:21" s="1" customFormat="1" x14ac:dyDescent="0.35">
      <c r="A17" s="16">
        <v>3</v>
      </c>
      <c r="B17" s="74" t="s">
        <v>109</v>
      </c>
      <c r="C17" s="63" t="s">
        <v>66</v>
      </c>
      <c r="D17" s="89">
        <f t="shared" si="9"/>
        <v>161.29999999999998</v>
      </c>
      <c r="E17" s="89">
        <f>GARAM!E6</f>
        <v>1</v>
      </c>
      <c r="F17" s="89">
        <f>GARAM!F6</f>
        <v>1.2</v>
      </c>
      <c r="G17" s="89">
        <f>GARAM!G6</f>
        <v>10.5</v>
      </c>
      <c r="H17" s="89">
        <f t="shared" si="23"/>
        <v>12.7</v>
      </c>
      <c r="I17" s="89">
        <f>GARAM!I6</f>
        <v>148.6</v>
      </c>
      <c r="J17" s="89">
        <f>GARAM!J6</f>
        <v>0</v>
      </c>
      <c r="K17" s="89">
        <f>GARAM!K6</f>
        <v>0</v>
      </c>
      <c r="L17" s="89">
        <f t="shared" si="22"/>
        <v>148.6</v>
      </c>
      <c r="M17" s="89">
        <f>GARAM!M6</f>
        <v>0</v>
      </c>
      <c r="N17" s="89">
        <f>GARAM!N6</f>
        <v>0</v>
      </c>
      <c r="O17" s="89">
        <f>GARAM!O6</f>
        <v>0</v>
      </c>
      <c r="P17" s="89">
        <f t="shared" si="24"/>
        <v>0</v>
      </c>
      <c r="Q17" s="89">
        <f>GARAM!Q6</f>
        <v>0</v>
      </c>
      <c r="R17" s="89">
        <f>GARAM!R6</f>
        <v>0</v>
      </c>
      <c r="S17" s="89">
        <f>GARAM!S6</f>
        <v>0</v>
      </c>
      <c r="T17" s="89">
        <f t="shared" si="25"/>
        <v>0</v>
      </c>
    </row>
    <row r="18" spans="1:21" x14ac:dyDescent="0.35">
      <c r="A18">
        <v>4</v>
      </c>
      <c r="B18" s="77" t="s">
        <v>122</v>
      </c>
      <c r="C18" s="73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</row>
    <row r="19" spans="1:21" x14ac:dyDescent="0.35">
      <c r="B19" s="72"/>
      <c r="C19" s="73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</row>
    <row r="20" spans="1:21" x14ac:dyDescent="0.35">
      <c r="D20" s="61"/>
    </row>
    <row r="21" spans="1:21" x14ac:dyDescent="0.35">
      <c r="A21" s="51" t="s">
        <v>102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1:21" x14ac:dyDescent="0.35">
      <c r="A22" s="109" t="s">
        <v>100</v>
      </c>
      <c r="B22" s="109" t="s">
        <v>96</v>
      </c>
      <c r="C22" s="98" t="s">
        <v>65</v>
      </c>
      <c r="D22" s="112" t="s">
        <v>129</v>
      </c>
      <c r="E22" s="108" t="s">
        <v>123</v>
      </c>
      <c r="F22" s="108"/>
      <c r="G22" s="108"/>
      <c r="H22" s="108"/>
      <c r="I22" s="109" t="s">
        <v>130</v>
      </c>
      <c r="J22" s="108" t="s">
        <v>112</v>
      </c>
      <c r="K22" s="108"/>
      <c r="L22" s="108"/>
      <c r="M22" s="108"/>
      <c r="N22" s="1"/>
      <c r="O22" s="1"/>
      <c r="P22" s="1"/>
      <c r="Q22" s="1"/>
      <c r="R22" s="1"/>
      <c r="S22" s="1"/>
      <c r="T22" s="1"/>
      <c r="U22" s="1"/>
    </row>
    <row r="23" spans="1:21" x14ac:dyDescent="0.35">
      <c r="A23" s="110"/>
      <c r="B23" s="110"/>
      <c r="C23" s="98"/>
      <c r="D23" s="98"/>
      <c r="E23" s="52" t="s">
        <v>27</v>
      </c>
      <c r="F23" s="52" t="s">
        <v>54</v>
      </c>
      <c r="G23" s="52" t="s">
        <v>57</v>
      </c>
      <c r="H23" s="52" t="s">
        <v>59</v>
      </c>
      <c r="I23" s="111"/>
      <c r="J23" s="52" t="s">
        <v>27</v>
      </c>
      <c r="K23" s="52" t="s">
        <v>54</v>
      </c>
      <c r="L23" s="52" t="s">
        <v>57</v>
      </c>
      <c r="M23" s="52" t="s">
        <v>59</v>
      </c>
    </row>
    <row r="24" spans="1:21" x14ac:dyDescent="0.35">
      <c r="A24" s="111"/>
      <c r="B24" s="53" t="s">
        <v>97</v>
      </c>
      <c r="C24" s="41" t="s">
        <v>66</v>
      </c>
      <c r="D24" s="41">
        <f>SUM(D25,D29)</f>
        <v>2049676.8991170775</v>
      </c>
      <c r="E24" s="41">
        <f t="shared" ref="E24:H24" si="26">SUM(E25,E29)</f>
        <v>453736.92668722291</v>
      </c>
      <c r="F24" s="41">
        <f t="shared" si="26"/>
        <v>501609.33757623151</v>
      </c>
      <c r="G24" s="41">
        <f t="shared" si="26"/>
        <v>566593.18236981379</v>
      </c>
      <c r="H24" s="41">
        <f t="shared" si="26"/>
        <v>527737.45248380955</v>
      </c>
      <c r="I24" s="41">
        <f>SUM(J24:M24)</f>
        <v>2049676.8991170777</v>
      </c>
      <c r="J24" s="41">
        <f t="shared" ref="J24:M24" si="27">SUM(J25,J29)</f>
        <v>453736.92668722291</v>
      </c>
      <c r="K24" s="41">
        <f t="shared" si="27"/>
        <v>501609.33757623157</v>
      </c>
      <c r="L24" s="41">
        <f t="shared" si="27"/>
        <v>566593.18236981379</v>
      </c>
      <c r="M24" s="41">
        <f t="shared" si="27"/>
        <v>527737.45248380955</v>
      </c>
    </row>
    <row r="25" spans="1:21" x14ac:dyDescent="0.35">
      <c r="A25" s="59">
        <v>1</v>
      </c>
      <c r="B25" s="54" t="s">
        <v>98</v>
      </c>
      <c r="C25" s="55" t="s">
        <v>66</v>
      </c>
      <c r="D25" s="42">
        <f>SUM(E25,F25,G25,H25)</f>
        <v>607343.9058999999</v>
      </c>
      <c r="E25" s="43">
        <f>SUM(E26:E28)</f>
        <v>123624.47</v>
      </c>
      <c r="F25" s="43">
        <f t="shared" ref="F25:H25" si="28">SUM(F26:F28)</f>
        <v>150662.39199999999</v>
      </c>
      <c r="G25" s="43">
        <f t="shared" si="28"/>
        <v>181956.63099999999</v>
      </c>
      <c r="H25" s="43">
        <f t="shared" si="28"/>
        <v>151100.4129</v>
      </c>
      <c r="I25" s="43">
        <f>SUM(J25:M25)</f>
        <v>607343.9058999999</v>
      </c>
      <c r="J25" s="43">
        <f>SUM(J26:J28)</f>
        <v>123624.47</v>
      </c>
      <c r="K25" s="43">
        <f t="shared" ref="K25:K36" si="29">L6</f>
        <v>150662.39199999999</v>
      </c>
      <c r="L25" s="43">
        <f t="shared" ref="L25:L36" si="30">P6</f>
        <v>181956.63099999999</v>
      </c>
      <c r="M25" s="43">
        <f t="shared" ref="M25:M36" si="31">T6</f>
        <v>151100.4129</v>
      </c>
    </row>
    <row r="26" spans="1:21" x14ac:dyDescent="0.35">
      <c r="A26" s="60" t="s">
        <v>101</v>
      </c>
      <c r="B26" s="56" t="s">
        <v>69</v>
      </c>
      <c r="C26" s="24" t="s">
        <v>4</v>
      </c>
      <c r="D26" s="42">
        <f>SUM(E26:H26)</f>
        <v>391334.20799999998</v>
      </c>
      <c r="E26" s="28">
        <f>H7</f>
        <v>82743.38</v>
      </c>
      <c r="F26" s="28">
        <f>L7</f>
        <v>102018.26199999999</v>
      </c>
      <c r="G26" s="28">
        <f>P7</f>
        <v>112888.96000000001</v>
      </c>
      <c r="H26" s="28">
        <f>T7</f>
        <v>93683.606</v>
      </c>
      <c r="I26" s="69">
        <f t="shared" ref="I26:I36" si="32">SUM(J26:M26)</f>
        <v>391334.20799999998</v>
      </c>
      <c r="J26" s="28">
        <f t="shared" ref="J26:J36" si="33">H7</f>
        <v>82743.38</v>
      </c>
      <c r="K26" s="69">
        <f t="shared" si="29"/>
        <v>102018.26199999999</v>
      </c>
      <c r="L26" s="69">
        <f t="shared" si="30"/>
        <v>112888.96000000001</v>
      </c>
      <c r="M26" s="69">
        <f t="shared" si="31"/>
        <v>93683.606</v>
      </c>
    </row>
    <row r="27" spans="1:21" x14ac:dyDescent="0.35">
      <c r="A27" s="60" t="s">
        <v>101</v>
      </c>
      <c r="B27" s="56" t="s">
        <v>70</v>
      </c>
      <c r="C27" s="24" t="s">
        <v>4</v>
      </c>
      <c r="D27" s="42">
        <f t="shared" ref="D27:D28" si="34">SUM(E27:H27)</f>
        <v>202034.42689999999</v>
      </c>
      <c r="E27" s="28">
        <f>H8</f>
        <v>37218.357000000004</v>
      </c>
      <c r="F27" s="28">
        <f>L8</f>
        <v>44877.779000000002</v>
      </c>
      <c r="G27" s="28">
        <f>P8</f>
        <v>65771.061000000002</v>
      </c>
      <c r="H27" s="28">
        <f>T8</f>
        <v>54167.229900000006</v>
      </c>
      <c r="I27" s="69">
        <f t="shared" si="32"/>
        <v>202034.42689999999</v>
      </c>
      <c r="J27" s="28">
        <f t="shared" si="33"/>
        <v>37218.357000000004</v>
      </c>
      <c r="K27" s="69">
        <f t="shared" si="29"/>
        <v>44877.779000000002</v>
      </c>
      <c r="L27" s="69">
        <f t="shared" si="30"/>
        <v>65771.061000000002</v>
      </c>
      <c r="M27" s="69">
        <f t="shared" si="31"/>
        <v>54167.229900000006</v>
      </c>
    </row>
    <row r="28" spans="1:21" x14ac:dyDescent="0.35">
      <c r="A28" s="60" t="s">
        <v>101</v>
      </c>
      <c r="B28" s="56" t="s">
        <v>71</v>
      </c>
      <c r="C28" s="24" t="s">
        <v>4</v>
      </c>
      <c r="D28" s="42">
        <f t="shared" si="34"/>
        <v>13975.270999999999</v>
      </c>
      <c r="E28" s="28">
        <f>H9</f>
        <v>3662.7330000000002</v>
      </c>
      <c r="F28" s="28">
        <f>L9</f>
        <v>3766.3509999999997</v>
      </c>
      <c r="G28" s="28">
        <f>P9</f>
        <v>3296.6099999999997</v>
      </c>
      <c r="H28" s="28">
        <f>T9</f>
        <v>3249.5769999999998</v>
      </c>
      <c r="I28" s="69">
        <f t="shared" si="32"/>
        <v>13975.270999999999</v>
      </c>
      <c r="J28" s="28">
        <f t="shared" si="33"/>
        <v>3662.7330000000002</v>
      </c>
      <c r="K28" s="69">
        <f t="shared" si="29"/>
        <v>3766.3509999999997</v>
      </c>
      <c r="L28" s="69">
        <f t="shared" si="30"/>
        <v>3296.6099999999997</v>
      </c>
      <c r="M28" s="69">
        <f t="shared" si="31"/>
        <v>3249.5769999999998</v>
      </c>
    </row>
    <row r="29" spans="1:21" x14ac:dyDescent="0.35">
      <c r="A29" s="59">
        <v>2</v>
      </c>
      <c r="B29" s="57" t="s">
        <v>99</v>
      </c>
      <c r="C29" s="58" t="s">
        <v>4</v>
      </c>
      <c r="D29" s="87">
        <f>SUM(E29,F29,G29,H29)</f>
        <v>1442332.9932170776</v>
      </c>
      <c r="E29" s="87">
        <f>SUM(E30:E35)</f>
        <v>330112.45668722293</v>
      </c>
      <c r="F29" s="87">
        <f t="shared" ref="F29:H29" si="35">SUM(F30:F35)</f>
        <v>350946.94557623152</v>
      </c>
      <c r="G29" s="87">
        <f t="shared" si="35"/>
        <v>384636.55136981379</v>
      </c>
      <c r="H29" s="87">
        <f t="shared" si="35"/>
        <v>376637.03958380956</v>
      </c>
      <c r="I29" s="57">
        <f t="shared" si="32"/>
        <v>1442332.993217078</v>
      </c>
      <c r="J29" s="57">
        <f t="shared" si="33"/>
        <v>330112.45668722293</v>
      </c>
      <c r="K29" s="57">
        <f t="shared" si="29"/>
        <v>350946.94557623158</v>
      </c>
      <c r="L29" s="57">
        <f t="shared" si="30"/>
        <v>384636.55136981374</v>
      </c>
      <c r="M29" s="57">
        <f t="shared" si="31"/>
        <v>376637.03958380956</v>
      </c>
    </row>
    <row r="30" spans="1:21" x14ac:dyDescent="0.35">
      <c r="A30" s="50" t="s">
        <v>101</v>
      </c>
      <c r="B30" s="56" t="s">
        <v>40</v>
      </c>
      <c r="C30" s="24" t="s">
        <v>4</v>
      </c>
      <c r="D30" s="87">
        <f t="shared" ref="D30:D35" si="36">SUM(E30,F30,G30,H30)</f>
        <v>774415.15892607835</v>
      </c>
      <c r="E30" s="22">
        <f t="shared" ref="E30:E35" si="37">H11</f>
        <v>156469.13099999999</v>
      </c>
      <c r="F30" s="22">
        <f t="shared" ref="F30:F35" si="38">L11</f>
        <v>169550.27169067855</v>
      </c>
      <c r="G30" s="22">
        <f t="shared" ref="G30:G35" si="39">SUM(P11)</f>
        <v>227792.88900000002</v>
      </c>
      <c r="H30" s="22">
        <f t="shared" ref="H30:H35" si="40">SUM(T11)</f>
        <v>220602.86723539978</v>
      </c>
      <c r="I30" s="69">
        <f t="shared" si="32"/>
        <v>774415.15892607835</v>
      </c>
      <c r="J30" s="28">
        <f t="shared" si="33"/>
        <v>156469.13099999999</v>
      </c>
      <c r="K30" s="69">
        <f t="shared" si="29"/>
        <v>169550.27169067855</v>
      </c>
      <c r="L30" s="69">
        <f t="shared" si="30"/>
        <v>227792.88900000002</v>
      </c>
      <c r="M30" s="69">
        <f t="shared" si="31"/>
        <v>220602.86723539978</v>
      </c>
    </row>
    <row r="31" spans="1:21" x14ac:dyDescent="0.35">
      <c r="A31" s="50" t="s">
        <v>101</v>
      </c>
      <c r="B31" s="56" t="s">
        <v>41</v>
      </c>
      <c r="C31" s="24" t="s">
        <v>4</v>
      </c>
      <c r="D31" s="87">
        <f t="shared" si="36"/>
        <v>282359.63146421686</v>
      </c>
      <c r="E31" s="22">
        <f t="shared" si="37"/>
        <v>71273.382507222937</v>
      </c>
      <c r="F31" s="22">
        <f t="shared" si="38"/>
        <v>67363.208022949591</v>
      </c>
      <c r="G31" s="22">
        <f t="shared" si="39"/>
        <v>74491.897939447692</v>
      </c>
      <c r="H31" s="22">
        <f t="shared" si="40"/>
        <v>69231.142994596681</v>
      </c>
      <c r="I31" s="69">
        <f t="shared" si="32"/>
        <v>282359.63146421686</v>
      </c>
      <c r="J31" s="28">
        <f t="shared" si="33"/>
        <v>71273.382507222937</v>
      </c>
      <c r="K31" s="69">
        <f t="shared" si="29"/>
        <v>67363.208022949591</v>
      </c>
      <c r="L31" s="69">
        <f t="shared" si="30"/>
        <v>74491.897939447692</v>
      </c>
      <c r="M31" s="69">
        <f t="shared" si="31"/>
        <v>69231.142994596681</v>
      </c>
    </row>
    <row r="32" spans="1:21" x14ac:dyDescent="0.35">
      <c r="A32" s="50" t="s">
        <v>101</v>
      </c>
      <c r="B32" s="56" t="s">
        <v>42</v>
      </c>
      <c r="C32" s="24" t="s">
        <v>4</v>
      </c>
      <c r="D32" s="87">
        <f t="shared" si="36"/>
        <v>356663.33396641648</v>
      </c>
      <c r="E32" s="22">
        <f t="shared" si="37"/>
        <v>93157.606849999982</v>
      </c>
      <c r="F32" s="22">
        <f t="shared" si="38"/>
        <v>106146.30213260342</v>
      </c>
      <c r="G32" s="22">
        <f t="shared" si="39"/>
        <v>78438.276190000004</v>
      </c>
      <c r="H32" s="22">
        <f t="shared" si="40"/>
        <v>78921.148793813074</v>
      </c>
      <c r="I32" s="69">
        <f t="shared" si="32"/>
        <v>356663.33396641648</v>
      </c>
      <c r="J32" s="28">
        <f t="shared" si="33"/>
        <v>93157.606849999982</v>
      </c>
      <c r="K32" s="69">
        <f t="shared" si="29"/>
        <v>106146.30213260342</v>
      </c>
      <c r="L32" s="69">
        <f t="shared" si="30"/>
        <v>78438.276190000004</v>
      </c>
      <c r="M32" s="69">
        <f t="shared" si="31"/>
        <v>78921.148793813074</v>
      </c>
    </row>
    <row r="33" spans="1:13" x14ac:dyDescent="0.35">
      <c r="A33" s="50" t="s">
        <v>101</v>
      </c>
      <c r="B33" s="56" t="s">
        <v>43</v>
      </c>
      <c r="C33" s="24" t="s">
        <v>4</v>
      </c>
      <c r="D33" s="87">
        <f t="shared" si="36"/>
        <v>16316.298000366001</v>
      </c>
      <c r="E33" s="22">
        <f t="shared" si="37"/>
        <v>5244.2629999999999</v>
      </c>
      <c r="F33" s="22">
        <f t="shared" si="38"/>
        <v>4892.2089999999998</v>
      </c>
      <c r="G33" s="22">
        <f t="shared" si="39"/>
        <v>2141.0710003660001</v>
      </c>
      <c r="H33" s="22">
        <f t="shared" si="40"/>
        <v>4038.7550000000001</v>
      </c>
      <c r="I33" s="69">
        <f t="shared" si="32"/>
        <v>16316.298000366001</v>
      </c>
      <c r="J33" s="28">
        <f t="shared" si="33"/>
        <v>5244.2629999999999</v>
      </c>
      <c r="K33" s="69">
        <f t="shared" si="29"/>
        <v>4892.2089999999998</v>
      </c>
      <c r="L33" s="69">
        <f t="shared" si="30"/>
        <v>2141.0710003660001</v>
      </c>
      <c r="M33" s="69">
        <f t="shared" si="31"/>
        <v>4038.7550000000001</v>
      </c>
    </row>
    <row r="34" spans="1:13" x14ac:dyDescent="0.35">
      <c r="A34" s="50" t="s">
        <v>101</v>
      </c>
      <c r="B34" s="56" t="s">
        <v>44</v>
      </c>
      <c r="C34" s="24" t="s">
        <v>4</v>
      </c>
      <c r="D34" s="87">
        <f t="shared" si="36"/>
        <v>6969.165</v>
      </c>
      <c r="E34" s="22">
        <f t="shared" si="37"/>
        <v>1952.2909999999999</v>
      </c>
      <c r="F34" s="22">
        <f t="shared" si="38"/>
        <v>1457.9590000000003</v>
      </c>
      <c r="G34" s="22">
        <f t="shared" si="39"/>
        <v>1149.5529999999999</v>
      </c>
      <c r="H34" s="22">
        <f t="shared" si="40"/>
        <v>2409.3620000000001</v>
      </c>
      <c r="I34" s="69">
        <f t="shared" si="32"/>
        <v>6969.165</v>
      </c>
      <c r="J34" s="28">
        <f t="shared" si="33"/>
        <v>1952.2909999999999</v>
      </c>
      <c r="K34" s="69">
        <f t="shared" si="29"/>
        <v>1457.9590000000003</v>
      </c>
      <c r="L34" s="69">
        <f t="shared" si="30"/>
        <v>1149.5529999999999</v>
      </c>
      <c r="M34" s="69">
        <f t="shared" si="31"/>
        <v>2409.3620000000001</v>
      </c>
    </row>
    <row r="35" spans="1:13" x14ac:dyDescent="0.35">
      <c r="A35" s="50" t="s">
        <v>101</v>
      </c>
      <c r="B35" s="56" t="s">
        <v>45</v>
      </c>
      <c r="C35" s="24" t="s">
        <v>4</v>
      </c>
      <c r="D35" s="87">
        <f t="shared" si="36"/>
        <v>5609.4058599999989</v>
      </c>
      <c r="E35" s="22">
        <f t="shared" si="37"/>
        <v>2015.7823299999998</v>
      </c>
      <c r="F35" s="22">
        <f t="shared" si="38"/>
        <v>1536.9957300000001</v>
      </c>
      <c r="G35" s="22">
        <f t="shared" si="39"/>
        <v>622.86424</v>
      </c>
      <c r="H35" s="22">
        <f t="shared" si="40"/>
        <v>1433.7635599999999</v>
      </c>
      <c r="I35" s="69">
        <f t="shared" si="32"/>
        <v>5609.4058599999989</v>
      </c>
      <c r="J35" s="28">
        <f t="shared" si="33"/>
        <v>2015.7823299999998</v>
      </c>
      <c r="K35" s="69">
        <f t="shared" si="29"/>
        <v>1536.9957300000001</v>
      </c>
      <c r="L35" s="69">
        <f t="shared" si="30"/>
        <v>622.86424</v>
      </c>
      <c r="M35" s="69">
        <f t="shared" si="31"/>
        <v>1433.7635599999999</v>
      </c>
    </row>
    <row r="36" spans="1:13" x14ac:dyDescent="0.35">
      <c r="A36" s="67">
        <v>3</v>
      </c>
      <c r="B36" s="65" t="s">
        <v>109</v>
      </c>
      <c r="C36" s="66" t="s">
        <v>4</v>
      </c>
      <c r="D36" s="89"/>
      <c r="E36" s="62"/>
      <c r="F36" s="62"/>
      <c r="G36" s="62"/>
      <c r="H36" s="62"/>
      <c r="I36" s="65">
        <f t="shared" si="32"/>
        <v>161.29999999999998</v>
      </c>
      <c r="J36" s="65">
        <f t="shared" si="33"/>
        <v>12.7</v>
      </c>
      <c r="K36" s="65">
        <f t="shared" si="29"/>
        <v>148.6</v>
      </c>
      <c r="L36" s="65">
        <f t="shared" si="30"/>
        <v>0</v>
      </c>
      <c r="M36" s="65">
        <f t="shared" si="31"/>
        <v>0</v>
      </c>
    </row>
    <row r="39" spans="1:13" x14ac:dyDescent="0.35">
      <c r="A39" s="1" t="s">
        <v>72</v>
      </c>
      <c r="B39" s="1"/>
    </row>
    <row r="40" spans="1:13" ht="15.5" x14ac:dyDescent="0.35">
      <c r="A40" s="10" t="s">
        <v>0</v>
      </c>
      <c r="B40" s="10" t="s">
        <v>1</v>
      </c>
      <c r="C40" s="10" t="s">
        <v>2</v>
      </c>
      <c r="D40" s="10" t="s">
        <v>67</v>
      </c>
      <c r="E40" s="11" t="s">
        <v>27</v>
      </c>
      <c r="F40" s="11" t="s">
        <v>54</v>
      </c>
      <c r="G40" s="11" t="s">
        <v>57</v>
      </c>
      <c r="H40" s="8" t="s">
        <v>59</v>
      </c>
      <c r="I40" s="68"/>
    </row>
    <row r="41" spans="1:13" ht="15.5" x14ac:dyDescent="0.35">
      <c r="A41" s="12"/>
      <c r="B41" s="12"/>
      <c r="C41" s="12"/>
      <c r="D41" s="12"/>
      <c r="E41" s="13"/>
      <c r="F41" s="13"/>
      <c r="G41" s="13"/>
      <c r="H41" s="9"/>
      <c r="I41" s="68"/>
    </row>
    <row r="42" spans="1:13" x14ac:dyDescent="0.35">
      <c r="A42" s="5"/>
      <c r="B42" s="6" t="s">
        <v>26</v>
      </c>
      <c r="C42" s="6" t="s">
        <v>4</v>
      </c>
      <c r="D42" s="33">
        <f>SUM(E42:H42)</f>
        <v>607343.90590000001</v>
      </c>
      <c r="E42" s="25">
        <f>SUM(E43:E80)</f>
        <v>123624.46999999997</v>
      </c>
      <c r="F42" s="25">
        <f t="shared" ref="F42:H42" si="41">SUM(F43:F80)</f>
        <v>150662.39200000002</v>
      </c>
      <c r="G42" s="25">
        <f t="shared" si="41"/>
        <v>181956.63100000005</v>
      </c>
      <c r="H42" s="25">
        <f t="shared" si="41"/>
        <v>151100.4129</v>
      </c>
      <c r="I42" s="34"/>
    </row>
    <row r="43" spans="1:13" x14ac:dyDescent="0.35">
      <c r="A43" s="2">
        <v>1</v>
      </c>
      <c r="B43" s="3" t="s">
        <v>3</v>
      </c>
      <c r="C43" s="4" t="s">
        <v>4</v>
      </c>
      <c r="D43" s="24">
        <f>SUM(E43:H43)</f>
        <v>14658.785</v>
      </c>
      <c r="E43" s="23">
        <f>TANGKAP!H15</f>
        <v>1643.4949999999999</v>
      </c>
      <c r="F43" s="23">
        <f>TANGKAP!L15</f>
        <v>4223.1490000000003</v>
      </c>
      <c r="G43" s="23">
        <f>TANGKAP!P15</f>
        <v>6091.110999999999</v>
      </c>
      <c r="H43" s="23">
        <f>TANGKAP!T15</f>
        <v>2701.0299999999997</v>
      </c>
      <c r="I43" s="34"/>
    </row>
    <row r="44" spans="1:13" x14ac:dyDescent="0.35">
      <c r="A44" s="2">
        <f t="shared" ref="A44:A64" si="42">A43+1</f>
        <v>2</v>
      </c>
      <c r="B44" s="3" t="s">
        <v>28</v>
      </c>
      <c r="C44" s="4" t="s">
        <v>4</v>
      </c>
      <c r="D44" s="24">
        <f t="shared" ref="D44:D80" si="43">SUM(E44:H44)</f>
        <v>11963.11</v>
      </c>
      <c r="E44" s="23">
        <f>TANGKAP!H16</f>
        <v>953.42000000000007</v>
      </c>
      <c r="F44" s="23">
        <f>TANGKAP!L16</f>
        <v>2484.39</v>
      </c>
      <c r="G44" s="23">
        <f>TANGKAP!P16</f>
        <v>7212.01</v>
      </c>
      <c r="H44" s="23">
        <f>TANGKAP!T16</f>
        <v>1313.29</v>
      </c>
      <c r="I44" s="34"/>
    </row>
    <row r="45" spans="1:13" x14ac:dyDescent="0.35">
      <c r="A45" s="2">
        <f t="shared" si="42"/>
        <v>3</v>
      </c>
      <c r="B45" s="3" t="s">
        <v>5</v>
      </c>
      <c r="C45" s="4" t="s">
        <v>4</v>
      </c>
      <c r="D45" s="24">
        <f t="shared" si="43"/>
        <v>7422.0439999999999</v>
      </c>
      <c r="E45" s="23">
        <f>TANGKAP!H17</f>
        <v>960.44699999999989</v>
      </c>
      <c r="F45" s="23">
        <f>TANGKAP!L17</f>
        <v>1531.1010000000001</v>
      </c>
      <c r="G45" s="23">
        <f>TANGKAP!P17</f>
        <v>3181.0610000000001</v>
      </c>
      <c r="H45" s="23">
        <f>TANGKAP!T17</f>
        <v>1749.4349999999999</v>
      </c>
      <c r="I45" s="34"/>
    </row>
    <row r="46" spans="1:13" x14ac:dyDescent="0.35">
      <c r="A46" s="2">
        <f t="shared" si="42"/>
        <v>4</v>
      </c>
      <c r="B46" s="3" t="s">
        <v>6</v>
      </c>
      <c r="C46" s="4" t="s">
        <v>4</v>
      </c>
      <c r="D46" s="24">
        <f t="shared" si="43"/>
        <v>13924.346999999998</v>
      </c>
      <c r="E46" s="23">
        <f>TANGKAP!H18</f>
        <v>3382.7219999999998</v>
      </c>
      <c r="F46" s="23">
        <f>TANGKAP!L18</f>
        <v>3300.5259999999998</v>
      </c>
      <c r="G46" s="23">
        <f>TANGKAP!P18</f>
        <v>3956.8449999999998</v>
      </c>
      <c r="H46" s="23">
        <f>TANGKAP!T18</f>
        <v>3284.2539999999999</v>
      </c>
      <c r="I46" s="34"/>
    </row>
    <row r="47" spans="1:13" x14ac:dyDescent="0.35">
      <c r="A47" s="2">
        <f t="shared" si="42"/>
        <v>5</v>
      </c>
      <c r="B47" s="3" t="s">
        <v>7</v>
      </c>
      <c r="C47" s="4" t="s">
        <v>4</v>
      </c>
      <c r="D47" s="24">
        <f t="shared" si="43"/>
        <v>3828.2420000000002</v>
      </c>
      <c r="E47" s="23">
        <f>TANGKAP!H19</f>
        <v>433.875</v>
      </c>
      <c r="F47" s="23">
        <f>TANGKAP!L19</f>
        <v>649.11699999999996</v>
      </c>
      <c r="G47" s="23">
        <f>TANGKAP!P19</f>
        <v>1458.3</v>
      </c>
      <c r="H47" s="23">
        <f>TANGKAP!T19</f>
        <v>1286.95</v>
      </c>
      <c r="I47" s="34"/>
    </row>
    <row r="48" spans="1:13" x14ac:dyDescent="0.35">
      <c r="A48" s="2">
        <f t="shared" si="42"/>
        <v>6</v>
      </c>
      <c r="B48" s="3" t="s">
        <v>29</v>
      </c>
      <c r="C48" s="4" t="s">
        <v>4</v>
      </c>
      <c r="D48" s="24">
        <f t="shared" si="43"/>
        <v>17331.796999999999</v>
      </c>
      <c r="E48" s="23">
        <f>TANGKAP!H20</f>
        <v>2400.4250000000002</v>
      </c>
      <c r="F48" s="23">
        <f>TANGKAP!L20</f>
        <v>5977.1620000000003</v>
      </c>
      <c r="G48" s="23">
        <f>TANGKAP!P20</f>
        <v>6041.47</v>
      </c>
      <c r="H48" s="23">
        <f>TANGKAP!T20</f>
        <v>2912.74</v>
      </c>
      <c r="I48" s="34"/>
    </row>
    <row r="49" spans="1:9" x14ac:dyDescent="0.35">
      <c r="A49" s="2">
        <f t="shared" si="42"/>
        <v>7</v>
      </c>
      <c r="B49" s="3" t="s">
        <v>8</v>
      </c>
      <c r="C49" s="4" t="s">
        <v>4</v>
      </c>
      <c r="D49" s="24">
        <f t="shared" si="43"/>
        <v>15567.705000000002</v>
      </c>
      <c r="E49" s="23">
        <f>TANGKAP!H21</f>
        <v>3990.75</v>
      </c>
      <c r="F49" s="23">
        <f>TANGKAP!L21</f>
        <v>4738.9760000000006</v>
      </c>
      <c r="G49" s="23">
        <f>TANGKAP!P21</f>
        <v>4666.9830000000002</v>
      </c>
      <c r="H49" s="23">
        <f>TANGKAP!T21</f>
        <v>2170.9960000000001</v>
      </c>
      <c r="I49" s="34"/>
    </row>
    <row r="50" spans="1:9" x14ac:dyDescent="0.35">
      <c r="A50" s="2">
        <f t="shared" si="42"/>
        <v>8</v>
      </c>
      <c r="B50" s="3" t="s">
        <v>9</v>
      </c>
      <c r="C50" s="4" t="s">
        <v>4</v>
      </c>
      <c r="D50" s="24">
        <f t="shared" si="43"/>
        <v>11540.541000000001</v>
      </c>
      <c r="E50" s="23">
        <f>TANGKAP!H22</f>
        <v>1902.328</v>
      </c>
      <c r="F50" s="23">
        <f>TANGKAP!L22</f>
        <v>1957.4399999999998</v>
      </c>
      <c r="G50" s="23">
        <f>TANGKAP!P22</f>
        <v>4556.5410000000002</v>
      </c>
      <c r="H50" s="23">
        <f>TANGKAP!T22</f>
        <v>3124.2319999999995</v>
      </c>
      <c r="I50" s="34"/>
    </row>
    <row r="51" spans="1:9" x14ac:dyDescent="0.35">
      <c r="A51" s="2">
        <f t="shared" si="42"/>
        <v>9</v>
      </c>
      <c r="B51" s="3" t="s">
        <v>10</v>
      </c>
      <c r="C51" s="4" t="s">
        <v>4</v>
      </c>
      <c r="D51" s="24">
        <f t="shared" si="43"/>
        <v>19172.523000000001</v>
      </c>
      <c r="E51" s="23">
        <f>TANGKAP!H23</f>
        <v>1068.3399999999999</v>
      </c>
      <c r="F51" s="23">
        <f>TANGKAP!L23</f>
        <v>2501.1999999999998</v>
      </c>
      <c r="G51" s="23">
        <f>TANGKAP!P23</f>
        <v>7954.4700000000012</v>
      </c>
      <c r="H51" s="23">
        <f>TANGKAP!T23</f>
        <v>7648.5129999999999</v>
      </c>
      <c r="I51" s="34"/>
    </row>
    <row r="52" spans="1:9" x14ac:dyDescent="0.35">
      <c r="A52" s="2">
        <f t="shared" si="42"/>
        <v>10</v>
      </c>
      <c r="B52" s="3" t="s">
        <v>11</v>
      </c>
      <c r="C52" s="4" t="s">
        <v>4</v>
      </c>
      <c r="D52" s="24">
        <f t="shared" si="43"/>
        <v>72382.492999999988</v>
      </c>
      <c r="E52" s="23">
        <f>TANGKAP!H24</f>
        <v>15414.535</v>
      </c>
      <c r="F52" s="23">
        <f>TANGKAP!L24</f>
        <v>17601.642999999996</v>
      </c>
      <c r="G52" s="23">
        <f>TANGKAP!P24</f>
        <v>16911.154999999999</v>
      </c>
      <c r="H52" s="23">
        <f>TANGKAP!T24</f>
        <v>22455.159999999996</v>
      </c>
      <c r="I52" s="34"/>
    </row>
    <row r="53" spans="1:9" x14ac:dyDescent="0.35">
      <c r="A53" s="2">
        <f t="shared" si="42"/>
        <v>11</v>
      </c>
      <c r="B53" s="3" t="s">
        <v>30</v>
      </c>
      <c r="C53" s="4" t="s">
        <v>4</v>
      </c>
      <c r="D53" s="24">
        <f t="shared" si="43"/>
        <v>8117.96</v>
      </c>
      <c r="E53" s="23">
        <f>TANGKAP!H25</f>
        <v>866.80000000000018</v>
      </c>
      <c r="F53" s="23">
        <f>TANGKAP!L25</f>
        <v>1657.6</v>
      </c>
      <c r="G53" s="23">
        <f>TANGKAP!P25</f>
        <v>2852.67</v>
      </c>
      <c r="H53" s="23">
        <f>TANGKAP!T25</f>
        <v>2740.8900000000003</v>
      </c>
      <c r="I53" s="34"/>
    </row>
    <row r="54" spans="1:9" x14ac:dyDescent="0.35">
      <c r="A54" s="2">
        <f t="shared" si="42"/>
        <v>12</v>
      </c>
      <c r="B54" s="3" t="s">
        <v>12</v>
      </c>
      <c r="C54" s="4" t="s">
        <v>4</v>
      </c>
      <c r="D54" s="24">
        <f t="shared" si="43"/>
        <v>75133.247000000003</v>
      </c>
      <c r="E54" s="23">
        <f>TANGKAP!H26</f>
        <v>18429.379999999997</v>
      </c>
      <c r="F54" s="23">
        <f>TANGKAP!L26</f>
        <v>15242.7</v>
      </c>
      <c r="G54" s="23">
        <f>TANGKAP!P26</f>
        <v>18791.400000000001</v>
      </c>
      <c r="H54" s="23">
        <f>TANGKAP!T26</f>
        <v>22669.767</v>
      </c>
      <c r="I54" s="34"/>
    </row>
    <row r="55" spans="1:9" x14ac:dyDescent="0.35">
      <c r="A55" s="2">
        <f t="shared" si="42"/>
        <v>13</v>
      </c>
      <c r="B55" s="3" t="s">
        <v>13</v>
      </c>
      <c r="C55" s="4" t="s">
        <v>4</v>
      </c>
      <c r="D55" s="24">
        <f t="shared" si="43"/>
        <v>36601.17</v>
      </c>
      <c r="E55" s="23">
        <f>TANGKAP!H27</f>
        <v>7693.4000000000005</v>
      </c>
      <c r="F55" s="23">
        <f>TANGKAP!L27</f>
        <v>11594.6</v>
      </c>
      <c r="G55" s="23">
        <f>TANGKAP!P27</f>
        <v>8428.7699999999986</v>
      </c>
      <c r="H55" s="23">
        <f>TANGKAP!T27</f>
        <v>8884.3999999999978</v>
      </c>
      <c r="I55" s="34"/>
    </row>
    <row r="56" spans="1:9" x14ac:dyDescent="0.35">
      <c r="A56" s="2">
        <f t="shared" si="42"/>
        <v>14</v>
      </c>
      <c r="B56" s="3" t="s">
        <v>14</v>
      </c>
      <c r="C56" s="4" t="s">
        <v>4</v>
      </c>
      <c r="D56" s="24">
        <f t="shared" si="43"/>
        <v>27882.373</v>
      </c>
      <c r="E56" s="23">
        <f>TANGKAP!H28</f>
        <v>6300.37</v>
      </c>
      <c r="F56" s="23">
        <f>TANGKAP!L28</f>
        <v>8669.75</v>
      </c>
      <c r="G56" s="23">
        <f>TANGKAP!P28</f>
        <v>6209.1</v>
      </c>
      <c r="H56" s="23">
        <f>TANGKAP!T28</f>
        <v>6703.1530000000002</v>
      </c>
      <c r="I56" s="34"/>
    </row>
    <row r="57" spans="1:9" x14ac:dyDescent="0.35">
      <c r="A57" s="2">
        <f t="shared" si="42"/>
        <v>15</v>
      </c>
      <c r="B57" s="3" t="s">
        <v>15</v>
      </c>
      <c r="C57" s="4" t="s">
        <v>4</v>
      </c>
      <c r="D57" s="24">
        <f t="shared" si="43"/>
        <v>19043.699000000001</v>
      </c>
      <c r="E57" s="23">
        <f>TANGKAP!H29</f>
        <v>4664.6559999999999</v>
      </c>
      <c r="F57" s="23">
        <f>TANGKAP!L29</f>
        <v>4641.0929999999998</v>
      </c>
      <c r="G57" s="23">
        <f>TANGKAP!P29</f>
        <v>4865.72</v>
      </c>
      <c r="H57" s="23">
        <f>TANGKAP!T29</f>
        <v>4872.2299999999996</v>
      </c>
      <c r="I57" s="34"/>
    </row>
    <row r="58" spans="1:9" x14ac:dyDescent="0.35">
      <c r="A58" s="2">
        <f t="shared" si="42"/>
        <v>16</v>
      </c>
      <c r="B58" s="3" t="s">
        <v>31</v>
      </c>
      <c r="C58" s="4" t="s">
        <v>4</v>
      </c>
      <c r="D58" s="24">
        <f t="shared" si="43"/>
        <v>4158.4219999999996</v>
      </c>
      <c r="E58" s="23">
        <f>TANGKAP!H30</f>
        <v>841.423</v>
      </c>
      <c r="F58" s="23">
        <f>TANGKAP!L30</f>
        <v>1018.079</v>
      </c>
      <c r="G58" s="23">
        <f>TANGKAP!P30</f>
        <v>1444.8</v>
      </c>
      <c r="H58" s="23">
        <f>TANGKAP!T30</f>
        <v>854.11999999999989</v>
      </c>
      <c r="I58" s="34"/>
    </row>
    <row r="59" spans="1:9" x14ac:dyDescent="0.35">
      <c r="A59" s="2">
        <f t="shared" si="42"/>
        <v>17</v>
      </c>
      <c r="B59" s="3" t="s">
        <v>32</v>
      </c>
      <c r="C59" s="4" t="s">
        <v>4</v>
      </c>
      <c r="D59" s="24">
        <f t="shared" si="43"/>
        <v>1472.0790000000002</v>
      </c>
      <c r="E59" s="23">
        <f>TANGKAP!H31</f>
        <v>266.92</v>
      </c>
      <c r="F59" s="23">
        <f>TANGKAP!L31</f>
        <v>601.11699999999996</v>
      </c>
      <c r="G59" s="23">
        <f>TANGKAP!P31</f>
        <v>213.95899999999997</v>
      </c>
      <c r="H59" s="23">
        <f>TANGKAP!T31</f>
        <v>390.08300000000003</v>
      </c>
      <c r="I59" s="34"/>
    </row>
    <row r="60" spans="1:9" x14ac:dyDescent="0.35">
      <c r="A60" s="2">
        <f t="shared" si="42"/>
        <v>18</v>
      </c>
      <c r="B60" s="3" t="s">
        <v>33</v>
      </c>
      <c r="C60" s="4" t="s">
        <v>4</v>
      </c>
      <c r="D60" s="24">
        <f t="shared" si="43"/>
        <v>30044.6819</v>
      </c>
      <c r="E60" s="23">
        <f>TANGKAP!H32</f>
        <v>7483.04</v>
      </c>
      <c r="F60" s="23">
        <f>TANGKAP!L32</f>
        <v>6693.37</v>
      </c>
      <c r="G60" s="23">
        <f>TANGKAP!P32</f>
        <v>7775.4229999999998</v>
      </c>
      <c r="H60" s="23">
        <f>TANGKAP!T32</f>
        <v>8092.8489</v>
      </c>
      <c r="I60" s="34"/>
    </row>
    <row r="61" spans="1:9" x14ac:dyDescent="0.35">
      <c r="A61" s="2">
        <f t="shared" si="42"/>
        <v>19</v>
      </c>
      <c r="B61" s="3" t="s">
        <v>34</v>
      </c>
      <c r="C61" s="4" t="s">
        <v>4</v>
      </c>
      <c r="D61" s="24">
        <f t="shared" si="43"/>
        <v>2445.39</v>
      </c>
      <c r="E61" s="23">
        <f>TANGKAP!H33</f>
        <v>390.19</v>
      </c>
      <c r="F61" s="23">
        <f>TANGKAP!L33</f>
        <v>415.5</v>
      </c>
      <c r="G61" s="23">
        <f>TANGKAP!P33</f>
        <v>932.59999999999991</v>
      </c>
      <c r="H61" s="23">
        <f>TANGKAP!T33</f>
        <v>707.1</v>
      </c>
      <c r="I61" s="34"/>
    </row>
    <row r="62" spans="1:9" x14ac:dyDescent="0.35">
      <c r="A62" s="2">
        <f t="shared" si="42"/>
        <v>20</v>
      </c>
      <c r="B62" s="3" t="s">
        <v>35</v>
      </c>
      <c r="C62" s="4" t="s">
        <v>4</v>
      </c>
      <c r="D62" s="24">
        <f t="shared" si="43"/>
        <v>2286.3040000000001</v>
      </c>
      <c r="E62" s="23">
        <f>TANGKAP!H34</f>
        <v>579.625</v>
      </c>
      <c r="F62" s="23">
        <f>TANGKAP!L34</f>
        <v>575.16399999999999</v>
      </c>
      <c r="G62" s="23">
        <f>TANGKAP!P34</f>
        <v>617.67499999999995</v>
      </c>
      <c r="H62" s="23">
        <f>TANGKAP!T34</f>
        <v>513.84</v>
      </c>
      <c r="I62" s="34"/>
    </row>
    <row r="63" spans="1:9" x14ac:dyDescent="0.35">
      <c r="A63" s="2">
        <f t="shared" si="42"/>
        <v>21</v>
      </c>
      <c r="B63" s="3" t="s">
        <v>36</v>
      </c>
      <c r="C63" s="4" t="s">
        <v>4</v>
      </c>
      <c r="D63" s="24">
        <f t="shared" si="43"/>
        <v>8045.8600000000006</v>
      </c>
      <c r="E63" s="23">
        <f>TANGKAP!H35</f>
        <v>1948.3000000000002</v>
      </c>
      <c r="F63" s="23">
        <f>TANGKAP!L35</f>
        <v>1928.0300000000002</v>
      </c>
      <c r="G63" s="23">
        <f>TANGKAP!P35</f>
        <v>2115.25</v>
      </c>
      <c r="H63" s="23">
        <f>TANGKAP!T35</f>
        <v>2054.2800000000002</v>
      </c>
      <c r="I63" s="34"/>
    </row>
    <row r="64" spans="1:9" x14ac:dyDescent="0.35">
      <c r="A64" s="2">
        <f t="shared" si="42"/>
        <v>22</v>
      </c>
      <c r="B64" s="3" t="s">
        <v>37</v>
      </c>
      <c r="C64" s="4" t="s">
        <v>4</v>
      </c>
      <c r="D64" s="24">
        <f t="shared" si="43"/>
        <v>7733.4120000000003</v>
      </c>
      <c r="E64" s="23">
        <f>TANGKAP!H36</f>
        <v>580.33200000000011</v>
      </c>
      <c r="F64" s="23">
        <f>TANGKAP!L36</f>
        <v>917.21800000000007</v>
      </c>
      <c r="G64" s="23">
        <f>TANGKAP!P36</f>
        <v>3543.99</v>
      </c>
      <c r="H64" s="23">
        <f>TANGKAP!T36</f>
        <v>2691.8720000000003</v>
      </c>
      <c r="I64" s="34"/>
    </row>
    <row r="65" spans="1:9" x14ac:dyDescent="0.35">
      <c r="A65" s="2">
        <v>23</v>
      </c>
      <c r="B65" s="3" t="s">
        <v>16</v>
      </c>
      <c r="C65" s="4" t="s">
        <v>4</v>
      </c>
      <c r="D65" s="24">
        <f t="shared" si="43"/>
        <v>37758.299999999996</v>
      </c>
      <c r="E65" s="23">
        <f>TANGKAP!H37</f>
        <v>10069.799999999999</v>
      </c>
      <c r="F65" s="23">
        <f>TANGKAP!L37</f>
        <v>9030.4</v>
      </c>
      <c r="G65" s="23">
        <f>TANGKAP!P37</f>
        <v>9498.2999999999993</v>
      </c>
      <c r="H65" s="23">
        <f>TANGKAP!T37</f>
        <v>9159.7999999999993</v>
      </c>
      <c r="I65" s="34"/>
    </row>
    <row r="66" spans="1:9" x14ac:dyDescent="0.35">
      <c r="A66" s="2">
        <v>24</v>
      </c>
      <c r="B66" s="3" t="s">
        <v>17</v>
      </c>
      <c r="C66" s="4" t="s">
        <v>4</v>
      </c>
      <c r="D66" s="24">
        <f t="shared" si="43"/>
        <v>26006.57</v>
      </c>
      <c r="E66" s="23">
        <f>TANGKAP!H38</f>
        <v>1958.06</v>
      </c>
      <c r="F66" s="23">
        <f>TANGKAP!L38</f>
        <v>4563.3899999999994</v>
      </c>
      <c r="G66" s="23">
        <f>TANGKAP!P38</f>
        <v>14091.190000000002</v>
      </c>
      <c r="H66" s="23">
        <f>TANGKAP!T38</f>
        <v>5393.9299999999994</v>
      </c>
      <c r="I66" s="34"/>
    </row>
    <row r="67" spans="1:9" x14ac:dyDescent="0.35">
      <c r="A67" s="2">
        <v>25</v>
      </c>
      <c r="B67" s="3" t="s">
        <v>18</v>
      </c>
      <c r="C67" s="4" t="s">
        <v>4</v>
      </c>
      <c r="D67" s="24">
        <f t="shared" si="43"/>
        <v>10843</v>
      </c>
      <c r="E67" s="23">
        <f>TANGKAP!H39</f>
        <v>2158.8999999999996</v>
      </c>
      <c r="F67" s="23">
        <f>TANGKAP!L39</f>
        <v>2455.3000000000002</v>
      </c>
      <c r="G67" s="23">
        <f>TANGKAP!P39</f>
        <v>3063.7</v>
      </c>
      <c r="H67" s="23">
        <f>TANGKAP!T39</f>
        <v>3165.1000000000004</v>
      </c>
      <c r="I67" s="34"/>
    </row>
    <row r="68" spans="1:9" x14ac:dyDescent="0.35">
      <c r="A68" s="2">
        <v>26</v>
      </c>
      <c r="B68" s="3" t="s">
        <v>19</v>
      </c>
      <c r="C68" s="4" t="s">
        <v>4</v>
      </c>
      <c r="D68" s="24">
        <f t="shared" si="43"/>
        <v>25778.300000000003</v>
      </c>
      <c r="E68" s="23">
        <f>TANGKAP!H40</f>
        <v>3239.4</v>
      </c>
      <c r="F68" s="23">
        <f>TANGKAP!L40</f>
        <v>7613.0999999999995</v>
      </c>
      <c r="G68" s="23">
        <f>TANGKAP!P40</f>
        <v>9947.7000000000007</v>
      </c>
      <c r="H68" s="23">
        <f>TANGKAP!T40</f>
        <v>4978.1000000000004</v>
      </c>
      <c r="I68" s="34"/>
    </row>
    <row r="69" spans="1:9" x14ac:dyDescent="0.35">
      <c r="A69" s="2">
        <v>27</v>
      </c>
      <c r="B69" s="3" t="s">
        <v>20</v>
      </c>
      <c r="C69" s="4" t="s">
        <v>4</v>
      </c>
      <c r="D69" s="24">
        <f t="shared" si="43"/>
        <v>16805.300000000003</v>
      </c>
      <c r="E69" s="23">
        <f>TANGKAP!H41</f>
        <v>3408.6</v>
      </c>
      <c r="F69" s="23">
        <f>TANGKAP!L41</f>
        <v>4848.7999999999993</v>
      </c>
      <c r="G69" s="23">
        <f>TANGKAP!P41</f>
        <v>4777.8</v>
      </c>
      <c r="H69" s="23">
        <f>TANGKAP!T41</f>
        <v>3770.1000000000004</v>
      </c>
      <c r="I69" s="34"/>
    </row>
    <row r="70" spans="1:9" x14ac:dyDescent="0.35">
      <c r="A70" s="2">
        <v>28</v>
      </c>
      <c r="B70" s="3" t="s">
        <v>21</v>
      </c>
      <c r="C70" s="4" t="s">
        <v>4</v>
      </c>
      <c r="D70" s="24">
        <f t="shared" si="43"/>
        <v>18004.599999999999</v>
      </c>
      <c r="E70" s="23">
        <f>TANGKAP!H42</f>
        <v>3543.8999999999996</v>
      </c>
      <c r="F70" s="23">
        <f>TANGKAP!L42</f>
        <v>5012.3999999999996</v>
      </c>
      <c r="G70" s="23">
        <f>TANGKAP!P42</f>
        <v>4586.1000000000004</v>
      </c>
      <c r="H70" s="23">
        <f>TANGKAP!T42</f>
        <v>4862.2</v>
      </c>
      <c r="I70" s="34"/>
    </row>
    <row r="71" spans="1:9" x14ac:dyDescent="0.35">
      <c r="A71" s="2">
        <v>29</v>
      </c>
      <c r="B71" s="3" t="s">
        <v>22</v>
      </c>
      <c r="C71" s="4" t="s">
        <v>4</v>
      </c>
      <c r="D71" s="24">
        <f t="shared" si="43"/>
        <v>40137.188999999998</v>
      </c>
      <c r="E71" s="23">
        <f>TANGKAP!H43</f>
        <v>12735.5</v>
      </c>
      <c r="F71" s="23">
        <f>TANGKAP!L43</f>
        <v>11510.48</v>
      </c>
      <c r="G71" s="23">
        <f>TANGKAP!P43</f>
        <v>9394.7000000000007</v>
      </c>
      <c r="H71" s="23">
        <f>TANGKAP!T43</f>
        <v>6496.509</v>
      </c>
      <c r="I71" s="34"/>
    </row>
    <row r="72" spans="1:9" x14ac:dyDescent="0.35">
      <c r="A72" s="2">
        <v>30</v>
      </c>
      <c r="B72" s="3" t="s">
        <v>46</v>
      </c>
      <c r="C72" s="4" t="s">
        <v>4</v>
      </c>
      <c r="D72" s="24">
        <f t="shared" si="43"/>
        <v>33.200000000000003</v>
      </c>
      <c r="E72" s="23">
        <f>TANGKAP!H44</f>
        <v>8.3000000000000007</v>
      </c>
      <c r="F72" s="23">
        <f>TANGKAP!L44</f>
        <v>9</v>
      </c>
      <c r="G72" s="23">
        <f>TANGKAP!P44</f>
        <v>7.9</v>
      </c>
      <c r="H72" s="23">
        <f>TANGKAP!T44</f>
        <v>8</v>
      </c>
      <c r="I72" s="34"/>
    </row>
    <row r="73" spans="1:9" x14ac:dyDescent="0.35">
      <c r="A73" s="2">
        <v>31</v>
      </c>
      <c r="B73" s="3" t="s">
        <v>47</v>
      </c>
      <c r="C73" s="4" t="s">
        <v>4</v>
      </c>
      <c r="D73" s="24">
        <f t="shared" si="43"/>
        <v>0</v>
      </c>
      <c r="E73" s="23">
        <f>TANGKAP!H45</f>
        <v>0</v>
      </c>
      <c r="F73" s="23">
        <f>TANGKAP!L45</f>
        <v>0</v>
      </c>
      <c r="G73" s="23">
        <f>TANGKAP!P45</f>
        <v>0</v>
      </c>
      <c r="H73" s="23">
        <f>TANGKAP!T45</f>
        <v>0</v>
      </c>
      <c r="I73" s="34"/>
    </row>
    <row r="74" spans="1:9" x14ac:dyDescent="0.35">
      <c r="A74" s="2">
        <v>32</v>
      </c>
      <c r="B74" s="3" t="s">
        <v>48</v>
      </c>
      <c r="C74" s="4" t="s">
        <v>4</v>
      </c>
      <c r="D74" s="24">
        <f t="shared" si="43"/>
        <v>0</v>
      </c>
      <c r="E74" s="23">
        <f>TANGKAP!H46</f>
        <v>0</v>
      </c>
      <c r="F74" s="23">
        <f>TANGKAP!L46</f>
        <v>0</v>
      </c>
      <c r="G74" s="23">
        <f>TANGKAP!P46</f>
        <v>0</v>
      </c>
      <c r="H74" s="23">
        <f>TANGKAP!T46</f>
        <v>0</v>
      </c>
      <c r="I74" s="34"/>
    </row>
    <row r="75" spans="1:9" x14ac:dyDescent="0.35">
      <c r="A75" s="2">
        <v>33</v>
      </c>
      <c r="B75" s="3" t="s">
        <v>23</v>
      </c>
      <c r="C75" s="4" t="s">
        <v>4</v>
      </c>
      <c r="D75" s="24">
        <f t="shared" si="43"/>
        <v>939.077</v>
      </c>
      <c r="E75" s="23">
        <f>TANGKAP!H47</f>
        <v>211.28700000000001</v>
      </c>
      <c r="F75" s="23">
        <f>TANGKAP!L47</f>
        <v>299.84699999999998</v>
      </c>
      <c r="G75" s="23">
        <f>TANGKAP!P47</f>
        <v>191.27799999999999</v>
      </c>
      <c r="H75" s="23">
        <f>TANGKAP!T47</f>
        <v>236.66499999999996</v>
      </c>
      <c r="I75" s="34"/>
    </row>
    <row r="76" spans="1:9" x14ac:dyDescent="0.35">
      <c r="A76" s="2">
        <v>34</v>
      </c>
      <c r="B76" s="3" t="s">
        <v>24</v>
      </c>
      <c r="C76" s="4" t="s">
        <v>4</v>
      </c>
      <c r="D76" s="24">
        <f t="shared" si="43"/>
        <v>11036.6</v>
      </c>
      <c r="E76" s="23">
        <f>TANGKAP!H48</f>
        <v>3018.6</v>
      </c>
      <c r="F76" s="23">
        <f>TANGKAP!L48</f>
        <v>3617.2</v>
      </c>
      <c r="G76" s="23">
        <f>TANGKAP!P48</f>
        <v>2488.6999999999998</v>
      </c>
      <c r="H76" s="23">
        <f>TANGKAP!T48</f>
        <v>1912.1</v>
      </c>
      <c r="I76" s="34"/>
    </row>
    <row r="77" spans="1:9" x14ac:dyDescent="0.35">
      <c r="A77" s="2">
        <v>35</v>
      </c>
      <c r="B77" s="3" t="s">
        <v>49</v>
      </c>
      <c r="C77" s="4" t="s">
        <v>4</v>
      </c>
      <c r="D77" s="24">
        <f t="shared" si="43"/>
        <v>6.4849999999999994</v>
      </c>
      <c r="E77" s="23">
        <f>TANGKAP!H49</f>
        <v>1.6500000000000001</v>
      </c>
      <c r="F77" s="23">
        <f>TANGKAP!L49</f>
        <v>1.55</v>
      </c>
      <c r="G77" s="23">
        <f>TANGKAP!P49</f>
        <v>1.56</v>
      </c>
      <c r="H77" s="23">
        <f>TANGKAP!T49</f>
        <v>1.7250000000000001</v>
      </c>
      <c r="I77" s="34"/>
    </row>
    <row r="78" spans="1:9" x14ac:dyDescent="0.35">
      <c r="A78" s="2">
        <v>36</v>
      </c>
      <c r="B78" s="3" t="s">
        <v>50</v>
      </c>
      <c r="C78" s="4" t="s">
        <v>4</v>
      </c>
      <c r="D78" s="24">
        <f t="shared" si="43"/>
        <v>96.8</v>
      </c>
      <c r="E78" s="23">
        <f>TANGKAP!H50</f>
        <v>25.200000000000003</v>
      </c>
      <c r="F78" s="23">
        <f>TANGKAP!L50</f>
        <v>27</v>
      </c>
      <c r="G78" s="23">
        <f>TANGKAP!P50</f>
        <v>25.8</v>
      </c>
      <c r="H78" s="23">
        <f>TANGKAP!T50</f>
        <v>18.8</v>
      </c>
      <c r="I78" s="34"/>
    </row>
    <row r="79" spans="1:9" x14ac:dyDescent="0.35">
      <c r="A79" s="2">
        <v>37</v>
      </c>
      <c r="B79" s="3" t="s">
        <v>25</v>
      </c>
      <c r="C79" s="4" t="s">
        <v>4</v>
      </c>
      <c r="D79" s="24">
        <f t="shared" si="43"/>
        <v>9142.3000000000011</v>
      </c>
      <c r="E79" s="23">
        <f>TANGKAP!H51</f>
        <v>1050.5</v>
      </c>
      <c r="F79" s="23">
        <f>TANGKAP!L51</f>
        <v>2755</v>
      </c>
      <c r="G79" s="23">
        <f>TANGKAP!P51</f>
        <v>4060.6000000000004</v>
      </c>
      <c r="H79" s="23">
        <f>TANGKAP!T51</f>
        <v>1276.2</v>
      </c>
      <c r="I79" s="34"/>
    </row>
    <row r="80" spans="1:9" x14ac:dyDescent="0.35">
      <c r="A80" s="2">
        <v>38</v>
      </c>
      <c r="B80" s="3" t="s">
        <v>51</v>
      </c>
      <c r="C80" s="4" t="s">
        <v>4</v>
      </c>
      <c r="D80" s="24">
        <f t="shared" si="43"/>
        <v>0</v>
      </c>
      <c r="E80" s="23">
        <f>TANGKAP!H52</f>
        <v>0</v>
      </c>
      <c r="F80" s="23">
        <f>TANGKAP!L52</f>
        <v>0</v>
      </c>
      <c r="G80" s="23">
        <f>TANGKAP!P52</f>
        <v>0</v>
      </c>
      <c r="H80" s="23">
        <f>TANGKAP!T52</f>
        <v>0</v>
      </c>
      <c r="I80" s="34"/>
    </row>
    <row r="83" spans="1:9" x14ac:dyDescent="0.35">
      <c r="A83" s="1" t="s">
        <v>52</v>
      </c>
      <c r="B83" s="1"/>
    </row>
    <row r="84" spans="1:9" ht="15.5" x14ac:dyDescent="0.35">
      <c r="A84" s="10" t="s">
        <v>0</v>
      </c>
      <c r="B84" s="10" t="s">
        <v>1</v>
      </c>
      <c r="C84" s="10" t="s">
        <v>2</v>
      </c>
      <c r="D84" s="10" t="s">
        <v>67</v>
      </c>
      <c r="E84" s="11" t="s">
        <v>27</v>
      </c>
      <c r="F84" s="11" t="s">
        <v>54</v>
      </c>
      <c r="G84" s="11" t="s">
        <v>57</v>
      </c>
      <c r="H84" s="8" t="s">
        <v>59</v>
      </c>
      <c r="I84" s="68"/>
    </row>
    <row r="85" spans="1:9" ht="15.5" x14ac:dyDescent="0.35">
      <c r="A85" s="12"/>
      <c r="B85" s="12"/>
      <c r="C85" s="12"/>
      <c r="D85" s="12"/>
      <c r="E85" s="13"/>
      <c r="F85" s="13"/>
      <c r="G85" s="13"/>
      <c r="H85" s="9"/>
      <c r="I85" s="68"/>
    </row>
    <row r="86" spans="1:9" x14ac:dyDescent="0.35">
      <c r="A86" s="45"/>
      <c r="B86" s="33" t="s">
        <v>26</v>
      </c>
      <c r="C86" s="33" t="s">
        <v>4</v>
      </c>
      <c r="D86" s="46">
        <f>SUM(E86:H86)</f>
        <v>1442332.993217078</v>
      </c>
      <c r="E86" s="47">
        <f>SUM(E87:E124)</f>
        <v>330112.45668722299</v>
      </c>
      <c r="F86" s="47">
        <f t="shared" ref="F86" si="44">SUM(F87:F124)</f>
        <v>350946.94557623152</v>
      </c>
      <c r="G86" s="47">
        <f t="shared" ref="G86" si="45">SUM(G87:G124)</f>
        <v>384636.55136981374</v>
      </c>
      <c r="H86" s="47">
        <f t="shared" ref="H86" si="46">SUM(H87:H124)</f>
        <v>376637.03958380956</v>
      </c>
      <c r="I86" s="70"/>
    </row>
    <row r="87" spans="1:9" x14ac:dyDescent="0.35">
      <c r="A87" s="2">
        <v>1</v>
      </c>
      <c r="B87" s="48" t="s">
        <v>3</v>
      </c>
      <c r="C87" s="24" t="s">
        <v>4</v>
      </c>
      <c r="D87" s="49">
        <f>SUM(E87:H87)</f>
        <v>15081.607</v>
      </c>
      <c r="E87" s="50">
        <f>BUDIDAYA!H18</f>
        <v>4955.5519999999997</v>
      </c>
      <c r="F87" s="50">
        <f>BUDIDAYA!L18</f>
        <v>2036.2850000000001</v>
      </c>
      <c r="G87" s="50">
        <f>BUDIDAYA!P18</f>
        <v>1756.7700000000002</v>
      </c>
      <c r="H87" s="50">
        <f>BUDIDAYA!T18</f>
        <v>6333</v>
      </c>
      <c r="I87" s="64"/>
    </row>
    <row r="88" spans="1:9" x14ac:dyDescent="0.35">
      <c r="A88" s="2">
        <f t="shared" ref="A88:A108" si="47">A87+1</f>
        <v>2</v>
      </c>
      <c r="B88" s="48" t="s">
        <v>28</v>
      </c>
      <c r="C88" s="24" t="s">
        <v>4</v>
      </c>
      <c r="D88" s="49">
        <f t="shared" ref="D88:D124" si="48">SUM(E88:H88)</f>
        <v>30646.435000000005</v>
      </c>
      <c r="E88" s="50">
        <f>BUDIDAYA!H19</f>
        <v>7302.170000000001</v>
      </c>
      <c r="F88" s="50">
        <f>BUDIDAYA!L19</f>
        <v>7548.8540000000003</v>
      </c>
      <c r="G88" s="50">
        <f>BUDIDAYA!P19</f>
        <v>7722.3500000000013</v>
      </c>
      <c r="H88" s="50">
        <f>BUDIDAYA!T19</f>
        <v>8073.0610000000006</v>
      </c>
      <c r="I88" s="64"/>
    </row>
    <row r="89" spans="1:9" x14ac:dyDescent="0.35">
      <c r="A89" s="2">
        <f t="shared" si="47"/>
        <v>3</v>
      </c>
      <c r="B89" s="48" t="s">
        <v>5</v>
      </c>
      <c r="C89" s="24" t="s">
        <v>4</v>
      </c>
      <c r="D89" s="49">
        <f t="shared" si="48"/>
        <v>17736.424999999999</v>
      </c>
      <c r="E89" s="50">
        <f>BUDIDAYA!H20</f>
        <v>4138.18</v>
      </c>
      <c r="F89" s="50">
        <f>BUDIDAYA!L20</f>
        <v>4447.74</v>
      </c>
      <c r="G89" s="50">
        <f>BUDIDAYA!P20</f>
        <v>4279.8600000000006</v>
      </c>
      <c r="H89" s="50">
        <f>BUDIDAYA!T20</f>
        <v>4870.6449999999995</v>
      </c>
      <c r="I89" s="64"/>
    </row>
    <row r="90" spans="1:9" x14ac:dyDescent="0.35">
      <c r="A90" s="2">
        <f t="shared" si="47"/>
        <v>4</v>
      </c>
      <c r="B90" s="48" t="s">
        <v>6</v>
      </c>
      <c r="C90" s="24" t="s">
        <v>4</v>
      </c>
      <c r="D90" s="49">
        <f t="shared" si="48"/>
        <v>5384.1280000000006</v>
      </c>
      <c r="E90" s="50">
        <f>BUDIDAYA!H21</f>
        <v>1611.0350000000001</v>
      </c>
      <c r="F90" s="50">
        <f>BUDIDAYA!L21</f>
        <v>1266.7060000000001</v>
      </c>
      <c r="G90" s="50">
        <f>BUDIDAYA!P21</f>
        <v>1063.8219999999999</v>
      </c>
      <c r="H90" s="50">
        <f>BUDIDAYA!T21</f>
        <v>1442.5650000000001</v>
      </c>
      <c r="I90" s="64"/>
    </row>
    <row r="91" spans="1:9" x14ac:dyDescent="0.35">
      <c r="A91" s="2">
        <f t="shared" si="47"/>
        <v>5</v>
      </c>
      <c r="B91" s="48" t="s">
        <v>7</v>
      </c>
      <c r="C91" s="24" t="s">
        <v>4</v>
      </c>
      <c r="D91" s="49">
        <f t="shared" si="48"/>
        <v>849.31600000000003</v>
      </c>
      <c r="E91" s="50">
        <f>BUDIDAYA!H22</f>
        <v>226.59399999999999</v>
      </c>
      <c r="F91" s="50">
        <f>BUDIDAYA!L22</f>
        <v>206.553</v>
      </c>
      <c r="G91" s="50">
        <f>BUDIDAYA!P22</f>
        <v>202.71699999999998</v>
      </c>
      <c r="H91" s="50">
        <f>BUDIDAYA!T22</f>
        <v>213.452</v>
      </c>
      <c r="I91" s="64"/>
    </row>
    <row r="92" spans="1:9" x14ac:dyDescent="0.35">
      <c r="A92" s="2">
        <f t="shared" si="47"/>
        <v>6</v>
      </c>
      <c r="B92" s="48" t="s">
        <v>29</v>
      </c>
      <c r="C92" s="24" t="s">
        <v>4</v>
      </c>
      <c r="D92" s="49">
        <f t="shared" si="48"/>
        <v>160439.07452691664</v>
      </c>
      <c r="E92" s="50">
        <f>BUDIDAYA!H23</f>
        <v>40844.408346231226</v>
      </c>
      <c r="F92" s="50">
        <f>BUDIDAYA!L23</f>
        <v>40844.019987881125</v>
      </c>
      <c r="G92" s="50">
        <f>BUDIDAYA!P23</f>
        <v>40001.284342798186</v>
      </c>
      <c r="H92" s="50">
        <f>BUDIDAYA!T23</f>
        <v>38749.361850006091</v>
      </c>
      <c r="I92" s="64"/>
    </row>
    <row r="93" spans="1:9" x14ac:dyDescent="0.35">
      <c r="A93" s="2">
        <f t="shared" si="47"/>
        <v>7</v>
      </c>
      <c r="B93" s="48" t="s">
        <v>8</v>
      </c>
      <c r="C93" s="24" t="s">
        <v>4</v>
      </c>
      <c r="D93" s="49">
        <f t="shared" si="48"/>
        <v>16410.715470161089</v>
      </c>
      <c r="E93" s="50">
        <f>BUDIDAYA!H24</f>
        <v>4228.9880009917051</v>
      </c>
      <c r="F93" s="50">
        <f>BUDIDAYA!L24</f>
        <v>3332.1249983504322</v>
      </c>
      <c r="G93" s="50">
        <f>BUDIDAYA!P24</f>
        <v>4388.8399370154984</v>
      </c>
      <c r="H93" s="50">
        <f>BUDIDAYA!T24</f>
        <v>4460.7625338034522</v>
      </c>
      <c r="I93" s="64"/>
    </row>
    <row r="94" spans="1:9" x14ac:dyDescent="0.35">
      <c r="A94" s="2">
        <f t="shared" si="47"/>
        <v>8</v>
      </c>
      <c r="B94" s="48" t="s">
        <v>9</v>
      </c>
      <c r="C94" s="24" t="s">
        <v>4</v>
      </c>
      <c r="D94" s="49">
        <f t="shared" si="48"/>
        <v>14792</v>
      </c>
      <c r="E94" s="50">
        <f>BUDIDAYA!H25</f>
        <v>3845.7</v>
      </c>
      <c r="F94" s="50">
        <f>BUDIDAYA!L25</f>
        <v>3727.8</v>
      </c>
      <c r="G94" s="50">
        <f>BUDIDAYA!P25</f>
        <v>3551.9</v>
      </c>
      <c r="H94" s="50">
        <f>BUDIDAYA!T25</f>
        <v>3666.5999999999995</v>
      </c>
      <c r="I94" s="64"/>
    </row>
    <row r="95" spans="1:9" x14ac:dyDescent="0.35">
      <c r="A95" s="2">
        <f t="shared" si="47"/>
        <v>9</v>
      </c>
      <c r="B95" s="48" t="s">
        <v>10</v>
      </c>
      <c r="C95" s="24" t="s">
        <v>4</v>
      </c>
      <c r="D95" s="49">
        <f t="shared" si="48"/>
        <v>25514.275000000001</v>
      </c>
      <c r="E95" s="50">
        <f>BUDIDAYA!H26</f>
        <v>6417.1200000000008</v>
      </c>
      <c r="F95" s="50">
        <f>BUDIDAYA!L26</f>
        <v>6917.1200000000008</v>
      </c>
      <c r="G95" s="50">
        <f>BUDIDAYA!P26</f>
        <v>6098.7849999999999</v>
      </c>
      <c r="H95" s="50">
        <f>BUDIDAYA!T26</f>
        <v>6081.25</v>
      </c>
      <c r="I95" s="64"/>
    </row>
    <row r="96" spans="1:9" x14ac:dyDescent="0.35">
      <c r="A96" s="2">
        <f t="shared" si="47"/>
        <v>10</v>
      </c>
      <c r="B96" s="48" t="s">
        <v>11</v>
      </c>
      <c r="C96" s="24" t="s">
        <v>4</v>
      </c>
      <c r="D96" s="49">
        <f t="shared" si="48"/>
        <v>46941.846999999994</v>
      </c>
      <c r="E96" s="50">
        <f>BUDIDAYA!H27</f>
        <v>13960.779999999999</v>
      </c>
      <c r="F96" s="50">
        <f>BUDIDAYA!L27</f>
        <v>28179.905999999995</v>
      </c>
      <c r="G96" s="50">
        <f>BUDIDAYA!P27</f>
        <v>3015.3129999999996</v>
      </c>
      <c r="H96" s="50">
        <f>BUDIDAYA!T27</f>
        <v>1785.848</v>
      </c>
      <c r="I96" s="64"/>
    </row>
    <row r="97" spans="1:9" x14ac:dyDescent="0.35">
      <c r="A97" s="2">
        <f t="shared" si="47"/>
        <v>11</v>
      </c>
      <c r="B97" s="48" t="s">
        <v>30</v>
      </c>
      <c r="C97" s="24" t="s">
        <v>4</v>
      </c>
      <c r="D97" s="49">
        <f t="shared" si="48"/>
        <v>5111.5964000000004</v>
      </c>
      <c r="E97" s="50">
        <f>BUDIDAYA!H28</f>
        <v>1312.0003999999999</v>
      </c>
      <c r="F97" s="50">
        <f>BUDIDAYA!L28</f>
        <v>1263.317</v>
      </c>
      <c r="G97" s="50">
        <f>BUDIDAYA!P28</f>
        <v>1250.893</v>
      </c>
      <c r="H97" s="50">
        <f>BUDIDAYA!T28</f>
        <v>1285.386</v>
      </c>
      <c r="I97" s="64"/>
    </row>
    <row r="98" spans="1:9" x14ac:dyDescent="0.35">
      <c r="A98" s="2">
        <f t="shared" si="47"/>
        <v>12</v>
      </c>
      <c r="B98" s="48" t="s">
        <v>12</v>
      </c>
      <c r="C98" s="24" t="s">
        <v>4</v>
      </c>
      <c r="D98" s="49">
        <f t="shared" si="48"/>
        <v>3850.1000000000004</v>
      </c>
      <c r="E98" s="50">
        <f>BUDIDAYA!H29</f>
        <v>983.3</v>
      </c>
      <c r="F98" s="50">
        <f>BUDIDAYA!L29</f>
        <v>990.80000000000007</v>
      </c>
      <c r="G98" s="50">
        <f>BUDIDAYA!P29</f>
        <v>881.45</v>
      </c>
      <c r="H98" s="50">
        <f>BUDIDAYA!T29</f>
        <v>994.55</v>
      </c>
      <c r="I98" s="64"/>
    </row>
    <row r="99" spans="1:9" x14ac:dyDescent="0.35">
      <c r="A99" s="2">
        <f t="shared" si="47"/>
        <v>13</v>
      </c>
      <c r="B99" s="48" t="s">
        <v>13</v>
      </c>
      <c r="C99" s="24" t="s">
        <v>4</v>
      </c>
      <c r="D99" s="49">
        <f t="shared" si="48"/>
        <v>1860.28</v>
      </c>
      <c r="E99" s="50">
        <f>BUDIDAYA!H30</f>
        <v>483.58000000000004</v>
      </c>
      <c r="F99" s="50">
        <f>BUDIDAYA!L30</f>
        <v>483.70000000000005</v>
      </c>
      <c r="G99" s="50">
        <f>BUDIDAYA!P30</f>
        <v>430.99</v>
      </c>
      <c r="H99" s="50">
        <f>BUDIDAYA!T30</f>
        <v>462.01000000000005</v>
      </c>
      <c r="I99" s="64"/>
    </row>
    <row r="100" spans="1:9" x14ac:dyDescent="0.35">
      <c r="A100" s="2">
        <f t="shared" si="47"/>
        <v>14</v>
      </c>
      <c r="B100" s="48" t="s">
        <v>14</v>
      </c>
      <c r="C100" s="24" t="s">
        <v>4</v>
      </c>
      <c r="D100" s="49">
        <f t="shared" si="48"/>
        <v>13264.3</v>
      </c>
      <c r="E100" s="50">
        <f>BUDIDAYA!H31</f>
        <v>3821.3</v>
      </c>
      <c r="F100" s="50">
        <f>BUDIDAYA!L31</f>
        <v>3421.5</v>
      </c>
      <c r="G100" s="50">
        <f>BUDIDAYA!P31</f>
        <v>2417</v>
      </c>
      <c r="H100" s="50">
        <f>BUDIDAYA!T31</f>
        <v>3604.5</v>
      </c>
      <c r="I100" s="64"/>
    </row>
    <row r="101" spans="1:9" x14ac:dyDescent="0.35">
      <c r="A101" s="2">
        <f t="shared" si="47"/>
        <v>15</v>
      </c>
      <c r="B101" s="48" t="s">
        <v>15</v>
      </c>
      <c r="C101" s="24" t="s">
        <v>4</v>
      </c>
      <c r="D101" s="49">
        <f t="shared" si="48"/>
        <v>1816.6179999999999</v>
      </c>
      <c r="E101" s="50">
        <f>BUDIDAYA!H32</f>
        <v>460.5</v>
      </c>
      <c r="F101" s="50">
        <f>BUDIDAYA!L32</f>
        <v>445.76</v>
      </c>
      <c r="G101" s="50">
        <f>BUDIDAYA!P32</f>
        <v>447.49799999999999</v>
      </c>
      <c r="H101" s="50">
        <f>BUDIDAYA!T32</f>
        <v>462.86</v>
      </c>
      <c r="I101" s="64"/>
    </row>
    <row r="102" spans="1:9" x14ac:dyDescent="0.35">
      <c r="A102" s="2">
        <f t="shared" si="47"/>
        <v>16</v>
      </c>
      <c r="B102" s="48" t="s">
        <v>31</v>
      </c>
      <c r="C102" s="24" t="s">
        <v>4</v>
      </c>
      <c r="D102" s="49">
        <f t="shared" si="48"/>
        <v>11030</v>
      </c>
      <c r="E102" s="50">
        <f>BUDIDAYA!H33</f>
        <v>3007</v>
      </c>
      <c r="F102" s="50">
        <f>BUDIDAYA!L33</f>
        <v>2898</v>
      </c>
      <c r="G102" s="50">
        <f>BUDIDAYA!P33</f>
        <v>2520</v>
      </c>
      <c r="H102" s="50">
        <f>BUDIDAYA!T33</f>
        <v>2605</v>
      </c>
      <c r="I102" s="64"/>
    </row>
    <row r="103" spans="1:9" x14ac:dyDescent="0.35">
      <c r="A103" s="2">
        <f t="shared" si="47"/>
        <v>17</v>
      </c>
      <c r="B103" s="48" t="s">
        <v>32</v>
      </c>
      <c r="C103" s="24" t="s">
        <v>4</v>
      </c>
      <c r="D103" s="49">
        <f t="shared" si="48"/>
        <v>4513.4579999999996</v>
      </c>
      <c r="E103" s="50">
        <f>BUDIDAYA!H34</f>
        <v>1129.2570000000001</v>
      </c>
      <c r="F103" s="50">
        <f>BUDIDAYA!L34</f>
        <v>1146.4470000000001</v>
      </c>
      <c r="G103" s="50">
        <f>BUDIDAYA!P34</f>
        <v>1141.0119999999997</v>
      </c>
      <c r="H103" s="50">
        <f>BUDIDAYA!T34</f>
        <v>1096.742</v>
      </c>
      <c r="I103" s="64"/>
    </row>
    <row r="104" spans="1:9" x14ac:dyDescent="0.35">
      <c r="A104" s="2">
        <f t="shared" si="47"/>
        <v>18</v>
      </c>
      <c r="B104" s="48" t="s">
        <v>33</v>
      </c>
      <c r="C104" s="24" t="s">
        <v>4</v>
      </c>
      <c r="D104" s="49">
        <f t="shared" si="48"/>
        <v>2663.4620000000004</v>
      </c>
      <c r="E104" s="50">
        <f>BUDIDAYA!H35</f>
        <v>547.26800000000003</v>
      </c>
      <c r="F104" s="50">
        <f>BUDIDAYA!L35</f>
        <v>588.58400000000006</v>
      </c>
      <c r="G104" s="50">
        <f>BUDIDAYA!P35</f>
        <v>741.91100000000006</v>
      </c>
      <c r="H104" s="50">
        <f>BUDIDAYA!T35</f>
        <v>785.69900000000007</v>
      </c>
      <c r="I104" s="64"/>
    </row>
    <row r="105" spans="1:9" x14ac:dyDescent="0.35">
      <c r="A105" s="2">
        <f t="shared" si="47"/>
        <v>19</v>
      </c>
      <c r="B105" s="48" t="s">
        <v>34</v>
      </c>
      <c r="C105" s="24" t="s">
        <v>4</v>
      </c>
      <c r="D105" s="49">
        <f t="shared" si="48"/>
        <v>1315.693</v>
      </c>
      <c r="E105" s="50">
        <f>BUDIDAYA!H36</f>
        <v>315.06400000000002</v>
      </c>
      <c r="F105" s="50">
        <f>BUDIDAYA!L36</f>
        <v>276.48099999999999</v>
      </c>
      <c r="G105" s="50">
        <f>BUDIDAYA!P36</f>
        <v>290.01</v>
      </c>
      <c r="H105" s="50">
        <f>BUDIDAYA!T36</f>
        <v>434.13799999999998</v>
      </c>
      <c r="I105" s="64"/>
    </row>
    <row r="106" spans="1:9" x14ac:dyDescent="0.35">
      <c r="A106" s="2">
        <f t="shared" si="47"/>
        <v>20</v>
      </c>
      <c r="B106" s="48" t="s">
        <v>35</v>
      </c>
      <c r="C106" s="24" t="s">
        <v>4</v>
      </c>
      <c r="D106" s="49">
        <f t="shared" si="48"/>
        <v>25295.17427</v>
      </c>
      <c r="E106" s="50">
        <f>BUDIDAYA!H37</f>
        <v>6438.6575600000006</v>
      </c>
      <c r="F106" s="50">
        <f>BUDIDAYA!L37</f>
        <v>5936.6751199999999</v>
      </c>
      <c r="G106" s="50">
        <f>BUDIDAYA!P37</f>
        <v>6880.3193900000006</v>
      </c>
      <c r="H106" s="50">
        <f>BUDIDAYA!T37</f>
        <v>6039.5222000000003</v>
      </c>
      <c r="I106" s="64"/>
    </row>
    <row r="107" spans="1:9" x14ac:dyDescent="0.35">
      <c r="A107" s="2">
        <f t="shared" si="47"/>
        <v>21</v>
      </c>
      <c r="B107" s="48" t="s">
        <v>36</v>
      </c>
      <c r="C107" s="24" t="s">
        <v>4</v>
      </c>
      <c r="D107" s="49">
        <f t="shared" si="48"/>
        <v>2197.3159999999998</v>
      </c>
      <c r="E107" s="50">
        <f>BUDIDAYA!H38</f>
        <v>572.47299999999996</v>
      </c>
      <c r="F107" s="50">
        <f>BUDIDAYA!L38</f>
        <v>577.91499999999996</v>
      </c>
      <c r="G107" s="50">
        <f>BUDIDAYA!P38</f>
        <v>516.57600000000002</v>
      </c>
      <c r="H107" s="50">
        <f>BUDIDAYA!T38</f>
        <v>530.35200000000009</v>
      </c>
      <c r="I107" s="64"/>
    </row>
    <row r="108" spans="1:9" x14ac:dyDescent="0.35">
      <c r="A108" s="2">
        <f t="shared" si="47"/>
        <v>22</v>
      </c>
      <c r="B108" s="48" t="s">
        <v>37</v>
      </c>
      <c r="C108" s="24" t="s">
        <v>4</v>
      </c>
      <c r="D108" s="49">
        <f t="shared" si="48"/>
        <v>15433.568000000003</v>
      </c>
      <c r="E108" s="50">
        <f>BUDIDAYA!H39</f>
        <v>4712.9000000000005</v>
      </c>
      <c r="F108" s="50">
        <f>BUDIDAYA!L39</f>
        <v>3886.59</v>
      </c>
      <c r="G108" s="50">
        <f>BUDIDAYA!P39</f>
        <v>4027.2080000000001</v>
      </c>
      <c r="H108" s="50">
        <f>BUDIDAYA!T39</f>
        <v>2806.87</v>
      </c>
      <c r="I108" s="64"/>
    </row>
    <row r="109" spans="1:9" x14ac:dyDescent="0.35">
      <c r="A109" s="2">
        <v>23</v>
      </c>
      <c r="B109" s="48" t="s">
        <v>16</v>
      </c>
      <c r="C109" s="24" t="s">
        <v>4</v>
      </c>
      <c r="D109" s="49">
        <f t="shared" si="48"/>
        <v>1083.028</v>
      </c>
      <c r="E109" s="50">
        <f>BUDIDAYA!H40</f>
        <v>314.64500000000004</v>
      </c>
      <c r="F109" s="50">
        <f>BUDIDAYA!L40</f>
        <v>357.36700000000002</v>
      </c>
      <c r="G109" s="50">
        <f>BUDIDAYA!P40</f>
        <v>147.37</v>
      </c>
      <c r="H109" s="50">
        <f>BUDIDAYA!T40</f>
        <v>263.64599999999996</v>
      </c>
      <c r="I109" s="64"/>
    </row>
    <row r="110" spans="1:9" x14ac:dyDescent="0.35">
      <c r="A110" s="2">
        <v>24</v>
      </c>
      <c r="B110" s="48" t="s">
        <v>17</v>
      </c>
      <c r="C110" s="24" t="s">
        <v>4</v>
      </c>
      <c r="D110" s="49">
        <f t="shared" si="48"/>
        <v>110739.68700000001</v>
      </c>
      <c r="E110" s="50">
        <f>BUDIDAYA!H41</f>
        <v>26443.381000000001</v>
      </c>
      <c r="F110" s="50">
        <f>BUDIDAYA!L41</f>
        <v>26639.451999999997</v>
      </c>
      <c r="G110" s="50">
        <f>BUDIDAYA!P41</f>
        <v>31984.704000000005</v>
      </c>
      <c r="H110" s="50">
        <f>BUDIDAYA!T41</f>
        <v>25672.15</v>
      </c>
      <c r="I110" s="64"/>
    </row>
    <row r="111" spans="1:9" x14ac:dyDescent="0.35">
      <c r="A111" s="2">
        <v>25</v>
      </c>
      <c r="B111" s="48" t="s">
        <v>18</v>
      </c>
      <c r="C111" s="24" t="s">
        <v>4</v>
      </c>
      <c r="D111" s="49">
        <f t="shared" si="48"/>
        <v>11675.328</v>
      </c>
      <c r="E111" s="50">
        <f>BUDIDAYA!H42</f>
        <v>2983.7269999999999</v>
      </c>
      <c r="F111" s="50">
        <f>BUDIDAYA!L42</f>
        <v>3120.1550000000002</v>
      </c>
      <c r="G111" s="50">
        <f>BUDIDAYA!P42</f>
        <v>3096.41</v>
      </c>
      <c r="H111" s="50">
        <f>BUDIDAYA!T42</f>
        <v>2475.0360000000001</v>
      </c>
      <c r="I111" s="64"/>
    </row>
    <row r="112" spans="1:9" x14ac:dyDescent="0.35">
      <c r="A112" s="2">
        <v>26</v>
      </c>
      <c r="B112" s="48" t="s">
        <v>19</v>
      </c>
      <c r="C112" s="24" t="s">
        <v>4</v>
      </c>
      <c r="D112" s="49">
        <f t="shared" si="48"/>
        <v>770272.09639999992</v>
      </c>
      <c r="E112" s="50">
        <f>BUDIDAYA!H43</f>
        <v>156973.53519999998</v>
      </c>
      <c r="F112" s="50">
        <f>BUDIDAYA!L43</f>
        <v>169529.05350000001</v>
      </c>
      <c r="G112" s="50">
        <f>BUDIDAYA!P43</f>
        <v>228142.36470000001</v>
      </c>
      <c r="H112" s="50">
        <f>BUDIDAYA!T43</f>
        <v>215627.14299999998</v>
      </c>
      <c r="I112" s="64"/>
    </row>
    <row r="113" spans="1:9" x14ac:dyDescent="0.35">
      <c r="A113" s="2">
        <v>27</v>
      </c>
      <c r="B113" s="48" t="s">
        <v>20</v>
      </c>
      <c r="C113" s="24" t="s">
        <v>4</v>
      </c>
      <c r="D113" s="49">
        <f t="shared" si="48"/>
        <v>5088.4629999999997</v>
      </c>
      <c r="E113" s="50">
        <f>BUDIDAYA!H44</f>
        <v>1330.8140000000001</v>
      </c>
      <c r="F113" s="50">
        <f>BUDIDAYA!L44</f>
        <v>1396.5360000000001</v>
      </c>
      <c r="G113" s="50">
        <f>BUDIDAYA!P44</f>
        <v>1236.4449999999999</v>
      </c>
      <c r="H113" s="50">
        <f>BUDIDAYA!T44</f>
        <v>1124.6680000000001</v>
      </c>
      <c r="I113" s="64"/>
    </row>
    <row r="114" spans="1:9" x14ac:dyDescent="0.35">
      <c r="A114" s="2">
        <v>28</v>
      </c>
      <c r="B114" s="48" t="s">
        <v>21</v>
      </c>
      <c r="C114" s="24" t="s">
        <v>4</v>
      </c>
      <c r="D114" s="49">
        <f t="shared" si="48"/>
        <v>53319.430000000008</v>
      </c>
      <c r="E114" s="50">
        <f>BUDIDAYA!H45</f>
        <v>14404.74</v>
      </c>
      <c r="F114" s="50">
        <f>BUDIDAYA!L45</f>
        <v>12346.92</v>
      </c>
      <c r="G114" s="50">
        <f>BUDIDAYA!P45</f>
        <v>9774.6699999999983</v>
      </c>
      <c r="H114" s="50">
        <f>BUDIDAYA!T45</f>
        <v>16793.100000000002</v>
      </c>
      <c r="I114" s="64"/>
    </row>
    <row r="115" spans="1:9" x14ac:dyDescent="0.35">
      <c r="A115" s="2">
        <v>29</v>
      </c>
      <c r="B115" s="48" t="s">
        <v>22</v>
      </c>
      <c r="C115" s="24" t="s">
        <v>4</v>
      </c>
      <c r="D115" s="49">
        <f t="shared" si="48"/>
        <v>53751.5</v>
      </c>
      <c r="E115" s="50">
        <f>BUDIDAYA!H46</f>
        <v>12372</v>
      </c>
      <c r="F115" s="50">
        <f>BUDIDAYA!L46</f>
        <v>13819.5</v>
      </c>
      <c r="G115" s="50">
        <f>BUDIDAYA!P46</f>
        <v>13208.5</v>
      </c>
      <c r="H115" s="50">
        <f>BUDIDAYA!T46</f>
        <v>14351.5</v>
      </c>
      <c r="I115" s="64"/>
    </row>
    <row r="116" spans="1:9" x14ac:dyDescent="0.35">
      <c r="A116" s="2">
        <v>30</v>
      </c>
      <c r="B116" s="48" t="s">
        <v>46</v>
      </c>
      <c r="C116" s="24" t="s">
        <v>4</v>
      </c>
      <c r="D116" s="49">
        <f t="shared" si="48"/>
        <v>65.338999999999999</v>
      </c>
      <c r="E116" s="50">
        <f>BUDIDAYA!H47</f>
        <v>15.201000000000001</v>
      </c>
      <c r="F116" s="50">
        <f>BUDIDAYA!L47</f>
        <v>15.83</v>
      </c>
      <c r="G116" s="50">
        <f>BUDIDAYA!P47</f>
        <v>16.882999999999999</v>
      </c>
      <c r="H116" s="50">
        <f>BUDIDAYA!T47</f>
        <v>17.424999999999997</v>
      </c>
      <c r="I116" s="64"/>
    </row>
    <row r="117" spans="1:9" x14ac:dyDescent="0.35">
      <c r="A117" s="2">
        <v>31</v>
      </c>
      <c r="B117" s="48" t="s">
        <v>47</v>
      </c>
      <c r="C117" s="24" t="s">
        <v>4</v>
      </c>
      <c r="D117" s="49">
        <f t="shared" si="48"/>
        <v>244.77999999999997</v>
      </c>
      <c r="E117" s="50">
        <f>BUDIDAYA!H48</f>
        <v>68.429999999999993</v>
      </c>
      <c r="F117" s="50">
        <f>BUDIDAYA!L48</f>
        <v>62.699999999999996</v>
      </c>
      <c r="G117" s="50">
        <f>BUDIDAYA!P48</f>
        <v>61.14</v>
      </c>
      <c r="H117" s="50">
        <f>BUDIDAYA!T48</f>
        <v>52.510000000000005</v>
      </c>
      <c r="I117" s="64"/>
    </row>
    <row r="118" spans="1:9" x14ac:dyDescent="0.35">
      <c r="A118" s="2">
        <v>32</v>
      </c>
      <c r="B118" s="48" t="s">
        <v>48</v>
      </c>
      <c r="C118" s="24" t="s">
        <v>4</v>
      </c>
      <c r="D118" s="49">
        <f t="shared" si="48"/>
        <v>193.10000000000002</v>
      </c>
      <c r="E118" s="50">
        <f>BUDIDAYA!H49</f>
        <v>50.9</v>
      </c>
      <c r="F118" s="50">
        <f>BUDIDAYA!L49</f>
        <v>47.6</v>
      </c>
      <c r="G118" s="50">
        <f>BUDIDAYA!P49</f>
        <v>46.3</v>
      </c>
      <c r="H118" s="50">
        <f>BUDIDAYA!T49</f>
        <v>48.300000000000004</v>
      </c>
      <c r="I118" s="64"/>
    </row>
    <row r="119" spans="1:9" x14ac:dyDescent="0.35">
      <c r="A119" s="2">
        <v>33</v>
      </c>
      <c r="B119" s="48" t="s">
        <v>23</v>
      </c>
      <c r="C119" s="24" t="s">
        <v>4</v>
      </c>
      <c r="D119" s="49">
        <f t="shared" si="48"/>
        <v>290.62495000000001</v>
      </c>
      <c r="E119" s="50">
        <f>BUDIDAYA!H50</f>
        <v>91.944980000000001</v>
      </c>
      <c r="F119" s="50">
        <f>BUDIDAYA!L50</f>
        <v>82.789969999999997</v>
      </c>
      <c r="G119" s="50">
        <f>BUDIDAYA!P50</f>
        <v>55.364999999999995</v>
      </c>
      <c r="H119" s="50">
        <f>BUDIDAYA!T50</f>
        <v>60.525000000000006</v>
      </c>
      <c r="I119" s="64"/>
    </row>
    <row r="120" spans="1:9" x14ac:dyDescent="0.35">
      <c r="A120" s="2">
        <v>34</v>
      </c>
      <c r="B120" s="48" t="s">
        <v>24</v>
      </c>
      <c r="C120" s="24" t="s">
        <v>4</v>
      </c>
      <c r="D120" s="49">
        <f t="shared" si="48"/>
        <v>162</v>
      </c>
      <c r="E120" s="50">
        <f>BUDIDAYA!H51</f>
        <v>47</v>
      </c>
      <c r="F120" s="50">
        <f>BUDIDAYA!L51</f>
        <v>35</v>
      </c>
      <c r="G120" s="50">
        <f>BUDIDAYA!P51</f>
        <v>24.999999999999996</v>
      </c>
      <c r="H120" s="50">
        <f>BUDIDAYA!T51</f>
        <v>55</v>
      </c>
      <c r="I120" s="64"/>
    </row>
    <row r="121" spans="1:9" x14ac:dyDescent="0.35">
      <c r="A121" s="2">
        <v>35</v>
      </c>
      <c r="B121" s="48" t="s">
        <v>49</v>
      </c>
      <c r="C121" s="24" t="s">
        <v>4</v>
      </c>
      <c r="D121" s="49">
        <f t="shared" si="48"/>
        <v>228.71099999999998</v>
      </c>
      <c r="E121" s="50">
        <f>BUDIDAYA!H52</f>
        <v>57.33</v>
      </c>
      <c r="F121" s="50">
        <f>BUDIDAYA!L52</f>
        <v>56.643999999999998</v>
      </c>
      <c r="G121" s="50">
        <f>BUDIDAYA!P52</f>
        <v>56.867999999999995</v>
      </c>
      <c r="H121" s="50">
        <f>BUDIDAYA!T52</f>
        <v>57.868999999999993</v>
      </c>
      <c r="I121" s="64"/>
    </row>
    <row r="122" spans="1:9" x14ac:dyDescent="0.35">
      <c r="A122" s="2">
        <v>36</v>
      </c>
      <c r="B122" s="48" t="s">
        <v>50</v>
      </c>
      <c r="C122" s="24" t="s">
        <v>4</v>
      </c>
      <c r="D122" s="49">
        <f t="shared" si="48"/>
        <v>2662.915</v>
      </c>
      <c r="E122" s="50">
        <f>BUDIDAYA!H53</f>
        <v>656.26600000000008</v>
      </c>
      <c r="F122" s="50">
        <f>BUDIDAYA!L53</f>
        <v>658.74199999999996</v>
      </c>
      <c r="G122" s="50">
        <f>BUDIDAYA!P53</f>
        <v>736.17700000000002</v>
      </c>
      <c r="H122" s="50">
        <f>BUDIDAYA!T53</f>
        <v>611.73</v>
      </c>
      <c r="I122" s="64"/>
    </row>
    <row r="123" spans="1:9" x14ac:dyDescent="0.35">
      <c r="A123" s="2">
        <v>37</v>
      </c>
      <c r="B123" s="48" t="s">
        <v>25</v>
      </c>
      <c r="C123" s="24" t="s">
        <v>4</v>
      </c>
      <c r="D123" s="49">
        <f t="shared" si="48"/>
        <v>429.08219999999994</v>
      </c>
      <c r="E123" s="50">
        <f>BUDIDAYA!H54</f>
        <v>94.015199999999993</v>
      </c>
      <c r="F123" s="50">
        <f>BUDIDAYA!L54</f>
        <v>83.147999999999996</v>
      </c>
      <c r="G123" s="50">
        <f>BUDIDAYA!P54</f>
        <v>59.605999999999995</v>
      </c>
      <c r="H123" s="50">
        <f>BUDIDAYA!T54</f>
        <v>192.31299999999999</v>
      </c>
      <c r="I123" s="64"/>
    </row>
    <row r="124" spans="1:9" x14ac:dyDescent="0.35">
      <c r="A124" s="2">
        <v>38</v>
      </c>
      <c r="B124" s="48" t="s">
        <v>51</v>
      </c>
      <c r="C124" s="24" t="s">
        <v>4</v>
      </c>
      <c r="D124" s="49">
        <f t="shared" si="48"/>
        <v>9979.52</v>
      </c>
      <c r="E124" s="50">
        <f>BUDIDAYA!H55</f>
        <v>2894.7</v>
      </c>
      <c r="F124" s="50">
        <f>BUDIDAYA!L55</f>
        <v>2272.63</v>
      </c>
      <c r="G124" s="50">
        <f>BUDIDAYA!P55</f>
        <v>2362.2399999999998</v>
      </c>
      <c r="H124" s="50">
        <f>BUDIDAYA!T55</f>
        <v>2449.9499999999998</v>
      </c>
      <c r="I124" s="64"/>
    </row>
    <row r="127" spans="1:9" x14ac:dyDescent="0.35">
      <c r="A127" s="1" t="s">
        <v>110</v>
      </c>
      <c r="B127" s="1"/>
    </row>
    <row r="128" spans="1:9" ht="15.5" x14ac:dyDescent="0.35">
      <c r="A128" s="10" t="s">
        <v>0</v>
      </c>
      <c r="B128" s="10" t="s">
        <v>1</v>
      </c>
      <c r="C128" s="10" t="s">
        <v>2</v>
      </c>
      <c r="D128" s="10" t="s">
        <v>67</v>
      </c>
      <c r="E128" s="11" t="s">
        <v>27</v>
      </c>
      <c r="F128" s="11" t="s">
        <v>54</v>
      </c>
      <c r="G128" s="11" t="s">
        <v>57</v>
      </c>
      <c r="H128" s="8" t="s">
        <v>59</v>
      </c>
    </row>
    <row r="129" spans="1:8" ht="15.5" x14ac:dyDescent="0.35">
      <c r="A129" s="12"/>
      <c r="B129" s="12"/>
      <c r="C129" s="12"/>
      <c r="D129" s="12"/>
      <c r="E129" s="13"/>
      <c r="F129" s="13"/>
      <c r="G129" s="13"/>
      <c r="H129" s="9"/>
    </row>
    <row r="130" spans="1:8" s="1" customFormat="1" x14ac:dyDescent="0.35">
      <c r="A130" s="33"/>
      <c r="B130" s="33" t="s">
        <v>26</v>
      </c>
      <c r="C130" s="33" t="s">
        <v>4</v>
      </c>
      <c r="D130" s="46">
        <f>SUM(E130:H130)</f>
        <v>161.29999999999998</v>
      </c>
      <c r="E130" s="90">
        <f>SUM(E131:E168)</f>
        <v>12.7</v>
      </c>
      <c r="F130" s="90">
        <f>SUM(F131:F168)</f>
        <v>148.6</v>
      </c>
      <c r="G130" s="90">
        <f t="shared" ref="G130:H130" si="49">SUM(G131:G168)</f>
        <v>0</v>
      </c>
      <c r="H130" s="90">
        <f t="shared" si="49"/>
        <v>0</v>
      </c>
    </row>
    <row r="131" spans="1:8" x14ac:dyDescent="0.35">
      <c r="A131" s="2">
        <v>1</v>
      </c>
      <c r="B131" s="48" t="s">
        <v>3</v>
      </c>
      <c r="C131" s="24" t="s">
        <v>4</v>
      </c>
      <c r="D131" s="49">
        <f>SUM(E131:H131)</f>
        <v>0</v>
      </c>
      <c r="E131" s="50">
        <f>GARAM!H7</f>
        <v>0</v>
      </c>
      <c r="F131" s="50">
        <f>GARAM!L7</f>
        <v>0</v>
      </c>
      <c r="G131" s="50">
        <f>GARAM!P7</f>
        <v>0</v>
      </c>
      <c r="H131" s="50">
        <f>GARAM!T7</f>
        <v>0</v>
      </c>
    </row>
    <row r="132" spans="1:8" x14ac:dyDescent="0.35">
      <c r="A132" s="2">
        <f t="shared" ref="A132:A152" si="50">A131+1</f>
        <v>2</v>
      </c>
      <c r="B132" s="48" t="s">
        <v>28</v>
      </c>
      <c r="C132" s="24" t="s">
        <v>4</v>
      </c>
      <c r="D132" s="49">
        <f t="shared" ref="D132:D168" si="51">SUM(E132:H132)</f>
        <v>0</v>
      </c>
      <c r="E132" s="50">
        <f>GARAM!H8</f>
        <v>0</v>
      </c>
      <c r="F132" s="50">
        <f>GARAM!L8</f>
        <v>0</v>
      </c>
      <c r="G132" s="50">
        <f>GARAM!P8</f>
        <v>0</v>
      </c>
      <c r="H132" s="50">
        <f>GARAM!T8</f>
        <v>0</v>
      </c>
    </row>
    <row r="133" spans="1:8" x14ac:dyDescent="0.35">
      <c r="A133" s="2">
        <f t="shared" si="50"/>
        <v>3</v>
      </c>
      <c r="B133" s="48" t="s">
        <v>5</v>
      </c>
      <c r="C133" s="24" t="s">
        <v>4</v>
      </c>
      <c r="D133" s="49">
        <f t="shared" si="51"/>
        <v>0</v>
      </c>
      <c r="E133" s="50">
        <f>GARAM!H9</f>
        <v>0</v>
      </c>
      <c r="F133" s="50">
        <f>GARAM!L9</f>
        <v>0</v>
      </c>
      <c r="G133" s="50">
        <f>GARAM!P9</f>
        <v>0</v>
      </c>
      <c r="H133" s="50">
        <f>GARAM!T9</f>
        <v>0</v>
      </c>
    </row>
    <row r="134" spans="1:8" x14ac:dyDescent="0.35">
      <c r="A134" s="2">
        <f t="shared" si="50"/>
        <v>4</v>
      </c>
      <c r="B134" s="48" t="s">
        <v>6</v>
      </c>
      <c r="C134" s="24" t="s">
        <v>4</v>
      </c>
      <c r="D134" s="49">
        <f t="shared" si="51"/>
        <v>0</v>
      </c>
      <c r="E134" s="50">
        <f>GARAM!H10</f>
        <v>0</v>
      </c>
      <c r="F134" s="50">
        <f>GARAM!L10</f>
        <v>0</v>
      </c>
      <c r="G134" s="50">
        <f>GARAM!P10</f>
        <v>0</v>
      </c>
      <c r="H134" s="50">
        <f>GARAM!T10</f>
        <v>0</v>
      </c>
    </row>
    <row r="135" spans="1:8" x14ac:dyDescent="0.35">
      <c r="A135" s="2">
        <f t="shared" si="50"/>
        <v>5</v>
      </c>
      <c r="B135" s="48" t="s">
        <v>7</v>
      </c>
      <c r="C135" s="24" t="s">
        <v>4</v>
      </c>
      <c r="D135" s="49">
        <f t="shared" si="51"/>
        <v>0</v>
      </c>
      <c r="E135" s="50">
        <f>GARAM!H11</f>
        <v>0</v>
      </c>
      <c r="F135" s="50">
        <f>GARAM!L11</f>
        <v>0</v>
      </c>
      <c r="G135" s="50">
        <f>GARAM!P11</f>
        <v>0</v>
      </c>
      <c r="H135" s="50">
        <f>GARAM!T11</f>
        <v>0</v>
      </c>
    </row>
    <row r="136" spans="1:8" x14ac:dyDescent="0.35">
      <c r="A136" s="2">
        <f t="shared" si="50"/>
        <v>6</v>
      </c>
      <c r="B136" s="48" t="s">
        <v>29</v>
      </c>
      <c r="C136" s="24" t="s">
        <v>4</v>
      </c>
      <c r="D136" s="49">
        <f t="shared" si="51"/>
        <v>0</v>
      </c>
      <c r="E136" s="50">
        <f>GARAM!H12</f>
        <v>0</v>
      </c>
      <c r="F136" s="50">
        <f>GARAM!L12</f>
        <v>0</v>
      </c>
      <c r="G136" s="50">
        <f>GARAM!P12</f>
        <v>0</v>
      </c>
      <c r="H136" s="50">
        <f>GARAM!T12</f>
        <v>0</v>
      </c>
    </row>
    <row r="137" spans="1:8" x14ac:dyDescent="0.35">
      <c r="A137" s="2">
        <f t="shared" si="50"/>
        <v>7</v>
      </c>
      <c r="B137" s="48" t="s">
        <v>8</v>
      </c>
      <c r="C137" s="24" t="s">
        <v>4</v>
      </c>
      <c r="D137" s="49">
        <f t="shared" si="51"/>
        <v>0</v>
      </c>
      <c r="E137" s="50">
        <f>GARAM!H13</f>
        <v>0</v>
      </c>
      <c r="F137" s="50">
        <f>GARAM!L13</f>
        <v>0</v>
      </c>
      <c r="G137" s="50">
        <f>GARAM!P13</f>
        <v>0</v>
      </c>
      <c r="H137" s="50">
        <f>GARAM!T13</f>
        <v>0</v>
      </c>
    </row>
    <row r="138" spans="1:8" x14ac:dyDescent="0.35">
      <c r="A138" s="2">
        <f t="shared" si="50"/>
        <v>8</v>
      </c>
      <c r="B138" s="48" t="s">
        <v>9</v>
      </c>
      <c r="C138" s="24" t="s">
        <v>4</v>
      </c>
      <c r="D138" s="49">
        <f t="shared" si="51"/>
        <v>0</v>
      </c>
      <c r="E138" s="50">
        <f>GARAM!H14</f>
        <v>0</v>
      </c>
      <c r="F138" s="50">
        <f>GARAM!L14</f>
        <v>0</v>
      </c>
      <c r="G138" s="50">
        <f>GARAM!P14</f>
        <v>0</v>
      </c>
      <c r="H138" s="50">
        <f>GARAM!T14</f>
        <v>0</v>
      </c>
    </row>
    <row r="139" spans="1:8" x14ac:dyDescent="0.35">
      <c r="A139" s="2">
        <f t="shared" si="50"/>
        <v>9</v>
      </c>
      <c r="B139" s="48" t="s">
        <v>10</v>
      </c>
      <c r="C139" s="24" t="s">
        <v>4</v>
      </c>
      <c r="D139" s="49">
        <f t="shared" si="51"/>
        <v>0</v>
      </c>
      <c r="E139" s="50">
        <f>GARAM!H15</f>
        <v>0</v>
      </c>
      <c r="F139" s="50">
        <f>GARAM!L15</f>
        <v>0</v>
      </c>
      <c r="G139" s="50">
        <f>GARAM!P15</f>
        <v>0</v>
      </c>
      <c r="H139" s="50">
        <f>GARAM!T15</f>
        <v>0</v>
      </c>
    </row>
    <row r="140" spans="1:8" x14ac:dyDescent="0.35">
      <c r="A140" s="2">
        <f t="shared" si="50"/>
        <v>10</v>
      </c>
      <c r="B140" s="48" t="s">
        <v>11</v>
      </c>
      <c r="C140" s="24" t="s">
        <v>4</v>
      </c>
      <c r="D140" s="49">
        <f t="shared" si="51"/>
        <v>0</v>
      </c>
      <c r="E140" s="50">
        <f>GARAM!H16</f>
        <v>0</v>
      </c>
      <c r="F140" s="50">
        <f>GARAM!L16</f>
        <v>0</v>
      </c>
      <c r="G140" s="50">
        <f>GARAM!P16</f>
        <v>0</v>
      </c>
      <c r="H140" s="50">
        <f>GARAM!T16</f>
        <v>0</v>
      </c>
    </row>
    <row r="141" spans="1:8" x14ac:dyDescent="0.35">
      <c r="A141" s="2">
        <f t="shared" si="50"/>
        <v>11</v>
      </c>
      <c r="B141" s="48" t="s">
        <v>30</v>
      </c>
      <c r="C141" s="24" t="s">
        <v>4</v>
      </c>
      <c r="D141" s="49">
        <f t="shared" si="51"/>
        <v>0</v>
      </c>
      <c r="E141" s="50">
        <f>GARAM!H17</f>
        <v>0</v>
      </c>
      <c r="F141" s="50">
        <f>GARAM!L17</f>
        <v>0</v>
      </c>
      <c r="G141" s="50">
        <f>GARAM!P17</f>
        <v>0</v>
      </c>
      <c r="H141" s="50">
        <f>GARAM!T17</f>
        <v>0</v>
      </c>
    </row>
    <row r="142" spans="1:8" x14ac:dyDescent="0.35">
      <c r="A142" s="2">
        <f t="shared" si="50"/>
        <v>12</v>
      </c>
      <c r="B142" s="48" t="s">
        <v>12</v>
      </c>
      <c r="C142" s="24" t="s">
        <v>4</v>
      </c>
      <c r="D142" s="49">
        <f t="shared" si="51"/>
        <v>14.1</v>
      </c>
      <c r="E142" s="50">
        <f>GARAM!H18</f>
        <v>9</v>
      </c>
      <c r="F142" s="50">
        <f>GARAM!L18</f>
        <v>5.0999999999999996</v>
      </c>
      <c r="G142" s="50">
        <f>GARAM!P18</f>
        <v>0</v>
      </c>
      <c r="H142" s="50">
        <f>GARAM!T18</f>
        <v>0</v>
      </c>
    </row>
    <row r="143" spans="1:8" x14ac:dyDescent="0.35">
      <c r="A143" s="2">
        <f t="shared" si="50"/>
        <v>13</v>
      </c>
      <c r="B143" s="48" t="s">
        <v>13</v>
      </c>
      <c r="C143" s="24" t="s">
        <v>4</v>
      </c>
      <c r="D143" s="49">
        <f t="shared" si="51"/>
        <v>0</v>
      </c>
      <c r="E143" s="50">
        <f>GARAM!H19</f>
        <v>0</v>
      </c>
      <c r="F143" s="50">
        <f>GARAM!L19</f>
        <v>0</v>
      </c>
      <c r="G143" s="50">
        <f>GARAM!P19</f>
        <v>0</v>
      </c>
      <c r="H143" s="50">
        <f>GARAM!T19</f>
        <v>0</v>
      </c>
    </row>
    <row r="144" spans="1:8" x14ac:dyDescent="0.35">
      <c r="A144" s="2">
        <f t="shared" si="50"/>
        <v>14</v>
      </c>
      <c r="B144" s="48" t="s">
        <v>14</v>
      </c>
      <c r="C144" s="24" t="s">
        <v>4</v>
      </c>
      <c r="D144" s="49">
        <f t="shared" si="51"/>
        <v>0</v>
      </c>
      <c r="E144" s="50">
        <f>GARAM!H20</f>
        <v>0</v>
      </c>
      <c r="F144" s="50">
        <f>GARAM!L20</f>
        <v>0</v>
      </c>
      <c r="G144" s="50">
        <f>GARAM!P20</f>
        <v>0</v>
      </c>
      <c r="H144" s="50">
        <f>GARAM!T20</f>
        <v>0</v>
      </c>
    </row>
    <row r="145" spans="1:8" x14ac:dyDescent="0.35">
      <c r="A145" s="2">
        <f t="shared" si="50"/>
        <v>15</v>
      </c>
      <c r="B145" s="48" t="s">
        <v>15</v>
      </c>
      <c r="C145" s="24" t="s">
        <v>4</v>
      </c>
      <c r="D145" s="49">
        <f t="shared" si="51"/>
        <v>0</v>
      </c>
      <c r="E145" s="50">
        <f>GARAM!H21</f>
        <v>0</v>
      </c>
      <c r="F145" s="50">
        <f>GARAM!L21</f>
        <v>0</v>
      </c>
      <c r="G145" s="50">
        <f>GARAM!P21</f>
        <v>0</v>
      </c>
      <c r="H145" s="50">
        <f>GARAM!T21</f>
        <v>0</v>
      </c>
    </row>
    <row r="146" spans="1:8" x14ac:dyDescent="0.35">
      <c r="A146" s="2">
        <f t="shared" si="50"/>
        <v>16</v>
      </c>
      <c r="B146" s="48" t="s">
        <v>31</v>
      </c>
      <c r="C146" s="24" t="s">
        <v>4</v>
      </c>
      <c r="D146" s="49">
        <f t="shared" si="51"/>
        <v>0</v>
      </c>
      <c r="E146" s="50">
        <f>GARAM!H22</f>
        <v>0</v>
      </c>
      <c r="F146" s="50">
        <f>GARAM!L22</f>
        <v>0</v>
      </c>
      <c r="G146" s="50">
        <f>GARAM!P22</f>
        <v>0</v>
      </c>
      <c r="H146" s="50">
        <f>GARAM!T22</f>
        <v>0</v>
      </c>
    </row>
    <row r="147" spans="1:8" x14ac:dyDescent="0.35">
      <c r="A147" s="2">
        <f t="shared" si="50"/>
        <v>17</v>
      </c>
      <c r="B147" s="48" t="s">
        <v>32</v>
      </c>
      <c r="C147" s="24" t="s">
        <v>4</v>
      </c>
      <c r="D147" s="49">
        <f t="shared" si="51"/>
        <v>0</v>
      </c>
      <c r="E147" s="50">
        <f>GARAM!H23</f>
        <v>0</v>
      </c>
      <c r="F147" s="50">
        <f>GARAM!L23</f>
        <v>0</v>
      </c>
      <c r="G147" s="50">
        <f>GARAM!P23</f>
        <v>0</v>
      </c>
      <c r="H147" s="50">
        <f>GARAM!T23</f>
        <v>0</v>
      </c>
    </row>
    <row r="148" spans="1:8" x14ac:dyDescent="0.35">
      <c r="A148" s="2">
        <f t="shared" si="50"/>
        <v>18</v>
      </c>
      <c r="B148" s="48" t="s">
        <v>33</v>
      </c>
      <c r="C148" s="24" t="s">
        <v>4</v>
      </c>
      <c r="D148" s="49">
        <f t="shared" si="51"/>
        <v>0</v>
      </c>
      <c r="E148" s="50">
        <f>GARAM!H24</f>
        <v>0</v>
      </c>
      <c r="F148" s="50">
        <f>GARAM!L24</f>
        <v>0</v>
      </c>
      <c r="G148" s="50">
        <f>GARAM!P24</f>
        <v>0</v>
      </c>
      <c r="H148" s="50">
        <f>GARAM!T24</f>
        <v>0</v>
      </c>
    </row>
    <row r="149" spans="1:8" x14ac:dyDescent="0.35">
      <c r="A149" s="2">
        <f t="shared" si="50"/>
        <v>19</v>
      </c>
      <c r="B149" s="48" t="s">
        <v>34</v>
      </c>
      <c r="C149" s="24" t="s">
        <v>4</v>
      </c>
      <c r="D149" s="49">
        <f t="shared" si="51"/>
        <v>0</v>
      </c>
      <c r="E149" s="50">
        <f>GARAM!H25</f>
        <v>0</v>
      </c>
      <c r="F149" s="50">
        <f>GARAM!L25</f>
        <v>0</v>
      </c>
      <c r="G149" s="50">
        <f>GARAM!P25</f>
        <v>0</v>
      </c>
      <c r="H149" s="50">
        <f>GARAM!T25</f>
        <v>0</v>
      </c>
    </row>
    <row r="150" spans="1:8" x14ac:dyDescent="0.35">
      <c r="A150" s="2">
        <f t="shared" si="50"/>
        <v>20</v>
      </c>
      <c r="B150" s="48" t="s">
        <v>35</v>
      </c>
      <c r="C150" s="24" t="s">
        <v>4</v>
      </c>
      <c r="D150" s="49">
        <f t="shared" si="51"/>
        <v>0</v>
      </c>
      <c r="E150" s="50">
        <f>GARAM!H26</f>
        <v>0</v>
      </c>
      <c r="F150" s="50">
        <f>GARAM!L26</f>
        <v>0</v>
      </c>
      <c r="G150" s="50">
        <f>GARAM!P26</f>
        <v>0</v>
      </c>
      <c r="H150" s="50">
        <f>GARAM!T26</f>
        <v>0</v>
      </c>
    </row>
    <row r="151" spans="1:8" x14ac:dyDescent="0.35">
      <c r="A151" s="2">
        <f t="shared" si="50"/>
        <v>21</v>
      </c>
      <c r="B151" s="48" t="s">
        <v>36</v>
      </c>
      <c r="C151" s="24" t="s">
        <v>4</v>
      </c>
      <c r="D151" s="49">
        <f t="shared" si="51"/>
        <v>0</v>
      </c>
      <c r="E151" s="50">
        <f>GARAM!H27</f>
        <v>0</v>
      </c>
      <c r="F151" s="50">
        <f>GARAM!L27</f>
        <v>0</v>
      </c>
      <c r="G151" s="50">
        <f>GARAM!P27</f>
        <v>0</v>
      </c>
      <c r="H151" s="50">
        <f>GARAM!T27</f>
        <v>0</v>
      </c>
    </row>
    <row r="152" spans="1:8" x14ac:dyDescent="0.35">
      <c r="A152" s="2">
        <f t="shared" si="50"/>
        <v>22</v>
      </c>
      <c r="B152" s="48" t="s">
        <v>37</v>
      </c>
      <c r="C152" s="24" t="s">
        <v>4</v>
      </c>
      <c r="D152" s="49">
        <f t="shared" si="51"/>
        <v>0</v>
      </c>
      <c r="E152" s="50">
        <f>GARAM!H28</f>
        <v>0</v>
      </c>
      <c r="F152" s="50">
        <f>GARAM!L28</f>
        <v>0</v>
      </c>
      <c r="G152" s="50">
        <f>GARAM!P28</f>
        <v>0</v>
      </c>
      <c r="H152" s="50">
        <f>GARAM!T28</f>
        <v>0</v>
      </c>
    </row>
    <row r="153" spans="1:8" x14ac:dyDescent="0.35">
      <c r="A153" s="2">
        <v>23</v>
      </c>
      <c r="B153" s="48" t="s">
        <v>16</v>
      </c>
      <c r="C153" s="24" t="s">
        <v>4</v>
      </c>
      <c r="D153" s="49">
        <f t="shared" si="51"/>
        <v>5.2</v>
      </c>
      <c r="E153" s="50">
        <f>GARAM!H29</f>
        <v>3.7</v>
      </c>
      <c r="F153" s="50">
        <f>GARAM!L29</f>
        <v>1.5</v>
      </c>
      <c r="G153" s="50">
        <f>GARAM!P29</f>
        <v>0</v>
      </c>
      <c r="H153" s="50">
        <f>GARAM!T29</f>
        <v>0</v>
      </c>
    </row>
    <row r="154" spans="1:8" x14ac:dyDescent="0.35">
      <c r="A154" s="2">
        <v>24</v>
      </c>
      <c r="B154" s="48" t="s">
        <v>17</v>
      </c>
      <c r="C154" s="24" t="s">
        <v>4</v>
      </c>
      <c r="D154" s="49">
        <f t="shared" si="51"/>
        <v>4</v>
      </c>
      <c r="E154" s="50">
        <f>GARAM!H30</f>
        <v>0</v>
      </c>
      <c r="F154" s="50">
        <f>GARAM!L30</f>
        <v>4</v>
      </c>
      <c r="G154" s="50">
        <f>GARAM!P30</f>
        <v>0</v>
      </c>
      <c r="H154" s="50">
        <f>GARAM!T30</f>
        <v>0</v>
      </c>
    </row>
    <row r="155" spans="1:8" x14ac:dyDescent="0.35">
      <c r="A155" s="2">
        <v>25</v>
      </c>
      <c r="B155" s="48" t="s">
        <v>18</v>
      </c>
      <c r="C155" s="24" t="s">
        <v>4</v>
      </c>
      <c r="D155" s="49">
        <f t="shared" si="51"/>
        <v>0</v>
      </c>
      <c r="E155" s="50">
        <f>GARAM!H31</f>
        <v>0</v>
      </c>
      <c r="F155" s="50">
        <f>GARAM!L31</f>
        <v>0</v>
      </c>
      <c r="G155" s="50">
        <f>GARAM!P31</f>
        <v>0</v>
      </c>
      <c r="H155" s="50">
        <f>GARAM!T31</f>
        <v>0</v>
      </c>
    </row>
    <row r="156" spans="1:8" x14ac:dyDescent="0.35">
      <c r="A156" s="2">
        <v>26</v>
      </c>
      <c r="B156" s="48" t="s">
        <v>19</v>
      </c>
      <c r="C156" s="24" t="s">
        <v>4</v>
      </c>
      <c r="D156" s="49">
        <f t="shared" si="51"/>
        <v>138</v>
      </c>
      <c r="E156" s="50">
        <f>GARAM!H32</f>
        <v>0</v>
      </c>
      <c r="F156" s="50">
        <f>GARAM!L32</f>
        <v>138</v>
      </c>
      <c r="G156" s="50">
        <f>GARAM!P32</f>
        <v>0</v>
      </c>
      <c r="H156" s="50">
        <f>GARAM!T32</f>
        <v>0</v>
      </c>
    </row>
    <row r="157" spans="1:8" x14ac:dyDescent="0.35">
      <c r="A157" s="2">
        <v>27</v>
      </c>
      <c r="B157" s="48" t="s">
        <v>20</v>
      </c>
      <c r="C157" s="24" t="s">
        <v>4</v>
      </c>
      <c r="D157" s="49">
        <f t="shared" si="51"/>
        <v>0</v>
      </c>
      <c r="E157" s="50">
        <f>GARAM!H33</f>
        <v>0</v>
      </c>
      <c r="F157" s="50">
        <f>GARAM!L33</f>
        <v>0</v>
      </c>
      <c r="G157" s="50">
        <f>GARAM!P33</f>
        <v>0</v>
      </c>
      <c r="H157" s="50">
        <f>GARAM!T33</f>
        <v>0</v>
      </c>
    </row>
    <row r="158" spans="1:8" x14ac:dyDescent="0.35">
      <c r="A158" s="2">
        <v>28</v>
      </c>
      <c r="B158" s="48" t="s">
        <v>21</v>
      </c>
      <c r="C158" s="24" t="s">
        <v>4</v>
      </c>
      <c r="D158" s="49">
        <f t="shared" si="51"/>
        <v>0</v>
      </c>
      <c r="E158" s="50">
        <f>GARAM!H34</f>
        <v>0</v>
      </c>
      <c r="F158" s="50">
        <f>GARAM!L34</f>
        <v>0</v>
      </c>
      <c r="G158" s="50">
        <f>GARAM!P34</f>
        <v>0</v>
      </c>
      <c r="H158" s="50">
        <f>GARAM!T34</f>
        <v>0</v>
      </c>
    </row>
    <row r="159" spans="1:8" x14ac:dyDescent="0.35">
      <c r="A159" s="2">
        <v>29</v>
      </c>
      <c r="B159" s="48" t="s">
        <v>22</v>
      </c>
      <c r="C159" s="24" t="s">
        <v>4</v>
      </c>
      <c r="D159" s="49">
        <f t="shared" si="51"/>
        <v>0</v>
      </c>
      <c r="E159" s="50">
        <f>GARAM!H35</f>
        <v>0</v>
      </c>
      <c r="F159" s="50">
        <f>GARAM!L35</f>
        <v>0</v>
      </c>
      <c r="G159" s="50">
        <f>GARAM!P35</f>
        <v>0</v>
      </c>
      <c r="H159" s="50">
        <f>GARAM!T35</f>
        <v>0</v>
      </c>
    </row>
    <row r="160" spans="1:8" x14ac:dyDescent="0.35">
      <c r="A160" s="2">
        <v>30</v>
      </c>
      <c r="B160" s="48" t="s">
        <v>46</v>
      </c>
      <c r="C160" s="24" t="s">
        <v>4</v>
      </c>
      <c r="D160" s="49">
        <f t="shared" si="51"/>
        <v>0</v>
      </c>
      <c r="E160" s="50">
        <f>GARAM!H36</f>
        <v>0</v>
      </c>
      <c r="F160" s="50">
        <f>GARAM!L36</f>
        <v>0</v>
      </c>
      <c r="G160" s="50">
        <f>GARAM!P36</f>
        <v>0</v>
      </c>
      <c r="H160" s="50">
        <f>GARAM!T36</f>
        <v>0</v>
      </c>
    </row>
    <row r="161" spans="1:8" x14ac:dyDescent="0.35">
      <c r="A161" s="2">
        <v>31</v>
      </c>
      <c r="B161" s="48" t="s">
        <v>47</v>
      </c>
      <c r="C161" s="24" t="s">
        <v>4</v>
      </c>
      <c r="D161" s="49">
        <f t="shared" si="51"/>
        <v>0</v>
      </c>
      <c r="E161" s="50">
        <f>GARAM!H37</f>
        <v>0</v>
      </c>
      <c r="F161" s="50">
        <f>GARAM!L37</f>
        <v>0</v>
      </c>
      <c r="G161" s="50">
        <f>GARAM!P37</f>
        <v>0</v>
      </c>
      <c r="H161" s="50">
        <f>GARAM!T37</f>
        <v>0</v>
      </c>
    </row>
    <row r="162" spans="1:8" x14ac:dyDescent="0.35">
      <c r="A162" s="2">
        <v>32</v>
      </c>
      <c r="B162" s="48" t="s">
        <v>48</v>
      </c>
      <c r="C162" s="24" t="s">
        <v>4</v>
      </c>
      <c r="D162" s="49">
        <f t="shared" si="51"/>
        <v>0</v>
      </c>
      <c r="E162" s="50">
        <f>GARAM!H38</f>
        <v>0</v>
      </c>
      <c r="F162" s="50">
        <f>GARAM!L38</f>
        <v>0</v>
      </c>
      <c r="G162" s="50">
        <f>GARAM!P38</f>
        <v>0</v>
      </c>
      <c r="H162" s="50">
        <f>GARAM!T38</f>
        <v>0</v>
      </c>
    </row>
    <row r="163" spans="1:8" x14ac:dyDescent="0.35">
      <c r="A163" s="2">
        <v>33</v>
      </c>
      <c r="B163" s="48" t="s">
        <v>23</v>
      </c>
      <c r="C163" s="24" t="s">
        <v>4</v>
      </c>
      <c r="D163" s="49">
        <f t="shared" si="51"/>
        <v>0</v>
      </c>
      <c r="E163" s="50">
        <f>GARAM!H39</f>
        <v>0</v>
      </c>
      <c r="F163" s="50">
        <f>GARAM!L39</f>
        <v>0</v>
      </c>
      <c r="G163" s="50">
        <f>GARAM!P39</f>
        <v>0</v>
      </c>
      <c r="H163" s="50">
        <f>GARAM!T39</f>
        <v>0</v>
      </c>
    </row>
    <row r="164" spans="1:8" x14ac:dyDescent="0.35">
      <c r="A164" s="2">
        <v>34</v>
      </c>
      <c r="B164" s="48" t="s">
        <v>24</v>
      </c>
      <c r="C164" s="24" t="s">
        <v>4</v>
      </c>
      <c r="D164" s="49">
        <f t="shared" si="51"/>
        <v>0</v>
      </c>
      <c r="E164" s="50">
        <f>GARAM!H40</f>
        <v>0</v>
      </c>
      <c r="F164" s="50">
        <f>GARAM!L40</f>
        <v>0</v>
      </c>
      <c r="G164" s="50">
        <f>GARAM!P40</f>
        <v>0</v>
      </c>
      <c r="H164" s="50">
        <f>GARAM!T40</f>
        <v>0</v>
      </c>
    </row>
    <row r="165" spans="1:8" x14ac:dyDescent="0.35">
      <c r="A165" s="2">
        <v>35</v>
      </c>
      <c r="B165" s="48" t="s">
        <v>49</v>
      </c>
      <c r="C165" s="24" t="s">
        <v>4</v>
      </c>
      <c r="D165" s="49">
        <f t="shared" si="51"/>
        <v>0</v>
      </c>
      <c r="E165" s="50">
        <f>GARAM!H41</f>
        <v>0</v>
      </c>
      <c r="F165" s="50">
        <f>GARAM!L41</f>
        <v>0</v>
      </c>
      <c r="G165" s="50">
        <f>GARAM!P41</f>
        <v>0</v>
      </c>
      <c r="H165" s="50">
        <f>GARAM!T41</f>
        <v>0</v>
      </c>
    </row>
    <row r="166" spans="1:8" x14ac:dyDescent="0.35">
      <c r="A166" s="2">
        <v>36</v>
      </c>
      <c r="B166" s="48" t="s">
        <v>50</v>
      </c>
      <c r="C166" s="24" t="s">
        <v>4</v>
      </c>
      <c r="D166" s="49">
        <f t="shared" si="51"/>
        <v>0</v>
      </c>
      <c r="E166" s="50">
        <f>GARAM!H42</f>
        <v>0</v>
      </c>
      <c r="F166" s="50">
        <f>GARAM!L42</f>
        <v>0</v>
      </c>
      <c r="G166" s="50">
        <f>GARAM!P42</f>
        <v>0</v>
      </c>
      <c r="H166" s="50">
        <f>GARAM!T42</f>
        <v>0</v>
      </c>
    </row>
    <row r="167" spans="1:8" x14ac:dyDescent="0.35">
      <c r="A167" s="2">
        <v>37</v>
      </c>
      <c r="B167" s="48" t="s">
        <v>25</v>
      </c>
      <c r="C167" s="24" t="s">
        <v>4</v>
      </c>
      <c r="D167" s="49">
        <f t="shared" si="51"/>
        <v>0</v>
      </c>
      <c r="E167" s="50">
        <f>GARAM!H43</f>
        <v>0</v>
      </c>
      <c r="F167" s="50">
        <f>GARAM!L43</f>
        <v>0</v>
      </c>
      <c r="G167" s="50">
        <f>GARAM!P43</f>
        <v>0</v>
      </c>
      <c r="H167" s="50">
        <f>GARAM!T43</f>
        <v>0</v>
      </c>
    </row>
    <row r="168" spans="1:8" x14ac:dyDescent="0.35">
      <c r="A168" s="2">
        <v>38</v>
      </c>
      <c r="B168" s="48" t="s">
        <v>51</v>
      </c>
      <c r="C168" s="24" t="s">
        <v>4</v>
      </c>
      <c r="D168" s="49">
        <f t="shared" si="51"/>
        <v>0</v>
      </c>
      <c r="E168" s="50">
        <f>GARAM!H44</f>
        <v>0</v>
      </c>
      <c r="F168" s="50">
        <f>GARAM!L44</f>
        <v>0</v>
      </c>
      <c r="G168" s="50">
        <f>GARAM!P44</f>
        <v>0</v>
      </c>
      <c r="H168" s="50">
        <f>GARAM!T44</f>
        <v>0</v>
      </c>
    </row>
  </sheetData>
  <mergeCells count="12">
    <mergeCell ref="E22:H22"/>
    <mergeCell ref="J22:M22"/>
    <mergeCell ref="A22:A24"/>
    <mergeCell ref="B22:B23"/>
    <mergeCell ref="C22:C23"/>
    <mergeCell ref="D22:D23"/>
    <mergeCell ref="I22:I23"/>
    <mergeCell ref="C3:C4"/>
    <mergeCell ref="A3:A5"/>
    <mergeCell ref="D3:D4"/>
    <mergeCell ref="E3:U3"/>
    <mergeCell ref="B3:B4"/>
  </mergeCells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AA2D-83DD-49A7-952D-46789F138FF6}">
  <sheetPr codeName="Sheet4"/>
  <dimension ref="A1:W42"/>
  <sheetViews>
    <sheetView zoomScale="70" zoomScaleNormal="7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V5" sqref="V5"/>
    </sheetView>
  </sheetViews>
  <sheetFormatPr defaultColWidth="8.81640625" defaultRowHeight="14.5" x14ac:dyDescent="0.35"/>
  <cols>
    <col min="1" max="1" width="5.26953125" customWidth="1"/>
    <col min="2" max="2" width="15" customWidth="1"/>
    <col min="4" max="4" width="15.90625" hidden="1" customWidth="1"/>
    <col min="5" max="5" width="12.453125" customWidth="1"/>
    <col min="6" max="7" width="17" customWidth="1"/>
    <col min="8" max="8" width="17" hidden="1" customWidth="1"/>
    <col min="9" max="9" width="15.81640625" customWidth="1"/>
    <col min="10" max="11" width="13.453125" customWidth="1"/>
    <col min="12" max="12" width="13.453125" hidden="1" customWidth="1"/>
    <col min="13" max="13" width="13.453125" customWidth="1"/>
    <col min="14" max="14" width="13.1796875" customWidth="1"/>
    <col min="15" max="15" width="15.26953125" customWidth="1"/>
    <col min="16" max="16" width="15.26953125" hidden="1" customWidth="1"/>
    <col min="17" max="17" width="12.1796875" customWidth="1"/>
    <col min="18" max="21" width="16.81640625" customWidth="1"/>
    <col min="22" max="22" width="12" customWidth="1"/>
    <col min="23" max="23" width="18.81640625" customWidth="1"/>
  </cols>
  <sheetData>
    <row r="1" spans="1:23" x14ac:dyDescent="0.35">
      <c r="A1" s="1" t="s">
        <v>72</v>
      </c>
      <c r="B1" s="1"/>
    </row>
    <row r="2" spans="1:23" ht="15.5" x14ac:dyDescent="0.35">
      <c r="A2" s="10" t="s">
        <v>0</v>
      </c>
      <c r="B2" s="10" t="s">
        <v>1</v>
      </c>
      <c r="C2" s="10" t="s">
        <v>2</v>
      </c>
      <c r="D2" s="114" t="s">
        <v>125</v>
      </c>
      <c r="E2" s="113">
        <v>2021</v>
      </c>
      <c r="F2" s="113"/>
      <c r="G2" s="113"/>
      <c r="H2" s="116" t="s">
        <v>124</v>
      </c>
      <c r="I2" s="113">
        <v>2022</v>
      </c>
      <c r="J2" s="113"/>
      <c r="K2" s="113"/>
      <c r="L2" s="116" t="s">
        <v>126</v>
      </c>
      <c r="M2" s="113">
        <v>2023</v>
      </c>
      <c r="N2" s="113"/>
      <c r="O2" s="113"/>
      <c r="P2" s="116" t="s">
        <v>127</v>
      </c>
      <c r="Q2" s="113">
        <v>2024</v>
      </c>
      <c r="R2" s="113"/>
      <c r="S2" s="113"/>
      <c r="T2" s="116" t="s">
        <v>128</v>
      </c>
      <c r="U2" s="113">
        <v>2025</v>
      </c>
      <c r="V2" s="113"/>
      <c r="W2" s="113"/>
    </row>
    <row r="3" spans="1:23" ht="15.5" x14ac:dyDescent="0.35">
      <c r="A3" s="12"/>
      <c r="B3" s="12"/>
      <c r="C3" s="12"/>
      <c r="D3" s="115"/>
      <c r="E3" s="71" t="s">
        <v>107</v>
      </c>
      <c r="F3" s="71" t="s">
        <v>106</v>
      </c>
      <c r="G3" s="71" t="s">
        <v>111</v>
      </c>
      <c r="H3" s="117"/>
      <c r="I3" s="71" t="s">
        <v>107</v>
      </c>
      <c r="J3" s="71" t="s">
        <v>106</v>
      </c>
      <c r="K3" s="71" t="s">
        <v>111</v>
      </c>
      <c r="L3" s="117"/>
      <c r="M3" s="71" t="s">
        <v>107</v>
      </c>
      <c r="N3" s="71" t="s">
        <v>106</v>
      </c>
      <c r="O3" s="71" t="s">
        <v>111</v>
      </c>
      <c r="P3" s="117"/>
      <c r="Q3" s="71" t="s">
        <v>107</v>
      </c>
      <c r="R3" s="71" t="s">
        <v>106</v>
      </c>
      <c r="S3" s="71" t="s">
        <v>111</v>
      </c>
      <c r="T3" s="117"/>
      <c r="U3" s="71" t="s">
        <v>107</v>
      </c>
      <c r="V3" s="71" t="s">
        <v>106</v>
      </c>
      <c r="W3" s="71" t="s">
        <v>111</v>
      </c>
    </row>
    <row r="4" spans="1:23" x14ac:dyDescent="0.35">
      <c r="A4" s="5"/>
      <c r="B4" s="6" t="s">
        <v>26</v>
      </c>
      <c r="C4" s="6" t="s">
        <v>4</v>
      </c>
      <c r="D4" s="33">
        <f>SUM(E4:G4)</f>
        <v>2604046.1488237772</v>
      </c>
      <c r="E4" s="79">
        <f>SUM(E5:E42)</f>
        <v>571183.09811000002</v>
      </c>
      <c r="F4" s="80">
        <f t="shared" ref="F4:G4" si="0">SUM(F5:F42)</f>
        <v>1292448.971478777</v>
      </c>
      <c r="G4" s="81">
        <f t="shared" si="0"/>
        <v>740414.07923499995</v>
      </c>
      <c r="H4" s="25">
        <f>SUM(I4:K4)</f>
        <v>1786341.9292807602</v>
      </c>
      <c r="I4" s="79">
        <f>SUM(I5:I42)</f>
        <v>196276.28895339993</v>
      </c>
      <c r="J4" s="80">
        <f t="shared" ref="J4:K4" si="1">SUM(J5:J42)</f>
        <v>1314200.8017077497</v>
      </c>
      <c r="K4" s="81">
        <f t="shared" si="1"/>
        <v>275864.83861961047</v>
      </c>
      <c r="L4" s="82">
        <f>SUM(M4:O4)</f>
        <v>2816632.0937993992</v>
      </c>
      <c r="M4" s="79">
        <f>SUM(M5:M42)</f>
        <v>609685.85311499983</v>
      </c>
      <c r="N4" s="80">
        <f t="shared" ref="N4:O4" si="2">SUM(N5:N42)</f>
        <v>1359934.9146843995</v>
      </c>
      <c r="O4" s="81">
        <f t="shared" si="2"/>
        <v>847011.32600000012</v>
      </c>
      <c r="P4" s="82">
        <f>SUM(Q4:S4)</f>
        <v>0</v>
      </c>
      <c r="Q4" s="79">
        <f>SUM(Q5:Q42)</f>
        <v>0</v>
      </c>
      <c r="R4" s="80">
        <f t="shared" ref="R4:S4" si="3">SUM(R5:R42)</f>
        <v>0</v>
      </c>
      <c r="S4" s="81">
        <f t="shared" si="3"/>
        <v>0</v>
      </c>
      <c r="T4" s="82">
        <f>SUM(U4:W4)</f>
        <v>2049838.1991170777</v>
      </c>
      <c r="U4" s="79">
        <f>SUM(U5:U42)</f>
        <v>607343.90590000013</v>
      </c>
      <c r="V4" s="80">
        <f t="shared" ref="V4:W4" si="4">SUM(V5:V42)</f>
        <v>1442332.9932170776</v>
      </c>
      <c r="W4" s="83">
        <f t="shared" si="4"/>
        <v>161.30000000000001</v>
      </c>
    </row>
    <row r="5" spans="1:23" x14ac:dyDescent="0.35">
      <c r="A5" s="2">
        <v>1</v>
      </c>
      <c r="B5" s="3" t="s">
        <v>3</v>
      </c>
      <c r="C5" s="4" t="s">
        <v>4</v>
      </c>
      <c r="D5" s="78">
        <f>SUM(E5:G5)</f>
        <v>19965.732199999999</v>
      </c>
      <c r="E5" s="23">
        <v>17800.856199999998</v>
      </c>
      <c r="F5" s="23">
        <v>2164.8760000000002</v>
      </c>
      <c r="G5" s="23">
        <v>0</v>
      </c>
      <c r="H5" s="23">
        <f t="shared" ref="H5:H42" si="5">SUM(I5:K5)</f>
        <v>8261.1519999999982</v>
      </c>
      <c r="I5" s="23">
        <v>6613.972999999999</v>
      </c>
      <c r="J5" s="23">
        <v>1647.1790000000001</v>
      </c>
      <c r="K5" s="23">
        <v>0</v>
      </c>
      <c r="L5" s="23">
        <f t="shared" ref="L5:L42" si="6">SUM(M5:O5)</f>
        <v>23134.608999999997</v>
      </c>
      <c r="M5" s="23">
        <v>21682.044999999998</v>
      </c>
      <c r="N5" s="23">
        <v>1452.5640000000001</v>
      </c>
      <c r="O5" s="23">
        <v>0</v>
      </c>
      <c r="P5" s="23">
        <f t="shared" ref="P5:P42" si="7">SUM(Q5:S5)</f>
        <v>0</v>
      </c>
      <c r="Q5" s="23"/>
      <c r="R5" s="23"/>
      <c r="S5" s="23"/>
      <c r="T5" s="23">
        <f t="shared" ref="T5:T42" si="8">SUM(U5:W5)</f>
        <v>29740.392</v>
      </c>
      <c r="U5" s="23">
        <f>TRIWULAN!D43</f>
        <v>14658.785</v>
      </c>
      <c r="V5" s="23">
        <f>TRIWULAN!D87</f>
        <v>15081.607</v>
      </c>
      <c r="W5" s="23">
        <f>TRIWULAN!D131</f>
        <v>0</v>
      </c>
    </row>
    <row r="6" spans="1:23" x14ac:dyDescent="0.35">
      <c r="A6" s="2">
        <f t="shared" ref="A6:A26" si="9">A5+1</f>
        <v>2</v>
      </c>
      <c r="B6" s="3" t="s">
        <v>28</v>
      </c>
      <c r="C6" s="4" t="s">
        <v>4</v>
      </c>
      <c r="D6" s="78">
        <f t="shared" ref="D6:D42" si="10">SUM(E6:G6)</f>
        <v>1848.6469999999999</v>
      </c>
      <c r="E6" s="23">
        <v>49.1</v>
      </c>
      <c r="F6" s="23">
        <v>1799.547</v>
      </c>
      <c r="G6" s="23">
        <v>0</v>
      </c>
      <c r="H6" s="23">
        <f t="shared" si="5"/>
        <v>10864.814999999999</v>
      </c>
      <c r="I6" s="23">
        <v>8973.9249999999993</v>
      </c>
      <c r="J6" s="23">
        <v>1890.89</v>
      </c>
      <c r="K6" s="23">
        <v>0</v>
      </c>
      <c r="L6" s="23">
        <f t="shared" si="6"/>
        <v>28619.135563999997</v>
      </c>
      <c r="M6" s="23">
        <v>26632.188563999996</v>
      </c>
      <c r="N6" s="23">
        <v>1986.9469999999997</v>
      </c>
      <c r="O6" s="23">
        <v>0</v>
      </c>
      <c r="P6" s="23">
        <f t="shared" si="7"/>
        <v>0</v>
      </c>
      <c r="Q6" s="23"/>
      <c r="R6" s="23"/>
      <c r="S6" s="23"/>
      <c r="T6" s="23">
        <f t="shared" si="8"/>
        <v>42609.545000000006</v>
      </c>
      <c r="U6" s="23">
        <f>TRIWULAN!D44</f>
        <v>11963.11</v>
      </c>
      <c r="V6" s="23">
        <f>TRIWULAN!D88</f>
        <v>30646.435000000005</v>
      </c>
      <c r="W6" s="23">
        <f>TRIWULAN!D132</f>
        <v>0</v>
      </c>
    </row>
    <row r="7" spans="1:23" x14ac:dyDescent="0.35">
      <c r="A7" s="2">
        <f t="shared" si="9"/>
        <v>3</v>
      </c>
      <c r="B7" s="3" t="s">
        <v>5</v>
      </c>
      <c r="C7" s="4" t="s">
        <v>4</v>
      </c>
      <c r="D7" s="78">
        <f t="shared" si="10"/>
        <v>26907.19025</v>
      </c>
      <c r="E7" s="23">
        <v>22255.339499999998</v>
      </c>
      <c r="F7" s="23">
        <v>4651.8507500000005</v>
      </c>
      <c r="G7" s="23">
        <v>0</v>
      </c>
      <c r="H7" s="23">
        <f t="shared" si="5"/>
        <v>9917.8391000000011</v>
      </c>
      <c r="I7" s="23">
        <v>5113.9549999999999</v>
      </c>
      <c r="J7" s="23">
        <v>4803.8841000000002</v>
      </c>
      <c r="K7" s="23">
        <v>0</v>
      </c>
      <c r="L7" s="23">
        <f t="shared" si="6"/>
        <v>16260.433800000001</v>
      </c>
      <c r="M7" s="23">
        <v>11400.271000000001</v>
      </c>
      <c r="N7" s="23">
        <v>4860.1628000000001</v>
      </c>
      <c r="O7" s="23">
        <v>0</v>
      </c>
      <c r="P7" s="23">
        <f t="shared" si="7"/>
        <v>0</v>
      </c>
      <c r="Q7" s="23"/>
      <c r="R7" s="23"/>
      <c r="S7" s="23"/>
      <c r="T7" s="23">
        <f t="shared" si="8"/>
        <v>25158.468999999997</v>
      </c>
      <c r="U7" s="23">
        <f>TRIWULAN!D45</f>
        <v>7422.0439999999999</v>
      </c>
      <c r="V7" s="23">
        <f>TRIWULAN!D89</f>
        <v>17736.424999999999</v>
      </c>
      <c r="W7" s="23">
        <f>TRIWULAN!D133</f>
        <v>0</v>
      </c>
    </row>
    <row r="8" spans="1:23" x14ac:dyDescent="0.35">
      <c r="A8" s="2">
        <f t="shared" si="9"/>
        <v>4</v>
      </c>
      <c r="B8" s="3" t="s">
        <v>6</v>
      </c>
      <c r="C8" s="4" t="s">
        <v>4</v>
      </c>
      <c r="D8" s="78">
        <f t="shared" si="10"/>
        <v>52526.36</v>
      </c>
      <c r="E8" s="23">
        <v>13395.163999999999</v>
      </c>
      <c r="F8" s="23">
        <v>39131.196000000004</v>
      </c>
      <c r="G8" s="23">
        <v>0</v>
      </c>
      <c r="H8" s="23">
        <f t="shared" si="5"/>
        <v>47196.815999999999</v>
      </c>
      <c r="I8" s="23">
        <v>5170.8160000000007</v>
      </c>
      <c r="J8" s="23">
        <v>42026</v>
      </c>
      <c r="K8" s="23">
        <v>0</v>
      </c>
      <c r="L8" s="23">
        <f t="shared" si="6"/>
        <v>54188.705999999998</v>
      </c>
      <c r="M8" s="23">
        <v>10720.706</v>
      </c>
      <c r="N8" s="23">
        <v>43468</v>
      </c>
      <c r="O8" s="23">
        <v>0</v>
      </c>
      <c r="P8" s="23">
        <f t="shared" si="7"/>
        <v>0</v>
      </c>
      <c r="Q8" s="23"/>
      <c r="R8" s="23"/>
      <c r="S8" s="23"/>
      <c r="T8" s="23">
        <f t="shared" si="8"/>
        <v>19308.474999999999</v>
      </c>
      <c r="U8" s="23">
        <f>TRIWULAN!D46</f>
        <v>13924.346999999998</v>
      </c>
      <c r="V8" s="23">
        <f>TRIWULAN!D90</f>
        <v>5384.1280000000006</v>
      </c>
      <c r="W8" s="23">
        <f>TRIWULAN!D134</f>
        <v>0</v>
      </c>
    </row>
    <row r="9" spans="1:23" x14ac:dyDescent="0.35">
      <c r="A9" s="2">
        <f t="shared" si="9"/>
        <v>5</v>
      </c>
      <c r="B9" s="3" t="s">
        <v>7</v>
      </c>
      <c r="C9" s="4" t="s">
        <v>4</v>
      </c>
      <c r="D9" s="78">
        <f t="shared" si="10"/>
        <v>20263.311999999998</v>
      </c>
      <c r="E9" s="23">
        <v>2422.2919999999995</v>
      </c>
      <c r="F9" s="23">
        <v>17841.02</v>
      </c>
      <c r="G9" s="23">
        <v>0</v>
      </c>
      <c r="H9" s="23">
        <f t="shared" si="5"/>
        <v>17802.836000000003</v>
      </c>
      <c r="I9" s="23">
        <v>1376.576</v>
      </c>
      <c r="J9" s="23">
        <v>16426.260000000002</v>
      </c>
      <c r="K9" s="23">
        <v>0</v>
      </c>
      <c r="L9" s="23">
        <f t="shared" si="6"/>
        <v>21159.13407</v>
      </c>
      <c r="M9" s="23">
        <v>4259.0940700000001</v>
      </c>
      <c r="N9" s="23">
        <v>16900.04</v>
      </c>
      <c r="O9" s="23">
        <v>0</v>
      </c>
      <c r="P9" s="23">
        <f t="shared" si="7"/>
        <v>0</v>
      </c>
      <c r="Q9" s="23"/>
      <c r="R9" s="23"/>
      <c r="S9" s="23"/>
      <c r="T9" s="23">
        <f t="shared" si="8"/>
        <v>4677.558</v>
      </c>
      <c r="U9" s="23">
        <f>TRIWULAN!D47</f>
        <v>3828.2420000000002</v>
      </c>
      <c r="V9" s="23">
        <f>TRIWULAN!D91</f>
        <v>849.31600000000003</v>
      </c>
      <c r="W9" s="23">
        <f>TRIWULAN!D135</f>
        <v>0</v>
      </c>
    </row>
    <row r="10" spans="1:23" x14ac:dyDescent="0.35">
      <c r="A10" s="2">
        <f t="shared" si="9"/>
        <v>6</v>
      </c>
      <c r="B10" s="3" t="s">
        <v>29</v>
      </c>
      <c r="C10" s="4" t="s">
        <v>4</v>
      </c>
      <c r="D10" s="78">
        <f t="shared" si="10"/>
        <v>22473.559269999998</v>
      </c>
      <c r="E10" s="23">
        <v>118.61927</v>
      </c>
      <c r="F10" s="23">
        <v>22354.94</v>
      </c>
      <c r="G10" s="23">
        <v>0</v>
      </c>
      <c r="H10" s="23">
        <f t="shared" si="5"/>
        <v>28509.541000000001</v>
      </c>
      <c r="I10" s="23">
        <v>5425.3260000000009</v>
      </c>
      <c r="J10" s="23">
        <v>23084.215</v>
      </c>
      <c r="K10" s="23">
        <v>0</v>
      </c>
      <c r="L10" s="23">
        <f t="shared" si="6"/>
        <v>43835.544379999992</v>
      </c>
      <c r="M10" s="23">
        <v>19839.144379999998</v>
      </c>
      <c r="N10" s="23">
        <v>23996.399999999994</v>
      </c>
      <c r="O10" s="23">
        <v>0</v>
      </c>
      <c r="P10" s="23">
        <f t="shared" si="7"/>
        <v>0</v>
      </c>
      <c r="Q10" s="23"/>
      <c r="R10" s="23"/>
      <c r="S10" s="23"/>
      <c r="T10" s="23">
        <f t="shared" si="8"/>
        <v>177770.87152691663</v>
      </c>
      <c r="U10" s="23">
        <f>TRIWULAN!D48</f>
        <v>17331.796999999999</v>
      </c>
      <c r="V10" s="23">
        <f>TRIWULAN!D92</f>
        <v>160439.07452691664</v>
      </c>
      <c r="W10" s="23">
        <f>TRIWULAN!D136</f>
        <v>0</v>
      </c>
    </row>
    <row r="11" spans="1:23" x14ac:dyDescent="0.35">
      <c r="A11" s="2">
        <f t="shared" si="9"/>
        <v>7</v>
      </c>
      <c r="B11" s="3" t="s">
        <v>8</v>
      </c>
      <c r="C11" s="4" t="s">
        <v>4</v>
      </c>
      <c r="D11" s="78">
        <f t="shared" si="10"/>
        <v>31775.189000000002</v>
      </c>
      <c r="E11" s="23">
        <v>20181.041000000001</v>
      </c>
      <c r="F11" s="23">
        <v>11594.148000000001</v>
      </c>
      <c r="G11" s="23">
        <v>0</v>
      </c>
      <c r="H11" s="23">
        <f t="shared" si="5"/>
        <v>17186.794348399959</v>
      </c>
      <c r="I11" s="23">
        <v>5244.754348399958</v>
      </c>
      <c r="J11" s="23">
        <v>11942.04</v>
      </c>
      <c r="K11" s="23">
        <v>0</v>
      </c>
      <c r="L11" s="23">
        <f t="shared" si="6"/>
        <v>27563.437870999893</v>
      </c>
      <c r="M11" s="23">
        <v>15225.467870999895</v>
      </c>
      <c r="N11" s="23">
        <v>12337.97</v>
      </c>
      <c r="O11" s="23">
        <v>0</v>
      </c>
      <c r="P11" s="23">
        <f t="shared" si="7"/>
        <v>0</v>
      </c>
      <c r="Q11" s="23"/>
      <c r="R11" s="23"/>
      <c r="S11" s="23"/>
      <c r="T11" s="23">
        <f t="shared" si="8"/>
        <v>31978.420470161091</v>
      </c>
      <c r="U11" s="23">
        <f>TRIWULAN!D49</f>
        <v>15567.705000000002</v>
      </c>
      <c r="V11" s="23">
        <f>TRIWULAN!D93</f>
        <v>16410.715470161089</v>
      </c>
      <c r="W11" s="23">
        <f>TRIWULAN!D137</f>
        <v>0</v>
      </c>
    </row>
    <row r="12" spans="1:23" x14ac:dyDescent="0.35">
      <c r="A12" s="2">
        <f t="shared" si="9"/>
        <v>8</v>
      </c>
      <c r="B12" s="3" t="s">
        <v>9</v>
      </c>
      <c r="C12" s="4" t="s">
        <v>4</v>
      </c>
      <c r="D12" s="78">
        <f t="shared" si="10"/>
        <v>10559.332999999999</v>
      </c>
      <c r="E12" s="23">
        <v>7104.1939999999995</v>
      </c>
      <c r="F12" s="23">
        <v>3455.1390000000001</v>
      </c>
      <c r="G12" s="23">
        <v>0</v>
      </c>
      <c r="H12" s="23">
        <f t="shared" si="5"/>
        <v>10926.171999999999</v>
      </c>
      <c r="I12" s="23">
        <v>6426.076</v>
      </c>
      <c r="J12" s="23">
        <v>4500.0959999999995</v>
      </c>
      <c r="K12" s="23">
        <v>0</v>
      </c>
      <c r="L12" s="23">
        <f t="shared" si="6"/>
        <v>17992.937999999998</v>
      </c>
      <c r="M12" s="23">
        <v>13278.903999999999</v>
      </c>
      <c r="N12" s="23">
        <v>4714.0339999999997</v>
      </c>
      <c r="O12" s="23">
        <v>0</v>
      </c>
      <c r="P12" s="23">
        <f t="shared" si="7"/>
        <v>0</v>
      </c>
      <c r="Q12" s="23"/>
      <c r="R12" s="23"/>
      <c r="S12" s="23"/>
      <c r="T12" s="23">
        <f t="shared" si="8"/>
        <v>26332.541000000001</v>
      </c>
      <c r="U12" s="23">
        <f>TRIWULAN!D50</f>
        <v>11540.541000000001</v>
      </c>
      <c r="V12" s="23">
        <f>TRIWULAN!D94</f>
        <v>14792</v>
      </c>
      <c r="W12" s="23">
        <f>TRIWULAN!D138</f>
        <v>0</v>
      </c>
    </row>
    <row r="13" spans="1:23" x14ac:dyDescent="0.35">
      <c r="A13" s="2">
        <f t="shared" si="9"/>
        <v>9</v>
      </c>
      <c r="B13" s="3" t="s">
        <v>10</v>
      </c>
      <c r="C13" s="4" t="s">
        <v>4</v>
      </c>
      <c r="D13" s="78">
        <f t="shared" si="10"/>
        <v>29376.612999999998</v>
      </c>
      <c r="E13" s="23">
        <v>15963.813</v>
      </c>
      <c r="F13" s="23">
        <v>13412.8</v>
      </c>
      <c r="G13" s="23">
        <v>0</v>
      </c>
      <c r="H13" s="23">
        <f t="shared" si="5"/>
        <v>22870.574000000001</v>
      </c>
      <c r="I13" s="23">
        <v>7620.4740000000002</v>
      </c>
      <c r="J13" s="23">
        <v>15250.1</v>
      </c>
      <c r="K13" s="23">
        <v>0</v>
      </c>
      <c r="L13" s="23">
        <f t="shared" si="6"/>
        <v>35695.528000000006</v>
      </c>
      <c r="M13" s="23">
        <v>20215.828000000001</v>
      </c>
      <c r="N13" s="23">
        <v>15479.7</v>
      </c>
      <c r="O13" s="23">
        <v>0</v>
      </c>
      <c r="P13" s="23">
        <f t="shared" si="7"/>
        <v>0</v>
      </c>
      <c r="Q13" s="23"/>
      <c r="R13" s="23"/>
      <c r="S13" s="23"/>
      <c r="T13" s="23">
        <f t="shared" si="8"/>
        <v>44686.798000000003</v>
      </c>
      <c r="U13" s="23">
        <f>TRIWULAN!D51</f>
        <v>19172.523000000001</v>
      </c>
      <c r="V13" s="23">
        <f>TRIWULAN!D95</f>
        <v>25514.275000000001</v>
      </c>
      <c r="W13" s="23">
        <f>TRIWULAN!D139</f>
        <v>0</v>
      </c>
    </row>
    <row r="14" spans="1:23" x14ac:dyDescent="0.35">
      <c r="A14" s="2">
        <f t="shared" si="9"/>
        <v>10</v>
      </c>
      <c r="B14" s="3" t="s">
        <v>11</v>
      </c>
      <c r="C14" s="4" t="s">
        <v>4</v>
      </c>
      <c r="D14" s="78">
        <f t="shared" si="10"/>
        <v>90166.311700000006</v>
      </c>
      <c r="E14" s="23">
        <v>61450.346700000002</v>
      </c>
      <c r="F14" s="23">
        <v>28715.965000000004</v>
      </c>
      <c r="G14" s="23">
        <v>0</v>
      </c>
      <c r="H14" s="23">
        <f t="shared" si="5"/>
        <v>43279.037000000004</v>
      </c>
      <c r="I14" s="23">
        <v>16913.429000000004</v>
      </c>
      <c r="J14" s="23">
        <v>26365.608</v>
      </c>
      <c r="K14" s="23">
        <v>0</v>
      </c>
      <c r="L14" s="23">
        <f t="shared" si="6"/>
        <v>83738.681000000011</v>
      </c>
      <c r="M14" s="23">
        <v>55290.058000000005</v>
      </c>
      <c r="N14" s="23">
        <v>28448.623</v>
      </c>
      <c r="O14" s="23">
        <v>0</v>
      </c>
      <c r="P14" s="23">
        <f t="shared" si="7"/>
        <v>0</v>
      </c>
      <c r="Q14" s="23"/>
      <c r="R14" s="23"/>
      <c r="S14" s="23"/>
      <c r="T14" s="23">
        <f t="shared" si="8"/>
        <v>119324.33999999998</v>
      </c>
      <c r="U14" s="23">
        <f>TRIWULAN!D52</f>
        <v>72382.492999999988</v>
      </c>
      <c r="V14" s="23">
        <f>TRIWULAN!D96</f>
        <v>46941.846999999994</v>
      </c>
      <c r="W14" s="23">
        <f>TRIWULAN!D140</f>
        <v>0</v>
      </c>
    </row>
    <row r="15" spans="1:23" x14ac:dyDescent="0.35">
      <c r="A15" s="2">
        <f t="shared" si="9"/>
        <v>11</v>
      </c>
      <c r="B15" s="3" t="s">
        <v>30</v>
      </c>
      <c r="C15" s="4" t="s">
        <v>4</v>
      </c>
      <c r="D15" s="78">
        <f t="shared" si="10"/>
        <v>933.43100000000004</v>
      </c>
      <c r="E15" s="23">
        <v>124.629</v>
      </c>
      <c r="F15" s="23">
        <v>808.80200000000002</v>
      </c>
      <c r="G15" s="23">
        <v>0</v>
      </c>
      <c r="H15" s="23">
        <f t="shared" si="5"/>
        <v>3357.0230000000001</v>
      </c>
      <c r="I15" s="23">
        <v>2481.0830000000001</v>
      </c>
      <c r="J15" s="23">
        <v>875.93999999999994</v>
      </c>
      <c r="K15" s="23">
        <v>0</v>
      </c>
      <c r="L15" s="23">
        <f t="shared" si="6"/>
        <v>9303.0440000000017</v>
      </c>
      <c r="M15" s="23">
        <v>8229.9150000000009</v>
      </c>
      <c r="N15" s="23">
        <v>1073.1290000000001</v>
      </c>
      <c r="O15" s="23">
        <v>0</v>
      </c>
      <c r="P15" s="23">
        <f t="shared" si="7"/>
        <v>0</v>
      </c>
      <c r="Q15" s="23"/>
      <c r="R15" s="23"/>
      <c r="S15" s="23"/>
      <c r="T15" s="23">
        <f t="shared" si="8"/>
        <v>13229.556400000001</v>
      </c>
      <c r="U15" s="23">
        <f>TRIWULAN!D53</f>
        <v>8117.96</v>
      </c>
      <c r="V15" s="23">
        <f>TRIWULAN!D97</f>
        <v>5111.5964000000004</v>
      </c>
      <c r="W15" s="23">
        <f>TRIWULAN!D141</f>
        <v>0</v>
      </c>
    </row>
    <row r="16" spans="1:23" x14ac:dyDescent="0.35">
      <c r="A16" s="2">
        <f t="shared" si="9"/>
        <v>12</v>
      </c>
      <c r="B16" s="3" t="s">
        <v>12</v>
      </c>
      <c r="C16" s="4" t="s">
        <v>4</v>
      </c>
      <c r="D16" s="78">
        <f t="shared" si="10"/>
        <v>28255.934000000001</v>
      </c>
      <c r="E16" s="23">
        <v>15452.6</v>
      </c>
      <c r="F16" s="23">
        <v>12708.834000000001</v>
      </c>
      <c r="G16" s="23">
        <v>94.5</v>
      </c>
      <c r="H16" s="23">
        <f t="shared" si="5"/>
        <v>36398.144455000001</v>
      </c>
      <c r="I16" s="23">
        <v>23693.664455000002</v>
      </c>
      <c r="J16" s="23">
        <v>12658.18</v>
      </c>
      <c r="K16" s="23">
        <v>46.3</v>
      </c>
      <c r="L16" s="23">
        <f t="shared" si="6"/>
        <v>86322.133700000006</v>
      </c>
      <c r="M16" s="23">
        <v>74990.696950000012</v>
      </c>
      <c r="N16" s="23">
        <v>11162.036750000001</v>
      </c>
      <c r="O16" s="23">
        <v>169.39999999999998</v>
      </c>
      <c r="P16" s="23">
        <f t="shared" si="7"/>
        <v>0</v>
      </c>
      <c r="Q16" s="23"/>
      <c r="R16" s="23"/>
      <c r="S16" s="23"/>
      <c r="T16" s="23">
        <f t="shared" si="8"/>
        <v>78997.447000000015</v>
      </c>
      <c r="U16" s="23">
        <f>TRIWULAN!D54</f>
        <v>75133.247000000003</v>
      </c>
      <c r="V16" s="23">
        <f>TRIWULAN!D98</f>
        <v>3850.1000000000004</v>
      </c>
      <c r="W16" s="23">
        <f>TRIWULAN!D142</f>
        <v>14.1</v>
      </c>
    </row>
    <row r="17" spans="1:23" x14ac:dyDescent="0.35">
      <c r="A17" s="2">
        <f t="shared" si="9"/>
        <v>13</v>
      </c>
      <c r="B17" s="3" t="s">
        <v>13</v>
      </c>
      <c r="C17" s="4" t="s">
        <v>4</v>
      </c>
      <c r="D17" s="78">
        <f t="shared" si="10"/>
        <v>57323.023000000001</v>
      </c>
      <c r="E17" s="23">
        <v>28040.926999999996</v>
      </c>
      <c r="F17" s="23">
        <v>12826.821000000002</v>
      </c>
      <c r="G17" s="23">
        <v>16455.275000000001</v>
      </c>
      <c r="H17" s="23">
        <f t="shared" si="5"/>
        <v>24068.582000000002</v>
      </c>
      <c r="I17" s="23">
        <v>5409.9800000000005</v>
      </c>
      <c r="J17" s="23">
        <v>13791.700000000003</v>
      </c>
      <c r="K17" s="23">
        <v>4866.902</v>
      </c>
      <c r="L17" s="23">
        <f t="shared" si="6"/>
        <v>56905.836979999993</v>
      </c>
      <c r="M17" s="23">
        <v>31616.166979999998</v>
      </c>
      <c r="N17" s="23">
        <v>14812.259999999998</v>
      </c>
      <c r="O17" s="23">
        <v>10477.41</v>
      </c>
      <c r="P17" s="23">
        <f t="shared" si="7"/>
        <v>0</v>
      </c>
      <c r="Q17" s="23"/>
      <c r="R17" s="23"/>
      <c r="S17" s="23"/>
      <c r="T17" s="23">
        <f t="shared" si="8"/>
        <v>38461.449999999997</v>
      </c>
      <c r="U17" s="23">
        <f>TRIWULAN!D55</f>
        <v>36601.17</v>
      </c>
      <c r="V17" s="23">
        <f>TRIWULAN!D99</f>
        <v>1860.28</v>
      </c>
      <c r="W17" s="23">
        <f>TRIWULAN!D143</f>
        <v>0</v>
      </c>
    </row>
    <row r="18" spans="1:23" x14ac:dyDescent="0.35">
      <c r="A18" s="2">
        <f t="shared" si="9"/>
        <v>14</v>
      </c>
      <c r="B18" s="3" t="s">
        <v>14</v>
      </c>
      <c r="C18" s="4" t="s">
        <v>4</v>
      </c>
      <c r="D18" s="78">
        <f t="shared" si="10"/>
        <v>68548.069000000003</v>
      </c>
      <c r="E18" s="23">
        <v>21908.449999999997</v>
      </c>
      <c r="F18" s="23">
        <v>20456.869000000002</v>
      </c>
      <c r="G18" s="23">
        <v>26182.75</v>
      </c>
      <c r="H18" s="23">
        <f t="shared" si="5"/>
        <v>32364.332060000001</v>
      </c>
      <c r="I18" s="23">
        <v>7548.5969999999998</v>
      </c>
      <c r="J18" s="23">
        <v>20437.77506</v>
      </c>
      <c r="K18" s="23">
        <v>4377.96</v>
      </c>
      <c r="L18" s="23">
        <f t="shared" si="6"/>
        <v>66010.58653</v>
      </c>
      <c r="M18" s="23">
        <v>25740.366000000002</v>
      </c>
      <c r="N18" s="23">
        <v>23543.830529999999</v>
      </c>
      <c r="O18" s="23">
        <v>16726.39</v>
      </c>
      <c r="P18" s="23">
        <f t="shared" si="7"/>
        <v>0</v>
      </c>
      <c r="Q18" s="23"/>
      <c r="R18" s="23"/>
      <c r="S18" s="23"/>
      <c r="T18" s="23">
        <f t="shared" si="8"/>
        <v>41146.672999999995</v>
      </c>
      <c r="U18" s="23">
        <f>TRIWULAN!D56</f>
        <v>27882.373</v>
      </c>
      <c r="V18" s="23">
        <f>TRIWULAN!D100</f>
        <v>13264.3</v>
      </c>
      <c r="W18" s="23">
        <f>TRIWULAN!D144</f>
        <v>0</v>
      </c>
    </row>
    <row r="19" spans="1:23" x14ac:dyDescent="0.35">
      <c r="A19" s="2">
        <f t="shared" si="9"/>
        <v>15</v>
      </c>
      <c r="B19" s="3" t="s">
        <v>15</v>
      </c>
      <c r="C19" s="4" t="s">
        <v>4</v>
      </c>
      <c r="D19" s="78">
        <f t="shared" si="10"/>
        <v>131682.046</v>
      </c>
      <c r="E19" s="23">
        <v>16380.300000000001</v>
      </c>
      <c r="F19" s="23">
        <v>102658.496</v>
      </c>
      <c r="G19" s="23">
        <v>12643.25</v>
      </c>
      <c r="H19" s="23">
        <f t="shared" si="5"/>
        <v>114601.568</v>
      </c>
      <c r="I19" s="23">
        <v>6079.3180000000002</v>
      </c>
      <c r="J19" s="23">
        <v>106783.72</v>
      </c>
      <c r="K19" s="23">
        <v>1738.53</v>
      </c>
      <c r="L19" s="23">
        <f t="shared" si="6"/>
        <v>140232.72099999999</v>
      </c>
      <c r="M19" s="23">
        <v>19653.721000000001</v>
      </c>
      <c r="N19" s="23">
        <v>108114.59999999999</v>
      </c>
      <c r="O19" s="23">
        <v>12464.4</v>
      </c>
      <c r="P19" s="23">
        <f t="shared" si="7"/>
        <v>0</v>
      </c>
      <c r="Q19" s="23"/>
      <c r="R19" s="23"/>
      <c r="S19" s="23"/>
      <c r="T19" s="23">
        <f t="shared" si="8"/>
        <v>20860.316999999999</v>
      </c>
      <c r="U19" s="23">
        <f>TRIWULAN!D57</f>
        <v>19043.699000000001</v>
      </c>
      <c r="V19" s="23">
        <f>TRIWULAN!D101</f>
        <v>1816.6179999999999</v>
      </c>
      <c r="W19" s="23">
        <f>TRIWULAN!D145</f>
        <v>0</v>
      </c>
    </row>
    <row r="20" spans="1:23" x14ac:dyDescent="0.35">
      <c r="A20" s="2">
        <f t="shared" si="9"/>
        <v>16</v>
      </c>
      <c r="B20" s="3" t="s">
        <v>31</v>
      </c>
      <c r="C20" s="4" t="s">
        <v>4</v>
      </c>
      <c r="D20" s="78">
        <f t="shared" si="10"/>
        <v>1546.2</v>
      </c>
      <c r="E20" s="23">
        <v>127.90000000000002</v>
      </c>
      <c r="F20" s="23">
        <v>1418.3</v>
      </c>
      <c r="G20" s="23">
        <v>0</v>
      </c>
      <c r="H20" s="23">
        <f t="shared" si="5"/>
        <v>2429.3000000000002</v>
      </c>
      <c r="I20" s="23">
        <v>869.8</v>
      </c>
      <c r="J20" s="23">
        <v>1559.5</v>
      </c>
      <c r="K20" s="23">
        <v>0</v>
      </c>
      <c r="L20" s="23">
        <f t="shared" si="6"/>
        <v>4899.2229800000005</v>
      </c>
      <c r="M20" s="23">
        <v>3320.6229800000001</v>
      </c>
      <c r="N20" s="23">
        <v>1578.6</v>
      </c>
      <c r="O20" s="23">
        <v>0</v>
      </c>
      <c r="P20" s="23">
        <f t="shared" si="7"/>
        <v>0</v>
      </c>
      <c r="Q20" s="23"/>
      <c r="R20" s="23"/>
      <c r="S20" s="23"/>
      <c r="T20" s="23">
        <f t="shared" si="8"/>
        <v>15188.421999999999</v>
      </c>
      <c r="U20" s="23">
        <f>TRIWULAN!D58</f>
        <v>4158.4219999999996</v>
      </c>
      <c r="V20" s="23">
        <f>TRIWULAN!D102</f>
        <v>11030</v>
      </c>
      <c r="W20" s="23">
        <f>TRIWULAN!D146</f>
        <v>0</v>
      </c>
    </row>
    <row r="21" spans="1:23" x14ac:dyDescent="0.35">
      <c r="A21" s="2">
        <f t="shared" si="9"/>
        <v>17</v>
      </c>
      <c r="B21" s="3" t="s">
        <v>32</v>
      </c>
      <c r="C21" s="4" t="s">
        <v>4</v>
      </c>
      <c r="D21" s="78">
        <f t="shared" si="10"/>
        <v>14827</v>
      </c>
      <c r="E21" s="23">
        <v>150.6</v>
      </c>
      <c r="F21" s="23">
        <v>14676.4</v>
      </c>
      <c r="G21" s="23">
        <v>0</v>
      </c>
      <c r="H21" s="23">
        <f t="shared" si="5"/>
        <v>15252.122000000001</v>
      </c>
      <c r="I21" s="23">
        <v>549.02200000000005</v>
      </c>
      <c r="J21" s="23">
        <v>14703.1</v>
      </c>
      <c r="K21" s="23">
        <v>0</v>
      </c>
      <c r="L21" s="23">
        <f t="shared" si="6"/>
        <v>16717.288500000002</v>
      </c>
      <c r="M21" s="23">
        <v>1986.7885000000001</v>
      </c>
      <c r="N21" s="23">
        <v>14730.500000000002</v>
      </c>
      <c r="O21" s="23">
        <v>0</v>
      </c>
      <c r="P21" s="23">
        <f t="shared" si="7"/>
        <v>0</v>
      </c>
      <c r="Q21" s="23"/>
      <c r="R21" s="23"/>
      <c r="S21" s="23"/>
      <c r="T21" s="23">
        <f t="shared" si="8"/>
        <v>5985.5370000000003</v>
      </c>
      <c r="U21" s="23">
        <f>TRIWULAN!D59</f>
        <v>1472.0790000000002</v>
      </c>
      <c r="V21" s="23">
        <f>TRIWULAN!D103</f>
        <v>4513.4579999999996</v>
      </c>
      <c r="W21" s="23">
        <f>TRIWULAN!D147</f>
        <v>0</v>
      </c>
    </row>
    <row r="22" spans="1:23" x14ac:dyDescent="0.35">
      <c r="A22" s="2">
        <f t="shared" si="9"/>
        <v>18</v>
      </c>
      <c r="B22" s="3" t="s">
        <v>33</v>
      </c>
      <c r="C22" s="4" t="s">
        <v>4</v>
      </c>
      <c r="D22" s="78">
        <f t="shared" si="10"/>
        <v>10282.76</v>
      </c>
      <c r="E22" s="23">
        <v>271.60000000000002</v>
      </c>
      <c r="F22" s="23">
        <v>10011.16</v>
      </c>
      <c r="G22" s="23">
        <v>0</v>
      </c>
      <c r="H22" s="23">
        <f t="shared" si="5"/>
        <v>15772.31215</v>
      </c>
      <c r="I22" s="23">
        <v>4517.4721499999996</v>
      </c>
      <c r="J22" s="23">
        <v>11254.84</v>
      </c>
      <c r="K22" s="23">
        <v>0</v>
      </c>
      <c r="L22" s="23">
        <f t="shared" si="6"/>
        <v>31268.757829999999</v>
      </c>
      <c r="M22" s="23">
        <v>19544.542829999999</v>
      </c>
      <c r="N22" s="23">
        <v>11724.215</v>
      </c>
      <c r="O22" s="23">
        <v>0</v>
      </c>
      <c r="P22" s="23">
        <f t="shared" si="7"/>
        <v>0</v>
      </c>
      <c r="Q22" s="23"/>
      <c r="R22" s="23"/>
      <c r="S22" s="23"/>
      <c r="T22" s="23">
        <f t="shared" si="8"/>
        <v>32708.143899999999</v>
      </c>
      <c r="U22" s="23">
        <f>TRIWULAN!D60</f>
        <v>30044.6819</v>
      </c>
      <c r="V22" s="23">
        <f>TRIWULAN!D104</f>
        <v>2663.4620000000004</v>
      </c>
      <c r="W22" s="23">
        <f>TRIWULAN!D148</f>
        <v>0</v>
      </c>
    </row>
    <row r="23" spans="1:23" x14ac:dyDescent="0.35">
      <c r="A23" s="2">
        <f t="shared" si="9"/>
        <v>19</v>
      </c>
      <c r="B23" s="3" t="s">
        <v>34</v>
      </c>
      <c r="C23" s="4" t="s">
        <v>4</v>
      </c>
      <c r="D23" s="78">
        <f t="shared" si="10"/>
        <v>4120.7700000000004</v>
      </c>
      <c r="E23" s="23">
        <v>509.20000000000005</v>
      </c>
      <c r="F23" s="23">
        <v>3611.57</v>
      </c>
      <c r="G23" s="23">
        <v>0</v>
      </c>
      <c r="H23" s="23">
        <f t="shared" si="5"/>
        <v>4427.3510000000006</v>
      </c>
      <c r="I23" s="23">
        <v>778.25599999999997</v>
      </c>
      <c r="J23" s="23">
        <v>3649.0950000000003</v>
      </c>
      <c r="K23" s="23">
        <v>0</v>
      </c>
      <c r="L23" s="23">
        <f t="shared" si="6"/>
        <v>5735.4660000000003</v>
      </c>
      <c r="M23" s="23">
        <v>2030.3159999999998</v>
      </c>
      <c r="N23" s="23">
        <v>3705.1500000000005</v>
      </c>
      <c r="O23" s="23">
        <v>0</v>
      </c>
      <c r="P23" s="23">
        <f t="shared" si="7"/>
        <v>0</v>
      </c>
      <c r="Q23" s="23"/>
      <c r="R23" s="23"/>
      <c r="S23" s="23"/>
      <c r="T23" s="23">
        <f t="shared" si="8"/>
        <v>3761.0829999999996</v>
      </c>
      <c r="U23" s="23">
        <f>TRIWULAN!D61</f>
        <v>2445.39</v>
      </c>
      <c r="V23" s="23">
        <f>TRIWULAN!D105</f>
        <v>1315.693</v>
      </c>
      <c r="W23" s="23">
        <f>TRIWULAN!D149</f>
        <v>0</v>
      </c>
    </row>
    <row r="24" spans="1:23" x14ac:dyDescent="0.35">
      <c r="A24" s="2">
        <f t="shared" si="9"/>
        <v>20</v>
      </c>
      <c r="B24" s="3" t="s">
        <v>35</v>
      </c>
      <c r="C24" s="4" t="s">
        <v>4</v>
      </c>
      <c r="D24" s="78">
        <f t="shared" si="10"/>
        <v>1756.2850000000001</v>
      </c>
      <c r="E24" s="23">
        <v>42.7</v>
      </c>
      <c r="F24" s="23">
        <v>1713.585</v>
      </c>
      <c r="G24" s="23">
        <v>0</v>
      </c>
      <c r="H24" s="23">
        <f t="shared" si="5"/>
        <v>2228.0749999999998</v>
      </c>
      <c r="I24" s="23">
        <v>514.03500000000008</v>
      </c>
      <c r="J24" s="23">
        <v>1714.04</v>
      </c>
      <c r="K24" s="23">
        <v>0</v>
      </c>
      <c r="L24" s="23">
        <f t="shared" si="6"/>
        <v>3547.23</v>
      </c>
      <c r="M24" s="23">
        <v>1783.97</v>
      </c>
      <c r="N24" s="23">
        <v>1763.26</v>
      </c>
      <c r="O24" s="23">
        <v>0</v>
      </c>
      <c r="P24" s="23">
        <f t="shared" si="7"/>
        <v>0</v>
      </c>
      <c r="Q24" s="23"/>
      <c r="R24" s="23"/>
      <c r="S24" s="23"/>
      <c r="T24" s="23">
        <f t="shared" si="8"/>
        <v>27581.47827</v>
      </c>
      <c r="U24" s="23">
        <f>TRIWULAN!D62</f>
        <v>2286.3040000000001</v>
      </c>
      <c r="V24" s="23">
        <f>TRIWULAN!D106</f>
        <v>25295.17427</v>
      </c>
      <c r="W24" s="23">
        <f>TRIWULAN!D150</f>
        <v>0</v>
      </c>
    </row>
    <row r="25" spans="1:23" x14ac:dyDescent="0.35">
      <c r="A25" s="2">
        <f t="shared" si="9"/>
        <v>21</v>
      </c>
      <c r="B25" s="3" t="s">
        <v>36</v>
      </c>
      <c r="C25" s="4" t="s">
        <v>4</v>
      </c>
      <c r="D25" s="78">
        <f t="shared" si="10"/>
        <v>4911.5349999999999</v>
      </c>
      <c r="E25" s="23">
        <v>888.4</v>
      </c>
      <c r="F25" s="23">
        <v>4023.1350000000002</v>
      </c>
      <c r="G25" s="23">
        <v>0</v>
      </c>
      <c r="H25" s="23">
        <f t="shared" si="5"/>
        <v>6108.3639999999996</v>
      </c>
      <c r="I25" s="23">
        <v>1930.5139999999999</v>
      </c>
      <c r="J25" s="23">
        <v>4177.8499999999995</v>
      </c>
      <c r="K25" s="23">
        <v>0</v>
      </c>
      <c r="L25" s="23">
        <f t="shared" si="6"/>
        <v>11652.652979999999</v>
      </c>
      <c r="M25" s="23">
        <v>7263.9829799999998</v>
      </c>
      <c r="N25" s="23">
        <v>4388.67</v>
      </c>
      <c r="O25" s="23">
        <v>0</v>
      </c>
      <c r="P25" s="23">
        <f t="shared" si="7"/>
        <v>0</v>
      </c>
      <c r="Q25" s="23"/>
      <c r="R25" s="23"/>
      <c r="S25" s="23"/>
      <c r="T25" s="23">
        <f t="shared" si="8"/>
        <v>10243.175999999999</v>
      </c>
      <c r="U25" s="23">
        <f>TRIWULAN!D63</f>
        <v>8045.8600000000006</v>
      </c>
      <c r="V25" s="23">
        <f>TRIWULAN!D107</f>
        <v>2197.3159999999998</v>
      </c>
      <c r="W25" s="23">
        <f>TRIWULAN!D151</f>
        <v>0</v>
      </c>
    </row>
    <row r="26" spans="1:23" x14ac:dyDescent="0.35">
      <c r="A26" s="2">
        <f t="shared" si="9"/>
        <v>22</v>
      </c>
      <c r="B26" s="3" t="s">
        <v>37</v>
      </c>
      <c r="C26" s="4" t="s">
        <v>4</v>
      </c>
      <c r="D26" s="78">
        <f t="shared" si="10"/>
        <v>5802.5830000000005</v>
      </c>
      <c r="E26" s="23">
        <v>1089</v>
      </c>
      <c r="F26" s="23">
        <v>4713.5830000000005</v>
      </c>
      <c r="G26" s="23">
        <v>0</v>
      </c>
      <c r="H26" s="23">
        <f t="shared" si="5"/>
        <v>7491.4849999999997</v>
      </c>
      <c r="I26" s="23">
        <v>2613.348</v>
      </c>
      <c r="J26" s="23">
        <v>4878.1369999999997</v>
      </c>
      <c r="K26" s="23">
        <v>0</v>
      </c>
      <c r="L26" s="23">
        <f t="shared" si="6"/>
        <v>11089.25209</v>
      </c>
      <c r="M26" s="23">
        <v>6003.1780899999994</v>
      </c>
      <c r="N26" s="23">
        <v>5086.0740000000005</v>
      </c>
      <c r="O26" s="23">
        <v>0</v>
      </c>
      <c r="P26" s="23">
        <f t="shared" si="7"/>
        <v>0</v>
      </c>
      <c r="Q26" s="23"/>
      <c r="R26" s="23"/>
      <c r="S26" s="23"/>
      <c r="T26" s="23">
        <f t="shared" si="8"/>
        <v>23166.980000000003</v>
      </c>
      <c r="U26" s="23">
        <f>TRIWULAN!D64</f>
        <v>7733.4120000000003</v>
      </c>
      <c r="V26" s="23">
        <f>TRIWULAN!D108</f>
        <v>15433.568000000003</v>
      </c>
      <c r="W26" s="23">
        <f>TRIWULAN!D152</f>
        <v>0</v>
      </c>
    </row>
    <row r="27" spans="1:23" x14ac:dyDescent="0.35">
      <c r="A27" s="2">
        <v>23</v>
      </c>
      <c r="B27" s="3" t="s">
        <v>16</v>
      </c>
      <c r="C27" s="4" t="s">
        <v>4</v>
      </c>
      <c r="D27" s="78">
        <f t="shared" si="10"/>
        <v>126118.01800000001</v>
      </c>
      <c r="E27" s="23">
        <v>36258.369999999995</v>
      </c>
      <c r="F27" s="23">
        <v>44166.828000000001</v>
      </c>
      <c r="G27" s="23">
        <v>45692.82</v>
      </c>
      <c r="H27" s="23">
        <f t="shared" si="5"/>
        <v>70602.176000000007</v>
      </c>
      <c r="I27" s="23">
        <v>11275.19</v>
      </c>
      <c r="J27" s="23">
        <v>46706.421000000002</v>
      </c>
      <c r="K27" s="23">
        <v>12620.565000000001</v>
      </c>
      <c r="L27" s="23">
        <f t="shared" si="6"/>
        <v>103899.55997999999</v>
      </c>
      <c r="M27" s="23">
        <v>22810.999980000001</v>
      </c>
      <c r="N27" s="23">
        <v>49069.259999999995</v>
      </c>
      <c r="O27" s="23">
        <v>32019.299999999996</v>
      </c>
      <c r="P27" s="23">
        <f t="shared" si="7"/>
        <v>0</v>
      </c>
      <c r="Q27" s="23"/>
      <c r="R27" s="23"/>
      <c r="S27" s="23"/>
      <c r="T27" s="23">
        <f t="shared" si="8"/>
        <v>38846.527999999991</v>
      </c>
      <c r="U27" s="23">
        <f>TRIWULAN!D65</f>
        <v>37758.299999999996</v>
      </c>
      <c r="V27" s="23">
        <f>TRIWULAN!D109</f>
        <v>1083.028</v>
      </c>
      <c r="W27" s="23">
        <f>TRIWULAN!D153</f>
        <v>5.2</v>
      </c>
    </row>
    <row r="28" spans="1:23" x14ac:dyDescent="0.35">
      <c r="A28" s="2">
        <v>24</v>
      </c>
      <c r="B28" s="3" t="s">
        <v>17</v>
      </c>
      <c r="C28" s="4" t="s">
        <v>4</v>
      </c>
      <c r="D28" s="78">
        <f t="shared" si="10"/>
        <v>254820.94276500001</v>
      </c>
      <c r="E28" s="23">
        <v>136303.12353000001</v>
      </c>
      <c r="F28" s="23">
        <v>62742.570999999989</v>
      </c>
      <c r="G28" s="23">
        <v>55775.248235000006</v>
      </c>
      <c r="H28" s="23">
        <f t="shared" si="5"/>
        <v>93181.059619610402</v>
      </c>
      <c r="I28" s="23">
        <v>17059.550000000003</v>
      </c>
      <c r="J28" s="23">
        <v>63401.915000000001</v>
      </c>
      <c r="K28" s="23">
        <v>12719.594619610409</v>
      </c>
      <c r="L28" s="23">
        <f t="shared" si="6"/>
        <v>126854.03098000001</v>
      </c>
      <c r="M28" s="23">
        <v>46226.460980000003</v>
      </c>
      <c r="N28" s="23">
        <v>48978.779999999992</v>
      </c>
      <c r="O28" s="23">
        <v>31648.79</v>
      </c>
      <c r="P28" s="23">
        <f t="shared" si="7"/>
        <v>0</v>
      </c>
      <c r="Q28" s="23"/>
      <c r="R28" s="23"/>
      <c r="S28" s="23"/>
      <c r="T28" s="23">
        <f t="shared" si="8"/>
        <v>136750.25700000001</v>
      </c>
      <c r="U28" s="23">
        <f>TRIWULAN!D66</f>
        <v>26006.57</v>
      </c>
      <c r="V28" s="23">
        <f>TRIWULAN!D110</f>
        <v>110739.68700000001</v>
      </c>
      <c r="W28" s="23">
        <f>TRIWULAN!D154</f>
        <v>4</v>
      </c>
    </row>
    <row r="29" spans="1:23" x14ac:dyDescent="0.35">
      <c r="A29" s="2">
        <v>25</v>
      </c>
      <c r="B29" s="3" t="s">
        <v>18</v>
      </c>
      <c r="C29" s="4" t="s">
        <v>4</v>
      </c>
      <c r="D29" s="78">
        <f t="shared" si="10"/>
        <v>154039.31592877689</v>
      </c>
      <c r="E29" s="23">
        <v>9440.1570000000011</v>
      </c>
      <c r="F29" s="23">
        <v>142736.90892877689</v>
      </c>
      <c r="G29" s="23">
        <v>1862.25</v>
      </c>
      <c r="H29" s="23">
        <f t="shared" si="5"/>
        <v>154973.79624774933</v>
      </c>
      <c r="I29" s="23">
        <v>1990.87</v>
      </c>
      <c r="J29" s="23">
        <v>151698.90124774934</v>
      </c>
      <c r="K29" s="23">
        <v>1284.0249999999999</v>
      </c>
      <c r="L29" s="23">
        <f t="shared" si="6"/>
        <v>167082.54686995389</v>
      </c>
      <c r="M29" s="23">
        <v>7039.0699799999993</v>
      </c>
      <c r="N29" s="23">
        <v>152917.47688995389</v>
      </c>
      <c r="O29" s="23">
        <v>7126</v>
      </c>
      <c r="P29" s="23">
        <f t="shared" si="7"/>
        <v>0</v>
      </c>
      <c r="Q29" s="23"/>
      <c r="R29" s="23"/>
      <c r="S29" s="23"/>
      <c r="T29" s="23">
        <f t="shared" si="8"/>
        <v>22518.328000000001</v>
      </c>
      <c r="U29" s="23">
        <f>TRIWULAN!D67</f>
        <v>10843</v>
      </c>
      <c r="V29" s="23">
        <f>TRIWULAN!D111</f>
        <v>11675.328</v>
      </c>
      <c r="W29" s="23">
        <f>TRIWULAN!D155</f>
        <v>0</v>
      </c>
    </row>
    <row r="30" spans="1:23" x14ac:dyDescent="0.35">
      <c r="A30" s="2">
        <v>26</v>
      </c>
      <c r="B30" s="3" t="s">
        <v>19</v>
      </c>
      <c r="C30" s="4" t="s">
        <v>4</v>
      </c>
      <c r="D30" s="78">
        <f t="shared" si="10"/>
        <v>45746.095000000001</v>
      </c>
      <c r="E30" s="23">
        <v>26770.680999999997</v>
      </c>
      <c r="F30" s="23">
        <v>11851.914000000001</v>
      </c>
      <c r="G30" s="23">
        <v>7123.5</v>
      </c>
      <c r="H30" s="23">
        <f t="shared" si="5"/>
        <v>19800.251</v>
      </c>
      <c r="I30" s="23">
        <v>8884.02</v>
      </c>
      <c r="J30" s="23">
        <v>8325.8919999999998</v>
      </c>
      <c r="K30" s="23">
        <v>2590.3389999999999</v>
      </c>
      <c r="L30" s="23">
        <f t="shared" si="6"/>
        <v>50759.949979999998</v>
      </c>
      <c r="M30" s="23">
        <v>33435.23098</v>
      </c>
      <c r="N30" s="23">
        <v>9764.3689999999988</v>
      </c>
      <c r="O30" s="23">
        <v>7560.35</v>
      </c>
      <c r="P30" s="23">
        <f t="shared" si="7"/>
        <v>0</v>
      </c>
      <c r="Q30" s="23"/>
      <c r="R30" s="23"/>
      <c r="S30" s="23"/>
      <c r="T30" s="23">
        <f t="shared" si="8"/>
        <v>796188.39639999997</v>
      </c>
      <c r="U30" s="23">
        <f>TRIWULAN!D68</f>
        <v>25778.300000000003</v>
      </c>
      <c r="V30" s="23">
        <f>TRIWULAN!D112</f>
        <v>770272.09639999992</v>
      </c>
      <c r="W30" s="23">
        <f>TRIWULAN!D156</f>
        <v>138</v>
      </c>
    </row>
    <row r="31" spans="1:23" x14ac:dyDescent="0.35">
      <c r="A31" s="2">
        <v>27</v>
      </c>
      <c r="B31" s="3" t="s">
        <v>20</v>
      </c>
      <c r="C31" s="4" t="s">
        <v>4</v>
      </c>
      <c r="D31" s="78">
        <f t="shared" si="10"/>
        <v>317586.39799999999</v>
      </c>
      <c r="E31" s="23">
        <v>16772.255000000001</v>
      </c>
      <c r="F31" s="23">
        <v>920.14300000000003</v>
      </c>
      <c r="G31" s="23">
        <v>299894</v>
      </c>
      <c r="H31" s="23">
        <f t="shared" si="5"/>
        <v>101596.62600000006</v>
      </c>
      <c r="I31" s="23">
        <v>5463.8850000000002</v>
      </c>
      <c r="J31" s="23">
        <v>980.04</v>
      </c>
      <c r="K31" s="23">
        <v>95152.701000000059</v>
      </c>
      <c r="L31" s="23">
        <f t="shared" si="6"/>
        <v>384997.14</v>
      </c>
      <c r="M31" s="23">
        <v>15775.084999999999</v>
      </c>
      <c r="N31" s="23">
        <v>1029.0549999999998</v>
      </c>
      <c r="O31" s="23">
        <v>368193</v>
      </c>
      <c r="P31" s="23">
        <f t="shared" si="7"/>
        <v>0</v>
      </c>
      <c r="Q31" s="23"/>
      <c r="R31" s="23"/>
      <c r="S31" s="23"/>
      <c r="T31" s="23">
        <f t="shared" si="8"/>
        <v>21893.763000000003</v>
      </c>
      <c r="U31" s="23">
        <f>TRIWULAN!D69</f>
        <v>16805.300000000003</v>
      </c>
      <c r="V31" s="23">
        <f>TRIWULAN!D113</f>
        <v>5088.4629999999997</v>
      </c>
      <c r="W31" s="23">
        <f>TRIWULAN!D157</f>
        <v>0</v>
      </c>
    </row>
    <row r="32" spans="1:23" x14ac:dyDescent="0.35">
      <c r="A32" s="2">
        <v>28</v>
      </c>
      <c r="B32" s="3" t="s">
        <v>21</v>
      </c>
      <c r="C32" s="4" t="s">
        <v>4</v>
      </c>
      <c r="D32" s="78">
        <f t="shared" si="10"/>
        <v>76663.914000000004</v>
      </c>
      <c r="E32" s="23">
        <v>22018.726000000002</v>
      </c>
      <c r="F32" s="23">
        <v>634.58799999999997</v>
      </c>
      <c r="G32" s="23">
        <v>54010.6</v>
      </c>
      <c r="H32" s="23">
        <f t="shared" si="5"/>
        <v>48137.158000000003</v>
      </c>
      <c r="I32" s="23">
        <v>5336</v>
      </c>
      <c r="J32" s="23">
        <v>1092.443</v>
      </c>
      <c r="K32" s="23">
        <v>41708.715000000004</v>
      </c>
      <c r="L32" s="23">
        <f t="shared" si="6"/>
        <v>143184.962</v>
      </c>
      <c r="M32" s="23">
        <v>17663.218000000001</v>
      </c>
      <c r="N32" s="23">
        <v>1113.8440000000001</v>
      </c>
      <c r="O32" s="23">
        <v>124407.90000000001</v>
      </c>
      <c r="P32" s="23">
        <f t="shared" si="7"/>
        <v>0</v>
      </c>
      <c r="Q32" s="23"/>
      <c r="R32" s="23"/>
      <c r="S32" s="23"/>
      <c r="T32" s="23">
        <f t="shared" si="8"/>
        <v>71324.03</v>
      </c>
      <c r="U32" s="23">
        <f>TRIWULAN!D70</f>
        <v>18004.599999999999</v>
      </c>
      <c r="V32" s="23">
        <f>TRIWULAN!D114</f>
        <v>53319.430000000008</v>
      </c>
      <c r="W32" s="23">
        <f>TRIWULAN!D158</f>
        <v>0</v>
      </c>
    </row>
    <row r="33" spans="1:23" x14ac:dyDescent="0.35">
      <c r="A33" s="2">
        <v>29</v>
      </c>
      <c r="B33" s="3" t="s">
        <v>22</v>
      </c>
      <c r="C33" s="4" t="s">
        <v>4</v>
      </c>
      <c r="D33" s="78">
        <f t="shared" si="10"/>
        <v>916342.59950000001</v>
      </c>
      <c r="E33" s="23">
        <v>45725.955999999998</v>
      </c>
      <c r="F33" s="23">
        <v>681946.8835</v>
      </c>
      <c r="G33" s="23">
        <v>188669.75999999998</v>
      </c>
      <c r="H33" s="23">
        <f t="shared" si="5"/>
        <v>788796.44230000011</v>
      </c>
      <c r="I33" s="23">
        <v>11880</v>
      </c>
      <c r="J33" s="23">
        <v>683967.59930000012</v>
      </c>
      <c r="K33" s="23">
        <v>92948.843000000008</v>
      </c>
      <c r="L33" s="23">
        <f t="shared" si="6"/>
        <v>981109.20629999996</v>
      </c>
      <c r="M33" s="23">
        <v>43218.279000000002</v>
      </c>
      <c r="N33" s="23">
        <v>729206.01729999995</v>
      </c>
      <c r="O33" s="23">
        <v>208684.91</v>
      </c>
      <c r="P33" s="23">
        <f t="shared" si="7"/>
        <v>0</v>
      </c>
      <c r="Q33" s="23"/>
      <c r="R33" s="23"/>
      <c r="S33" s="23"/>
      <c r="T33" s="23">
        <f t="shared" si="8"/>
        <v>93888.688999999998</v>
      </c>
      <c r="U33" s="23">
        <f>TRIWULAN!D71</f>
        <v>40137.188999999998</v>
      </c>
      <c r="V33" s="23">
        <f>TRIWULAN!D115</f>
        <v>53751.5</v>
      </c>
      <c r="W33" s="23">
        <f>TRIWULAN!D159</f>
        <v>0</v>
      </c>
    </row>
    <row r="34" spans="1:23" x14ac:dyDescent="0.35">
      <c r="A34" s="2">
        <v>30</v>
      </c>
      <c r="B34" s="3" t="s">
        <v>46</v>
      </c>
      <c r="C34" s="4" t="s">
        <v>4</v>
      </c>
      <c r="D34" s="78">
        <f t="shared" si="10"/>
        <v>214</v>
      </c>
      <c r="E34" s="23">
        <v>30</v>
      </c>
      <c r="F34" s="23">
        <v>184</v>
      </c>
      <c r="G34" s="23">
        <v>0</v>
      </c>
      <c r="H34" s="23">
        <f t="shared" si="5"/>
        <v>195.10000000000002</v>
      </c>
      <c r="I34" s="23">
        <v>9</v>
      </c>
      <c r="J34" s="23">
        <v>186.10000000000002</v>
      </c>
      <c r="K34" s="23">
        <v>0</v>
      </c>
      <c r="L34" s="23">
        <f t="shared" si="6"/>
        <v>275.60000000000002</v>
      </c>
      <c r="M34" s="23">
        <v>87.800000000000011</v>
      </c>
      <c r="N34" s="23">
        <v>187.8</v>
      </c>
      <c r="O34" s="23">
        <v>0</v>
      </c>
      <c r="P34" s="23">
        <f t="shared" si="7"/>
        <v>0</v>
      </c>
      <c r="Q34" s="23"/>
      <c r="R34" s="23"/>
      <c r="S34" s="23"/>
      <c r="T34" s="23">
        <f t="shared" si="8"/>
        <v>98.539000000000001</v>
      </c>
      <c r="U34" s="23">
        <f>TRIWULAN!D72</f>
        <v>33.200000000000003</v>
      </c>
      <c r="V34" s="23">
        <f>TRIWULAN!D116</f>
        <v>65.338999999999999</v>
      </c>
      <c r="W34" s="23">
        <f>TRIWULAN!D160</f>
        <v>0</v>
      </c>
    </row>
    <row r="35" spans="1:23" x14ac:dyDescent="0.35">
      <c r="A35" s="2">
        <v>31</v>
      </c>
      <c r="B35" s="3" t="s">
        <v>47</v>
      </c>
      <c r="C35" s="4" t="s">
        <v>4</v>
      </c>
      <c r="D35" s="78">
        <f t="shared" si="10"/>
        <v>232.8</v>
      </c>
      <c r="E35" s="23">
        <v>0</v>
      </c>
      <c r="F35" s="23">
        <v>232.8</v>
      </c>
      <c r="G35" s="23">
        <v>0</v>
      </c>
      <c r="H35" s="23">
        <f t="shared" si="5"/>
        <v>234.01</v>
      </c>
      <c r="I35" s="23">
        <v>0</v>
      </c>
      <c r="J35" s="23">
        <v>234.01</v>
      </c>
      <c r="K35" s="23">
        <v>0</v>
      </c>
      <c r="L35" s="23">
        <f t="shared" si="6"/>
        <v>232.536</v>
      </c>
      <c r="M35" s="23">
        <v>0</v>
      </c>
      <c r="N35" s="23">
        <v>232.536</v>
      </c>
      <c r="O35" s="23">
        <v>0</v>
      </c>
      <c r="P35" s="23">
        <f t="shared" si="7"/>
        <v>0</v>
      </c>
      <c r="Q35" s="23"/>
      <c r="R35" s="23"/>
      <c r="S35" s="23"/>
      <c r="T35" s="23">
        <f t="shared" si="8"/>
        <v>244.77999999999997</v>
      </c>
      <c r="U35" s="23">
        <f>TRIWULAN!D73</f>
        <v>0</v>
      </c>
      <c r="V35" s="23">
        <f>TRIWULAN!D117</f>
        <v>244.77999999999997</v>
      </c>
      <c r="W35" s="23">
        <f>TRIWULAN!D161</f>
        <v>0</v>
      </c>
    </row>
    <row r="36" spans="1:23" x14ac:dyDescent="0.35">
      <c r="A36" s="2">
        <v>32</v>
      </c>
      <c r="B36" s="3" t="s">
        <v>48</v>
      </c>
      <c r="C36" s="4" t="s">
        <v>4</v>
      </c>
      <c r="D36" s="78">
        <f t="shared" si="10"/>
        <v>155.5</v>
      </c>
      <c r="E36" s="23">
        <v>0</v>
      </c>
      <c r="F36" s="23">
        <v>155.5</v>
      </c>
      <c r="G36" s="23">
        <v>0</v>
      </c>
      <c r="H36" s="23">
        <f t="shared" si="5"/>
        <v>147</v>
      </c>
      <c r="I36" s="23">
        <v>0</v>
      </c>
      <c r="J36" s="23">
        <v>147</v>
      </c>
      <c r="K36" s="23">
        <v>0</v>
      </c>
      <c r="L36" s="23">
        <f t="shared" si="6"/>
        <v>158.6</v>
      </c>
      <c r="M36" s="23">
        <v>0</v>
      </c>
      <c r="N36" s="23">
        <v>158.6</v>
      </c>
      <c r="O36" s="23">
        <v>0</v>
      </c>
      <c r="P36" s="23">
        <f t="shared" si="7"/>
        <v>0</v>
      </c>
      <c r="Q36" s="23"/>
      <c r="R36" s="23"/>
      <c r="S36" s="23"/>
      <c r="T36" s="23">
        <f t="shared" si="8"/>
        <v>193.10000000000002</v>
      </c>
      <c r="U36" s="23">
        <f>TRIWULAN!D74</f>
        <v>0</v>
      </c>
      <c r="V36" s="23">
        <f>TRIWULAN!D118</f>
        <v>193.10000000000002</v>
      </c>
      <c r="W36" s="23">
        <f>TRIWULAN!D162</f>
        <v>0</v>
      </c>
    </row>
    <row r="37" spans="1:23" x14ac:dyDescent="0.35">
      <c r="A37" s="2">
        <v>33</v>
      </c>
      <c r="B37" s="3" t="s">
        <v>23</v>
      </c>
      <c r="C37" s="4" t="s">
        <v>4</v>
      </c>
      <c r="D37" s="78">
        <f t="shared" si="10"/>
        <v>10324.758210000002</v>
      </c>
      <c r="E37" s="23">
        <v>9987.350910000001</v>
      </c>
      <c r="F37" s="23">
        <v>337.40729999999996</v>
      </c>
      <c r="G37" s="23">
        <v>0</v>
      </c>
      <c r="H37" s="23">
        <f t="shared" si="5"/>
        <v>616.37000000000012</v>
      </c>
      <c r="I37" s="23">
        <v>261.3</v>
      </c>
      <c r="J37" s="23">
        <v>355.07000000000005</v>
      </c>
      <c r="K37" s="23">
        <v>0</v>
      </c>
      <c r="L37" s="23">
        <f t="shared" si="6"/>
        <v>1448.60691</v>
      </c>
      <c r="M37" s="23">
        <v>1024.2349999999999</v>
      </c>
      <c r="N37" s="23">
        <v>415.37190999999996</v>
      </c>
      <c r="O37" s="23">
        <v>9</v>
      </c>
      <c r="P37" s="23">
        <f t="shared" si="7"/>
        <v>0</v>
      </c>
      <c r="Q37" s="23"/>
      <c r="R37" s="23"/>
      <c r="S37" s="23"/>
      <c r="T37" s="23">
        <f t="shared" si="8"/>
        <v>1229.7019500000001</v>
      </c>
      <c r="U37" s="23">
        <f>TRIWULAN!D75</f>
        <v>939.077</v>
      </c>
      <c r="V37" s="23">
        <f>TRIWULAN!D119</f>
        <v>290.62495000000001</v>
      </c>
      <c r="W37" s="23">
        <f>TRIWULAN!D163</f>
        <v>0</v>
      </c>
    </row>
    <row r="38" spans="1:23" x14ac:dyDescent="0.35">
      <c r="A38" s="2">
        <v>34</v>
      </c>
      <c r="B38" s="3" t="s">
        <v>24</v>
      </c>
      <c r="C38" s="4" t="s">
        <v>4</v>
      </c>
      <c r="D38" s="78">
        <f t="shared" si="10"/>
        <v>23070.192999999999</v>
      </c>
      <c r="E38" s="23">
        <v>14239.476999999999</v>
      </c>
      <c r="F38" s="23">
        <v>2189.4960000000001</v>
      </c>
      <c r="G38" s="23">
        <v>6641.22</v>
      </c>
      <c r="H38" s="23">
        <f t="shared" si="5"/>
        <v>5784.0320000000002</v>
      </c>
      <c r="I38" s="23">
        <v>2254</v>
      </c>
      <c r="J38" s="23">
        <v>2238.598</v>
      </c>
      <c r="K38" s="23">
        <v>1291.434</v>
      </c>
      <c r="L38" s="23">
        <f t="shared" si="6"/>
        <v>18930.367238979085</v>
      </c>
      <c r="M38" s="23">
        <v>9880.92</v>
      </c>
      <c r="N38" s="23">
        <v>2600.8972389790833</v>
      </c>
      <c r="O38" s="23">
        <v>6448.55</v>
      </c>
      <c r="P38" s="23">
        <f t="shared" si="7"/>
        <v>0</v>
      </c>
      <c r="Q38" s="23"/>
      <c r="R38" s="23"/>
      <c r="S38" s="23"/>
      <c r="T38" s="23">
        <f t="shared" si="8"/>
        <v>11198.6</v>
      </c>
      <c r="U38" s="23">
        <f>TRIWULAN!D76</f>
        <v>11036.6</v>
      </c>
      <c r="V38" s="23">
        <f>TRIWULAN!D120</f>
        <v>162</v>
      </c>
      <c r="W38" s="23">
        <f>TRIWULAN!D164</f>
        <v>0</v>
      </c>
    </row>
    <row r="39" spans="1:23" x14ac:dyDescent="0.35">
      <c r="A39" s="2">
        <v>35</v>
      </c>
      <c r="B39" s="3" t="s">
        <v>49</v>
      </c>
      <c r="C39" s="4" t="s">
        <v>4</v>
      </c>
      <c r="D39" s="78">
        <f t="shared" si="10"/>
        <v>222.62</v>
      </c>
      <c r="E39" s="23">
        <v>9.629999999999999</v>
      </c>
      <c r="F39" s="23">
        <v>212.99</v>
      </c>
      <c r="G39" s="23">
        <v>0</v>
      </c>
      <c r="H39" s="23">
        <f t="shared" si="5"/>
        <v>230.79999999999998</v>
      </c>
      <c r="I39" s="23">
        <v>10.78</v>
      </c>
      <c r="J39" s="23">
        <v>220.01999999999998</v>
      </c>
      <c r="K39" s="23">
        <v>0</v>
      </c>
      <c r="L39" s="23">
        <f t="shared" si="6"/>
        <v>279.78000000000003</v>
      </c>
      <c r="M39" s="23">
        <v>50.08</v>
      </c>
      <c r="N39" s="23">
        <v>229.70000000000002</v>
      </c>
      <c r="O39" s="23">
        <v>0</v>
      </c>
      <c r="P39" s="23">
        <f t="shared" si="7"/>
        <v>0</v>
      </c>
      <c r="Q39" s="23"/>
      <c r="R39" s="23"/>
      <c r="S39" s="23"/>
      <c r="T39" s="23">
        <f t="shared" si="8"/>
        <v>235.19599999999997</v>
      </c>
      <c r="U39" s="23">
        <f>TRIWULAN!D77</f>
        <v>6.4849999999999994</v>
      </c>
      <c r="V39" s="23">
        <f>TRIWULAN!D121</f>
        <v>228.71099999999998</v>
      </c>
      <c r="W39" s="23">
        <f>TRIWULAN!D165</f>
        <v>0</v>
      </c>
    </row>
    <row r="40" spans="1:23" x14ac:dyDescent="0.35">
      <c r="A40" s="2">
        <v>36</v>
      </c>
      <c r="B40" s="3" t="s">
        <v>50</v>
      </c>
      <c r="C40" s="4" t="s">
        <v>4</v>
      </c>
      <c r="D40" s="78">
        <f t="shared" si="10"/>
        <v>367.50799999999998</v>
      </c>
      <c r="E40" s="23">
        <v>90.5</v>
      </c>
      <c r="F40" s="23">
        <v>277.00799999999998</v>
      </c>
      <c r="G40" s="23">
        <v>0</v>
      </c>
      <c r="H40" s="23">
        <f t="shared" si="5"/>
        <v>303.49</v>
      </c>
      <c r="I40" s="23">
        <v>22.4</v>
      </c>
      <c r="J40" s="23">
        <v>281.09000000000003</v>
      </c>
      <c r="K40" s="23">
        <v>0</v>
      </c>
      <c r="L40" s="23">
        <f t="shared" si="6"/>
        <v>495.5</v>
      </c>
      <c r="M40" s="23">
        <v>210.5</v>
      </c>
      <c r="N40" s="23">
        <v>285</v>
      </c>
      <c r="O40" s="23">
        <v>0</v>
      </c>
      <c r="P40" s="23">
        <f t="shared" si="7"/>
        <v>0</v>
      </c>
      <c r="Q40" s="23"/>
      <c r="R40" s="23"/>
      <c r="S40" s="23"/>
      <c r="T40" s="23">
        <f t="shared" si="8"/>
        <v>2759.7150000000001</v>
      </c>
      <c r="U40" s="23">
        <f>TRIWULAN!D78</f>
        <v>96.8</v>
      </c>
      <c r="V40" s="23">
        <f>TRIWULAN!D122</f>
        <v>2662.915</v>
      </c>
      <c r="W40" s="23">
        <f>TRIWULAN!D166</f>
        <v>0</v>
      </c>
    </row>
    <row r="41" spans="1:23" x14ac:dyDescent="0.35">
      <c r="A41" s="2">
        <v>37</v>
      </c>
      <c r="B41" s="3" t="s">
        <v>25</v>
      </c>
      <c r="C41" s="4" t="s">
        <v>4</v>
      </c>
      <c r="D41" s="78">
        <f t="shared" si="10"/>
        <v>42233.077000000005</v>
      </c>
      <c r="E41" s="23">
        <v>7809.8000000000011</v>
      </c>
      <c r="F41" s="23">
        <v>9054.3709999999992</v>
      </c>
      <c r="G41" s="23">
        <v>25368.905999999999</v>
      </c>
      <c r="H41" s="23">
        <f t="shared" si="5"/>
        <v>20372.093000000001</v>
      </c>
      <c r="I41" s="23">
        <v>5964.9</v>
      </c>
      <c r="J41" s="23">
        <v>9888.262999999999</v>
      </c>
      <c r="K41" s="23">
        <v>4518.93</v>
      </c>
      <c r="L41" s="23">
        <f t="shared" si="6"/>
        <v>40991.083265466179</v>
      </c>
      <c r="M41" s="23">
        <v>11555.999999999998</v>
      </c>
      <c r="N41" s="23">
        <v>8359.1572654661777</v>
      </c>
      <c r="O41" s="23">
        <v>21075.925999999999</v>
      </c>
      <c r="P41" s="23">
        <f t="shared" si="7"/>
        <v>0</v>
      </c>
      <c r="Q41" s="23"/>
      <c r="R41" s="23"/>
      <c r="S41" s="23"/>
      <c r="T41" s="23">
        <f t="shared" si="8"/>
        <v>9571.3822000000018</v>
      </c>
      <c r="U41" s="23">
        <f>TRIWULAN!D79</f>
        <v>9142.3000000000011</v>
      </c>
      <c r="V41" s="23">
        <f>TRIWULAN!D123</f>
        <v>429.08219999999994</v>
      </c>
      <c r="W41" s="23">
        <f>TRIWULAN!D167</f>
        <v>0</v>
      </c>
    </row>
    <row r="42" spans="1:23" x14ac:dyDescent="0.35">
      <c r="A42" s="2">
        <v>38</v>
      </c>
      <c r="B42" s="3" t="s">
        <v>51</v>
      </c>
      <c r="C42" s="4" t="s">
        <v>4</v>
      </c>
      <c r="D42" s="78">
        <f t="shared" si="10"/>
        <v>56.526000000000003</v>
      </c>
      <c r="E42" s="23">
        <v>0</v>
      </c>
      <c r="F42" s="23">
        <v>56.526000000000003</v>
      </c>
      <c r="G42" s="23">
        <v>0</v>
      </c>
      <c r="H42" s="23">
        <f t="shared" si="5"/>
        <v>57.290000000000006</v>
      </c>
      <c r="I42" s="23">
        <v>0</v>
      </c>
      <c r="J42" s="23">
        <v>57.290000000000006</v>
      </c>
      <c r="K42" s="23">
        <v>0</v>
      </c>
      <c r="L42" s="23">
        <f t="shared" si="6"/>
        <v>60.283999999999999</v>
      </c>
      <c r="M42" s="23">
        <v>0</v>
      </c>
      <c r="N42" s="23">
        <v>60.283999999999999</v>
      </c>
      <c r="O42" s="23">
        <v>0</v>
      </c>
      <c r="P42" s="23">
        <f t="shared" si="7"/>
        <v>0</v>
      </c>
      <c r="Q42" s="23"/>
      <c r="R42" s="23"/>
      <c r="S42" s="23"/>
      <c r="T42" s="23">
        <f t="shared" si="8"/>
        <v>9979.52</v>
      </c>
      <c r="U42" s="23">
        <f>TRIWULAN!D80</f>
        <v>0</v>
      </c>
      <c r="V42" s="23">
        <f>TRIWULAN!D124</f>
        <v>9979.52</v>
      </c>
      <c r="W42" s="23">
        <f>TRIWULAN!D168</f>
        <v>0</v>
      </c>
    </row>
  </sheetData>
  <mergeCells count="10">
    <mergeCell ref="U2:W2"/>
    <mergeCell ref="D2:D3"/>
    <mergeCell ref="H2:H3"/>
    <mergeCell ref="P2:P3"/>
    <mergeCell ref="T2:T3"/>
    <mergeCell ref="E2:G2"/>
    <mergeCell ref="I2:K2"/>
    <mergeCell ref="L2:L3"/>
    <mergeCell ref="M2:O2"/>
    <mergeCell ref="Q2:S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BUDIDAYA</vt:lpstr>
      <vt:lpstr>TANGKAP</vt:lpstr>
      <vt:lpstr>GARAM</vt:lpstr>
      <vt:lpstr>EKSPOR</vt:lpstr>
      <vt:lpstr>TRIWULAN</vt:lpstr>
      <vt:lpstr>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Program Dinas Kelautan dan Perikanan</cp:lastModifiedBy>
  <dcterms:created xsi:type="dcterms:W3CDTF">2023-04-11T02:57:54Z</dcterms:created>
  <dcterms:modified xsi:type="dcterms:W3CDTF">2026-05-06T12:07:12Z</dcterms:modified>
</cp:coreProperties>
</file>