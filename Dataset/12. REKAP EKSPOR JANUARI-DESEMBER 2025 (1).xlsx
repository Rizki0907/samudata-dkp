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ACK DATA\DATA EKSPOR IMPOR DOMESTIK\2025\"/>
    </mc:Choice>
  </mc:AlternateContent>
  <xr:revisionPtr revIDLastSave="0" documentId="13_ncr:1_{8F0E1BCD-FA01-4FE3-8EB9-0467CCD18D72}" xr6:coauthVersionLast="47" xr6:coauthVersionMax="47" xr10:uidLastSave="{00000000-0000-0000-0000-000000000000}"/>
  <bookViews>
    <workbookView xWindow="-110" yWindow="-110" windowWidth="19420" windowHeight="10300" activeTab="1" xr2:uid="{31085584-B202-41EB-8AC5-DF9EEE7D6547}"/>
  </bookViews>
  <sheets>
    <sheet name="REKAP" sheetId="1" r:id="rId1"/>
    <sheet name="DESEMBER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49" i="2" l="1"/>
  <c r="AN49" i="2"/>
  <c r="AM49" i="2"/>
  <c r="AL49" i="2"/>
  <c r="AK49" i="2"/>
  <c r="AJ49" i="2"/>
  <c r="AI49" i="2"/>
  <c r="AH49" i="2"/>
  <c r="AG49" i="2"/>
  <c r="AF49" i="2"/>
  <c r="AE49" i="2"/>
  <c r="AD49" i="2"/>
  <c r="AC49" i="2"/>
  <c r="AA49" i="2"/>
  <c r="Z49" i="2"/>
  <c r="AB49" i="2" s="1"/>
  <c r="Y49" i="2"/>
  <c r="X49" i="2"/>
  <c r="W49" i="2"/>
  <c r="V49" i="2"/>
  <c r="U49" i="2"/>
  <c r="T49" i="2"/>
  <c r="S49" i="2"/>
  <c r="R49" i="2"/>
  <c r="Q49" i="2"/>
  <c r="P49" i="2"/>
  <c r="AO46" i="2"/>
  <c r="AB46" i="2"/>
  <c r="AO40" i="2"/>
  <c r="AB40" i="2"/>
  <c r="AO39" i="2"/>
  <c r="AB39" i="2"/>
  <c r="AO37" i="2"/>
  <c r="AB37" i="2"/>
  <c r="AO36" i="2"/>
  <c r="AB36" i="2"/>
  <c r="C36" i="2"/>
  <c r="AO35" i="2"/>
  <c r="AB35" i="2"/>
  <c r="AN32" i="2"/>
  <c r="AO32" i="2" s="1"/>
  <c r="AM32" i="2"/>
  <c r="AL32" i="2"/>
  <c r="AK32" i="2"/>
  <c r="AJ32" i="2"/>
  <c r="AI32" i="2"/>
  <c r="AH32" i="2"/>
  <c r="AG32" i="2"/>
  <c r="AF32" i="2"/>
  <c r="AE32" i="2"/>
  <c r="AD32" i="2"/>
  <c r="AC32" i="2"/>
  <c r="AA32" i="2"/>
  <c r="AB32" i="2" s="1"/>
  <c r="Z32" i="2"/>
  <c r="Y32" i="2"/>
  <c r="X32" i="2"/>
  <c r="W32" i="2"/>
  <c r="V32" i="2"/>
  <c r="U32" i="2"/>
  <c r="T32" i="2"/>
  <c r="S32" i="2"/>
  <c r="R32" i="2"/>
  <c r="Q32" i="2"/>
  <c r="P32" i="2"/>
  <c r="G30" i="2"/>
  <c r="AO28" i="2"/>
  <c r="AB28" i="2"/>
  <c r="C28" i="2"/>
  <c r="AO26" i="2"/>
  <c r="AB26" i="2"/>
  <c r="AO25" i="2"/>
  <c r="AB25" i="2"/>
  <c r="AO24" i="2"/>
  <c r="AB24" i="2"/>
  <c r="AO23" i="2"/>
  <c r="AB23" i="2"/>
  <c r="AO22" i="2"/>
  <c r="AB22" i="2"/>
  <c r="AO21" i="2"/>
  <c r="AB21" i="2"/>
  <c r="AO20" i="2"/>
  <c r="AB20" i="2"/>
  <c r="AO19" i="2"/>
  <c r="AB19" i="2"/>
  <c r="AO18" i="2"/>
  <c r="AB18" i="2"/>
  <c r="AO17" i="2"/>
  <c r="AB17" i="2"/>
  <c r="AO16" i="2"/>
  <c r="AB16" i="2"/>
  <c r="AO15" i="2"/>
  <c r="AB15" i="2"/>
  <c r="AO14" i="2"/>
  <c r="AB14" i="2"/>
  <c r="AO13" i="2"/>
  <c r="AB13" i="2"/>
  <c r="AO12" i="2"/>
  <c r="AB12" i="2"/>
  <c r="AO11" i="2"/>
  <c r="AB11" i="2"/>
  <c r="AO10" i="2"/>
  <c r="AB10" i="2"/>
  <c r="AO9" i="2"/>
  <c r="AB9" i="2"/>
  <c r="AO8" i="2"/>
  <c r="AB8" i="2"/>
  <c r="AO7" i="2"/>
  <c r="AB7" i="2"/>
  <c r="AO6" i="2"/>
  <c r="AB6" i="2"/>
  <c r="AO5" i="2"/>
  <c r="AB5" i="2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</calcChain>
</file>

<file path=xl/sharedStrings.xml><?xml version="1.0" encoding="utf-8"?>
<sst xmlns="http://schemas.openxmlformats.org/spreadsheetml/2006/main" count="326" uniqueCount="154">
  <si>
    <t>EKSPOR HASIL KELAUTAN DAN PERIKANAN JAWA TIMUR TAHUN 2025</t>
  </si>
  <si>
    <t>NO</t>
  </si>
  <si>
    <t>KOMODITAS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</si>
  <si>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</si>
  <si>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</si>
  <si>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</si>
  <si>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</si>
  <si>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</si>
  <si>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</si>
  <si>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</si>
  <si>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</si>
  <si>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</si>
  <si>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</si>
  <si>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</si>
  <si>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</si>
  <si>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</t>
  </si>
  <si>
    <t>VOLUME</t>
  </si>
  <si>
    <t>NILAI (USD)</t>
  </si>
  <si>
    <t xml:space="preserve">  VOLUME</t>
  </si>
  <si>
    <t xml:space="preserve">  NILAI (USD)</t>
  </si>
  <si>
    <t>KOMODITAS SEGAR DAN OLAHAN</t>
  </si>
  <si>
    <t>UDANG</t>
  </si>
  <si>
    <t>IKAN LAINNYA</t>
  </si>
  <si>
    <t>RUMPUT LAUT</t>
  </si>
  <si>
    <t>IKAN TUNA</t>
  </si>
  <si>
    <t>IKAN SARDINE</t>
  </si>
  <si>
    <t>CUMI-CUMI</t>
  </si>
  <si>
    <t>VALUE ADDED</t>
  </si>
  <si>
    <t>IKAN KAKAP</t>
  </si>
  <si>
    <t>LAIN-LAIN</t>
  </si>
  <si>
    <t>PAKAN IKAN</t>
  </si>
  <si>
    <t>MINYAK IKAN</t>
  </si>
  <si>
    <t>KEPITING/RAJUNGAN</t>
  </si>
  <si>
    <t>IKAN MACKEREL</t>
  </si>
  <si>
    <t>IKAN KERAPU</t>
  </si>
  <si>
    <t>IKAN BANDENG UMPAN</t>
  </si>
  <si>
    <t>IKAN LELE</t>
  </si>
  <si>
    <t>KERANG2AN</t>
  </si>
  <si>
    <t>IKAN SALMON</t>
  </si>
  <si>
    <t>IKAN BANDENG</t>
  </si>
  <si>
    <t>BEKICOT</t>
  </si>
  <si>
    <t>PAHA KATAK</t>
  </si>
  <si>
    <t>TEPUNG IKAN</t>
  </si>
  <si>
    <t>TERI</t>
  </si>
  <si>
    <t>IKAN NILA</t>
  </si>
  <si>
    <t>TOTAL (KG)</t>
  </si>
  <si>
    <t>KOMODITAS HIDUP</t>
  </si>
  <si>
    <t>IKAN HIAS</t>
  </si>
  <si>
    <t>KORAL</t>
  </si>
  <si>
    <t>TOTAL (EKOR/PCS/BATANG)</t>
  </si>
  <si>
    <t xml:space="preserve">  KOMODITAS</t>
  </si>
  <si>
    <t xml:space="preserve"> VOLUME</t>
  </si>
  <si>
    <t>NEGARA</t>
  </si>
  <si>
    <t>VOLUME (KG/LITER)</t>
  </si>
  <si>
    <t>PERBANDINGAN</t>
  </si>
  <si>
    <t>USA</t>
  </si>
  <si>
    <t>CHINA</t>
  </si>
  <si>
    <t>JAPAN</t>
  </si>
  <si>
    <t>MALAYSIA</t>
  </si>
  <si>
    <t>THAILAND</t>
  </si>
  <si>
    <t>SINGAPORE</t>
  </si>
  <si>
    <t>CANADA</t>
  </si>
  <si>
    <t>KOREA (SOUTH)</t>
  </si>
  <si>
    <t>CAMEROON</t>
  </si>
  <si>
    <t>HONG KONG</t>
  </si>
  <si>
    <t>SAUDI ARABIA</t>
  </si>
  <si>
    <t>NETHERLANDS</t>
  </si>
  <si>
    <t>FRANCE</t>
  </si>
  <si>
    <t>TAIWAN</t>
  </si>
  <si>
    <t>VIETNAM</t>
  </si>
  <si>
    <t>CONGO, DEMOCRATIC REPUBLIC</t>
  </si>
  <si>
    <t>AUSTRALIA</t>
  </si>
  <si>
    <t>GHANA</t>
  </si>
  <si>
    <t>SENEGAL</t>
  </si>
  <si>
    <t>EQUATORIAL GUINEA</t>
  </si>
  <si>
    <t>TOTAL (KG/LITER)</t>
  </si>
  <si>
    <t>UNITED ARAB EMIRATES</t>
  </si>
  <si>
    <t>Grand Total</t>
  </si>
  <si>
    <t>ITALY</t>
  </si>
  <si>
    <t>PHILIPPINES</t>
  </si>
  <si>
    <t>COTE D IVOIRE (IVORY COAST)</t>
  </si>
  <si>
    <t>TOGO</t>
  </si>
  <si>
    <t>BELGIUM</t>
  </si>
  <si>
    <t>UNITED KINGDOM</t>
  </si>
  <si>
    <t>COMOROS</t>
  </si>
  <si>
    <t>DOMINICAN REPUBLIC</t>
  </si>
  <si>
    <t>REUNION</t>
  </si>
  <si>
    <t>TIMOR LESTE</t>
  </si>
  <si>
    <t>LEBANON</t>
  </si>
  <si>
    <t>EGYPT</t>
  </si>
  <si>
    <t>SIERRA LEONE</t>
  </si>
  <si>
    <t>TANZANIA</t>
  </si>
  <si>
    <t>KUWAIT</t>
  </si>
  <si>
    <t>GERMANY</t>
  </si>
  <si>
    <t>SPAIN</t>
  </si>
  <si>
    <t>PERSENTASE</t>
  </si>
  <si>
    <t>BENIH IKAN/UDANG</t>
  </si>
  <si>
    <t>IKAN PATIN</t>
  </si>
  <si>
    <t>IKAN GURAME</t>
  </si>
  <si>
    <t>TANAMAN HIAS</t>
  </si>
  <si>
    <t>GREECE</t>
  </si>
  <si>
    <t>ANGOLA</t>
  </si>
  <si>
    <t>KENYA</t>
  </si>
  <si>
    <t>QATAR</t>
  </si>
  <si>
    <t>TURKEY</t>
  </si>
  <si>
    <t>RUSSIA</t>
  </si>
  <si>
    <t>PUERTO RICO</t>
  </si>
  <si>
    <t>BANGLADESH</t>
  </si>
  <si>
    <t>MADAGASCAR</t>
  </si>
  <si>
    <t>ALBANIA</t>
  </si>
  <si>
    <t>OCTOBER</t>
  </si>
  <si>
    <t>GABON</t>
  </si>
  <si>
    <t>INDIA</t>
  </si>
  <si>
    <t>CHILE</t>
  </si>
  <si>
    <t>JORDAN</t>
  </si>
  <si>
    <t>MAURITIUS</t>
  </si>
  <si>
    <t>NIGERIA</t>
  </si>
  <si>
    <t>PORTUGAL</t>
  </si>
  <si>
    <t>ALGA</t>
  </si>
  <si>
    <t>CONGO</t>
  </si>
  <si>
    <t>GAMBIA</t>
  </si>
  <si>
    <t>MAURITANIA</t>
  </si>
  <si>
    <t>LIBYA</t>
  </si>
  <si>
    <t>BENIN</t>
  </si>
  <si>
    <t>IRELAND</t>
  </si>
  <si>
    <t>MAYOTTE</t>
  </si>
  <si>
    <t>TRINIDAD &amp; TOBAGO</t>
  </si>
  <si>
    <t>MOZAMBIQUE</t>
  </si>
  <si>
    <t>SYRIA</t>
  </si>
  <si>
    <t>SERBIA</t>
  </si>
  <si>
    <t>NEW ZEALAND</t>
  </si>
  <si>
    <t>OMAN</t>
  </si>
  <si>
    <t>VOLUME KOMODITAS EKSPOR DESEMBER 2025</t>
  </si>
  <si>
    <t>NILAI KOMODITAS EKSPOR DESEMBER 2025</t>
  </si>
  <si>
    <t>NEGARA TUJUAN EKSPOR DESEMBER 2025</t>
  </si>
  <si>
    <t>PERBANDINGAN EKSPOR JANUARI-DESEMBER 2025</t>
  </si>
  <si>
    <t>DECEMBER</t>
  </si>
  <si>
    <t>VENEZUELA</t>
  </si>
  <si>
    <t>LIBERIA</t>
  </si>
  <si>
    <t>YEMEN</t>
  </si>
  <si>
    <t>CAMBODIA</t>
  </si>
  <si>
    <t>MONTENEGRO</t>
  </si>
  <si>
    <t>POLAND</t>
  </si>
  <si>
    <t>BAHRAIN</t>
  </si>
  <si>
    <t>SURINAME</t>
  </si>
  <si>
    <t>ROMANIA</t>
  </si>
  <si>
    <t>ARUBA</t>
  </si>
  <si>
    <t>BRUNEI DARUSSALAM</t>
  </si>
  <si>
    <t>SWITZERLAND</t>
  </si>
  <si>
    <t>MEXICO</t>
  </si>
  <si>
    <t>NORWAY</t>
  </si>
  <si>
    <t>MOROCCO</t>
  </si>
  <si>
    <t>AUSTRIA</t>
  </si>
  <si>
    <t>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</si>
</sst>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0" borderId="0" xfId="0" applyFont="1"/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4" fillId="4" borderId="0" xfId="0" applyFont="1" applyFill="1"/>
    <xf numFmtId="0" fontId="6" fillId="4" borderId="0" xfId="0" applyFont="1" applyFill="1"/>
    <xf numFmtId="43" fontId="6" fillId="4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3" fontId="4" fillId="0" borderId="0" xfId="0" applyNumberFormat="1" applyFont="1"/>
    <xf numFmtId="0" fontId="6" fillId="6" borderId="0" xfId="0" applyFont="1" applyFill="1" applyAlignment="1">
      <alignment horizontal="left"/>
    </xf>
    <xf numFmtId="0" fontId="4" fillId="6" borderId="0" xfId="0" applyFont="1" applyFill="1"/>
    <xf numFmtId="43" fontId="6" fillId="6" borderId="0" xfId="0" applyNumberFormat="1" applyFont="1" applyFill="1"/>
    <xf numFmtId="0" fontId="6" fillId="7" borderId="1" xfId="0" applyFont="1" applyFill="1" applyBorder="1" applyAlignment="1">
      <alignment horizontal="left"/>
    </xf>
    <xf numFmtId="43" fontId="6" fillId="7" borderId="1" xfId="0" applyNumberFormat="1" applyFont="1" applyFill="1" applyBorder="1"/>
    <xf numFmtId="0" fontId="0" fillId="0" borderId="0" xfId="0" applyAlignment="1">
      <alignment horizontal="left"/>
    </xf>
    <xf numFmtId="43" fontId="0" fillId="0" borderId="0" xfId="0" applyNumberFormat="1"/>
    <xf numFmtId="0" fontId="1" fillId="2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8" borderId="0" xfId="0" applyNumberFormat="1" applyFill="1"/>
    <xf numFmtId="0" fontId="6" fillId="4" borderId="0" xfId="0" applyFont="1" applyFill="1" applyAlignment="1">
      <alignment horizontal="center"/>
    </xf>
    <xf numFmtId="0" fontId="2" fillId="4" borderId="0" xfId="0" applyFont="1" applyFill="1"/>
    <xf numFmtId="164" fontId="2" fillId="4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left"/>
    </xf>
    <xf numFmtId="164" fontId="2" fillId="6" borderId="0" xfId="0" applyNumberFormat="1" applyFont="1" applyFill="1" applyAlignment="1">
      <alignment horizontal="left"/>
    </xf>
    <xf numFmtId="164" fontId="2" fillId="8" borderId="0" xfId="0" applyNumberFormat="1" applyFont="1" applyFill="1" applyAlignment="1">
      <alignment horizontal="right"/>
    </xf>
    <xf numFmtId="0" fontId="2" fillId="3" borderId="0" xfId="0" applyFont="1" applyFill="1"/>
    <xf numFmtId="164" fontId="2" fillId="3" borderId="0" xfId="0" applyNumberFormat="1" applyFont="1" applyFill="1"/>
    <xf numFmtId="164" fontId="2" fillId="8" borderId="0" xfId="0" applyNumberFormat="1" applyFont="1" applyFill="1" applyAlignment="1">
      <alignment horizontal="left"/>
    </xf>
    <xf numFmtId="164" fontId="2" fillId="8" borderId="0" xfId="0" applyNumberFormat="1" applyFont="1" applyFill="1"/>
    <xf numFmtId="0" fontId="2" fillId="6" borderId="0" xfId="0" applyFont="1" applyFill="1"/>
    <xf numFmtId="164" fontId="2" fillId="6" borderId="0" xfId="0" applyNumberFormat="1" applyFont="1" applyFill="1"/>
    <xf numFmtId="0" fontId="0" fillId="8" borderId="0" xfId="0" applyFill="1"/>
    <xf numFmtId="16" fontId="0" fillId="0" borderId="0" xfId="0" applyNumberFormat="1"/>
    <xf numFmtId="43" fontId="6" fillId="9" borderId="0" xfId="0" applyNumberFormat="1" applyFont="1" applyFill="1"/>
    <xf numFmtId="0" fontId="6" fillId="10" borderId="0" xfId="0" applyFont="1" applyFill="1" applyAlignment="1">
      <alignment horizontal="center"/>
    </xf>
    <xf numFmtId="9" fontId="7" fillId="5" borderId="0" xfId="0" applyNumberFormat="1" applyFont="1" applyFill="1" applyAlignment="1">
      <alignment horizontal="center"/>
    </xf>
    <xf numFmtId="43" fontId="6" fillId="6" borderId="0" xfId="0" applyNumberFormat="1" applyFont="1" applyFill="1" applyAlignment="1">
      <alignment horizontal="center"/>
    </xf>
    <xf numFmtId="0" fontId="0" fillId="6" borderId="0" xfId="0" applyFill="1"/>
    <xf numFmtId="43" fontId="2" fillId="4" borderId="0" xfId="0" applyNumberFormat="1" applyFont="1" applyFill="1"/>
    <xf numFmtId="0" fontId="0" fillId="9" borderId="0" xfId="0" applyFill="1" applyAlignment="1">
      <alignment horizontal="center"/>
    </xf>
    <xf numFmtId="0" fontId="0" fillId="9" borderId="0" xfId="0" applyFill="1"/>
    <xf numFmtId="164" fontId="0" fillId="9" borderId="0" xfId="0" applyNumberFormat="1" applyFill="1"/>
    <xf numFmtId="43" fontId="0" fillId="9" borderId="0" xfId="0" applyNumberFormat="1" applyFill="1"/>
    <xf numFmtId="43" fontId="4" fillId="8" borderId="0" xfId="0" applyNumberFormat="1" applyFont="1" applyFill="1"/>
    <xf numFmtId="43" fontId="0" fillId="8" borderId="0" xfId="0" applyNumberFormat="1" applyFill="1"/>
    <xf numFmtId="9" fontId="4" fillId="5" borderId="0" xfId="0" applyNumberFormat="1" applyFont="1" applyFill="1" applyAlignment="1">
      <alignment horizontal="center"/>
    </xf>
    <xf numFmtId="9" fontId="7" fillId="6" borderId="0" xfId="0" applyNumberFormat="1" applyFont="1" applyFill="1" applyAlignment="1">
      <alignment horizontal="center"/>
    </xf>
    <xf numFmtId="0" fontId="2" fillId="0" borderId="0" xfId="0" applyFont="1"/>
    <xf numFmtId="0" fontId="5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43" fontId="6" fillId="11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VOLUME KOMODITAS SEGAR DAN OLAHAN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9B64-4168-9D28-4B0C37DDDE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9B64-4168-9D28-4B0C37DDDE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9B64-4168-9D28-4B0C37DDDE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9B64-4168-9D28-4B0C37DDDE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9B64-4168-9D28-4B0C37DDDE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9B64-4168-9D28-4B0C37DDDE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9B64-4168-9D28-4B0C37DDDE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9B64-4168-9D28-4B0C37DDDE6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9B64-4168-9D28-4B0C37DDDE6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9B64-4168-9D28-4B0C37DDDE6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9B64-4168-9D28-4B0C37DDDE6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9B64-4168-9D28-4B0C37DDDE6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9B64-4168-9D28-4B0C37DDDE6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9B64-4168-9D28-4B0C37DDDE61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9B64-4168-9D28-4B0C37DDDE61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9B64-4168-9D28-4B0C37DDDE61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9B64-4168-9D28-4B0C37DDDE61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9B64-4168-9D28-4B0C37DDDE61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9B64-4168-9D28-4B0C37DDDE61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9B64-4168-9D28-4B0C37DDDE61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9B64-4168-9D28-4B0C37DDDE61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9B64-4168-9D28-4B0C37DDDE6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9B64-4168-9D28-4B0C37DDDE61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9B64-4168-9D28-4B0C37DDDE61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64-4168-9D28-4B0C37DDDE61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B64-4168-9D28-4B0C37DDDE61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64-4168-9D28-4B0C37DDDE61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B64-4168-9D28-4B0C37DDDE61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B64-4168-9D28-4B0C37DDDE61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B64-4168-9D28-4B0C37DDDE61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B64-4168-9D28-4B0C37DDDE61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B64-4168-9D28-4B0C37DDDE61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B64-4168-9D28-4B0C37DDDE61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B64-4168-9D28-4B0C37DDDE61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B64-4168-9D28-4B0C37DDDE61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9B64-4168-9D28-4B0C37DDDE61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9B64-4168-9D28-4B0C37DDDE61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9B64-4168-9D28-4B0C37DDDE61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9B64-4168-9D28-4B0C37DDDE61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9B64-4168-9D28-4B0C37DDDE61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9B64-4168-9D28-4B0C37DDDE61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9B64-4168-9D28-4B0C37DDDE61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9B64-4168-9D28-4B0C37DDDE61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9B64-4168-9D28-4B0C37DDDE61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9B64-4168-9D28-4B0C37DDDE61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9B64-4168-9D28-4B0C37DDDE61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D-9B64-4168-9D28-4B0C37DDDE61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F-9B64-4168-9D28-4B0C37DDDE61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[2]DES!$B$4:$B$27</c:f>
              <c:strCache>
                <c:ptCount val="24"/>
                <c:pt idx="0">
                  <c:v>UDANG</c:v>
                </c:pt>
                <c:pt idx="1">
                  <c:v>IKAN LAINNYA</c:v>
                </c:pt>
                <c:pt idx="2">
                  <c:v>IKAN SARDINE</c:v>
                </c:pt>
                <c:pt idx="3">
                  <c:v>IKAN TUNA</c:v>
                </c:pt>
                <c:pt idx="4">
                  <c:v>RUMPUT LAUT</c:v>
                </c:pt>
                <c:pt idx="5">
                  <c:v>VALUE ADDED</c:v>
                </c:pt>
                <c:pt idx="6">
                  <c:v>PAKAN IKAN</c:v>
                </c:pt>
                <c:pt idx="7">
                  <c:v>CUMI-CUMI</c:v>
                </c:pt>
                <c:pt idx="8">
                  <c:v>IKAN KAKAP</c:v>
                </c:pt>
                <c:pt idx="9">
                  <c:v>LAIN-LAIN</c:v>
                </c:pt>
                <c:pt idx="10">
                  <c:v>KEPITING/RAJUNGAN</c:v>
                </c:pt>
                <c:pt idx="11">
                  <c:v>IKAN MACKEREL</c:v>
                </c:pt>
                <c:pt idx="12">
                  <c:v>IKAN KERAPU</c:v>
                </c:pt>
                <c:pt idx="13">
                  <c:v>MINYAK IKAN</c:v>
                </c:pt>
                <c:pt idx="14">
                  <c:v>IKAN BANDENG</c:v>
                </c:pt>
                <c:pt idx="15">
                  <c:v>IKAN BANDENG UMPAN</c:v>
                </c:pt>
                <c:pt idx="16">
                  <c:v>IKAN LELE</c:v>
                </c:pt>
                <c:pt idx="17">
                  <c:v>BEKICOT</c:v>
                </c:pt>
                <c:pt idx="18">
                  <c:v>IKAN SALMON</c:v>
                </c:pt>
                <c:pt idx="19">
                  <c:v>KERANG2AN</c:v>
                </c:pt>
                <c:pt idx="20">
                  <c:v>TEPUNG IKAN</c:v>
                </c:pt>
                <c:pt idx="21">
                  <c:v>PAHA KATAK</c:v>
                </c:pt>
                <c:pt idx="22">
                  <c:v>TERI</c:v>
                </c:pt>
                <c:pt idx="23">
                  <c:v>IKAN NILA</c:v>
                </c:pt>
              </c:strCache>
            </c:strRef>
          </c:cat>
          <c:val>
            <c:numRef>
              <c:f>[2]DES!$C$4:$C$27</c:f>
              <c:numCache>
                <c:formatCode>_(* #,##0.00_);_(* \(#,##0.00\);_(* "-"??_);_(@_)</c:formatCode>
                <c:ptCount val="24"/>
                <c:pt idx="0">
                  <c:v>9939204.3000000231</c:v>
                </c:pt>
                <c:pt idx="1">
                  <c:v>8993584.9500000067</c:v>
                </c:pt>
                <c:pt idx="2">
                  <c:v>4251097.334999999</c:v>
                </c:pt>
                <c:pt idx="3">
                  <c:v>4152109.870000001</c:v>
                </c:pt>
                <c:pt idx="4">
                  <c:v>3532476.6</c:v>
                </c:pt>
                <c:pt idx="5">
                  <c:v>2003258.4300000004</c:v>
                </c:pt>
                <c:pt idx="6">
                  <c:v>1730416</c:v>
                </c:pt>
                <c:pt idx="7">
                  <c:v>1290184.1700000002</c:v>
                </c:pt>
                <c:pt idx="8">
                  <c:v>1025491.1499999999</c:v>
                </c:pt>
                <c:pt idx="9">
                  <c:v>823453.07300000009</c:v>
                </c:pt>
                <c:pt idx="10">
                  <c:v>502051.54799999995</c:v>
                </c:pt>
                <c:pt idx="11">
                  <c:v>444550.64</c:v>
                </c:pt>
                <c:pt idx="12">
                  <c:v>362780.52</c:v>
                </c:pt>
                <c:pt idx="13">
                  <c:v>300000</c:v>
                </c:pt>
                <c:pt idx="14">
                  <c:v>235398.6</c:v>
                </c:pt>
                <c:pt idx="15">
                  <c:v>220500</c:v>
                </c:pt>
                <c:pt idx="16">
                  <c:v>204829.99999999997</c:v>
                </c:pt>
                <c:pt idx="17">
                  <c:v>113152.4</c:v>
                </c:pt>
                <c:pt idx="18">
                  <c:v>104760.28</c:v>
                </c:pt>
                <c:pt idx="19">
                  <c:v>98765</c:v>
                </c:pt>
                <c:pt idx="20">
                  <c:v>90560</c:v>
                </c:pt>
                <c:pt idx="21" formatCode="_(* #,##0.00_);_(* \(#,##0.00\);_(* &quot;-&quot;??_);_(@_)">
                  <c:v>79551.399999999994</c:v>
                </c:pt>
                <c:pt idx="22" formatCode="_(* #,##0.00_);_(* \(#,##0.00\);_(* &quot;-&quot;??_);_(@_)">
                  <c:v>55354</c:v>
                </c:pt>
                <c:pt idx="23" formatCode="General">
                  <c:v>23690.400000000001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9B64-4168-9D28-4B0C37DDDE61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NILAI KOMODITAS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C680-47F9-B1EB-DC3AE366F6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C680-47F9-B1EB-DC3AE366F6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C680-47F9-B1EB-DC3AE366F6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C680-47F9-B1EB-DC3AE366F6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C680-47F9-B1EB-DC3AE366F6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C680-47F9-B1EB-DC3AE366F6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C680-47F9-B1EB-DC3AE366F6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C680-47F9-B1EB-DC3AE366F6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C680-47F9-B1EB-DC3AE366F6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C680-47F9-B1EB-DC3AE366F60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C680-47F9-B1EB-DC3AE366F60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C680-47F9-B1EB-DC3AE366F600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C680-47F9-B1EB-DC3AE366F600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C680-47F9-B1EB-DC3AE366F600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C680-47F9-B1EB-DC3AE366F600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C680-47F9-B1EB-DC3AE366F600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C680-47F9-B1EB-DC3AE366F600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C680-47F9-B1EB-DC3AE366F60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C680-47F9-B1EB-DC3AE366F60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C680-47F9-B1EB-DC3AE366F60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C680-47F9-B1EB-DC3AE366F60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C680-47F9-B1EB-DC3AE366F60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C680-47F9-B1EB-DC3AE366F60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C680-47F9-B1EB-DC3AE366F60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C680-47F9-B1EB-DC3AE366F60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C680-47F9-B1EB-DC3AE366F60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C680-47F9-B1EB-DC3AE366F60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C680-47F9-B1EB-DC3AE366F60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C680-47F9-B1EB-DC3AE366F60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C680-47F9-B1EB-DC3AE366F60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C680-47F9-B1EB-DC3AE366F60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C680-47F9-B1EB-DC3AE366F60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C680-47F9-B1EB-DC3AE366F60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C680-47F9-B1EB-DC3AE366F60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C680-47F9-B1EB-DC3AE366F60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C680-47F9-B1EB-DC3AE366F60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C680-47F9-B1EB-DC3AE366F600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C680-47F9-B1EB-DC3AE366F600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C680-47F9-B1EB-DC3AE366F600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C680-47F9-B1EB-DC3AE366F600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C680-47F9-B1EB-DC3AE366F600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C680-47F9-B1EB-DC3AE366F600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C680-47F9-B1EB-DC3AE366F600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C680-47F9-B1EB-DC3AE366F600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C680-47F9-B1EB-DC3AE366F600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C680-47F9-B1EB-DC3AE366F600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C680-47F9-B1EB-DC3AE366F600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C680-47F9-B1EB-DC3AE366F600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C680-47F9-B1EB-DC3AE366F600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C680-47F9-B1EB-DC3AE366F600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C680-47F9-B1EB-DC3AE366F600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C680-47F9-B1EB-DC3AE366F600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C680-47F9-B1EB-DC3AE366F600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C680-47F9-B1EB-DC3AE366F60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[2]DES!$F$3:$F$29</c:f>
              <c:strCache>
                <c:ptCount val="27"/>
                <c:pt idx="0">
                  <c:v>UDANG</c:v>
                </c:pt>
                <c:pt idx="1">
                  <c:v>IKAN LAINNYA</c:v>
                </c:pt>
                <c:pt idx="2">
                  <c:v>IKAN TUNA</c:v>
                </c:pt>
                <c:pt idx="3">
                  <c:v>LAIN-LAIN</c:v>
                </c:pt>
                <c:pt idx="4">
                  <c:v>IKAN SARDINE</c:v>
                </c:pt>
                <c:pt idx="5">
                  <c:v>KEPITING/RAJUNGAN</c:v>
                </c:pt>
                <c:pt idx="6">
                  <c:v>VALUE ADDED</c:v>
                </c:pt>
                <c:pt idx="7">
                  <c:v>CUMI-CUMI</c:v>
                </c:pt>
                <c:pt idx="8">
                  <c:v>IKAN KAKAP</c:v>
                </c:pt>
                <c:pt idx="9">
                  <c:v>RUMPUT LAUT</c:v>
                </c:pt>
                <c:pt idx="10">
                  <c:v>IKAN KERAPU</c:v>
                </c:pt>
                <c:pt idx="11">
                  <c:v>IKAN MACKEREL</c:v>
                </c:pt>
                <c:pt idx="12">
                  <c:v>PAKAN IKAN</c:v>
                </c:pt>
                <c:pt idx="13">
                  <c:v>IKAN SALMON</c:v>
                </c:pt>
                <c:pt idx="14">
                  <c:v>PAHA KATAK</c:v>
                </c:pt>
                <c:pt idx="15">
                  <c:v>TERI</c:v>
                </c:pt>
                <c:pt idx="16">
                  <c:v>BEKICOT</c:v>
                </c:pt>
                <c:pt idx="17">
                  <c:v>MINYAK IKAN</c:v>
                </c:pt>
                <c:pt idx="18">
                  <c:v>IKAN BANDENG</c:v>
                </c:pt>
                <c:pt idx="19">
                  <c:v>IKAN LELE</c:v>
                </c:pt>
                <c:pt idx="20">
                  <c:v>IKAN BANDENG UMPAN</c:v>
                </c:pt>
                <c:pt idx="21">
                  <c:v>KERANG2AN</c:v>
                </c:pt>
                <c:pt idx="22">
                  <c:v>TEPUNG IKAN</c:v>
                </c:pt>
                <c:pt idx="23">
                  <c:v>KORAL</c:v>
                </c:pt>
                <c:pt idx="24">
                  <c:v>IKAN NILA</c:v>
                </c:pt>
                <c:pt idx="25">
                  <c:v>IKAN HIAS</c:v>
                </c:pt>
                <c:pt idx="26">
                  <c:v>ALGA</c:v>
                </c:pt>
              </c:strCache>
            </c:strRef>
          </c:cat>
          <c:val>
            <c:numRef>
              <c:f>[2]DES!$G$3:$G$29</c:f>
              <c:numCache>
                <c:formatCode>_(* #,##0.00_);_(* \(#,##0.00\);_(* "-"??_);_(@_)</c:formatCode>
                <c:ptCount val="27"/>
                <c:pt idx="0">
                  <c:v>99384726.100096494</c:v>
                </c:pt>
                <c:pt idx="1">
                  <c:v>24899947.884347271</c:v>
                </c:pt>
                <c:pt idx="2">
                  <c:v>15586889.111589188</c:v>
                </c:pt>
                <c:pt idx="3">
                  <c:v>11964766.823965747</c:v>
                </c:pt>
                <c:pt idx="4">
                  <c:v>11780895.405618487</c:v>
                </c:pt>
                <c:pt idx="5">
                  <c:v>11325651.107362812</c:v>
                </c:pt>
                <c:pt idx="6">
                  <c:v>9290139.1149098258</c:v>
                </c:pt>
                <c:pt idx="7">
                  <c:v>7892911.3409075653</c:v>
                </c:pt>
                <c:pt idx="8">
                  <c:v>6330297.1381972367</c:v>
                </c:pt>
                <c:pt idx="9">
                  <c:v>4751498.5024468061</c:v>
                </c:pt>
                <c:pt idx="10">
                  <c:v>2038787.1325044124</c:v>
                </c:pt>
                <c:pt idx="11">
                  <c:v>2010664.976010324</c:v>
                </c:pt>
                <c:pt idx="12">
                  <c:v>1738598.3072511128</c:v>
                </c:pt>
                <c:pt idx="13">
                  <c:v>708264.39680212922</c:v>
                </c:pt>
                <c:pt idx="14">
                  <c:v>689031.42605696712</c:v>
                </c:pt>
                <c:pt idx="15">
                  <c:v>498989.66760701599</c:v>
                </c:pt>
                <c:pt idx="16">
                  <c:v>487841.60518285754</c:v>
                </c:pt>
                <c:pt idx="17">
                  <c:v>415972.85184906103</c:v>
                </c:pt>
                <c:pt idx="18">
                  <c:v>381354.74724988057</c:v>
                </c:pt>
                <c:pt idx="19">
                  <c:v>379544.81318430358</c:v>
                </c:pt>
                <c:pt idx="20">
                  <c:v>299398.13563280425</c:v>
                </c:pt>
                <c:pt idx="21">
                  <c:v>275103.5041767527</c:v>
                </c:pt>
                <c:pt idx="22">
                  <c:v>126632.13335101075</c:v>
                </c:pt>
                <c:pt idx="23">
                  <c:v>102696.28108587509</c:v>
                </c:pt>
                <c:pt idx="24" formatCode="General">
                  <c:v>66014.958690504762</c:v>
                </c:pt>
                <c:pt idx="25" formatCode="General">
                  <c:v>35357.650887771379</c:v>
                </c:pt>
                <c:pt idx="26" formatCode="_(* #,##0.00_);_(* \(#,##0.00\);_(* &quot;-&quot;??_);_(@_)">
                  <c:v>62.908180101039036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C680-47F9-B1EB-DC3AE366F60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NEGARA TUJUAN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F00-4275-B80F-0F5A0A3C9B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3F00-4275-B80F-0F5A0A3C9B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3F00-4275-B80F-0F5A0A3C9B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3F00-4275-B80F-0F5A0A3C9B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3F00-4275-B80F-0F5A0A3C9B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3F00-4275-B80F-0F5A0A3C9B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3F00-4275-B80F-0F5A0A3C9B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3F00-4275-B80F-0F5A0A3C9B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3F00-4275-B80F-0F5A0A3C9B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3F00-4275-B80F-0F5A0A3C9B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3F00-4275-B80F-0F5A0A3C9B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3F00-4275-B80F-0F5A0A3C9B0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3F00-4275-B80F-0F5A0A3C9B0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3F00-4275-B80F-0F5A0A3C9B0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3F00-4275-B80F-0F5A0A3C9B0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3F00-4275-B80F-0F5A0A3C9B0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3F00-4275-B80F-0F5A0A3C9B0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3F00-4275-B80F-0F5A0A3C9B0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3F00-4275-B80F-0F5A0A3C9B0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7-3F00-4275-B80F-0F5A0A3C9B0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9-3F00-4275-B80F-0F5A0A3C9B0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B-3F00-4275-B80F-0F5A0A3C9B0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D-3F00-4275-B80F-0F5A0A3C9B0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F-3F00-4275-B80F-0F5A0A3C9B0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1-3F00-4275-B80F-0F5A0A3C9B0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3-3F00-4275-B80F-0F5A0A3C9B0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5-3F00-4275-B80F-0F5A0A3C9B0C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7-3F00-4275-B80F-0F5A0A3C9B0C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9-3F00-4275-B80F-0F5A0A3C9B0C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B-3F00-4275-B80F-0F5A0A3C9B0C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D-3F00-4275-B80F-0F5A0A3C9B0C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3F-3F00-4275-B80F-0F5A0A3C9B0C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1-3F00-4275-B80F-0F5A0A3C9B0C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3-3F00-4275-B80F-0F5A0A3C9B0C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5-3F00-4275-B80F-0F5A0A3C9B0C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7-3F00-4275-B80F-0F5A0A3C9B0C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9-3F00-4275-B80F-0F5A0A3C9B0C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B-3F00-4275-B80F-0F5A0A3C9B0C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D-3F00-4275-B80F-0F5A0A3C9B0C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4F-3F00-4275-B80F-0F5A0A3C9B0C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1-3F00-4275-B80F-0F5A0A3C9B0C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3-3F00-4275-B80F-0F5A0A3C9B0C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5-3F00-4275-B80F-0F5A0A3C9B0C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7-3F00-4275-B80F-0F5A0A3C9B0C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9-3F00-4275-B80F-0F5A0A3C9B0C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B-3F00-4275-B80F-0F5A0A3C9B0C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D-3F00-4275-B80F-0F5A0A3C9B0C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5F-3F00-4275-B80F-0F5A0A3C9B0C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1-3F00-4275-B80F-0F5A0A3C9B0C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3-3F00-4275-B80F-0F5A0A3C9B0C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5-3F00-4275-B80F-0F5A0A3C9B0C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7-3F00-4275-B80F-0F5A0A3C9B0C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9-3F00-4275-B80F-0F5A0A3C9B0C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B-3F00-4275-B80F-0F5A0A3C9B0C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D-3F00-4275-B80F-0F5A0A3C9B0C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6F-3F00-4275-B80F-0F5A0A3C9B0C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1-3F00-4275-B80F-0F5A0A3C9B0C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3-3F00-4275-B80F-0F5A0A3C9B0C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5-3F00-4275-B80F-0F5A0A3C9B0C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7-3F00-4275-B80F-0F5A0A3C9B0C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9-3F00-4275-B80F-0F5A0A3C9B0C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B-3F00-4275-B80F-0F5A0A3C9B0C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D-3F00-4275-B80F-0F5A0A3C9B0C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7F-3F00-4275-B80F-0F5A0A3C9B0C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1-3F00-4275-B80F-0F5A0A3C9B0C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3-3F00-4275-B80F-0F5A0A3C9B0C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5-3F00-4275-B80F-0F5A0A3C9B0C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7-3F00-4275-B80F-0F5A0A3C9B0C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9-3F00-4275-B80F-0F5A0A3C9B0C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B-3F00-4275-B80F-0F5A0A3C9B0C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D-3F00-4275-B80F-0F5A0A3C9B0C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8F-3F00-4275-B80F-0F5A0A3C9B0C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1-3F00-4275-B80F-0F5A0A3C9B0C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3-3F00-4275-B80F-0F5A0A3C9B0C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5-3F00-4275-B80F-0F5A0A3C9B0C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7-3F00-4275-B80F-0F5A0A3C9B0C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9-3F00-4275-B80F-0F5A0A3C9B0C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B-3F00-4275-B80F-0F5A0A3C9B0C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D-3F00-4275-B80F-0F5A0A3C9B0C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9F-3F00-4275-B80F-0F5A0A3C9B0C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1-3F00-4275-B80F-0F5A0A3C9B0C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3-3F00-4275-B80F-0F5A0A3C9B0C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5-3F00-4275-B80F-0F5A0A3C9B0C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7-3F00-4275-B80F-0F5A0A3C9B0C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9-3F00-4275-B80F-0F5A0A3C9B0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3F00-4275-B80F-0F5A0A3C9B0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3F00-4275-B80F-0F5A0A3C9B0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3F00-4275-B80F-0F5A0A3C9B0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3F00-4275-B80F-0F5A0A3C9B0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3F00-4275-B80F-0F5A0A3C9B0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3F00-4275-B80F-0F5A0A3C9B0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3F00-4275-B80F-0F5A0A3C9B0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3F00-4275-B80F-0F5A0A3C9B0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3F00-4275-B80F-0F5A0A3C9B0C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3F00-4275-B80F-0F5A0A3C9B0C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3F00-4275-B80F-0F5A0A3C9B0C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3F00-4275-B80F-0F5A0A3C9B0C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3F00-4275-B80F-0F5A0A3C9B0C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3F00-4275-B80F-0F5A0A3C9B0C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D-3F00-4275-B80F-0F5A0A3C9B0C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F-3F00-4275-B80F-0F5A0A3C9B0C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1-3F00-4275-B80F-0F5A0A3C9B0C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3-3F00-4275-B80F-0F5A0A3C9B0C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5-3F00-4275-B80F-0F5A0A3C9B0C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7-3F00-4275-B80F-0F5A0A3C9B0C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9-3F00-4275-B80F-0F5A0A3C9B0C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B-3F00-4275-B80F-0F5A0A3C9B0C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D-3F00-4275-B80F-0F5A0A3C9B0C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2F-3F00-4275-B80F-0F5A0A3C9B0C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1-3F00-4275-B80F-0F5A0A3C9B0C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3-3F00-4275-B80F-0F5A0A3C9B0C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5-3F00-4275-B80F-0F5A0A3C9B0C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7-3F00-4275-B80F-0F5A0A3C9B0C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9-3F00-4275-B80F-0F5A0A3C9B0C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B-3F00-4275-B80F-0F5A0A3C9B0C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D-3F00-4275-B80F-0F5A0A3C9B0C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3F-3F00-4275-B80F-0F5A0A3C9B0C}"/>
                </c:ext>
              </c:extLst>
            </c:dLbl>
            <c:dLbl>
              <c:idx val="3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1-3F00-4275-B80F-0F5A0A3C9B0C}"/>
                </c:ext>
              </c:extLst>
            </c:dLbl>
            <c:dLbl>
              <c:idx val="3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3-3F00-4275-B80F-0F5A0A3C9B0C}"/>
                </c:ext>
              </c:extLst>
            </c:dLbl>
            <c:dLbl>
              <c:idx val="3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5-3F00-4275-B80F-0F5A0A3C9B0C}"/>
                </c:ext>
              </c:extLst>
            </c:dLbl>
            <c:dLbl>
              <c:idx val="3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7-3F00-4275-B80F-0F5A0A3C9B0C}"/>
                </c:ext>
              </c:extLst>
            </c:dLbl>
            <c:dLbl>
              <c:idx val="3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9-3F00-4275-B80F-0F5A0A3C9B0C}"/>
                </c:ext>
              </c:extLst>
            </c:dLbl>
            <c:dLbl>
              <c:idx val="3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B-3F00-4275-B80F-0F5A0A3C9B0C}"/>
                </c:ext>
              </c:extLst>
            </c:dLbl>
            <c:dLbl>
              <c:idx val="3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D-3F00-4275-B80F-0F5A0A3C9B0C}"/>
                </c:ext>
              </c:extLst>
            </c:dLbl>
            <c:dLbl>
              <c:idx val="3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4F-3F00-4275-B80F-0F5A0A3C9B0C}"/>
                </c:ext>
              </c:extLst>
            </c:dLbl>
            <c:dLbl>
              <c:idx val="4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1-3F00-4275-B80F-0F5A0A3C9B0C}"/>
                </c:ext>
              </c:extLst>
            </c:dLbl>
            <c:dLbl>
              <c:idx val="4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3-3F00-4275-B80F-0F5A0A3C9B0C}"/>
                </c:ext>
              </c:extLst>
            </c:dLbl>
            <c:dLbl>
              <c:idx val="4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5-3F00-4275-B80F-0F5A0A3C9B0C}"/>
                </c:ext>
              </c:extLst>
            </c:dLbl>
            <c:dLbl>
              <c:idx val="4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7-3F00-4275-B80F-0F5A0A3C9B0C}"/>
                </c:ext>
              </c:extLst>
            </c:dLbl>
            <c:dLbl>
              <c:idx val="4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9-3F00-4275-B80F-0F5A0A3C9B0C}"/>
                </c:ext>
              </c:extLst>
            </c:dLbl>
            <c:dLbl>
              <c:idx val="4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B-3F00-4275-B80F-0F5A0A3C9B0C}"/>
                </c:ext>
              </c:extLst>
            </c:dLbl>
            <c:dLbl>
              <c:idx val="4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D-3F00-4275-B80F-0F5A0A3C9B0C}"/>
                </c:ext>
              </c:extLst>
            </c:dLbl>
            <c:dLbl>
              <c:idx val="4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5F-3F00-4275-B80F-0F5A0A3C9B0C}"/>
                </c:ext>
              </c:extLst>
            </c:dLbl>
            <c:dLbl>
              <c:idx val="4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1-3F00-4275-B80F-0F5A0A3C9B0C}"/>
                </c:ext>
              </c:extLst>
            </c:dLbl>
            <c:dLbl>
              <c:idx val="4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3-3F00-4275-B80F-0F5A0A3C9B0C}"/>
                </c:ext>
              </c:extLst>
            </c:dLbl>
            <c:dLbl>
              <c:idx val="5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5-3F00-4275-B80F-0F5A0A3C9B0C}"/>
                </c:ext>
              </c:extLst>
            </c:dLbl>
            <c:dLbl>
              <c:idx val="5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7-3F00-4275-B80F-0F5A0A3C9B0C}"/>
                </c:ext>
              </c:extLst>
            </c:dLbl>
            <c:dLbl>
              <c:idx val="5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9-3F00-4275-B80F-0F5A0A3C9B0C}"/>
                </c:ext>
              </c:extLst>
            </c:dLbl>
            <c:dLbl>
              <c:idx val="5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B-3F00-4275-B80F-0F5A0A3C9B0C}"/>
                </c:ext>
              </c:extLst>
            </c:dLbl>
            <c:dLbl>
              <c:idx val="5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D-3F00-4275-B80F-0F5A0A3C9B0C}"/>
                </c:ext>
              </c:extLst>
            </c:dLbl>
            <c:dLbl>
              <c:idx val="5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6F-3F00-4275-B80F-0F5A0A3C9B0C}"/>
                </c:ext>
              </c:extLst>
            </c:dLbl>
            <c:dLbl>
              <c:idx val="5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1-3F00-4275-B80F-0F5A0A3C9B0C}"/>
                </c:ext>
              </c:extLst>
            </c:dLbl>
            <c:dLbl>
              <c:idx val="5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3-3F00-4275-B80F-0F5A0A3C9B0C}"/>
                </c:ext>
              </c:extLst>
            </c:dLbl>
            <c:dLbl>
              <c:idx val="5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5-3F00-4275-B80F-0F5A0A3C9B0C}"/>
                </c:ext>
              </c:extLst>
            </c:dLbl>
            <c:dLbl>
              <c:idx val="5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7-3F00-4275-B80F-0F5A0A3C9B0C}"/>
                </c:ext>
              </c:extLst>
            </c:dLbl>
            <c:dLbl>
              <c:idx val="6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9-3F00-4275-B80F-0F5A0A3C9B0C}"/>
                </c:ext>
              </c:extLst>
            </c:dLbl>
            <c:dLbl>
              <c:idx val="6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B-3F00-4275-B80F-0F5A0A3C9B0C}"/>
                </c:ext>
              </c:extLst>
            </c:dLbl>
            <c:dLbl>
              <c:idx val="6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D-3F00-4275-B80F-0F5A0A3C9B0C}"/>
                </c:ext>
              </c:extLst>
            </c:dLbl>
            <c:dLbl>
              <c:idx val="6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7F-3F00-4275-B80F-0F5A0A3C9B0C}"/>
                </c:ext>
              </c:extLst>
            </c:dLbl>
            <c:dLbl>
              <c:idx val="6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81-3F00-4275-B80F-0F5A0A3C9B0C}"/>
                </c:ext>
              </c:extLst>
            </c:dLbl>
            <c:dLbl>
              <c:idx val="6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83-3F00-4275-B80F-0F5A0A3C9B0C}"/>
                </c:ext>
              </c:extLst>
            </c:dLbl>
            <c:dLbl>
              <c:idx val="6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85-3F00-4275-B80F-0F5A0A3C9B0C}"/>
                </c:ext>
              </c:extLst>
            </c:dLbl>
            <c:dLbl>
              <c:idx val="6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87-3F00-4275-B80F-0F5A0A3C9B0C}"/>
                </c:ext>
              </c:extLst>
            </c:dLbl>
            <c:dLbl>
              <c:idx val="6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89-3F00-4275-B80F-0F5A0A3C9B0C}"/>
                </c:ext>
              </c:extLst>
            </c:dLbl>
            <c:dLbl>
              <c:idx val="6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8B-3F00-4275-B80F-0F5A0A3C9B0C}"/>
                </c:ext>
              </c:extLst>
            </c:dLbl>
            <c:dLbl>
              <c:idx val="7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8D-3F00-4275-B80F-0F5A0A3C9B0C}"/>
                </c:ext>
              </c:extLst>
            </c:dLbl>
            <c:dLbl>
              <c:idx val="7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8F-3F00-4275-B80F-0F5A0A3C9B0C}"/>
                </c:ext>
              </c:extLst>
            </c:dLbl>
            <c:dLbl>
              <c:idx val="7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91-3F00-4275-B80F-0F5A0A3C9B0C}"/>
                </c:ext>
              </c:extLst>
            </c:dLbl>
            <c:dLbl>
              <c:idx val="7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93-3F00-4275-B80F-0F5A0A3C9B0C}"/>
                </c:ext>
              </c:extLst>
            </c:dLbl>
            <c:dLbl>
              <c:idx val="7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95-3F00-4275-B80F-0F5A0A3C9B0C}"/>
                </c:ext>
              </c:extLst>
            </c:dLbl>
            <c:dLbl>
              <c:idx val="7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97-3F00-4275-B80F-0F5A0A3C9B0C}"/>
                </c:ext>
              </c:extLst>
            </c:dLbl>
            <c:dLbl>
              <c:idx val="7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99-3F00-4275-B80F-0F5A0A3C9B0C}"/>
                </c:ext>
              </c:extLst>
            </c:dLbl>
            <c:dLbl>
              <c:idx val="7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9B-3F00-4275-B80F-0F5A0A3C9B0C}"/>
                </c:ext>
              </c:extLst>
            </c:dLbl>
            <c:dLbl>
              <c:idx val="7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9D-3F00-4275-B80F-0F5A0A3C9B0C}"/>
                </c:ext>
              </c:extLst>
            </c:dLbl>
            <c:dLbl>
              <c:idx val="7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9F-3F00-4275-B80F-0F5A0A3C9B0C}"/>
                </c:ext>
              </c:extLst>
            </c:dLbl>
            <c:dLbl>
              <c:idx val="8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A1-3F00-4275-B80F-0F5A0A3C9B0C}"/>
                </c:ext>
              </c:extLst>
            </c:dLbl>
            <c:dLbl>
              <c:idx val="8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A3-3F00-4275-B80F-0F5A0A3C9B0C}"/>
                </c:ext>
              </c:extLst>
            </c:dLbl>
            <c:dLbl>
              <c:idx val="8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A5-3F00-4275-B80F-0F5A0A3C9B0C}"/>
                </c:ext>
              </c:extLst>
            </c:dLbl>
            <c:dLbl>
              <c:idx val="8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A7-3F00-4275-B80F-0F5A0A3C9B0C}"/>
                </c:ext>
              </c:extLst>
            </c:dLbl>
            <c:dLbl>
              <c:idx val="8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A9-3F00-4275-B80F-0F5A0A3C9B0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[2]DES!$J$3:$J$87</c:f>
              <c:strCache>
                <c:ptCount val="85"/>
                <c:pt idx="0">
                  <c:v>CHINA</c:v>
                </c:pt>
                <c:pt idx="1">
                  <c:v>USA</c:v>
                </c:pt>
                <c:pt idx="2">
                  <c:v>JAPAN</c:v>
                </c:pt>
                <c:pt idx="3">
                  <c:v>THAILAND</c:v>
                </c:pt>
                <c:pt idx="4">
                  <c:v>VIETNAM</c:v>
                </c:pt>
                <c:pt idx="5">
                  <c:v>MALAYSIA</c:v>
                </c:pt>
                <c:pt idx="6">
                  <c:v>SINGAPORE</c:v>
                </c:pt>
                <c:pt idx="7">
                  <c:v>KOREA (SOUTH)</c:v>
                </c:pt>
                <c:pt idx="8">
                  <c:v>BANGLADESH</c:v>
                </c:pt>
                <c:pt idx="9">
                  <c:v>HONG KONG</c:v>
                </c:pt>
                <c:pt idx="10">
                  <c:v>SENEGAL</c:v>
                </c:pt>
                <c:pt idx="11">
                  <c:v>CANADA</c:v>
                </c:pt>
                <c:pt idx="12">
                  <c:v>NETHERLANDS</c:v>
                </c:pt>
                <c:pt idx="13">
                  <c:v>AUSTRALIA</c:v>
                </c:pt>
                <c:pt idx="14">
                  <c:v>CONGO</c:v>
                </c:pt>
                <c:pt idx="15">
                  <c:v>CAMEROON</c:v>
                </c:pt>
                <c:pt idx="16">
                  <c:v>CHILE</c:v>
                </c:pt>
                <c:pt idx="17">
                  <c:v>FRANCE</c:v>
                </c:pt>
                <c:pt idx="18">
                  <c:v>EGYPT</c:v>
                </c:pt>
                <c:pt idx="19">
                  <c:v>TAIWAN</c:v>
                </c:pt>
                <c:pt idx="20">
                  <c:v>TANZANIA</c:v>
                </c:pt>
                <c:pt idx="21">
                  <c:v>UNITED KINGDOM</c:v>
                </c:pt>
                <c:pt idx="22">
                  <c:v>ITALY</c:v>
                </c:pt>
                <c:pt idx="23">
                  <c:v>GHANA</c:v>
                </c:pt>
                <c:pt idx="24">
                  <c:v>MAURITANIA</c:v>
                </c:pt>
                <c:pt idx="25">
                  <c:v>SIERRA LEONE</c:v>
                </c:pt>
                <c:pt idx="26">
                  <c:v>INDIA</c:v>
                </c:pt>
                <c:pt idx="27">
                  <c:v>BENIN</c:v>
                </c:pt>
                <c:pt idx="28">
                  <c:v>CONGO, DEMOCRATIC REPUBLIC</c:v>
                </c:pt>
                <c:pt idx="29">
                  <c:v>SYRIA</c:v>
                </c:pt>
                <c:pt idx="30">
                  <c:v>TOGO</c:v>
                </c:pt>
                <c:pt idx="31">
                  <c:v>GREECE</c:v>
                </c:pt>
                <c:pt idx="32">
                  <c:v>EQUATORIAL GUINEA</c:v>
                </c:pt>
                <c:pt idx="33">
                  <c:v>GAMBIA</c:v>
                </c:pt>
                <c:pt idx="34">
                  <c:v>BELGIUM</c:v>
                </c:pt>
                <c:pt idx="35">
                  <c:v>GERMANY</c:v>
                </c:pt>
                <c:pt idx="36">
                  <c:v>UNITED ARAB EMIRATES</c:v>
                </c:pt>
                <c:pt idx="37">
                  <c:v>PUERTO RICO</c:v>
                </c:pt>
                <c:pt idx="38">
                  <c:v>GABON</c:v>
                </c:pt>
                <c:pt idx="39">
                  <c:v>SPAIN</c:v>
                </c:pt>
                <c:pt idx="40">
                  <c:v>VENEZUELA</c:v>
                </c:pt>
                <c:pt idx="41">
                  <c:v>LIBERIA</c:v>
                </c:pt>
                <c:pt idx="42">
                  <c:v>KENYA</c:v>
                </c:pt>
                <c:pt idx="43">
                  <c:v>ALBANIA</c:v>
                </c:pt>
                <c:pt idx="44">
                  <c:v>SAUDI ARABIA</c:v>
                </c:pt>
                <c:pt idx="45">
                  <c:v>REUNION</c:v>
                </c:pt>
                <c:pt idx="46">
                  <c:v>LIBYA</c:v>
                </c:pt>
                <c:pt idx="47">
                  <c:v>YEMEN</c:v>
                </c:pt>
                <c:pt idx="48">
                  <c:v>DOMINICAN REPUBLIC</c:v>
                </c:pt>
                <c:pt idx="49">
                  <c:v>COTE D IVOIRE (IVORY COAST)</c:v>
                </c:pt>
                <c:pt idx="50">
                  <c:v>NIGERIA</c:v>
                </c:pt>
                <c:pt idx="51">
                  <c:v>RUSSIA</c:v>
                </c:pt>
                <c:pt idx="52">
                  <c:v>TIMOR LESTE</c:v>
                </c:pt>
                <c:pt idx="53">
                  <c:v>TRINIDAD &amp; TOBAGO</c:v>
                </c:pt>
                <c:pt idx="54">
                  <c:v>KUWAIT</c:v>
                </c:pt>
                <c:pt idx="55">
                  <c:v>CAMBODIA</c:v>
                </c:pt>
                <c:pt idx="56">
                  <c:v>MAURITIUS</c:v>
                </c:pt>
                <c:pt idx="57">
                  <c:v>PORTUGAL</c:v>
                </c:pt>
                <c:pt idx="58">
                  <c:v>MADAGASCAR</c:v>
                </c:pt>
                <c:pt idx="59">
                  <c:v>COMOROS</c:v>
                </c:pt>
                <c:pt idx="60">
                  <c:v>MONTENEGRO</c:v>
                </c:pt>
                <c:pt idx="61">
                  <c:v>MOZAMBIQUE</c:v>
                </c:pt>
                <c:pt idx="62">
                  <c:v>LEBANON</c:v>
                </c:pt>
                <c:pt idx="63">
                  <c:v>MAYOTTE</c:v>
                </c:pt>
                <c:pt idx="64">
                  <c:v>POLAND</c:v>
                </c:pt>
                <c:pt idx="65">
                  <c:v>BAHRAIN</c:v>
                </c:pt>
                <c:pt idx="66">
                  <c:v>PHILIPPINES</c:v>
                </c:pt>
                <c:pt idx="67">
                  <c:v>QATAR</c:v>
                </c:pt>
                <c:pt idx="68">
                  <c:v>OMAN</c:v>
                </c:pt>
                <c:pt idx="69">
                  <c:v>SURINAME</c:v>
                </c:pt>
                <c:pt idx="70">
                  <c:v>IRELAND</c:v>
                </c:pt>
                <c:pt idx="71">
                  <c:v>ANGOLA</c:v>
                </c:pt>
                <c:pt idx="72">
                  <c:v>ROMANIA</c:v>
                </c:pt>
                <c:pt idx="73">
                  <c:v>ARUBA</c:v>
                </c:pt>
                <c:pt idx="74">
                  <c:v>BRUNEI DARUSSALAM</c:v>
                </c:pt>
                <c:pt idx="75">
                  <c:v>SWITZERLAND</c:v>
                </c:pt>
                <c:pt idx="76">
                  <c:v>MEXICO</c:v>
                </c:pt>
                <c:pt idx="77">
                  <c:v>JORDAN</c:v>
                </c:pt>
                <c:pt idx="78">
                  <c:v>NEW ZEALAND</c:v>
                </c:pt>
                <c:pt idx="79">
                  <c:v>TURKEY</c:v>
                </c:pt>
                <c:pt idx="80">
                  <c:v>SERBIA</c:v>
                </c:pt>
                <c:pt idx="81">
                  <c:v>NORWAY</c:v>
                </c:pt>
                <c:pt idx="82">
                  <c:v>MOROCCO</c:v>
                </c:pt>
                <c:pt idx="83">
                  <c:v>AUSTRIA</c:v>
                </c:pt>
                <c:pt idx="84">
                  <c:v>ARGENTINA</c:v>
                </c:pt>
              </c:strCache>
            </c:strRef>
          </c:cat>
          <c:val>
            <c:numRef>
              <c:f>[2]DES!$K$3:$K$87</c:f>
              <c:numCache>
                <c:formatCode>_(* #,##0.00_);_(* \(#,##0.00\);_(* "-"??_);_(@_)</c:formatCode>
                <c:ptCount val="85"/>
                <c:pt idx="0">
                  <c:v>11401247.629999997</c:v>
                </c:pt>
                <c:pt idx="1">
                  <c:v>9668201.828000024</c:v>
                </c:pt>
                <c:pt idx="2">
                  <c:v>3086037.9819999989</c:v>
                </c:pt>
                <c:pt idx="3">
                  <c:v>1421466.75</c:v>
                </c:pt>
                <c:pt idx="4">
                  <c:v>1372313.8</c:v>
                </c:pt>
                <c:pt idx="5">
                  <c:v>1031287.86</c:v>
                </c:pt>
                <c:pt idx="6">
                  <c:v>915358.3</c:v>
                </c:pt>
                <c:pt idx="7">
                  <c:v>721518</c:v>
                </c:pt>
                <c:pt idx="8">
                  <c:v>700000</c:v>
                </c:pt>
                <c:pt idx="9">
                  <c:v>689896.21099999989</c:v>
                </c:pt>
                <c:pt idx="10">
                  <c:v>608043.89999999991</c:v>
                </c:pt>
                <c:pt idx="11">
                  <c:v>507895.21</c:v>
                </c:pt>
                <c:pt idx="12">
                  <c:v>496959.79999999993</c:v>
                </c:pt>
                <c:pt idx="13">
                  <c:v>470504.20999999996</c:v>
                </c:pt>
                <c:pt idx="14">
                  <c:v>424583</c:v>
                </c:pt>
                <c:pt idx="15">
                  <c:v>360250.1</c:v>
                </c:pt>
                <c:pt idx="16">
                  <c:v>350002</c:v>
                </c:pt>
                <c:pt idx="17">
                  <c:v>340375.54999999993</c:v>
                </c:pt>
                <c:pt idx="18">
                  <c:v>302264</c:v>
                </c:pt>
                <c:pt idx="19">
                  <c:v>281659.64</c:v>
                </c:pt>
                <c:pt idx="20">
                  <c:v>264643.09999999998</c:v>
                </c:pt>
                <c:pt idx="21">
                  <c:v>264375.92000000004</c:v>
                </c:pt>
                <c:pt idx="22">
                  <c:v>253469</c:v>
                </c:pt>
                <c:pt idx="23">
                  <c:v>247507.59999999998</c:v>
                </c:pt>
                <c:pt idx="24">
                  <c:v>246750</c:v>
                </c:pt>
                <c:pt idx="25">
                  <c:v>241941.3</c:v>
                </c:pt>
                <c:pt idx="26">
                  <c:v>210047.15</c:v>
                </c:pt>
                <c:pt idx="27">
                  <c:v>204750</c:v>
                </c:pt>
                <c:pt idx="28">
                  <c:v>203003.8</c:v>
                </c:pt>
                <c:pt idx="29">
                  <c:v>170403.20000000001</c:v>
                </c:pt>
                <c:pt idx="30">
                  <c:v>164634.5</c:v>
                </c:pt>
                <c:pt idx="31">
                  <c:v>164498</c:v>
                </c:pt>
                <c:pt idx="32">
                  <c:v>161978.79999999999</c:v>
                </c:pt>
                <c:pt idx="33">
                  <c:v>160410.04999999999</c:v>
                </c:pt>
                <c:pt idx="34">
                  <c:v>147475</c:v>
                </c:pt>
                <c:pt idx="35">
                  <c:v>146190</c:v>
                </c:pt>
                <c:pt idx="36">
                  <c:v>141249.375</c:v>
                </c:pt>
                <c:pt idx="37">
                  <c:v>130512.77999999998</c:v>
                </c:pt>
                <c:pt idx="38">
                  <c:v>122445.1</c:v>
                </c:pt>
                <c:pt idx="39">
                  <c:v>114253.68000000002</c:v>
                </c:pt>
                <c:pt idx="40">
                  <c:v>81924</c:v>
                </c:pt>
                <c:pt idx="41">
                  <c:v>81759.5</c:v>
                </c:pt>
                <c:pt idx="42">
                  <c:v>80625</c:v>
                </c:pt>
                <c:pt idx="43">
                  <c:v>80000</c:v>
                </c:pt>
                <c:pt idx="44">
                  <c:v>73375.199999999997</c:v>
                </c:pt>
                <c:pt idx="45">
                  <c:v>67741</c:v>
                </c:pt>
                <c:pt idx="46">
                  <c:v>63888</c:v>
                </c:pt>
                <c:pt idx="47">
                  <c:v>61800</c:v>
                </c:pt>
                <c:pt idx="48">
                  <c:v>60430.86</c:v>
                </c:pt>
                <c:pt idx="49">
                  <c:v>60250</c:v>
                </c:pt>
                <c:pt idx="50">
                  <c:v>60000.375</c:v>
                </c:pt>
                <c:pt idx="51">
                  <c:v>59300</c:v>
                </c:pt>
                <c:pt idx="52">
                  <c:v>58795</c:v>
                </c:pt>
                <c:pt idx="53">
                  <c:v>53118</c:v>
                </c:pt>
                <c:pt idx="54">
                  <c:v>51756</c:v>
                </c:pt>
                <c:pt idx="55" formatCode="_(* #,##0.00_);_(* \(#,##0.00\);_(* &quot;-&quot;??_);_(@_)">
                  <c:v>46501.084999999999</c:v>
                </c:pt>
                <c:pt idx="56" formatCode="_(* #,##0.00_);_(* \(#,##0.00\);_(* &quot;-&quot;??_);_(@_)">
                  <c:v>46074</c:v>
                </c:pt>
                <c:pt idx="57" formatCode="_(* #,##0.00_);_(* \(#,##0.00\);_(* &quot;-&quot;??_);_(@_)">
                  <c:v>43497.17</c:v>
                </c:pt>
                <c:pt idx="58" formatCode="_(* #,##0.00_);_(* \(#,##0.00\);_(* &quot;-&quot;??_);_(@_)">
                  <c:v>40806.25</c:v>
                </c:pt>
                <c:pt idx="59" formatCode="_(* #,##0.00_);_(* \(#,##0.00\);_(* &quot;-&quot;??_);_(@_)">
                  <c:v>40562.5</c:v>
                </c:pt>
                <c:pt idx="60" formatCode="_(* #,##0.00_);_(* \(#,##0.00\);_(* &quot;-&quot;??_);_(@_)">
                  <c:v>40000</c:v>
                </c:pt>
                <c:pt idx="61" formatCode="_(* #,##0.00_);_(* \(#,##0.00\);_(* &quot;-&quot;??_);_(@_)">
                  <c:v>34820.5</c:v>
                </c:pt>
                <c:pt idx="62" formatCode="_(* #,##0.00_);_(* \(#,##0.00\);_(* &quot;-&quot;??_);_(@_)">
                  <c:v>32516.3</c:v>
                </c:pt>
                <c:pt idx="63" formatCode="_(* #,##0.00_);_(* \(#,##0.00\);_(* &quot;-&quot;??_);_(@_)">
                  <c:v>31798</c:v>
                </c:pt>
                <c:pt idx="64" formatCode="_(* #,##0.00_);_(* \(#,##0.00\);_(* &quot;-&quot;??_);_(@_)">
                  <c:v>31120</c:v>
                </c:pt>
                <c:pt idx="65" formatCode="_(* #,##0.00_);_(* \(#,##0.00\);_(* &quot;-&quot;??_);_(@_)">
                  <c:v>28650</c:v>
                </c:pt>
                <c:pt idx="66" formatCode="_(* #,##0.00_);_(* \(#,##0.00\);_(* &quot;-&quot;??_);_(@_)">
                  <c:v>28000</c:v>
                </c:pt>
                <c:pt idx="67" formatCode="_(* #,##0.00_);_(* \(#,##0.00\);_(* &quot;-&quot;??_);_(@_)">
                  <c:v>25703.700000000004</c:v>
                </c:pt>
                <c:pt idx="68" formatCode="_(* #,##0.00_);_(* \(#,##0.00\);_(* &quot;-&quot;??_);_(@_)">
                  <c:v>21181.39</c:v>
                </c:pt>
                <c:pt idx="69" formatCode="_(* #,##0.00_);_(* \(#,##0.00\);_(* &quot;-&quot;??_);_(@_)">
                  <c:v>20626.900000000001</c:v>
                </c:pt>
                <c:pt idx="70" formatCode="_(* #,##0.00_);_(* \(#,##0.00\);_(* &quot;-&quot;??_);_(@_)">
                  <c:v>20566.2</c:v>
                </c:pt>
                <c:pt idx="71" formatCode="_(* #,##0.00_);_(* \(#,##0.00\);_(* &quot;-&quot;??_);_(@_)">
                  <c:v>20250</c:v>
                </c:pt>
                <c:pt idx="72" formatCode="_(* #,##0.00_);_(* \(#,##0.00\);_(* &quot;-&quot;??_);_(@_)">
                  <c:v>20000</c:v>
                </c:pt>
                <c:pt idx="73" formatCode="_(* #,##0.00_);_(* \(#,##0.00\);_(* &quot;-&quot;??_);_(@_)">
                  <c:v>19168</c:v>
                </c:pt>
                <c:pt idx="74" formatCode="_(* #,##0.00_);_(* \(#,##0.00\);_(* &quot;-&quot;??_);_(@_)">
                  <c:v>18325.7</c:v>
                </c:pt>
                <c:pt idx="75" formatCode="_(* #,##0.00_);_(* \(#,##0.00\);_(* &quot;-&quot;??_);_(@_)">
                  <c:v>17493</c:v>
                </c:pt>
                <c:pt idx="76" formatCode="_(* #,##0.00_);_(* \(#,##0.00\);_(* &quot;-&quot;??_);_(@_)">
                  <c:v>14150</c:v>
                </c:pt>
                <c:pt idx="77" formatCode="_(* #,##0.00_);_(* \(#,##0.00\);_(* &quot;-&quot;??_);_(@_)">
                  <c:v>12520</c:v>
                </c:pt>
                <c:pt idx="78" formatCode="_(* #,##0.00_);_(* \(#,##0.00\);_(* &quot;-&quot;??_);_(@_)">
                  <c:v>11552</c:v>
                </c:pt>
                <c:pt idx="79" formatCode="_(* #,##0.00_);_(* \(#,##0.00\);_(* &quot;-&quot;??_);_(@_)">
                  <c:v>2435</c:v>
                </c:pt>
                <c:pt idx="80" formatCode="General">
                  <c:v>2000</c:v>
                </c:pt>
                <c:pt idx="81" formatCode="General">
                  <c:v>1729.7</c:v>
                </c:pt>
                <c:pt idx="82" formatCode="General">
                  <c:v>3.4</c:v>
                </c:pt>
                <c:pt idx="83" formatCode="General">
                  <c:v>1.81</c:v>
                </c:pt>
                <c:pt idx="84" formatCode="General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3F00-4275-B80F-0F5A0A3C9B0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C-3F00-4275-B80F-0F5A0A3C9B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AE-3F00-4275-B80F-0F5A0A3C9B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0-3F00-4275-B80F-0F5A0A3C9B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2-3F00-4275-B80F-0F5A0A3C9B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4-3F00-4275-B80F-0F5A0A3C9B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6-3F00-4275-B80F-0F5A0A3C9B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8-3F00-4275-B80F-0F5A0A3C9B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A-3F00-4275-B80F-0F5A0A3C9B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C-3F00-4275-B80F-0F5A0A3C9B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BE-3F00-4275-B80F-0F5A0A3C9B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C0-3F00-4275-B80F-0F5A0A3C9B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C2-3F00-4275-B80F-0F5A0A3C9B0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C4-3F00-4275-B80F-0F5A0A3C9B0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C6-3F00-4275-B80F-0F5A0A3C9B0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C8-3F00-4275-B80F-0F5A0A3C9B0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CA-3F00-4275-B80F-0F5A0A3C9B0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CC-3F00-4275-B80F-0F5A0A3C9B0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CE-3F00-4275-B80F-0F5A0A3C9B0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D0-3F00-4275-B80F-0F5A0A3C9B0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D2-3F00-4275-B80F-0F5A0A3C9B0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D4-3F00-4275-B80F-0F5A0A3C9B0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D6-3F00-4275-B80F-0F5A0A3C9B0C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D8-3F00-4275-B80F-0F5A0A3C9B0C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DA-3F00-4275-B80F-0F5A0A3C9B0C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DC-3F00-4275-B80F-0F5A0A3C9B0C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DE-3F00-4275-B80F-0F5A0A3C9B0C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E0-3F00-4275-B80F-0F5A0A3C9B0C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E2-3F00-4275-B80F-0F5A0A3C9B0C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E4-3F00-4275-B80F-0F5A0A3C9B0C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E6-3F00-4275-B80F-0F5A0A3C9B0C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E8-3F00-4275-B80F-0F5A0A3C9B0C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EA-3F00-4275-B80F-0F5A0A3C9B0C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EC-3F00-4275-B80F-0F5A0A3C9B0C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EE-3F00-4275-B80F-0F5A0A3C9B0C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F0-3F00-4275-B80F-0F5A0A3C9B0C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F2-3F00-4275-B80F-0F5A0A3C9B0C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F4-3F00-4275-B80F-0F5A0A3C9B0C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F6-3F00-4275-B80F-0F5A0A3C9B0C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F8-3F00-4275-B80F-0F5A0A3C9B0C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FA-3F00-4275-B80F-0F5A0A3C9B0C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FC-3F00-4275-B80F-0F5A0A3C9B0C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FE-3F00-4275-B80F-0F5A0A3C9B0C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00-3F00-4275-B80F-0F5A0A3C9B0C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02-3F00-4275-B80F-0F5A0A3C9B0C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04-3F00-4275-B80F-0F5A0A3C9B0C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06-3F00-4275-B80F-0F5A0A3C9B0C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08-3F00-4275-B80F-0F5A0A3C9B0C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0A-3F00-4275-B80F-0F5A0A3C9B0C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0C-3F00-4275-B80F-0F5A0A3C9B0C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0E-3F00-4275-B80F-0F5A0A3C9B0C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10-3F00-4275-B80F-0F5A0A3C9B0C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12-3F00-4275-B80F-0F5A0A3C9B0C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14-3F00-4275-B80F-0F5A0A3C9B0C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16-3F00-4275-B80F-0F5A0A3C9B0C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18-3F00-4275-B80F-0F5A0A3C9B0C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1A-3F00-4275-B80F-0F5A0A3C9B0C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1C-3F00-4275-B80F-0F5A0A3C9B0C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1E-3F00-4275-B80F-0F5A0A3C9B0C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20-3F00-4275-B80F-0F5A0A3C9B0C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22-3F00-4275-B80F-0F5A0A3C9B0C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24-3F00-4275-B80F-0F5A0A3C9B0C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26-3F00-4275-B80F-0F5A0A3C9B0C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28-3F00-4275-B80F-0F5A0A3C9B0C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2A-3F00-4275-B80F-0F5A0A3C9B0C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2C-3F00-4275-B80F-0F5A0A3C9B0C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2E-3F00-4275-B80F-0F5A0A3C9B0C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30-3F00-4275-B80F-0F5A0A3C9B0C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32-3F00-4275-B80F-0F5A0A3C9B0C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34-3F00-4275-B80F-0F5A0A3C9B0C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36-3F00-4275-B80F-0F5A0A3C9B0C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38-3F00-4275-B80F-0F5A0A3C9B0C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3A-3F00-4275-B80F-0F5A0A3C9B0C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3C-3F00-4275-B80F-0F5A0A3C9B0C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3E-3F00-4275-B80F-0F5A0A3C9B0C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40-3F00-4275-B80F-0F5A0A3C9B0C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42-3F00-4275-B80F-0F5A0A3C9B0C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44-3F00-4275-B80F-0F5A0A3C9B0C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46-3F00-4275-B80F-0F5A0A3C9B0C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48-3F00-4275-B80F-0F5A0A3C9B0C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4A-3F00-4275-B80F-0F5A0A3C9B0C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4C-3F00-4275-B80F-0F5A0A3C9B0C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4E-3F00-4275-B80F-0F5A0A3C9B0C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50-3F00-4275-B80F-0F5A0A3C9B0C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52-3F00-4275-B80F-0F5A0A3C9B0C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154-3F00-4275-B80F-0F5A0A3C9B0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AC-3F00-4275-B80F-0F5A0A3C9B0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AE-3F00-4275-B80F-0F5A0A3C9B0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0-3F00-4275-B80F-0F5A0A3C9B0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2-3F00-4275-B80F-0F5A0A3C9B0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4-3F00-4275-B80F-0F5A0A3C9B0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6-3F00-4275-B80F-0F5A0A3C9B0C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8-3F00-4275-B80F-0F5A0A3C9B0C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A-3F00-4275-B80F-0F5A0A3C9B0C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C-3F00-4275-B80F-0F5A0A3C9B0C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BE-3F00-4275-B80F-0F5A0A3C9B0C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0-3F00-4275-B80F-0F5A0A3C9B0C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2-3F00-4275-B80F-0F5A0A3C9B0C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4-3F00-4275-B80F-0F5A0A3C9B0C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6-3F00-4275-B80F-0F5A0A3C9B0C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8-3F00-4275-B80F-0F5A0A3C9B0C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A-3F00-4275-B80F-0F5A0A3C9B0C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C-3F00-4275-B80F-0F5A0A3C9B0C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CE-3F00-4275-B80F-0F5A0A3C9B0C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D0-3F00-4275-B80F-0F5A0A3C9B0C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D2-3F00-4275-B80F-0F5A0A3C9B0C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D4-3F00-4275-B80F-0F5A0A3C9B0C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D6-3F00-4275-B80F-0F5A0A3C9B0C}"/>
                </c:ext>
              </c:extLst>
            </c:dLbl>
            <c:dLbl>
              <c:idx val="2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D8-3F00-4275-B80F-0F5A0A3C9B0C}"/>
                </c:ext>
              </c:extLst>
            </c:dLbl>
            <c:dLbl>
              <c:idx val="2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DA-3F00-4275-B80F-0F5A0A3C9B0C}"/>
                </c:ext>
              </c:extLst>
            </c:dLbl>
            <c:dLbl>
              <c:idx val="2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DC-3F00-4275-B80F-0F5A0A3C9B0C}"/>
                </c:ext>
              </c:extLst>
            </c:dLbl>
            <c:dLbl>
              <c:idx val="2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DE-3F00-4275-B80F-0F5A0A3C9B0C}"/>
                </c:ext>
              </c:extLst>
            </c:dLbl>
            <c:dLbl>
              <c:idx val="2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E0-3F00-4275-B80F-0F5A0A3C9B0C}"/>
                </c:ext>
              </c:extLst>
            </c:dLbl>
            <c:dLbl>
              <c:idx val="2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E2-3F00-4275-B80F-0F5A0A3C9B0C}"/>
                </c:ext>
              </c:extLst>
            </c:dLbl>
            <c:dLbl>
              <c:idx val="2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E4-3F00-4275-B80F-0F5A0A3C9B0C}"/>
                </c:ext>
              </c:extLst>
            </c:dLbl>
            <c:dLbl>
              <c:idx val="2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E6-3F00-4275-B80F-0F5A0A3C9B0C}"/>
                </c:ext>
              </c:extLst>
            </c:dLbl>
            <c:dLbl>
              <c:idx val="3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E8-3F00-4275-B80F-0F5A0A3C9B0C}"/>
                </c:ext>
              </c:extLst>
            </c:dLbl>
            <c:dLbl>
              <c:idx val="3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EA-3F00-4275-B80F-0F5A0A3C9B0C}"/>
                </c:ext>
              </c:extLst>
            </c:dLbl>
            <c:dLbl>
              <c:idx val="3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EC-3F00-4275-B80F-0F5A0A3C9B0C}"/>
                </c:ext>
              </c:extLst>
            </c:dLbl>
            <c:dLbl>
              <c:idx val="3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EE-3F00-4275-B80F-0F5A0A3C9B0C}"/>
                </c:ext>
              </c:extLst>
            </c:dLbl>
            <c:dLbl>
              <c:idx val="3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F0-3F00-4275-B80F-0F5A0A3C9B0C}"/>
                </c:ext>
              </c:extLst>
            </c:dLbl>
            <c:dLbl>
              <c:idx val="3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F2-3F00-4275-B80F-0F5A0A3C9B0C}"/>
                </c:ext>
              </c:extLst>
            </c:dLbl>
            <c:dLbl>
              <c:idx val="3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F4-3F00-4275-B80F-0F5A0A3C9B0C}"/>
                </c:ext>
              </c:extLst>
            </c:dLbl>
            <c:dLbl>
              <c:idx val="3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F6-3F00-4275-B80F-0F5A0A3C9B0C}"/>
                </c:ext>
              </c:extLst>
            </c:dLbl>
            <c:dLbl>
              <c:idx val="3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F8-3F00-4275-B80F-0F5A0A3C9B0C}"/>
                </c:ext>
              </c:extLst>
            </c:dLbl>
            <c:dLbl>
              <c:idx val="3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FA-3F00-4275-B80F-0F5A0A3C9B0C}"/>
                </c:ext>
              </c:extLst>
            </c:dLbl>
            <c:dLbl>
              <c:idx val="4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FC-3F00-4275-B80F-0F5A0A3C9B0C}"/>
                </c:ext>
              </c:extLst>
            </c:dLbl>
            <c:dLbl>
              <c:idx val="4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70000"/>
                          <a:lumOff val="3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FE-3F00-4275-B80F-0F5A0A3C9B0C}"/>
                </c:ext>
              </c:extLst>
            </c:dLbl>
            <c:dLbl>
              <c:idx val="4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00-3F00-4275-B80F-0F5A0A3C9B0C}"/>
                </c:ext>
              </c:extLst>
            </c:dLbl>
            <c:dLbl>
              <c:idx val="4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02-3F00-4275-B80F-0F5A0A3C9B0C}"/>
                </c:ext>
              </c:extLst>
            </c:dLbl>
            <c:dLbl>
              <c:idx val="4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04-3F00-4275-B80F-0F5A0A3C9B0C}"/>
                </c:ext>
              </c:extLst>
            </c:dLbl>
            <c:dLbl>
              <c:idx val="4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06-3F00-4275-B80F-0F5A0A3C9B0C}"/>
                </c:ext>
              </c:extLst>
            </c:dLbl>
            <c:dLbl>
              <c:idx val="4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08-3F00-4275-B80F-0F5A0A3C9B0C}"/>
                </c:ext>
              </c:extLst>
            </c:dLbl>
            <c:dLbl>
              <c:idx val="4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7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0A-3F00-4275-B80F-0F5A0A3C9B0C}"/>
                </c:ext>
              </c:extLst>
            </c:dLbl>
            <c:dLbl>
              <c:idx val="4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0C-3F00-4275-B80F-0F5A0A3C9B0C}"/>
                </c:ext>
              </c:extLst>
            </c:dLbl>
            <c:dLbl>
              <c:idx val="4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0E-3F00-4275-B80F-0F5A0A3C9B0C}"/>
                </c:ext>
              </c:extLst>
            </c:dLbl>
            <c:dLbl>
              <c:idx val="5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10-3F00-4275-B80F-0F5A0A3C9B0C}"/>
                </c:ext>
              </c:extLst>
            </c:dLbl>
            <c:dLbl>
              <c:idx val="5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12-3F00-4275-B80F-0F5A0A3C9B0C}"/>
                </c:ext>
              </c:extLst>
            </c:dLbl>
            <c:dLbl>
              <c:idx val="5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14-3F00-4275-B80F-0F5A0A3C9B0C}"/>
                </c:ext>
              </c:extLst>
            </c:dLbl>
            <c:dLbl>
              <c:idx val="5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50000"/>
                          <a:lumOff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16-3F00-4275-B80F-0F5A0A3C9B0C}"/>
                </c:ext>
              </c:extLst>
            </c:dLbl>
            <c:dLbl>
              <c:idx val="5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18-3F00-4275-B80F-0F5A0A3C9B0C}"/>
                </c:ext>
              </c:extLst>
            </c:dLbl>
            <c:dLbl>
              <c:idx val="5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1A-3F00-4275-B80F-0F5A0A3C9B0C}"/>
                </c:ext>
              </c:extLst>
            </c:dLbl>
            <c:dLbl>
              <c:idx val="5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1C-3F00-4275-B80F-0F5A0A3C9B0C}"/>
                </c:ext>
              </c:extLst>
            </c:dLbl>
            <c:dLbl>
              <c:idx val="5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1E-3F00-4275-B80F-0F5A0A3C9B0C}"/>
                </c:ext>
              </c:extLst>
            </c:dLbl>
            <c:dLbl>
              <c:idx val="5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20-3F00-4275-B80F-0F5A0A3C9B0C}"/>
                </c:ext>
              </c:extLst>
            </c:dLbl>
            <c:dLbl>
              <c:idx val="5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22-3F00-4275-B80F-0F5A0A3C9B0C}"/>
                </c:ext>
              </c:extLst>
            </c:dLbl>
            <c:dLbl>
              <c:idx val="6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24-3F00-4275-B80F-0F5A0A3C9B0C}"/>
                </c:ext>
              </c:extLst>
            </c:dLbl>
            <c:dLbl>
              <c:idx val="6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26-3F00-4275-B80F-0F5A0A3C9B0C}"/>
                </c:ext>
              </c:extLst>
            </c:dLbl>
            <c:dLbl>
              <c:idx val="6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28-3F00-4275-B80F-0F5A0A3C9B0C}"/>
                </c:ext>
              </c:extLst>
            </c:dLbl>
            <c:dLbl>
              <c:idx val="6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2A-3F00-4275-B80F-0F5A0A3C9B0C}"/>
                </c:ext>
              </c:extLst>
            </c:dLbl>
            <c:dLbl>
              <c:idx val="6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2C-3F00-4275-B80F-0F5A0A3C9B0C}"/>
                </c:ext>
              </c:extLst>
            </c:dLbl>
            <c:dLbl>
              <c:idx val="6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2E-3F00-4275-B80F-0F5A0A3C9B0C}"/>
                </c:ext>
              </c:extLst>
            </c:dLbl>
            <c:dLbl>
              <c:idx val="6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30-3F00-4275-B80F-0F5A0A3C9B0C}"/>
                </c:ext>
              </c:extLst>
            </c:dLbl>
            <c:dLbl>
              <c:idx val="6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32-3F00-4275-B80F-0F5A0A3C9B0C}"/>
                </c:ext>
              </c:extLst>
            </c:dLbl>
            <c:dLbl>
              <c:idx val="6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34-3F00-4275-B80F-0F5A0A3C9B0C}"/>
                </c:ext>
              </c:extLst>
            </c:dLbl>
            <c:dLbl>
              <c:idx val="6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36-3F00-4275-B80F-0F5A0A3C9B0C}"/>
                </c:ext>
              </c:extLst>
            </c:dLbl>
            <c:dLbl>
              <c:idx val="7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38-3F00-4275-B80F-0F5A0A3C9B0C}"/>
                </c:ext>
              </c:extLst>
            </c:dLbl>
            <c:dLbl>
              <c:idx val="7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3A-3F00-4275-B80F-0F5A0A3C9B0C}"/>
                </c:ext>
              </c:extLst>
            </c:dLbl>
            <c:dLbl>
              <c:idx val="7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3C-3F00-4275-B80F-0F5A0A3C9B0C}"/>
                </c:ext>
              </c:extLst>
            </c:dLbl>
            <c:dLbl>
              <c:idx val="7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3E-3F00-4275-B80F-0F5A0A3C9B0C}"/>
                </c:ext>
              </c:extLst>
            </c:dLbl>
            <c:dLbl>
              <c:idx val="7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40-3F00-4275-B80F-0F5A0A3C9B0C}"/>
                </c:ext>
              </c:extLst>
            </c:dLbl>
            <c:dLbl>
              <c:idx val="7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42-3F00-4275-B80F-0F5A0A3C9B0C}"/>
                </c:ext>
              </c:extLst>
            </c:dLbl>
            <c:dLbl>
              <c:idx val="7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44-3F00-4275-B80F-0F5A0A3C9B0C}"/>
                </c:ext>
              </c:extLst>
            </c:dLbl>
            <c:dLbl>
              <c:idx val="7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46-3F00-4275-B80F-0F5A0A3C9B0C}"/>
                </c:ext>
              </c:extLst>
            </c:dLbl>
            <c:dLbl>
              <c:idx val="7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48-3F00-4275-B80F-0F5A0A3C9B0C}"/>
                </c:ext>
              </c:extLst>
            </c:dLbl>
            <c:dLbl>
              <c:idx val="7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4A-3F00-4275-B80F-0F5A0A3C9B0C}"/>
                </c:ext>
              </c:extLst>
            </c:dLbl>
            <c:dLbl>
              <c:idx val="8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4C-3F00-4275-B80F-0F5A0A3C9B0C}"/>
                </c:ext>
              </c:extLst>
            </c:dLbl>
            <c:dLbl>
              <c:idx val="8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4E-3F00-4275-B80F-0F5A0A3C9B0C}"/>
                </c:ext>
              </c:extLst>
            </c:dLbl>
            <c:dLbl>
              <c:idx val="8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50-3F00-4275-B80F-0F5A0A3C9B0C}"/>
                </c:ext>
              </c:extLst>
            </c:dLbl>
            <c:dLbl>
              <c:idx val="8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52-3F00-4275-B80F-0F5A0A3C9B0C}"/>
                </c:ext>
              </c:extLst>
            </c:dLbl>
            <c:dLbl>
              <c:idx val="8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5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154-3F00-4275-B80F-0F5A0A3C9B0C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[2]DES!$J$3:$J$87</c:f>
              <c:strCache>
                <c:ptCount val="85"/>
                <c:pt idx="0">
                  <c:v>CHINA</c:v>
                </c:pt>
                <c:pt idx="1">
                  <c:v>USA</c:v>
                </c:pt>
                <c:pt idx="2">
                  <c:v>JAPAN</c:v>
                </c:pt>
                <c:pt idx="3">
                  <c:v>THAILAND</c:v>
                </c:pt>
                <c:pt idx="4">
                  <c:v>VIETNAM</c:v>
                </c:pt>
                <c:pt idx="5">
                  <c:v>MALAYSIA</c:v>
                </c:pt>
                <c:pt idx="6">
                  <c:v>SINGAPORE</c:v>
                </c:pt>
                <c:pt idx="7">
                  <c:v>KOREA (SOUTH)</c:v>
                </c:pt>
                <c:pt idx="8">
                  <c:v>BANGLADESH</c:v>
                </c:pt>
                <c:pt idx="9">
                  <c:v>HONG KONG</c:v>
                </c:pt>
                <c:pt idx="10">
                  <c:v>SENEGAL</c:v>
                </c:pt>
                <c:pt idx="11">
                  <c:v>CANADA</c:v>
                </c:pt>
                <c:pt idx="12">
                  <c:v>NETHERLANDS</c:v>
                </c:pt>
                <c:pt idx="13">
                  <c:v>AUSTRALIA</c:v>
                </c:pt>
                <c:pt idx="14">
                  <c:v>CONGO</c:v>
                </c:pt>
                <c:pt idx="15">
                  <c:v>CAMEROON</c:v>
                </c:pt>
                <c:pt idx="16">
                  <c:v>CHILE</c:v>
                </c:pt>
                <c:pt idx="17">
                  <c:v>FRANCE</c:v>
                </c:pt>
                <c:pt idx="18">
                  <c:v>EGYPT</c:v>
                </c:pt>
                <c:pt idx="19">
                  <c:v>TAIWAN</c:v>
                </c:pt>
                <c:pt idx="20">
                  <c:v>TANZANIA</c:v>
                </c:pt>
                <c:pt idx="21">
                  <c:v>UNITED KINGDOM</c:v>
                </c:pt>
                <c:pt idx="22">
                  <c:v>ITALY</c:v>
                </c:pt>
                <c:pt idx="23">
                  <c:v>GHANA</c:v>
                </c:pt>
                <c:pt idx="24">
                  <c:v>MAURITANIA</c:v>
                </c:pt>
                <c:pt idx="25">
                  <c:v>SIERRA LEONE</c:v>
                </c:pt>
                <c:pt idx="26">
                  <c:v>INDIA</c:v>
                </c:pt>
                <c:pt idx="27">
                  <c:v>BENIN</c:v>
                </c:pt>
                <c:pt idx="28">
                  <c:v>CONGO, DEMOCRATIC REPUBLIC</c:v>
                </c:pt>
                <c:pt idx="29">
                  <c:v>SYRIA</c:v>
                </c:pt>
                <c:pt idx="30">
                  <c:v>TOGO</c:v>
                </c:pt>
                <c:pt idx="31">
                  <c:v>GREECE</c:v>
                </c:pt>
                <c:pt idx="32">
                  <c:v>EQUATORIAL GUINEA</c:v>
                </c:pt>
                <c:pt idx="33">
                  <c:v>GAMBIA</c:v>
                </c:pt>
                <c:pt idx="34">
                  <c:v>BELGIUM</c:v>
                </c:pt>
                <c:pt idx="35">
                  <c:v>GERMANY</c:v>
                </c:pt>
                <c:pt idx="36">
                  <c:v>UNITED ARAB EMIRATES</c:v>
                </c:pt>
                <c:pt idx="37">
                  <c:v>PUERTO RICO</c:v>
                </c:pt>
                <c:pt idx="38">
                  <c:v>GABON</c:v>
                </c:pt>
                <c:pt idx="39">
                  <c:v>SPAIN</c:v>
                </c:pt>
                <c:pt idx="40">
                  <c:v>VENEZUELA</c:v>
                </c:pt>
                <c:pt idx="41">
                  <c:v>LIBERIA</c:v>
                </c:pt>
                <c:pt idx="42">
                  <c:v>KENYA</c:v>
                </c:pt>
                <c:pt idx="43">
                  <c:v>ALBANIA</c:v>
                </c:pt>
                <c:pt idx="44">
                  <c:v>SAUDI ARABIA</c:v>
                </c:pt>
                <c:pt idx="45">
                  <c:v>REUNION</c:v>
                </c:pt>
                <c:pt idx="46">
                  <c:v>LIBYA</c:v>
                </c:pt>
                <c:pt idx="47">
                  <c:v>YEMEN</c:v>
                </c:pt>
                <c:pt idx="48">
                  <c:v>DOMINICAN REPUBLIC</c:v>
                </c:pt>
                <c:pt idx="49">
                  <c:v>COTE D IVOIRE (IVORY COAST)</c:v>
                </c:pt>
                <c:pt idx="50">
                  <c:v>NIGERIA</c:v>
                </c:pt>
                <c:pt idx="51">
                  <c:v>RUSSIA</c:v>
                </c:pt>
                <c:pt idx="52">
                  <c:v>TIMOR LESTE</c:v>
                </c:pt>
                <c:pt idx="53">
                  <c:v>TRINIDAD &amp; TOBAGO</c:v>
                </c:pt>
                <c:pt idx="54">
                  <c:v>KUWAIT</c:v>
                </c:pt>
                <c:pt idx="55">
                  <c:v>CAMBODIA</c:v>
                </c:pt>
                <c:pt idx="56">
                  <c:v>MAURITIUS</c:v>
                </c:pt>
                <c:pt idx="57">
                  <c:v>PORTUGAL</c:v>
                </c:pt>
                <c:pt idx="58">
                  <c:v>MADAGASCAR</c:v>
                </c:pt>
                <c:pt idx="59">
                  <c:v>COMOROS</c:v>
                </c:pt>
                <c:pt idx="60">
                  <c:v>MONTENEGRO</c:v>
                </c:pt>
                <c:pt idx="61">
                  <c:v>MOZAMBIQUE</c:v>
                </c:pt>
                <c:pt idx="62">
                  <c:v>LEBANON</c:v>
                </c:pt>
                <c:pt idx="63">
                  <c:v>MAYOTTE</c:v>
                </c:pt>
                <c:pt idx="64">
                  <c:v>POLAND</c:v>
                </c:pt>
                <c:pt idx="65">
                  <c:v>BAHRAIN</c:v>
                </c:pt>
                <c:pt idx="66">
                  <c:v>PHILIPPINES</c:v>
                </c:pt>
                <c:pt idx="67">
                  <c:v>QATAR</c:v>
                </c:pt>
                <c:pt idx="68">
                  <c:v>OMAN</c:v>
                </c:pt>
                <c:pt idx="69">
                  <c:v>SURINAME</c:v>
                </c:pt>
                <c:pt idx="70">
                  <c:v>IRELAND</c:v>
                </c:pt>
                <c:pt idx="71">
                  <c:v>ANGOLA</c:v>
                </c:pt>
                <c:pt idx="72">
                  <c:v>ROMANIA</c:v>
                </c:pt>
                <c:pt idx="73">
                  <c:v>ARUBA</c:v>
                </c:pt>
                <c:pt idx="74">
                  <c:v>BRUNEI DARUSSALAM</c:v>
                </c:pt>
                <c:pt idx="75">
                  <c:v>SWITZERLAND</c:v>
                </c:pt>
                <c:pt idx="76">
                  <c:v>MEXICO</c:v>
                </c:pt>
                <c:pt idx="77">
                  <c:v>JORDAN</c:v>
                </c:pt>
                <c:pt idx="78">
                  <c:v>NEW ZEALAND</c:v>
                </c:pt>
                <c:pt idx="79">
                  <c:v>TURKEY</c:v>
                </c:pt>
                <c:pt idx="80">
                  <c:v>SERBIA</c:v>
                </c:pt>
                <c:pt idx="81">
                  <c:v>NORWAY</c:v>
                </c:pt>
                <c:pt idx="82">
                  <c:v>MOROCCO</c:v>
                </c:pt>
                <c:pt idx="83">
                  <c:v>AUSTRIA</c:v>
                </c:pt>
                <c:pt idx="84">
                  <c:v>ARGENTINA</c:v>
                </c:pt>
              </c:strCache>
            </c:strRef>
          </c:cat>
          <c:val>
            <c:numRef>
              <c:f>[2]DES!$L$3:$L$87</c:f>
              <c:numCache>
                <c:formatCode>_(* #,##0.00_);_(* \(#,##0.00\);_(* "-"??_);_(@_)</c:formatCode>
                <c:ptCount val="85"/>
                <c:pt idx="0">
                  <c:v>23004114.650548957</c:v>
                </c:pt>
                <c:pt idx="1">
                  <c:v>102530554.71028857</c:v>
                </c:pt>
                <c:pt idx="2">
                  <c:v>21907376.145407427</c:v>
                </c:pt>
                <c:pt idx="3">
                  <c:v>4443258.854381769</c:v>
                </c:pt>
                <c:pt idx="4">
                  <c:v>2997556.5069282791</c:v>
                </c:pt>
                <c:pt idx="5">
                  <c:v>3398720.7505346076</c:v>
                </c:pt>
                <c:pt idx="6">
                  <c:v>3461611.2169502825</c:v>
                </c:pt>
                <c:pt idx="7">
                  <c:v>2341862.8451772593</c:v>
                </c:pt>
                <c:pt idx="8">
                  <c:v>629022.82608935959</c:v>
                </c:pt>
                <c:pt idx="9">
                  <c:v>6114457.1841564253</c:v>
                </c:pt>
                <c:pt idx="10">
                  <c:v>1520043.8158470034</c:v>
                </c:pt>
                <c:pt idx="11">
                  <c:v>4242392.63132881</c:v>
                </c:pt>
                <c:pt idx="12">
                  <c:v>2554545.7215484683</c:v>
                </c:pt>
                <c:pt idx="13">
                  <c:v>3470491.0819236999</c:v>
                </c:pt>
                <c:pt idx="14">
                  <c:v>1167706.0641766128</c:v>
                </c:pt>
                <c:pt idx="15">
                  <c:v>972107.22344615916</c:v>
                </c:pt>
                <c:pt idx="16">
                  <c:v>744416.02788751968</c:v>
                </c:pt>
                <c:pt idx="17">
                  <c:v>1614914.7598053948</c:v>
                </c:pt>
                <c:pt idx="18">
                  <c:v>635932.15888394322</c:v>
                </c:pt>
                <c:pt idx="19">
                  <c:v>1222761.2363580691</c:v>
                </c:pt>
                <c:pt idx="20">
                  <c:v>729009.22138659318</c:v>
                </c:pt>
                <c:pt idx="21">
                  <c:v>1324107.083238804</c:v>
                </c:pt>
                <c:pt idx="22">
                  <c:v>1863663.499627233</c:v>
                </c:pt>
                <c:pt idx="23">
                  <c:v>593613.58096780954</c:v>
                </c:pt>
                <c:pt idx="24">
                  <c:v>724387.69386346475</c:v>
                </c:pt>
                <c:pt idx="25">
                  <c:v>661842.00597386865</c:v>
                </c:pt>
                <c:pt idx="26">
                  <c:v>877001.73113126529</c:v>
                </c:pt>
                <c:pt idx="27">
                  <c:v>593712.16635396017</c:v>
                </c:pt>
                <c:pt idx="28">
                  <c:v>571302.59792630316</c:v>
                </c:pt>
                <c:pt idx="29">
                  <c:v>553169.20249640511</c:v>
                </c:pt>
                <c:pt idx="30">
                  <c:v>469200.80399529974</c:v>
                </c:pt>
                <c:pt idx="31">
                  <c:v>1200293.8478238303</c:v>
                </c:pt>
                <c:pt idx="32">
                  <c:v>447800.31914338277</c:v>
                </c:pt>
                <c:pt idx="33">
                  <c:v>459477.02189152548</c:v>
                </c:pt>
                <c:pt idx="34">
                  <c:v>871650.84419093071</c:v>
                </c:pt>
                <c:pt idx="35">
                  <c:v>679195.76337252196</c:v>
                </c:pt>
                <c:pt idx="36">
                  <c:v>435180.47586994694</c:v>
                </c:pt>
                <c:pt idx="37">
                  <c:v>1344586.15664996</c:v>
                </c:pt>
                <c:pt idx="38">
                  <c:v>336642.05229346117</c:v>
                </c:pt>
                <c:pt idx="39">
                  <c:v>543608.95847473573</c:v>
                </c:pt>
                <c:pt idx="40">
                  <c:v>293883.80371447164</c:v>
                </c:pt>
                <c:pt idx="41">
                  <c:v>230274.20123970933</c:v>
                </c:pt>
                <c:pt idx="42">
                  <c:v>227293.86665434547</c:v>
                </c:pt>
                <c:pt idx="43">
                  <c:v>215433.73833160353</c:v>
                </c:pt>
                <c:pt idx="44">
                  <c:v>153800.95208355217</c:v>
                </c:pt>
                <c:pt idx="45">
                  <c:v>415088.25271756895</c:v>
                </c:pt>
                <c:pt idx="46">
                  <c:v>244300.11710926896</c:v>
                </c:pt>
                <c:pt idx="47">
                  <c:v>231900.27740170836</c:v>
                </c:pt>
                <c:pt idx="48">
                  <c:v>421930.74778755975</c:v>
                </c:pt>
                <c:pt idx="49">
                  <c:v>150707.03012872254</c:v>
                </c:pt>
                <c:pt idx="50">
                  <c:v>158086.93851775661</c:v>
                </c:pt>
                <c:pt idx="51">
                  <c:v>1376539.9909008411</c:v>
                </c:pt>
                <c:pt idx="52">
                  <c:v>79290.410826423496</c:v>
                </c:pt>
                <c:pt idx="53">
                  <c:v>432795.74239354278</c:v>
                </c:pt>
                <c:pt idx="54">
                  <c:v>188097.26306818737</c:v>
                </c:pt>
                <c:pt idx="55" formatCode="_(* #,##0.00_);_(* \(#,##0.00\);_(* &quot;-&quot;??_);_(@_)">
                  <c:v>95290.270655015731</c:v>
                </c:pt>
                <c:pt idx="56" formatCode="_(* #,##0.00_);_(* \(#,##0.00\);_(* &quot;-&quot;??_);_(@_)">
                  <c:v>166895.04712574594</c:v>
                </c:pt>
                <c:pt idx="57" formatCode="_(* #,##0.00_);_(* \(#,##0.00\);_(* &quot;-&quot;??_);_(@_)">
                  <c:v>188505.90142536216</c:v>
                </c:pt>
                <c:pt idx="58" formatCode="_(* #,##0.00_);_(* \(#,##0.00\);_(* &quot;-&quot;??_);_(@_)">
                  <c:v>116748.06815419509</c:v>
                </c:pt>
                <c:pt idx="59" formatCode="_(* #,##0.00_);_(* \(#,##0.00\);_(* &quot;-&quot;??_);_(@_)">
                  <c:v>121778.0328481473</c:v>
                </c:pt>
                <c:pt idx="60" formatCode="_(* #,##0.00_);_(* \(#,##0.00\);_(* &quot;-&quot;??_);_(@_)">
                  <c:v>113751.9401406978</c:v>
                </c:pt>
                <c:pt idx="61" formatCode="_(* #,##0.00_);_(* \(#,##0.00\);_(* &quot;-&quot;??_);_(@_)">
                  <c:v>90661.62156642435</c:v>
                </c:pt>
                <c:pt idx="62" formatCode="_(* #,##0.00_);_(* \(#,##0.00\);_(* &quot;-&quot;??_);_(@_)">
                  <c:v>96439.419473488364</c:v>
                </c:pt>
                <c:pt idx="63" formatCode="_(* #,##0.00_);_(* \(#,##0.00\);_(* &quot;-&quot;??_);_(@_)">
                  <c:v>121834.29636670335</c:v>
                </c:pt>
                <c:pt idx="64" formatCode="_(* #,##0.00_);_(* \(#,##0.00\);_(* &quot;-&quot;??_);_(@_)">
                  <c:v>322160.2389854202</c:v>
                </c:pt>
                <c:pt idx="65" formatCode="_(* #,##0.00_);_(* \(#,##0.00\);_(* &quot;-&quot;??_);_(@_)">
                  <c:v>110421.82984306668</c:v>
                </c:pt>
                <c:pt idx="66" formatCode="_(* #,##0.00_);_(* \(#,##0.00\);_(* &quot;-&quot;??_);_(@_)">
                  <c:v>181085.68986227669</c:v>
                </c:pt>
                <c:pt idx="67" formatCode="_(* #,##0.00_);_(* \(#,##0.00\);_(* &quot;-&quot;??_);_(@_)">
                  <c:v>97653.182601818931</c:v>
                </c:pt>
                <c:pt idx="68" formatCode="_(* #,##0.00_);_(* \(#,##0.00\);_(* &quot;-&quot;??_);_(@_)">
                  <c:v>72545.116623408117</c:v>
                </c:pt>
                <c:pt idx="69" formatCode="_(* #,##0.00_);_(* \(#,##0.00\);_(* &quot;-&quot;??_);_(@_)">
                  <c:v>66713.739160313955</c:v>
                </c:pt>
                <c:pt idx="70" formatCode="_(* #,##0.00_);_(* \(#,##0.00\);_(* &quot;-&quot;??_);_(@_)">
                  <c:v>112650.23649191971</c:v>
                </c:pt>
                <c:pt idx="71" formatCode="_(* #,##0.00_);_(* \(#,##0.00\);_(* &quot;-&quot;??_);_(@_)">
                  <c:v>59448.230195481898</c:v>
                </c:pt>
                <c:pt idx="72" formatCode="_(* #,##0.00_);_(* \(#,##0.00\);_(* &quot;-&quot;??_);_(@_)">
                  <c:v>51641.328400045888</c:v>
                </c:pt>
                <c:pt idx="73" formatCode="_(* #,##0.00_);_(* \(#,##0.00\);_(* &quot;-&quot;??_);_(@_)">
                  <c:v>246609.00494890264</c:v>
                </c:pt>
                <c:pt idx="74" formatCode="_(* #,##0.00_);_(* \(#,##0.00\);_(* &quot;-&quot;??_);_(@_)">
                  <c:v>102728.62254074025</c:v>
                </c:pt>
                <c:pt idx="75" formatCode="_(* #,##0.00_);_(* \(#,##0.00\);_(* &quot;-&quot;??_);_(@_)">
                  <c:v>150204.12416322908</c:v>
                </c:pt>
                <c:pt idx="76" formatCode="_(* #,##0.00_);_(* \(#,##0.00\);_(* &quot;-&quot;??_);_(@_)">
                  <c:v>123091.25866213437</c:v>
                </c:pt>
                <c:pt idx="77" formatCode="_(* #,##0.00_);_(* \(#,##0.00\);_(* &quot;-&quot;??_);_(@_)">
                  <c:v>50272.508770014421</c:v>
                </c:pt>
                <c:pt idx="78" formatCode="_(* #,##0.00_);_(* \(#,##0.00\);_(* &quot;-&quot;??_);_(@_)">
                  <c:v>29956.276238590021</c:v>
                </c:pt>
                <c:pt idx="79" formatCode="_(* #,##0.00_);_(* \(#,##0.00\);_(* &quot;-&quot;??_);_(@_)">
                  <c:v>2063.9226673696248</c:v>
                </c:pt>
                <c:pt idx="80" formatCode="General">
                  <c:v>23968.376093810741</c:v>
                </c:pt>
                <c:pt idx="81" formatCode="General">
                  <c:v>13924.561504971207</c:v>
                </c:pt>
                <c:pt idx="82" formatCode="General">
                  <c:v>3.0555401763361822</c:v>
                </c:pt>
                <c:pt idx="83" formatCode="General">
                  <c:v>12.058898999844413</c:v>
                </c:pt>
                <c:pt idx="84" formatCode="General">
                  <c:v>1.0185133921120608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155-3F00-4275-B80F-0F5A0A3C9B0C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1513</xdr:colOff>
      <xdr:row>41</xdr:row>
      <xdr:rowOff>88292</xdr:rowOff>
    </xdr:from>
    <xdr:to>
      <xdr:col>6</xdr:col>
      <xdr:colOff>957874</xdr:colOff>
      <xdr:row>69</xdr:row>
      <xdr:rowOff>128108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62DB8F-DC5D-42A5-9CFE-00BC9D081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70</xdr:row>
      <xdr:rowOff>34269</xdr:rowOff>
    </xdr:from>
    <xdr:to>
      <xdr:col>6</xdr:col>
      <xdr:colOff>959556</xdr:colOff>
      <xdr:row>94</xdr:row>
      <xdr:rowOff>156927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561810-BBD9-4AD5-A01C-9D2268E89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1041702</xdr:colOff>
      <xdr:row>87</xdr:row>
      <xdr:rowOff>136071</xdr:rowOff>
    </xdr:from>
    <xdr:to>
      <xdr:col>12</xdr:col>
      <xdr:colOff>215726</xdr:colOff>
      <xdr:row>113</xdr:row>
      <xdr:rowOff>22491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8AF9C3-59F6-48F5-973F-B0CF59B15B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ZACK%20DATA\DATA%20EKSPOR%20IMPOR%20DOMESTIK\2025\EKSPOR%202025%20(Recovered).xlsx" TargetMode="External"/><Relationship Id="rId1" Type="http://schemas.openxmlformats.org/officeDocument/2006/relationships/externalLinkPath" Target="EKSPOR%202025%20(Recovered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ZACK%20DATA\DATA%20EKSPOR%20IMPOR%20DOMESTIK\2025\EKSPOR%202025.xlsx" TargetMode="External"/><Relationship Id="rId1" Type="http://schemas.openxmlformats.org/officeDocument/2006/relationships/externalLinkPath" Target="EKSPO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-des"/>
      <sheetName val="JAN"/>
      <sheetName val="JAN-MAR"/>
      <sheetName val="JAN-APRIL"/>
      <sheetName val="JAN-MEI"/>
      <sheetName val="JAN-JUNI"/>
      <sheetName val="JAN-JUL"/>
      <sheetName val="JAN-AGST"/>
      <sheetName val="feb"/>
      <sheetName val="Maret"/>
      <sheetName val="April"/>
      <sheetName val="Mei"/>
      <sheetName val="JUNI"/>
      <sheetName val="JULI"/>
      <sheetName val="AGST"/>
      <sheetName val="SEPT"/>
      <sheetName val="OKT"/>
      <sheetName val="JAN-SEPT"/>
      <sheetName val="JAN-OKT"/>
      <sheetName val="NOV"/>
      <sheetName val="DES"/>
      <sheetName val="JAN-NOV"/>
      <sheetName val="Sheet6"/>
      <sheetName val="perbandingan y-y"/>
      <sheetName val="Sheet5"/>
      <sheetName val="DATA ALL"/>
      <sheetName val="REKAP"/>
      <sheetName val="UD"/>
      <sheetName val="Sheet4"/>
      <sheetName val="perbandingan"/>
      <sheetName val="Sheet2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F3" t="str">
            <v>UDANG</v>
          </cell>
          <cell r="G3">
            <v>53794881.842160702</v>
          </cell>
          <cell r="J3" t="str">
            <v>CHINA</v>
          </cell>
          <cell r="K3">
            <v>12503952.145999994</v>
          </cell>
          <cell r="L3">
            <v>23269991.565882042</v>
          </cell>
        </row>
        <row r="4">
          <cell r="B4" t="str">
            <v>IKAN LAINNYA</v>
          </cell>
          <cell r="C4">
            <v>9427158.3399999999</v>
          </cell>
          <cell r="F4" t="str">
            <v>IKAN LAINNYA</v>
          </cell>
          <cell r="G4">
            <v>25178236.802966714</v>
          </cell>
          <cell r="J4" t="str">
            <v>USA</v>
          </cell>
          <cell r="K4">
            <v>5075130.8699999973</v>
          </cell>
          <cell r="L4">
            <v>53479415.791730098</v>
          </cell>
        </row>
        <row r="5">
          <cell r="B5" t="str">
            <v>UDANG</v>
          </cell>
          <cell r="C5">
            <v>5797755.950000002</v>
          </cell>
          <cell r="F5" t="str">
            <v>IKAN TUNA</v>
          </cell>
          <cell r="G5">
            <v>14860900.97391439</v>
          </cell>
          <cell r="J5" t="str">
            <v>JAPAN</v>
          </cell>
          <cell r="K5">
            <v>3440759.8910000012</v>
          </cell>
          <cell r="L5">
            <v>21519385.260678612</v>
          </cell>
        </row>
        <row r="6">
          <cell r="B6" t="str">
            <v>IKAN TUNA</v>
          </cell>
          <cell r="C6">
            <v>4570408.07</v>
          </cell>
          <cell r="F6" t="str">
            <v>IKAN SARDINE</v>
          </cell>
          <cell r="G6">
            <v>9498310.4507417232</v>
          </cell>
          <cell r="J6" t="str">
            <v>THAILAND</v>
          </cell>
          <cell r="K6">
            <v>1599512.0100000002</v>
          </cell>
          <cell r="L6">
            <v>3986364.0584100499</v>
          </cell>
        </row>
        <row r="7">
          <cell r="B7" t="str">
            <v>RUMPUT LAUT</v>
          </cell>
          <cell r="C7">
            <v>4465446.2200000007</v>
          </cell>
          <cell r="F7" t="str">
            <v>CUMI-CUMI</v>
          </cell>
          <cell r="G7">
            <v>8831584.8682682924</v>
          </cell>
          <cell r="J7" t="str">
            <v>MALAYSIA</v>
          </cell>
          <cell r="K7">
            <v>1541175.2799999998</v>
          </cell>
          <cell r="L7">
            <v>4551186.73606971</v>
          </cell>
        </row>
        <row r="8">
          <cell r="B8" t="str">
            <v>IKAN SARDINE</v>
          </cell>
          <cell r="C8">
            <v>3824116.084999999</v>
          </cell>
          <cell r="F8" t="str">
            <v>KEPITING/RAJUNGAN</v>
          </cell>
          <cell r="G8">
            <v>8670578.2452352811</v>
          </cell>
          <cell r="J8" t="str">
            <v>BANGLADESH</v>
          </cell>
          <cell r="K8">
            <v>1300000</v>
          </cell>
          <cell r="L8">
            <v>1234109.8862785082</v>
          </cell>
        </row>
        <row r="9">
          <cell r="B9" t="str">
            <v>PAKAN IKAN</v>
          </cell>
          <cell r="C9">
            <v>1922211.7</v>
          </cell>
          <cell r="F9" t="str">
            <v>VALUE ADDED</v>
          </cell>
          <cell r="G9">
            <v>8434097.5418294929</v>
          </cell>
          <cell r="J9" t="str">
            <v>VIETNAM</v>
          </cell>
          <cell r="K9">
            <v>1059461.1600000001</v>
          </cell>
          <cell r="L9">
            <v>3301756.429422257</v>
          </cell>
        </row>
        <row r="10">
          <cell r="B10" t="str">
            <v>CUMI-CUMI</v>
          </cell>
          <cell r="C10">
            <v>1712559.78</v>
          </cell>
          <cell r="F10" t="str">
            <v>RUMPUT LAUT</v>
          </cell>
          <cell r="G10">
            <v>6094147.279931942</v>
          </cell>
          <cell r="J10" t="str">
            <v>SINGAPORE</v>
          </cell>
          <cell r="K10">
            <v>869633.24999999988</v>
          </cell>
          <cell r="L10">
            <v>3265552.2080050935</v>
          </cell>
        </row>
        <row r="11">
          <cell r="B11" t="str">
            <v>VALUE ADDED</v>
          </cell>
          <cell r="C11">
            <v>1698121.5999999994</v>
          </cell>
          <cell r="F11" t="str">
            <v>IKAN KAKAP</v>
          </cell>
          <cell r="G11">
            <v>5295647.879897207</v>
          </cell>
          <cell r="J11" t="str">
            <v>KOREA (SOUTH)</v>
          </cell>
          <cell r="K11">
            <v>617193.19999999995</v>
          </cell>
          <cell r="L11">
            <v>1657193.8574905794</v>
          </cell>
        </row>
        <row r="12">
          <cell r="B12" t="str">
            <v>IKAN KAKAP</v>
          </cell>
          <cell r="C12">
            <v>710151.96000000008</v>
          </cell>
          <cell r="F12" t="str">
            <v>LAIN-LAIN</v>
          </cell>
          <cell r="G12">
            <v>5163071.2370304558</v>
          </cell>
          <cell r="J12" t="str">
            <v>HONG KONG</v>
          </cell>
          <cell r="K12">
            <v>611689.93500000017</v>
          </cell>
          <cell r="L12">
            <v>2820474.5426221485</v>
          </cell>
        </row>
        <row r="13">
          <cell r="B13" t="str">
            <v>LAIN-LAIN</v>
          </cell>
          <cell r="C13">
            <v>671225.80099999998</v>
          </cell>
          <cell r="F13" t="str">
            <v>PAKAN IKAN</v>
          </cell>
          <cell r="G13">
            <v>1914363.3736241611</v>
          </cell>
          <cell r="J13" t="str">
            <v>AUSTRALIA</v>
          </cell>
          <cell r="K13">
            <v>579677.72</v>
          </cell>
          <cell r="L13">
            <v>3389922.3790260842</v>
          </cell>
        </row>
        <row r="14">
          <cell r="B14" t="str">
            <v>IKAN MACKEREL</v>
          </cell>
          <cell r="C14">
            <v>546413.75999999989</v>
          </cell>
          <cell r="F14" t="str">
            <v>IKAN KERAPU</v>
          </cell>
          <cell r="G14">
            <v>1887562.8369354568</v>
          </cell>
          <cell r="J14" t="str">
            <v>NETHERLANDS</v>
          </cell>
          <cell r="K14">
            <v>451590.18</v>
          </cell>
          <cell r="L14">
            <v>2220144.9731560354</v>
          </cell>
        </row>
        <row r="15">
          <cell r="B15" t="str">
            <v>KEPITING/RAJUNGAN</v>
          </cell>
          <cell r="C15">
            <v>421926.67099999997</v>
          </cell>
          <cell r="F15" t="str">
            <v>IKAN MACKEREL</v>
          </cell>
          <cell r="G15">
            <v>1660146.4839616867</v>
          </cell>
          <cell r="J15" t="str">
            <v>TAIWAN</v>
          </cell>
          <cell r="K15">
            <v>434117.8</v>
          </cell>
          <cell r="L15">
            <v>3230354.9601585176</v>
          </cell>
        </row>
        <row r="16">
          <cell r="B16" t="str">
            <v>IKAN KERAPU</v>
          </cell>
          <cell r="C16">
            <v>321364.86999999994</v>
          </cell>
          <cell r="F16" t="str">
            <v>TERI</v>
          </cell>
          <cell r="G16">
            <v>613908.89375069423</v>
          </cell>
          <cell r="J16" t="str">
            <v>SENEGAL</v>
          </cell>
          <cell r="K16">
            <v>372266.4</v>
          </cell>
          <cell r="L16">
            <v>885740.59778040973</v>
          </cell>
        </row>
        <row r="17">
          <cell r="B17" t="str">
            <v>IKAN BANDENG UMPAN</v>
          </cell>
          <cell r="C17">
            <v>198000</v>
          </cell>
          <cell r="F17" t="str">
            <v>BEKICOT</v>
          </cell>
          <cell r="G17">
            <v>477508.55568837776</v>
          </cell>
          <cell r="J17" t="str">
            <v>CONGO, DEMOCRATIC REPUBLIC</v>
          </cell>
          <cell r="K17">
            <v>342500</v>
          </cell>
          <cell r="L17">
            <v>885061.61952300591</v>
          </cell>
        </row>
        <row r="18">
          <cell r="B18" t="str">
            <v>IKAN LELE</v>
          </cell>
          <cell r="C18">
            <v>141706</v>
          </cell>
          <cell r="F18" t="str">
            <v>IKAN LELE</v>
          </cell>
          <cell r="G18">
            <v>287702.14677278214</v>
          </cell>
          <cell r="J18" t="str">
            <v>GHANA</v>
          </cell>
          <cell r="K18">
            <v>319953.90000000002</v>
          </cell>
          <cell r="L18">
            <v>697227.42975083354</v>
          </cell>
        </row>
        <row r="19">
          <cell r="B19" t="str">
            <v>IKAN BANDENG</v>
          </cell>
          <cell r="C19">
            <v>132210.29999999999</v>
          </cell>
          <cell r="F19" t="str">
            <v>IKAN BANDENG UMPAN</v>
          </cell>
          <cell r="G19">
            <v>278880.18580638093</v>
          </cell>
          <cell r="J19" t="str">
            <v>CAMEROON</v>
          </cell>
          <cell r="K19">
            <v>282273.45</v>
          </cell>
          <cell r="L19">
            <v>704350.90098230483</v>
          </cell>
        </row>
        <row r="20">
          <cell r="B20" t="str">
            <v>BEKICOT</v>
          </cell>
          <cell r="C20">
            <v>118121.5</v>
          </cell>
          <cell r="F20" t="str">
            <v>KERANG2AN</v>
          </cell>
          <cell r="G20">
            <v>234071.41026758359</v>
          </cell>
          <cell r="J20" t="str">
            <v>SAUDI ARABIA</v>
          </cell>
          <cell r="K20">
            <v>278551</v>
          </cell>
          <cell r="L20">
            <v>791327.95579455432</v>
          </cell>
        </row>
        <row r="21">
          <cell r="B21" t="str">
            <v>TERI</v>
          </cell>
          <cell r="C21">
            <v>57043</v>
          </cell>
          <cell r="F21" t="str">
            <v>IKAN SALMON</v>
          </cell>
          <cell r="G21">
            <v>226734.00951949597</v>
          </cell>
          <cell r="J21" t="str">
            <v>FRANCE</v>
          </cell>
          <cell r="K21">
            <v>269814.44999999995</v>
          </cell>
          <cell r="L21">
            <v>1329428.3375479153</v>
          </cell>
        </row>
        <row r="22">
          <cell r="B22" t="str">
            <v>KERANG2AN</v>
          </cell>
          <cell r="C22">
            <v>53055.17</v>
          </cell>
          <cell r="F22" t="str">
            <v>IKAN BANDENG</v>
          </cell>
          <cell r="G22">
            <v>225227.51244390482</v>
          </cell>
          <cell r="J22" t="str">
            <v>CANADA</v>
          </cell>
          <cell r="K22">
            <v>251663.11</v>
          </cell>
          <cell r="L22">
            <v>1931403.6560334053</v>
          </cell>
        </row>
        <row r="23">
          <cell r="B23" t="str">
            <v>IKAN SALMON</v>
          </cell>
          <cell r="C23">
            <v>40987.119999999995</v>
          </cell>
          <cell r="F23" t="str">
            <v>PAHA KATAK</v>
          </cell>
          <cell r="G23">
            <v>144098.50570299916</v>
          </cell>
          <cell r="J23" t="str">
            <v>ITALY</v>
          </cell>
          <cell r="K23">
            <v>235737.8</v>
          </cell>
          <cell r="L23">
            <v>2131307.0954814428</v>
          </cell>
        </row>
        <row r="24">
          <cell r="B24" t="str">
            <v>MINYAK IKAN</v>
          </cell>
          <cell r="C24">
            <v>40000.600000000006</v>
          </cell>
          <cell r="F24" t="str">
            <v>KORAL</v>
          </cell>
          <cell r="G24">
            <v>104296.64358784039</v>
          </cell>
          <cell r="J24" t="str">
            <v>EQUATORIAL GUINEA</v>
          </cell>
          <cell r="K24">
            <v>202877.9</v>
          </cell>
          <cell r="L24">
            <v>528754.2406868441</v>
          </cell>
        </row>
        <row r="25">
          <cell r="B25" t="str">
            <v>IKAN NILA</v>
          </cell>
          <cell r="C25">
            <v>20540.400000000001</v>
          </cell>
          <cell r="F25" t="str">
            <v>IKAN NILA</v>
          </cell>
          <cell r="G25">
            <v>80379.521403092003</v>
          </cell>
          <cell r="J25" t="str">
            <v>TOGO</v>
          </cell>
          <cell r="K25">
            <v>195704.59999999998</v>
          </cell>
          <cell r="L25">
            <v>497266.11336343881</v>
          </cell>
        </row>
        <row r="26">
          <cell r="B26" t="str">
            <v>PAHA KATAK</v>
          </cell>
          <cell r="C26">
            <v>14592</v>
          </cell>
          <cell r="F26" t="str">
            <v>MINYAK IKAN</v>
          </cell>
          <cell r="G26">
            <v>56167.719480074775</v>
          </cell>
          <cell r="J26" t="str">
            <v>TANZANIA</v>
          </cell>
          <cell r="K26">
            <v>184085.30000000002</v>
          </cell>
          <cell r="L26">
            <v>532844.0751241442</v>
          </cell>
        </row>
        <row r="27">
          <cell r="F27" t="str">
            <v>IKAN HIAS</v>
          </cell>
          <cell r="G27">
            <v>26581.869490771885</v>
          </cell>
          <cell r="J27" t="str">
            <v>GABON</v>
          </cell>
          <cell r="K27">
            <v>182221.95</v>
          </cell>
          <cell r="L27">
            <v>447317.44491666369</v>
          </cell>
        </row>
        <row r="28">
          <cell r="F28" t="str">
            <v>TANAMAN HIAS</v>
          </cell>
          <cell r="G28">
            <v>213.35507605347334</v>
          </cell>
          <cell r="J28" t="str">
            <v>COTE D IVOIRE (IVORY COAST)</v>
          </cell>
          <cell r="K28">
            <v>181257.60000000001</v>
          </cell>
          <cell r="L28">
            <v>455365.4393687605</v>
          </cell>
        </row>
        <row r="29">
          <cell r="F29" t="str">
            <v>ALGA</v>
          </cell>
          <cell r="G29">
            <v>7.1917441366339334</v>
          </cell>
          <cell r="J29" t="str">
            <v>CONGO</v>
          </cell>
          <cell r="K29">
            <v>181189</v>
          </cell>
          <cell r="L29">
            <v>474892.12413760647</v>
          </cell>
        </row>
        <row r="30">
          <cell r="J30" t="str">
            <v>GREECE</v>
          </cell>
          <cell r="K30">
            <v>179287</v>
          </cell>
          <cell r="L30">
            <v>1330458.6704428436</v>
          </cell>
        </row>
        <row r="31">
          <cell r="J31" t="str">
            <v>UNITED ARAB EMIRATES</v>
          </cell>
          <cell r="K31">
            <v>159064.57</v>
          </cell>
          <cell r="L31">
            <v>368325.89123659243</v>
          </cell>
        </row>
        <row r="32">
          <cell r="J32" t="str">
            <v>SPAIN</v>
          </cell>
          <cell r="K32">
            <v>157130.54</v>
          </cell>
          <cell r="L32">
            <v>896859.18518234126</v>
          </cell>
        </row>
        <row r="33">
          <cell r="J33" t="str">
            <v>UNITED KINGDOM</v>
          </cell>
          <cell r="K33">
            <v>153974.1</v>
          </cell>
          <cell r="L33">
            <v>675425.07187279267</v>
          </cell>
        </row>
        <row r="34">
          <cell r="J34" t="str">
            <v>JORDAN</v>
          </cell>
          <cell r="K34">
            <v>133840</v>
          </cell>
          <cell r="L34">
            <v>416456.93343286868</v>
          </cell>
        </row>
        <row r="35">
          <cell r="J35" t="str">
            <v>BELGIUM</v>
          </cell>
          <cell r="K35">
            <v>131733.5</v>
          </cell>
          <cell r="L35">
            <v>919687.6743585926</v>
          </cell>
        </row>
        <row r="36">
          <cell r="J36" t="str">
            <v>PHILIPPINES</v>
          </cell>
          <cell r="K36">
            <v>124592.23999999999</v>
          </cell>
          <cell r="L36">
            <v>291218.95592248335</v>
          </cell>
        </row>
        <row r="37">
          <cell r="J37" t="str">
            <v>KUWAIT</v>
          </cell>
          <cell r="K37">
            <v>123694.76</v>
          </cell>
          <cell r="L37">
            <v>433024.68055561063</v>
          </cell>
        </row>
        <row r="38">
          <cell r="J38" t="str">
            <v>TIMOR LESTE</v>
          </cell>
          <cell r="K38">
            <v>114945</v>
          </cell>
          <cell r="L38">
            <v>262098.6813493635</v>
          </cell>
        </row>
        <row r="39">
          <cell r="J39" t="str">
            <v>GAMBIA</v>
          </cell>
          <cell r="K39">
            <v>111537.1</v>
          </cell>
          <cell r="L39">
            <v>252382.92682578936</v>
          </cell>
        </row>
        <row r="40">
          <cell r="J40" t="str">
            <v>TURKEY</v>
          </cell>
          <cell r="K40">
            <v>105243</v>
          </cell>
          <cell r="L40">
            <v>437640.55080273829</v>
          </cell>
        </row>
        <row r="41">
          <cell r="J41" t="str">
            <v>LEBANON</v>
          </cell>
          <cell r="K41">
            <v>101792.75</v>
          </cell>
          <cell r="L41">
            <v>296911.83492233523</v>
          </cell>
        </row>
        <row r="42">
          <cell r="J42" t="str">
            <v>SIERRA LEONE</v>
          </cell>
          <cell r="K42">
            <v>100625</v>
          </cell>
          <cell r="L42">
            <v>231632.91774920895</v>
          </cell>
        </row>
        <row r="43">
          <cell r="J43" t="str">
            <v>REUNION</v>
          </cell>
          <cell r="K43">
            <v>97767</v>
          </cell>
          <cell r="L43">
            <v>529602.42941671703</v>
          </cell>
        </row>
        <row r="44">
          <cell r="J44" t="str">
            <v>CHILE</v>
          </cell>
          <cell r="K44">
            <v>90000</v>
          </cell>
          <cell r="L44">
            <v>383697.21812669036</v>
          </cell>
        </row>
        <row r="45">
          <cell r="J45" t="str">
            <v>BURKINA FASO</v>
          </cell>
          <cell r="K45">
            <v>89977.24</v>
          </cell>
          <cell r="L45">
            <v>223947.95942470702</v>
          </cell>
        </row>
        <row r="46">
          <cell r="J46" t="str">
            <v>MADAGASCAR</v>
          </cell>
          <cell r="K46">
            <v>82125</v>
          </cell>
          <cell r="L46">
            <v>147655.49680526543</v>
          </cell>
        </row>
        <row r="47">
          <cell r="J47" t="str">
            <v>MAURITANIA</v>
          </cell>
          <cell r="K47">
            <v>81750</v>
          </cell>
          <cell r="L47">
            <v>146981.27079245599</v>
          </cell>
        </row>
        <row r="48">
          <cell r="J48" t="str">
            <v>ALBANIA</v>
          </cell>
          <cell r="K48">
            <v>79762.5</v>
          </cell>
          <cell r="L48">
            <v>205861.75547573707</v>
          </cell>
        </row>
        <row r="49">
          <cell r="J49" t="str">
            <v>PORTUGAL</v>
          </cell>
          <cell r="K49">
            <v>66960.5</v>
          </cell>
          <cell r="L49">
            <v>304285.0080050705</v>
          </cell>
        </row>
        <row r="50">
          <cell r="J50" t="str">
            <v>PUERTO RICO</v>
          </cell>
          <cell r="K50">
            <v>65898.100000000006</v>
          </cell>
          <cell r="L50">
            <v>698402.9185919615</v>
          </cell>
        </row>
        <row r="51">
          <cell r="J51" t="str">
            <v>INDIA</v>
          </cell>
          <cell r="K51">
            <v>63530</v>
          </cell>
          <cell r="L51">
            <v>306100.07561279921</v>
          </cell>
        </row>
        <row r="52">
          <cell r="J52" t="str">
            <v>MAURITIUS</v>
          </cell>
          <cell r="K52">
            <v>62842</v>
          </cell>
          <cell r="L52">
            <v>157149.22354873811</v>
          </cell>
        </row>
        <row r="53">
          <cell r="J53" t="str">
            <v>DENMARK</v>
          </cell>
          <cell r="K53">
            <v>62280</v>
          </cell>
          <cell r="L53">
            <v>137774.35679827241</v>
          </cell>
        </row>
        <row r="54">
          <cell r="J54" t="str">
            <v>LIBYA</v>
          </cell>
          <cell r="K54">
            <v>60939</v>
          </cell>
          <cell r="L54">
            <v>150406.33893752791</v>
          </cell>
        </row>
        <row r="55">
          <cell r="J55" t="str">
            <v>BENIN</v>
          </cell>
          <cell r="K55">
            <v>60937.5</v>
          </cell>
          <cell r="L55">
            <v>109561.72708153258</v>
          </cell>
        </row>
        <row r="56">
          <cell r="J56" t="str">
            <v>ANGOLA</v>
          </cell>
          <cell r="K56">
            <v>60562.5</v>
          </cell>
          <cell r="L56">
            <v>149974.58617415716</v>
          </cell>
        </row>
        <row r="57">
          <cell r="J57" t="str">
            <v>COMOROS</v>
          </cell>
          <cell r="K57">
            <v>60316.3</v>
          </cell>
          <cell r="L57">
            <v>148265.84814390133</v>
          </cell>
        </row>
        <row r="58">
          <cell r="J58" t="str">
            <v>KENYA</v>
          </cell>
          <cell r="K58">
            <v>60000</v>
          </cell>
          <cell r="L58">
            <v>156126.82003116971</v>
          </cell>
        </row>
        <row r="59">
          <cell r="J59" t="str">
            <v>RUSSIA</v>
          </cell>
          <cell r="K59">
            <v>60000</v>
          </cell>
          <cell r="L59">
            <v>366370.37000456807</v>
          </cell>
        </row>
        <row r="60">
          <cell r="J60" t="str">
            <v>IRAQ</v>
          </cell>
          <cell r="K60">
            <v>52768.2</v>
          </cell>
          <cell r="L60">
            <v>151516.63359922692</v>
          </cell>
        </row>
        <row r="61">
          <cell r="J61" t="str">
            <v>IRELAND</v>
          </cell>
          <cell r="K61">
            <v>49516.600000000006</v>
          </cell>
          <cell r="L61">
            <v>253281.56228463349</v>
          </cell>
        </row>
        <row r="62">
          <cell r="J62" t="str">
            <v>GERMANY</v>
          </cell>
          <cell r="K62">
            <v>46802.625</v>
          </cell>
          <cell r="L62">
            <v>135890.3020253258</v>
          </cell>
        </row>
        <row r="63">
          <cell r="J63" t="str">
            <v>GUINEA</v>
          </cell>
          <cell r="K63">
            <v>40500.875</v>
          </cell>
          <cell r="L63">
            <v>72822.402503532445</v>
          </cell>
        </row>
        <row r="64">
          <cell r="J64" t="str">
            <v>CROATIA (HRVATSKA)</v>
          </cell>
          <cell r="K64">
            <v>38750</v>
          </cell>
          <cell r="L64">
            <v>104498.36991328087</v>
          </cell>
        </row>
        <row r="65">
          <cell r="J65" t="str">
            <v>SEYCHELLES</v>
          </cell>
          <cell r="K65">
            <v>26500</v>
          </cell>
          <cell r="L65">
            <v>39938.009802515066</v>
          </cell>
        </row>
        <row r="66">
          <cell r="J66" t="str">
            <v>DOMINICAN REPUBLIC</v>
          </cell>
          <cell r="K66">
            <v>22243.489999999998</v>
          </cell>
          <cell r="L66">
            <v>202080.09932086326</v>
          </cell>
        </row>
        <row r="67">
          <cell r="J67" t="str">
            <v>NIGERIA</v>
          </cell>
          <cell r="K67">
            <v>20253.025000000001</v>
          </cell>
          <cell r="L67">
            <v>62230.290207132661</v>
          </cell>
        </row>
        <row r="68">
          <cell r="J68" t="str">
            <v>EGYPT</v>
          </cell>
          <cell r="K68">
            <v>20000</v>
          </cell>
          <cell r="L68">
            <v>54456.078382435793</v>
          </cell>
        </row>
        <row r="69">
          <cell r="J69" t="str">
            <v>MAYOTTE</v>
          </cell>
          <cell r="K69">
            <v>19375</v>
          </cell>
          <cell r="L69">
            <v>51037.498688855158</v>
          </cell>
        </row>
        <row r="70">
          <cell r="J70" t="str">
            <v>TRINIDAD &amp; TOBAGO</v>
          </cell>
          <cell r="K70">
            <v>17706</v>
          </cell>
          <cell r="L70">
            <v>146857.24317169964</v>
          </cell>
        </row>
        <row r="71">
          <cell r="J71" t="str">
            <v>MOZAMBIQUE</v>
          </cell>
          <cell r="K71">
            <v>16512</v>
          </cell>
          <cell r="L71">
            <v>16713.61337353726</v>
          </cell>
        </row>
        <row r="72">
          <cell r="J72" t="str">
            <v>SYRIA</v>
          </cell>
          <cell r="K72">
            <v>16320</v>
          </cell>
          <cell r="L72">
            <v>47175.885381913438</v>
          </cell>
        </row>
        <row r="73">
          <cell r="J73" t="str">
            <v>SERBIA</v>
          </cell>
          <cell r="K73">
            <v>16128</v>
          </cell>
          <cell r="L73">
            <v>36728.417099392915</v>
          </cell>
        </row>
        <row r="74">
          <cell r="J74" t="str">
            <v>SOLOMON ISLAND</v>
          </cell>
          <cell r="K74">
            <v>14496</v>
          </cell>
          <cell r="L74">
            <v>65363.964521831658</v>
          </cell>
        </row>
        <row r="75">
          <cell r="J75" t="str">
            <v>SOUTH AFRICA</v>
          </cell>
          <cell r="K75">
            <v>11040</v>
          </cell>
          <cell r="L75">
            <v>50284.675003344462</v>
          </cell>
        </row>
        <row r="76">
          <cell r="J76" t="str">
            <v>NEW ZEALAND</v>
          </cell>
          <cell r="K76">
            <v>8529</v>
          </cell>
          <cell r="L76">
            <v>29965.600569308055</v>
          </cell>
        </row>
        <row r="77">
          <cell r="J77" t="str">
            <v>QATAR</v>
          </cell>
          <cell r="K77">
            <v>567.49999999999989</v>
          </cell>
          <cell r="L77">
            <v>33880.942497726537</v>
          </cell>
        </row>
        <row r="78">
          <cell r="J78" t="str">
            <v>SLOVAKIA</v>
          </cell>
          <cell r="K78">
            <v>8</v>
          </cell>
          <cell r="L78">
            <v>95.889921821785777</v>
          </cell>
        </row>
        <row r="79">
          <cell r="J79" t="str">
            <v>UKRAINE</v>
          </cell>
          <cell r="K79">
            <v>3.4</v>
          </cell>
          <cell r="L79">
            <v>18.087596090841174</v>
          </cell>
        </row>
        <row r="80">
          <cell r="J80" t="str">
            <v>OMAN</v>
          </cell>
          <cell r="K80">
            <v>0.08</v>
          </cell>
          <cell r="L80">
            <v>1.0068441791287506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"/>
      <sheetName val="JAN OLAH"/>
      <sheetName val="JAN-MAR"/>
      <sheetName val="JAN-APRIL"/>
      <sheetName val="JAN-MEI"/>
      <sheetName val="JAN-JUNI"/>
      <sheetName val="JAN-JUL"/>
      <sheetName val="JAN-AGST"/>
      <sheetName val="feb"/>
      <sheetName val="Maret"/>
      <sheetName val="April"/>
      <sheetName val="Mei"/>
      <sheetName val="JUNI"/>
      <sheetName val="JULI"/>
      <sheetName val="AGST"/>
      <sheetName val="SEPT"/>
      <sheetName val="OKT"/>
      <sheetName val="JAN-SEPT"/>
      <sheetName val="JAN-OKT"/>
      <sheetName val="NOV"/>
      <sheetName val="DES"/>
      <sheetName val="JAN-NOV"/>
      <sheetName val="JAN-DES"/>
      <sheetName val="perbandingan y-y"/>
      <sheetName val="Sheet5"/>
      <sheetName val="DATA ALL"/>
      <sheetName val="REKAP"/>
      <sheetName val="UD"/>
      <sheetName val="Sheet4"/>
      <sheetName val="perbandingan"/>
      <sheetName val="Sheet2"/>
      <sheetName val="Sheet3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">
          <cell r="F3" t="str">
            <v>UDANG</v>
          </cell>
          <cell r="G3">
            <v>99384726.100096494</v>
          </cell>
          <cell r="J3" t="str">
            <v>CHINA</v>
          </cell>
          <cell r="K3">
            <v>11401247.629999997</v>
          </cell>
          <cell r="L3">
            <v>23004114.650548957</v>
          </cell>
        </row>
        <row r="4">
          <cell r="B4" t="str">
            <v>UDANG</v>
          </cell>
          <cell r="C4">
            <v>9939204.3000000231</v>
          </cell>
          <cell r="F4" t="str">
            <v>IKAN LAINNYA</v>
          </cell>
          <cell r="G4">
            <v>24899947.884347271</v>
          </cell>
          <cell r="J4" t="str">
            <v>USA</v>
          </cell>
          <cell r="K4">
            <v>9668201.828000024</v>
          </cell>
          <cell r="L4">
            <v>102530554.71028857</v>
          </cell>
        </row>
        <row r="5">
          <cell r="B5" t="str">
            <v>IKAN LAINNYA</v>
          </cell>
          <cell r="C5">
            <v>8993584.9500000067</v>
          </cell>
          <cell r="F5" t="str">
            <v>IKAN TUNA</v>
          </cell>
          <cell r="G5">
            <v>15586889.111589188</v>
          </cell>
          <cell r="J5" t="str">
            <v>JAPAN</v>
          </cell>
          <cell r="K5">
            <v>3086037.9819999989</v>
          </cell>
          <cell r="L5">
            <v>21907376.145407427</v>
          </cell>
        </row>
        <row r="6">
          <cell r="B6" t="str">
            <v>IKAN SARDINE</v>
          </cell>
          <cell r="C6">
            <v>4251097.334999999</v>
          </cell>
          <cell r="F6" t="str">
            <v>LAIN-LAIN</v>
          </cell>
          <cell r="G6">
            <v>11964766.823965747</v>
          </cell>
          <cell r="J6" t="str">
            <v>THAILAND</v>
          </cell>
          <cell r="K6">
            <v>1421466.75</v>
          </cell>
          <cell r="L6">
            <v>4443258.854381769</v>
          </cell>
        </row>
        <row r="7">
          <cell r="B7" t="str">
            <v>IKAN TUNA</v>
          </cell>
          <cell r="C7">
            <v>4152109.870000001</v>
          </cell>
          <cell r="F7" t="str">
            <v>IKAN SARDINE</v>
          </cell>
          <cell r="G7">
            <v>11780895.405618487</v>
          </cell>
          <cell r="J7" t="str">
            <v>VIETNAM</v>
          </cell>
          <cell r="K7">
            <v>1372313.8</v>
          </cell>
          <cell r="L7">
            <v>2997556.5069282791</v>
          </cell>
        </row>
        <row r="8">
          <cell r="B8" t="str">
            <v>RUMPUT LAUT</v>
          </cell>
          <cell r="C8">
            <v>3532476.6</v>
          </cell>
          <cell r="F8" t="str">
            <v>KEPITING/RAJUNGAN</v>
          </cell>
          <cell r="G8">
            <v>11325651.107362812</v>
          </cell>
          <cell r="J8" t="str">
            <v>MALAYSIA</v>
          </cell>
          <cell r="K8">
            <v>1031287.86</v>
          </cell>
          <cell r="L8">
            <v>3398720.7505346076</v>
          </cell>
        </row>
        <row r="9">
          <cell r="B9" t="str">
            <v>VALUE ADDED</v>
          </cell>
          <cell r="C9">
            <v>2003258.4300000004</v>
          </cell>
          <cell r="F9" t="str">
            <v>VALUE ADDED</v>
          </cell>
          <cell r="G9">
            <v>9290139.1149098258</v>
          </cell>
          <cell r="J9" t="str">
            <v>SINGAPORE</v>
          </cell>
          <cell r="K9">
            <v>915358.3</v>
          </cell>
          <cell r="L9">
            <v>3461611.2169502825</v>
          </cell>
        </row>
        <row r="10">
          <cell r="B10" t="str">
            <v>PAKAN IKAN</v>
          </cell>
          <cell r="C10">
            <v>1730416</v>
          </cell>
          <cell r="F10" t="str">
            <v>CUMI-CUMI</v>
          </cell>
          <cell r="G10">
            <v>7892911.3409075653</v>
          </cell>
          <cell r="J10" t="str">
            <v>KOREA (SOUTH)</v>
          </cell>
          <cell r="K10">
            <v>721518</v>
          </cell>
          <cell r="L10">
            <v>2341862.8451772593</v>
          </cell>
        </row>
        <row r="11">
          <cell r="B11" t="str">
            <v>CUMI-CUMI</v>
          </cell>
          <cell r="C11">
            <v>1290184.1700000002</v>
          </cell>
          <cell r="F11" t="str">
            <v>IKAN KAKAP</v>
          </cell>
          <cell r="G11">
            <v>6330297.1381972367</v>
          </cell>
          <cell r="J11" t="str">
            <v>BANGLADESH</v>
          </cell>
          <cell r="K11">
            <v>700000</v>
          </cell>
          <cell r="L11">
            <v>629022.82608935959</v>
          </cell>
        </row>
        <row r="12">
          <cell r="B12" t="str">
            <v>IKAN KAKAP</v>
          </cell>
          <cell r="C12">
            <v>1025491.1499999999</v>
          </cell>
          <cell r="F12" t="str">
            <v>RUMPUT LAUT</v>
          </cell>
          <cell r="G12">
            <v>4751498.5024468061</v>
          </cell>
          <cell r="J12" t="str">
            <v>HONG KONG</v>
          </cell>
          <cell r="K12">
            <v>689896.21099999989</v>
          </cell>
          <cell r="L12">
            <v>6114457.1841564253</v>
          </cell>
        </row>
        <row r="13">
          <cell r="B13" t="str">
            <v>LAIN-LAIN</v>
          </cell>
          <cell r="C13">
            <v>823453.07300000009</v>
          </cell>
          <cell r="F13" t="str">
            <v>IKAN KERAPU</v>
          </cell>
          <cell r="G13">
            <v>2038787.1325044124</v>
          </cell>
          <cell r="J13" t="str">
            <v>SENEGAL</v>
          </cell>
          <cell r="K13">
            <v>608043.89999999991</v>
          </cell>
          <cell r="L13">
            <v>1520043.8158470034</v>
          </cell>
        </row>
        <row r="14">
          <cell r="B14" t="str">
            <v>KEPITING/RAJUNGAN</v>
          </cell>
          <cell r="C14">
            <v>502051.54799999995</v>
          </cell>
          <cell r="F14" t="str">
            <v>IKAN MACKEREL</v>
          </cell>
          <cell r="G14">
            <v>2010664.976010324</v>
          </cell>
          <cell r="J14" t="str">
            <v>CANADA</v>
          </cell>
          <cell r="K14">
            <v>507895.21</v>
          </cell>
          <cell r="L14">
            <v>4242392.63132881</v>
          </cell>
        </row>
        <row r="15">
          <cell r="B15" t="str">
            <v>IKAN MACKEREL</v>
          </cell>
          <cell r="C15">
            <v>444550.64</v>
          </cell>
          <cell r="F15" t="str">
            <v>PAKAN IKAN</v>
          </cell>
          <cell r="G15">
            <v>1738598.3072511128</v>
          </cell>
          <cell r="J15" t="str">
            <v>NETHERLANDS</v>
          </cell>
          <cell r="K15">
            <v>496959.79999999993</v>
          </cell>
          <cell r="L15">
            <v>2554545.7215484683</v>
          </cell>
        </row>
        <row r="16">
          <cell r="B16" t="str">
            <v>IKAN KERAPU</v>
          </cell>
          <cell r="C16">
            <v>362780.52</v>
          </cell>
          <cell r="F16" t="str">
            <v>IKAN SALMON</v>
          </cell>
          <cell r="G16">
            <v>708264.39680212922</v>
          </cell>
          <cell r="J16" t="str">
            <v>AUSTRALIA</v>
          </cell>
          <cell r="K16">
            <v>470504.20999999996</v>
          </cell>
          <cell r="L16">
            <v>3470491.0819236999</v>
          </cell>
        </row>
        <row r="17">
          <cell r="B17" t="str">
            <v>MINYAK IKAN</v>
          </cell>
          <cell r="C17">
            <v>300000</v>
          </cell>
          <cell r="F17" t="str">
            <v>PAHA KATAK</v>
          </cell>
          <cell r="G17">
            <v>689031.42605696712</v>
          </cell>
          <cell r="J17" t="str">
            <v>CONGO</v>
          </cell>
          <cell r="K17">
            <v>424583</v>
          </cell>
          <cell r="L17">
            <v>1167706.0641766128</v>
          </cell>
        </row>
        <row r="18">
          <cell r="B18" t="str">
            <v>IKAN BANDENG</v>
          </cell>
          <cell r="C18">
            <v>235398.6</v>
          </cell>
          <cell r="F18" t="str">
            <v>TERI</v>
          </cell>
          <cell r="G18">
            <v>498989.66760701599</v>
          </cell>
          <cell r="J18" t="str">
            <v>CAMEROON</v>
          </cell>
          <cell r="K18">
            <v>360250.1</v>
          </cell>
          <cell r="L18">
            <v>972107.22344615916</v>
          </cell>
        </row>
        <row r="19">
          <cell r="B19" t="str">
            <v>IKAN BANDENG UMPAN</v>
          </cell>
          <cell r="C19">
            <v>220500</v>
          </cell>
          <cell r="F19" t="str">
            <v>BEKICOT</v>
          </cell>
          <cell r="G19">
            <v>487841.60518285754</v>
          </cell>
          <cell r="J19" t="str">
            <v>CHILE</v>
          </cell>
          <cell r="K19">
            <v>350002</v>
          </cell>
          <cell r="L19">
            <v>744416.02788751968</v>
          </cell>
        </row>
        <row r="20">
          <cell r="B20" t="str">
            <v>IKAN LELE</v>
          </cell>
          <cell r="C20">
            <v>204829.99999999997</v>
          </cell>
          <cell r="F20" t="str">
            <v>MINYAK IKAN</v>
          </cell>
          <cell r="G20">
            <v>415972.85184906103</v>
          </cell>
          <cell r="J20" t="str">
            <v>FRANCE</v>
          </cell>
          <cell r="K20">
            <v>340375.54999999993</v>
          </cell>
          <cell r="L20">
            <v>1614914.7598053948</v>
          </cell>
        </row>
        <row r="21">
          <cell r="B21" t="str">
            <v>BEKICOT</v>
          </cell>
          <cell r="C21">
            <v>113152.4</v>
          </cell>
          <cell r="F21" t="str">
            <v>IKAN BANDENG</v>
          </cell>
          <cell r="G21">
            <v>381354.74724988057</v>
          </cell>
          <cell r="J21" t="str">
            <v>EGYPT</v>
          </cell>
          <cell r="K21">
            <v>302264</v>
          </cell>
          <cell r="L21">
            <v>635932.15888394322</v>
          </cell>
        </row>
        <row r="22">
          <cell r="B22" t="str">
            <v>IKAN SALMON</v>
          </cell>
          <cell r="C22">
            <v>104760.28</v>
          </cell>
          <cell r="F22" t="str">
            <v>IKAN LELE</v>
          </cell>
          <cell r="G22">
            <v>379544.81318430358</v>
          </cell>
          <cell r="J22" t="str">
            <v>TAIWAN</v>
          </cell>
          <cell r="K22">
            <v>281659.64</v>
          </cell>
          <cell r="L22">
            <v>1222761.2363580691</v>
          </cell>
        </row>
        <row r="23">
          <cell r="B23" t="str">
            <v>KERANG2AN</v>
          </cell>
          <cell r="C23">
            <v>98765</v>
          </cell>
          <cell r="F23" t="str">
            <v>IKAN BANDENG UMPAN</v>
          </cell>
          <cell r="G23">
            <v>299398.13563280425</v>
          </cell>
          <cell r="J23" t="str">
            <v>TANZANIA</v>
          </cell>
          <cell r="K23">
            <v>264643.09999999998</v>
          </cell>
          <cell r="L23">
            <v>729009.22138659318</v>
          </cell>
        </row>
        <row r="24">
          <cell r="B24" t="str">
            <v>TEPUNG IKAN</v>
          </cell>
          <cell r="C24">
            <v>90560</v>
          </cell>
          <cell r="F24" t="str">
            <v>KERANG2AN</v>
          </cell>
          <cell r="G24">
            <v>275103.5041767527</v>
          </cell>
          <cell r="J24" t="str">
            <v>UNITED KINGDOM</v>
          </cell>
          <cell r="K24">
            <v>264375.92000000004</v>
          </cell>
          <cell r="L24">
            <v>1324107.083238804</v>
          </cell>
        </row>
        <row r="25">
          <cell r="B25" t="str">
            <v>PAHA KATAK</v>
          </cell>
          <cell r="C25">
            <v>79551.399999999994</v>
          </cell>
          <cell r="F25" t="str">
            <v>TEPUNG IKAN</v>
          </cell>
          <cell r="G25">
            <v>126632.13335101075</v>
          </cell>
          <cell r="J25" t="str">
            <v>ITALY</v>
          </cell>
          <cell r="K25">
            <v>253469</v>
          </cell>
          <cell r="L25">
            <v>1863663.499627233</v>
          </cell>
        </row>
        <row r="26">
          <cell r="B26" t="str">
            <v>TERI</v>
          </cell>
          <cell r="C26">
            <v>55354</v>
          </cell>
          <cell r="F26" t="str">
            <v>KORAL</v>
          </cell>
          <cell r="G26">
            <v>102696.28108587509</v>
          </cell>
          <cell r="J26" t="str">
            <v>GHANA</v>
          </cell>
          <cell r="K26">
            <v>247507.59999999998</v>
          </cell>
          <cell r="L26">
            <v>593613.58096780954</v>
          </cell>
        </row>
        <row r="27">
          <cell r="B27" t="str">
            <v>IKAN NILA</v>
          </cell>
          <cell r="C27">
            <v>23690.400000000001</v>
          </cell>
          <cell r="F27" t="str">
            <v>IKAN NILA</v>
          </cell>
          <cell r="G27">
            <v>66014.958690504762</v>
          </cell>
          <cell r="J27" t="str">
            <v>MAURITANIA</v>
          </cell>
          <cell r="K27">
            <v>246750</v>
          </cell>
          <cell r="L27">
            <v>724387.69386346475</v>
          </cell>
        </row>
        <row r="28">
          <cell r="F28" t="str">
            <v>IKAN HIAS</v>
          </cell>
          <cell r="G28">
            <v>35357.650887771379</v>
          </cell>
          <cell r="J28" t="str">
            <v>SIERRA LEONE</v>
          </cell>
          <cell r="K28">
            <v>241941.3</v>
          </cell>
          <cell r="L28">
            <v>661842.00597386865</v>
          </cell>
        </row>
        <row r="29">
          <cell r="F29" t="str">
            <v>ALGA</v>
          </cell>
          <cell r="G29">
            <v>62.908180101039036</v>
          </cell>
          <cell r="J29" t="str">
            <v>INDIA</v>
          </cell>
          <cell r="K29">
            <v>210047.15</v>
          </cell>
          <cell r="L29">
            <v>877001.73113126529</v>
          </cell>
        </row>
        <row r="30">
          <cell r="J30" t="str">
            <v>BENIN</v>
          </cell>
          <cell r="K30">
            <v>204750</v>
          </cell>
          <cell r="L30">
            <v>593712.16635396017</v>
          </cell>
        </row>
        <row r="31">
          <cell r="J31" t="str">
            <v>CONGO, DEMOCRATIC REPUBLIC</v>
          </cell>
          <cell r="K31">
            <v>203003.8</v>
          </cell>
          <cell r="L31">
            <v>571302.59792630316</v>
          </cell>
        </row>
        <row r="32">
          <cell r="J32" t="str">
            <v>SYRIA</v>
          </cell>
          <cell r="K32">
            <v>170403.20000000001</v>
          </cell>
          <cell r="L32">
            <v>553169.20249640511</v>
          </cell>
        </row>
        <row r="33">
          <cell r="J33" t="str">
            <v>TOGO</v>
          </cell>
          <cell r="K33">
            <v>164634.5</v>
          </cell>
          <cell r="L33">
            <v>469200.80399529974</v>
          </cell>
        </row>
        <row r="34">
          <cell r="J34" t="str">
            <v>GREECE</v>
          </cell>
          <cell r="K34">
            <v>164498</v>
          </cell>
          <cell r="L34">
            <v>1200293.8478238303</v>
          </cell>
        </row>
        <row r="35">
          <cell r="J35" t="str">
            <v>EQUATORIAL GUINEA</v>
          </cell>
          <cell r="K35">
            <v>161978.79999999999</v>
          </cell>
          <cell r="L35">
            <v>447800.31914338277</v>
          </cell>
        </row>
        <row r="36">
          <cell r="J36" t="str">
            <v>GAMBIA</v>
          </cell>
          <cell r="K36">
            <v>160410.04999999999</v>
          </cell>
          <cell r="L36">
            <v>459477.02189152548</v>
          </cell>
        </row>
        <row r="37">
          <cell r="J37" t="str">
            <v>BELGIUM</v>
          </cell>
          <cell r="K37">
            <v>147475</v>
          </cell>
          <cell r="L37">
            <v>871650.84419093071</v>
          </cell>
        </row>
        <row r="38">
          <cell r="J38" t="str">
            <v>GERMANY</v>
          </cell>
          <cell r="K38">
            <v>146190</v>
          </cell>
          <cell r="L38">
            <v>679195.76337252196</v>
          </cell>
        </row>
        <row r="39">
          <cell r="J39" t="str">
            <v>UNITED ARAB EMIRATES</v>
          </cell>
          <cell r="K39">
            <v>141249.375</v>
          </cell>
          <cell r="L39">
            <v>435180.47586994694</v>
          </cell>
        </row>
        <row r="40">
          <cell r="J40" t="str">
            <v>PUERTO RICO</v>
          </cell>
          <cell r="K40">
            <v>130512.77999999998</v>
          </cell>
          <cell r="L40">
            <v>1344586.15664996</v>
          </cell>
        </row>
        <row r="41">
          <cell r="J41" t="str">
            <v>GABON</v>
          </cell>
          <cell r="K41">
            <v>122445.1</v>
          </cell>
          <cell r="L41">
            <v>336642.05229346117</v>
          </cell>
        </row>
        <row r="42">
          <cell r="J42" t="str">
            <v>SPAIN</v>
          </cell>
          <cell r="K42">
            <v>114253.68000000002</v>
          </cell>
          <cell r="L42">
            <v>543608.95847473573</v>
          </cell>
        </row>
        <row r="43">
          <cell r="J43" t="str">
            <v>VENEZUELA</v>
          </cell>
          <cell r="K43">
            <v>81924</v>
          </cell>
          <cell r="L43">
            <v>293883.80371447164</v>
          </cell>
        </row>
        <row r="44">
          <cell r="J44" t="str">
            <v>LIBERIA</v>
          </cell>
          <cell r="K44">
            <v>81759.5</v>
          </cell>
          <cell r="L44">
            <v>230274.20123970933</v>
          </cell>
        </row>
        <row r="45">
          <cell r="J45" t="str">
            <v>KENYA</v>
          </cell>
          <cell r="K45">
            <v>80625</v>
          </cell>
          <cell r="L45">
            <v>227293.86665434547</v>
          </cell>
        </row>
        <row r="46">
          <cell r="J46" t="str">
            <v>ALBANIA</v>
          </cell>
          <cell r="K46">
            <v>80000</v>
          </cell>
          <cell r="L46">
            <v>215433.73833160353</v>
          </cell>
        </row>
        <row r="47">
          <cell r="J47" t="str">
            <v>SAUDI ARABIA</v>
          </cell>
          <cell r="K47">
            <v>73375.199999999997</v>
          </cell>
          <cell r="L47">
            <v>153800.95208355217</v>
          </cell>
        </row>
        <row r="48">
          <cell r="J48" t="str">
            <v>REUNION</v>
          </cell>
          <cell r="K48">
            <v>67741</v>
          </cell>
          <cell r="L48">
            <v>415088.25271756895</v>
          </cell>
        </row>
        <row r="49">
          <cell r="J49" t="str">
            <v>LIBYA</v>
          </cell>
          <cell r="K49">
            <v>63888</v>
          </cell>
          <cell r="L49">
            <v>244300.11710926896</v>
          </cell>
        </row>
        <row r="50">
          <cell r="J50" t="str">
            <v>YEMEN</v>
          </cell>
          <cell r="K50">
            <v>61800</v>
          </cell>
          <cell r="L50">
            <v>231900.27740170836</v>
          </cell>
        </row>
        <row r="51">
          <cell r="J51" t="str">
            <v>DOMINICAN REPUBLIC</v>
          </cell>
          <cell r="K51">
            <v>60430.86</v>
          </cell>
          <cell r="L51">
            <v>421930.74778755975</v>
          </cell>
        </row>
        <row r="52">
          <cell r="J52" t="str">
            <v>COTE D IVOIRE (IVORY COAST)</v>
          </cell>
          <cell r="K52">
            <v>60250</v>
          </cell>
          <cell r="L52">
            <v>150707.03012872254</v>
          </cell>
        </row>
        <row r="53">
          <cell r="J53" t="str">
            <v>NIGERIA</v>
          </cell>
          <cell r="K53">
            <v>60000.375</v>
          </cell>
          <cell r="L53">
            <v>158086.93851775661</v>
          </cell>
        </row>
        <row r="54">
          <cell r="J54" t="str">
            <v>RUSSIA</v>
          </cell>
          <cell r="K54">
            <v>59300</v>
          </cell>
          <cell r="L54">
            <v>1376539.9909008411</v>
          </cell>
        </row>
        <row r="55">
          <cell r="J55" t="str">
            <v>TIMOR LESTE</v>
          </cell>
          <cell r="K55">
            <v>58795</v>
          </cell>
          <cell r="L55">
            <v>79290.410826423496</v>
          </cell>
        </row>
        <row r="56">
          <cell r="J56" t="str">
            <v>TRINIDAD &amp; TOBAGO</v>
          </cell>
          <cell r="K56">
            <v>53118</v>
          </cell>
          <cell r="L56">
            <v>432795.74239354278</v>
          </cell>
        </row>
        <row r="57">
          <cell r="J57" t="str">
            <v>KUWAIT</v>
          </cell>
          <cell r="K57">
            <v>51756</v>
          </cell>
          <cell r="L57">
            <v>188097.26306818737</v>
          </cell>
        </row>
        <row r="58">
          <cell r="J58" t="str">
            <v>CAMBODIA</v>
          </cell>
          <cell r="K58">
            <v>46501.084999999999</v>
          </cell>
          <cell r="L58">
            <v>95290.270655015731</v>
          </cell>
        </row>
        <row r="59">
          <cell r="J59" t="str">
            <v>MAURITIUS</v>
          </cell>
          <cell r="K59">
            <v>46074</v>
          </cell>
          <cell r="L59">
            <v>166895.04712574594</v>
          </cell>
        </row>
        <row r="60">
          <cell r="J60" t="str">
            <v>PORTUGAL</v>
          </cell>
          <cell r="K60">
            <v>43497.17</v>
          </cell>
          <cell r="L60">
            <v>188505.90142536216</v>
          </cell>
        </row>
        <row r="61">
          <cell r="J61" t="str">
            <v>MADAGASCAR</v>
          </cell>
          <cell r="K61">
            <v>40806.25</v>
          </cell>
          <cell r="L61">
            <v>116748.06815419509</v>
          </cell>
        </row>
        <row r="62">
          <cell r="J62" t="str">
            <v>COMOROS</v>
          </cell>
          <cell r="K62">
            <v>40562.5</v>
          </cell>
          <cell r="L62">
            <v>121778.0328481473</v>
          </cell>
        </row>
        <row r="63">
          <cell r="J63" t="str">
            <v>MONTENEGRO</v>
          </cell>
          <cell r="K63">
            <v>40000</v>
          </cell>
          <cell r="L63">
            <v>113751.9401406978</v>
          </cell>
        </row>
        <row r="64">
          <cell r="J64" t="str">
            <v>MOZAMBIQUE</v>
          </cell>
          <cell r="K64">
            <v>34820.5</v>
          </cell>
          <cell r="L64">
            <v>90661.62156642435</v>
          </cell>
        </row>
        <row r="65">
          <cell r="J65" t="str">
            <v>LEBANON</v>
          </cell>
          <cell r="K65">
            <v>32516.3</v>
          </cell>
          <cell r="L65">
            <v>96439.419473488364</v>
          </cell>
        </row>
        <row r="66">
          <cell r="J66" t="str">
            <v>MAYOTTE</v>
          </cell>
          <cell r="K66">
            <v>31798</v>
          </cell>
          <cell r="L66">
            <v>121834.29636670335</v>
          </cell>
        </row>
        <row r="67">
          <cell r="J67" t="str">
            <v>POLAND</v>
          </cell>
          <cell r="K67">
            <v>31120</v>
          </cell>
          <cell r="L67">
            <v>322160.2389854202</v>
          </cell>
        </row>
        <row r="68">
          <cell r="J68" t="str">
            <v>BAHRAIN</v>
          </cell>
          <cell r="K68">
            <v>28650</v>
          </cell>
          <cell r="L68">
            <v>110421.82984306668</v>
          </cell>
        </row>
        <row r="69">
          <cell r="J69" t="str">
            <v>PHILIPPINES</v>
          </cell>
          <cell r="K69">
            <v>28000</v>
          </cell>
          <cell r="L69">
            <v>181085.68986227669</v>
          </cell>
        </row>
        <row r="70">
          <cell r="J70" t="str">
            <v>QATAR</v>
          </cell>
          <cell r="K70">
            <v>25703.700000000004</v>
          </cell>
          <cell r="L70">
            <v>97653.182601818931</v>
          </cell>
        </row>
        <row r="71">
          <cell r="J71" t="str">
            <v>OMAN</v>
          </cell>
          <cell r="K71">
            <v>21181.39</v>
          </cell>
          <cell r="L71">
            <v>72545.116623408117</v>
          </cell>
        </row>
        <row r="72">
          <cell r="J72" t="str">
            <v>SURINAME</v>
          </cell>
          <cell r="K72">
            <v>20626.900000000001</v>
          </cell>
          <cell r="L72">
            <v>66713.739160313955</v>
          </cell>
        </row>
        <row r="73">
          <cell r="J73" t="str">
            <v>IRELAND</v>
          </cell>
          <cell r="K73">
            <v>20566.2</v>
          </cell>
          <cell r="L73">
            <v>112650.23649191971</v>
          </cell>
        </row>
        <row r="74">
          <cell r="J74" t="str">
            <v>ANGOLA</v>
          </cell>
          <cell r="K74">
            <v>20250</v>
          </cell>
          <cell r="L74">
            <v>59448.230195481898</v>
          </cell>
        </row>
        <row r="75">
          <cell r="J75" t="str">
            <v>ROMANIA</v>
          </cell>
          <cell r="K75">
            <v>20000</v>
          </cell>
          <cell r="L75">
            <v>51641.328400045888</v>
          </cell>
        </row>
        <row r="76">
          <cell r="J76" t="str">
            <v>ARUBA</v>
          </cell>
          <cell r="K76">
            <v>19168</v>
          </cell>
          <cell r="L76">
            <v>246609.00494890264</v>
          </cell>
        </row>
        <row r="77">
          <cell r="J77" t="str">
            <v>BRUNEI DARUSSALAM</v>
          </cell>
          <cell r="K77">
            <v>18325.7</v>
          </cell>
          <cell r="L77">
            <v>102728.62254074025</v>
          </cell>
        </row>
        <row r="78">
          <cell r="J78" t="str">
            <v>SWITZERLAND</v>
          </cell>
          <cell r="K78">
            <v>17493</v>
          </cell>
          <cell r="L78">
            <v>150204.12416322908</v>
          </cell>
        </row>
        <row r="79">
          <cell r="J79" t="str">
            <v>MEXICO</v>
          </cell>
          <cell r="K79">
            <v>14150</v>
          </cell>
          <cell r="L79">
            <v>123091.25866213437</v>
          </cell>
        </row>
        <row r="80">
          <cell r="J80" t="str">
            <v>JORDAN</v>
          </cell>
          <cell r="K80">
            <v>12520</v>
          </cell>
          <cell r="L80">
            <v>50272.508770014421</v>
          </cell>
        </row>
        <row r="81">
          <cell r="J81" t="str">
            <v>NEW ZEALAND</v>
          </cell>
          <cell r="K81">
            <v>11552</v>
          </cell>
          <cell r="L81">
            <v>29956.276238590021</v>
          </cell>
        </row>
        <row r="82">
          <cell r="J82" t="str">
            <v>TURKEY</v>
          </cell>
          <cell r="K82">
            <v>2435</v>
          </cell>
          <cell r="L82">
            <v>2063.9226673696248</v>
          </cell>
        </row>
        <row r="83">
          <cell r="J83" t="str">
            <v>SERBIA</v>
          </cell>
          <cell r="K83">
            <v>2000</v>
          </cell>
          <cell r="L83">
            <v>23968.376093810741</v>
          </cell>
        </row>
        <row r="84">
          <cell r="J84" t="str">
            <v>NORWAY</v>
          </cell>
          <cell r="K84">
            <v>1729.7</v>
          </cell>
          <cell r="L84">
            <v>13924.561504971207</v>
          </cell>
        </row>
        <row r="85">
          <cell r="J85" t="str">
            <v>MOROCCO</v>
          </cell>
          <cell r="K85">
            <v>3.4</v>
          </cell>
          <cell r="L85">
            <v>3.0555401763361822</v>
          </cell>
        </row>
        <row r="86">
          <cell r="J86" t="str">
            <v>AUSTRIA</v>
          </cell>
          <cell r="K86">
            <v>1.81</v>
          </cell>
          <cell r="L86">
            <v>12.058898999844413</v>
          </cell>
        </row>
        <row r="87">
          <cell r="J87" t="str">
            <v>ARGENTINA</v>
          </cell>
          <cell r="K87">
            <v>1</v>
          </cell>
          <cell r="L87">
            <v>1.0185133921120608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88355-DF69-493C-830E-8BBE97CF1E5E}">
  <dimension ref="A1:AB50"/>
  <sheetViews>
    <sheetView topLeftCell="I18" zoomScale="50" zoomScaleNormal="50" workbookViewId="0">
      <selection activeCell="H18" sqref="H18"/>
    </sheetView>
  </sheetViews>
  <sheetFormatPr defaultRowHeight="15.5" x14ac:dyDescent="0.35"/>
  <cols>
    <col min="1" max="1" width="6" style="1" customWidth="1"/>
    <col min="2" max="2" width="30.90625" style="1" bestFit="1" customWidth="1"/>
    <col min="3" max="3" width="15.36328125" style="1" bestFit="1" customWidth="1"/>
    <col min="4" max="4" width="16.453125" style="1" bestFit="1" customWidth="1"/>
    <col min="5" max="5" width="15.26953125" style="1" customWidth="1"/>
    <col min="6" max="6" width="16.453125" style="1" bestFit="1" customWidth="1"/>
    <col min="7" max="7" width="15.453125" style="1" bestFit="1" customWidth="1"/>
    <col min="8" max="8" width="16.54296875" style="1" bestFit="1" customWidth="1"/>
    <col min="9" max="9" width="15.453125" style="1" bestFit="1" customWidth="1"/>
    <col min="10" max="10" width="16.453125" style="1" customWidth="1"/>
    <col min="11" max="11" width="15.453125" style="1" bestFit="1" customWidth="1"/>
    <col min="12" max="12" width="16.54296875" style="1" bestFit="1" customWidth="1"/>
    <col min="13" max="13" width="15.36328125" style="1" bestFit="1" customWidth="1"/>
    <col min="14" max="14" width="16.54296875" style="1" bestFit="1" customWidth="1"/>
    <col min="15" max="15" width="15.453125" style="1" bestFit="1" customWidth="1"/>
    <col min="16" max="16" width="16.54296875" style="1" bestFit="1" customWidth="1"/>
    <col min="17" max="17" width="15.36328125" style="1" bestFit="1" customWidth="1"/>
    <col min="18" max="18" width="16.453125" style="1" bestFit="1" customWidth="1"/>
    <col min="19" max="19" width="15.36328125" style="1" bestFit="1" customWidth="1"/>
    <col min="20" max="20" width="16.453125" style="1" bestFit="1" customWidth="1"/>
    <col min="21" max="21" width="15.36328125" style="1" bestFit="1" customWidth="1"/>
    <col min="22" max="22" width="16.453125" style="1" bestFit="1" customWidth="1"/>
    <col min="23" max="23" width="15.36328125" style="1" bestFit="1" customWidth="1"/>
    <col min="24" max="24" width="16.453125" style="1" bestFit="1" customWidth="1"/>
    <col min="25" max="25" width="15.36328125" style="1" bestFit="1" customWidth="1"/>
    <col min="26" max="26" width="16.453125" style="1" bestFit="1" customWidth="1"/>
    <col min="27" max="27" width="16.1796875" style="1" bestFit="1" customWidth="1"/>
    <col min="28" max="28" width="18.08984375" style="1" bestFit="1" customWidth="1"/>
    <col min="29" max="16384" width="8.7265625" style="1"/>
  </cols>
  <sheetData>
    <row r="1" spans="1:28" ht="21" x14ac:dyDescent="0.5">
      <c r="A1" s="55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3" spans="1:28" x14ac:dyDescent="0.35">
      <c r="A3" s="56" t="s">
        <v>1</v>
      </c>
      <c r="B3" s="56" t="s">
        <v>2</v>
      </c>
      <c r="C3" s="54" t="s">
        <v>3</v>
      </c>
      <c r="D3" s="54"/>
      <c r="E3" s="54" t="s">
        <v>4</v>
      </c>
      <c r="F3" s="54"/>
      <c r="G3" s="54" t="s">
        <v>5</v>
      </c>
      <c r="H3" s="54"/>
      <c r="I3" s="54" t="s">
        <v>6</v>
      </c>
      <c r="J3" s="54"/>
      <c r="K3" s="54" t="s">
        <v>7</v>
      </c>
      <c r="L3" s="54"/>
      <c r="M3" s="54" t="s">
        <v>8</v>
      </c>
      <c r="N3" s="54"/>
      <c r="O3" s="54" t="s">
        <v>9</v>
      </c>
      <c r="P3" s="54"/>
      <c r="Q3" s="54" t="s">
        <v>10</v>
      </c>
      <c r="R3" s="54"/>
      <c r="S3" s="54" t="s">
        <v>11</v>
      </c>
      <c r="T3" s="54"/>
      <c r="U3" s="54" t="s">
        <v>12</v>
      </c>
      <c r="V3" s="54"/>
      <c r="W3" s="54" t="s">
        <v>13</v>
      </c>
      <c r="X3" s="54"/>
      <c r="Y3" s="54" t="s">
        <v>14</v>
      </c>
      <c r="Z3" s="54"/>
      <c r="AA3" s="54" t="s">
        <v>15</v>
      </c>
      <c r="AB3" s="54"/>
    </row>
    <row r="4" spans="1:28" x14ac:dyDescent="0.35">
      <c r="A4" s="56"/>
      <c r="B4" s="56"/>
      <c r="C4" s="2" t="s">
        <v>16</v>
      </c>
      <c r="D4" s="2" t="s">
        <v>17</v>
      </c>
      <c r="E4" s="2" t="s">
        <v>16</v>
      </c>
      <c r="F4" s="2" t="s">
        <v>17</v>
      </c>
      <c r="G4" s="2" t="s">
        <v>16</v>
      </c>
      <c r="H4" s="2" t="s">
        <v>17</v>
      </c>
      <c r="I4" s="2" t="s">
        <v>16</v>
      </c>
      <c r="J4" s="2" t="s">
        <v>17</v>
      </c>
      <c r="K4" s="2" t="s">
        <v>16</v>
      </c>
      <c r="L4" s="2" t="s">
        <v>17</v>
      </c>
      <c r="M4" s="2" t="s">
        <v>16</v>
      </c>
      <c r="N4" s="2" t="s">
        <v>17</v>
      </c>
      <c r="O4" s="2" t="s">
        <v>16</v>
      </c>
      <c r="P4" s="2" t="s">
        <v>17</v>
      </c>
      <c r="Q4" s="2" t="s">
        <v>16</v>
      </c>
      <c r="R4" s="2" t="s">
        <v>17</v>
      </c>
      <c r="S4" s="2" t="s">
        <v>16</v>
      </c>
      <c r="T4" s="2" t="s">
        <v>17</v>
      </c>
      <c r="U4" s="2" t="s">
        <v>18</v>
      </c>
      <c r="V4" s="2" t="s">
        <v>19</v>
      </c>
      <c r="W4" s="2" t="s">
        <v>18</v>
      </c>
      <c r="X4" s="2" t="s">
        <v>19</v>
      </c>
      <c r="Y4" s="2" t="s">
        <v>18</v>
      </c>
      <c r="Z4" s="2" t="s">
        <v>19</v>
      </c>
      <c r="AA4" s="2" t="s">
        <v>18</v>
      </c>
      <c r="AB4" s="2" t="s">
        <v>19</v>
      </c>
    </row>
    <row r="5" spans="1:28" x14ac:dyDescent="0.35">
      <c r="A5" s="3" t="s">
        <v>20</v>
      </c>
      <c r="B5" s="4"/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5"/>
      <c r="AB5" s="6"/>
    </row>
    <row r="6" spans="1:28" x14ac:dyDescent="0.35">
      <c r="A6" s="7">
        <v>1</v>
      </c>
      <c r="B6" s="8" t="s">
        <v>22</v>
      </c>
      <c r="C6" s="39">
        <v>5438977.2650000015</v>
      </c>
      <c r="D6" s="49">
        <v>15158380.364969347</v>
      </c>
      <c r="E6" s="49">
        <v>4195789.1700000009</v>
      </c>
      <c r="F6" s="49">
        <v>13576579.0669847</v>
      </c>
      <c r="G6" s="49">
        <v>4193734.5200000014</v>
      </c>
      <c r="H6" s="49">
        <v>13887388.751865435</v>
      </c>
      <c r="I6" s="49">
        <v>3644923.6900000013</v>
      </c>
      <c r="J6" s="49">
        <v>10002240.113460377</v>
      </c>
      <c r="K6" s="49">
        <v>6367851.9142000033</v>
      </c>
      <c r="L6" s="49">
        <v>16745345.099981772</v>
      </c>
      <c r="M6" s="39">
        <v>4805688.2929999977</v>
      </c>
      <c r="N6" s="49">
        <v>13351258.166916274</v>
      </c>
      <c r="O6" s="39">
        <v>5344720.9100000011</v>
      </c>
      <c r="P6" s="9">
        <v>16619871.398955125</v>
      </c>
      <c r="Q6" s="39">
        <v>5393736.7600000016</v>
      </c>
      <c r="R6" s="9">
        <v>17081028.82213214</v>
      </c>
      <c r="S6" s="49">
        <v>6232403.4019999998</v>
      </c>
      <c r="T6" s="49">
        <v>17518396.457389183</v>
      </c>
      <c r="U6" s="39">
        <v>10138308.749999989</v>
      </c>
      <c r="V6" s="9">
        <v>28554990.966198336</v>
      </c>
      <c r="W6" s="59">
        <v>9427158.3399999999</v>
      </c>
      <c r="X6" s="9">
        <v>25178229.611222576</v>
      </c>
      <c r="Y6" s="9">
        <v>8993560.3500000071</v>
      </c>
      <c r="Z6" s="9">
        <v>24899653.114589084</v>
      </c>
      <c r="AA6" s="59">
        <v>74176853.364200011</v>
      </c>
      <c r="AB6" s="49">
        <v>212573361.93466434</v>
      </c>
    </row>
    <row r="7" spans="1:28" x14ac:dyDescent="0.35">
      <c r="A7" s="7">
        <v>2</v>
      </c>
      <c r="B7" s="8" t="s">
        <v>21</v>
      </c>
      <c r="C7" s="49">
        <v>5088552.8599999985</v>
      </c>
      <c r="D7" s="39">
        <v>43810971.05840493</v>
      </c>
      <c r="E7" s="39">
        <v>6040839.1920000045</v>
      </c>
      <c r="F7" s="39">
        <v>55153937.493822522</v>
      </c>
      <c r="G7" s="39">
        <v>6580887.2720000027</v>
      </c>
      <c r="H7" s="39">
        <v>60445633.036513716</v>
      </c>
      <c r="I7" s="39">
        <v>4980061.7810000004</v>
      </c>
      <c r="J7" s="39">
        <v>44726832.838415705</v>
      </c>
      <c r="K7" s="39">
        <v>6669250.6640000101</v>
      </c>
      <c r="L7" s="39">
        <v>62917443.022988521</v>
      </c>
      <c r="M7" s="49">
        <v>4137688.919999999</v>
      </c>
      <c r="N7" s="39">
        <v>39361312.763321526</v>
      </c>
      <c r="O7" s="9">
        <v>4487550.7600000054</v>
      </c>
      <c r="P7" s="39">
        <v>41747109.909772582</v>
      </c>
      <c r="Q7" s="9">
        <v>4732142.2140000015</v>
      </c>
      <c r="R7" s="39">
        <v>47179209.654207245</v>
      </c>
      <c r="S7" s="39">
        <v>6330722.0020000003</v>
      </c>
      <c r="T7" s="39">
        <v>62909059.938946664</v>
      </c>
      <c r="U7" s="9">
        <v>3889105.3100000015</v>
      </c>
      <c r="V7" s="39">
        <v>34698014.943147525</v>
      </c>
      <c r="W7" s="9">
        <v>5797755.950000002</v>
      </c>
      <c r="X7" s="9">
        <v>53773576.300155915</v>
      </c>
      <c r="Y7" s="59">
        <v>9939204.3000000231</v>
      </c>
      <c r="Z7" s="9">
        <v>99366956.037031755</v>
      </c>
      <c r="AA7" s="49">
        <v>68673761.225000054</v>
      </c>
      <c r="AB7" s="59">
        <v>646090056.99672866</v>
      </c>
    </row>
    <row r="8" spans="1:28" x14ac:dyDescent="0.35">
      <c r="A8" s="7">
        <v>3</v>
      </c>
      <c r="B8" s="8" t="s">
        <v>23</v>
      </c>
      <c r="C8" s="9">
        <v>2410550.2600000002</v>
      </c>
      <c r="D8" s="49">
        <v>3345037.2648466271</v>
      </c>
      <c r="E8" s="49">
        <v>3152840.33</v>
      </c>
      <c r="F8" s="49">
        <v>5901067.7826911295</v>
      </c>
      <c r="G8" s="49">
        <v>4135220.09</v>
      </c>
      <c r="H8" s="49">
        <v>5008595.4071559636</v>
      </c>
      <c r="I8" s="49">
        <v>2388518.5300000003</v>
      </c>
      <c r="J8" s="49">
        <v>3556438.0818344257</v>
      </c>
      <c r="K8" s="49">
        <v>3590335.03</v>
      </c>
      <c r="L8" s="49">
        <v>5368129.0603904417</v>
      </c>
      <c r="M8" s="49">
        <v>3041617.69</v>
      </c>
      <c r="N8" s="49">
        <v>4563883.5284913462</v>
      </c>
      <c r="O8" s="49">
        <v>4199127.9800000004</v>
      </c>
      <c r="P8" s="49">
        <v>4972083.5800245833</v>
      </c>
      <c r="Q8" s="49">
        <v>4850338.5600000015</v>
      </c>
      <c r="R8" s="49">
        <v>6431898.7610630281</v>
      </c>
      <c r="S8" s="49">
        <v>4980587.6900000004</v>
      </c>
      <c r="T8" s="49">
        <v>5883609.8688524561</v>
      </c>
      <c r="U8" s="49">
        <v>5359019.370000001</v>
      </c>
      <c r="V8" s="49">
        <v>5663050.0284879999</v>
      </c>
      <c r="W8" s="9">
        <v>4465446.2200000007</v>
      </c>
      <c r="X8" s="9">
        <v>6094147.279931942</v>
      </c>
      <c r="Y8" s="9">
        <v>3532476.6</v>
      </c>
      <c r="Z8" s="9">
        <v>4751498.5024468061</v>
      </c>
      <c r="AA8" s="49">
        <v>46106078.350000001</v>
      </c>
      <c r="AB8" s="49">
        <v>61539439.14621675</v>
      </c>
    </row>
    <row r="9" spans="1:28" x14ac:dyDescent="0.35">
      <c r="A9" s="7">
        <v>4</v>
      </c>
      <c r="B9" s="8" t="s">
        <v>24</v>
      </c>
      <c r="C9" s="9">
        <v>2341854.7200000007</v>
      </c>
      <c r="D9" s="9">
        <v>9350225.9823312815</v>
      </c>
      <c r="E9" s="9">
        <v>2699081.2449999992</v>
      </c>
      <c r="F9" s="9">
        <v>11697838.508406091</v>
      </c>
      <c r="G9" s="9">
        <v>4555707.7100000018</v>
      </c>
      <c r="H9" s="9">
        <v>16706467.48782875</v>
      </c>
      <c r="I9" s="9">
        <v>3046904.9200000004</v>
      </c>
      <c r="J9" s="9">
        <v>11191260.565812983</v>
      </c>
      <c r="K9" s="9">
        <v>2864087.5000000005</v>
      </c>
      <c r="L9" s="9">
        <v>10320550.203916559</v>
      </c>
      <c r="M9" s="9">
        <v>3338698.42</v>
      </c>
      <c r="N9" s="9">
        <v>11998503.883385682</v>
      </c>
      <c r="O9" s="9">
        <v>3691666.0550000025</v>
      </c>
      <c r="P9" s="9">
        <v>14895679.290165948</v>
      </c>
      <c r="Q9" s="9">
        <v>2554977.59</v>
      </c>
      <c r="R9" s="9">
        <v>8672366.2489412613</v>
      </c>
      <c r="S9" s="9">
        <v>2932799.8300000005</v>
      </c>
      <c r="T9" s="9">
        <v>9286201.4529893808</v>
      </c>
      <c r="U9" s="9">
        <v>4590255.4099999992</v>
      </c>
      <c r="V9" s="9">
        <v>14198322.032409405</v>
      </c>
      <c r="W9" s="9">
        <v>4570408.07</v>
      </c>
      <c r="X9" s="9">
        <v>14860900.97391439</v>
      </c>
      <c r="Y9" s="9">
        <v>4152109.870000001</v>
      </c>
      <c r="Z9" s="9">
        <v>15586889.111589188</v>
      </c>
      <c r="AA9" s="49">
        <v>41338551.340000004</v>
      </c>
      <c r="AB9" s="49">
        <v>148765205.7416909</v>
      </c>
    </row>
    <row r="10" spans="1:28" x14ac:dyDescent="0.35">
      <c r="A10" s="7">
        <v>5</v>
      </c>
      <c r="B10" s="8" t="s">
        <v>25</v>
      </c>
      <c r="C10" s="9">
        <v>2553744.6799999997</v>
      </c>
      <c r="D10" s="9">
        <v>6155952.5942331273</v>
      </c>
      <c r="E10" s="9">
        <v>2236978</v>
      </c>
      <c r="F10" s="9">
        <v>5268073.1042056149</v>
      </c>
      <c r="G10" s="9">
        <v>2660761.1000000006</v>
      </c>
      <c r="H10" s="9">
        <v>6134046.6382824127</v>
      </c>
      <c r="I10" s="9">
        <v>2304171.6800000002</v>
      </c>
      <c r="J10" s="9">
        <v>5561947.1178677771</v>
      </c>
      <c r="K10" s="9">
        <v>3097515.774999999</v>
      </c>
      <c r="L10" s="9">
        <v>7747485.0539439274</v>
      </c>
      <c r="M10" s="9">
        <v>2377406.7500000009</v>
      </c>
      <c r="N10" s="9">
        <v>5860018.2684038682</v>
      </c>
      <c r="O10" s="9">
        <v>2724616.6099999994</v>
      </c>
      <c r="P10" s="9">
        <v>6962287.696312231</v>
      </c>
      <c r="Q10" s="9">
        <v>3687960.665000001</v>
      </c>
      <c r="R10" s="9">
        <v>8647030.180936601</v>
      </c>
      <c r="S10" s="9">
        <v>3581456.4299999978</v>
      </c>
      <c r="T10" s="9">
        <v>8337602.8889826406</v>
      </c>
      <c r="U10" s="9">
        <v>3835120.5749999983</v>
      </c>
      <c r="V10" s="9">
        <v>8950495.2836530693</v>
      </c>
      <c r="W10" s="9">
        <v>3824116.084999999</v>
      </c>
      <c r="X10" s="9">
        <v>9498310.4507417232</v>
      </c>
      <c r="Y10" s="9">
        <v>4251097.334999999</v>
      </c>
      <c r="Z10" s="9">
        <v>11780895.405618487</v>
      </c>
      <c r="AA10" s="49">
        <v>37134945.684999995</v>
      </c>
      <c r="AB10" s="49">
        <v>90904144.68318148</v>
      </c>
    </row>
    <row r="11" spans="1:28" x14ac:dyDescent="0.35">
      <c r="A11" s="7">
        <v>6</v>
      </c>
      <c r="B11" s="8" t="s">
        <v>27</v>
      </c>
      <c r="C11" s="9">
        <v>711399.55</v>
      </c>
      <c r="D11" s="9">
        <v>3179548.7926993864</v>
      </c>
      <c r="E11" s="9">
        <v>957442.52000000014</v>
      </c>
      <c r="F11" s="9">
        <v>4818761.6414678898</v>
      </c>
      <c r="G11" s="9">
        <v>929567.174</v>
      </c>
      <c r="H11" s="9">
        <v>4275791.3247094806</v>
      </c>
      <c r="I11" s="9">
        <v>790176.45200000016</v>
      </c>
      <c r="J11" s="9">
        <v>3347067.9671828477</v>
      </c>
      <c r="K11" s="9">
        <v>1031792.1819999997</v>
      </c>
      <c r="L11" s="9">
        <v>4906918.0748646837</v>
      </c>
      <c r="M11" s="9">
        <v>569419.78</v>
      </c>
      <c r="N11" s="9">
        <v>3092174.2841742137</v>
      </c>
      <c r="O11" s="9">
        <v>1496616.6280000003</v>
      </c>
      <c r="P11" s="9">
        <v>6429131.4052858027</v>
      </c>
      <c r="Q11" s="9">
        <v>1744595.1700000002</v>
      </c>
      <c r="R11" s="9">
        <v>7749035.9431043984</v>
      </c>
      <c r="S11" s="9">
        <v>1972072.1100000008</v>
      </c>
      <c r="T11" s="9">
        <v>9330647.1874397267</v>
      </c>
      <c r="U11" s="9">
        <v>1820462.0999999996</v>
      </c>
      <c r="V11" s="9">
        <v>7701773.8094638037</v>
      </c>
      <c r="W11" s="9">
        <v>1698121.5999999994</v>
      </c>
      <c r="X11" s="9">
        <v>8434085.5555892643</v>
      </c>
      <c r="Y11" s="9">
        <v>2003258.4300000004</v>
      </c>
      <c r="Z11" s="9">
        <v>9290139.1149098258</v>
      </c>
      <c r="AA11" s="49">
        <v>15724923.696</v>
      </c>
      <c r="AB11" s="49">
        <v>72555075.100891322</v>
      </c>
    </row>
    <row r="12" spans="1:28" x14ac:dyDescent="0.35">
      <c r="A12" s="7">
        <v>7</v>
      </c>
      <c r="B12" s="8" t="s">
        <v>30</v>
      </c>
      <c r="C12" s="9">
        <v>644180.5</v>
      </c>
      <c r="D12" s="9">
        <v>588936.59865030681</v>
      </c>
      <c r="E12" s="9">
        <v>590194.19999999995</v>
      </c>
      <c r="F12" s="9">
        <v>582503.54850152915</v>
      </c>
      <c r="G12" s="9">
        <v>2216325.48</v>
      </c>
      <c r="H12" s="9">
        <v>1318333.7709480121</v>
      </c>
      <c r="I12" s="9">
        <v>1318508</v>
      </c>
      <c r="J12" s="9">
        <v>1228693.6430017867</v>
      </c>
      <c r="K12" s="9">
        <v>1548291</v>
      </c>
      <c r="L12" s="9">
        <v>1516858.1888949703</v>
      </c>
      <c r="M12" s="9">
        <v>1262112.5</v>
      </c>
      <c r="N12" s="9">
        <v>1218483.4911599827</v>
      </c>
      <c r="O12" s="9">
        <v>462410</v>
      </c>
      <c r="P12" s="9">
        <v>392553.11874615855</v>
      </c>
      <c r="Q12" s="9">
        <v>119600</v>
      </c>
      <c r="R12" s="9">
        <v>98354.759774136139</v>
      </c>
      <c r="S12" s="9">
        <v>1200516</v>
      </c>
      <c r="T12" s="9">
        <v>1152908.7962270975</v>
      </c>
      <c r="U12" s="9">
        <v>1600195</v>
      </c>
      <c r="V12" s="9">
        <v>1585613.7997085487</v>
      </c>
      <c r="W12" s="9">
        <v>1922211.7</v>
      </c>
      <c r="X12" s="9">
        <v>1914363.3736241611</v>
      </c>
      <c r="Y12" s="9">
        <v>1730416</v>
      </c>
      <c r="Z12" s="9">
        <v>1738598.3072511128</v>
      </c>
      <c r="AA12" s="49">
        <v>14614960.379999999</v>
      </c>
      <c r="AB12" s="49">
        <v>13336201.396487802</v>
      </c>
    </row>
    <row r="13" spans="1:28" x14ac:dyDescent="0.35">
      <c r="A13" s="7">
        <v>8</v>
      </c>
      <c r="B13" s="8" t="s">
        <v>26</v>
      </c>
      <c r="C13" s="9">
        <v>909159.51</v>
      </c>
      <c r="D13" s="9">
        <v>3790197.9768098141</v>
      </c>
      <c r="E13" s="9">
        <v>888860.59999999986</v>
      </c>
      <c r="F13" s="9">
        <v>4445981.7009174302</v>
      </c>
      <c r="G13" s="9">
        <v>991584.21</v>
      </c>
      <c r="H13" s="9">
        <v>4791452.2180510117</v>
      </c>
      <c r="I13" s="9">
        <v>997697.43</v>
      </c>
      <c r="J13" s="9">
        <v>4526990.5930911265</v>
      </c>
      <c r="K13" s="9">
        <v>1126573.5039999995</v>
      </c>
      <c r="L13" s="9">
        <v>5391293.32196071</v>
      </c>
      <c r="M13" s="9">
        <v>683718.86</v>
      </c>
      <c r="N13" s="9">
        <v>3717510.669746811</v>
      </c>
      <c r="O13" s="9">
        <v>942767.34000000008</v>
      </c>
      <c r="P13" s="9">
        <v>3908489.7437615264</v>
      </c>
      <c r="Q13" s="9">
        <v>1350705.6600000001</v>
      </c>
      <c r="R13" s="9">
        <v>5649881.0322838053</v>
      </c>
      <c r="S13" s="9">
        <v>1433526.4699999997</v>
      </c>
      <c r="T13" s="9">
        <v>5596090.6638741558</v>
      </c>
      <c r="U13" s="9">
        <v>1772586.2300000004</v>
      </c>
      <c r="V13" s="9">
        <v>8398419.2320237719</v>
      </c>
      <c r="W13" s="9">
        <v>1712559.78</v>
      </c>
      <c r="X13" s="9">
        <v>8831584.8682682924</v>
      </c>
      <c r="Y13" s="9">
        <v>1290184.1700000002</v>
      </c>
      <c r="Z13" s="9">
        <v>7892911.3409075653</v>
      </c>
      <c r="AA13" s="49">
        <v>14099923.763999999</v>
      </c>
      <c r="AB13" s="49">
        <v>66940803.361696027</v>
      </c>
    </row>
    <row r="14" spans="1:28" x14ac:dyDescent="0.35">
      <c r="A14" s="7">
        <v>9</v>
      </c>
      <c r="B14" s="8" t="s">
        <v>29</v>
      </c>
      <c r="C14" s="9">
        <v>434000.58</v>
      </c>
      <c r="D14" s="9">
        <v>1862010.3662576701</v>
      </c>
      <c r="E14" s="9">
        <v>864264.58</v>
      </c>
      <c r="F14" s="9">
        <v>4962624.354949154</v>
      </c>
      <c r="G14" s="9">
        <v>833322.82799999975</v>
      </c>
      <c r="H14" s="9">
        <v>7310004.2953026108</v>
      </c>
      <c r="I14" s="9">
        <v>643002.05999999994</v>
      </c>
      <c r="J14" s="9">
        <v>2322858.4605717682</v>
      </c>
      <c r="K14" s="9">
        <v>555205.58000000019</v>
      </c>
      <c r="L14" s="9">
        <v>4782655.600899471</v>
      </c>
      <c r="M14" s="9">
        <v>855906.96499999985</v>
      </c>
      <c r="N14" s="9">
        <v>979866.40651758865</v>
      </c>
      <c r="O14" s="9">
        <v>860090.69600000011</v>
      </c>
      <c r="P14" s="9">
        <v>12121071.665580824</v>
      </c>
      <c r="Q14" s="9">
        <v>727074.26899999997</v>
      </c>
      <c r="R14" s="9">
        <v>11394165.353219178</v>
      </c>
      <c r="S14" s="9">
        <v>768441.57600000012</v>
      </c>
      <c r="T14" s="9">
        <v>4000230.6987704909</v>
      </c>
      <c r="U14" s="9">
        <v>896962.55000000075</v>
      </c>
      <c r="V14" s="9">
        <v>8694790.5340852141</v>
      </c>
      <c r="W14" s="9">
        <v>671225.80099999998</v>
      </c>
      <c r="X14" s="9">
        <v>5163071.2370304558</v>
      </c>
      <c r="Y14" s="9">
        <v>823477.67300000007</v>
      </c>
      <c r="Z14" s="9">
        <v>11965061.593723936</v>
      </c>
      <c r="AA14" s="49">
        <v>8932975.1580000017</v>
      </c>
      <c r="AB14" s="49">
        <v>75558410.56690836</v>
      </c>
    </row>
    <row r="15" spans="1:28" x14ac:dyDescent="0.35">
      <c r="A15" s="7">
        <v>10</v>
      </c>
      <c r="B15" s="8" t="s">
        <v>28</v>
      </c>
      <c r="C15" s="9">
        <v>846230.35000000009</v>
      </c>
      <c r="D15" s="9">
        <v>5232662.0475460161</v>
      </c>
      <c r="E15" s="9">
        <v>634720.59</v>
      </c>
      <c r="F15" s="9">
        <v>4457700.9363914458</v>
      </c>
      <c r="G15" s="9">
        <v>669017.86999999988</v>
      </c>
      <c r="H15" s="9">
        <v>5219771.375045877</v>
      </c>
      <c r="I15" s="9">
        <v>434921.62000000005</v>
      </c>
      <c r="J15" s="9">
        <v>2957680.1693269825</v>
      </c>
      <c r="K15" s="9">
        <v>722258.32200000004</v>
      </c>
      <c r="L15" s="9">
        <v>4845609.66940339</v>
      </c>
      <c r="M15" s="9">
        <v>699800.37999999989</v>
      </c>
      <c r="N15" s="9">
        <v>4779793.4097825401</v>
      </c>
      <c r="O15" s="9">
        <v>641546.60000000009</v>
      </c>
      <c r="P15" s="9">
        <v>4821168.2449293202</v>
      </c>
      <c r="Q15" s="9">
        <v>763153.09</v>
      </c>
      <c r="R15" s="9">
        <v>5201405.3999877246</v>
      </c>
      <c r="S15" s="9">
        <v>668078.2200000002</v>
      </c>
      <c r="T15" s="9">
        <v>4746675.5431533232</v>
      </c>
      <c r="U15" s="9">
        <v>758509.07000000007</v>
      </c>
      <c r="V15" s="9">
        <v>4926677.3609318193</v>
      </c>
      <c r="W15" s="9">
        <v>710151.96000000008</v>
      </c>
      <c r="X15" s="9">
        <v>5295647.879897207</v>
      </c>
      <c r="Y15" s="9">
        <v>1025491.1499999999</v>
      </c>
      <c r="Z15" s="9">
        <v>6330297.1381972367</v>
      </c>
      <c r="AA15" s="49">
        <v>8573879.2219999991</v>
      </c>
      <c r="AB15" s="49">
        <v>58815089.174592882</v>
      </c>
    </row>
    <row r="16" spans="1:28" x14ac:dyDescent="0.35">
      <c r="A16" s="7">
        <v>11</v>
      </c>
      <c r="B16" s="8" t="s">
        <v>33</v>
      </c>
      <c r="C16" s="9">
        <v>354662.6</v>
      </c>
      <c r="D16" s="9">
        <v>831783.4117791414</v>
      </c>
      <c r="E16" s="9">
        <v>324303.30000000005</v>
      </c>
      <c r="F16" s="9">
        <v>685076.48379204853</v>
      </c>
      <c r="G16" s="9">
        <v>598386.77999999991</v>
      </c>
      <c r="H16" s="9">
        <v>1207868.3631192655</v>
      </c>
      <c r="I16" s="9">
        <v>419651.1</v>
      </c>
      <c r="J16" s="9">
        <v>937464.58362120402</v>
      </c>
      <c r="K16" s="9">
        <v>529796.77</v>
      </c>
      <c r="L16" s="9">
        <v>1412773.9887490103</v>
      </c>
      <c r="M16" s="9">
        <v>615237.60000000009</v>
      </c>
      <c r="N16" s="9">
        <v>1649589.3537238976</v>
      </c>
      <c r="O16" s="9">
        <v>510041.93000000005</v>
      </c>
      <c r="P16" s="9">
        <v>2030167.3031960677</v>
      </c>
      <c r="Q16" s="9">
        <v>418334.5</v>
      </c>
      <c r="R16" s="9">
        <v>1920686.3638986081</v>
      </c>
      <c r="S16" s="9">
        <v>552368.0199999999</v>
      </c>
      <c r="T16" s="9">
        <v>1778678.4828833144</v>
      </c>
      <c r="U16" s="9">
        <v>580625.19999999995</v>
      </c>
      <c r="V16" s="9">
        <v>3001116.7292397856</v>
      </c>
      <c r="W16" s="9">
        <v>546413.75999999989</v>
      </c>
      <c r="X16" s="9">
        <v>1660146.4839616867</v>
      </c>
      <c r="Y16" s="9">
        <v>444550.64</v>
      </c>
      <c r="Z16" s="9">
        <v>2010664.976010324</v>
      </c>
      <c r="AA16" s="49">
        <v>5894372.1999999993</v>
      </c>
      <c r="AB16" s="49">
        <v>19126016.523974352</v>
      </c>
    </row>
    <row r="17" spans="1:28" x14ac:dyDescent="0.35">
      <c r="A17" s="7">
        <v>12</v>
      </c>
      <c r="B17" s="8" t="s">
        <v>32</v>
      </c>
      <c r="C17" s="9">
        <v>373251.95</v>
      </c>
      <c r="D17" s="9">
        <v>7011159.5173619632</v>
      </c>
      <c r="E17" s="9">
        <v>560691.81999999995</v>
      </c>
      <c r="F17" s="9">
        <v>10175772.759633023</v>
      </c>
      <c r="G17" s="9">
        <v>459014.89999999997</v>
      </c>
      <c r="H17" s="9">
        <v>9309673.93443425</v>
      </c>
      <c r="I17" s="9">
        <v>361155.72000000003</v>
      </c>
      <c r="J17" s="9">
        <v>7132928.3004169147</v>
      </c>
      <c r="K17" s="9">
        <v>596086.31999999983</v>
      </c>
      <c r="L17" s="9">
        <v>11767927.572705708</v>
      </c>
      <c r="M17" s="9">
        <v>432718.51</v>
      </c>
      <c r="N17" s="9">
        <v>9725865.4702149946</v>
      </c>
      <c r="O17" s="9">
        <v>446237.79999999993</v>
      </c>
      <c r="P17" s="9">
        <v>9521349.6060848199</v>
      </c>
      <c r="Q17" s="9">
        <v>418141.36799999996</v>
      </c>
      <c r="R17" s="9">
        <v>7620823.5539802359</v>
      </c>
      <c r="S17" s="9">
        <v>371565.34</v>
      </c>
      <c r="T17" s="9">
        <v>6761766.6936475411</v>
      </c>
      <c r="U17" s="9">
        <v>539610.60999999975</v>
      </c>
      <c r="V17" s="9">
        <v>9970513.4343989119</v>
      </c>
      <c r="W17" s="9">
        <v>421926.67099999997</v>
      </c>
      <c r="X17" s="9">
        <v>7787681.2831634535</v>
      </c>
      <c r="Y17" s="9">
        <v>502051.54799999995</v>
      </c>
      <c r="Z17" s="9">
        <v>10112580.46508928</v>
      </c>
      <c r="AA17" s="49">
        <v>5482452.5569999982</v>
      </c>
      <c r="AB17" s="49">
        <v>106898042.59113111</v>
      </c>
    </row>
    <row r="18" spans="1:28" x14ac:dyDescent="0.35">
      <c r="A18" s="7">
        <v>13</v>
      </c>
      <c r="B18" s="8" t="s">
        <v>35</v>
      </c>
      <c r="C18" s="9">
        <v>216000</v>
      </c>
      <c r="D18" s="9">
        <v>303510.9231288344</v>
      </c>
      <c r="E18" s="9">
        <v>248500</v>
      </c>
      <c r="F18" s="9">
        <v>370006.02177370025</v>
      </c>
      <c r="G18" s="9">
        <v>198000</v>
      </c>
      <c r="H18" s="9">
        <v>283102.75535168196</v>
      </c>
      <c r="I18" s="9">
        <v>456000</v>
      </c>
      <c r="J18" s="9">
        <v>730591.12668254913</v>
      </c>
      <c r="K18" s="9">
        <v>420500</v>
      </c>
      <c r="L18" s="9">
        <v>558035.62561576359</v>
      </c>
      <c r="M18" s="9">
        <v>367500</v>
      </c>
      <c r="N18" s="9">
        <v>493325.46528676152</v>
      </c>
      <c r="O18" s="9">
        <v>596520</v>
      </c>
      <c r="P18" s="9">
        <v>807654.18063921318</v>
      </c>
      <c r="Q18" s="9">
        <v>277000</v>
      </c>
      <c r="R18" s="9">
        <v>397915.00355981104</v>
      </c>
      <c r="S18" s="9">
        <v>252500</v>
      </c>
      <c r="T18" s="9">
        <v>337671.45075940213</v>
      </c>
      <c r="U18" s="9">
        <v>608200</v>
      </c>
      <c r="V18" s="9">
        <v>837395.96989737684</v>
      </c>
      <c r="W18" s="9">
        <v>198000</v>
      </c>
      <c r="X18" s="9">
        <v>278880.18580638093</v>
      </c>
      <c r="Y18" s="9">
        <v>220500</v>
      </c>
      <c r="Z18" s="9">
        <v>299398.13563280425</v>
      </c>
      <c r="AA18" s="49">
        <v>4059220</v>
      </c>
      <c r="AB18" s="49">
        <v>5697486.8441342795</v>
      </c>
    </row>
    <row r="19" spans="1:28" x14ac:dyDescent="0.35">
      <c r="A19" s="7">
        <v>14</v>
      </c>
      <c r="B19" s="8" t="s">
        <v>34</v>
      </c>
      <c r="C19" s="9">
        <v>285285.84000000003</v>
      </c>
      <c r="D19" s="9">
        <v>1490358.3988957054</v>
      </c>
      <c r="E19" s="9">
        <v>330065.07999999996</v>
      </c>
      <c r="F19" s="9">
        <v>1790230.8363914392</v>
      </c>
      <c r="G19" s="9">
        <v>267207.14999999997</v>
      </c>
      <c r="H19" s="9">
        <v>1572300.4869724773</v>
      </c>
      <c r="I19" s="9">
        <v>296775.85600000003</v>
      </c>
      <c r="J19" s="9">
        <v>1510059.1835020855</v>
      </c>
      <c r="K19" s="9">
        <v>309493.375</v>
      </c>
      <c r="L19" s="9">
        <v>1684217.7763790051</v>
      </c>
      <c r="M19" s="9">
        <v>280215.25</v>
      </c>
      <c r="N19" s="9">
        <v>1310472.3679541687</v>
      </c>
      <c r="O19" s="9">
        <v>317050.65000000002</v>
      </c>
      <c r="P19" s="9">
        <v>2109245.6639213264</v>
      </c>
      <c r="Q19" s="9">
        <v>355147.72</v>
      </c>
      <c r="R19" s="9">
        <v>1866024.5283250522</v>
      </c>
      <c r="S19" s="9">
        <v>339319.82999999996</v>
      </c>
      <c r="T19" s="9">
        <v>1661858.1662849581</v>
      </c>
      <c r="U19" s="9">
        <v>368287.27599999995</v>
      </c>
      <c r="V19" s="9">
        <v>1935525.4641735493</v>
      </c>
      <c r="W19" s="9">
        <v>321364.86999999994</v>
      </c>
      <c r="X19" s="9">
        <v>1793470.85114783</v>
      </c>
      <c r="Y19" s="9">
        <v>362780.52</v>
      </c>
      <c r="Z19" s="9">
        <v>1947480.4025291903</v>
      </c>
      <c r="AA19" s="49">
        <v>3832993.4170000004</v>
      </c>
      <c r="AB19" s="49">
        <v>20671244.126476791</v>
      </c>
    </row>
    <row r="20" spans="1:28" x14ac:dyDescent="0.35">
      <c r="A20" s="7">
        <v>15</v>
      </c>
      <c r="B20" s="8" t="s">
        <v>31</v>
      </c>
      <c r="C20" s="9">
        <v>800001</v>
      </c>
      <c r="D20" s="9">
        <v>2293497.6687116562</v>
      </c>
      <c r="E20" s="9">
        <v>215600</v>
      </c>
      <c r="F20" s="9">
        <v>55386.519877675841</v>
      </c>
      <c r="G20" s="9"/>
      <c r="H20" s="9"/>
      <c r="I20" s="9">
        <v>36600</v>
      </c>
      <c r="J20" s="9">
        <v>65662.513400833821</v>
      </c>
      <c r="K20" s="9">
        <v>1</v>
      </c>
      <c r="L20" s="9">
        <v>2.554278416347382</v>
      </c>
      <c r="M20" s="9"/>
      <c r="N20" s="9"/>
      <c r="O20" s="9">
        <v>203580</v>
      </c>
      <c r="P20" s="9">
        <v>345642.32907191152</v>
      </c>
      <c r="Q20" s="9">
        <v>21000</v>
      </c>
      <c r="R20" s="9">
        <v>35412.086171975694</v>
      </c>
      <c r="S20" s="9"/>
      <c r="T20" s="9"/>
      <c r="U20" s="9">
        <v>15600</v>
      </c>
      <c r="V20" s="9">
        <v>33137.940893275205</v>
      </c>
      <c r="W20" s="9">
        <v>40000.600000000006</v>
      </c>
      <c r="X20" s="9">
        <v>56167.719480074775</v>
      </c>
      <c r="Y20" s="9">
        <v>300000</v>
      </c>
      <c r="Z20" s="9">
        <v>415972.85184906103</v>
      </c>
      <c r="AA20" s="49">
        <v>1632382.6</v>
      </c>
      <c r="AB20" s="49">
        <v>3300882.1837348808</v>
      </c>
    </row>
    <row r="21" spans="1:28" x14ac:dyDescent="0.35">
      <c r="A21" s="7">
        <v>16</v>
      </c>
      <c r="B21" s="8" t="s">
        <v>39</v>
      </c>
      <c r="C21" s="9">
        <v>37983.199999999997</v>
      </c>
      <c r="D21" s="9">
        <v>64852.324601226996</v>
      </c>
      <c r="E21" s="9">
        <v>58260</v>
      </c>
      <c r="F21" s="9">
        <v>98722.151559633028</v>
      </c>
      <c r="G21" s="9">
        <v>282105</v>
      </c>
      <c r="H21" s="9">
        <v>437899.80917431187</v>
      </c>
      <c r="I21" s="9">
        <v>28106.799999999999</v>
      </c>
      <c r="J21" s="9">
        <v>40967.933829660513</v>
      </c>
      <c r="K21" s="9">
        <v>85817.531400000007</v>
      </c>
      <c r="L21" s="9">
        <v>134312.96837560058</v>
      </c>
      <c r="M21" s="9">
        <v>141692</v>
      </c>
      <c r="N21" s="9">
        <v>222178.70812542352</v>
      </c>
      <c r="O21" s="9">
        <v>97926.5</v>
      </c>
      <c r="P21" s="9">
        <v>137998.55390288873</v>
      </c>
      <c r="Q21" s="9">
        <v>164490.46</v>
      </c>
      <c r="R21" s="9">
        <v>235704.89467869635</v>
      </c>
      <c r="S21" s="9">
        <v>137262</v>
      </c>
      <c r="T21" s="9">
        <v>220800.76476615237</v>
      </c>
      <c r="U21" s="9">
        <v>157020</v>
      </c>
      <c r="V21" s="9">
        <v>259165.02891306061</v>
      </c>
      <c r="W21" s="9">
        <v>132210.29999999999</v>
      </c>
      <c r="X21" s="9">
        <v>222596.53271391959</v>
      </c>
      <c r="Y21" s="9">
        <v>235398.6</v>
      </c>
      <c r="Z21" s="9">
        <v>381354.74724988057</v>
      </c>
      <c r="AA21" s="49">
        <v>1558272.3914000001</v>
      </c>
      <c r="AB21" s="49">
        <v>2456554.4178904551</v>
      </c>
    </row>
    <row r="22" spans="1:28" x14ac:dyDescent="0.35">
      <c r="A22" s="7">
        <v>17</v>
      </c>
      <c r="B22" s="8" t="s">
        <v>36</v>
      </c>
      <c r="C22" s="9">
        <v>109808.2</v>
      </c>
      <c r="D22" s="9">
        <v>190498.0737423313</v>
      </c>
      <c r="E22" s="9">
        <v>70452.2</v>
      </c>
      <c r="F22" s="9">
        <v>148750.47327217128</v>
      </c>
      <c r="G22" s="9">
        <v>211733.80000000002</v>
      </c>
      <c r="H22" s="9">
        <v>458678.28061162087</v>
      </c>
      <c r="I22" s="9">
        <v>65706.7</v>
      </c>
      <c r="J22" s="9">
        <v>125490.42870756402</v>
      </c>
      <c r="K22" s="9">
        <v>170124.4</v>
      </c>
      <c r="L22" s="9">
        <v>312280.82527519303</v>
      </c>
      <c r="M22" s="9">
        <v>67625</v>
      </c>
      <c r="N22" s="9">
        <v>106508.37842666174</v>
      </c>
      <c r="O22" s="9">
        <v>94256.8</v>
      </c>
      <c r="P22" s="9">
        <v>168155.68838352797</v>
      </c>
      <c r="Q22" s="9">
        <v>53285.31</v>
      </c>
      <c r="R22" s="9">
        <v>71559.67888050084</v>
      </c>
      <c r="S22" s="9">
        <v>830.3</v>
      </c>
      <c r="T22" s="9">
        <v>2736.5033751205401</v>
      </c>
      <c r="U22" s="9">
        <v>102494.39999999999</v>
      </c>
      <c r="V22" s="9">
        <v>212412.61237687606</v>
      </c>
      <c r="W22" s="9">
        <v>141706</v>
      </c>
      <c r="X22" s="9">
        <v>287702.14677278214</v>
      </c>
      <c r="Y22" s="9">
        <v>204829.99999999997</v>
      </c>
      <c r="Z22" s="9">
        <v>379544.81318430358</v>
      </c>
      <c r="AA22" s="49">
        <v>1292853.1100000003</v>
      </c>
      <c r="AB22" s="49">
        <v>2464317.9030086533</v>
      </c>
    </row>
    <row r="23" spans="1:28" x14ac:dyDescent="0.35">
      <c r="A23" s="7">
        <v>18</v>
      </c>
      <c r="B23" s="8" t="s">
        <v>40</v>
      </c>
      <c r="C23" s="9">
        <v>45134.400000000001</v>
      </c>
      <c r="D23" s="9">
        <v>224154.83779141103</v>
      </c>
      <c r="E23" s="9">
        <v>48948</v>
      </c>
      <c r="F23" s="9">
        <v>275521.71559633029</v>
      </c>
      <c r="G23" s="9">
        <v>127902.2</v>
      </c>
      <c r="H23" s="9">
        <v>497061.7176146789</v>
      </c>
      <c r="I23" s="9">
        <v>21590.6</v>
      </c>
      <c r="J23" s="9">
        <v>58922.935080405005</v>
      </c>
      <c r="K23" s="9">
        <v>170045.1</v>
      </c>
      <c r="L23" s="9">
        <v>526822.36915404734</v>
      </c>
      <c r="M23" s="9">
        <v>160571.1</v>
      </c>
      <c r="N23" s="9">
        <v>860873.34528429725</v>
      </c>
      <c r="O23" s="9">
        <v>110229</v>
      </c>
      <c r="P23" s="9">
        <v>506409.4700676091</v>
      </c>
      <c r="Q23" s="9">
        <v>66438.8</v>
      </c>
      <c r="R23" s="9">
        <v>228893.39961946849</v>
      </c>
      <c r="S23" s="9">
        <v>12798.060000000001</v>
      </c>
      <c r="T23" s="9">
        <v>62482.884402121497</v>
      </c>
      <c r="U23" s="9">
        <v>34630.68</v>
      </c>
      <c r="V23" s="9">
        <v>168859.67202321487</v>
      </c>
      <c r="W23" s="9">
        <v>118121.5</v>
      </c>
      <c r="X23" s="9">
        <v>477508.55568837776</v>
      </c>
      <c r="Y23" s="9">
        <v>113152.4</v>
      </c>
      <c r="Z23" s="9">
        <v>487841.60518285754</v>
      </c>
      <c r="AA23" s="49">
        <v>1029561.8400000002</v>
      </c>
      <c r="AB23" s="49">
        <v>4375352.507504819</v>
      </c>
    </row>
    <row r="24" spans="1:28" x14ac:dyDescent="0.35">
      <c r="A24" s="7">
        <v>19</v>
      </c>
      <c r="B24" s="8" t="s">
        <v>38</v>
      </c>
      <c r="C24" s="9">
        <v>57349.789999999994</v>
      </c>
      <c r="D24" s="9">
        <v>300564.7705521473</v>
      </c>
      <c r="E24" s="9">
        <v>53093.78</v>
      </c>
      <c r="F24" s="9">
        <v>295947.18348623853</v>
      </c>
      <c r="G24" s="9">
        <v>88929.52</v>
      </c>
      <c r="H24" s="9">
        <v>449501.57308868505</v>
      </c>
      <c r="I24" s="9">
        <v>14183.3</v>
      </c>
      <c r="J24" s="9">
        <v>83867.387730792136</v>
      </c>
      <c r="K24" s="9">
        <v>56985.75</v>
      </c>
      <c r="L24" s="9">
        <v>379470.05291005294</v>
      </c>
      <c r="M24" s="9">
        <v>61635.149999999994</v>
      </c>
      <c r="N24" s="9">
        <v>398068.99032834347</v>
      </c>
      <c r="O24" s="9">
        <v>65766.320000000007</v>
      </c>
      <c r="P24" s="9">
        <v>332463.46896127838</v>
      </c>
      <c r="Q24" s="9">
        <v>71502.14</v>
      </c>
      <c r="R24" s="9">
        <v>378938.77002393664</v>
      </c>
      <c r="S24" s="9">
        <v>31112.080000000002</v>
      </c>
      <c r="T24" s="9">
        <v>157968.83317261332</v>
      </c>
      <c r="U24" s="9">
        <v>5959.25</v>
      </c>
      <c r="V24" s="9">
        <v>32741.968644507724</v>
      </c>
      <c r="W24" s="9">
        <v>40987.119999999995</v>
      </c>
      <c r="X24" s="9">
        <v>226734.00951949597</v>
      </c>
      <c r="Y24" s="9">
        <v>104760.28</v>
      </c>
      <c r="Z24" s="9">
        <v>708264.39680212922</v>
      </c>
      <c r="AA24" s="49">
        <v>652264.4800000001</v>
      </c>
      <c r="AB24" s="49">
        <v>3744531.4052202208</v>
      </c>
    </row>
    <row r="25" spans="1:28" x14ac:dyDescent="0.35">
      <c r="A25" s="7">
        <v>20</v>
      </c>
      <c r="B25" s="8" t="s">
        <v>37</v>
      </c>
      <c r="C25" s="9">
        <v>57839.6</v>
      </c>
      <c r="D25" s="9">
        <v>140644.27386503064</v>
      </c>
      <c r="E25" s="9">
        <v>56805.4</v>
      </c>
      <c r="F25" s="9">
        <v>183666.14581039755</v>
      </c>
      <c r="G25" s="9">
        <v>51923.05</v>
      </c>
      <c r="H25" s="9">
        <v>155630.76874617735</v>
      </c>
      <c r="I25" s="9">
        <v>40769.85</v>
      </c>
      <c r="J25" s="9">
        <v>145166.15467540201</v>
      </c>
      <c r="K25" s="9">
        <v>53828.100000000006</v>
      </c>
      <c r="L25" s="9">
        <v>127290.85908897403</v>
      </c>
      <c r="M25" s="9">
        <v>31135.93</v>
      </c>
      <c r="N25" s="9">
        <v>107885.98706338939</v>
      </c>
      <c r="O25" s="9">
        <v>26061</v>
      </c>
      <c r="P25" s="9">
        <v>75853.51751690227</v>
      </c>
      <c r="Q25" s="9">
        <v>44530.57</v>
      </c>
      <c r="R25" s="9">
        <v>60393.805560670226</v>
      </c>
      <c r="S25" s="9">
        <v>55996.27</v>
      </c>
      <c r="T25" s="9">
        <v>210217.71106557376</v>
      </c>
      <c r="U25" s="9">
        <v>23067</v>
      </c>
      <c r="V25" s="9">
        <v>89178.317766926542</v>
      </c>
      <c r="W25" s="9">
        <v>53055.17</v>
      </c>
      <c r="X25" s="9">
        <v>234071.41026758359</v>
      </c>
      <c r="Y25" s="9">
        <v>98765</v>
      </c>
      <c r="Z25" s="9">
        <v>275103.5041767527</v>
      </c>
      <c r="AA25" s="49">
        <v>593776.93999999994</v>
      </c>
      <c r="AB25" s="49">
        <v>1805102.45560378</v>
      </c>
    </row>
    <row r="26" spans="1:28" x14ac:dyDescent="0.35">
      <c r="A26" s="7">
        <v>21</v>
      </c>
      <c r="B26" s="8" t="s">
        <v>43</v>
      </c>
      <c r="C26" s="9"/>
      <c r="D26" s="9"/>
      <c r="E26" s="9">
        <v>14286</v>
      </c>
      <c r="F26" s="9">
        <v>154357.13712538226</v>
      </c>
      <c r="G26" s="9">
        <v>17700</v>
      </c>
      <c r="H26" s="9">
        <v>204168.9071559633</v>
      </c>
      <c r="I26" s="9">
        <v>7470</v>
      </c>
      <c r="J26" s="9">
        <v>80095.242167957113</v>
      </c>
      <c r="K26" s="9">
        <v>29010</v>
      </c>
      <c r="L26" s="9">
        <v>360027.11032050103</v>
      </c>
      <c r="M26" s="9">
        <v>55222</v>
      </c>
      <c r="N26" s="9">
        <v>500394.47723772546</v>
      </c>
      <c r="O26" s="9">
        <v>46920</v>
      </c>
      <c r="P26" s="9">
        <v>277263.36398279044</v>
      </c>
      <c r="Q26" s="9">
        <v>90324.32</v>
      </c>
      <c r="R26" s="9">
        <v>815926.42938685394</v>
      </c>
      <c r="S26" s="9">
        <v>58548</v>
      </c>
      <c r="T26" s="9">
        <v>646890.0138018321</v>
      </c>
      <c r="U26" s="9">
        <v>68394</v>
      </c>
      <c r="V26" s="9">
        <v>845296.59832158976</v>
      </c>
      <c r="W26" s="9">
        <v>57043</v>
      </c>
      <c r="X26" s="9">
        <v>613908.89375069423</v>
      </c>
      <c r="Y26" s="9">
        <v>55354</v>
      </c>
      <c r="Z26" s="9">
        <v>498989.66760701599</v>
      </c>
      <c r="AA26" s="49">
        <v>500271.32</v>
      </c>
      <c r="AB26" s="49">
        <v>4997317.8408583058</v>
      </c>
    </row>
    <row r="27" spans="1:28" x14ac:dyDescent="0.35">
      <c r="A27" s="7">
        <v>22</v>
      </c>
      <c r="B27" s="8" t="s">
        <v>41</v>
      </c>
      <c r="C27" s="9">
        <v>37308</v>
      </c>
      <c r="D27" s="9">
        <v>308822.22331288341</v>
      </c>
      <c r="E27" s="9">
        <v>28612</v>
      </c>
      <c r="F27" s="9">
        <v>281735.59541284404</v>
      </c>
      <c r="G27" s="9">
        <v>17436.8</v>
      </c>
      <c r="H27" s="9">
        <v>176664.58226299693</v>
      </c>
      <c r="I27" s="9">
        <v>7401.6</v>
      </c>
      <c r="J27" s="9">
        <v>73990.251340083385</v>
      </c>
      <c r="K27" s="9">
        <v>17308.400000000001</v>
      </c>
      <c r="L27" s="9">
        <v>147971.01605546434</v>
      </c>
      <c r="M27" s="9">
        <v>8640</v>
      </c>
      <c r="N27" s="9">
        <v>77213.183022238649</v>
      </c>
      <c r="O27" s="9">
        <v>77036.2</v>
      </c>
      <c r="P27" s="9">
        <v>724985.24492931762</v>
      </c>
      <c r="Q27" s="9">
        <v>38326.800000000003</v>
      </c>
      <c r="R27" s="9">
        <v>346568.1310992451</v>
      </c>
      <c r="S27" s="9">
        <v>36418.800000000003</v>
      </c>
      <c r="T27" s="9">
        <v>328861.75090405013</v>
      </c>
      <c r="U27" s="9">
        <v>16944</v>
      </c>
      <c r="V27" s="9">
        <v>210447.28875619275</v>
      </c>
      <c r="W27" s="9">
        <v>14592</v>
      </c>
      <c r="X27" s="9">
        <v>144098.50570299916</v>
      </c>
      <c r="Y27" s="9">
        <v>79551.399999999994</v>
      </c>
      <c r="Z27" s="9">
        <v>689031.42605696712</v>
      </c>
      <c r="AA27" s="49">
        <v>379576</v>
      </c>
      <c r="AB27" s="49">
        <v>3510389.1988552823</v>
      </c>
    </row>
    <row r="28" spans="1:28" x14ac:dyDescent="0.35">
      <c r="A28" s="7">
        <v>23</v>
      </c>
      <c r="B28" s="8" t="s">
        <v>42</v>
      </c>
      <c r="C28" s="9">
        <v>25000</v>
      </c>
      <c r="D28" s="9">
        <v>26993.865030674846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>
        <v>90560</v>
      </c>
      <c r="Z28" s="9">
        <v>126632.13335101075</v>
      </c>
      <c r="AA28" s="49">
        <v>115560</v>
      </c>
      <c r="AB28" s="49">
        <v>153625.99838168558</v>
      </c>
    </row>
    <row r="29" spans="1:28" x14ac:dyDescent="0.35">
      <c r="A29" s="7">
        <v>24</v>
      </c>
      <c r="B29" s="8" t="s">
        <v>44</v>
      </c>
      <c r="C29" s="9">
        <v>1500</v>
      </c>
      <c r="D29" s="9">
        <v>2392.6380368098157</v>
      </c>
      <c r="E29" s="9"/>
      <c r="F29" s="9"/>
      <c r="G29" s="9">
        <v>24809.200000000001</v>
      </c>
      <c r="H29" s="9">
        <v>61138.287461773711</v>
      </c>
      <c r="I29" s="9">
        <v>5004.6000000000004</v>
      </c>
      <c r="J29" s="9">
        <v>15338.272781417509</v>
      </c>
      <c r="K29" s="9"/>
      <c r="L29" s="9"/>
      <c r="M29" s="9">
        <v>8463.2000000000007</v>
      </c>
      <c r="N29" s="9">
        <v>27618.764245672395</v>
      </c>
      <c r="O29" s="9">
        <v>1540</v>
      </c>
      <c r="P29" s="9">
        <v>1590.1659496004918</v>
      </c>
      <c r="Q29" s="9">
        <v>0.5</v>
      </c>
      <c r="R29" s="9">
        <v>0.98201681703799182</v>
      </c>
      <c r="S29" s="9">
        <v>2557</v>
      </c>
      <c r="T29" s="9">
        <v>26650.448589681775</v>
      </c>
      <c r="U29" s="9">
        <v>1023</v>
      </c>
      <c r="V29" s="9">
        <v>6395.1493826393817</v>
      </c>
      <c r="W29" s="9">
        <v>20540.400000000001</v>
      </c>
      <c r="X29" s="9">
        <v>80379.521403092003</v>
      </c>
      <c r="Y29" s="9">
        <v>23690.400000000001</v>
      </c>
      <c r="Z29" s="9">
        <v>66014.958690504762</v>
      </c>
      <c r="AA29" s="49">
        <v>89128.3</v>
      </c>
      <c r="AB29" s="49">
        <v>287519.18855800887</v>
      </c>
    </row>
    <row r="30" spans="1:28" x14ac:dyDescent="0.35">
      <c r="A30" s="7">
        <v>25</v>
      </c>
      <c r="B30" s="8" t="s">
        <v>98</v>
      </c>
      <c r="C30" s="9"/>
      <c r="D30" s="9"/>
      <c r="E30" s="9"/>
      <c r="F30" s="9"/>
      <c r="G30" s="9"/>
      <c r="H30" s="9"/>
      <c r="I30" s="9">
        <v>7.05</v>
      </c>
      <c r="J30" s="9">
        <v>17.593805836807622</v>
      </c>
      <c r="K30" s="9"/>
      <c r="L30" s="9"/>
      <c r="M30" s="9"/>
      <c r="N30" s="9"/>
      <c r="O30" s="9">
        <v>1612.8</v>
      </c>
      <c r="P30" s="9">
        <v>5328.088506453596</v>
      </c>
      <c r="Q30" s="9">
        <v>0.45</v>
      </c>
      <c r="R30" s="9">
        <v>0.98201681703799182</v>
      </c>
      <c r="S30" s="9"/>
      <c r="T30" s="9"/>
      <c r="U30" s="9"/>
      <c r="V30" s="9"/>
      <c r="W30" s="9"/>
      <c r="X30" s="9"/>
      <c r="Y30" s="9"/>
      <c r="Z30" s="9"/>
      <c r="AA30" s="49">
        <v>1620.3</v>
      </c>
      <c r="AB30" s="49">
        <v>5346.6643291074415</v>
      </c>
    </row>
    <row r="31" spans="1:28" x14ac:dyDescent="0.35">
      <c r="A31" s="7">
        <v>26</v>
      </c>
      <c r="B31" s="8" t="s">
        <v>97</v>
      </c>
      <c r="C31" s="9"/>
      <c r="D31" s="9"/>
      <c r="E31" s="9"/>
      <c r="F31" s="9"/>
      <c r="G31" s="9"/>
      <c r="H31" s="9"/>
      <c r="I31" s="9">
        <v>7.4</v>
      </c>
      <c r="J31" s="9">
        <v>15.187611673615248</v>
      </c>
      <c r="K31" s="9"/>
      <c r="L31" s="9"/>
      <c r="M31" s="9">
        <v>300</v>
      </c>
      <c r="N31" s="9">
        <v>739.23489188689712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49">
        <v>307.39999999999998</v>
      </c>
      <c r="AB31" s="49">
        <v>754.42250356051238</v>
      </c>
    </row>
    <row r="32" spans="1:28" x14ac:dyDescent="0.35">
      <c r="A32" s="7">
        <v>27</v>
      </c>
      <c r="B32" s="8" t="s">
        <v>99</v>
      </c>
      <c r="C32" s="9"/>
      <c r="D32" s="9"/>
      <c r="E32" s="9"/>
      <c r="F32" s="9"/>
      <c r="G32" s="9"/>
      <c r="H32" s="9"/>
      <c r="I32" s="9">
        <v>7.0000000000000007E-2</v>
      </c>
      <c r="J32" s="9">
        <v>107.20667063728409</v>
      </c>
      <c r="K32" s="9">
        <v>45</v>
      </c>
      <c r="L32" s="9">
        <v>266.07066836951896</v>
      </c>
      <c r="M32" s="9"/>
      <c r="N32" s="9"/>
      <c r="O32" s="9"/>
      <c r="P32" s="9"/>
      <c r="Q32" s="9">
        <v>8</v>
      </c>
      <c r="R32" s="9">
        <v>54.010924937089548</v>
      </c>
      <c r="S32" s="9"/>
      <c r="T32" s="9"/>
      <c r="U32" s="9"/>
      <c r="V32" s="9"/>
      <c r="W32" s="9"/>
      <c r="X32" s="9"/>
      <c r="Y32" s="9"/>
      <c r="Z32" s="9"/>
      <c r="AA32" s="49">
        <v>53.07</v>
      </c>
      <c r="AB32" s="49">
        <v>427.28826394389262</v>
      </c>
    </row>
    <row r="33" spans="1:28" x14ac:dyDescent="0.35">
      <c r="A33" s="5"/>
      <c r="B33" s="5" t="s">
        <v>45</v>
      </c>
      <c r="C33" s="6">
        <f>SUM(C6:C32)</f>
        <v>23779774.855</v>
      </c>
      <c r="D33" s="6">
        <f t="shared" ref="D33:AB33" si="0">SUM(D6:D32)</f>
        <v>105663155.97355832</v>
      </c>
      <c r="E33" s="6">
        <f t="shared" si="0"/>
        <v>24270628.007000003</v>
      </c>
      <c r="F33" s="6">
        <f t="shared" si="0"/>
        <v>125380241.16206838</v>
      </c>
      <c r="G33" s="6">
        <f t="shared" si="0"/>
        <v>30111276.654000003</v>
      </c>
      <c r="H33" s="6">
        <f t="shared" si="0"/>
        <v>139911173.77169713</v>
      </c>
      <c r="I33" s="6">
        <f t="shared" si="0"/>
        <v>22309316.809000008</v>
      </c>
      <c r="J33" s="6">
        <f t="shared" si="0"/>
        <v>100422693.8525908</v>
      </c>
      <c r="K33" s="6">
        <f t="shared" si="0"/>
        <v>30012203.217600014</v>
      </c>
      <c r="L33" s="6">
        <f t="shared" si="0"/>
        <v>141953686.08682057</v>
      </c>
      <c r="M33" s="6">
        <f t="shared" si="0"/>
        <v>24003014.297999997</v>
      </c>
      <c r="N33" s="6">
        <f t="shared" si="0"/>
        <v>104403538.59770533</v>
      </c>
      <c r="O33" s="6">
        <f t="shared" si="0"/>
        <v>27445892.579000007</v>
      </c>
      <c r="P33" s="6">
        <f t="shared" si="0"/>
        <v>129913552.69864783</v>
      </c>
      <c r="Q33" s="6">
        <f t="shared" si="0"/>
        <v>27942814.916000009</v>
      </c>
      <c r="R33" s="6">
        <f t="shared" si="0"/>
        <v>132083278.77579312</v>
      </c>
      <c r="S33" s="6">
        <f t="shared" si="0"/>
        <v>31951879.429999996</v>
      </c>
      <c r="T33" s="6">
        <f t="shared" si="0"/>
        <v>140958007.20027748</v>
      </c>
      <c r="U33" s="6">
        <f t="shared" si="0"/>
        <v>37182379.780999996</v>
      </c>
      <c r="V33" s="6">
        <f t="shared" si="0"/>
        <v>140974334.16489738</v>
      </c>
      <c r="W33" s="6">
        <f t="shared" si="0"/>
        <v>36905116.896999992</v>
      </c>
      <c r="X33" s="6">
        <f t="shared" si="0"/>
        <v>152907263.62975433</v>
      </c>
      <c r="Y33" s="6">
        <f t="shared" si="0"/>
        <v>40577220.666000031</v>
      </c>
      <c r="Z33" s="6">
        <f t="shared" si="0"/>
        <v>212001773.74967706</v>
      </c>
      <c r="AA33" s="6">
        <f t="shared" si="0"/>
        <v>356491518.10960001</v>
      </c>
      <c r="AB33" s="6">
        <f t="shared" si="0"/>
        <v>1626572699.6634881</v>
      </c>
    </row>
    <row r="34" spans="1:28" x14ac:dyDescent="0.35">
      <c r="A34" s="10" t="s">
        <v>46</v>
      </c>
      <c r="B34" s="1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spans="1:28" x14ac:dyDescent="0.35">
      <c r="A35" s="7">
        <v>1</v>
      </c>
      <c r="B35" s="15" t="s">
        <v>22</v>
      </c>
      <c r="C35" s="16">
        <v>1500020</v>
      </c>
      <c r="D35" s="16">
        <v>2451564.5644171769</v>
      </c>
      <c r="E35" s="16">
        <v>1610900</v>
      </c>
      <c r="F35" s="16">
        <v>2614448.5908256872</v>
      </c>
      <c r="G35" s="16">
        <v>506521</v>
      </c>
      <c r="H35" s="16">
        <v>620668.98593272152</v>
      </c>
      <c r="I35" s="16">
        <v>858570</v>
      </c>
      <c r="J35" s="16">
        <v>217601.07206670629</v>
      </c>
      <c r="K35" s="9">
        <v>1760580</v>
      </c>
      <c r="L35" s="9">
        <v>644140.68641164445</v>
      </c>
      <c r="M35" s="9">
        <v>86570</v>
      </c>
      <c r="N35" s="9">
        <v>48445.773424505634</v>
      </c>
      <c r="O35" s="9">
        <v>252520</v>
      </c>
      <c r="P35" s="9">
        <v>928.24216349108792</v>
      </c>
      <c r="Q35" s="9">
        <v>104</v>
      </c>
      <c r="R35" s="9">
        <v>15.045725158043332</v>
      </c>
      <c r="S35" s="9">
        <v>10020</v>
      </c>
      <c r="T35" s="9">
        <v>3924.7830279652844</v>
      </c>
      <c r="U35" s="9">
        <v>20</v>
      </c>
      <c r="V35" s="9">
        <v>7.2350480196166265</v>
      </c>
      <c r="W35" s="9">
        <v>20</v>
      </c>
      <c r="X35" s="9">
        <v>7.1917441366339334</v>
      </c>
      <c r="Y35" s="9"/>
      <c r="Z35" s="9"/>
      <c r="AA35" s="9">
        <v>6585845</v>
      </c>
      <c r="AB35" s="9">
        <v>6601752.1707872134</v>
      </c>
    </row>
    <row r="36" spans="1:28" x14ac:dyDescent="0.35">
      <c r="A36" s="7">
        <v>2</v>
      </c>
      <c r="B36" s="15" t="s">
        <v>32</v>
      </c>
      <c r="C36" s="16"/>
      <c r="D36" s="16"/>
      <c r="E36" s="16">
        <v>600</v>
      </c>
      <c r="F36" s="16">
        <v>3669.7247706422013</v>
      </c>
      <c r="G36" s="16">
        <v>3740</v>
      </c>
      <c r="H36" s="16">
        <v>17003.058103975534</v>
      </c>
      <c r="I36" s="16">
        <v>6700</v>
      </c>
      <c r="J36" s="16">
        <v>34901.727218582491</v>
      </c>
      <c r="K36" s="9">
        <v>93100</v>
      </c>
      <c r="L36" s="9">
        <v>487132.05619412544</v>
      </c>
      <c r="M36" s="9">
        <v>423400</v>
      </c>
      <c r="N36" s="9">
        <v>1341771.9460358534</v>
      </c>
      <c r="O36" s="9">
        <v>365740</v>
      </c>
      <c r="P36" s="9">
        <v>1381523.0485556226</v>
      </c>
      <c r="Q36" s="9">
        <v>333760</v>
      </c>
      <c r="R36" s="9">
        <v>1500523.6604676859</v>
      </c>
      <c r="S36" s="9">
        <v>302560</v>
      </c>
      <c r="T36" s="9">
        <v>1245582.642237223</v>
      </c>
      <c r="U36" s="9">
        <v>365080</v>
      </c>
      <c r="V36" s="9">
        <v>1574399.8437229649</v>
      </c>
      <c r="W36" s="9">
        <v>230440</v>
      </c>
      <c r="X36" s="9">
        <v>882896.96207183262</v>
      </c>
      <c r="Y36" s="9">
        <v>325580</v>
      </c>
      <c r="Z36" s="9">
        <v>1213070.6422735255</v>
      </c>
      <c r="AA36" s="9">
        <v>2450700</v>
      </c>
      <c r="AB36" s="9">
        <v>9682475.3116520327</v>
      </c>
    </row>
    <row r="37" spans="1:28" x14ac:dyDescent="0.35">
      <c r="A37" s="7">
        <v>3</v>
      </c>
      <c r="B37" s="15" t="s">
        <v>47</v>
      </c>
      <c r="C37" s="16">
        <v>257603</v>
      </c>
      <c r="D37" s="16">
        <v>41912.987730061453</v>
      </c>
      <c r="E37" s="16">
        <v>239057</v>
      </c>
      <c r="F37" s="16">
        <v>595939.28440366825</v>
      </c>
      <c r="G37" s="16">
        <v>254808</v>
      </c>
      <c r="H37" s="16">
        <v>656736.54128440307</v>
      </c>
      <c r="I37" s="16">
        <v>123292</v>
      </c>
      <c r="J37" s="16">
        <v>190247.64740917177</v>
      </c>
      <c r="K37" s="9">
        <v>38342</v>
      </c>
      <c r="L37" s="9">
        <v>19420.263942102956</v>
      </c>
      <c r="M37" s="9">
        <v>84084</v>
      </c>
      <c r="N37" s="9">
        <v>37552.366598903376</v>
      </c>
      <c r="O37" s="9">
        <v>90746</v>
      </c>
      <c r="P37" s="9">
        <v>29839.990165949504</v>
      </c>
      <c r="Q37" s="9">
        <v>101176</v>
      </c>
      <c r="R37" s="9">
        <v>31644.281225065857</v>
      </c>
      <c r="S37" s="9">
        <v>87872</v>
      </c>
      <c r="T37" s="9">
        <v>25306.804484088654</v>
      </c>
      <c r="U37" s="9">
        <v>82748</v>
      </c>
      <c r="V37" s="9">
        <v>31112.51832125193</v>
      </c>
      <c r="W37" s="9">
        <v>104414</v>
      </c>
      <c r="X37" s="9">
        <v>26581.869490771885</v>
      </c>
      <c r="Y37" s="9">
        <v>222145</v>
      </c>
      <c r="Z37" s="9">
        <v>35357.650887771379</v>
      </c>
      <c r="AA37" s="9">
        <v>1686287</v>
      </c>
      <c r="AB37" s="9">
        <v>1721652.2059432101</v>
      </c>
    </row>
    <row r="38" spans="1:28" x14ac:dyDescent="0.35">
      <c r="A38" s="7">
        <v>4</v>
      </c>
      <c r="B38" s="15" t="s">
        <v>34</v>
      </c>
      <c r="C38" s="16">
        <v>142066</v>
      </c>
      <c r="D38" s="16">
        <v>295986.80981595092</v>
      </c>
      <c r="E38" s="16">
        <v>25136</v>
      </c>
      <c r="F38" s="16">
        <v>147400.6116207951</v>
      </c>
      <c r="G38" s="16">
        <v>39397</v>
      </c>
      <c r="H38" s="16">
        <v>248532.64307557882</v>
      </c>
      <c r="I38" s="16">
        <v>98172</v>
      </c>
      <c r="J38" s="16">
        <v>386098.15366289445</v>
      </c>
      <c r="K38" s="9">
        <v>168900</v>
      </c>
      <c r="L38" s="9">
        <v>236002.43264611086</v>
      </c>
      <c r="M38" s="9">
        <v>47500</v>
      </c>
      <c r="N38" s="9">
        <v>70892.626131953424</v>
      </c>
      <c r="O38" s="9">
        <v>13750</v>
      </c>
      <c r="P38" s="9">
        <v>44775.660725261216</v>
      </c>
      <c r="Q38" s="9">
        <v>32900</v>
      </c>
      <c r="R38" s="9">
        <v>43362.180077333825</v>
      </c>
      <c r="S38" s="9">
        <v>17700</v>
      </c>
      <c r="T38" s="9">
        <v>59908.389585342338</v>
      </c>
      <c r="U38" s="9">
        <v>28000</v>
      </c>
      <c r="V38" s="9">
        <v>89111.674774944797</v>
      </c>
      <c r="W38" s="9">
        <v>31720</v>
      </c>
      <c r="X38" s="9">
        <v>94091.985787627302</v>
      </c>
      <c r="Y38" s="9">
        <v>74200</v>
      </c>
      <c r="Z38" s="9">
        <v>91306.729975222377</v>
      </c>
      <c r="AA38" s="9">
        <v>719441</v>
      </c>
      <c r="AB38" s="9">
        <v>1807469.8978790157</v>
      </c>
    </row>
    <row r="39" spans="1:28" x14ac:dyDescent="0.35">
      <c r="A39" s="7">
        <v>5</v>
      </c>
      <c r="B39" s="15" t="s">
        <v>37</v>
      </c>
      <c r="C39" s="16">
        <v>160000</v>
      </c>
      <c r="D39" s="16">
        <v>8901.0429447852766</v>
      </c>
      <c r="E39" s="16">
        <v>366400</v>
      </c>
      <c r="F39" s="16">
        <v>136902.14067278287</v>
      </c>
      <c r="G39" s="16"/>
      <c r="H39" s="16"/>
      <c r="I39" s="16"/>
      <c r="J39" s="16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>
        <v>526400</v>
      </c>
      <c r="AB39" s="9">
        <v>145803.18361756814</v>
      </c>
    </row>
    <row r="40" spans="1:28" x14ac:dyDescent="0.35">
      <c r="A40" s="7">
        <v>6</v>
      </c>
      <c r="B40" s="15" t="s">
        <v>48</v>
      </c>
      <c r="C40" s="16">
        <v>18211</v>
      </c>
      <c r="D40" s="16">
        <v>83948.325153374273</v>
      </c>
      <c r="E40" s="16">
        <v>21303</v>
      </c>
      <c r="F40" s="16">
        <v>108555.23400611625</v>
      </c>
      <c r="G40" s="16">
        <v>31484</v>
      </c>
      <c r="H40" s="16">
        <v>177425.01076452568</v>
      </c>
      <c r="I40" s="16">
        <v>8242</v>
      </c>
      <c r="J40" s="16">
        <v>38622.096486003597</v>
      </c>
      <c r="K40" s="9">
        <v>18799</v>
      </c>
      <c r="L40" s="9">
        <v>97683.653347929052</v>
      </c>
      <c r="M40" s="9">
        <v>19544</v>
      </c>
      <c r="N40" s="9">
        <v>120080.27690507007</v>
      </c>
      <c r="O40" s="9">
        <v>20400</v>
      </c>
      <c r="P40" s="9">
        <v>111772.41831591896</v>
      </c>
      <c r="Q40" s="9">
        <v>18657</v>
      </c>
      <c r="R40" s="9">
        <v>99805.088320137191</v>
      </c>
      <c r="S40" s="9">
        <v>20276</v>
      </c>
      <c r="T40" s="9">
        <v>107418.55635245875</v>
      </c>
      <c r="U40" s="9">
        <v>21361</v>
      </c>
      <c r="V40" s="9">
        <v>97524.721556162578</v>
      </c>
      <c r="W40" s="9">
        <v>17520</v>
      </c>
      <c r="X40" s="9">
        <v>104296.64358784039</v>
      </c>
      <c r="Y40" s="9">
        <v>22444</v>
      </c>
      <c r="Z40" s="9">
        <v>102696.28108587509</v>
      </c>
      <c r="AA40" s="9">
        <v>238241</v>
      </c>
      <c r="AB40" s="9">
        <v>1249828.305881412</v>
      </c>
    </row>
    <row r="41" spans="1:28" x14ac:dyDescent="0.35">
      <c r="A41" s="7">
        <v>7</v>
      </c>
      <c r="B41" s="15" t="s">
        <v>21</v>
      </c>
      <c r="C41" s="16">
        <v>4620</v>
      </c>
      <c r="D41" s="16">
        <v>13208.588957055217</v>
      </c>
      <c r="E41" s="16">
        <v>3274</v>
      </c>
      <c r="F41" s="16">
        <v>7549.8470948012218</v>
      </c>
      <c r="G41" s="16">
        <v>2280</v>
      </c>
      <c r="H41" s="16">
        <v>5993.8837920489295</v>
      </c>
      <c r="I41" s="16">
        <v>4120</v>
      </c>
      <c r="J41" s="16">
        <v>12924.359737939252</v>
      </c>
      <c r="K41" s="9">
        <v>4520</v>
      </c>
      <c r="L41" s="9">
        <v>15629.751261935169</v>
      </c>
      <c r="M41" s="9">
        <v>3920</v>
      </c>
      <c r="N41" s="9">
        <v>12135.772808476557</v>
      </c>
      <c r="O41" s="9">
        <v>1960</v>
      </c>
      <c r="P41" s="9">
        <v>6054.0872771972963</v>
      </c>
      <c r="Q41" s="9">
        <v>2680</v>
      </c>
      <c r="R41" s="9">
        <v>8469.895046952679</v>
      </c>
      <c r="S41" s="9">
        <v>3600</v>
      </c>
      <c r="T41" s="9">
        <v>11903.326904532307</v>
      </c>
      <c r="U41" s="9">
        <v>5760</v>
      </c>
      <c r="V41" s="9">
        <v>19052.293118323785</v>
      </c>
      <c r="W41" s="9">
        <v>6480</v>
      </c>
      <c r="X41" s="9">
        <v>21305.542004778028</v>
      </c>
      <c r="Y41" s="9">
        <v>5260</v>
      </c>
      <c r="Z41" s="9">
        <v>17770.063064731603</v>
      </c>
      <c r="AA41" s="9">
        <v>48474</v>
      </c>
      <c r="AB41" s="9">
        <v>151997.41106877202</v>
      </c>
    </row>
    <row r="42" spans="1:28" x14ac:dyDescent="0.35">
      <c r="A42" s="7">
        <v>8</v>
      </c>
      <c r="B42" s="15" t="s">
        <v>96</v>
      </c>
      <c r="C42" s="16"/>
      <c r="D42" s="16"/>
      <c r="E42" s="16"/>
      <c r="F42" s="16"/>
      <c r="G42" s="16">
        <v>21000</v>
      </c>
      <c r="H42" s="16">
        <v>60366.972477064221</v>
      </c>
      <c r="I42" s="16"/>
      <c r="J42" s="16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>
        <v>21000</v>
      </c>
      <c r="AB42" s="9">
        <v>60366.972477064221</v>
      </c>
    </row>
    <row r="43" spans="1:28" x14ac:dyDescent="0.35">
      <c r="A43" s="7">
        <v>9</v>
      </c>
      <c r="B43" s="15" t="s">
        <v>39</v>
      </c>
      <c r="C43" s="16"/>
      <c r="D43" s="16"/>
      <c r="E43" s="16"/>
      <c r="F43" s="16"/>
      <c r="G43" s="16"/>
      <c r="H43" s="16"/>
      <c r="I43" s="16"/>
      <c r="J43" s="16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>
        <v>13000</v>
      </c>
      <c r="X43" s="9">
        <v>2630.9797299852471</v>
      </c>
      <c r="Y43" s="9"/>
      <c r="Z43" s="9"/>
      <c r="AA43" s="9">
        <v>13000</v>
      </c>
      <c r="AB43" s="9">
        <v>2630.9797299852471</v>
      </c>
    </row>
    <row r="44" spans="1:28" x14ac:dyDescent="0.35">
      <c r="A44" s="7">
        <v>10</v>
      </c>
      <c r="B44" s="15" t="s">
        <v>28</v>
      </c>
      <c r="C44" s="16"/>
      <c r="D44" s="16"/>
      <c r="E44" s="16"/>
      <c r="F44" s="16"/>
      <c r="G44" s="16"/>
      <c r="H44" s="16"/>
      <c r="I44" s="16">
        <v>5000</v>
      </c>
      <c r="J44" s="16">
        <v>297.79630732578914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>
        <v>5000</v>
      </c>
      <c r="AB44" s="9">
        <v>297.79630732578914</v>
      </c>
    </row>
    <row r="45" spans="1:28" x14ac:dyDescent="0.35">
      <c r="A45" s="7">
        <v>11</v>
      </c>
      <c r="B45" s="15" t="s">
        <v>40</v>
      </c>
      <c r="C45" s="16"/>
      <c r="D45" s="16"/>
      <c r="E45" s="16"/>
      <c r="F45" s="16"/>
      <c r="G45" s="16">
        <v>50</v>
      </c>
      <c r="H45" s="16">
        <v>6.1162079510703364</v>
      </c>
      <c r="I45" s="16"/>
      <c r="J45" s="16"/>
      <c r="K45" s="9">
        <v>190</v>
      </c>
      <c r="L45" s="9">
        <v>92.44055221066715</v>
      </c>
      <c r="M45" s="9"/>
      <c r="N45" s="9"/>
      <c r="O45" s="9">
        <v>400</v>
      </c>
      <c r="P45" s="9">
        <v>196.68100799016594</v>
      </c>
      <c r="Q45" s="9"/>
      <c r="R45" s="9"/>
      <c r="S45" s="9">
        <v>2000</v>
      </c>
      <c r="T45" s="9">
        <v>361.62005785920928</v>
      </c>
      <c r="U45" s="9">
        <v>150</v>
      </c>
      <c r="V45" s="9">
        <v>27.131430073562349</v>
      </c>
      <c r="W45" s="9"/>
      <c r="X45" s="9"/>
      <c r="Y45" s="9"/>
      <c r="Z45" s="9"/>
      <c r="AA45" s="9">
        <v>2790</v>
      </c>
      <c r="AB45" s="9">
        <v>683.98925608467505</v>
      </c>
    </row>
    <row r="46" spans="1:28" x14ac:dyDescent="0.35">
      <c r="A46" s="7">
        <v>12</v>
      </c>
      <c r="B46" s="1" t="s">
        <v>29</v>
      </c>
      <c r="M46" s="1">
        <v>167</v>
      </c>
      <c r="N46" s="1">
        <v>709.3474403991861</v>
      </c>
      <c r="S46" s="1">
        <v>227</v>
      </c>
      <c r="T46" s="1">
        <v>115.71636933461909</v>
      </c>
      <c r="AA46" s="1">
        <v>394</v>
      </c>
      <c r="AB46" s="1">
        <v>825.06380973380521</v>
      </c>
    </row>
    <row r="47" spans="1:28" x14ac:dyDescent="0.35">
      <c r="A47" s="7">
        <v>13</v>
      </c>
      <c r="B47" s="1" t="s">
        <v>118</v>
      </c>
      <c r="P47" s="9"/>
      <c r="W47" s="1">
        <v>20</v>
      </c>
      <c r="X47" s="1">
        <v>7.1917441366339334</v>
      </c>
      <c r="Y47" s="1">
        <v>175</v>
      </c>
      <c r="Z47" s="1">
        <v>62.908180101039036</v>
      </c>
      <c r="AA47" s="1">
        <v>195</v>
      </c>
      <c r="AB47" s="1">
        <v>70.099924237672965</v>
      </c>
    </row>
    <row r="48" spans="1:28" x14ac:dyDescent="0.35">
      <c r="A48" s="7">
        <v>14</v>
      </c>
      <c r="B48" s="1" t="s">
        <v>99</v>
      </c>
      <c r="W48" s="1">
        <v>178</v>
      </c>
      <c r="X48" s="1">
        <v>213.35507605347334</v>
      </c>
      <c r="AA48" s="1">
        <v>178</v>
      </c>
      <c r="AB48" s="1">
        <v>213.35507605347334</v>
      </c>
    </row>
    <row r="49" spans="1:28" x14ac:dyDescent="0.35">
      <c r="A49" s="7">
        <v>15</v>
      </c>
      <c r="B49" s="1" t="s">
        <v>27</v>
      </c>
      <c r="W49" s="1">
        <v>100</v>
      </c>
      <c r="X49" s="1">
        <v>11.986240227723222</v>
      </c>
      <c r="AA49" s="1">
        <v>100</v>
      </c>
      <c r="AB49" s="1">
        <v>11.986240227723222</v>
      </c>
    </row>
    <row r="50" spans="1:28" x14ac:dyDescent="0.35">
      <c r="A50" s="11"/>
      <c r="B50" s="13" t="s">
        <v>49</v>
      </c>
      <c r="C50" s="14">
        <f>SUM(C35:C49)</f>
        <v>2082520</v>
      </c>
      <c r="D50" s="14">
        <f t="shared" ref="D50:AB50" si="1">SUM(D35:D49)</f>
        <v>2895522.3190184035</v>
      </c>
      <c r="E50" s="14">
        <f t="shared" si="1"/>
        <v>2266670</v>
      </c>
      <c r="F50" s="14">
        <f t="shared" si="1"/>
        <v>3614465.4333944931</v>
      </c>
      <c r="G50" s="14">
        <f t="shared" si="1"/>
        <v>859280</v>
      </c>
      <c r="H50" s="14">
        <f t="shared" si="1"/>
        <v>1786733.2116382688</v>
      </c>
      <c r="I50" s="14">
        <f t="shared" si="1"/>
        <v>1104096</v>
      </c>
      <c r="J50" s="14">
        <f t="shared" si="1"/>
        <v>880692.85288862372</v>
      </c>
      <c r="K50" s="14">
        <f t="shared" si="1"/>
        <v>2084431</v>
      </c>
      <c r="L50" s="14">
        <f t="shared" si="1"/>
        <v>1500101.2843560586</v>
      </c>
      <c r="M50" s="14">
        <f t="shared" si="1"/>
        <v>665185</v>
      </c>
      <c r="N50" s="14">
        <f t="shared" si="1"/>
        <v>1631588.1093451618</v>
      </c>
      <c r="O50" s="14">
        <f t="shared" si="1"/>
        <v>745516</v>
      </c>
      <c r="P50" s="14">
        <f t="shared" si="1"/>
        <v>1575090.128211431</v>
      </c>
      <c r="Q50" s="14">
        <f t="shared" si="1"/>
        <v>489277</v>
      </c>
      <c r="R50" s="14">
        <f t="shared" si="1"/>
        <v>1683820.1508623336</v>
      </c>
      <c r="S50" s="14">
        <f t="shared" si="1"/>
        <v>444255</v>
      </c>
      <c r="T50" s="14">
        <f t="shared" si="1"/>
        <v>1454521.839018804</v>
      </c>
      <c r="U50" s="14">
        <f t="shared" si="1"/>
        <v>503119</v>
      </c>
      <c r="V50" s="14">
        <f t="shared" si="1"/>
        <v>1811235.4179717412</v>
      </c>
      <c r="W50" s="14">
        <f t="shared" si="1"/>
        <v>403892</v>
      </c>
      <c r="X50" s="14">
        <f t="shared" si="1"/>
        <v>1132043.7074773901</v>
      </c>
      <c r="Y50" s="14">
        <f t="shared" si="1"/>
        <v>649804</v>
      </c>
      <c r="Z50" s="14">
        <f t="shared" si="1"/>
        <v>1460264.275467227</v>
      </c>
      <c r="AA50" s="14">
        <f t="shared" si="1"/>
        <v>12298045</v>
      </c>
      <c r="AB50" s="14">
        <f t="shared" si="1"/>
        <v>21426078.729649927</v>
      </c>
    </row>
  </sheetData>
  <mergeCells count="16">
    <mergeCell ref="AA3:AB3"/>
    <mergeCell ref="A1:AB1"/>
    <mergeCell ref="A3:A4"/>
    <mergeCell ref="B3:B4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022F4-CA49-4131-9342-4DCE0C8BE4B6}">
  <dimension ref="A1:AO87"/>
  <sheetViews>
    <sheetView tabSelected="1" topLeftCell="W1" zoomScale="60" zoomScaleNormal="60" workbookViewId="0">
      <selection activeCell="J19" sqref="J19"/>
    </sheetView>
  </sheetViews>
  <sheetFormatPr defaultRowHeight="14.5" x14ac:dyDescent="0.35"/>
  <cols>
    <col min="1" max="1" width="3.7265625" customWidth="1"/>
    <col min="2" max="2" width="30.90625" bestFit="1" customWidth="1"/>
    <col min="3" max="3" width="17.36328125" bestFit="1" customWidth="1"/>
    <col min="4" max="4" width="5.36328125" customWidth="1"/>
    <col min="5" max="5" width="3.453125" bestFit="1" customWidth="1"/>
    <col min="6" max="7" width="20.7265625" bestFit="1" customWidth="1"/>
    <col min="8" max="8" width="3.90625" customWidth="1"/>
    <col min="9" max="9" width="4.54296875" style="22" customWidth="1"/>
    <col min="10" max="10" width="28.1796875" bestFit="1" customWidth="1"/>
    <col min="11" max="11" width="17.7265625" bestFit="1" customWidth="1"/>
    <col min="12" max="12" width="19.08984375" customWidth="1"/>
    <col min="13" max="13" width="4.08984375" customWidth="1"/>
    <col min="14" max="14" width="5.36328125" customWidth="1"/>
    <col min="15" max="15" width="25.7265625" customWidth="1"/>
    <col min="16" max="20" width="14.36328125" bestFit="1" customWidth="1"/>
    <col min="21" max="27" width="14.36328125" customWidth="1"/>
    <col min="28" max="28" width="12.453125" bestFit="1" customWidth="1"/>
    <col min="29" max="40" width="15.36328125" customWidth="1"/>
    <col min="41" max="41" width="12.453125" bestFit="1" customWidth="1"/>
  </cols>
  <sheetData>
    <row r="1" spans="1:41" ht="15.5" x14ac:dyDescent="0.35">
      <c r="A1" s="58" t="s">
        <v>132</v>
      </c>
      <c r="B1" s="58"/>
      <c r="C1" s="58"/>
      <c r="D1" s="1"/>
      <c r="E1" s="58" t="s">
        <v>133</v>
      </c>
      <c r="F1" s="58"/>
      <c r="G1" s="58"/>
      <c r="H1" s="1"/>
      <c r="I1" s="58" t="s">
        <v>134</v>
      </c>
      <c r="J1" s="58"/>
      <c r="K1" s="58"/>
      <c r="L1" s="58"/>
      <c r="M1" s="1"/>
      <c r="N1" s="58" t="s">
        <v>135</v>
      </c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</row>
    <row r="2" spans="1:41" ht="15.5" x14ac:dyDescent="0.35">
      <c r="A2" s="17" t="s">
        <v>1</v>
      </c>
      <c r="B2" s="17" t="s">
        <v>50</v>
      </c>
      <c r="C2" s="17" t="s">
        <v>51</v>
      </c>
      <c r="D2" s="18"/>
      <c r="E2" s="19" t="s">
        <v>1</v>
      </c>
      <c r="F2" s="19" t="s">
        <v>50</v>
      </c>
      <c r="G2" s="19" t="s">
        <v>17</v>
      </c>
      <c r="I2" s="17" t="s">
        <v>1</v>
      </c>
      <c r="J2" s="17" t="s">
        <v>52</v>
      </c>
      <c r="K2" s="17" t="s">
        <v>53</v>
      </c>
      <c r="L2" s="17" t="s">
        <v>17</v>
      </c>
      <c r="N2" s="56" t="s">
        <v>1</v>
      </c>
      <c r="O2" s="56" t="s">
        <v>2</v>
      </c>
      <c r="P2" s="54" t="s">
        <v>54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</row>
    <row r="3" spans="1:41" ht="15.5" x14ac:dyDescent="0.35">
      <c r="A3" s="20" t="s">
        <v>20</v>
      </c>
      <c r="B3" s="20"/>
      <c r="C3" s="20"/>
      <c r="D3" s="21"/>
      <c r="E3" s="45">
        <v>1</v>
      </c>
      <c r="F3" s="46" t="s">
        <v>21</v>
      </c>
      <c r="G3" s="47">
        <v>99384726.100096494</v>
      </c>
      <c r="I3" s="45">
        <v>1</v>
      </c>
      <c r="J3" s="46" t="s">
        <v>56</v>
      </c>
      <c r="K3" s="47">
        <v>11401247.629999997</v>
      </c>
      <c r="L3" s="47">
        <v>23004114.650548957</v>
      </c>
      <c r="N3" s="56"/>
      <c r="O3" s="56"/>
      <c r="P3" s="57" t="s">
        <v>16</v>
      </c>
      <c r="Q3" s="57"/>
      <c r="R3" s="57"/>
      <c r="S3" s="57"/>
      <c r="T3" s="57"/>
      <c r="U3" s="2"/>
      <c r="V3" s="2"/>
      <c r="W3" s="2"/>
      <c r="X3" s="2"/>
      <c r="Y3" s="2"/>
      <c r="Z3" s="2"/>
      <c r="AA3" s="2"/>
      <c r="AB3" s="2"/>
      <c r="AC3" s="57" t="s">
        <v>17</v>
      </c>
      <c r="AD3" s="57"/>
      <c r="AE3" s="57"/>
      <c r="AF3" s="57"/>
      <c r="AG3" s="2"/>
      <c r="AH3" s="2"/>
      <c r="AI3" s="2"/>
      <c r="AJ3" s="2"/>
      <c r="AK3" s="2"/>
      <c r="AL3" s="2"/>
      <c r="AM3" s="2"/>
      <c r="AN3" s="2"/>
      <c r="AO3" s="2"/>
    </row>
    <row r="4" spans="1:41" ht="15.5" x14ac:dyDescent="0.35">
      <c r="A4" s="45">
        <v>1</v>
      </c>
      <c r="B4" s="46" t="s">
        <v>21</v>
      </c>
      <c r="C4" s="47">
        <v>9939204.3000000231</v>
      </c>
      <c r="D4" s="24"/>
      <c r="E4" s="45">
        <v>2</v>
      </c>
      <c r="F4" s="46" t="s">
        <v>22</v>
      </c>
      <c r="G4" s="47">
        <v>24899947.884347271</v>
      </c>
      <c r="I4" s="45">
        <v>2</v>
      </c>
      <c r="J4" s="46" t="s">
        <v>55</v>
      </c>
      <c r="K4" s="47">
        <v>9668201.828000024</v>
      </c>
      <c r="L4" s="47">
        <v>102530554.71028857</v>
      </c>
      <c r="N4" s="3" t="s">
        <v>20</v>
      </c>
      <c r="O4" s="4"/>
      <c r="P4" s="25" t="s">
        <v>3</v>
      </c>
      <c r="Q4" s="25" t="s">
        <v>4</v>
      </c>
      <c r="R4" s="25" t="s">
        <v>5</v>
      </c>
      <c r="S4" s="25" t="s">
        <v>6</v>
      </c>
      <c r="T4" s="25" t="s">
        <v>7</v>
      </c>
      <c r="U4" s="25" t="s">
        <v>8</v>
      </c>
      <c r="V4" s="25" t="s">
        <v>9</v>
      </c>
      <c r="W4" s="25" t="s">
        <v>10</v>
      </c>
      <c r="X4" s="25" t="s">
        <v>11</v>
      </c>
      <c r="Y4" s="25" t="s">
        <v>110</v>
      </c>
      <c r="Z4" s="25" t="s">
        <v>13</v>
      </c>
      <c r="AA4" s="25" t="s">
        <v>136</v>
      </c>
      <c r="AB4" s="40" t="s">
        <v>95</v>
      </c>
      <c r="AC4" s="25" t="s">
        <v>3</v>
      </c>
      <c r="AD4" s="25" t="s">
        <v>4</v>
      </c>
      <c r="AE4" s="25" t="s">
        <v>5</v>
      </c>
      <c r="AF4" s="25" t="s">
        <v>6</v>
      </c>
      <c r="AG4" s="25" t="s">
        <v>7</v>
      </c>
      <c r="AH4" s="25" t="s">
        <v>8</v>
      </c>
      <c r="AI4" s="25" t="s">
        <v>9</v>
      </c>
      <c r="AJ4" s="25" t="s">
        <v>10</v>
      </c>
      <c r="AK4" s="25" t="s">
        <v>11</v>
      </c>
      <c r="AL4" s="25" t="s">
        <v>110</v>
      </c>
      <c r="AM4" s="25" t="s">
        <v>13</v>
      </c>
      <c r="AN4" s="25" t="s">
        <v>136</v>
      </c>
      <c r="AO4" s="40" t="s">
        <v>95</v>
      </c>
    </row>
    <row r="5" spans="1:41" ht="15.5" x14ac:dyDescent="0.35">
      <c r="A5" s="45">
        <v>2</v>
      </c>
      <c r="B5" s="46" t="s">
        <v>22</v>
      </c>
      <c r="C5" s="47">
        <v>8993584.9500000067</v>
      </c>
      <c r="D5" s="24"/>
      <c r="E5" s="45">
        <v>3</v>
      </c>
      <c r="F5" s="46" t="s">
        <v>24</v>
      </c>
      <c r="G5" s="47">
        <v>15586889.111589188</v>
      </c>
      <c r="I5" s="45">
        <v>3</v>
      </c>
      <c r="J5" s="46" t="s">
        <v>57</v>
      </c>
      <c r="K5" s="47">
        <v>3086037.9819999989</v>
      </c>
      <c r="L5" s="47">
        <v>21907376.145407427</v>
      </c>
      <c r="N5" s="7">
        <v>1</v>
      </c>
      <c r="O5" s="53" t="s">
        <v>22</v>
      </c>
      <c r="P5" s="48">
        <v>5461938.7650000006</v>
      </c>
      <c r="Q5" s="50">
        <v>4195789.1700000009</v>
      </c>
      <c r="R5" s="50">
        <v>4193734.5200000014</v>
      </c>
      <c r="S5" s="50">
        <v>3644923.6900000013</v>
      </c>
      <c r="T5" s="50">
        <v>6367865.5742000034</v>
      </c>
      <c r="U5" s="48">
        <v>4815438.2929999977</v>
      </c>
      <c r="V5" s="48">
        <v>5344720.9100000011</v>
      </c>
      <c r="W5" s="48">
        <v>5397708.7600000016</v>
      </c>
      <c r="X5" s="50">
        <v>6232452.9219999993</v>
      </c>
      <c r="Y5" s="48">
        <v>10138308.749999989</v>
      </c>
      <c r="Z5" s="48">
        <v>9427158.3399999999</v>
      </c>
      <c r="AA5" s="48">
        <v>8993584.9500000067</v>
      </c>
      <c r="AB5" s="41">
        <f>(AA5-Z5)/Z5</f>
        <v>-4.5991949467987098E-2</v>
      </c>
      <c r="AC5" s="50">
        <v>15237266.499938674</v>
      </c>
      <c r="AD5" s="50">
        <v>13576579.0669847</v>
      </c>
      <c r="AE5" s="50">
        <v>13887388.751865435</v>
      </c>
      <c r="AF5" s="50">
        <v>10002240.113460377</v>
      </c>
      <c r="AG5" s="50">
        <v>16745407.406130284</v>
      </c>
      <c r="AH5" s="50">
        <v>13369277.017406017</v>
      </c>
      <c r="AI5" s="50">
        <v>16619871.398955125</v>
      </c>
      <c r="AJ5" s="50">
        <v>17088342.39237703</v>
      </c>
      <c r="AK5" s="50">
        <v>17519291.828652442</v>
      </c>
      <c r="AL5" s="50">
        <v>28554990.966198336</v>
      </c>
      <c r="AM5" s="50">
        <v>25178229.611222576</v>
      </c>
      <c r="AN5" s="50">
        <v>24899947.884347271</v>
      </c>
      <c r="AO5" s="41">
        <f>(AN5-AM5)/AM5</f>
        <v>-1.1052473949608749E-2</v>
      </c>
    </row>
    <row r="6" spans="1:41" ht="15.5" x14ac:dyDescent="0.35">
      <c r="A6" s="45">
        <v>3</v>
      </c>
      <c r="B6" s="46" t="s">
        <v>25</v>
      </c>
      <c r="C6" s="47">
        <v>4251097.334999999</v>
      </c>
      <c r="D6" s="24"/>
      <c r="E6" s="45">
        <v>4</v>
      </c>
      <c r="F6" s="46" t="s">
        <v>29</v>
      </c>
      <c r="G6" s="47">
        <v>11964766.823965747</v>
      </c>
      <c r="I6" s="45">
        <v>4</v>
      </c>
      <c r="J6" s="46" t="s">
        <v>59</v>
      </c>
      <c r="K6" s="47">
        <v>1421466.75</v>
      </c>
      <c r="L6" s="47">
        <v>4443258.854381769</v>
      </c>
      <c r="N6" s="7">
        <v>2</v>
      </c>
      <c r="O6" s="53" t="s">
        <v>21</v>
      </c>
      <c r="P6" s="50">
        <v>5088552.8599999985</v>
      </c>
      <c r="Q6" s="48">
        <v>6040839.1920000045</v>
      </c>
      <c r="R6" s="48">
        <v>6580887.2720000027</v>
      </c>
      <c r="S6" s="48">
        <v>4980061.7810000004</v>
      </c>
      <c r="T6" s="48">
        <v>6669250.6640000101</v>
      </c>
      <c r="U6" s="50">
        <v>4137688.919999999</v>
      </c>
      <c r="V6" s="50">
        <v>4487550.7600000054</v>
      </c>
      <c r="W6" s="50">
        <v>4732142.2140000015</v>
      </c>
      <c r="X6" s="48">
        <v>6330722.0020000003</v>
      </c>
      <c r="Y6" s="50">
        <v>3889105.3100000015</v>
      </c>
      <c r="Z6" s="50">
        <v>5797755.950000002</v>
      </c>
      <c r="AA6" s="50">
        <v>9939204.3000000231</v>
      </c>
      <c r="AB6" s="51">
        <f t="shared" ref="AB6:AB32" si="0">(AA6-Z6)/Z6</f>
        <v>0.71431919275595235</v>
      </c>
      <c r="AC6" s="48">
        <v>43810971.05840493</v>
      </c>
      <c r="AD6" s="48">
        <v>55153937.493822522</v>
      </c>
      <c r="AE6" s="48">
        <v>60445633.036513716</v>
      </c>
      <c r="AF6" s="48">
        <v>44726832.838415705</v>
      </c>
      <c r="AG6" s="48">
        <v>62917443.022988521</v>
      </c>
      <c r="AH6" s="48">
        <v>39361312.763321526</v>
      </c>
      <c r="AI6" s="48">
        <v>41747109.909772582</v>
      </c>
      <c r="AJ6" s="48">
        <v>47179209.654207245</v>
      </c>
      <c r="AK6" s="48">
        <v>62909059.938946664</v>
      </c>
      <c r="AL6" s="48">
        <v>34698014.943147525</v>
      </c>
      <c r="AM6" s="48">
        <v>53773576.300155915</v>
      </c>
      <c r="AN6" s="48">
        <v>99366956.037031755</v>
      </c>
      <c r="AO6" s="51">
        <f t="shared" ref="AO6:AO32" si="1">(AN6-AM6)/AM6</f>
        <v>0.84787702202249926</v>
      </c>
    </row>
    <row r="7" spans="1:41" ht="15.5" x14ac:dyDescent="0.35">
      <c r="A7" s="45">
        <v>4</v>
      </c>
      <c r="B7" s="46" t="s">
        <v>24</v>
      </c>
      <c r="C7" s="47">
        <v>4152109.870000001</v>
      </c>
      <c r="D7" s="24"/>
      <c r="E7" s="45">
        <v>5</v>
      </c>
      <c r="F7" s="46" t="s">
        <v>25</v>
      </c>
      <c r="G7" s="47">
        <v>11780895.405618487</v>
      </c>
      <c r="I7" s="45">
        <v>5</v>
      </c>
      <c r="J7" s="46" t="s">
        <v>69</v>
      </c>
      <c r="K7" s="47">
        <v>1372313.8</v>
      </c>
      <c r="L7" s="47">
        <v>2997556.5069282791</v>
      </c>
      <c r="N7" s="7">
        <v>3</v>
      </c>
      <c r="O7" t="s">
        <v>23</v>
      </c>
      <c r="P7" s="50">
        <v>2410550.2600000002</v>
      </c>
      <c r="Q7" s="50">
        <v>3152840.33</v>
      </c>
      <c r="R7" s="50">
        <v>4135220.09</v>
      </c>
      <c r="S7" s="50">
        <v>2388518.5300000003</v>
      </c>
      <c r="T7" s="50">
        <v>3590335.03</v>
      </c>
      <c r="U7" s="50">
        <v>3041617.69</v>
      </c>
      <c r="V7" s="50">
        <v>4199127.9800000004</v>
      </c>
      <c r="W7" s="50">
        <v>4850338.5600000015</v>
      </c>
      <c r="X7" s="50">
        <v>4980587.6900000004</v>
      </c>
      <c r="Y7" s="50">
        <v>5359019.370000001</v>
      </c>
      <c r="Z7" s="50">
        <v>4465446.2200000007</v>
      </c>
      <c r="AA7" s="50">
        <v>3532476.6</v>
      </c>
      <c r="AB7" s="41">
        <f t="shared" si="0"/>
        <v>-0.20893088261177187</v>
      </c>
      <c r="AC7" s="50">
        <v>3345037.2648466271</v>
      </c>
      <c r="AD7" s="50">
        <v>5901067.7826911295</v>
      </c>
      <c r="AE7" s="50">
        <v>5008595.4071559636</v>
      </c>
      <c r="AF7" s="50">
        <v>3556438.0818344257</v>
      </c>
      <c r="AG7" s="50">
        <v>5368129.0603904417</v>
      </c>
      <c r="AH7" s="50">
        <v>4563883.5284913462</v>
      </c>
      <c r="AI7" s="50">
        <v>4972083.5800245833</v>
      </c>
      <c r="AJ7" s="50">
        <v>6431898.7610630281</v>
      </c>
      <c r="AK7" s="50">
        <v>5883609.8688524561</v>
      </c>
      <c r="AL7" s="50">
        <v>5663050.0284879999</v>
      </c>
      <c r="AM7" s="50">
        <v>6094147.279931942</v>
      </c>
      <c r="AN7" s="50">
        <v>4751498.5024468061</v>
      </c>
      <c r="AO7" s="41">
        <f t="shared" si="1"/>
        <v>-0.22031774353509395</v>
      </c>
    </row>
    <row r="8" spans="1:41" ht="15.5" x14ac:dyDescent="0.35">
      <c r="A8" s="45">
        <v>5</v>
      </c>
      <c r="B8" s="46" t="s">
        <v>23</v>
      </c>
      <c r="C8" s="47">
        <v>3532476.6</v>
      </c>
      <c r="D8" s="24"/>
      <c r="E8" s="22">
        <v>6</v>
      </c>
      <c r="F8" t="s">
        <v>32</v>
      </c>
      <c r="G8" s="23">
        <v>11325651.107362812</v>
      </c>
      <c r="I8" s="22">
        <v>6</v>
      </c>
      <c r="J8" t="s">
        <v>58</v>
      </c>
      <c r="K8" s="23">
        <v>1031287.86</v>
      </c>
      <c r="L8" s="23">
        <v>3398720.7505346076</v>
      </c>
      <c r="N8" s="7">
        <v>4</v>
      </c>
      <c r="O8" t="s">
        <v>24</v>
      </c>
      <c r="P8" s="50">
        <v>2341854.7200000007</v>
      </c>
      <c r="Q8" s="50">
        <v>2699081.2449999992</v>
      </c>
      <c r="R8" s="50">
        <v>4555707.7100000018</v>
      </c>
      <c r="S8" s="50">
        <v>3046904.9200000004</v>
      </c>
      <c r="T8" s="50">
        <v>2864087.5000000005</v>
      </c>
      <c r="U8" s="50">
        <v>3338698.42</v>
      </c>
      <c r="V8" s="50">
        <v>3691666.0550000025</v>
      </c>
      <c r="W8" s="50">
        <v>2554977.59</v>
      </c>
      <c r="X8" s="50">
        <v>2932799.8300000005</v>
      </c>
      <c r="Y8" s="50">
        <v>4590255.4099999992</v>
      </c>
      <c r="Z8" s="50">
        <v>4570408.07</v>
      </c>
      <c r="AA8" s="50">
        <v>4152109.870000001</v>
      </c>
      <c r="AB8" s="41">
        <f t="shared" si="0"/>
        <v>-9.152316239455599E-2</v>
      </c>
      <c r="AC8" s="50">
        <v>9350225.9823312815</v>
      </c>
      <c r="AD8" s="50">
        <v>11697838.508406091</v>
      </c>
      <c r="AE8" s="50">
        <v>16706467.48782875</v>
      </c>
      <c r="AF8" s="50">
        <v>11191260.565812983</v>
      </c>
      <c r="AG8" s="50">
        <v>10320550.203916559</v>
      </c>
      <c r="AH8" s="50">
        <v>11998503.883385682</v>
      </c>
      <c r="AI8" s="50">
        <v>14895679.290165948</v>
      </c>
      <c r="AJ8" s="50">
        <v>8672366.2489412613</v>
      </c>
      <c r="AK8" s="50">
        <v>9286201.4529893808</v>
      </c>
      <c r="AL8" s="50">
        <v>14198322.032409405</v>
      </c>
      <c r="AM8" s="50">
        <v>14860900.97391439</v>
      </c>
      <c r="AN8" s="50">
        <v>15586889.111589188</v>
      </c>
      <c r="AO8" s="51">
        <f t="shared" si="1"/>
        <v>4.8852229010148004E-2</v>
      </c>
    </row>
    <row r="9" spans="1:41" ht="15.5" x14ac:dyDescent="0.35">
      <c r="A9" s="22">
        <v>6</v>
      </c>
      <c r="B9" t="s">
        <v>27</v>
      </c>
      <c r="C9" s="23">
        <v>2003258.4300000004</v>
      </c>
      <c r="D9" s="24"/>
      <c r="E9" s="22">
        <v>7</v>
      </c>
      <c r="F9" t="s">
        <v>27</v>
      </c>
      <c r="G9" s="23">
        <v>9290139.1149098258</v>
      </c>
      <c r="I9" s="22">
        <v>7</v>
      </c>
      <c r="J9" t="s">
        <v>60</v>
      </c>
      <c r="K9" s="23">
        <v>915358.3</v>
      </c>
      <c r="L9" s="23">
        <v>3461611.2169502825</v>
      </c>
      <c r="N9" s="7">
        <v>5</v>
      </c>
      <c r="O9" t="s">
        <v>25</v>
      </c>
      <c r="P9" s="50">
        <v>2553744.6799999997</v>
      </c>
      <c r="Q9" s="50">
        <v>2236978</v>
      </c>
      <c r="R9" s="50">
        <v>2660761.1000000006</v>
      </c>
      <c r="S9" s="50">
        <v>2304171.6800000002</v>
      </c>
      <c r="T9" s="50">
        <v>3097515.774999999</v>
      </c>
      <c r="U9" s="50">
        <v>2377406.7500000009</v>
      </c>
      <c r="V9" s="50">
        <v>2724616.6099999994</v>
      </c>
      <c r="W9" s="50">
        <v>3687960.665000001</v>
      </c>
      <c r="X9" s="50">
        <v>3581456.4299999978</v>
      </c>
      <c r="Y9" s="50">
        <v>3835120.5749999983</v>
      </c>
      <c r="Z9" s="50">
        <v>3824116.084999999</v>
      </c>
      <c r="AA9" s="50">
        <v>4251097.334999999</v>
      </c>
      <c r="AB9" s="51">
        <f t="shared" si="0"/>
        <v>0.11165488717113568</v>
      </c>
      <c r="AC9" s="50">
        <v>6155952.5942331273</v>
      </c>
      <c r="AD9" s="50">
        <v>5268073.1042056149</v>
      </c>
      <c r="AE9" s="50">
        <v>6134046.6382824127</v>
      </c>
      <c r="AF9" s="50">
        <v>5561947.1178677771</v>
      </c>
      <c r="AG9" s="50">
        <v>7747485.0539439274</v>
      </c>
      <c r="AH9" s="50">
        <v>5860018.2684038682</v>
      </c>
      <c r="AI9" s="50">
        <v>6962287.696312231</v>
      </c>
      <c r="AJ9" s="50">
        <v>8647030.180936601</v>
      </c>
      <c r="AK9" s="50">
        <v>8337602.8889826406</v>
      </c>
      <c r="AL9" s="50">
        <v>8950495.2836530693</v>
      </c>
      <c r="AM9" s="50">
        <v>9498310.4507417232</v>
      </c>
      <c r="AN9" s="50">
        <v>11780895.405618487</v>
      </c>
      <c r="AO9" s="51">
        <f t="shared" si="1"/>
        <v>0.2403148398564417</v>
      </c>
    </row>
    <row r="10" spans="1:41" ht="15.5" x14ac:dyDescent="0.35">
      <c r="A10" s="22">
        <v>7</v>
      </c>
      <c r="B10" t="s">
        <v>30</v>
      </c>
      <c r="C10" s="23">
        <v>1730416</v>
      </c>
      <c r="D10" s="24"/>
      <c r="E10" s="22">
        <v>8</v>
      </c>
      <c r="F10" t="s">
        <v>26</v>
      </c>
      <c r="G10" s="23">
        <v>7892911.3409075653</v>
      </c>
      <c r="I10" s="22">
        <v>8</v>
      </c>
      <c r="J10" t="s">
        <v>62</v>
      </c>
      <c r="K10" s="23">
        <v>721518</v>
      </c>
      <c r="L10" s="23">
        <v>2341862.8451772593</v>
      </c>
      <c r="N10" s="7">
        <v>6</v>
      </c>
      <c r="O10" t="s">
        <v>27</v>
      </c>
      <c r="P10" s="50">
        <v>711399.55</v>
      </c>
      <c r="Q10" s="50">
        <v>957442.52000000014</v>
      </c>
      <c r="R10" s="50">
        <v>929567.174</v>
      </c>
      <c r="S10" s="50">
        <v>790176.45200000016</v>
      </c>
      <c r="T10" s="50">
        <v>1031792.1819999997</v>
      </c>
      <c r="U10" s="50">
        <v>569419.78</v>
      </c>
      <c r="V10" s="50">
        <v>1496616.6280000003</v>
      </c>
      <c r="W10" s="50">
        <v>1744595.1700000002</v>
      </c>
      <c r="X10" s="50">
        <v>1972072.1100000008</v>
      </c>
      <c r="Y10" s="50">
        <v>1820462.0999999996</v>
      </c>
      <c r="Z10" s="50">
        <v>1698121.5999999994</v>
      </c>
      <c r="AA10" s="50">
        <v>2003258.4300000004</v>
      </c>
      <c r="AB10" s="51">
        <f t="shared" si="0"/>
        <v>0.17969080070591006</v>
      </c>
      <c r="AC10" s="50">
        <v>3179548.7926993864</v>
      </c>
      <c r="AD10" s="50">
        <v>4818761.6414678898</v>
      </c>
      <c r="AE10" s="50">
        <v>4275791.3247094806</v>
      </c>
      <c r="AF10" s="50">
        <v>3347067.9671828477</v>
      </c>
      <c r="AG10" s="50">
        <v>4906918.0748646837</v>
      </c>
      <c r="AH10" s="50">
        <v>3092174.2841742137</v>
      </c>
      <c r="AI10" s="50">
        <v>6429131.4052858027</v>
      </c>
      <c r="AJ10" s="50">
        <v>7749035.9431043984</v>
      </c>
      <c r="AK10" s="50">
        <v>9330647.1874397267</v>
      </c>
      <c r="AL10" s="50">
        <v>7701773.8094638037</v>
      </c>
      <c r="AM10" s="50">
        <v>8434085.5555892643</v>
      </c>
      <c r="AN10" s="50">
        <v>9290139.1149098258</v>
      </c>
      <c r="AO10" s="51">
        <f t="shared" si="1"/>
        <v>0.10149927383096741</v>
      </c>
    </row>
    <row r="11" spans="1:41" ht="15.5" x14ac:dyDescent="0.35">
      <c r="A11" s="22">
        <v>8</v>
      </c>
      <c r="B11" t="s">
        <v>26</v>
      </c>
      <c r="C11" s="23">
        <v>1290184.1700000002</v>
      </c>
      <c r="D11" s="24"/>
      <c r="E11" s="22">
        <v>9</v>
      </c>
      <c r="F11" t="s">
        <v>28</v>
      </c>
      <c r="G11" s="23">
        <v>6330297.1381972367</v>
      </c>
      <c r="I11" s="22">
        <v>9</v>
      </c>
      <c r="J11" t="s">
        <v>107</v>
      </c>
      <c r="K11" s="23">
        <v>700000</v>
      </c>
      <c r="L11" s="23">
        <v>629022.82608935959</v>
      </c>
      <c r="N11" s="7">
        <v>7</v>
      </c>
      <c r="O11" t="s">
        <v>30</v>
      </c>
      <c r="P11" s="16">
        <v>644180.5</v>
      </c>
      <c r="Q11" s="16">
        <v>590194.19999999995</v>
      </c>
      <c r="R11" s="16">
        <v>2216325.48</v>
      </c>
      <c r="S11" s="16">
        <v>1318508</v>
      </c>
      <c r="T11" s="16">
        <v>1548291</v>
      </c>
      <c r="U11" s="16">
        <v>1262112.5</v>
      </c>
      <c r="V11" s="16">
        <v>462410</v>
      </c>
      <c r="W11" s="16">
        <v>119600</v>
      </c>
      <c r="X11" s="16">
        <v>1200516</v>
      </c>
      <c r="Y11" s="16">
        <v>1600195</v>
      </c>
      <c r="Z11" s="16">
        <v>1922211.7</v>
      </c>
      <c r="AA11" s="16">
        <v>1730416</v>
      </c>
      <c r="AB11" s="41">
        <f t="shared" si="0"/>
        <v>-9.977865601379908E-2</v>
      </c>
      <c r="AC11" s="16">
        <v>588936.59865030681</v>
      </c>
      <c r="AD11" s="16">
        <v>582503.54850152915</v>
      </c>
      <c r="AE11" s="16">
        <v>1318333.7709480121</v>
      </c>
      <c r="AF11" s="16">
        <v>1228693.6430017867</v>
      </c>
      <c r="AG11" s="16">
        <v>1516858.1888949703</v>
      </c>
      <c r="AH11" s="16">
        <v>1218483.4911599827</v>
      </c>
      <c r="AI11" s="16">
        <v>392553.11874615855</v>
      </c>
      <c r="AJ11" s="16">
        <v>98354.759774136139</v>
      </c>
      <c r="AK11" s="16">
        <v>1152908.7962270975</v>
      </c>
      <c r="AL11" s="16">
        <v>1585613.7997085487</v>
      </c>
      <c r="AM11" s="16">
        <v>1914363.3736241611</v>
      </c>
      <c r="AN11" s="16">
        <v>1738598.3072511128</v>
      </c>
      <c r="AO11" s="41">
        <f t="shared" si="1"/>
        <v>-9.1813847253199465E-2</v>
      </c>
    </row>
    <row r="12" spans="1:41" ht="15.5" x14ac:dyDescent="0.35">
      <c r="A12" s="22">
        <v>9</v>
      </c>
      <c r="B12" t="s">
        <v>28</v>
      </c>
      <c r="C12" s="23">
        <v>1025491.1499999999</v>
      </c>
      <c r="D12" s="24"/>
      <c r="E12" s="22">
        <v>10</v>
      </c>
      <c r="F12" t="s">
        <v>23</v>
      </c>
      <c r="G12" s="23">
        <v>4751498.5024468061</v>
      </c>
      <c r="I12" s="22">
        <v>10</v>
      </c>
      <c r="J12" t="s">
        <v>64</v>
      </c>
      <c r="K12" s="23">
        <v>689896.21099999989</v>
      </c>
      <c r="L12" s="23">
        <v>6114457.1841564253</v>
      </c>
      <c r="N12" s="7">
        <v>8</v>
      </c>
      <c r="O12" t="s">
        <v>26</v>
      </c>
      <c r="P12" s="16">
        <v>886198.01000000013</v>
      </c>
      <c r="Q12" s="16">
        <v>888860.59999999986</v>
      </c>
      <c r="R12" s="16">
        <v>991584.21</v>
      </c>
      <c r="S12" s="16">
        <v>997697.43</v>
      </c>
      <c r="T12" s="16">
        <v>1126559.8439999996</v>
      </c>
      <c r="U12" s="16">
        <v>673968.86</v>
      </c>
      <c r="V12" s="16">
        <v>942767.34000000008</v>
      </c>
      <c r="W12" s="16">
        <v>1346733.6600000001</v>
      </c>
      <c r="X12" s="16">
        <v>1433526.4699999997</v>
      </c>
      <c r="Y12" s="16">
        <v>1772586.2300000004</v>
      </c>
      <c r="Z12" s="16">
        <v>1712559.78</v>
      </c>
      <c r="AA12" s="16">
        <v>1290184.1700000002</v>
      </c>
      <c r="AB12" s="41">
        <f t="shared" si="0"/>
        <v>-0.24663408246105128</v>
      </c>
      <c r="AC12" s="16">
        <v>3711311.8418404893</v>
      </c>
      <c r="AD12" s="16">
        <v>4445981.7009174302</v>
      </c>
      <c r="AE12" s="16">
        <v>4791452.2180510117</v>
      </c>
      <c r="AF12" s="16">
        <v>4526990.5930911265</v>
      </c>
      <c r="AG12" s="16">
        <v>5391231.0158121977</v>
      </c>
      <c r="AH12" s="16">
        <v>3699491.819257068</v>
      </c>
      <c r="AI12" s="16">
        <v>3908489.7437615264</v>
      </c>
      <c r="AJ12" s="16">
        <v>5642567.4620389147</v>
      </c>
      <c r="AK12" s="16">
        <v>5596090.6638741558</v>
      </c>
      <c r="AL12" s="16">
        <v>8398419.2320237719</v>
      </c>
      <c r="AM12" s="16">
        <v>8831584.8682682924</v>
      </c>
      <c r="AN12" s="16">
        <v>7892911.3409075653</v>
      </c>
      <c r="AO12" s="41">
        <f t="shared" si="1"/>
        <v>-0.10628596581043594</v>
      </c>
    </row>
    <row r="13" spans="1:41" ht="15.5" x14ac:dyDescent="0.35">
      <c r="A13" s="22">
        <v>10</v>
      </c>
      <c r="B13" t="s">
        <v>29</v>
      </c>
      <c r="C13" s="23">
        <v>823453.07300000009</v>
      </c>
      <c r="D13" s="24"/>
      <c r="E13" s="22">
        <v>11</v>
      </c>
      <c r="F13" t="s">
        <v>34</v>
      </c>
      <c r="G13" s="23">
        <v>2038787.1325044124</v>
      </c>
      <c r="I13" s="22">
        <v>11</v>
      </c>
      <c r="J13" t="s">
        <v>73</v>
      </c>
      <c r="K13" s="23">
        <v>608043.89999999991</v>
      </c>
      <c r="L13" s="23">
        <v>1520043.8158470034</v>
      </c>
      <c r="N13" s="7">
        <v>9</v>
      </c>
      <c r="O13" t="s">
        <v>29</v>
      </c>
      <c r="P13" s="16">
        <v>434000.58</v>
      </c>
      <c r="Q13" s="16">
        <v>864264.58</v>
      </c>
      <c r="R13" s="16">
        <v>833322.82799999975</v>
      </c>
      <c r="S13" s="16">
        <v>643002.05999999994</v>
      </c>
      <c r="T13" s="16">
        <v>555205.58000000019</v>
      </c>
      <c r="U13" s="16">
        <v>855906.96499999985</v>
      </c>
      <c r="V13" s="16">
        <v>860090.69600000011</v>
      </c>
      <c r="W13" s="16">
        <v>727074.26899999997</v>
      </c>
      <c r="X13" s="16">
        <v>768392.0560000001</v>
      </c>
      <c r="Y13" s="16">
        <v>896962.55000000075</v>
      </c>
      <c r="Z13" s="16">
        <v>671225.80099999998</v>
      </c>
      <c r="AA13" s="16">
        <v>823453.07300000009</v>
      </c>
      <c r="AB13" s="51">
        <f t="shared" si="0"/>
        <v>0.22678995916606626</v>
      </c>
      <c r="AC13" s="16">
        <v>1862010.3662576701</v>
      </c>
      <c r="AD13" s="16">
        <v>4962624.354949154</v>
      </c>
      <c r="AE13" s="16">
        <v>7310004.2953026108</v>
      </c>
      <c r="AF13" s="16">
        <v>2322858.4605717682</v>
      </c>
      <c r="AG13" s="16">
        <v>4782655.600899471</v>
      </c>
      <c r="AH13" s="16">
        <v>979866.40651758865</v>
      </c>
      <c r="AI13" s="16">
        <v>12121071.665580824</v>
      </c>
      <c r="AJ13" s="16">
        <v>11394165.353219178</v>
      </c>
      <c r="AK13" s="16">
        <v>3999335.3275072319</v>
      </c>
      <c r="AL13" s="16">
        <v>8694790.5340852141</v>
      </c>
      <c r="AM13" s="16">
        <v>5163071.2370304558</v>
      </c>
      <c r="AN13" s="16">
        <v>11964766.823965747</v>
      </c>
      <c r="AO13" s="51">
        <f t="shared" si="1"/>
        <v>1.3173739572199457</v>
      </c>
    </row>
    <row r="14" spans="1:41" ht="15.5" x14ac:dyDescent="0.35">
      <c r="A14" s="22">
        <v>11</v>
      </c>
      <c r="B14" t="s">
        <v>32</v>
      </c>
      <c r="C14" s="23">
        <v>502051.54799999995</v>
      </c>
      <c r="D14" s="24"/>
      <c r="E14" s="22">
        <v>12</v>
      </c>
      <c r="F14" t="s">
        <v>33</v>
      </c>
      <c r="G14" s="23">
        <v>2010664.976010324</v>
      </c>
      <c r="I14" s="22">
        <v>12</v>
      </c>
      <c r="J14" t="s">
        <v>61</v>
      </c>
      <c r="K14" s="23">
        <v>507895.21</v>
      </c>
      <c r="L14" s="23">
        <v>4242392.63132881</v>
      </c>
      <c r="N14" s="7">
        <v>10</v>
      </c>
      <c r="O14" t="s">
        <v>28</v>
      </c>
      <c r="P14" s="16">
        <v>846230.35000000009</v>
      </c>
      <c r="Q14" s="16">
        <v>634720.59</v>
      </c>
      <c r="R14" s="16">
        <v>669017.86999999988</v>
      </c>
      <c r="S14" s="16">
        <v>434921.62000000005</v>
      </c>
      <c r="T14" s="16">
        <v>722258.32200000004</v>
      </c>
      <c r="U14" s="16">
        <v>699800.37999999989</v>
      </c>
      <c r="V14" s="16">
        <v>641546.60000000009</v>
      </c>
      <c r="W14" s="16">
        <v>763153.09</v>
      </c>
      <c r="X14" s="16">
        <v>668078.2200000002</v>
      </c>
      <c r="Y14" s="16">
        <v>758509.07000000007</v>
      </c>
      <c r="Z14" s="16">
        <v>710151.96000000008</v>
      </c>
      <c r="AA14" s="16">
        <v>1025491.1499999999</v>
      </c>
      <c r="AB14" s="51">
        <f t="shared" si="0"/>
        <v>0.44404466615849347</v>
      </c>
      <c r="AC14" s="16">
        <v>5232662.0475460161</v>
      </c>
      <c r="AD14" s="16">
        <v>4457700.9363914458</v>
      </c>
      <c r="AE14" s="16">
        <v>5219771.375045877</v>
      </c>
      <c r="AF14" s="16">
        <v>2957680.1693269825</v>
      </c>
      <c r="AG14" s="16">
        <v>4845609.66940339</v>
      </c>
      <c r="AH14" s="16">
        <v>4779793.4097825401</v>
      </c>
      <c r="AI14" s="16">
        <v>4821168.2449293202</v>
      </c>
      <c r="AJ14" s="16">
        <v>5201405.3999877246</v>
      </c>
      <c r="AK14" s="16">
        <v>4746675.5431533232</v>
      </c>
      <c r="AL14" s="16">
        <v>4926677.3609318193</v>
      </c>
      <c r="AM14" s="16">
        <v>5295647.879897207</v>
      </c>
      <c r="AN14" s="16">
        <v>6330297.1381972367</v>
      </c>
      <c r="AO14" s="51">
        <f t="shared" si="1"/>
        <v>0.19537727616438749</v>
      </c>
    </row>
    <row r="15" spans="1:41" ht="15.5" x14ac:dyDescent="0.35">
      <c r="A15" s="22">
        <v>12</v>
      </c>
      <c r="B15" t="s">
        <v>33</v>
      </c>
      <c r="C15" s="23">
        <v>444550.64</v>
      </c>
      <c r="D15" s="24"/>
      <c r="E15" s="22">
        <v>13</v>
      </c>
      <c r="F15" t="s">
        <v>30</v>
      </c>
      <c r="G15" s="23">
        <v>1738598.3072511128</v>
      </c>
      <c r="I15" s="22">
        <v>13</v>
      </c>
      <c r="J15" t="s">
        <v>66</v>
      </c>
      <c r="K15" s="23">
        <v>496959.79999999993</v>
      </c>
      <c r="L15" s="23">
        <v>2554545.7215484683</v>
      </c>
      <c r="N15" s="7">
        <v>11</v>
      </c>
      <c r="O15" t="s">
        <v>33</v>
      </c>
      <c r="P15" s="16">
        <v>354662.6</v>
      </c>
      <c r="Q15" s="16">
        <v>324303.30000000005</v>
      </c>
      <c r="R15" s="16">
        <v>598386.77999999991</v>
      </c>
      <c r="S15" s="16">
        <v>419651.1</v>
      </c>
      <c r="T15" s="16">
        <v>529796.77</v>
      </c>
      <c r="U15" s="16">
        <v>615237.60000000009</v>
      </c>
      <c r="V15" s="16">
        <v>510041.93000000005</v>
      </c>
      <c r="W15" s="16">
        <v>418334.5</v>
      </c>
      <c r="X15" s="16">
        <v>552368.0199999999</v>
      </c>
      <c r="Y15" s="16">
        <v>580625.19999999995</v>
      </c>
      <c r="Z15" s="16">
        <v>546413.75999999989</v>
      </c>
      <c r="AA15" s="16">
        <v>444550.64</v>
      </c>
      <c r="AB15" s="41">
        <f t="shared" si="0"/>
        <v>-0.18642122043193038</v>
      </c>
      <c r="AC15" s="16">
        <v>831783.4117791414</v>
      </c>
      <c r="AD15" s="16">
        <v>685076.48379204853</v>
      </c>
      <c r="AE15" s="16">
        <v>1207868.3631192655</v>
      </c>
      <c r="AF15" s="16">
        <v>937464.58362120402</v>
      </c>
      <c r="AG15" s="16">
        <v>1412773.9887490103</v>
      </c>
      <c r="AH15" s="16">
        <v>1649589.3537238976</v>
      </c>
      <c r="AI15" s="16">
        <v>2030167.3031960677</v>
      </c>
      <c r="AJ15" s="16">
        <v>1920686.3638986081</v>
      </c>
      <c r="AK15" s="16">
        <v>1778678.4828833144</v>
      </c>
      <c r="AL15" s="16">
        <v>3001116.7292397856</v>
      </c>
      <c r="AM15" s="16">
        <v>1660146.4839616867</v>
      </c>
      <c r="AN15" s="16">
        <v>2010664.976010324</v>
      </c>
      <c r="AO15" s="51">
        <f t="shared" si="1"/>
        <v>0.21113708665766545</v>
      </c>
    </row>
    <row r="16" spans="1:41" ht="15.5" x14ac:dyDescent="0.35">
      <c r="A16" s="22">
        <v>13</v>
      </c>
      <c r="B16" t="s">
        <v>34</v>
      </c>
      <c r="C16" s="23">
        <v>362780.52</v>
      </c>
      <c r="D16" s="24"/>
      <c r="E16" s="22">
        <v>14</v>
      </c>
      <c r="F16" t="s">
        <v>38</v>
      </c>
      <c r="G16" s="23">
        <v>708264.39680212922</v>
      </c>
      <c r="I16" s="22">
        <v>14</v>
      </c>
      <c r="J16" t="s">
        <v>71</v>
      </c>
      <c r="K16" s="23">
        <v>470504.20999999996</v>
      </c>
      <c r="L16" s="23">
        <v>3470491.0819236999</v>
      </c>
      <c r="N16" s="7">
        <v>12</v>
      </c>
      <c r="O16" t="s">
        <v>32</v>
      </c>
      <c r="P16" s="16">
        <v>373251.95</v>
      </c>
      <c r="Q16" s="16">
        <v>560691.81999999995</v>
      </c>
      <c r="R16" s="16">
        <v>459014.89999999997</v>
      </c>
      <c r="S16" s="16">
        <v>361155.72000000003</v>
      </c>
      <c r="T16" s="16">
        <v>596086.31999999983</v>
      </c>
      <c r="U16" s="16">
        <v>432718.51</v>
      </c>
      <c r="V16" s="16">
        <v>446237.79999999993</v>
      </c>
      <c r="W16" s="16">
        <v>418141.36799999996</v>
      </c>
      <c r="X16" s="16">
        <v>371565.34</v>
      </c>
      <c r="Y16" s="16">
        <v>539610.60999999975</v>
      </c>
      <c r="Z16" s="16">
        <v>421926.67099999997</v>
      </c>
      <c r="AA16" s="16">
        <v>502051.54799999995</v>
      </c>
      <c r="AB16" s="51">
        <f t="shared" si="0"/>
        <v>0.18990237523998568</v>
      </c>
      <c r="AC16" s="16">
        <v>7011159.5173619632</v>
      </c>
      <c r="AD16" s="16">
        <v>10175772.759633023</v>
      </c>
      <c r="AE16" s="16">
        <v>9309673.93443425</v>
      </c>
      <c r="AF16" s="16">
        <v>7132928.3004169147</v>
      </c>
      <c r="AG16" s="16">
        <v>11767927.572705708</v>
      </c>
      <c r="AH16" s="16">
        <v>9725865.4702149946</v>
      </c>
      <c r="AI16" s="16">
        <v>9521349.6060848199</v>
      </c>
      <c r="AJ16" s="16">
        <v>7620823.5539802359</v>
      </c>
      <c r="AK16" s="16">
        <v>6761766.6936475411</v>
      </c>
      <c r="AL16" s="16">
        <v>9970513.4343989119</v>
      </c>
      <c r="AM16" s="16">
        <v>7787681.2831634535</v>
      </c>
      <c r="AN16" s="16">
        <v>10112580.46508928</v>
      </c>
      <c r="AO16" s="51">
        <f t="shared" si="1"/>
        <v>0.29853548153699266</v>
      </c>
    </row>
    <row r="17" spans="1:41" ht="15.5" x14ac:dyDescent="0.35">
      <c r="A17" s="22">
        <v>14</v>
      </c>
      <c r="B17" t="s">
        <v>31</v>
      </c>
      <c r="C17" s="23">
        <v>300000</v>
      </c>
      <c r="D17" s="24"/>
      <c r="E17" s="22">
        <v>15</v>
      </c>
      <c r="F17" t="s">
        <v>41</v>
      </c>
      <c r="G17" s="23">
        <v>689031.42605696712</v>
      </c>
      <c r="I17" s="22">
        <v>15</v>
      </c>
      <c r="J17" t="s">
        <v>119</v>
      </c>
      <c r="K17" s="23">
        <v>424583</v>
      </c>
      <c r="L17" s="23">
        <v>1167706.0641766128</v>
      </c>
      <c r="N17" s="7">
        <v>13</v>
      </c>
      <c r="O17" t="s">
        <v>35</v>
      </c>
      <c r="P17" s="16">
        <v>216000</v>
      </c>
      <c r="Q17" s="16">
        <v>248500</v>
      </c>
      <c r="R17" s="16">
        <v>198000</v>
      </c>
      <c r="S17" s="16">
        <v>456000</v>
      </c>
      <c r="T17" s="16">
        <v>420500</v>
      </c>
      <c r="U17" s="16">
        <v>367500</v>
      </c>
      <c r="V17" s="16">
        <v>596520</v>
      </c>
      <c r="W17" s="16">
        <v>277000</v>
      </c>
      <c r="X17" s="16">
        <v>252500</v>
      </c>
      <c r="Y17" s="16">
        <v>608200</v>
      </c>
      <c r="Z17" s="16">
        <v>198000</v>
      </c>
      <c r="AA17" s="16">
        <v>220500</v>
      </c>
      <c r="AB17" s="51">
        <f t="shared" si="0"/>
        <v>0.11363636363636363</v>
      </c>
      <c r="AC17" s="16">
        <v>303510.9231288344</v>
      </c>
      <c r="AD17" s="16">
        <v>370006.02177370025</v>
      </c>
      <c r="AE17" s="16">
        <v>283102.75535168196</v>
      </c>
      <c r="AF17" s="16">
        <v>730591.12668254913</v>
      </c>
      <c r="AG17" s="16">
        <v>558035.62561576359</v>
      </c>
      <c r="AH17" s="16">
        <v>493325.46528676152</v>
      </c>
      <c r="AI17" s="16">
        <v>807654.18063921318</v>
      </c>
      <c r="AJ17" s="16">
        <v>397915.00355981104</v>
      </c>
      <c r="AK17" s="16">
        <v>337671.45075940213</v>
      </c>
      <c r="AL17" s="16">
        <v>837395.96989737684</v>
      </c>
      <c r="AM17" s="16">
        <v>278880.18580638093</v>
      </c>
      <c r="AN17" s="16">
        <v>299398.13563280425</v>
      </c>
      <c r="AO17" s="51">
        <f t="shared" si="1"/>
        <v>7.3572633950654262E-2</v>
      </c>
    </row>
    <row r="18" spans="1:41" ht="15.5" x14ac:dyDescent="0.35">
      <c r="A18" s="22">
        <v>15</v>
      </c>
      <c r="B18" t="s">
        <v>39</v>
      </c>
      <c r="C18" s="23">
        <v>235398.6</v>
      </c>
      <c r="D18" s="24"/>
      <c r="E18" s="22">
        <v>16</v>
      </c>
      <c r="F18" t="s">
        <v>43</v>
      </c>
      <c r="G18" s="23">
        <v>498989.66760701599</v>
      </c>
      <c r="I18" s="22">
        <v>16</v>
      </c>
      <c r="J18" t="s">
        <v>63</v>
      </c>
      <c r="K18" s="23">
        <v>360250.1</v>
      </c>
      <c r="L18" s="23">
        <v>972107.22344615916</v>
      </c>
      <c r="N18" s="7">
        <v>14</v>
      </c>
      <c r="O18" t="s">
        <v>34</v>
      </c>
      <c r="P18" s="16">
        <v>285285.84000000003</v>
      </c>
      <c r="Q18" s="16">
        <v>330065.07999999996</v>
      </c>
      <c r="R18" s="16">
        <v>267207.14999999997</v>
      </c>
      <c r="S18" s="16">
        <v>296775.85600000003</v>
      </c>
      <c r="T18" s="16">
        <v>309493.375</v>
      </c>
      <c r="U18" s="16">
        <v>280215.25</v>
      </c>
      <c r="V18" s="16">
        <v>317050.65000000002</v>
      </c>
      <c r="W18" s="16">
        <v>355147.72</v>
      </c>
      <c r="X18" s="16">
        <v>339319.82999999996</v>
      </c>
      <c r="Y18" s="16">
        <v>368287.27599999995</v>
      </c>
      <c r="Z18" s="16">
        <v>321364.86999999994</v>
      </c>
      <c r="AA18" s="16">
        <v>362780.52</v>
      </c>
      <c r="AB18" s="51">
        <f t="shared" si="0"/>
        <v>0.12887422947007271</v>
      </c>
      <c r="AC18" s="16">
        <v>1490358.3988957054</v>
      </c>
      <c r="AD18" s="16">
        <v>1790230.8363914392</v>
      </c>
      <c r="AE18" s="16">
        <v>1572300.4869724773</v>
      </c>
      <c r="AF18" s="16">
        <v>1510059.1835020855</v>
      </c>
      <c r="AG18" s="16">
        <v>1684217.7763790051</v>
      </c>
      <c r="AH18" s="16">
        <v>1310472.3679541687</v>
      </c>
      <c r="AI18" s="16">
        <v>2109245.6639213264</v>
      </c>
      <c r="AJ18" s="16">
        <v>1866024.5283250522</v>
      </c>
      <c r="AK18" s="16">
        <v>1661858.1662849581</v>
      </c>
      <c r="AL18" s="16">
        <v>1935525.4641735493</v>
      </c>
      <c r="AM18" s="16">
        <v>1793470.85114783</v>
      </c>
      <c r="AN18" s="16">
        <v>1947480.4025291903</v>
      </c>
      <c r="AO18" s="51">
        <f t="shared" si="1"/>
        <v>8.5872347065352864E-2</v>
      </c>
    </row>
    <row r="19" spans="1:41" ht="15.5" x14ac:dyDescent="0.35">
      <c r="A19" s="22">
        <v>16</v>
      </c>
      <c r="B19" t="s">
        <v>35</v>
      </c>
      <c r="C19" s="23">
        <v>220500</v>
      </c>
      <c r="D19" s="24"/>
      <c r="E19" s="22">
        <v>17</v>
      </c>
      <c r="F19" t="s">
        <v>40</v>
      </c>
      <c r="G19" s="23">
        <v>487841.60518285754</v>
      </c>
      <c r="I19" s="22">
        <v>17</v>
      </c>
      <c r="J19" t="s">
        <v>113</v>
      </c>
      <c r="K19" s="23">
        <v>350002</v>
      </c>
      <c r="L19" s="23">
        <v>744416.02788751968</v>
      </c>
      <c r="N19" s="7">
        <v>15</v>
      </c>
      <c r="O19" t="s">
        <v>31</v>
      </c>
      <c r="P19" s="16">
        <v>800001</v>
      </c>
      <c r="Q19" s="16">
        <v>215600</v>
      </c>
      <c r="R19" s="16"/>
      <c r="S19" s="16">
        <v>36600</v>
      </c>
      <c r="T19" s="16">
        <v>1</v>
      </c>
      <c r="U19" s="16"/>
      <c r="V19" s="16">
        <v>203580</v>
      </c>
      <c r="W19" s="16">
        <v>21000</v>
      </c>
      <c r="X19" s="16"/>
      <c r="Y19" s="16">
        <v>15600</v>
      </c>
      <c r="Z19" s="16">
        <v>40000.600000000006</v>
      </c>
      <c r="AA19" s="16">
        <v>300000</v>
      </c>
      <c r="AB19" s="51">
        <f t="shared" si="0"/>
        <v>6.499887501687474</v>
      </c>
      <c r="AC19" s="16">
        <v>2293497.6687116562</v>
      </c>
      <c r="AD19" s="16">
        <v>55386.519877675841</v>
      </c>
      <c r="AE19" s="16"/>
      <c r="AF19" s="16">
        <v>65662.513400833821</v>
      </c>
      <c r="AG19" s="16">
        <v>2.554278416347382</v>
      </c>
      <c r="AH19" s="16"/>
      <c r="AI19" s="16">
        <v>345642.32907191152</v>
      </c>
      <c r="AJ19" s="16">
        <v>35412.086171975694</v>
      </c>
      <c r="AK19" s="16"/>
      <c r="AL19" s="16">
        <v>33137.940893275205</v>
      </c>
      <c r="AM19" s="16">
        <v>56167.719480074775</v>
      </c>
      <c r="AN19" s="16">
        <v>415972.85184906103</v>
      </c>
      <c r="AO19" s="51">
        <f t="shared" si="1"/>
        <v>6.4059060203899749</v>
      </c>
    </row>
    <row r="20" spans="1:41" ht="15.5" x14ac:dyDescent="0.35">
      <c r="A20" s="22">
        <v>17</v>
      </c>
      <c r="B20" t="s">
        <v>36</v>
      </c>
      <c r="C20" s="23">
        <v>204829.99999999997</v>
      </c>
      <c r="D20" s="24"/>
      <c r="E20" s="22">
        <v>18</v>
      </c>
      <c r="F20" t="s">
        <v>31</v>
      </c>
      <c r="G20" s="23">
        <v>415972.85184906103</v>
      </c>
      <c r="I20" s="22">
        <v>18</v>
      </c>
      <c r="J20" t="s">
        <v>67</v>
      </c>
      <c r="K20" s="23">
        <v>340375.54999999993</v>
      </c>
      <c r="L20" s="23">
        <v>1614914.7598053948</v>
      </c>
      <c r="N20" s="7">
        <v>16</v>
      </c>
      <c r="O20" t="s">
        <v>39</v>
      </c>
      <c r="P20" s="16">
        <v>37983.199999999997</v>
      </c>
      <c r="Q20" s="16">
        <v>58260</v>
      </c>
      <c r="R20" s="16">
        <v>282105</v>
      </c>
      <c r="S20" s="16">
        <v>28106.799999999999</v>
      </c>
      <c r="T20" s="16">
        <v>85817.531400000007</v>
      </c>
      <c r="U20" s="16">
        <v>141692</v>
      </c>
      <c r="V20" s="16">
        <v>97926.5</v>
      </c>
      <c r="W20" s="16">
        <v>164490.46</v>
      </c>
      <c r="X20" s="16">
        <v>137262</v>
      </c>
      <c r="Y20" s="16">
        <v>157020</v>
      </c>
      <c r="Z20" s="16">
        <v>132210.29999999999</v>
      </c>
      <c r="AA20" s="16">
        <v>235398.6</v>
      </c>
      <c r="AB20" s="51">
        <f t="shared" si="0"/>
        <v>0.78048608920787588</v>
      </c>
      <c r="AC20" s="16">
        <v>64852.324601226996</v>
      </c>
      <c r="AD20" s="16">
        <v>98722.151559633028</v>
      </c>
      <c r="AE20" s="16">
        <v>437899.80917431187</v>
      </c>
      <c r="AF20" s="16">
        <v>40967.933829660513</v>
      </c>
      <c r="AG20" s="16">
        <v>134312.96837560058</v>
      </c>
      <c r="AH20" s="16">
        <v>222178.70812542352</v>
      </c>
      <c r="AI20" s="16">
        <v>137998.55390288873</v>
      </c>
      <c r="AJ20" s="16">
        <v>235704.89467869635</v>
      </c>
      <c r="AK20" s="16">
        <v>220800.76476615237</v>
      </c>
      <c r="AL20" s="16">
        <v>259165.02891306061</v>
      </c>
      <c r="AM20" s="16">
        <v>222596.53271391959</v>
      </c>
      <c r="AN20" s="16">
        <v>381354.74724988057</v>
      </c>
      <c r="AO20" s="51">
        <f t="shared" si="1"/>
        <v>0.71321063540552354</v>
      </c>
    </row>
    <row r="21" spans="1:41" ht="15.5" x14ac:dyDescent="0.35">
      <c r="A21" s="22">
        <v>18</v>
      </c>
      <c r="B21" t="s">
        <v>40</v>
      </c>
      <c r="C21" s="23">
        <v>113152.4</v>
      </c>
      <c r="D21" s="24"/>
      <c r="E21" s="22">
        <v>19</v>
      </c>
      <c r="F21" t="s">
        <v>39</v>
      </c>
      <c r="G21" s="23">
        <v>381354.74724988057</v>
      </c>
      <c r="I21" s="22">
        <v>19</v>
      </c>
      <c r="J21" t="s">
        <v>89</v>
      </c>
      <c r="K21" s="23">
        <v>302264</v>
      </c>
      <c r="L21" s="23">
        <v>635932.15888394322</v>
      </c>
      <c r="N21" s="7">
        <v>17</v>
      </c>
      <c r="O21" t="s">
        <v>36</v>
      </c>
      <c r="P21" s="16">
        <v>109808.2</v>
      </c>
      <c r="Q21" s="16">
        <v>70452.2</v>
      </c>
      <c r="R21" s="16">
        <v>211733.80000000002</v>
      </c>
      <c r="S21" s="16">
        <v>65706.7</v>
      </c>
      <c r="T21" s="16">
        <v>170124.4</v>
      </c>
      <c r="U21" s="16">
        <v>67625</v>
      </c>
      <c r="V21" s="16">
        <v>94256.8</v>
      </c>
      <c r="W21" s="16">
        <v>53285.31</v>
      </c>
      <c r="X21" s="16">
        <v>830.3</v>
      </c>
      <c r="Y21" s="16">
        <v>102494.39999999999</v>
      </c>
      <c r="Z21" s="16">
        <v>141706</v>
      </c>
      <c r="AA21" s="16">
        <v>204829.99999999997</v>
      </c>
      <c r="AB21" s="51">
        <f t="shared" si="0"/>
        <v>0.44545749650685201</v>
      </c>
      <c r="AC21" s="16">
        <v>190498.0737423313</v>
      </c>
      <c r="AD21" s="16">
        <v>148750.47327217128</v>
      </c>
      <c r="AE21" s="16">
        <v>458678.28061162087</v>
      </c>
      <c r="AF21" s="16">
        <v>125490.42870756402</v>
      </c>
      <c r="AG21" s="16">
        <v>312280.82527519303</v>
      </c>
      <c r="AH21" s="16">
        <v>106508.37842666174</v>
      </c>
      <c r="AI21" s="16">
        <v>168155.68838352797</v>
      </c>
      <c r="AJ21" s="16">
        <v>71559.67888050084</v>
      </c>
      <c r="AK21" s="16">
        <v>2736.5033751205401</v>
      </c>
      <c r="AL21" s="16">
        <v>212412.61237687606</v>
      </c>
      <c r="AM21" s="16">
        <v>287702.14677278214</v>
      </c>
      <c r="AN21" s="16">
        <v>379544.81318430358</v>
      </c>
      <c r="AO21" s="51">
        <f t="shared" si="1"/>
        <v>0.31922829718770157</v>
      </c>
    </row>
    <row r="22" spans="1:41" ht="15.5" x14ac:dyDescent="0.35">
      <c r="A22" s="22">
        <v>19</v>
      </c>
      <c r="B22" t="s">
        <v>38</v>
      </c>
      <c r="C22" s="23">
        <v>104760.28</v>
      </c>
      <c r="D22" s="24"/>
      <c r="E22" s="22">
        <v>20</v>
      </c>
      <c r="F22" t="s">
        <v>36</v>
      </c>
      <c r="G22" s="23">
        <v>379544.81318430358</v>
      </c>
      <c r="I22" s="22">
        <v>20</v>
      </c>
      <c r="J22" t="s">
        <v>68</v>
      </c>
      <c r="K22" s="23">
        <v>281659.64</v>
      </c>
      <c r="L22" s="23">
        <v>1222761.2363580691</v>
      </c>
      <c r="N22" s="7">
        <v>18</v>
      </c>
      <c r="O22" t="s">
        <v>40</v>
      </c>
      <c r="P22" s="16">
        <v>45134.400000000001</v>
      </c>
      <c r="Q22" s="16">
        <v>48948</v>
      </c>
      <c r="R22" s="16">
        <v>127902.2</v>
      </c>
      <c r="S22" s="16">
        <v>21590.6</v>
      </c>
      <c r="T22" s="16">
        <v>170045.1</v>
      </c>
      <c r="U22" s="16">
        <v>160571.1</v>
      </c>
      <c r="V22" s="16">
        <v>110229</v>
      </c>
      <c r="W22" s="16">
        <v>66438.8</v>
      </c>
      <c r="X22" s="16">
        <v>12798.060000000001</v>
      </c>
      <c r="Y22" s="16">
        <v>34630.68</v>
      </c>
      <c r="Z22" s="16">
        <v>118121.5</v>
      </c>
      <c r="AA22" s="16">
        <v>113152.4</v>
      </c>
      <c r="AB22" s="41">
        <f t="shared" si="0"/>
        <v>-4.2067701476869203E-2</v>
      </c>
      <c r="AC22" s="16">
        <v>224154.83779141103</v>
      </c>
      <c r="AD22" s="16">
        <v>275521.71559633029</v>
      </c>
      <c r="AE22" s="16">
        <v>497061.7176146789</v>
      </c>
      <c r="AF22" s="16">
        <v>58922.935080405005</v>
      </c>
      <c r="AG22" s="16">
        <v>526822.36915404734</v>
      </c>
      <c r="AH22" s="16">
        <v>860873.34528429725</v>
      </c>
      <c r="AI22" s="16">
        <v>506409.4700676091</v>
      </c>
      <c r="AJ22" s="16">
        <v>228893.39961946849</v>
      </c>
      <c r="AK22" s="16">
        <v>62482.884402121497</v>
      </c>
      <c r="AL22" s="16">
        <v>168859.67202321487</v>
      </c>
      <c r="AM22" s="16">
        <v>477508.55568837776</v>
      </c>
      <c r="AN22" s="16">
        <v>487841.60518285754</v>
      </c>
      <c r="AO22" s="51">
        <f t="shared" si="1"/>
        <v>2.1639506499697429E-2</v>
      </c>
    </row>
    <row r="23" spans="1:41" ht="15.5" x14ac:dyDescent="0.35">
      <c r="A23" s="22">
        <v>20</v>
      </c>
      <c r="B23" t="s">
        <v>37</v>
      </c>
      <c r="C23" s="23">
        <v>98765</v>
      </c>
      <c r="D23" s="24"/>
      <c r="E23" s="22">
        <v>21</v>
      </c>
      <c r="F23" t="s">
        <v>35</v>
      </c>
      <c r="G23" s="23">
        <v>299398.13563280425</v>
      </c>
      <c r="I23" s="22">
        <v>21</v>
      </c>
      <c r="J23" t="s">
        <v>91</v>
      </c>
      <c r="K23" s="23">
        <v>264643.09999999998</v>
      </c>
      <c r="L23" s="23">
        <v>729009.22138659318</v>
      </c>
      <c r="N23" s="7">
        <v>19</v>
      </c>
      <c r="O23" t="s">
        <v>38</v>
      </c>
      <c r="P23" s="16">
        <v>57349.789999999994</v>
      </c>
      <c r="Q23" s="16">
        <v>53093.78</v>
      </c>
      <c r="R23" s="16">
        <v>88929.52</v>
      </c>
      <c r="S23" s="16">
        <v>14183.3</v>
      </c>
      <c r="T23" s="16">
        <v>56985.75</v>
      </c>
      <c r="U23" s="16">
        <v>61635.149999999994</v>
      </c>
      <c r="V23" s="16">
        <v>65766.320000000007</v>
      </c>
      <c r="W23" s="16">
        <v>71502.14</v>
      </c>
      <c r="X23" s="16">
        <v>31112.080000000002</v>
      </c>
      <c r="Y23" s="16">
        <v>5959.25</v>
      </c>
      <c r="Z23" s="16">
        <v>40987.119999999995</v>
      </c>
      <c r="AA23" s="16">
        <v>104760.28</v>
      </c>
      <c r="AB23" s="51">
        <f t="shared" si="0"/>
        <v>1.5559317170857578</v>
      </c>
      <c r="AC23" s="16">
        <v>300564.7705521473</v>
      </c>
      <c r="AD23" s="16">
        <v>295947.18348623853</v>
      </c>
      <c r="AE23" s="16">
        <v>449501.57308868505</v>
      </c>
      <c r="AF23" s="16">
        <v>83867.387730792136</v>
      </c>
      <c r="AG23" s="16">
        <v>379470.05291005294</v>
      </c>
      <c r="AH23" s="16">
        <v>398068.99032834347</v>
      </c>
      <c r="AI23" s="16">
        <v>332463.46896127838</v>
      </c>
      <c r="AJ23" s="16">
        <v>378938.77002393664</v>
      </c>
      <c r="AK23" s="16">
        <v>157968.83317261332</v>
      </c>
      <c r="AL23" s="16">
        <v>32741.968644507724</v>
      </c>
      <c r="AM23" s="16">
        <v>226734.00951949597</v>
      </c>
      <c r="AN23" s="16">
        <v>708264.39680212922</v>
      </c>
      <c r="AO23" s="51">
        <f t="shared" si="1"/>
        <v>2.1237677942674424</v>
      </c>
    </row>
    <row r="24" spans="1:41" ht="15.5" x14ac:dyDescent="0.35">
      <c r="A24" s="22">
        <v>21</v>
      </c>
      <c r="B24" t="s">
        <v>42</v>
      </c>
      <c r="C24" s="23">
        <v>90560</v>
      </c>
      <c r="D24" s="24"/>
      <c r="E24" s="22">
        <v>22</v>
      </c>
      <c r="F24" t="s">
        <v>37</v>
      </c>
      <c r="G24" s="23">
        <v>275103.5041767527</v>
      </c>
      <c r="I24" s="22">
        <v>22</v>
      </c>
      <c r="J24" t="s">
        <v>83</v>
      </c>
      <c r="K24" s="23">
        <v>264375.92000000004</v>
      </c>
      <c r="L24" s="23">
        <v>1324107.083238804</v>
      </c>
      <c r="N24" s="7">
        <v>20</v>
      </c>
      <c r="O24" t="s">
        <v>37</v>
      </c>
      <c r="P24" s="16">
        <v>57839.6</v>
      </c>
      <c r="Q24" s="16">
        <v>56805.4</v>
      </c>
      <c r="R24" s="16">
        <v>51923.05</v>
      </c>
      <c r="S24" s="16">
        <v>40769.85</v>
      </c>
      <c r="T24" s="16">
        <v>53828.100000000006</v>
      </c>
      <c r="U24" s="16">
        <v>31135.93</v>
      </c>
      <c r="V24" s="16">
        <v>26061</v>
      </c>
      <c r="W24" s="16">
        <v>44530.57</v>
      </c>
      <c r="X24" s="16">
        <v>55996.27</v>
      </c>
      <c r="Y24" s="16">
        <v>23067</v>
      </c>
      <c r="Z24" s="16">
        <v>53055.17</v>
      </c>
      <c r="AA24" s="16">
        <v>98765</v>
      </c>
      <c r="AB24" s="51">
        <f t="shared" si="0"/>
        <v>0.86155279494910686</v>
      </c>
      <c r="AC24" s="16">
        <v>140644.27386503064</v>
      </c>
      <c r="AD24" s="16">
        <v>183666.14581039755</v>
      </c>
      <c r="AE24" s="16">
        <v>155630.76874617735</v>
      </c>
      <c r="AF24" s="16">
        <v>145166.15467540201</v>
      </c>
      <c r="AG24" s="16">
        <v>127290.85908897403</v>
      </c>
      <c r="AH24" s="16">
        <v>107885.98706338939</v>
      </c>
      <c r="AI24" s="16">
        <v>75853.51751690227</v>
      </c>
      <c r="AJ24" s="16">
        <v>60393.805560670226</v>
      </c>
      <c r="AK24" s="16">
        <v>210217.71106557376</v>
      </c>
      <c r="AL24" s="16">
        <v>89178.317766926542</v>
      </c>
      <c r="AM24" s="16">
        <v>234071.41026758359</v>
      </c>
      <c r="AN24" s="16">
        <v>275103.5041767527</v>
      </c>
      <c r="AO24" s="51">
        <f t="shared" si="1"/>
        <v>0.17529733281934098</v>
      </c>
    </row>
    <row r="25" spans="1:41" ht="15.5" x14ac:dyDescent="0.35">
      <c r="A25" s="22">
        <v>22</v>
      </c>
      <c r="B25" t="s">
        <v>41</v>
      </c>
      <c r="C25" s="16">
        <v>79551.399999999994</v>
      </c>
      <c r="D25" s="24"/>
      <c r="E25" s="22">
        <v>23</v>
      </c>
      <c r="F25" t="s">
        <v>42</v>
      </c>
      <c r="G25" s="23">
        <v>126632.13335101075</v>
      </c>
      <c r="I25" s="22">
        <v>23</v>
      </c>
      <c r="J25" t="s">
        <v>78</v>
      </c>
      <c r="K25" s="23">
        <v>253469</v>
      </c>
      <c r="L25" s="23">
        <v>1863663.499627233</v>
      </c>
      <c r="N25" s="7">
        <v>21</v>
      </c>
      <c r="O25" t="s">
        <v>43</v>
      </c>
      <c r="P25" s="16"/>
      <c r="Q25" s="16">
        <v>14286</v>
      </c>
      <c r="R25" s="16">
        <v>17700</v>
      </c>
      <c r="S25" s="16">
        <v>7470</v>
      </c>
      <c r="T25" s="16">
        <v>29010</v>
      </c>
      <c r="U25" s="16">
        <v>55222</v>
      </c>
      <c r="V25" s="16">
        <v>46920</v>
      </c>
      <c r="W25" s="16">
        <v>90324.32</v>
      </c>
      <c r="X25" s="16">
        <v>58548</v>
      </c>
      <c r="Y25" s="16">
        <v>68394</v>
      </c>
      <c r="Z25" s="16">
        <v>57043</v>
      </c>
      <c r="AA25" s="16">
        <v>55354</v>
      </c>
      <c r="AB25" s="41">
        <f t="shared" si="0"/>
        <v>-2.9609242150658275E-2</v>
      </c>
      <c r="AC25" s="16"/>
      <c r="AD25" s="16">
        <v>154357.13712538226</v>
      </c>
      <c r="AE25" s="16">
        <v>204168.9071559633</v>
      </c>
      <c r="AF25" s="16">
        <v>80095.242167957113</v>
      </c>
      <c r="AG25" s="16">
        <v>360027.11032050103</v>
      </c>
      <c r="AH25" s="16">
        <v>500394.47723772546</v>
      </c>
      <c r="AI25" s="16">
        <v>277263.36398279044</v>
      </c>
      <c r="AJ25" s="16">
        <v>815926.42938685394</v>
      </c>
      <c r="AK25" s="16">
        <v>646890.0138018321</v>
      </c>
      <c r="AL25" s="16">
        <v>845296.59832158976</v>
      </c>
      <c r="AM25" s="16">
        <v>613908.89375069423</v>
      </c>
      <c r="AN25" s="16">
        <v>498989.66760701599</v>
      </c>
      <c r="AO25" s="41">
        <f t="shared" si="1"/>
        <v>-0.18719263935333449</v>
      </c>
    </row>
    <row r="26" spans="1:41" ht="15.5" x14ac:dyDescent="0.35">
      <c r="A26" s="22">
        <v>23</v>
      </c>
      <c r="B26" t="s">
        <v>43</v>
      </c>
      <c r="C26" s="16">
        <v>55354</v>
      </c>
      <c r="D26" s="24"/>
      <c r="E26" s="22">
        <v>24</v>
      </c>
      <c r="F26" t="s">
        <v>48</v>
      </c>
      <c r="G26" s="23">
        <v>102696.28108587509</v>
      </c>
      <c r="I26" s="22">
        <v>24</v>
      </c>
      <c r="J26" t="s">
        <v>72</v>
      </c>
      <c r="K26" s="23">
        <v>247507.59999999998</v>
      </c>
      <c r="L26" s="23">
        <v>593613.58096780954</v>
      </c>
      <c r="N26" s="7">
        <v>22</v>
      </c>
      <c r="O26" t="s">
        <v>41</v>
      </c>
      <c r="P26" s="16">
        <v>37308</v>
      </c>
      <c r="Q26" s="16">
        <v>28612</v>
      </c>
      <c r="R26" s="16">
        <v>17436.8</v>
      </c>
      <c r="S26" s="16">
        <v>7401.6</v>
      </c>
      <c r="T26" s="16">
        <v>17308.400000000001</v>
      </c>
      <c r="U26" s="16">
        <v>8640</v>
      </c>
      <c r="V26" s="16">
        <v>77036.2</v>
      </c>
      <c r="W26" s="16">
        <v>38326.800000000003</v>
      </c>
      <c r="X26" s="16">
        <v>36418.800000000003</v>
      </c>
      <c r="Y26" s="16">
        <v>16944</v>
      </c>
      <c r="Z26" s="16">
        <v>14592</v>
      </c>
      <c r="AA26" s="16">
        <v>79551.399999999994</v>
      </c>
      <c r="AB26" s="51">
        <f t="shared" si="0"/>
        <v>4.4517132675438589</v>
      </c>
      <c r="AC26" s="16">
        <v>308822.22331288341</v>
      </c>
      <c r="AD26" s="16">
        <v>281735.59541284404</v>
      </c>
      <c r="AE26" s="16">
        <v>176664.58226299693</v>
      </c>
      <c r="AF26" s="16">
        <v>73990.251340083385</v>
      </c>
      <c r="AG26" s="16">
        <v>147971.01605546434</v>
      </c>
      <c r="AH26" s="16">
        <v>77213.183022238649</v>
      </c>
      <c r="AI26" s="16">
        <v>724985.24492931762</v>
      </c>
      <c r="AJ26" s="16">
        <v>346568.1310992451</v>
      </c>
      <c r="AK26" s="16">
        <v>328861.75090405013</v>
      </c>
      <c r="AL26" s="16">
        <v>210447.28875619275</v>
      </c>
      <c r="AM26" s="16">
        <v>144098.50570299916</v>
      </c>
      <c r="AN26" s="16">
        <v>689031.42605696712</v>
      </c>
      <c r="AO26" s="51">
        <f t="shared" si="1"/>
        <v>3.7816694746101458</v>
      </c>
    </row>
    <row r="27" spans="1:41" ht="15.5" x14ac:dyDescent="0.35">
      <c r="A27" s="22">
        <v>24</v>
      </c>
      <c r="B27" t="s">
        <v>44</v>
      </c>
      <c r="C27">
        <v>23690.400000000001</v>
      </c>
      <c r="D27" s="30"/>
      <c r="E27" s="22">
        <v>25</v>
      </c>
      <c r="F27" t="s">
        <v>44</v>
      </c>
      <c r="G27">
        <v>66014.958690504762</v>
      </c>
      <c r="I27" s="22">
        <v>25</v>
      </c>
      <c r="J27" t="s">
        <v>121</v>
      </c>
      <c r="K27" s="23">
        <v>246750</v>
      </c>
      <c r="L27" s="23">
        <v>724387.69386346475</v>
      </c>
      <c r="N27" s="7">
        <v>23</v>
      </c>
      <c r="O27" t="s">
        <v>42</v>
      </c>
      <c r="P27" s="16">
        <v>25000</v>
      </c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>
        <v>90560</v>
      </c>
      <c r="AB27" s="51"/>
      <c r="AC27" s="16">
        <v>26993.865030674846</v>
      </c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>
        <v>126632.13335101075</v>
      </c>
      <c r="AO27" s="41"/>
    </row>
    <row r="28" spans="1:41" ht="15.5" x14ac:dyDescent="0.35">
      <c r="A28" s="26" t="s">
        <v>75</v>
      </c>
      <c r="B28" s="26"/>
      <c r="C28" s="27">
        <f>SUM(C4:C27)</f>
        <v>40577220.666000031</v>
      </c>
      <c r="D28" s="33"/>
      <c r="E28" s="22">
        <v>26</v>
      </c>
      <c r="F28" t="s">
        <v>47</v>
      </c>
      <c r="G28">
        <v>35357.650887771379</v>
      </c>
      <c r="I28" s="22">
        <v>26</v>
      </c>
      <c r="J28" t="s">
        <v>90</v>
      </c>
      <c r="K28" s="23">
        <v>241941.3</v>
      </c>
      <c r="L28" s="23">
        <v>661842.00597386865</v>
      </c>
      <c r="N28" s="7">
        <v>24</v>
      </c>
      <c r="O28" t="s">
        <v>44</v>
      </c>
      <c r="P28" s="16">
        <v>1500</v>
      </c>
      <c r="Q28" s="16"/>
      <c r="R28" s="16">
        <v>24809.200000000001</v>
      </c>
      <c r="S28" s="16">
        <v>5004.6000000000004</v>
      </c>
      <c r="T28" s="16"/>
      <c r="U28" s="16">
        <v>8463.2000000000007</v>
      </c>
      <c r="V28" s="16">
        <v>1540</v>
      </c>
      <c r="W28" s="16">
        <v>0.5</v>
      </c>
      <c r="X28" s="16">
        <v>2557</v>
      </c>
      <c r="Y28" s="16">
        <v>1023</v>
      </c>
      <c r="Z28" s="16">
        <v>20540.400000000001</v>
      </c>
      <c r="AA28" s="16">
        <v>23690.400000000001</v>
      </c>
      <c r="AB28" s="51">
        <f t="shared" si="0"/>
        <v>0.15335631243792719</v>
      </c>
      <c r="AC28" s="16">
        <v>2392.6380368098157</v>
      </c>
      <c r="AD28" s="16"/>
      <c r="AE28" s="16">
        <v>61138.287461773711</v>
      </c>
      <c r="AF28" s="16">
        <v>15338.272781417509</v>
      </c>
      <c r="AG28" s="16"/>
      <c r="AH28" s="16">
        <v>27618.764245672395</v>
      </c>
      <c r="AI28" s="16">
        <v>1590.1659496004918</v>
      </c>
      <c r="AJ28" s="16">
        <v>0.98201681703799182</v>
      </c>
      <c r="AK28" s="16">
        <v>26650.448589681775</v>
      </c>
      <c r="AL28" s="16">
        <v>6395.1493826393817</v>
      </c>
      <c r="AM28" s="16">
        <v>80379.521403092003</v>
      </c>
      <c r="AN28" s="16">
        <v>66014.958690504762</v>
      </c>
      <c r="AO28" s="41">
        <f t="shared" si="1"/>
        <v>-0.17870923416613765</v>
      </c>
    </row>
    <row r="29" spans="1:41" ht="15.5" x14ac:dyDescent="0.35">
      <c r="A29" s="28" t="s">
        <v>46</v>
      </c>
      <c r="B29" s="28"/>
      <c r="C29" s="29"/>
      <c r="D29" s="24"/>
      <c r="E29" s="22">
        <v>27</v>
      </c>
      <c r="F29" t="s">
        <v>118</v>
      </c>
      <c r="G29" s="16">
        <v>62.908180101039036</v>
      </c>
      <c r="I29" s="22">
        <v>27</v>
      </c>
      <c r="J29" t="s">
        <v>112</v>
      </c>
      <c r="K29" s="23">
        <v>210047.15</v>
      </c>
      <c r="L29" s="23">
        <v>877001.73113126529</v>
      </c>
      <c r="N29" s="7">
        <v>25</v>
      </c>
      <c r="O29" t="s">
        <v>98</v>
      </c>
      <c r="P29" s="16"/>
      <c r="Q29" s="16"/>
      <c r="R29" s="16"/>
      <c r="S29" s="16">
        <v>7.05</v>
      </c>
      <c r="T29" s="16"/>
      <c r="U29" s="16"/>
      <c r="V29" s="16">
        <v>1612.8</v>
      </c>
      <c r="W29" s="16">
        <v>0.45</v>
      </c>
      <c r="X29" s="16"/>
      <c r="Y29" s="16"/>
      <c r="Z29" s="16"/>
      <c r="AA29" s="16"/>
      <c r="AB29" s="41"/>
      <c r="AC29" s="16"/>
      <c r="AD29" s="16"/>
      <c r="AE29" s="16"/>
      <c r="AF29" s="16">
        <v>17.593805836807622</v>
      </c>
      <c r="AG29" s="16"/>
      <c r="AH29" s="16"/>
      <c r="AI29" s="16">
        <v>5328.088506453596</v>
      </c>
      <c r="AJ29" s="16">
        <v>0.98201681703799182</v>
      </c>
      <c r="AK29" s="16"/>
      <c r="AL29" s="16"/>
      <c r="AM29" s="16"/>
      <c r="AN29" s="16"/>
      <c r="AO29" s="41"/>
    </row>
    <row r="30" spans="1:41" ht="15.5" x14ac:dyDescent="0.35">
      <c r="A30" s="22">
        <v>1</v>
      </c>
      <c r="B30" s="15" t="s">
        <v>32</v>
      </c>
      <c r="C30" s="23">
        <v>325580</v>
      </c>
      <c r="D30" s="24"/>
      <c r="E30" s="19"/>
      <c r="F30" s="31" t="s">
        <v>77</v>
      </c>
      <c r="G30" s="32">
        <f>SUM(G3:G29)</f>
        <v>213462038.02514428</v>
      </c>
      <c r="I30" s="22">
        <v>28</v>
      </c>
      <c r="J30" t="s">
        <v>123</v>
      </c>
      <c r="K30" s="23">
        <v>204750</v>
      </c>
      <c r="L30" s="23">
        <v>593712.16635396017</v>
      </c>
      <c r="N30" s="7">
        <v>26</v>
      </c>
      <c r="O30" t="s">
        <v>97</v>
      </c>
      <c r="P30" s="16"/>
      <c r="Q30" s="16"/>
      <c r="R30" s="16"/>
      <c r="S30" s="16">
        <v>7.4</v>
      </c>
      <c r="T30" s="16"/>
      <c r="U30" s="16">
        <v>300</v>
      </c>
      <c r="V30" s="16"/>
      <c r="W30" s="16"/>
      <c r="X30" s="16"/>
      <c r="Y30" s="16"/>
      <c r="Z30" s="16"/>
      <c r="AA30" s="16"/>
      <c r="AB30" s="41"/>
      <c r="AC30" s="16"/>
      <c r="AD30" s="16"/>
      <c r="AE30" s="16"/>
      <c r="AF30" s="16">
        <v>15.187611673615248</v>
      </c>
      <c r="AG30" s="16"/>
      <c r="AH30" s="16">
        <v>739.23489188689712</v>
      </c>
      <c r="AI30" s="16"/>
      <c r="AJ30" s="16"/>
      <c r="AK30" s="16"/>
      <c r="AL30" s="16"/>
      <c r="AM30" s="16"/>
      <c r="AN30" s="16"/>
      <c r="AO30" s="41"/>
    </row>
    <row r="31" spans="1:41" ht="15.5" x14ac:dyDescent="0.35">
      <c r="A31" s="22">
        <v>2</v>
      </c>
      <c r="B31" s="15" t="s">
        <v>47</v>
      </c>
      <c r="C31" s="23">
        <v>222145</v>
      </c>
      <c r="D31" s="24"/>
      <c r="I31" s="22">
        <v>29</v>
      </c>
      <c r="J31" t="s">
        <v>70</v>
      </c>
      <c r="K31" s="23">
        <v>203003.8</v>
      </c>
      <c r="L31" s="23">
        <v>571302.59792630316</v>
      </c>
      <c r="N31" s="7">
        <v>27</v>
      </c>
      <c r="O31" t="s">
        <v>99</v>
      </c>
      <c r="P31" s="16"/>
      <c r="Q31" s="16"/>
      <c r="R31" s="16"/>
      <c r="S31" s="16">
        <v>7.0000000000000007E-2</v>
      </c>
      <c r="T31" s="16">
        <v>45</v>
      </c>
      <c r="U31" s="16"/>
      <c r="V31" s="16"/>
      <c r="W31" s="16">
        <v>8</v>
      </c>
      <c r="X31" s="16"/>
      <c r="Y31" s="16"/>
      <c r="Z31" s="16"/>
      <c r="AA31" s="16"/>
      <c r="AB31" s="41"/>
      <c r="AC31" s="16"/>
      <c r="AD31" s="16"/>
      <c r="AE31" s="16"/>
      <c r="AF31" s="16">
        <v>107.20667063728409</v>
      </c>
      <c r="AG31" s="16">
        <v>266.07066836951896</v>
      </c>
      <c r="AH31" s="16"/>
      <c r="AI31" s="16"/>
      <c r="AJ31" s="16">
        <v>54.010924937089548</v>
      </c>
      <c r="AK31" s="16"/>
      <c r="AL31" s="16"/>
      <c r="AM31" s="16"/>
      <c r="AN31" s="16"/>
      <c r="AO31" s="41"/>
    </row>
    <row r="32" spans="1:41" ht="15.5" x14ac:dyDescent="0.35">
      <c r="A32" s="22">
        <v>3</v>
      </c>
      <c r="B32" s="15" t="s">
        <v>34</v>
      </c>
      <c r="C32" s="23">
        <v>74200</v>
      </c>
      <c r="D32" s="24"/>
      <c r="I32" s="22">
        <v>31</v>
      </c>
      <c r="J32" t="s">
        <v>128</v>
      </c>
      <c r="K32" s="23">
        <v>170403.20000000001</v>
      </c>
      <c r="L32" s="23">
        <v>553169.20249640511</v>
      </c>
      <c r="N32" s="25"/>
      <c r="O32" s="5" t="s">
        <v>45</v>
      </c>
      <c r="P32" s="44">
        <f>SUM(P5:P31)</f>
        <v>23779774.855</v>
      </c>
      <c r="Q32" s="44">
        <f t="shared" ref="Q32:AA32" si="2">SUM(Q5:Q31)</f>
        <v>24270628.007000003</v>
      </c>
      <c r="R32" s="44">
        <f t="shared" si="2"/>
        <v>30111276.654000003</v>
      </c>
      <c r="S32" s="44">
        <f t="shared" si="2"/>
        <v>22309316.809000008</v>
      </c>
      <c r="T32" s="44">
        <f t="shared" si="2"/>
        <v>30012203.217600014</v>
      </c>
      <c r="U32" s="44">
        <f t="shared" si="2"/>
        <v>24003014.297999997</v>
      </c>
      <c r="V32" s="44">
        <f t="shared" si="2"/>
        <v>27445892.579000007</v>
      </c>
      <c r="W32" s="44">
        <f t="shared" si="2"/>
        <v>27942814.916000009</v>
      </c>
      <c r="X32" s="44">
        <f t="shared" si="2"/>
        <v>31951879.429999992</v>
      </c>
      <c r="Y32" s="44">
        <f t="shared" si="2"/>
        <v>37182379.780999996</v>
      </c>
      <c r="Z32" s="44">
        <f t="shared" si="2"/>
        <v>36905116.896999992</v>
      </c>
      <c r="AA32" s="44">
        <f t="shared" si="2"/>
        <v>40577220.666000031</v>
      </c>
      <c r="AB32" s="51">
        <f t="shared" si="0"/>
        <v>9.9501209527358053E-2</v>
      </c>
      <c r="AC32" s="44">
        <f>SUM(AC5:AC31)</f>
        <v>105663155.97355832</v>
      </c>
      <c r="AD32" s="44">
        <f t="shared" ref="AD32:AN32" si="3">SUM(AD5:AD31)</f>
        <v>125380241.16206838</v>
      </c>
      <c r="AE32" s="44">
        <f t="shared" si="3"/>
        <v>139911173.77169713</v>
      </c>
      <c r="AF32" s="44">
        <f t="shared" si="3"/>
        <v>100422693.8525908</v>
      </c>
      <c r="AG32" s="44">
        <f t="shared" si="3"/>
        <v>141953686.0868206</v>
      </c>
      <c r="AH32" s="44">
        <f t="shared" si="3"/>
        <v>104403538.59770532</v>
      </c>
      <c r="AI32" s="44">
        <f t="shared" si="3"/>
        <v>129913552.69864783</v>
      </c>
      <c r="AJ32" s="44">
        <f t="shared" si="3"/>
        <v>132083278.77579314</v>
      </c>
      <c r="AK32" s="44">
        <f t="shared" si="3"/>
        <v>140958007.20027748</v>
      </c>
      <c r="AL32" s="44">
        <f t="shared" si="3"/>
        <v>140974334.16489738</v>
      </c>
      <c r="AM32" s="44">
        <f t="shared" si="3"/>
        <v>152907263.62975433</v>
      </c>
      <c r="AN32" s="44">
        <f t="shared" si="3"/>
        <v>212001773.74967709</v>
      </c>
      <c r="AO32" s="51">
        <f t="shared" si="1"/>
        <v>0.38647287720099854</v>
      </c>
    </row>
    <row r="33" spans="1:41" ht="15.5" x14ac:dyDescent="0.35">
      <c r="A33" s="22">
        <v>4</v>
      </c>
      <c r="B33" s="15" t="s">
        <v>48</v>
      </c>
      <c r="C33" s="23">
        <v>22444</v>
      </c>
      <c r="D33" s="24"/>
      <c r="I33" s="22">
        <v>32</v>
      </c>
      <c r="J33" t="s">
        <v>81</v>
      </c>
      <c r="K33" s="23">
        <v>164634.5</v>
      </c>
      <c r="L33" s="23">
        <v>469200.80399529974</v>
      </c>
      <c r="N33" s="10" t="s">
        <v>46</v>
      </c>
      <c r="O33" s="11"/>
      <c r="P33" s="12"/>
      <c r="Q33" s="12"/>
      <c r="R33" s="12"/>
      <c r="S33" s="42"/>
      <c r="T33" s="42"/>
      <c r="U33" s="42"/>
      <c r="V33" s="42"/>
      <c r="W33" s="42"/>
      <c r="X33" s="42"/>
      <c r="Y33" s="42"/>
      <c r="Z33" s="42"/>
      <c r="AA33" s="42"/>
      <c r="AB33" s="52"/>
      <c r="AC33" s="12"/>
      <c r="AD33" s="12"/>
      <c r="AE33" s="12"/>
      <c r="AF33" s="43"/>
      <c r="AG33" s="43"/>
      <c r="AH33" s="43"/>
      <c r="AI33" s="43"/>
      <c r="AJ33" s="43"/>
      <c r="AK33" s="43"/>
      <c r="AL33" s="43"/>
      <c r="AM33" s="43"/>
      <c r="AN33" s="43"/>
      <c r="AO33" s="52"/>
    </row>
    <row r="34" spans="1:41" ht="15.5" x14ac:dyDescent="0.35">
      <c r="A34" s="22">
        <v>6</v>
      </c>
      <c r="B34" s="15" t="s">
        <v>21</v>
      </c>
      <c r="C34" s="23">
        <v>5260</v>
      </c>
      <c r="D34" s="24"/>
      <c r="I34" s="22">
        <v>33</v>
      </c>
      <c r="J34" t="s">
        <v>100</v>
      </c>
      <c r="K34" s="23">
        <v>164498</v>
      </c>
      <c r="L34" s="23">
        <v>1200293.8478238303</v>
      </c>
      <c r="N34" s="7">
        <v>1</v>
      </c>
      <c r="O34" t="s">
        <v>22</v>
      </c>
      <c r="P34" s="16">
        <v>1500020</v>
      </c>
      <c r="Q34" s="16">
        <v>1610900</v>
      </c>
      <c r="R34" s="16">
        <v>506521</v>
      </c>
      <c r="S34" s="16">
        <v>858570</v>
      </c>
      <c r="T34" s="16">
        <v>1760580</v>
      </c>
      <c r="U34" s="16">
        <v>86570</v>
      </c>
      <c r="V34" s="16">
        <v>252520</v>
      </c>
      <c r="W34" s="16">
        <v>104</v>
      </c>
      <c r="X34" s="16">
        <v>10020</v>
      </c>
      <c r="Y34" s="16">
        <v>20</v>
      </c>
      <c r="Z34" s="16">
        <v>20</v>
      </c>
      <c r="AA34" s="16"/>
      <c r="AB34" s="51"/>
      <c r="AC34" s="16">
        <v>2451564.5644171769</v>
      </c>
      <c r="AD34" s="16">
        <v>2614448.5908256872</v>
      </c>
      <c r="AE34" s="16">
        <v>620668.98593272152</v>
      </c>
      <c r="AF34" s="16">
        <v>217601.07206670629</v>
      </c>
      <c r="AG34" s="16">
        <v>644140.68641164445</v>
      </c>
      <c r="AH34" s="16">
        <v>48445.773424505634</v>
      </c>
      <c r="AI34" s="16">
        <v>928.24216349108792</v>
      </c>
      <c r="AJ34" s="16">
        <v>15.045725158043332</v>
      </c>
      <c r="AK34" s="16">
        <v>3924.7830279652844</v>
      </c>
      <c r="AL34" s="16">
        <v>7.2350480196166265</v>
      </c>
      <c r="AM34" s="16">
        <v>7.1917441366339334</v>
      </c>
      <c r="AN34" s="16"/>
      <c r="AO34" s="41"/>
    </row>
    <row r="35" spans="1:41" ht="15.5" x14ac:dyDescent="0.35">
      <c r="A35" s="22">
        <v>7</v>
      </c>
      <c r="B35" t="s">
        <v>118</v>
      </c>
      <c r="C35">
        <v>175</v>
      </c>
      <c r="D35" s="24"/>
      <c r="I35" s="22">
        <v>34</v>
      </c>
      <c r="J35" t="s">
        <v>74</v>
      </c>
      <c r="K35" s="23">
        <v>161978.79999999999</v>
      </c>
      <c r="L35" s="23">
        <v>447800.31914338277</v>
      </c>
      <c r="N35" s="7">
        <v>2</v>
      </c>
      <c r="O35" t="s">
        <v>32</v>
      </c>
      <c r="P35" s="16"/>
      <c r="Q35" s="16">
        <v>600</v>
      </c>
      <c r="R35" s="16">
        <v>3740</v>
      </c>
      <c r="S35" s="16">
        <v>6700</v>
      </c>
      <c r="T35" s="16">
        <v>93100</v>
      </c>
      <c r="U35" s="16">
        <v>423400</v>
      </c>
      <c r="V35" s="16">
        <v>365740</v>
      </c>
      <c r="W35" s="16">
        <v>333760</v>
      </c>
      <c r="X35" s="16">
        <v>302560</v>
      </c>
      <c r="Y35" s="16">
        <v>365080</v>
      </c>
      <c r="Z35" s="16">
        <v>230440</v>
      </c>
      <c r="AA35" s="16">
        <v>325580</v>
      </c>
      <c r="AB35" s="51">
        <f t="shared" ref="AB35:AB49" si="4">(AA35-Z35)/Z35</f>
        <v>0.41286235028640861</v>
      </c>
      <c r="AC35" s="16"/>
      <c r="AD35" s="16">
        <v>3669.7247706422013</v>
      </c>
      <c r="AE35" s="16">
        <v>17003.058103975534</v>
      </c>
      <c r="AF35" s="16">
        <v>34901.727218582491</v>
      </c>
      <c r="AG35" s="16">
        <v>487132.05619412544</v>
      </c>
      <c r="AH35" s="16">
        <v>1341771.9460358534</v>
      </c>
      <c r="AI35" s="16">
        <v>1381523.0485556226</v>
      </c>
      <c r="AJ35" s="16">
        <v>1500523.6604676859</v>
      </c>
      <c r="AK35" s="16">
        <v>1245582.642237223</v>
      </c>
      <c r="AL35" s="16">
        <v>1574399.8437229649</v>
      </c>
      <c r="AM35" s="16">
        <v>882896.96207183262</v>
      </c>
      <c r="AN35" s="16">
        <v>1213070.6422735255</v>
      </c>
      <c r="AO35" s="51">
        <f t="shared" ref="AO35:AO49" si="5">(AN35-AM35)/AM35</f>
        <v>0.37396626603731575</v>
      </c>
    </row>
    <row r="36" spans="1:41" ht="15.5" x14ac:dyDescent="0.35">
      <c r="A36" s="35" t="s">
        <v>49</v>
      </c>
      <c r="B36" s="35"/>
      <c r="C36" s="36">
        <f>SUM(C30:C35)</f>
        <v>649804</v>
      </c>
      <c r="D36" s="24"/>
      <c r="I36" s="22">
        <v>35</v>
      </c>
      <c r="J36" t="s">
        <v>120</v>
      </c>
      <c r="K36" s="23">
        <v>160410.04999999999</v>
      </c>
      <c r="L36" s="23">
        <v>459477.02189152548</v>
      </c>
      <c r="N36" s="7">
        <v>3</v>
      </c>
      <c r="O36" t="s">
        <v>47</v>
      </c>
      <c r="P36" s="16">
        <v>257603</v>
      </c>
      <c r="Q36" s="16">
        <v>239057</v>
      </c>
      <c r="R36" s="16">
        <v>254808</v>
      </c>
      <c r="S36" s="16">
        <v>123292</v>
      </c>
      <c r="T36" s="16">
        <v>38342</v>
      </c>
      <c r="U36" s="16">
        <v>84084</v>
      </c>
      <c r="V36" s="16">
        <v>90746</v>
      </c>
      <c r="W36" s="16">
        <v>101176</v>
      </c>
      <c r="X36" s="16">
        <v>87872</v>
      </c>
      <c r="Y36" s="16">
        <v>82748</v>
      </c>
      <c r="Z36" s="16">
        <v>104414</v>
      </c>
      <c r="AA36" s="16">
        <v>222145</v>
      </c>
      <c r="AB36" s="51">
        <f t="shared" si="4"/>
        <v>1.127540368149865</v>
      </c>
      <c r="AC36" s="16">
        <v>41912.987730061453</v>
      </c>
      <c r="AD36" s="16">
        <v>595939.28440366825</v>
      </c>
      <c r="AE36" s="16">
        <v>656736.54128440307</v>
      </c>
      <c r="AF36" s="16">
        <v>190247.64740917177</v>
      </c>
      <c r="AG36" s="16">
        <v>19420.263942102956</v>
      </c>
      <c r="AH36" s="16">
        <v>37552.366598903376</v>
      </c>
      <c r="AI36" s="16">
        <v>29839.990165949504</v>
      </c>
      <c r="AJ36" s="16">
        <v>31644.281225065857</v>
      </c>
      <c r="AK36" s="16">
        <v>25306.804484088654</v>
      </c>
      <c r="AL36" s="16">
        <v>31112.51832125193</v>
      </c>
      <c r="AM36" s="16">
        <v>26581.869490771885</v>
      </c>
      <c r="AN36" s="16">
        <v>35357.650887771379</v>
      </c>
      <c r="AO36" s="51">
        <f t="shared" si="5"/>
        <v>0.33014161776868545</v>
      </c>
    </row>
    <row r="37" spans="1:41" ht="15.5" x14ac:dyDescent="0.35">
      <c r="D37" s="34"/>
      <c r="I37" s="22">
        <v>36</v>
      </c>
      <c r="J37" t="s">
        <v>82</v>
      </c>
      <c r="K37" s="23">
        <v>147475</v>
      </c>
      <c r="L37" s="23">
        <v>871650.84419093071</v>
      </c>
      <c r="N37" s="7">
        <v>4</v>
      </c>
      <c r="O37" t="s">
        <v>34</v>
      </c>
      <c r="P37" s="16">
        <v>142066</v>
      </c>
      <c r="Q37" s="16">
        <v>25136</v>
      </c>
      <c r="R37" s="16">
        <v>39397</v>
      </c>
      <c r="S37" s="16">
        <v>98172</v>
      </c>
      <c r="T37" s="16">
        <v>168900</v>
      </c>
      <c r="U37" s="16">
        <v>47500</v>
      </c>
      <c r="V37" s="16">
        <v>13750</v>
      </c>
      <c r="W37" s="16">
        <v>32900</v>
      </c>
      <c r="X37" s="16">
        <v>17700</v>
      </c>
      <c r="Y37" s="16">
        <v>28000</v>
      </c>
      <c r="Z37" s="16">
        <v>31720</v>
      </c>
      <c r="AA37" s="16">
        <v>74200</v>
      </c>
      <c r="AB37" s="51">
        <f t="shared" si="4"/>
        <v>1.3392181588902901</v>
      </c>
      <c r="AC37" s="16">
        <v>295986.80981595092</v>
      </c>
      <c r="AD37" s="16">
        <v>147400.6116207951</v>
      </c>
      <c r="AE37" s="16">
        <v>248532.64307557882</v>
      </c>
      <c r="AF37" s="16">
        <v>386098.15366289445</v>
      </c>
      <c r="AG37" s="16">
        <v>236002.43264611086</v>
      </c>
      <c r="AH37" s="16">
        <v>70892.626131953424</v>
      </c>
      <c r="AI37" s="16">
        <v>44775.660725261216</v>
      </c>
      <c r="AJ37" s="16">
        <v>43362.180077333825</v>
      </c>
      <c r="AK37" s="16">
        <v>59908.389585342338</v>
      </c>
      <c r="AL37" s="16">
        <v>89111.674774944797</v>
      </c>
      <c r="AM37" s="16">
        <v>94091.985787627302</v>
      </c>
      <c r="AN37" s="16">
        <v>91306.729975222377</v>
      </c>
      <c r="AO37" s="41">
        <f t="shared" si="5"/>
        <v>-2.9601413862084459E-2</v>
      </c>
    </row>
    <row r="38" spans="1:41" ht="15.5" x14ac:dyDescent="0.35">
      <c r="D38" s="37"/>
      <c r="I38" s="22">
        <v>37</v>
      </c>
      <c r="J38" t="s">
        <v>93</v>
      </c>
      <c r="K38" s="23">
        <v>146190</v>
      </c>
      <c r="L38" s="23">
        <v>679195.76337252196</v>
      </c>
      <c r="N38" s="7">
        <v>5</v>
      </c>
      <c r="O38" t="s">
        <v>37</v>
      </c>
      <c r="P38" s="16">
        <v>160000</v>
      </c>
      <c r="Q38" s="16">
        <v>366400</v>
      </c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51"/>
      <c r="AC38" s="16">
        <v>8901.0429447852766</v>
      </c>
      <c r="AD38" s="16">
        <v>136902.14067278287</v>
      </c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41"/>
    </row>
    <row r="39" spans="1:41" ht="15.5" x14ac:dyDescent="0.35">
      <c r="D39" s="24"/>
      <c r="I39" s="22">
        <v>38</v>
      </c>
      <c r="J39" t="s">
        <v>76</v>
      </c>
      <c r="K39" s="23">
        <v>141249.375</v>
      </c>
      <c r="L39" s="23">
        <v>435180.47586994694</v>
      </c>
      <c r="N39" s="7">
        <v>6</v>
      </c>
      <c r="O39" t="s">
        <v>48</v>
      </c>
      <c r="P39" s="16">
        <v>18211</v>
      </c>
      <c r="Q39" s="16">
        <v>21303</v>
      </c>
      <c r="R39" s="16">
        <v>31484</v>
      </c>
      <c r="S39" s="16">
        <v>8242</v>
      </c>
      <c r="T39" s="16">
        <v>18799</v>
      </c>
      <c r="U39" s="16">
        <v>19544</v>
      </c>
      <c r="V39" s="16">
        <v>20400</v>
      </c>
      <c r="W39" s="16">
        <v>18657</v>
      </c>
      <c r="X39" s="16">
        <v>20276</v>
      </c>
      <c r="Y39" s="16">
        <v>21361</v>
      </c>
      <c r="Z39" s="16">
        <v>17520</v>
      </c>
      <c r="AA39" s="16">
        <v>22444</v>
      </c>
      <c r="AB39" s="51">
        <f t="shared" si="4"/>
        <v>0.2810502283105023</v>
      </c>
      <c r="AC39" s="16">
        <v>83948.325153374273</v>
      </c>
      <c r="AD39" s="16">
        <v>108555.23400611625</v>
      </c>
      <c r="AE39" s="16">
        <v>177425.01076452568</v>
      </c>
      <c r="AF39" s="16">
        <v>38622.096486003597</v>
      </c>
      <c r="AG39" s="16">
        <v>97683.653347929052</v>
      </c>
      <c r="AH39" s="16">
        <v>120080.27690507007</v>
      </c>
      <c r="AI39" s="16">
        <v>111772.41831591896</v>
      </c>
      <c r="AJ39" s="16">
        <v>99805.088320137191</v>
      </c>
      <c r="AK39" s="16">
        <v>107418.55635245875</v>
      </c>
      <c r="AL39" s="16">
        <v>97524.721556162578</v>
      </c>
      <c r="AM39" s="16">
        <v>104296.64358784039</v>
      </c>
      <c r="AN39" s="16">
        <v>102696.28108587509</v>
      </c>
      <c r="AO39" s="41">
        <f t="shared" si="5"/>
        <v>-1.5344333690062087E-2</v>
      </c>
    </row>
    <row r="40" spans="1:41" ht="15.5" x14ac:dyDescent="0.35">
      <c r="D40" s="37"/>
      <c r="I40" s="22">
        <v>39</v>
      </c>
      <c r="J40" t="s">
        <v>106</v>
      </c>
      <c r="K40" s="23">
        <v>130512.77999999998</v>
      </c>
      <c r="L40" s="23">
        <v>1344586.15664996</v>
      </c>
      <c r="N40" s="7">
        <v>7</v>
      </c>
      <c r="O40" t="s">
        <v>21</v>
      </c>
      <c r="P40" s="16">
        <v>4620</v>
      </c>
      <c r="Q40" s="16">
        <v>3274</v>
      </c>
      <c r="R40" s="16">
        <v>2280</v>
      </c>
      <c r="S40" s="16">
        <v>4120</v>
      </c>
      <c r="T40" s="16">
        <v>4520</v>
      </c>
      <c r="U40" s="16">
        <v>3920</v>
      </c>
      <c r="V40" s="16">
        <v>1960</v>
      </c>
      <c r="W40" s="16">
        <v>2680</v>
      </c>
      <c r="X40" s="16">
        <v>3600</v>
      </c>
      <c r="Y40" s="16">
        <v>5760</v>
      </c>
      <c r="Z40" s="16">
        <v>6480</v>
      </c>
      <c r="AA40" s="16">
        <v>5260</v>
      </c>
      <c r="AB40" s="41">
        <f t="shared" si="4"/>
        <v>-0.18827160493827161</v>
      </c>
      <c r="AC40" s="16">
        <v>13208.588957055217</v>
      </c>
      <c r="AD40" s="16">
        <v>7549.8470948012218</v>
      </c>
      <c r="AE40" s="16">
        <v>5993.8837920489295</v>
      </c>
      <c r="AF40" s="16">
        <v>12924.359737939252</v>
      </c>
      <c r="AG40" s="16">
        <v>15629.751261935169</v>
      </c>
      <c r="AH40" s="16">
        <v>12135.772808476557</v>
      </c>
      <c r="AI40" s="16">
        <v>6054.0872771972963</v>
      </c>
      <c r="AJ40" s="16">
        <v>8469.895046952679</v>
      </c>
      <c r="AK40" s="16">
        <v>11903.326904532307</v>
      </c>
      <c r="AL40" s="16">
        <v>19052.293118323785</v>
      </c>
      <c r="AM40" s="16">
        <v>21305.542004778028</v>
      </c>
      <c r="AN40" s="16">
        <v>17770.063064731603</v>
      </c>
      <c r="AO40" s="41">
        <f t="shared" si="5"/>
        <v>-0.16594175070756476</v>
      </c>
    </row>
    <row r="41" spans="1:41" ht="15.5" x14ac:dyDescent="0.35">
      <c r="D41" s="24"/>
      <c r="I41" s="22">
        <v>40</v>
      </c>
      <c r="J41" t="s">
        <v>111</v>
      </c>
      <c r="K41" s="23">
        <v>122445.1</v>
      </c>
      <c r="L41" s="23">
        <v>336642.05229346117</v>
      </c>
      <c r="N41" s="7">
        <v>8</v>
      </c>
      <c r="O41" t="s">
        <v>96</v>
      </c>
      <c r="P41" s="16"/>
      <c r="Q41" s="16"/>
      <c r="R41" s="16">
        <v>21000</v>
      </c>
      <c r="S41" s="16"/>
      <c r="T41" s="16"/>
      <c r="U41" s="16"/>
      <c r="V41" s="16"/>
      <c r="W41" s="16"/>
      <c r="X41" s="16"/>
      <c r="Y41" s="16"/>
      <c r="Z41" s="16"/>
      <c r="AA41" s="16"/>
      <c r="AB41" s="51"/>
      <c r="AC41" s="16"/>
      <c r="AD41" s="16"/>
      <c r="AE41" s="16">
        <v>60366.972477064221</v>
      </c>
      <c r="AF41" s="16"/>
      <c r="AG41" s="16"/>
      <c r="AH41" s="16"/>
      <c r="AI41" s="16"/>
      <c r="AJ41" s="16"/>
      <c r="AK41" s="16"/>
      <c r="AL41" s="16"/>
      <c r="AM41" s="16"/>
      <c r="AN41" s="16"/>
      <c r="AO41" s="41"/>
    </row>
    <row r="42" spans="1:41" ht="15.5" x14ac:dyDescent="0.35">
      <c r="B42" s="38"/>
      <c r="C42" s="23"/>
      <c r="D42" s="24"/>
      <c r="I42" s="22">
        <v>41</v>
      </c>
      <c r="J42" t="s">
        <v>94</v>
      </c>
      <c r="K42" s="23">
        <v>114253.68000000002</v>
      </c>
      <c r="L42" s="23">
        <v>543608.95847473573</v>
      </c>
      <c r="N42" s="7">
        <v>9</v>
      </c>
      <c r="O42" t="s">
        <v>39</v>
      </c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>
        <v>13000</v>
      </c>
      <c r="AA42" s="16"/>
      <c r="AB42" s="51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>
        <v>2630.9797299852471</v>
      </c>
      <c r="AN42" s="16"/>
      <c r="AO42" s="41"/>
    </row>
    <row r="43" spans="1:41" ht="15.5" x14ac:dyDescent="0.35">
      <c r="D43" s="37"/>
      <c r="I43" s="22">
        <v>42</v>
      </c>
      <c r="J43" t="s">
        <v>137</v>
      </c>
      <c r="K43" s="23">
        <v>81924</v>
      </c>
      <c r="L43" s="23">
        <v>293883.80371447164</v>
      </c>
      <c r="N43" s="7">
        <v>10</v>
      </c>
      <c r="O43" t="s">
        <v>28</v>
      </c>
      <c r="P43" s="16"/>
      <c r="Q43" s="16"/>
      <c r="R43" s="16"/>
      <c r="S43" s="16">
        <v>5000</v>
      </c>
      <c r="T43" s="16"/>
      <c r="U43" s="16"/>
      <c r="V43" s="16"/>
      <c r="W43" s="16"/>
      <c r="X43" s="16"/>
      <c r="Y43" s="16"/>
      <c r="Z43" s="16"/>
      <c r="AA43" s="16"/>
      <c r="AB43" s="51"/>
      <c r="AC43" s="16"/>
      <c r="AD43" s="16"/>
      <c r="AE43" s="16"/>
      <c r="AF43" s="16">
        <v>297.79630732578914</v>
      </c>
      <c r="AG43" s="16"/>
      <c r="AH43" s="16"/>
      <c r="AI43" s="16"/>
      <c r="AJ43" s="16"/>
      <c r="AK43" s="16"/>
      <c r="AL43" s="16"/>
      <c r="AM43" s="16"/>
      <c r="AN43" s="16"/>
      <c r="AO43" s="41"/>
    </row>
    <row r="44" spans="1:41" ht="15.5" x14ac:dyDescent="0.35">
      <c r="D44" s="37"/>
      <c r="I44" s="22">
        <v>43</v>
      </c>
      <c r="J44" t="s">
        <v>138</v>
      </c>
      <c r="K44" s="23">
        <v>81759.5</v>
      </c>
      <c r="L44" s="23">
        <v>230274.20123970933</v>
      </c>
      <c r="N44" s="7">
        <v>11</v>
      </c>
      <c r="O44" t="s">
        <v>40</v>
      </c>
      <c r="P44" s="16"/>
      <c r="Q44" s="16"/>
      <c r="R44" s="16">
        <v>50</v>
      </c>
      <c r="S44" s="16"/>
      <c r="T44" s="16">
        <v>190</v>
      </c>
      <c r="U44" s="16"/>
      <c r="V44" s="16">
        <v>400</v>
      </c>
      <c r="W44" s="16"/>
      <c r="X44" s="16">
        <v>2000</v>
      </c>
      <c r="Y44" s="16">
        <v>150</v>
      </c>
      <c r="Z44" s="16"/>
      <c r="AA44" s="16"/>
      <c r="AB44" s="51"/>
      <c r="AC44" s="16"/>
      <c r="AD44" s="16"/>
      <c r="AE44" s="16">
        <v>6.1162079510703364</v>
      </c>
      <c r="AF44" s="16"/>
      <c r="AG44" s="16">
        <v>92.44055221066715</v>
      </c>
      <c r="AH44" s="16"/>
      <c r="AI44" s="16">
        <v>196.68100799016594</v>
      </c>
      <c r="AJ44" s="16"/>
      <c r="AK44" s="16">
        <v>361.62005785920928</v>
      </c>
      <c r="AL44" s="16">
        <v>27.131430073562349</v>
      </c>
      <c r="AM44" s="16"/>
      <c r="AN44" s="16"/>
      <c r="AO44" s="41"/>
    </row>
    <row r="45" spans="1:41" ht="15.5" x14ac:dyDescent="0.35">
      <c r="D45" s="37"/>
      <c r="I45" s="22">
        <v>44</v>
      </c>
      <c r="J45" t="s">
        <v>102</v>
      </c>
      <c r="K45" s="23">
        <v>80625</v>
      </c>
      <c r="L45" s="23">
        <v>227293.86665434547</v>
      </c>
      <c r="N45" s="7">
        <v>12</v>
      </c>
      <c r="O45" t="s">
        <v>29</v>
      </c>
      <c r="U45">
        <v>167</v>
      </c>
      <c r="X45">
        <v>227</v>
      </c>
      <c r="AB45" s="51"/>
      <c r="AH45">
        <v>709.3474403991861</v>
      </c>
      <c r="AK45">
        <v>115.71636933461909</v>
      </c>
      <c r="AO45" s="41"/>
    </row>
    <row r="46" spans="1:41" ht="15.5" x14ac:dyDescent="0.35">
      <c r="D46" s="37"/>
      <c r="I46" s="22">
        <v>45</v>
      </c>
      <c r="J46" t="s">
        <v>109</v>
      </c>
      <c r="K46" s="23">
        <v>80000</v>
      </c>
      <c r="L46" s="23">
        <v>215433.73833160353</v>
      </c>
      <c r="N46" s="7">
        <v>13</v>
      </c>
      <c r="O46" t="s">
        <v>118</v>
      </c>
      <c r="Z46">
        <v>20</v>
      </c>
      <c r="AA46">
        <v>175</v>
      </c>
      <c r="AB46" s="51">
        <f t="shared" si="4"/>
        <v>7.75</v>
      </c>
      <c r="AM46">
        <v>7.1917441366339334</v>
      </c>
      <c r="AN46">
        <v>62.908180101039036</v>
      </c>
      <c r="AO46" s="51">
        <f t="shared" si="5"/>
        <v>7.7472772815417414</v>
      </c>
    </row>
    <row r="47" spans="1:41" ht="15.5" x14ac:dyDescent="0.35">
      <c r="D47" s="37"/>
      <c r="I47" s="22">
        <v>46</v>
      </c>
      <c r="J47" t="s">
        <v>65</v>
      </c>
      <c r="K47" s="23">
        <v>73375.199999999997</v>
      </c>
      <c r="L47" s="23">
        <v>153800.95208355217</v>
      </c>
      <c r="N47" s="7">
        <v>14</v>
      </c>
      <c r="O47" t="s">
        <v>99</v>
      </c>
      <c r="Z47">
        <v>178</v>
      </c>
      <c r="AB47" s="51"/>
      <c r="AM47">
        <v>213.35507605347334</v>
      </c>
      <c r="AO47" s="41"/>
    </row>
    <row r="48" spans="1:41" ht="15.5" x14ac:dyDescent="0.35">
      <c r="I48" s="22">
        <v>47</v>
      </c>
      <c r="J48" t="s">
        <v>86</v>
      </c>
      <c r="K48" s="23">
        <v>67741</v>
      </c>
      <c r="L48" s="23">
        <v>415088.25271756895</v>
      </c>
      <c r="N48" s="7">
        <v>15</v>
      </c>
      <c r="O48" t="s">
        <v>27</v>
      </c>
      <c r="Z48">
        <v>100</v>
      </c>
      <c r="AB48" s="51"/>
      <c r="AM48">
        <v>11.986240227723222</v>
      </c>
      <c r="AO48" s="41"/>
    </row>
    <row r="49" spans="9:41" ht="15.5" x14ac:dyDescent="0.35">
      <c r="I49" s="22">
        <v>48</v>
      </c>
      <c r="J49" t="s">
        <v>122</v>
      </c>
      <c r="K49" s="23">
        <v>63888</v>
      </c>
      <c r="L49" s="23">
        <v>244300.11710926896</v>
      </c>
      <c r="N49" s="11"/>
      <c r="O49" s="13" t="s">
        <v>29</v>
      </c>
      <c r="P49" s="14">
        <f t="shared" ref="P49:AA49" si="6">SUM(P34:P44)</f>
        <v>2082520</v>
      </c>
      <c r="Q49" s="14">
        <f t="shared" si="6"/>
        <v>2266670</v>
      </c>
      <c r="R49" s="14">
        <f t="shared" si="6"/>
        <v>859280</v>
      </c>
      <c r="S49" s="14">
        <f t="shared" si="6"/>
        <v>1104096</v>
      </c>
      <c r="T49" s="14">
        <f t="shared" si="6"/>
        <v>2084431</v>
      </c>
      <c r="U49" s="14">
        <f t="shared" si="6"/>
        <v>665018</v>
      </c>
      <c r="V49" s="14">
        <f t="shared" si="6"/>
        <v>745516</v>
      </c>
      <c r="W49" s="14">
        <f t="shared" si="6"/>
        <v>489277</v>
      </c>
      <c r="X49" s="14">
        <f t="shared" si="6"/>
        <v>444028</v>
      </c>
      <c r="Y49" s="14">
        <f t="shared" si="6"/>
        <v>503119</v>
      </c>
      <c r="Z49" s="14">
        <f t="shared" si="6"/>
        <v>403594</v>
      </c>
      <c r="AA49" s="14">
        <f t="shared" si="6"/>
        <v>649629</v>
      </c>
      <c r="AB49" s="51">
        <f t="shared" si="4"/>
        <v>0.60961015277729602</v>
      </c>
      <c r="AC49" s="14">
        <f t="shared" ref="AC49:AN49" si="7">SUM(AC34:AC44)</f>
        <v>2895522.3190184035</v>
      </c>
      <c r="AD49" s="14">
        <f t="shared" si="7"/>
        <v>3614465.4333944931</v>
      </c>
      <c r="AE49" s="14">
        <f t="shared" si="7"/>
        <v>1786733.2116382688</v>
      </c>
      <c r="AF49" s="14">
        <f t="shared" si="7"/>
        <v>880692.85288862372</v>
      </c>
      <c r="AG49" s="14">
        <f t="shared" si="7"/>
        <v>1500101.2843560586</v>
      </c>
      <c r="AH49" s="14">
        <f t="shared" si="7"/>
        <v>1630878.7619047626</v>
      </c>
      <c r="AI49" s="14">
        <f t="shared" si="7"/>
        <v>1575090.128211431</v>
      </c>
      <c r="AJ49" s="14">
        <f t="shared" si="7"/>
        <v>1683820.1508623336</v>
      </c>
      <c r="AK49" s="14">
        <f t="shared" si="7"/>
        <v>1454406.1226494694</v>
      </c>
      <c r="AL49" s="14">
        <f t="shared" si="7"/>
        <v>1811235.4179717412</v>
      </c>
      <c r="AM49" s="14">
        <f t="shared" si="7"/>
        <v>1131811.1744169723</v>
      </c>
      <c r="AN49" s="14">
        <f t="shared" si="7"/>
        <v>1460201.3672871259</v>
      </c>
      <c r="AO49" s="51">
        <f t="shared" si="5"/>
        <v>0.29014574188076608</v>
      </c>
    </row>
    <row r="50" spans="9:41" x14ac:dyDescent="0.35">
      <c r="I50" s="22">
        <v>49</v>
      </c>
      <c r="J50" t="s">
        <v>139</v>
      </c>
      <c r="K50" s="23">
        <v>61800</v>
      </c>
      <c r="L50" s="23">
        <v>231900.27740170836</v>
      </c>
    </row>
    <row r="51" spans="9:41" x14ac:dyDescent="0.35">
      <c r="I51" s="22">
        <v>50</v>
      </c>
      <c r="J51" t="s">
        <v>85</v>
      </c>
      <c r="K51" s="23">
        <v>60430.86</v>
      </c>
      <c r="L51" s="23">
        <v>421930.74778755975</v>
      </c>
    </row>
    <row r="52" spans="9:41" x14ac:dyDescent="0.35">
      <c r="I52" s="22">
        <v>51</v>
      </c>
      <c r="J52" t="s">
        <v>80</v>
      </c>
      <c r="K52" s="23">
        <v>60250</v>
      </c>
      <c r="L52" s="23">
        <v>150707.03012872254</v>
      </c>
    </row>
    <row r="53" spans="9:41" x14ac:dyDescent="0.35">
      <c r="I53" s="22">
        <v>52</v>
      </c>
      <c r="J53" t="s">
        <v>116</v>
      </c>
      <c r="K53" s="23">
        <v>60000.375</v>
      </c>
      <c r="L53" s="23">
        <v>158086.93851775661</v>
      </c>
    </row>
    <row r="54" spans="9:41" x14ac:dyDescent="0.35">
      <c r="I54" s="22">
        <v>53</v>
      </c>
      <c r="J54" t="s">
        <v>105</v>
      </c>
      <c r="K54" s="23">
        <v>59300</v>
      </c>
      <c r="L54" s="23">
        <v>1376539.9909008411</v>
      </c>
    </row>
    <row r="55" spans="9:41" x14ac:dyDescent="0.35">
      <c r="I55" s="22">
        <v>54</v>
      </c>
      <c r="J55" t="s">
        <v>87</v>
      </c>
      <c r="K55" s="23">
        <v>58795</v>
      </c>
      <c r="L55" s="23">
        <v>79290.410826423496</v>
      </c>
    </row>
    <row r="56" spans="9:41" x14ac:dyDescent="0.35">
      <c r="I56" s="22">
        <v>55</v>
      </c>
      <c r="J56" t="s">
        <v>126</v>
      </c>
      <c r="K56" s="23">
        <v>53118</v>
      </c>
      <c r="L56" s="23">
        <v>432795.74239354278</v>
      </c>
    </row>
    <row r="57" spans="9:41" x14ac:dyDescent="0.35">
      <c r="I57" s="22">
        <v>56</v>
      </c>
      <c r="J57" t="s">
        <v>92</v>
      </c>
      <c r="K57" s="23">
        <v>51756</v>
      </c>
      <c r="L57" s="23">
        <v>188097.26306818737</v>
      </c>
    </row>
    <row r="58" spans="9:41" x14ac:dyDescent="0.35">
      <c r="I58" s="22">
        <v>57</v>
      </c>
      <c r="J58" t="s">
        <v>140</v>
      </c>
      <c r="K58" s="16">
        <v>46501.084999999999</v>
      </c>
      <c r="L58" s="16">
        <v>95290.270655015731</v>
      </c>
    </row>
    <row r="59" spans="9:41" x14ac:dyDescent="0.35">
      <c r="I59" s="22">
        <v>58</v>
      </c>
      <c r="J59" t="s">
        <v>115</v>
      </c>
      <c r="K59" s="16">
        <v>46074</v>
      </c>
      <c r="L59" s="16">
        <v>166895.04712574594</v>
      </c>
    </row>
    <row r="60" spans="9:41" x14ac:dyDescent="0.35">
      <c r="I60" s="22">
        <v>59</v>
      </c>
      <c r="J60" t="s">
        <v>117</v>
      </c>
      <c r="K60" s="16">
        <v>43497.17</v>
      </c>
      <c r="L60" s="16">
        <v>188505.90142536216</v>
      </c>
    </row>
    <row r="61" spans="9:41" x14ac:dyDescent="0.35">
      <c r="I61" s="22">
        <v>60</v>
      </c>
      <c r="J61" t="s">
        <v>108</v>
      </c>
      <c r="K61" s="16">
        <v>40806.25</v>
      </c>
      <c r="L61" s="16">
        <v>116748.06815419509</v>
      </c>
    </row>
    <row r="62" spans="9:41" x14ac:dyDescent="0.35">
      <c r="I62" s="22">
        <v>61</v>
      </c>
      <c r="J62" t="s">
        <v>84</v>
      </c>
      <c r="K62" s="16">
        <v>40562.5</v>
      </c>
      <c r="L62" s="16">
        <v>121778.0328481473</v>
      </c>
    </row>
    <row r="63" spans="9:41" x14ac:dyDescent="0.35">
      <c r="I63" s="22">
        <v>62</v>
      </c>
      <c r="J63" t="s">
        <v>141</v>
      </c>
      <c r="K63" s="16">
        <v>40000</v>
      </c>
      <c r="L63" s="16">
        <v>113751.9401406978</v>
      </c>
    </row>
    <row r="64" spans="9:41" x14ac:dyDescent="0.35">
      <c r="I64" s="22">
        <v>63</v>
      </c>
      <c r="J64" t="s">
        <v>127</v>
      </c>
      <c r="K64" s="16">
        <v>34820.5</v>
      </c>
      <c r="L64" s="16">
        <v>90661.62156642435</v>
      </c>
    </row>
    <row r="65" spans="9:12" x14ac:dyDescent="0.35">
      <c r="I65" s="22">
        <v>64</v>
      </c>
      <c r="J65" t="s">
        <v>88</v>
      </c>
      <c r="K65" s="16">
        <v>32516.3</v>
      </c>
      <c r="L65" s="16">
        <v>96439.419473488364</v>
      </c>
    </row>
    <row r="66" spans="9:12" x14ac:dyDescent="0.35">
      <c r="I66" s="22">
        <v>65</v>
      </c>
      <c r="J66" t="s">
        <v>125</v>
      </c>
      <c r="K66" s="16">
        <v>31798</v>
      </c>
      <c r="L66" s="16">
        <v>121834.29636670335</v>
      </c>
    </row>
    <row r="67" spans="9:12" x14ac:dyDescent="0.35">
      <c r="I67" s="22">
        <v>66</v>
      </c>
      <c r="J67" t="s">
        <v>142</v>
      </c>
      <c r="K67" s="16">
        <v>31120</v>
      </c>
      <c r="L67" s="16">
        <v>322160.2389854202</v>
      </c>
    </row>
    <row r="68" spans="9:12" x14ac:dyDescent="0.35">
      <c r="I68" s="22">
        <v>67</v>
      </c>
      <c r="J68" t="s">
        <v>143</v>
      </c>
      <c r="K68" s="16">
        <v>28650</v>
      </c>
      <c r="L68" s="16">
        <v>110421.82984306668</v>
      </c>
    </row>
    <row r="69" spans="9:12" x14ac:dyDescent="0.35">
      <c r="I69" s="22">
        <v>68</v>
      </c>
      <c r="J69" t="s">
        <v>79</v>
      </c>
      <c r="K69" s="16">
        <v>28000</v>
      </c>
      <c r="L69" s="16">
        <v>181085.68986227669</v>
      </c>
    </row>
    <row r="70" spans="9:12" x14ac:dyDescent="0.35">
      <c r="I70" s="22">
        <v>69</v>
      </c>
      <c r="J70" t="s">
        <v>103</v>
      </c>
      <c r="K70" s="16">
        <v>25703.700000000004</v>
      </c>
      <c r="L70" s="16">
        <v>97653.182601818931</v>
      </c>
    </row>
    <row r="71" spans="9:12" x14ac:dyDescent="0.35">
      <c r="I71" s="22">
        <v>70</v>
      </c>
      <c r="J71" t="s">
        <v>131</v>
      </c>
      <c r="K71" s="16">
        <v>21181.39</v>
      </c>
      <c r="L71" s="16">
        <v>72545.116623408117</v>
      </c>
    </row>
    <row r="72" spans="9:12" x14ac:dyDescent="0.35">
      <c r="I72" s="22">
        <v>71</v>
      </c>
      <c r="J72" t="s">
        <v>144</v>
      </c>
      <c r="K72" s="16">
        <v>20626.900000000001</v>
      </c>
      <c r="L72" s="16">
        <v>66713.739160313955</v>
      </c>
    </row>
    <row r="73" spans="9:12" x14ac:dyDescent="0.35">
      <c r="I73" s="22">
        <v>72</v>
      </c>
      <c r="J73" t="s">
        <v>124</v>
      </c>
      <c r="K73" s="16">
        <v>20566.2</v>
      </c>
      <c r="L73" s="16">
        <v>112650.23649191971</v>
      </c>
    </row>
    <row r="74" spans="9:12" x14ac:dyDescent="0.35">
      <c r="I74" s="22">
        <v>73</v>
      </c>
      <c r="J74" t="s">
        <v>101</v>
      </c>
      <c r="K74" s="16">
        <v>20250</v>
      </c>
      <c r="L74" s="16">
        <v>59448.230195481898</v>
      </c>
    </row>
    <row r="75" spans="9:12" x14ac:dyDescent="0.35">
      <c r="I75" s="22">
        <v>74</v>
      </c>
      <c r="J75" t="s">
        <v>145</v>
      </c>
      <c r="K75" s="16">
        <v>20000</v>
      </c>
      <c r="L75" s="16">
        <v>51641.328400045888</v>
      </c>
    </row>
    <row r="76" spans="9:12" x14ac:dyDescent="0.35">
      <c r="I76" s="22">
        <v>75</v>
      </c>
      <c r="J76" t="s">
        <v>146</v>
      </c>
      <c r="K76" s="16">
        <v>19168</v>
      </c>
      <c r="L76" s="16">
        <v>246609.00494890264</v>
      </c>
    </row>
    <row r="77" spans="9:12" x14ac:dyDescent="0.35">
      <c r="I77" s="22">
        <v>76</v>
      </c>
      <c r="J77" t="s">
        <v>147</v>
      </c>
      <c r="K77" s="16">
        <v>18325.7</v>
      </c>
      <c r="L77" s="16">
        <v>102728.62254074025</v>
      </c>
    </row>
    <row r="78" spans="9:12" x14ac:dyDescent="0.35">
      <c r="I78" s="22">
        <v>77</v>
      </c>
      <c r="J78" t="s">
        <v>148</v>
      </c>
      <c r="K78" s="16">
        <v>17493</v>
      </c>
      <c r="L78" s="16">
        <v>150204.12416322908</v>
      </c>
    </row>
    <row r="79" spans="9:12" x14ac:dyDescent="0.35">
      <c r="I79" s="22">
        <v>78</v>
      </c>
      <c r="J79" t="s">
        <v>149</v>
      </c>
      <c r="K79" s="16">
        <v>14150</v>
      </c>
      <c r="L79" s="16">
        <v>123091.25866213437</v>
      </c>
    </row>
    <row r="80" spans="9:12" x14ac:dyDescent="0.35">
      <c r="I80" s="22">
        <v>79</v>
      </c>
      <c r="J80" t="s">
        <v>114</v>
      </c>
      <c r="K80" s="16">
        <v>12520</v>
      </c>
      <c r="L80" s="16">
        <v>50272.508770014421</v>
      </c>
    </row>
    <row r="81" spans="9:12" x14ac:dyDescent="0.35">
      <c r="I81" s="22">
        <v>80</v>
      </c>
      <c r="J81" t="s">
        <v>130</v>
      </c>
      <c r="K81" s="16">
        <v>11552</v>
      </c>
      <c r="L81" s="16">
        <v>29956.276238590021</v>
      </c>
    </row>
    <row r="82" spans="9:12" x14ac:dyDescent="0.35">
      <c r="I82" s="22">
        <v>81</v>
      </c>
      <c r="J82" t="s">
        <v>104</v>
      </c>
      <c r="K82" s="16">
        <v>2435</v>
      </c>
      <c r="L82" s="16">
        <v>2063.9226673696248</v>
      </c>
    </row>
    <row r="83" spans="9:12" x14ac:dyDescent="0.35">
      <c r="I83" s="22">
        <v>82</v>
      </c>
      <c r="J83" t="s">
        <v>129</v>
      </c>
      <c r="K83">
        <v>2000</v>
      </c>
      <c r="L83">
        <v>23968.376093810741</v>
      </c>
    </row>
    <row r="84" spans="9:12" x14ac:dyDescent="0.35">
      <c r="I84" s="22">
        <v>83</v>
      </c>
      <c r="J84" t="s">
        <v>150</v>
      </c>
      <c r="K84">
        <v>1729.7</v>
      </c>
      <c r="L84">
        <v>13924.561504971207</v>
      </c>
    </row>
    <row r="85" spans="9:12" x14ac:dyDescent="0.35">
      <c r="I85" s="22">
        <v>84</v>
      </c>
      <c r="J85" t="s">
        <v>151</v>
      </c>
      <c r="K85">
        <v>3.4</v>
      </c>
      <c r="L85">
        <v>3.0555401763361822</v>
      </c>
    </row>
    <row r="86" spans="9:12" x14ac:dyDescent="0.35">
      <c r="I86" s="22">
        <v>85</v>
      </c>
      <c r="J86" t="s">
        <v>152</v>
      </c>
      <c r="K86">
        <v>1.81</v>
      </c>
      <c r="L86">
        <v>12.058898999844413</v>
      </c>
    </row>
    <row r="87" spans="9:12" x14ac:dyDescent="0.35">
      <c r="I87" s="22">
        <v>86</v>
      </c>
      <c r="J87" t="s">
        <v>153</v>
      </c>
      <c r="K87">
        <v>1</v>
      </c>
      <c r="L87">
        <v>1.0185133921120608</v>
      </c>
    </row>
  </sheetData>
  <mergeCells count="9">
    <mergeCell ref="P3:T3"/>
    <mergeCell ref="A1:C1"/>
    <mergeCell ref="E1:G1"/>
    <mergeCell ref="I1:L1"/>
    <mergeCell ref="N2:N3"/>
    <mergeCell ref="O2:O3"/>
    <mergeCell ref="N1:AO1"/>
    <mergeCell ref="P2:AO2"/>
    <mergeCell ref="AC3:A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</vt:lpstr>
      <vt:lpstr>DESEMBER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hppavx360ek2555tu@outlook.com</dc:creator>
  <cp:lastModifiedBy>hppavx360ek2555tu@outlook.com</cp:lastModifiedBy>
  <dcterms:created xsi:type="dcterms:W3CDTF">2025-03-19T06:15:33Z</dcterms:created>
  <dcterms:modified xsi:type="dcterms:W3CDTF">2026-01-21T03:56:31Z</dcterms:modified>
</cp:coreProperties>
</file>