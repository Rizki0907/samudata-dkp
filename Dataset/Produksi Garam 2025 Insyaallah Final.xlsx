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FILE RENI\KANTOR\2025\"/>
    </mc:Choice>
  </mc:AlternateContent>
  <xr:revisionPtr revIDLastSave="0" documentId="8_{E64B478B-3EF5-4E0F-B0D5-D7034430A2D0}" xr6:coauthVersionLast="47" xr6:coauthVersionMax="47" xr10:uidLastSave="{00000000-0000-0000-0000-000000000000}"/>
  <bookViews>
    <workbookView xWindow="-110" yWindow="-110" windowWidth="19420" windowHeight="10300" tabRatio="665" activeTab="12" xr2:uid="{00000000-000D-0000-FFFF-FFFF00000000}"/>
  </bookViews>
  <sheets>
    <sheet name="Jan" sheetId="1" r:id="rId1"/>
    <sheet name="Feb" sheetId="24" r:id="rId2"/>
    <sheet name="Mar" sheetId="23" r:id="rId3"/>
    <sheet name="Apr" sheetId="22" r:id="rId4"/>
    <sheet name="Mei" sheetId="21" r:id="rId5"/>
    <sheet name="Jun" sheetId="20" r:id="rId6"/>
    <sheet name="Jul" sheetId="19" r:id="rId7"/>
    <sheet name="Agu" sheetId="18" r:id="rId8"/>
    <sheet name="Sep" sheetId="17" r:id="rId9"/>
    <sheet name="Okt" sheetId="16" r:id="rId10"/>
    <sheet name="Nov" sheetId="15" r:id="rId11"/>
    <sheet name="Des" sheetId="14" r:id="rId12"/>
    <sheet name="Rekap 2025" sheetId="13" r:id="rId13"/>
  </sheets>
  <definedNames>
    <definedName name="_xlnm.Print_Area" localSheetId="12">'Rekap 2025'!$B$2:$K$24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6" l="1"/>
  <c r="I23" i="16"/>
  <c r="H23" i="16"/>
  <c r="K22" i="16"/>
  <c r="H22" i="16"/>
  <c r="J22" i="16"/>
  <c r="I22" i="16"/>
  <c r="H23" i="15"/>
  <c r="S25" i="14"/>
  <c r="R25" i="14"/>
  <c r="Q25" i="14"/>
  <c r="S25" i="15"/>
  <c r="R25" i="15"/>
  <c r="Q25" i="15"/>
  <c r="S25" i="16"/>
  <c r="R25" i="16"/>
  <c r="Q25" i="16"/>
  <c r="S25" i="17"/>
  <c r="R25" i="17"/>
  <c r="Q25" i="17"/>
  <c r="S25" i="18"/>
  <c r="R25" i="18"/>
  <c r="Q25" i="18"/>
  <c r="S25" i="19"/>
  <c r="R25" i="19"/>
  <c r="Q25" i="19"/>
  <c r="S25" i="20"/>
  <c r="R25" i="20"/>
  <c r="Q25" i="20"/>
  <c r="S25" i="21"/>
  <c r="R25" i="21"/>
  <c r="Q25" i="21"/>
  <c r="S25" i="22"/>
  <c r="R25" i="22"/>
  <c r="Q25" i="22"/>
  <c r="S25" i="23"/>
  <c r="R25" i="23"/>
  <c r="Q25" i="23"/>
  <c r="S25" i="24"/>
  <c r="R25" i="24"/>
  <c r="Q25" i="24"/>
  <c r="S25" i="1"/>
  <c r="R25" i="1"/>
  <c r="Q25" i="1"/>
  <c r="Q9" i="14"/>
  <c r="R8" i="14"/>
  <c r="Q8" i="14"/>
  <c r="R8" i="15"/>
  <c r="Q8" i="15"/>
  <c r="R8" i="16"/>
  <c r="Q8" i="16"/>
  <c r="R8" i="17"/>
  <c r="Q8" i="17"/>
  <c r="R8" i="18"/>
  <c r="Q8" i="18"/>
  <c r="H23" i="18"/>
  <c r="R8" i="19"/>
  <c r="Q8" i="19"/>
  <c r="Q11" i="20"/>
  <c r="R8" i="20"/>
  <c r="Q8" i="20"/>
  <c r="Q11" i="21"/>
  <c r="P23" i="22"/>
  <c r="R8" i="22"/>
  <c r="R8" i="23"/>
  <c r="R8" i="24"/>
  <c r="Q8" i="24"/>
  <c r="R8" i="1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G6" i="13"/>
  <c r="F6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6" i="13"/>
  <c r="G23" i="14"/>
  <c r="F23" i="14"/>
  <c r="D23" i="14"/>
  <c r="E23" i="14"/>
  <c r="J23" i="14"/>
  <c r="I23" i="14"/>
  <c r="H23" i="14"/>
  <c r="D23" i="15"/>
  <c r="G23" i="15"/>
  <c r="F23" i="15"/>
  <c r="E23" i="15"/>
  <c r="J23" i="15"/>
  <c r="I23" i="15"/>
  <c r="D23" i="16"/>
  <c r="E23" i="16"/>
  <c r="J23" i="17"/>
  <c r="I23" i="17"/>
  <c r="H23" i="17"/>
  <c r="G23" i="17"/>
  <c r="F23" i="17"/>
  <c r="E23" i="17"/>
  <c r="D23" i="17"/>
  <c r="J23" i="18"/>
  <c r="I23" i="18"/>
  <c r="G23" i="18"/>
  <c r="F23" i="18"/>
  <c r="E23" i="18"/>
  <c r="D23" i="18"/>
  <c r="J23" i="19"/>
  <c r="I23" i="19"/>
  <c r="H23" i="19"/>
  <c r="E23" i="19"/>
  <c r="D23" i="19"/>
  <c r="G23" i="19"/>
  <c r="D23" i="20"/>
  <c r="E23" i="20"/>
  <c r="F23" i="20"/>
  <c r="J23" i="20"/>
  <c r="I23" i="20"/>
  <c r="H23" i="20"/>
  <c r="G23" i="20"/>
  <c r="J23" i="21"/>
  <c r="I23" i="21"/>
  <c r="H23" i="21"/>
  <c r="G23" i="21"/>
  <c r="E23" i="21"/>
  <c r="D23" i="21"/>
  <c r="J23" i="22"/>
  <c r="I23" i="22"/>
  <c r="H23" i="22"/>
  <c r="G23" i="22"/>
  <c r="E23" i="22"/>
  <c r="D23" i="22"/>
  <c r="J23" i="23"/>
  <c r="I23" i="23"/>
  <c r="H23" i="23"/>
  <c r="G23" i="23"/>
  <c r="E23" i="23"/>
  <c r="D23" i="23"/>
  <c r="O23" i="24"/>
  <c r="M23" i="24"/>
  <c r="G23" i="24"/>
  <c r="E23" i="24"/>
  <c r="D23" i="24"/>
  <c r="J23" i="24"/>
  <c r="I23" i="24"/>
  <c r="H23" i="24"/>
  <c r="T16" i="1"/>
  <c r="T12" i="1"/>
  <c r="O23" i="14"/>
  <c r="N23" i="14"/>
  <c r="M23" i="14"/>
  <c r="O23" i="15"/>
  <c r="N23" i="15"/>
  <c r="M23" i="15"/>
  <c r="O23" i="16"/>
  <c r="N23" i="16"/>
  <c r="M23" i="16"/>
  <c r="O23" i="17"/>
  <c r="N23" i="17"/>
  <c r="M23" i="17"/>
  <c r="O23" i="18"/>
  <c r="N23" i="18"/>
  <c r="M23" i="18"/>
  <c r="O23" i="19"/>
  <c r="N23" i="19"/>
  <c r="M23" i="19"/>
  <c r="O23" i="20"/>
  <c r="N23" i="20"/>
  <c r="M23" i="20"/>
  <c r="O23" i="21"/>
  <c r="N23" i="21"/>
  <c r="M23" i="21"/>
  <c r="O23" i="22"/>
  <c r="N23" i="22"/>
  <c r="M23" i="22"/>
  <c r="O23" i="23"/>
  <c r="N23" i="23"/>
  <c r="M23" i="23"/>
  <c r="N23" i="24"/>
  <c r="O23" i="1"/>
  <c r="N23" i="1"/>
  <c r="M23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T9" i="1"/>
  <c r="T10" i="1"/>
  <c r="T11" i="1"/>
  <c r="T13" i="1"/>
  <c r="T14" i="1"/>
  <c r="T15" i="1"/>
  <c r="T17" i="1"/>
  <c r="T18" i="1"/>
  <c r="T19" i="1"/>
  <c r="T20" i="1"/>
  <c r="T21" i="1"/>
  <c r="T22" i="1"/>
  <c r="T8" i="1"/>
  <c r="J23" i="1"/>
  <c r="I23" i="1"/>
  <c r="H23" i="1"/>
  <c r="G23" i="1"/>
  <c r="F23" i="1"/>
  <c r="E23" i="1"/>
  <c r="P16" i="22"/>
  <c r="D23" i="1"/>
  <c r="K23" i="16" l="1"/>
  <c r="K12" i="23"/>
  <c r="K20" i="13" l="1"/>
  <c r="K20" i="1"/>
  <c r="P11" i="24"/>
  <c r="L11" i="24"/>
  <c r="K11" i="24"/>
  <c r="P22" i="14"/>
  <c r="L22" i="14"/>
  <c r="K22" i="14"/>
  <c r="P22" i="15"/>
  <c r="K22" i="15"/>
  <c r="L22" i="15" s="1"/>
  <c r="P22" i="16"/>
  <c r="L22" i="16"/>
  <c r="P22" i="17"/>
  <c r="K22" i="17"/>
  <c r="P22" i="18"/>
  <c r="K22" i="18"/>
  <c r="L22" i="18" s="1"/>
  <c r="P22" i="19"/>
  <c r="K22" i="19"/>
  <c r="L22" i="19" s="1"/>
  <c r="P22" i="20"/>
  <c r="K22" i="20"/>
  <c r="L22" i="20" s="1"/>
  <c r="P22" i="21"/>
  <c r="K22" i="21"/>
  <c r="L22" i="21" s="1"/>
  <c r="P22" i="22"/>
  <c r="K22" i="22"/>
  <c r="L22" i="22" s="1"/>
  <c r="P22" i="23"/>
  <c r="K22" i="23"/>
  <c r="L22" i="23" s="1"/>
  <c r="P22" i="24"/>
  <c r="K22" i="24"/>
  <c r="L22" i="24" s="1"/>
  <c r="P22" i="1"/>
  <c r="K22" i="1"/>
  <c r="L22" i="1" s="1"/>
  <c r="F23" i="24"/>
  <c r="P21" i="24"/>
  <c r="K21" i="24"/>
  <c r="P20" i="24"/>
  <c r="K20" i="24"/>
  <c r="L20" i="24" s="1"/>
  <c r="P19" i="24"/>
  <c r="K19" i="24"/>
  <c r="L19" i="24" s="1"/>
  <c r="P18" i="24"/>
  <c r="K18" i="24"/>
  <c r="L18" i="24" s="1"/>
  <c r="P17" i="24"/>
  <c r="K17" i="24"/>
  <c r="L17" i="24" s="1"/>
  <c r="P16" i="24"/>
  <c r="K16" i="24"/>
  <c r="L16" i="24" s="1"/>
  <c r="P15" i="24"/>
  <c r="K15" i="24"/>
  <c r="L15" i="24" s="1"/>
  <c r="P14" i="24"/>
  <c r="K14" i="24"/>
  <c r="L14" i="24" s="1"/>
  <c r="P13" i="24"/>
  <c r="K13" i="24"/>
  <c r="L13" i="24" s="1"/>
  <c r="P12" i="24"/>
  <c r="K12" i="24"/>
  <c r="L12" i="24" s="1"/>
  <c r="P10" i="24"/>
  <c r="K10" i="24"/>
  <c r="L10" i="24" s="1"/>
  <c r="P9" i="24"/>
  <c r="K9" i="24"/>
  <c r="L9" i="24" s="1"/>
  <c r="P8" i="24"/>
  <c r="K8" i="24"/>
  <c r="F23" i="23"/>
  <c r="P21" i="23"/>
  <c r="K21" i="23"/>
  <c r="P20" i="23"/>
  <c r="K20" i="23"/>
  <c r="L20" i="23" s="1"/>
  <c r="P19" i="23"/>
  <c r="K19" i="23"/>
  <c r="L19" i="23" s="1"/>
  <c r="P18" i="23"/>
  <c r="K18" i="23"/>
  <c r="L18" i="23" s="1"/>
  <c r="P17" i="23"/>
  <c r="K17" i="23"/>
  <c r="L17" i="23" s="1"/>
  <c r="P16" i="23"/>
  <c r="K16" i="23"/>
  <c r="L16" i="23" s="1"/>
  <c r="P15" i="23"/>
  <c r="K15" i="23"/>
  <c r="L15" i="23" s="1"/>
  <c r="P14" i="23"/>
  <c r="K14" i="23"/>
  <c r="L14" i="23" s="1"/>
  <c r="P13" i="23"/>
  <c r="K13" i="23"/>
  <c r="L13" i="23" s="1"/>
  <c r="P12" i="23"/>
  <c r="L12" i="23"/>
  <c r="P11" i="23"/>
  <c r="K11" i="23"/>
  <c r="L11" i="23" s="1"/>
  <c r="P10" i="23"/>
  <c r="K10" i="23"/>
  <c r="L10" i="23" s="1"/>
  <c r="P9" i="23"/>
  <c r="K9" i="23"/>
  <c r="L9" i="23" s="1"/>
  <c r="P8" i="23"/>
  <c r="K8" i="23"/>
  <c r="F23" i="22"/>
  <c r="P21" i="22"/>
  <c r="K21" i="22"/>
  <c r="L21" i="22" s="1"/>
  <c r="P20" i="22"/>
  <c r="K20" i="22"/>
  <c r="L20" i="22" s="1"/>
  <c r="P19" i="22"/>
  <c r="K19" i="22"/>
  <c r="L19" i="22" s="1"/>
  <c r="P18" i="22"/>
  <c r="K18" i="22"/>
  <c r="L18" i="22" s="1"/>
  <c r="P17" i="22"/>
  <c r="K17" i="22"/>
  <c r="L17" i="22" s="1"/>
  <c r="K16" i="22"/>
  <c r="L16" i="22" s="1"/>
  <c r="P15" i="22"/>
  <c r="K15" i="22"/>
  <c r="L15" i="22" s="1"/>
  <c r="P14" i="22"/>
  <c r="K14" i="22"/>
  <c r="L14" i="22" s="1"/>
  <c r="P13" i="22"/>
  <c r="K13" i="22"/>
  <c r="L13" i="22" s="1"/>
  <c r="P12" i="22"/>
  <c r="K12" i="22"/>
  <c r="L12" i="22" s="1"/>
  <c r="P11" i="22"/>
  <c r="K11" i="22"/>
  <c r="P10" i="22"/>
  <c r="K10" i="22"/>
  <c r="P9" i="22"/>
  <c r="K9" i="22"/>
  <c r="L9" i="22" s="1"/>
  <c r="P8" i="22"/>
  <c r="K8" i="22"/>
  <c r="L8" i="22" s="1"/>
  <c r="L23" i="22" s="1"/>
  <c r="F23" i="21"/>
  <c r="P21" i="21"/>
  <c r="K21" i="21"/>
  <c r="L21" i="21" s="1"/>
  <c r="P20" i="21"/>
  <c r="K20" i="21"/>
  <c r="L20" i="21" s="1"/>
  <c r="P19" i="21"/>
  <c r="K19" i="21"/>
  <c r="L19" i="21" s="1"/>
  <c r="P18" i="21"/>
  <c r="K18" i="21"/>
  <c r="L18" i="21" s="1"/>
  <c r="P17" i="21"/>
  <c r="K17" i="21"/>
  <c r="L17" i="21" s="1"/>
  <c r="P16" i="21"/>
  <c r="K16" i="21"/>
  <c r="L16" i="21" s="1"/>
  <c r="P15" i="21"/>
  <c r="K15" i="21"/>
  <c r="L15" i="21" s="1"/>
  <c r="P14" i="21"/>
  <c r="K14" i="21"/>
  <c r="L14" i="21" s="1"/>
  <c r="P13" i="21"/>
  <c r="K13" i="21"/>
  <c r="L13" i="21" s="1"/>
  <c r="P12" i="21"/>
  <c r="K12" i="21"/>
  <c r="L12" i="21" s="1"/>
  <c r="P11" i="21"/>
  <c r="K11" i="21"/>
  <c r="P10" i="21"/>
  <c r="K10" i="21"/>
  <c r="L10" i="21" s="1"/>
  <c r="P9" i="21"/>
  <c r="K9" i="21"/>
  <c r="P8" i="21"/>
  <c r="K8" i="21"/>
  <c r="L8" i="21" s="1"/>
  <c r="L23" i="21" s="1"/>
  <c r="P21" i="20"/>
  <c r="K21" i="20"/>
  <c r="L21" i="20" s="1"/>
  <c r="P20" i="20"/>
  <c r="K20" i="20"/>
  <c r="L20" i="20" s="1"/>
  <c r="P19" i="20"/>
  <c r="K19" i="20"/>
  <c r="L19" i="20" s="1"/>
  <c r="P18" i="20"/>
  <c r="K18" i="20"/>
  <c r="L18" i="20" s="1"/>
  <c r="P17" i="20"/>
  <c r="K17" i="20"/>
  <c r="L17" i="20" s="1"/>
  <c r="P16" i="20"/>
  <c r="K16" i="20"/>
  <c r="L16" i="20" s="1"/>
  <c r="P15" i="20"/>
  <c r="K15" i="20"/>
  <c r="L15" i="20" s="1"/>
  <c r="P14" i="20"/>
  <c r="K14" i="20"/>
  <c r="P13" i="20"/>
  <c r="K13" i="20"/>
  <c r="L13" i="20" s="1"/>
  <c r="P12" i="20"/>
  <c r="K12" i="20"/>
  <c r="L12" i="20" s="1"/>
  <c r="P11" i="20"/>
  <c r="K11" i="20"/>
  <c r="L11" i="20" s="1"/>
  <c r="P10" i="20"/>
  <c r="K10" i="20"/>
  <c r="L10" i="20" s="1"/>
  <c r="P9" i="20"/>
  <c r="K9" i="20"/>
  <c r="L9" i="20" s="1"/>
  <c r="P8" i="20"/>
  <c r="K8" i="20"/>
  <c r="F23" i="19"/>
  <c r="P21" i="19"/>
  <c r="K21" i="19"/>
  <c r="L21" i="19" s="1"/>
  <c r="P20" i="19"/>
  <c r="K20" i="19"/>
  <c r="L20" i="19" s="1"/>
  <c r="P19" i="19"/>
  <c r="K19" i="19"/>
  <c r="L19" i="19" s="1"/>
  <c r="P18" i="19"/>
  <c r="K18" i="19"/>
  <c r="L18" i="19" s="1"/>
  <c r="P17" i="19"/>
  <c r="K17" i="19"/>
  <c r="L17" i="19" s="1"/>
  <c r="P16" i="19"/>
  <c r="K16" i="19"/>
  <c r="L16" i="19" s="1"/>
  <c r="P15" i="19"/>
  <c r="K15" i="19"/>
  <c r="L15" i="19" s="1"/>
  <c r="P14" i="19"/>
  <c r="K14" i="19"/>
  <c r="L14" i="19" s="1"/>
  <c r="P13" i="19"/>
  <c r="K13" i="19"/>
  <c r="L13" i="19" s="1"/>
  <c r="P12" i="19"/>
  <c r="K12" i="19"/>
  <c r="L12" i="19" s="1"/>
  <c r="P11" i="19"/>
  <c r="K11" i="19"/>
  <c r="P10" i="19"/>
  <c r="K10" i="19"/>
  <c r="L10" i="19" s="1"/>
  <c r="P9" i="19"/>
  <c r="K9" i="19"/>
  <c r="L9" i="19" s="1"/>
  <c r="P8" i="19"/>
  <c r="K8" i="19"/>
  <c r="P21" i="18"/>
  <c r="K21" i="18"/>
  <c r="L21" i="18" s="1"/>
  <c r="P20" i="18"/>
  <c r="K20" i="18"/>
  <c r="L20" i="18" s="1"/>
  <c r="P19" i="18"/>
  <c r="K19" i="18"/>
  <c r="L19" i="18" s="1"/>
  <c r="P18" i="18"/>
  <c r="K18" i="18"/>
  <c r="L18" i="18" s="1"/>
  <c r="P17" i="18"/>
  <c r="K17" i="18"/>
  <c r="L17" i="18" s="1"/>
  <c r="P16" i="18"/>
  <c r="K16" i="18"/>
  <c r="L16" i="18" s="1"/>
  <c r="P15" i="18"/>
  <c r="K15" i="18"/>
  <c r="L15" i="18" s="1"/>
  <c r="P14" i="18"/>
  <c r="K14" i="18"/>
  <c r="L14" i="18" s="1"/>
  <c r="P13" i="18"/>
  <c r="K13" i="18"/>
  <c r="L13" i="18" s="1"/>
  <c r="P12" i="18"/>
  <c r="K12" i="18"/>
  <c r="L12" i="18" s="1"/>
  <c r="P11" i="18"/>
  <c r="K11" i="18"/>
  <c r="P10" i="18"/>
  <c r="K10" i="18"/>
  <c r="L10" i="18" s="1"/>
  <c r="P9" i="18"/>
  <c r="K9" i="18"/>
  <c r="L9" i="18" s="1"/>
  <c r="P8" i="18"/>
  <c r="K8" i="18"/>
  <c r="P21" i="17"/>
  <c r="K21" i="17"/>
  <c r="L21" i="17" s="1"/>
  <c r="P20" i="17"/>
  <c r="K20" i="17"/>
  <c r="L20" i="17" s="1"/>
  <c r="P19" i="17"/>
  <c r="K19" i="17"/>
  <c r="L19" i="17" s="1"/>
  <c r="P18" i="17"/>
  <c r="K18" i="17"/>
  <c r="L18" i="17" s="1"/>
  <c r="P17" i="17"/>
  <c r="K17" i="17"/>
  <c r="L17" i="17" s="1"/>
  <c r="P16" i="17"/>
  <c r="K16" i="17"/>
  <c r="L16" i="17" s="1"/>
  <c r="P15" i="17"/>
  <c r="K15" i="17"/>
  <c r="L15" i="17" s="1"/>
  <c r="P14" i="17"/>
  <c r="K14" i="17"/>
  <c r="L14" i="17" s="1"/>
  <c r="P13" i="17"/>
  <c r="K13" i="17"/>
  <c r="L13" i="17" s="1"/>
  <c r="P12" i="17"/>
  <c r="K12" i="17"/>
  <c r="L12" i="17" s="1"/>
  <c r="P11" i="17"/>
  <c r="K11" i="17"/>
  <c r="L11" i="17" s="1"/>
  <c r="P10" i="17"/>
  <c r="K10" i="17"/>
  <c r="L10" i="17" s="1"/>
  <c r="P9" i="17"/>
  <c r="K9" i="17"/>
  <c r="L9" i="17" s="1"/>
  <c r="P8" i="17"/>
  <c r="K8" i="17"/>
  <c r="L8" i="17" s="1"/>
  <c r="G23" i="16"/>
  <c r="F23" i="16"/>
  <c r="P21" i="16"/>
  <c r="K21" i="16"/>
  <c r="L21" i="16" s="1"/>
  <c r="P20" i="16"/>
  <c r="K20" i="16"/>
  <c r="L20" i="16" s="1"/>
  <c r="P19" i="16"/>
  <c r="K19" i="16"/>
  <c r="L19" i="16" s="1"/>
  <c r="P18" i="16"/>
  <c r="K18" i="16"/>
  <c r="L18" i="16" s="1"/>
  <c r="P17" i="16"/>
  <c r="K17" i="16"/>
  <c r="L17" i="16" s="1"/>
  <c r="P16" i="16"/>
  <c r="K16" i="16"/>
  <c r="L16" i="16" s="1"/>
  <c r="P15" i="16"/>
  <c r="K15" i="16"/>
  <c r="L15" i="16" s="1"/>
  <c r="P14" i="16"/>
  <c r="K14" i="16"/>
  <c r="L14" i="16" s="1"/>
  <c r="P13" i="16"/>
  <c r="K13" i="16"/>
  <c r="L13" i="16" s="1"/>
  <c r="P12" i="16"/>
  <c r="K12" i="16"/>
  <c r="L12" i="16" s="1"/>
  <c r="P11" i="16"/>
  <c r="K11" i="16"/>
  <c r="L11" i="16" s="1"/>
  <c r="P10" i="16"/>
  <c r="K10" i="16"/>
  <c r="L10" i="16" s="1"/>
  <c r="P9" i="16"/>
  <c r="K9" i="16"/>
  <c r="P8" i="16"/>
  <c r="K8" i="16"/>
  <c r="P21" i="15"/>
  <c r="K21" i="15"/>
  <c r="L21" i="15" s="1"/>
  <c r="P20" i="15"/>
  <c r="K20" i="15"/>
  <c r="L20" i="15" s="1"/>
  <c r="P19" i="15"/>
  <c r="K19" i="15"/>
  <c r="L19" i="15" s="1"/>
  <c r="P18" i="15"/>
  <c r="K18" i="15"/>
  <c r="L18" i="15" s="1"/>
  <c r="P17" i="15"/>
  <c r="K17" i="15"/>
  <c r="L17" i="15" s="1"/>
  <c r="P16" i="15"/>
  <c r="K16" i="15"/>
  <c r="L16" i="15" s="1"/>
  <c r="P15" i="15"/>
  <c r="K15" i="15"/>
  <c r="L15" i="15" s="1"/>
  <c r="P14" i="15"/>
  <c r="K14" i="15"/>
  <c r="L14" i="15" s="1"/>
  <c r="P13" i="15"/>
  <c r="K13" i="15"/>
  <c r="P12" i="15"/>
  <c r="K12" i="15"/>
  <c r="L12" i="15" s="1"/>
  <c r="P11" i="15"/>
  <c r="K11" i="15"/>
  <c r="L11" i="15" s="1"/>
  <c r="P10" i="15"/>
  <c r="K10" i="15"/>
  <c r="L10" i="15" s="1"/>
  <c r="P9" i="15"/>
  <c r="K9" i="15"/>
  <c r="L9" i="15" s="1"/>
  <c r="P8" i="15"/>
  <c r="K8" i="15"/>
  <c r="P21" i="14"/>
  <c r="K21" i="14"/>
  <c r="L21" i="14" s="1"/>
  <c r="P20" i="14"/>
  <c r="K20" i="14"/>
  <c r="L20" i="14" s="1"/>
  <c r="P19" i="14"/>
  <c r="K19" i="14"/>
  <c r="L19" i="14" s="1"/>
  <c r="P18" i="14"/>
  <c r="K18" i="14"/>
  <c r="L18" i="14" s="1"/>
  <c r="P17" i="14"/>
  <c r="K17" i="14"/>
  <c r="L17" i="14" s="1"/>
  <c r="P16" i="14"/>
  <c r="K16" i="14"/>
  <c r="L16" i="14" s="1"/>
  <c r="P15" i="14"/>
  <c r="K15" i="14"/>
  <c r="L15" i="14" s="1"/>
  <c r="P14" i="14"/>
  <c r="K14" i="14"/>
  <c r="L14" i="14" s="1"/>
  <c r="P13" i="14"/>
  <c r="K13" i="14"/>
  <c r="L13" i="14" s="1"/>
  <c r="P12" i="14"/>
  <c r="K12" i="14"/>
  <c r="L12" i="14" s="1"/>
  <c r="P11" i="14"/>
  <c r="K11" i="14"/>
  <c r="L11" i="14" s="1"/>
  <c r="P10" i="14"/>
  <c r="K10" i="14"/>
  <c r="L10" i="14" s="1"/>
  <c r="P9" i="14"/>
  <c r="K9" i="14"/>
  <c r="L9" i="14" s="1"/>
  <c r="P8" i="14"/>
  <c r="K8" i="14"/>
  <c r="P21" i="1"/>
  <c r="K21" i="1"/>
  <c r="L21" i="1" s="1"/>
  <c r="P23" i="17" l="1"/>
  <c r="P23" i="14"/>
  <c r="L8" i="14"/>
  <c r="L23" i="14" s="1"/>
  <c r="K23" i="14"/>
  <c r="P23" i="15"/>
  <c r="P23" i="16"/>
  <c r="L13" i="15"/>
  <c r="K23" i="15"/>
  <c r="L9" i="16"/>
  <c r="L23" i="17"/>
  <c r="L22" i="17"/>
  <c r="K23" i="17"/>
  <c r="P23" i="18"/>
  <c r="L11" i="18"/>
  <c r="K23" i="18"/>
  <c r="P23" i="19"/>
  <c r="L8" i="19"/>
  <c r="K23" i="19"/>
  <c r="P23" i="24"/>
  <c r="P23" i="20"/>
  <c r="L14" i="20"/>
  <c r="K23" i="20"/>
  <c r="P23" i="21"/>
  <c r="L9" i="21"/>
  <c r="K23" i="21"/>
  <c r="L10" i="22"/>
  <c r="K23" i="22"/>
  <c r="P23" i="23"/>
  <c r="L21" i="23"/>
  <c r="K23" i="23"/>
  <c r="L21" i="24"/>
  <c r="K23" i="24"/>
  <c r="G21" i="13"/>
  <c r="D21" i="13"/>
  <c r="F21" i="13"/>
  <c r="J21" i="13"/>
  <c r="H21" i="13"/>
  <c r="I21" i="13"/>
  <c r="L8" i="18"/>
  <c r="L23" i="18" s="1"/>
  <c r="K19" i="13"/>
  <c r="L8" i="24"/>
  <c r="L23" i="24" s="1"/>
  <c r="L8" i="23"/>
  <c r="L23" i="23" s="1"/>
  <c r="L11" i="22"/>
  <c r="L11" i="21"/>
  <c r="L8" i="20"/>
  <c r="L23" i="20" s="1"/>
  <c r="L11" i="19"/>
  <c r="L8" i="16"/>
  <c r="L23" i="16" s="1"/>
  <c r="L8" i="15"/>
  <c r="L23" i="15" s="1"/>
  <c r="E21" i="13"/>
  <c r="P20" i="1"/>
  <c r="L20" i="1"/>
  <c r="P19" i="1"/>
  <c r="K19" i="1"/>
  <c r="L19" i="1" s="1"/>
  <c r="P18" i="1"/>
  <c r="K18" i="1"/>
  <c r="L18" i="1" s="1"/>
  <c r="P17" i="1"/>
  <c r="K17" i="1"/>
  <c r="L17" i="1" s="1"/>
  <c r="P16" i="1"/>
  <c r="K16" i="1"/>
  <c r="L16" i="1" s="1"/>
  <c r="P15" i="1"/>
  <c r="K15" i="1"/>
  <c r="L15" i="1" s="1"/>
  <c r="P14" i="1"/>
  <c r="K14" i="1"/>
  <c r="L14" i="1" s="1"/>
  <c r="P13" i="1"/>
  <c r="K13" i="1"/>
  <c r="L13" i="1" s="1"/>
  <c r="P12" i="1"/>
  <c r="K12" i="1"/>
  <c r="L12" i="1" s="1"/>
  <c r="P11" i="1"/>
  <c r="K11" i="1"/>
  <c r="L11" i="1" s="1"/>
  <c r="P10" i="1"/>
  <c r="K10" i="1"/>
  <c r="P9" i="1"/>
  <c r="K9" i="1"/>
  <c r="L9" i="1" s="1"/>
  <c r="P8" i="1"/>
  <c r="K8" i="1"/>
  <c r="L8" i="1" s="1"/>
  <c r="L23" i="1" s="1"/>
  <c r="L23" i="19" l="1"/>
  <c r="P23" i="1"/>
  <c r="L10" i="1"/>
  <c r="K23" i="1"/>
  <c r="K7" i="13"/>
  <c r="K11" i="13"/>
  <c r="K15" i="13"/>
  <c r="K10" i="13"/>
  <c r="K14" i="13"/>
  <c r="K18" i="13"/>
  <c r="K17" i="13"/>
  <c r="K6" i="13"/>
  <c r="K12" i="13"/>
  <c r="K16" i="13"/>
  <c r="K13" i="13"/>
  <c r="K8" i="13"/>
  <c r="K9" i="13"/>
  <c r="K21" i="13" l="1"/>
</calcChain>
</file>

<file path=xl/sharedStrings.xml><?xml version="1.0" encoding="utf-8"?>
<sst xmlns="http://schemas.openxmlformats.org/spreadsheetml/2006/main" count="502" uniqueCount="48">
  <si>
    <t>No</t>
  </si>
  <si>
    <t>Kab/Kota</t>
  </si>
  <si>
    <t>L Total (Ha)</t>
  </si>
  <si>
    <t>L Prod (Ha)</t>
  </si>
  <si>
    <t>Σ Pok</t>
  </si>
  <si>
    <t>Σ Petambak</t>
  </si>
  <si>
    <t>Produksi (Ton)</t>
  </si>
  <si>
    <t>Σ Prod (Ton)</t>
  </si>
  <si>
    <t xml:space="preserve">Prodtv </t>
  </si>
  <si>
    <t>Stok (Ton)</t>
  </si>
  <si>
    <t>Σ Stok</t>
  </si>
  <si>
    <t>K1</t>
  </si>
  <si>
    <t>K2</t>
  </si>
  <si>
    <t>K3</t>
  </si>
  <si>
    <t>Sumenep</t>
  </si>
  <si>
    <t>Pamekasan</t>
  </si>
  <si>
    <t>Sampang</t>
  </si>
  <si>
    <t>Bangkalan</t>
  </si>
  <si>
    <t>Tuban</t>
  </si>
  <si>
    <t>Lamongan</t>
  </si>
  <si>
    <t>Gresik</t>
  </si>
  <si>
    <t>Surabaya</t>
  </si>
  <si>
    <t>Sidoarjo</t>
  </si>
  <si>
    <t>Situbondo</t>
  </si>
  <si>
    <t>TOTAL</t>
  </si>
  <si>
    <t>Dinas Kelautan dan Perikanan Provinsi Jawa Timur</t>
  </si>
  <si>
    <t>Probolinggo</t>
  </si>
  <si>
    <t>Pasuruan</t>
  </si>
  <si>
    <t>Kota Pasuruan</t>
  </si>
  <si>
    <t>Harga (Rp)</t>
  </si>
  <si>
    <t>Bidang Kelautan Pesisir dan Pengawasan</t>
  </si>
  <si>
    <t>DATA PRODUKSI GARAM RAKYAT JAWA TIMUR TAHUN 2025</t>
  </si>
  <si>
    <t>Blitar</t>
  </si>
  <si>
    <t>BULAN: DESEMBER</t>
  </si>
  <si>
    <t>BULAN: JANUARI</t>
  </si>
  <si>
    <t>BULAN: NOVEMBER</t>
  </si>
  <si>
    <t>BULAN: OKTOBER</t>
  </si>
  <si>
    <t>BULAN: SEPTEMBER</t>
  </si>
  <si>
    <t>PT. Garam</t>
  </si>
  <si>
    <t>BULAN: FEBRUARI</t>
  </si>
  <si>
    <t>BULAN: MARET</t>
  </si>
  <si>
    <t>BULAN: APRIL</t>
  </si>
  <si>
    <t>BULAN: MEI</t>
  </si>
  <si>
    <t>BULAN: JUNI</t>
  </si>
  <si>
    <t>BULAN: JULI</t>
  </si>
  <si>
    <t>BULAN: AGUSTUS</t>
  </si>
  <si>
    <t>Nilai Produksi</t>
  </si>
  <si>
    <t>DATA PRODUKSI GARAM JAWA TIMUR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</si>
</sst>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(* #,##0.00_);_(* \(#,##0.00\);_(* &quot;-&quot;??_);_(@_)"/>
    <numFmt numFmtId="165" formatCode="0.000"/>
  </numFmts>
  <fonts count="4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" fontId="1" fillId="0" borderId="0" xfId="0" applyNumberFormat="1" applyFont="1"/>
    <xf numFmtId="42" fontId="1" fillId="0" borderId="0" xfId="0" applyNumberFormat="1" applyFont="1"/>
    <xf numFmtId="0" fontId="2" fillId="0" borderId="0" xfId="0" applyFont="1"/>
    <xf numFmtId="4" fontId="2" fillId="0" borderId="1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1" fillId="0" borderId="2" xfId="0" applyFont="1" applyBorder="1"/>
    <xf numFmtId="4" fontId="1" fillId="0" borderId="2" xfId="0" applyNumberFormat="1" applyFont="1" applyBorder="1"/>
    <xf numFmtId="3" fontId="1" fillId="0" borderId="2" xfId="0" applyNumberFormat="1" applyFont="1" applyBorder="1"/>
    <xf numFmtId="0" fontId="1" fillId="0" borderId="4" xfId="0" applyFont="1" applyBorder="1"/>
    <xf numFmtId="0" fontId="2" fillId="0" borderId="5" xfId="0" applyFont="1" applyBorder="1"/>
    <xf numFmtId="4" fontId="2" fillId="0" borderId="2" xfId="0" applyNumberFormat="1" applyFont="1" applyBorder="1"/>
    <xf numFmtId="42" fontId="2" fillId="0" borderId="2" xfId="0" applyNumberFormat="1" applyFont="1" applyBorder="1" applyAlignment="1">
      <alignment horizontal="center" vertical="center"/>
    </xf>
    <xf numFmtId="42" fontId="1" fillId="0" borderId="2" xfId="0" applyNumberFormat="1" applyFont="1" applyBorder="1"/>
    <xf numFmtId="165" fontId="1" fillId="0" borderId="2" xfId="0" applyNumberFormat="1" applyFont="1" applyBorder="1"/>
    <xf numFmtId="0" fontId="3" fillId="0" borderId="2" xfId="0" applyFont="1" applyBorder="1"/>
    <xf numFmtId="0" fontId="1" fillId="0" borderId="5" xfId="0" applyFont="1" applyBorder="1"/>
    <xf numFmtId="3" fontId="2" fillId="0" borderId="2" xfId="0" applyNumberFormat="1" applyFont="1" applyBorder="1"/>
    <xf numFmtId="0" fontId="3" fillId="0" borderId="4" xfId="0" applyFont="1" applyBorder="1"/>
    <xf numFmtId="164" fontId="1" fillId="0" borderId="2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2" fontId="2" fillId="0" borderId="4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horizontal="center" vertical="center"/>
    </xf>
    <xf numFmtId="42" fontId="2" fillId="0" borderId="5" xfId="0" applyNumberFormat="1" applyFont="1" applyBorder="1" applyAlignment="1">
      <alignment horizontal="center" vertical="center"/>
    </xf>
    <xf numFmtId="42" fontId="1" fillId="2" borderId="4" xfId="0" applyNumberFormat="1" applyFont="1" applyFill="1" applyBorder="1" applyAlignment="1">
      <alignment horizontal="center"/>
    </xf>
    <xf numFmtId="42" fontId="1" fillId="2" borderId="6" xfId="0" applyNumberFormat="1" applyFont="1" applyFill="1" applyBorder="1" applyAlignment="1">
      <alignment horizontal="center"/>
    </xf>
    <xf numFmtId="42" fontId="1" fillId="2" borderId="5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5" width="9.08984375" style="2" bestFit="1" customWidth="1"/>
    <col min="16" max="16" width="10.36328125" style="2" customWidth="1"/>
    <col min="17" max="19" width="9.08984375" style="3" bestFit="1" customWidth="1"/>
    <col min="20" max="20" width="9.453125" style="1" bestFit="1" customWidth="1"/>
    <col min="21" max="16384" width="8.81640625" style="1"/>
  </cols>
  <sheetData>
    <row r="2" spans="2:22" ht="13">
      <c r="B2" s="4" t="s">
        <v>31</v>
      </c>
    </row>
    <row r="4" spans="2:22">
      <c r="B4" s="1" t="s">
        <v>34</v>
      </c>
    </row>
    <row r="6" spans="2:22" ht="13.25" customHeight="1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  <c r="T6" s="26" t="s">
        <v>46</v>
      </c>
      <c r="U6" s="26"/>
      <c r="V6" s="26"/>
    </row>
    <row r="7" spans="2:22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  <c r="T7" s="14" t="s">
        <v>11</v>
      </c>
      <c r="U7" s="14" t="s">
        <v>12</v>
      </c>
      <c r="V7" s="14" t="s">
        <v>13</v>
      </c>
    </row>
    <row r="8" spans="2:22">
      <c r="B8" s="17">
        <v>1</v>
      </c>
      <c r="C8" s="8" t="s">
        <v>14</v>
      </c>
      <c r="D8" s="9">
        <v>1974.94</v>
      </c>
      <c r="E8" s="9">
        <v>0</v>
      </c>
      <c r="F8" s="8">
        <v>162</v>
      </c>
      <c r="G8" s="10">
        <v>1674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15814.44</v>
      </c>
      <c r="N8" s="9">
        <v>7767</v>
      </c>
      <c r="O8" s="9">
        <v>0</v>
      </c>
      <c r="P8" s="9">
        <f>SUM(M8:O8)</f>
        <v>23581.440000000002</v>
      </c>
      <c r="Q8" s="15">
        <v>950</v>
      </c>
      <c r="R8" s="15">
        <f>(330+750)/2</f>
        <v>540</v>
      </c>
      <c r="S8" s="15"/>
      <c r="T8" s="21">
        <f>H8*Q8</f>
        <v>0</v>
      </c>
      <c r="U8" s="21">
        <f t="shared" ref="U8:V22" si="0">I8*R8</f>
        <v>0</v>
      </c>
      <c r="V8" s="21">
        <f t="shared" si="0"/>
        <v>0</v>
      </c>
    </row>
    <row r="9" spans="2:22">
      <c r="B9" s="17">
        <v>2</v>
      </c>
      <c r="C9" s="8" t="s">
        <v>15</v>
      </c>
      <c r="D9" s="9">
        <v>959.7</v>
      </c>
      <c r="E9" s="9">
        <v>0</v>
      </c>
      <c r="F9" s="8">
        <v>167</v>
      </c>
      <c r="G9" s="10">
        <v>1355</v>
      </c>
      <c r="H9" s="9">
        <v>0</v>
      </c>
      <c r="I9" s="9">
        <v>0</v>
      </c>
      <c r="J9" s="9">
        <v>0</v>
      </c>
      <c r="K9" s="9">
        <f t="shared" ref="K9:K20" si="1">SUM(H9:J9)</f>
        <v>0</v>
      </c>
      <c r="L9" s="16" t="e">
        <f t="shared" ref="L9:L21" si="2">K9/E9</f>
        <v>#DIV/0!</v>
      </c>
      <c r="M9" s="9">
        <v>17923</v>
      </c>
      <c r="N9" s="9">
        <v>1887</v>
      </c>
      <c r="O9" s="9"/>
      <c r="P9" s="9">
        <f t="shared" ref="P9:P20" si="3">SUM(M9:O9)</f>
        <v>19810</v>
      </c>
      <c r="Q9" s="15">
        <v>950</v>
      </c>
      <c r="R9" s="15">
        <v>800</v>
      </c>
      <c r="S9" s="15"/>
      <c r="T9" s="21">
        <f t="shared" ref="T9:T22" si="4">H9*Q9</f>
        <v>0</v>
      </c>
      <c r="U9" s="21">
        <f t="shared" si="0"/>
        <v>0</v>
      </c>
      <c r="V9" s="21">
        <f t="shared" si="0"/>
        <v>0</v>
      </c>
    </row>
    <row r="10" spans="2:22">
      <c r="B10" s="17">
        <v>3</v>
      </c>
      <c r="C10" s="8" t="s">
        <v>16</v>
      </c>
      <c r="D10" s="9">
        <v>3218.24</v>
      </c>
      <c r="E10" s="9">
        <v>0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1"/>
        <v>0</v>
      </c>
      <c r="L10" s="16" t="e">
        <f t="shared" si="2"/>
        <v>#DIV/0!</v>
      </c>
      <c r="M10" s="9">
        <v>72493.11</v>
      </c>
      <c r="N10" s="9">
        <v>5651.78</v>
      </c>
      <c r="O10" s="9">
        <v>3376.61</v>
      </c>
      <c r="P10" s="9">
        <f t="shared" si="3"/>
        <v>81521.5</v>
      </c>
      <c r="Q10" s="15">
        <v>650</v>
      </c>
      <c r="R10" s="15">
        <v>600</v>
      </c>
      <c r="S10" s="15">
        <v>550</v>
      </c>
      <c r="T10" s="21">
        <f t="shared" si="4"/>
        <v>0</v>
      </c>
      <c r="U10" s="21">
        <f t="shared" si="0"/>
        <v>0</v>
      </c>
      <c r="V10" s="21">
        <f t="shared" si="0"/>
        <v>0</v>
      </c>
    </row>
    <row r="11" spans="2:22">
      <c r="B11" s="17">
        <v>4</v>
      </c>
      <c r="C11" s="8" t="s">
        <v>17</v>
      </c>
      <c r="D11" s="9">
        <v>204.9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1"/>
        <v>0</v>
      </c>
      <c r="L11" s="16" t="e">
        <f t="shared" si="2"/>
        <v>#DIV/0!</v>
      </c>
      <c r="M11" s="9">
        <v>1167.5</v>
      </c>
      <c r="N11" s="9">
        <v>0</v>
      </c>
      <c r="O11" s="9">
        <v>0</v>
      </c>
      <c r="P11" s="9">
        <f t="shared" si="3"/>
        <v>1167.5</v>
      </c>
      <c r="Q11" s="15"/>
      <c r="R11" s="15"/>
      <c r="S11" s="15"/>
      <c r="T11" s="21">
        <f t="shared" si="4"/>
        <v>0</v>
      </c>
      <c r="U11" s="21">
        <f t="shared" si="0"/>
        <v>0</v>
      </c>
      <c r="V11" s="21">
        <f t="shared" si="0"/>
        <v>0</v>
      </c>
    </row>
    <row r="12" spans="2:22">
      <c r="B12" s="17">
        <v>5</v>
      </c>
      <c r="C12" s="8" t="s">
        <v>18</v>
      </c>
      <c r="D12" s="1">
        <v>269.04000000000002</v>
      </c>
      <c r="E12" s="9">
        <v>245.3</v>
      </c>
      <c r="F12" s="8">
        <v>37</v>
      </c>
      <c r="G12" s="8">
        <v>344</v>
      </c>
      <c r="H12" s="9">
        <v>1</v>
      </c>
      <c r="I12" s="9">
        <v>0</v>
      </c>
      <c r="J12" s="9">
        <v>0</v>
      </c>
      <c r="K12" s="9">
        <f t="shared" si="1"/>
        <v>1</v>
      </c>
      <c r="L12" s="16">
        <f t="shared" si="2"/>
        <v>4.0766408479412965E-3</v>
      </c>
      <c r="M12" s="9">
        <v>14144.6</v>
      </c>
      <c r="N12" s="9">
        <v>0</v>
      </c>
      <c r="O12" s="9">
        <v>0</v>
      </c>
      <c r="P12" s="9">
        <f t="shared" si="3"/>
        <v>14144.6</v>
      </c>
      <c r="Q12" s="15">
        <v>900</v>
      </c>
      <c r="R12" s="15"/>
      <c r="S12" s="15"/>
      <c r="T12" s="21">
        <f>H12*Q12</f>
        <v>900</v>
      </c>
      <c r="U12" s="21">
        <f t="shared" si="0"/>
        <v>0</v>
      </c>
      <c r="V12" s="21">
        <f t="shared" si="0"/>
        <v>0</v>
      </c>
    </row>
    <row r="13" spans="2:22">
      <c r="B13" s="17">
        <v>6</v>
      </c>
      <c r="C13" s="8" t="s">
        <v>19</v>
      </c>
      <c r="D13" s="9">
        <v>217.33</v>
      </c>
      <c r="E13" s="9">
        <v>0</v>
      </c>
      <c r="F13" s="8">
        <v>23</v>
      </c>
      <c r="G13" s="8">
        <v>293</v>
      </c>
      <c r="H13" s="9">
        <v>0</v>
      </c>
      <c r="I13" s="9">
        <v>0</v>
      </c>
      <c r="J13" s="9">
        <v>0</v>
      </c>
      <c r="K13" s="9">
        <f t="shared" si="1"/>
        <v>0</v>
      </c>
      <c r="L13" s="16" t="e">
        <f t="shared" si="2"/>
        <v>#DIV/0!</v>
      </c>
      <c r="M13" s="9">
        <v>5387</v>
      </c>
      <c r="N13" s="9">
        <v>1853</v>
      </c>
      <c r="O13" s="9"/>
      <c r="P13" s="9">
        <f t="shared" si="3"/>
        <v>7240</v>
      </c>
      <c r="Q13" s="15">
        <v>650</v>
      </c>
      <c r="R13" s="15">
        <v>550</v>
      </c>
      <c r="S13" s="15"/>
      <c r="T13" s="21">
        <f t="shared" si="4"/>
        <v>0</v>
      </c>
      <c r="U13" s="21">
        <f t="shared" si="0"/>
        <v>0</v>
      </c>
      <c r="V13" s="21">
        <f t="shared" si="0"/>
        <v>0</v>
      </c>
    </row>
    <row r="14" spans="2:22">
      <c r="B14" s="17">
        <v>7</v>
      </c>
      <c r="C14" s="8" t="s">
        <v>20</v>
      </c>
      <c r="D14" s="9">
        <v>181.4</v>
      </c>
      <c r="E14" s="9">
        <v>0</v>
      </c>
      <c r="F14" s="8">
        <v>6</v>
      </c>
      <c r="G14" s="8">
        <v>46</v>
      </c>
      <c r="H14" s="9">
        <v>0</v>
      </c>
      <c r="I14" s="9">
        <v>0</v>
      </c>
      <c r="J14" s="9">
        <v>0</v>
      </c>
      <c r="K14" s="9">
        <f t="shared" si="1"/>
        <v>0</v>
      </c>
      <c r="L14" s="16" t="e">
        <f t="shared" si="2"/>
        <v>#DIV/0!</v>
      </c>
      <c r="M14" s="9">
        <v>1576</v>
      </c>
      <c r="N14" s="9">
        <v>0</v>
      </c>
      <c r="O14" s="9">
        <v>0</v>
      </c>
      <c r="P14" s="9">
        <f t="shared" si="3"/>
        <v>1576</v>
      </c>
      <c r="Q14" s="15"/>
      <c r="R14" s="15"/>
      <c r="S14" s="15"/>
      <c r="T14" s="21">
        <f t="shared" si="4"/>
        <v>0</v>
      </c>
      <c r="U14" s="21">
        <f t="shared" si="0"/>
        <v>0</v>
      </c>
      <c r="V14" s="21">
        <f t="shared" si="0"/>
        <v>0</v>
      </c>
    </row>
    <row r="15" spans="2:22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1"/>
        <v>0</v>
      </c>
      <c r="L15" s="16" t="e">
        <f t="shared" si="2"/>
        <v>#DIV/0!</v>
      </c>
      <c r="M15" s="9">
        <v>5850</v>
      </c>
      <c r="N15" s="9">
        <v>0</v>
      </c>
      <c r="O15" s="9">
        <v>0</v>
      </c>
      <c r="P15" s="9">
        <f t="shared" si="3"/>
        <v>5850</v>
      </c>
      <c r="Q15" s="15">
        <v>900</v>
      </c>
      <c r="R15" s="15"/>
      <c r="S15" s="15"/>
      <c r="T15" s="21">
        <f t="shared" si="4"/>
        <v>0</v>
      </c>
      <c r="U15" s="21">
        <f t="shared" si="0"/>
        <v>0</v>
      </c>
      <c r="V15" s="21">
        <f t="shared" si="0"/>
        <v>0</v>
      </c>
    </row>
    <row r="16" spans="2:22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1"/>
        <v>0</v>
      </c>
      <c r="L16" s="16" t="e">
        <f t="shared" si="2"/>
        <v>#DIV/0!</v>
      </c>
      <c r="M16" s="9">
        <v>9914</v>
      </c>
      <c r="N16" s="9">
        <v>0</v>
      </c>
      <c r="O16" s="9">
        <v>0</v>
      </c>
      <c r="P16" s="9">
        <f t="shared" si="3"/>
        <v>9914</v>
      </c>
      <c r="Q16" s="15">
        <v>1000</v>
      </c>
      <c r="R16" s="15"/>
      <c r="S16" s="15"/>
      <c r="T16" s="21">
        <f>H16*Q16</f>
        <v>0</v>
      </c>
      <c r="U16" s="21">
        <f t="shared" si="0"/>
        <v>0</v>
      </c>
      <c r="V16" s="21">
        <f t="shared" si="0"/>
        <v>0</v>
      </c>
    </row>
    <row r="17" spans="2:22">
      <c r="B17" s="17">
        <v>10</v>
      </c>
      <c r="C17" s="8" t="s">
        <v>27</v>
      </c>
      <c r="D17" s="9">
        <v>250.3</v>
      </c>
      <c r="E17" s="9">
        <v>0</v>
      </c>
      <c r="F17" s="8">
        <v>19</v>
      </c>
      <c r="G17" s="8">
        <v>227</v>
      </c>
      <c r="H17" s="9">
        <v>0</v>
      </c>
      <c r="I17" s="9">
        <v>0</v>
      </c>
      <c r="J17" s="9">
        <v>0</v>
      </c>
      <c r="K17" s="9">
        <f t="shared" si="1"/>
        <v>0</v>
      </c>
      <c r="L17" s="16" t="e">
        <f t="shared" si="2"/>
        <v>#DIV/0!</v>
      </c>
      <c r="M17" s="9">
        <v>2665</v>
      </c>
      <c r="N17" s="9">
        <v>0</v>
      </c>
      <c r="O17" s="9">
        <v>0</v>
      </c>
      <c r="P17" s="9">
        <f t="shared" si="3"/>
        <v>2665</v>
      </c>
      <c r="Q17" s="15">
        <v>1125</v>
      </c>
      <c r="R17" s="15"/>
      <c r="S17" s="15"/>
      <c r="T17" s="21">
        <f t="shared" si="4"/>
        <v>0</v>
      </c>
      <c r="U17" s="21">
        <f t="shared" si="0"/>
        <v>0</v>
      </c>
      <c r="V17" s="21">
        <f t="shared" si="0"/>
        <v>0</v>
      </c>
    </row>
    <row r="18" spans="2:22">
      <c r="B18" s="17">
        <v>11</v>
      </c>
      <c r="C18" s="8" t="s">
        <v>28</v>
      </c>
      <c r="D18" s="9">
        <v>107.89</v>
      </c>
      <c r="E18" s="9">
        <v>0</v>
      </c>
      <c r="F18" s="8">
        <v>6</v>
      </c>
      <c r="G18" s="8">
        <v>43</v>
      </c>
      <c r="H18" s="9">
        <v>0</v>
      </c>
      <c r="I18" s="9">
        <v>0</v>
      </c>
      <c r="J18" s="9">
        <v>0</v>
      </c>
      <c r="K18" s="9">
        <f t="shared" si="1"/>
        <v>0</v>
      </c>
      <c r="L18" s="16" t="e">
        <f t="shared" si="2"/>
        <v>#DIV/0!</v>
      </c>
      <c r="M18" s="9">
        <v>120</v>
      </c>
      <c r="N18" s="9">
        <v>0</v>
      </c>
      <c r="O18" s="9">
        <v>0</v>
      </c>
      <c r="P18" s="9">
        <f t="shared" si="3"/>
        <v>120</v>
      </c>
      <c r="Q18" s="15"/>
      <c r="R18" s="15"/>
      <c r="S18" s="15"/>
      <c r="T18" s="21">
        <f t="shared" si="4"/>
        <v>0</v>
      </c>
      <c r="U18" s="21">
        <f t="shared" si="0"/>
        <v>0</v>
      </c>
      <c r="V18" s="21">
        <f t="shared" si="0"/>
        <v>0</v>
      </c>
    </row>
    <row r="19" spans="2:22">
      <c r="B19" s="17">
        <v>12</v>
      </c>
      <c r="C19" s="8" t="s">
        <v>26</v>
      </c>
      <c r="D19" s="9">
        <v>242.71</v>
      </c>
      <c r="E19" s="9">
        <v>0</v>
      </c>
      <c r="F19" s="8">
        <v>43</v>
      </c>
      <c r="G19" s="8">
        <v>342</v>
      </c>
      <c r="H19" s="9">
        <v>0</v>
      </c>
      <c r="I19" s="9">
        <v>0</v>
      </c>
      <c r="J19" s="9">
        <v>0</v>
      </c>
      <c r="K19" s="9">
        <f t="shared" si="1"/>
        <v>0</v>
      </c>
      <c r="L19" s="16" t="e">
        <f t="shared" si="2"/>
        <v>#DIV/0!</v>
      </c>
      <c r="M19" s="9">
        <v>359.9</v>
      </c>
      <c r="N19" s="9">
        <v>210.2</v>
      </c>
      <c r="O19" s="9">
        <v>0</v>
      </c>
      <c r="P19" s="9">
        <f t="shared" si="3"/>
        <v>570.09999999999991</v>
      </c>
      <c r="Q19" s="15">
        <v>750</v>
      </c>
      <c r="R19" s="15">
        <v>700</v>
      </c>
      <c r="S19" s="15">
        <v>650</v>
      </c>
      <c r="T19" s="21">
        <f t="shared" si="4"/>
        <v>0</v>
      </c>
      <c r="U19" s="21">
        <f t="shared" si="0"/>
        <v>0</v>
      </c>
      <c r="V19" s="21">
        <f t="shared" si="0"/>
        <v>0</v>
      </c>
    </row>
    <row r="20" spans="2:22">
      <c r="B20" s="17">
        <v>13</v>
      </c>
      <c r="C20" s="8" t="s">
        <v>23</v>
      </c>
      <c r="D20" s="9">
        <v>1.5</v>
      </c>
      <c r="E20" s="9">
        <v>0</v>
      </c>
      <c r="F20" s="8">
        <v>2</v>
      </c>
      <c r="G20" s="8">
        <v>20</v>
      </c>
      <c r="H20" s="9">
        <v>0</v>
      </c>
      <c r="I20" s="9">
        <v>0</v>
      </c>
      <c r="J20" s="9">
        <v>0</v>
      </c>
      <c r="K20" s="9">
        <f t="shared" si="1"/>
        <v>0</v>
      </c>
      <c r="L20" s="16" t="e">
        <f t="shared" si="2"/>
        <v>#DIV/0!</v>
      </c>
      <c r="M20" s="9">
        <v>0</v>
      </c>
      <c r="N20" s="9">
        <v>0</v>
      </c>
      <c r="O20" s="9">
        <v>0</v>
      </c>
      <c r="P20" s="9">
        <f t="shared" si="3"/>
        <v>0</v>
      </c>
      <c r="Q20" s="15"/>
      <c r="R20" s="15"/>
      <c r="S20" s="15"/>
      <c r="T20" s="21">
        <f t="shared" si="4"/>
        <v>0</v>
      </c>
      <c r="U20" s="21">
        <f t="shared" si="0"/>
        <v>0</v>
      </c>
      <c r="V20" s="21">
        <f t="shared" si="0"/>
        <v>0</v>
      </c>
    </row>
    <row r="21" spans="2:22">
      <c r="B21" s="17">
        <v>14</v>
      </c>
      <c r="C21" s="8" t="s">
        <v>32</v>
      </c>
      <c r="D21" s="9">
        <v>2</v>
      </c>
      <c r="E21" s="9">
        <v>0.5</v>
      </c>
      <c r="F21" s="8">
        <v>0</v>
      </c>
      <c r="G21" s="8">
        <v>2</v>
      </c>
      <c r="H21" s="9">
        <v>1.3</v>
      </c>
      <c r="I21" s="9">
        <v>0.2</v>
      </c>
      <c r="J21" s="9">
        <v>0</v>
      </c>
      <c r="K21" s="9">
        <f t="shared" ref="K21" si="5">SUM(H21:J21)</f>
        <v>1.5</v>
      </c>
      <c r="L21" s="16">
        <f t="shared" si="2"/>
        <v>3</v>
      </c>
      <c r="M21" s="9">
        <v>0</v>
      </c>
      <c r="N21" s="9">
        <v>0.2</v>
      </c>
      <c r="O21" s="9">
        <v>0</v>
      </c>
      <c r="P21" s="9">
        <f t="shared" ref="P21" si="6">SUM(M21:O21)</f>
        <v>0.2</v>
      </c>
      <c r="Q21" s="15">
        <v>1000</v>
      </c>
      <c r="R21" s="15">
        <v>900</v>
      </c>
      <c r="S21" s="15"/>
      <c r="T21" s="21">
        <f t="shared" si="4"/>
        <v>1300</v>
      </c>
      <c r="U21" s="21">
        <f t="shared" si="0"/>
        <v>180</v>
      </c>
      <c r="V21" s="21">
        <f t="shared" si="0"/>
        <v>0</v>
      </c>
    </row>
    <row r="22" spans="2:22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7">SUM(H22:J22)</f>
        <v>0</v>
      </c>
      <c r="L22" s="16" t="e">
        <f t="shared" ref="L22" si="8">K22/E22</f>
        <v>#DIV/0!</v>
      </c>
      <c r="M22" s="9"/>
      <c r="N22" s="9"/>
      <c r="O22" s="9"/>
      <c r="P22" s="9">
        <f t="shared" ref="P22" si="9">SUM(M22:O22)</f>
        <v>0</v>
      </c>
      <c r="Q22" s="15"/>
      <c r="R22" s="15"/>
      <c r="S22" s="15"/>
      <c r="T22" s="21">
        <f t="shared" si="4"/>
        <v>0</v>
      </c>
      <c r="U22" s="21">
        <f t="shared" si="0"/>
        <v>0</v>
      </c>
      <c r="V22" s="21">
        <f t="shared" si="0"/>
        <v>0</v>
      </c>
    </row>
    <row r="23" spans="2:22" ht="13">
      <c r="B23" s="11"/>
      <c r="C23" s="12" t="s">
        <v>24</v>
      </c>
      <c r="D23" s="9">
        <f t="shared" ref="D23:J23" si="10">SUM(D8:D21)</f>
        <v>8292.75</v>
      </c>
      <c r="E23" s="9">
        <f t="shared" si="10"/>
        <v>245.8</v>
      </c>
      <c r="F23" s="10">
        <f t="shared" si="10"/>
        <v>524</v>
      </c>
      <c r="G23" s="10">
        <f t="shared" si="10"/>
        <v>6851</v>
      </c>
      <c r="H23" s="9">
        <f t="shared" si="10"/>
        <v>2.2999999999999998</v>
      </c>
      <c r="I23" s="9">
        <f t="shared" si="10"/>
        <v>0.2</v>
      </c>
      <c r="J23" s="9">
        <f t="shared" si="10"/>
        <v>0</v>
      </c>
      <c r="K23" s="13">
        <f>SUM(K8:K22)</f>
        <v>2.5</v>
      </c>
      <c r="L23" s="16" t="e">
        <f>AVERAGE(L8:L21)</f>
        <v>#DIV/0!</v>
      </c>
      <c r="M23" s="9">
        <f>SUM(M8:M22)</f>
        <v>147414.55000000002</v>
      </c>
      <c r="N23" s="9">
        <f t="shared" ref="N23:O23" si="11">SUM(N8:N22)</f>
        <v>17369.18</v>
      </c>
      <c r="O23" s="9">
        <f t="shared" si="11"/>
        <v>3376.61</v>
      </c>
      <c r="P23" s="13">
        <f>SUM(P8:P22)</f>
        <v>168160.34000000003</v>
      </c>
      <c r="Q23" s="34"/>
      <c r="R23" s="35"/>
      <c r="S23" s="36"/>
    </row>
    <row r="25" spans="2:22">
      <c r="Q25" s="3">
        <f>AVERAGE(Q8:Q22)</f>
        <v>887.5</v>
      </c>
      <c r="R25" s="3">
        <f t="shared" ref="R25:S25" si="12">AVERAGE(R8:R22)</f>
        <v>681.66666666666663</v>
      </c>
      <c r="S25" s="3">
        <f t="shared" si="12"/>
        <v>600</v>
      </c>
    </row>
  </sheetData>
  <mergeCells count="14">
    <mergeCell ref="T6:V6"/>
    <mergeCell ref="H6:J6"/>
    <mergeCell ref="M6:O6"/>
    <mergeCell ref="Q6:S6"/>
    <mergeCell ref="Q23:S23"/>
    <mergeCell ref="G6:G7"/>
    <mergeCell ref="K6:K7"/>
    <mergeCell ref="L6:L7"/>
    <mergeCell ref="P6:P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70A2-0263-4526-9C1B-522EE8DA7DD8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39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1974.94</v>
      </c>
      <c r="E8" s="9">
        <v>0</v>
      </c>
      <c r="F8" s="8">
        <v>162</v>
      </c>
      <c r="G8" s="10">
        <v>1674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11863.44</v>
      </c>
      <c r="N8" s="9">
        <v>7767</v>
      </c>
      <c r="O8" s="9">
        <v>0</v>
      </c>
      <c r="P8" s="9">
        <f>SUM(M8:O8)</f>
        <v>19630.440000000002</v>
      </c>
      <c r="Q8" s="15">
        <f>(900+1000)/2</f>
        <v>950</v>
      </c>
      <c r="R8" s="15">
        <f>(330+800)/2</f>
        <v>565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0</v>
      </c>
      <c r="F9" s="8">
        <v>167</v>
      </c>
      <c r="G9" s="10">
        <v>1355</v>
      </c>
      <c r="H9" s="9">
        <v>0</v>
      </c>
      <c r="I9" s="9">
        <v>0</v>
      </c>
      <c r="J9" s="9">
        <v>0</v>
      </c>
      <c r="K9" s="9">
        <f t="shared" ref="K9:K21" si="0">SUM(H9:J9)</f>
        <v>0</v>
      </c>
      <c r="L9" s="16" t="e">
        <f t="shared" ref="L9:L22" si="1">K9/E9</f>
        <v>#DIV/0!</v>
      </c>
      <c r="M9" s="9">
        <v>15575</v>
      </c>
      <c r="N9" s="9">
        <v>1865</v>
      </c>
      <c r="O9" s="9">
        <v>0</v>
      </c>
      <c r="P9" s="9">
        <f t="shared" ref="P9:P21" si="2">SUM(M9:O9)</f>
        <v>17440</v>
      </c>
      <c r="Q9" s="15">
        <v>900</v>
      </c>
      <c r="R9" s="15">
        <v>700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0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0"/>
        <v>0</v>
      </c>
      <c r="L10" s="16" t="e">
        <f t="shared" si="1"/>
        <v>#DIV/0!</v>
      </c>
      <c r="M10" s="9">
        <v>55797.31</v>
      </c>
      <c r="N10" s="9">
        <v>4677.8999999999996</v>
      </c>
      <c r="O10" s="9">
        <v>2507.0100000000002</v>
      </c>
      <c r="P10" s="9">
        <f t="shared" si="2"/>
        <v>62982.22</v>
      </c>
      <c r="Q10" s="15">
        <v>650</v>
      </c>
      <c r="R10" s="15">
        <v>600</v>
      </c>
      <c r="S10" s="15">
        <v>550</v>
      </c>
    </row>
    <row r="11" spans="2:19">
      <c r="B11" s="17">
        <v>4</v>
      </c>
      <c r="C11" s="8" t="s">
        <v>17</v>
      </c>
      <c r="D11" s="9">
        <v>204.9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0"/>
        <v>0</v>
      </c>
      <c r="L11" s="16" t="e">
        <f t="shared" si="1"/>
        <v>#DIV/0!</v>
      </c>
      <c r="M11" s="9">
        <v>1167.5</v>
      </c>
      <c r="N11" s="9">
        <v>0</v>
      </c>
      <c r="O11" s="9">
        <v>0</v>
      </c>
      <c r="P11" s="9">
        <f t="shared" si="2"/>
        <v>1167.5</v>
      </c>
      <c r="Q11" s="15"/>
      <c r="R11" s="15"/>
      <c r="S11" s="15"/>
    </row>
    <row r="12" spans="2:19">
      <c r="B12" s="17">
        <v>5</v>
      </c>
      <c r="C12" s="8" t="s">
        <v>18</v>
      </c>
      <c r="D12" s="1">
        <v>269.04000000000002</v>
      </c>
      <c r="E12" s="9">
        <v>245.3</v>
      </c>
      <c r="F12" s="8">
        <v>37</v>
      </c>
      <c r="G12" s="8">
        <v>344</v>
      </c>
      <c r="H12" s="9">
        <v>1.2</v>
      </c>
      <c r="I12" s="9">
        <v>0</v>
      </c>
      <c r="J12" s="9">
        <v>0</v>
      </c>
      <c r="K12" s="9">
        <f t="shared" si="0"/>
        <v>1.2</v>
      </c>
      <c r="L12" s="16">
        <f t="shared" si="1"/>
        <v>4.8919690175295554E-3</v>
      </c>
      <c r="M12" s="9">
        <v>10330.6</v>
      </c>
      <c r="N12" s="9">
        <v>0</v>
      </c>
      <c r="O12" s="9">
        <v>0</v>
      </c>
      <c r="P12" s="9">
        <f t="shared" si="2"/>
        <v>10330.6</v>
      </c>
      <c r="Q12" s="15">
        <v>900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0</v>
      </c>
      <c r="F13" s="8">
        <v>23</v>
      </c>
      <c r="G13" s="8">
        <v>293</v>
      </c>
      <c r="H13" s="9">
        <v>0</v>
      </c>
      <c r="I13" s="9">
        <v>0</v>
      </c>
      <c r="J13" s="9">
        <v>0</v>
      </c>
      <c r="K13" s="9">
        <f t="shared" si="0"/>
        <v>0</v>
      </c>
      <c r="L13" s="16" t="e">
        <f t="shared" si="1"/>
        <v>#DIV/0!</v>
      </c>
      <c r="M13" s="9">
        <v>4722</v>
      </c>
      <c r="N13" s="9">
        <v>1195</v>
      </c>
      <c r="O13" s="9">
        <v>0</v>
      </c>
      <c r="P13" s="9">
        <f t="shared" si="2"/>
        <v>5917</v>
      </c>
      <c r="Q13" s="15">
        <v>650</v>
      </c>
      <c r="R13" s="15">
        <v>550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0</v>
      </c>
      <c r="F14" s="8">
        <v>6</v>
      </c>
      <c r="G14" s="8">
        <v>46</v>
      </c>
      <c r="H14" s="9">
        <v>0</v>
      </c>
      <c r="I14" s="9">
        <v>0</v>
      </c>
      <c r="J14" s="9">
        <v>0</v>
      </c>
      <c r="K14" s="9">
        <f t="shared" si="0"/>
        <v>0</v>
      </c>
      <c r="L14" s="16" t="e">
        <f t="shared" si="1"/>
        <v>#DIV/0!</v>
      </c>
      <c r="M14" s="9">
        <v>2560</v>
      </c>
      <c r="N14" s="9">
        <v>0</v>
      </c>
      <c r="O14" s="9">
        <v>0</v>
      </c>
      <c r="P14" s="9">
        <f t="shared" si="2"/>
        <v>2560</v>
      </c>
      <c r="Q14" s="15"/>
      <c r="R14" s="15"/>
      <c r="S14" s="15"/>
    </row>
    <row r="15" spans="2:19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0"/>
        <v>0</v>
      </c>
      <c r="L15" s="16" t="e">
        <f t="shared" si="1"/>
        <v>#DIV/0!</v>
      </c>
      <c r="M15" s="9">
        <v>4765</v>
      </c>
      <c r="N15" s="9">
        <v>0</v>
      </c>
      <c r="O15" s="9">
        <v>0</v>
      </c>
      <c r="P15" s="9">
        <f t="shared" si="2"/>
        <v>4765</v>
      </c>
      <c r="Q15" s="15">
        <v>1000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6939</v>
      </c>
      <c r="N16" s="9">
        <v>0</v>
      </c>
      <c r="O16" s="9">
        <v>0</v>
      </c>
      <c r="P16" s="9">
        <f t="shared" si="2"/>
        <v>6939</v>
      </c>
      <c r="Q16" s="15">
        <v>1000</v>
      </c>
      <c r="R16" s="15"/>
      <c r="S16" s="15"/>
    </row>
    <row r="17" spans="2:19">
      <c r="B17" s="17">
        <v>10</v>
      </c>
      <c r="C17" s="8" t="s">
        <v>27</v>
      </c>
      <c r="D17" s="9">
        <v>250.3</v>
      </c>
      <c r="E17" s="9">
        <v>0</v>
      </c>
      <c r="F17" s="8">
        <v>19</v>
      </c>
      <c r="G17" s="8">
        <v>227</v>
      </c>
      <c r="H17" s="9">
        <v>0</v>
      </c>
      <c r="I17" s="9">
        <v>0</v>
      </c>
      <c r="J17" s="9">
        <v>0</v>
      </c>
      <c r="K17" s="9">
        <f t="shared" si="0"/>
        <v>0</v>
      </c>
      <c r="L17" s="16" t="e">
        <f t="shared" si="1"/>
        <v>#DIV/0!</v>
      </c>
      <c r="M17" s="9">
        <v>2055</v>
      </c>
      <c r="N17" s="9">
        <v>0</v>
      </c>
      <c r="O17" s="9">
        <v>0</v>
      </c>
      <c r="P17" s="9">
        <f t="shared" si="2"/>
        <v>2055</v>
      </c>
      <c r="Q17" s="15">
        <v>1175</v>
      </c>
      <c r="R17" s="15"/>
      <c r="S17" s="15"/>
    </row>
    <row r="18" spans="2:19">
      <c r="B18" s="17">
        <v>11</v>
      </c>
      <c r="C18" s="8" t="s">
        <v>28</v>
      </c>
      <c r="D18" s="9">
        <v>107.89</v>
      </c>
      <c r="E18" s="9">
        <v>0</v>
      </c>
      <c r="F18" s="8">
        <v>6</v>
      </c>
      <c r="G18" s="8">
        <v>43</v>
      </c>
      <c r="H18" s="9">
        <v>0</v>
      </c>
      <c r="I18" s="9">
        <v>0</v>
      </c>
      <c r="J18" s="9">
        <v>0</v>
      </c>
      <c r="K18" s="9">
        <f t="shared" si="0"/>
        <v>0</v>
      </c>
      <c r="L18" s="16" t="e">
        <f t="shared" si="1"/>
        <v>#DIV/0!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/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0</v>
      </c>
      <c r="F19" s="8">
        <v>43</v>
      </c>
      <c r="G19" s="8">
        <v>342</v>
      </c>
      <c r="H19" s="9">
        <v>0</v>
      </c>
      <c r="I19" s="9">
        <v>0</v>
      </c>
      <c r="J19" s="9">
        <v>0</v>
      </c>
      <c r="K19" s="9">
        <f t="shared" si="0"/>
        <v>0</v>
      </c>
      <c r="L19" s="16" t="e">
        <f t="shared" si="1"/>
        <v>#DIV/0!</v>
      </c>
      <c r="M19" s="9">
        <v>314.3</v>
      </c>
      <c r="N19" s="9">
        <v>126.6</v>
      </c>
      <c r="O19" s="9">
        <v>0</v>
      </c>
      <c r="P19" s="9">
        <f t="shared" si="2"/>
        <v>440.9</v>
      </c>
      <c r="Q19" s="15">
        <v>750</v>
      </c>
      <c r="R19" s="15">
        <v>700</v>
      </c>
      <c r="S19" s="15">
        <v>650</v>
      </c>
    </row>
    <row r="20" spans="2:19">
      <c r="B20" s="17">
        <v>13</v>
      </c>
      <c r="C20" s="8" t="s">
        <v>23</v>
      </c>
      <c r="D20" s="9">
        <v>1.5</v>
      </c>
      <c r="E20" s="9">
        <v>0</v>
      </c>
      <c r="F20" s="8">
        <v>2</v>
      </c>
      <c r="G20" s="8">
        <v>20</v>
      </c>
      <c r="H20" s="9">
        <v>0</v>
      </c>
      <c r="I20" s="9">
        <v>0</v>
      </c>
      <c r="J20" s="9">
        <v>0</v>
      </c>
      <c r="K20" s="9">
        <f t="shared" si="0"/>
        <v>0</v>
      </c>
      <c r="L20" s="16" t="e">
        <f t="shared" si="1"/>
        <v>#DIV/0!</v>
      </c>
      <c r="M20" s="9">
        <v>0</v>
      </c>
      <c r="N20" s="9">
        <v>0</v>
      </c>
      <c r="O20" s="9">
        <v>0</v>
      </c>
      <c r="P20" s="9">
        <f t="shared" si="2"/>
        <v>0</v>
      </c>
      <c r="Q20" s="15"/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0.4</v>
      </c>
      <c r="F21" s="8"/>
      <c r="G21" s="8">
        <v>1</v>
      </c>
      <c r="H21" s="9">
        <v>0.8</v>
      </c>
      <c r="I21" s="9">
        <v>0.5</v>
      </c>
      <c r="J21" s="9">
        <v>0</v>
      </c>
      <c r="K21" s="9">
        <f t="shared" si="0"/>
        <v>1.3</v>
      </c>
      <c r="L21" s="16">
        <f t="shared" si="1"/>
        <v>3.25</v>
      </c>
      <c r="M21" s="9">
        <v>0</v>
      </c>
      <c r="N21" s="9">
        <v>0</v>
      </c>
      <c r="O21" s="9">
        <v>0</v>
      </c>
      <c r="P21" s="9">
        <f t="shared" si="2"/>
        <v>0</v>
      </c>
      <c r="Q21" s="15">
        <v>1000</v>
      </c>
      <c r="R21" s="15">
        <v>900</v>
      </c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>SUM(D8:D21)</f>
        <v>8292.75</v>
      </c>
      <c r="E23" s="9">
        <f>SUM(E8:E21)</f>
        <v>245.70000000000002</v>
      </c>
      <c r="F23" s="10">
        <f t="shared" ref="F23" si="5">SUM(F8:F20)</f>
        <v>524</v>
      </c>
      <c r="G23" s="10">
        <f>SUM(G8:G21)</f>
        <v>6850</v>
      </c>
      <c r="H23" s="9">
        <f>SUM(H8:H21)</f>
        <v>2</v>
      </c>
      <c r="I23" s="9">
        <f>SUM(I8:I21)</f>
        <v>0.5</v>
      </c>
      <c r="J23" s="9">
        <f>SUM(J8:J21)</f>
        <v>0</v>
      </c>
      <c r="K23" s="13">
        <f>SUM(K8:K22)</f>
        <v>2.5</v>
      </c>
      <c r="L23" s="16" t="e">
        <f>AVERAGE(L8:L21)</f>
        <v>#DIV/0!</v>
      </c>
      <c r="M23" s="9">
        <f>SUM(M8:M22)</f>
        <v>116209.15000000001</v>
      </c>
      <c r="N23" s="9">
        <f t="shared" ref="N23" si="6">SUM(N8:N22)</f>
        <v>15631.5</v>
      </c>
      <c r="O23" s="9">
        <f>SUM(O8:O22)</f>
        <v>2507.0100000000002</v>
      </c>
      <c r="P23" s="13">
        <f>SUM(P8:P22)</f>
        <v>134347.66</v>
      </c>
      <c r="Q23" s="34"/>
      <c r="R23" s="35"/>
      <c r="S23" s="36"/>
    </row>
    <row r="25" spans="2:19">
      <c r="Q25" s="3">
        <f>AVERAGE(Q8:Q22)</f>
        <v>897.5</v>
      </c>
      <c r="R25" s="3">
        <f t="shared" ref="R25:S25" si="7">AVERAGE(R8:R22)</f>
        <v>669.16666666666663</v>
      </c>
      <c r="S25" s="3">
        <f t="shared" si="7"/>
        <v>600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6881-5B58-4F6F-B01A-6E9FA3385A64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40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1974.94</v>
      </c>
      <c r="E8" s="9">
        <v>0</v>
      </c>
      <c r="F8" s="8">
        <v>162</v>
      </c>
      <c r="G8" s="10">
        <v>1674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9565.44</v>
      </c>
      <c r="N8" s="9">
        <v>7279</v>
      </c>
      <c r="O8" s="9">
        <v>0</v>
      </c>
      <c r="P8" s="9">
        <f>SUM(M8:O8)</f>
        <v>16844.440000000002</v>
      </c>
      <c r="Q8" s="15">
        <v>800</v>
      </c>
      <c r="R8" s="15">
        <f>(330+600)/2</f>
        <v>465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0</v>
      </c>
      <c r="F9" s="8">
        <v>167</v>
      </c>
      <c r="G9" s="10">
        <v>1355</v>
      </c>
      <c r="H9" s="9">
        <v>0</v>
      </c>
      <c r="I9" s="9">
        <v>0</v>
      </c>
      <c r="J9" s="9">
        <v>0</v>
      </c>
      <c r="K9" s="9">
        <f t="shared" ref="K9:K21" si="0">SUM(H9:J9)</f>
        <v>0</v>
      </c>
      <c r="L9" s="16" t="e">
        <f t="shared" ref="L9:L22" si="1">K9/E9</f>
        <v>#DIV/0!</v>
      </c>
      <c r="M9" s="9">
        <v>14841</v>
      </c>
      <c r="N9" s="9">
        <v>1839</v>
      </c>
      <c r="O9" s="9">
        <v>0</v>
      </c>
      <c r="P9" s="9">
        <f t="shared" ref="P9:P21" si="2">SUM(M9:O9)</f>
        <v>16680</v>
      </c>
      <c r="Q9" s="15">
        <v>900</v>
      </c>
      <c r="R9" s="15">
        <v>600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0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0"/>
        <v>0</v>
      </c>
      <c r="L10" s="16" t="e">
        <f t="shared" si="1"/>
        <v>#DIV/0!</v>
      </c>
      <c r="M10" s="9">
        <v>49506.13</v>
      </c>
      <c r="N10" s="9">
        <v>3927.11</v>
      </c>
      <c r="O10" s="9">
        <v>2211.0100000000002</v>
      </c>
      <c r="P10" s="9">
        <f t="shared" si="2"/>
        <v>55644.25</v>
      </c>
      <c r="Q10" s="15">
        <v>650</v>
      </c>
      <c r="R10" s="15">
        <v>600</v>
      </c>
      <c r="S10" s="15">
        <v>550</v>
      </c>
    </row>
    <row r="11" spans="2:19">
      <c r="B11" s="17">
        <v>4</v>
      </c>
      <c r="C11" s="8" t="s">
        <v>17</v>
      </c>
      <c r="D11" s="9">
        <v>204.9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0"/>
        <v>0</v>
      </c>
      <c r="L11" s="16" t="e">
        <f t="shared" si="1"/>
        <v>#DIV/0!</v>
      </c>
      <c r="M11" s="9">
        <v>1167.5</v>
      </c>
      <c r="N11" s="9">
        <v>0</v>
      </c>
      <c r="O11" s="9">
        <v>0</v>
      </c>
      <c r="P11" s="9">
        <f t="shared" si="2"/>
        <v>1167.5</v>
      </c>
      <c r="Q11" s="15"/>
      <c r="R11" s="15"/>
      <c r="S11" s="15"/>
    </row>
    <row r="12" spans="2:19">
      <c r="B12" s="17">
        <v>5</v>
      </c>
      <c r="C12" s="8" t="s">
        <v>18</v>
      </c>
      <c r="D12" s="1">
        <v>269.04000000000002</v>
      </c>
      <c r="E12" s="9">
        <v>245.3</v>
      </c>
      <c r="F12" s="8">
        <v>37</v>
      </c>
      <c r="G12" s="8">
        <v>344</v>
      </c>
      <c r="H12" s="9">
        <v>1.5</v>
      </c>
      <c r="I12" s="9">
        <v>0</v>
      </c>
      <c r="J12" s="9">
        <v>0</v>
      </c>
      <c r="K12" s="9">
        <f>SUM(H12:J12)</f>
        <v>1.5</v>
      </c>
      <c r="L12" s="16">
        <f t="shared" si="1"/>
        <v>6.1149612719119447E-3</v>
      </c>
      <c r="M12" s="9">
        <v>8302.4</v>
      </c>
      <c r="N12" s="9">
        <v>0</v>
      </c>
      <c r="O12" s="9">
        <v>0</v>
      </c>
      <c r="P12" s="9">
        <f t="shared" si="2"/>
        <v>8302.4</v>
      </c>
      <c r="Q12" s="15">
        <v>900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0</v>
      </c>
      <c r="F13" s="8">
        <v>23</v>
      </c>
      <c r="G13" s="8">
        <v>293</v>
      </c>
      <c r="H13" s="9">
        <v>0</v>
      </c>
      <c r="I13" s="9">
        <v>0</v>
      </c>
      <c r="J13" s="9">
        <v>0</v>
      </c>
      <c r="K13" s="9">
        <f t="shared" si="0"/>
        <v>0</v>
      </c>
      <c r="L13" s="16" t="e">
        <f t="shared" si="1"/>
        <v>#DIV/0!</v>
      </c>
      <c r="M13" s="9">
        <v>3682</v>
      </c>
      <c r="N13" s="9">
        <v>815</v>
      </c>
      <c r="O13" s="9">
        <v>0</v>
      </c>
      <c r="P13" s="9">
        <f t="shared" si="2"/>
        <v>4497</v>
      </c>
      <c r="Q13" s="15">
        <v>650</v>
      </c>
      <c r="R13" s="15">
        <v>550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0</v>
      </c>
      <c r="F14" s="8">
        <v>6</v>
      </c>
      <c r="G14" s="8">
        <v>46</v>
      </c>
      <c r="H14" s="9">
        <v>0</v>
      </c>
      <c r="I14" s="9">
        <v>0</v>
      </c>
      <c r="J14" s="9">
        <v>0</v>
      </c>
      <c r="K14" s="9">
        <f t="shared" si="0"/>
        <v>0</v>
      </c>
      <c r="L14" s="16" t="e">
        <f t="shared" si="1"/>
        <v>#DIV/0!</v>
      </c>
      <c r="M14" s="9">
        <v>2560</v>
      </c>
      <c r="N14" s="9">
        <v>0</v>
      </c>
      <c r="O14" s="9">
        <v>0</v>
      </c>
      <c r="P14" s="9">
        <f t="shared" si="2"/>
        <v>2560</v>
      </c>
      <c r="Q14" s="15"/>
      <c r="R14" s="15"/>
      <c r="S14" s="15"/>
    </row>
    <row r="15" spans="2:19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0"/>
        <v>0</v>
      </c>
      <c r="L15" s="16" t="e">
        <f t="shared" si="1"/>
        <v>#DIV/0!</v>
      </c>
      <c r="M15" s="9">
        <v>3390</v>
      </c>
      <c r="N15" s="9">
        <v>0</v>
      </c>
      <c r="O15" s="9">
        <v>0</v>
      </c>
      <c r="P15" s="9">
        <f t="shared" si="2"/>
        <v>3390</v>
      </c>
      <c r="Q15" s="15">
        <v>1000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4163</v>
      </c>
      <c r="N16" s="9">
        <v>0</v>
      </c>
      <c r="O16" s="9">
        <v>0</v>
      </c>
      <c r="P16" s="9">
        <f t="shared" si="2"/>
        <v>4163</v>
      </c>
      <c r="Q16" s="15">
        <v>1000</v>
      </c>
      <c r="R16" s="15"/>
      <c r="S16" s="15"/>
    </row>
    <row r="17" spans="2:19">
      <c r="B17" s="17">
        <v>10</v>
      </c>
      <c r="C17" s="8" t="s">
        <v>27</v>
      </c>
      <c r="D17" s="9">
        <v>250.3</v>
      </c>
      <c r="E17" s="9">
        <v>0</v>
      </c>
      <c r="F17" s="8">
        <v>19</v>
      </c>
      <c r="G17" s="8">
        <v>227</v>
      </c>
      <c r="H17" s="9">
        <v>0</v>
      </c>
      <c r="I17" s="9">
        <v>0</v>
      </c>
      <c r="J17" s="9">
        <v>0</v>
      </c>
      <c r="K17" s="9">
        <f t="shared" si="0"/>
        <v>0</v>
      </c>
      <c r="L17" s="16" t="e">
        <f t="shared" si="1"/>
        <v>#DIV/0!</v>
      </c>
      <c r="M17" s="9">
        <v>1535</v>
      </c>
      <c r="N17" s="9">
        <v>0</v>
      </c>
      <c r="O17" s="9">
        <v>0</v>
      </c>
      <c r="P17" s="9">
        <f t="shared" si="2"/>
        <v>1535</v>
      </c>
      <c r="Q17" s="15">
        <v>1175</v>
      </c>
      <c r="R17" s="15"/>
      <c r="S17" s="15"/>
    </row>
    <row r="18" spans="2:19">
      <c r="B18" s="17">
        <v>11</v>
      </c>
      <c r="C18" s="8" t="s">
        <v>28</v>
      </c>
      <c r="D18" s="9">
        <v>107.89</v>
      </c>
      <c r="E18" s="9">
        <v>0</v>
      </c>
      <c r="F18" s="8">
        <v>6</v>
      </c>
      <c r="G18" s="8">
        <v>43</v>
      </c>
      <c r="H18" s="9">
        <v>0</v>
      </c>
      <c r="I18" s="9">
        <v>0</v>
      </c>
      <c r="J18" s="9">
        <v>0</v>
      </c>
      <c r="K18" s="9">
        <f t="shared" si="0"/>
        <v>0</v>
      </c>
      <c r="L18" s="16" t="e">
        <f t="shared" si="1"/>
        <v>#DIV/0!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/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0</v>
      </c>
      <c r="F19" s="8">
        <v>43</v>
      </c>
      <c r="G19" s="8">
        <v>342</v>
      </c>
      <c r="H19" s="9">
        <v>0</v>
      </c>
      <c r="I19" s="9">
        <v>0</v>
      </c>
      <c r="J19" s="9">
        <v>0</v>
      </c>
      <c r="K19" s="9">
        <f t="shared" si="0"/>
        <v>0</v>
      </c>
      <c r="L19" s="16" t="e">
        <f t="shared" si="1"/>
        <v>#DIV/0!</v>
      </c>
      <c r="M19" s="9">
        <v>288.39999999999998</v>
      </c>
      <c r="N19" s="9">
        <v>112</v>
      </c>
      <c r="O19" s="9">
        <v>0</v>
      </c>
      <c r="P19" s="9">
        <f t="shared" si="2"/>
        <v>400.4</v>
      </c>
      <c r="Q19" s="15">
        <v>750</v>
      </c>
      <c r="R19" s="15">
        <v>700</v>
      </c>
      <c r="S19" s="15">
        <v>650</v>
      </c>
    </row>
    <row r="20" spans="2:19">
      <c r="B20" s="17">
        <v>13</v>
      </c>
      <c r="C20" s="8" t="s">
        <v>23</v>
      </c>
      <c r="D20" s="9">
        <v>1.5</v>
      </c>
      <c r="E20" s="9">
        <v>1.5</v>
      </c>
      <c r="F20" s="8">
        <v>2</v>
      </c>
      <c r="G20" s="8">
        <v>20</v>
      </c>
      <c r="H20" s="9">
        <v>9</v>
      </c>
      <c r="I20" s="9">
        <v>0</v>
      </c>
      <c r="J20" s="9">
        <v>0</v>
      </c>
      <c r="K20" s="9">
        <f t="shared" si="0"/>
        <v>9</v>
      </c>
      <c r="L20" s="16">
        <f t="shared" si="1"/>
        <v>6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750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0.15</v>
      </c>
      <c r="F21" s="8"/>
      <c r="G21" s="8">
        <v>1</v>
      </c>
      <c r="H21" s="9">
        <v>0.78</v>
      </c>
      <c r="I21" s="9">
        <v>0</v>
      </c>
      <c r="J21" s="9">
        <v>0</v>
      </c>
      <c r="K21" s="9">
        <f t="shared" si="0"/>
        <v>0.78</v>
      </c>
      <c r="L21" s="16">
        <f t="shared" si="1"/>
        <v>5.2</v>
      </c>
      <c r="M21" s="9">
        <v>0.78</v>
      </c>
      <c r="N21" s="9">
        <v>0</v>
      </c>
      <c r="O21" s="9">
        <v>0</v>
      </c>
      <c r="P21" s="9">
        <f t="shared" si="2"/>
        <v>0.78</v>
      </c>
      <c r="Q21" s="15">
        <v>1000</v>
      </c>
      <c r="R21" s="15"/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>SUM(D8:D21)</f>
        <v>8292.75</v>
      </c>
      <c r="E23" s="9">
        <f>SUM(E8:E21)</f>
        <v>246.95000000000002</v>
      </c>
      <c r="F23" s="10">
        <f t="shared" ref="F23" si="5">SUM(F8:F20)</f>
        <v>524</v>
      </c>
      <c r="G23" s="10">
        <f>SUM(G8:G21)</f>
        <v>6850</v>
      </c>
      <c r="H23" s="9">
        <f>SUM(H8:H21)</f>
        <v>11.28</v>
      </c>
      <c r="I23" s="9">
        <f>SUM(I8:I21)</f>
        <v>0</v>
      </c>
      <c r="J23" s="9">
        <f>SUM(J8:J21)</f>
        <v>0</v>
      </c>
      <c r="K23" s="13">
        <f>SUM(K8:K22)</f>
        <v>11.28</v>
      </c>
      <c r="L23" s="16" t="e">
        <f>AVERAGE(L8:L21)</f>
        <v>#DIV/0!</v>
      </c>
      <c r="M23" s="9">
        <f>SUM(M8:M22)</f>
        <v>99121.65</v>
      </c>
      <c r="N23" s="9">
        <f t="shared" ref="N23:O23" si="6">SUM(N8:N22)</f>
        <v>13972.11</v>
      </c>
      <c r="O23" s="9">
        <f t="shared" si="6"/>
        <v>2211.0100000000002</v>
      </c>
      <c r="P23" s="13">
        <f>SUM(P8:P22)</f>
        <v>115304.76999999999</v>
      </c>
      <c r="Q23" s="34"/>
      <c r="R23" s="35"/>
      <c r="S23" s="36"/>
    </row>
    <row r="25" spans="2:19">
      <c r="Q25" s="3">
        <f>AVERAGE(Q8:Q22)</f>
        <v>870.4545454545455</v>
      </c>
      <c r="R25" s="3">
        <f t="shared" ref="R25:S25" si="7">AVERAGE(R8:R22)</f>
        <v>583</v>
      </c>
      <c r="S25" s="3">
        <f t="shared" si="7"/>
        <v>600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8E7C-6F4F-4340-9031-EB0F8F2211F5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41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1974.94</v>
      </c>
      <c r="E8" s="9">
        <v>0</v>
      </c>
      <c r="F8" s="8">
        <v>162</v>
      </c>
      <c r="G8" s="10">
        <v>1674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9565.44</v>
      </c>
      <c r="N8" s="9">
        <v>6056</v>
      </c>
      <c r="O8" s="9">
        <v>0</v>
      </c>
      <c r="P8" s="9">
        <f>SUM(M8:O8)</f>
        <v>15621.44</v>
      </c>
      <c r="Q8" s="15">
        <v>800</v>
      </c>
      <c r="R8" s="15">
        <f>(400+600)/2</f>
        <v>500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0</v>
      </c>
      <c r="F9" s="8">
        <v>167</v>
      </c>
      <c r="G9" s="10">
        <v>1355</v>
      </c>
      <c r="H9" s="9">
        <v>0</v>
      </c>
      <c r="I9" s="9">
        <v>0</v>
      </c>
      <c r="J9" s="9">
        <v>0</v>
      </c>
      <c r="K9" s="9">
        <f t="shared" ref="K9:K21" si="0">SUM(H9:J9)</f>
        <v>0</v>
      </c>
      <c r="L9" s="16" t="e">
        <f t="shared" ref="L9:L22" si="1">K9/E9</f>
        <v>#DIV/0!</v>
      </c>
      <c r="M9" s="9">
        <v>13572</v>
      </c>
      <c r="N9" s="9">
        <v>1190</v>
      </c>
      <c r="O9" s="9">
        <v>0</v>
      </c>
      <c r="P9" s="9">
        <f t="shared" ref="P9:P21" si="2">SUM(M9:O9)</f>
        <v>14762</v>
      </c>
      <c r="Q9" s="15">
        <v>850</v>
      </c>
      <c r="R9" s="15">
        <v>650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0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0"/>
        <v>0</v>
      </c>
      <c r="L10" s="16" t="e">
        <f t="shared" si="1"/>
        <v>#DIV/0!</v>
      </c>
      <c r="M10" s="9">
        <v>42476.13</v>
      </c>
      <c r="N10" s="9">
        <v>3221.11</v>
      </c>
      <c r="O10" s="9">
        <v>1563.01</v>
      </c>
      <c r="P10" s="9">
        <f t="shared" si="2"/>
        <v>47260.25</v>
      </c>
      <c r="Q10" s="15">
        <v>650</v>
      </c>
      <c r="R10" s="15">
        <v>600</v>
      </c>
      <c r="S10" s="15">
        <v>550</v>
      </c>
    </row>
    <row r="11" spans="2:19">
      <c r="B11" s="17">
        <v>4</v>
      </c>
      <c r="C11" s="8" t="s">
        <v>17</v>
      </c>
      <c r="D11" s="9">
        <v>204.9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0"/>
        <v>0</v>
      </c>
      <c r="L11" s="16" t="e">
        <f t="shared" si="1"/>
        <v>#DIV/0!</v>
      </c>
      <c r="M11" s="9">
        <v>1167.5</v>
      </c>
      <c r="N11" s="9">
        <v>0</v>
      </c>
      <c r="O11" s="9">
        <v>0</v>
      </c>
      <c r="P11" s="9">
        <f t="shared" si="2"/>
        <v>1167.5</v>
      </c>
      <c r="Q11" s="15"/>
      <c r="R11" s="15"/>
      <c r="S11" s="15"/>
    </row>
    <row r="12" spans="2:19">
      <c r="B12" s="17">
        <v>5</v>
      </c>
      <c r="C12" s="8" t="s">
        <v>18</v>
      </c>
      <c r="D12" s="1">
        <v>269.04000000000002</v>
      </c>
      <c r="E12" s="9">
        <v>245.3</v>
      </c>
      <c r="F12" s="8">
        <v>37</v>
      </c>
      <c r="G12" s="8">
        <v>344</v>
      </c>
      <c r="H12" s="9">
        <v>1.5</v>
      </c>
      <c r="I12" s="9">
        <v>0</v>
      </c>
      <c r="J12" s="9">
        <v>0</v>
      </c>
      <c r="K12" s="9">
        <f t="shared" si="0"/>
        <v>1.5</v>
      </c>
      <c r="L12" s="16">
        <f t="shared" si="1"/>
        <v>6.1149612719119447E-3</v>
      </c>
      <c r="M12" s="9">
        <v>4115.1000000000004</v>
      </c>
      <c r="N12" s="9">
        <v>0</v>
      </c>
      <c r="O12" s="9">
        <v>0</v>
      </c>
      <c r="P12" s="9">
        <f t="shared" si="2"/>
        <v>4115.1000000000004</v>
      </c>
      <c r="Q12" s="15">
        <v>900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4</v>
      </c>
      <c r="I13" s="9">
        <v>0</v>
      </c>
      <c r="J13" s="9">
        <v>0</v>
      </c>
      <c r="K13" s="9">
        <f t="shared" si="0"/>
        <v>4</v>
      </c>
      <c r="L13" s="16">
        <f t="shared" si="1"/>
        <v>1.840519026365435E-2</v>
      </c>
      <c r="M13" s="9">
        <v>3127</v>
      </c>
      <c r="N13" s="9">
        <v>653</v>
      </c>
      <c r="O13" s="9">
        <v>0</v>
      </c>
      <c r="P13" s="9">
        <f t="shared" si="2"/>
        <v>3780</v>
      </c>
      <c r="Q13" s="15">
        <v>650</v>
      </c>
      <c r="R13" s="15">
        <v>550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0</v>
      </c>
      <c r="F14" s="8">
        <v>6</v>
      </c>
      <c r="G14" s="8">
        <v>46</v>
      </c>
      <c r="H14" s="9">
        <v>0</v>
      </c>
      <c r="I14" s="9">
        <v>0</v>
      </c>
      <c r="J14" s="9">
        <v>0</v>
      </c>
      <c r="K14" s="9">
        <f t="shared" si="0"/>
        <v>0</v>
      </c>
      <c r="L14" s="16" t="e">
        <f t="shared" si="1"/>
        <v>#DIV/0!</v>
      </c>
      <c r="M14" s="9">
        <v>2410</v>
      </c>
      <c r="N14" s="9">
        <v>0</v>
      </c>
      <c r="O14" s="9">
        <v>0</v>
      </c>
      <c r="P14" s="9">
        <f t="shared" si="2"/>
        <v>2410</v>
      </c>
      <c r="Q14" s="15">
        <v>1000</v>
      </c>
      <c r="R14" s="15">
        <v>900</v>
      </c>
      <c r="S14" s="15">
        <v>800</v>
      </c>
    </row>
    <row r="15" spans="2:19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0"/>
        <v>0</v>
      </c>
      <c r="L15" s="16" t="e">
        <f t="shared" si="1"/>
        <v>#DIV/0!</v>
      </c>
      <c r="M15" s="9">
        <v>2075</v>
      </c>
      <c r="N15" s="9">
        <v>0</v>
      </c>
      <c r="O15" s="9">
        <v>0</v>
      </c>
      <c r="P15" s="9">
        <f t="shared" si="2"/>
        <v>2075</v>
      </c>
      <c r="Q15" s="15">
        <v>1100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1665</v>
      </c>
      <c r="N16" s="9">
        <v>0</v>
      </c>
      <c r="O16" s="9">
        <v>0</v>
      </c>
      <c r="P16" s="9">
        <f t="shared" si="2"/>
        <v>1665</v>
      </c>
      <c r="Q16" s="15">
        <v>1100</v>
      </c>
      <c r="R16" s="15"/>
      <c r="S16" s="15"/>
    </row>
    <row r="17" spans="2:19">
      <c r="B17" s="17">
        <v>10</v>
      </c>
      <c r="C17" s="8" t="s">
        <v>27</v>
      </c>
      <c r="D17" s="9">
        <v>250.3</v>
      </c>
      <c r="E17" s="9">
        <v>0</v>
      </c>
      <c r="F17" s="8">
        <v>19</v>
      </c>
      <c r="G17" s="8">
        <v>227</v>
      </c>
      <c r="H17" s="9">
        <v>0</v>
      </c>
      <c r="I17" s="9">
        <v>0</v>
      </c>
      <c r="J17" s="9">
        <v>0</v>
      </c>
      <c r="K17" s="9">
        <f t="shared" si="0"/>
        <v>0</v>
      </c>
      <c r="L17" s="16" t="e">
        <f t="shared" si="1"/>
        <v>#DIV/0!</v>
      </c>
      <c r="M17" s="9">
        <v>880</v>
      </c>
      <c r="N17" s="9">
        <v>0</v>
      </c>
      <c r="O17" s="9">
        <v>0</v>
      </c>
      <c r="P17" s="9">
        <f t="shared" si="2"/>
        <v>880</v>
      </c>
      <c r="Q17" s="15">
        <v>1150</v>
      </c>
      <c r="R17" s="15"/>
      <c r="S17" s="15"/>
    </row>
    <row r="18" spans="2:19">
      <c r="B18" s="17">
        <v>11</v>
      </c>
      <c r="C18" s="8" t="s">
        <v>28</v>
      </c>
      <c r="D18" s="9">
        <v>107.89</v>
      </c>
      <c r="E18" s="9">
        <v>0</v>
      </c>
      <c r="F18" s="8">
        <v>6</v>
      </c>
      <c r="G18" s="8">
        <v>43</v>
      </c>
      <c r="H18" s="9">
        <v>0</v>
      </c>
      <c r="I18" s="9">
        <v>0</v>
      </c>
      <c r="J18" s="9">
        <v>0</v>
      </c>
      <c r="K18" s="9">
        <f t="shared" si="0"/>
        <v>0</v>
      </c>
      <c r="L18" s="16" t="e">
        <f t="shared" si="1"/>
        <v>#DIV/0!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>
        <v>1000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0</v>
      </c>
      <c r="F19" s="8">
        <v>43</v>
      </c>
      <c r="G19" s="8">
        <v>342</v>
      </c>
      <c r="H19" s="9">
        <v>0</v>
      </c>
      <c r="I19" s="9">
        <v>0</v>
      </c>
      <c r="J19" s="9">
        <v>0</v>
      </c>
      <c r="K19" s="9">
        <f t="shared" si="0"/>
        <v>0</v>
      </c>
      <c r="L19" s="16" t="e">
        <f t="shared" si="1"/>
        <v>#DIV/0!</v>
      </c>
      <c r="M19" s="9">
        <v>190.9</v>
      </c>
      <c r="N19" s="9">
        <v>52.4</v>
      </c>
      <c r="O19" s="9">
        <v>0</v>
      </c>
      <c r="P19" s="9">
        <f t="shared" si="2"/>
        <v>243.3</v>
      </c>
      <c r="Q19" s="15">
        <v>850</v>
      </c>
      <c r="R19" s="15">
        <v>750</v>
      </c>
      <c r="S19" s="15">
        <v>700</v>
      </c>
    </row>
    <row r="20" spans="2:19">
      <c r="B20" s="17">
        <v>13</v>
      </c>
      <c r="C20" s="8" t="s">
        <v>23</v>
      </c>
      <c r="D20" s="9">
        <v>1.5</v>
      </c>
      <c r="E20" s="9">
        <v>1.5</v>
      </c>
      <c r="F20" s="8">
        <v>2</v>
      </c>
      <c r="G20" s="8">
        <v>20</v>
      </c>
      <c r="H20" s="9">
        <v>5.0999999999999996</v>
      </c>
      <c r="I20" s="9">
        <v>0</v>
      </c>
      <c r="J20" s="9">
        <v>0</v>
      </c>
      <c r="K20" s="9">
        <f t="shared" si="0"/>
        <v>5.0999999999999996</v>
      </c>
      <c r="L20" s="16">
        <f t="shared" si="1"/>
        <v>3.4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750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</v>
      </c>
      <c r="F21" s="8"/>
      <c r="G21" s="8">
        <v>1</v>
      </c>
      <c r="H21" s="9">
        <v>0</v>
      </c>
      <c r="I21" s="9">
        <v>0</v>
      </c>
      <c r="J21" s="9">
        <v>0</v>
      </c>
      <c r="K21" s="9">
        <f t="shared" si="0"/>
        <v>0</v>
      </c>
      <c r="L21" s="16" t="e">
        <f t="shared" si="1"/>
        <v>#DIV/0!</v>
      </c>
      <c r="M21" s="9">
        <v>0</v>
      </c>
      <c r="N21" s="9">
        <v>0</v>
      </c>
      <c r="O21" s="9">
        <v>0</v>
      </c>
      <c r="P21" s="9">
        <f t="shared" si="2"/>
        <v>0</v>
      </c>
      <c r="Q21" s="15"/>
      <c r="R21" s="15"/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>SUM(D8:D21)</f>
        <v>8292.75</v>
      </c>
      <c r="E23" s="9">
        <f>SUM(E8:E21)</f>
        <v>464.13</v>
      </c>
      <c r="F23" s="10">
        <f t="shared" ref="F23" si="5">SUM(F8:F20)</f>
        <v>524</v>
      </c>
      <c r="G23" s="10">
        <f>SUM(G8:G21)</f>
        <v>6850</v>
      </c>
      <c r="H23" s="9">
        <f>SUM(H8:H21)</f>
        <v>10.6</v>
      </c>
      <c r="I23" s="9">
        <f>SUM(I8:I21)</f>
        <v>0</v>
      </c>
      <c r="J23" s="9">
        <f>SUM(J8:J21)</f>
        <v>0</v>
      </c>
      <c r="K23" s="13">
        <f>SUM(K8:K22)</f>
        <v>10.6</v>
      </c>
      <c r="L23" s="16" t="e">
        <f>AVERAGE(L8:L21)</f>
        <v>#DIV/0!</v>
      </c>
      <c r="M23" s="9">
        <f>SUM(M8:M22)</f>
        <v>81364.070000000007</v>
      </c>
      <c r="N23" s="9">
        <f t="shared" ref="N23:O23" si="6">SUM(N8:N22)</f>
        <v>11172.51</v>
      </c>
      <c r="O23" s="9">
        <f t="shared" si="6"/>
        <v>1563.01</v>
      </c>
      <c r="P23" s="13">
        <f>SUM(P8:P22)</f>
        <v>94099.590000000011</v>
      </c>
      <c r="Q23" s="34"/>
      <c r="R23" s="35"/>
      <c r="S23" s="36"/>
    </row>
    <row r="25" spans="2:19">
      <c r="Q25" s="3">
        <f>AVERAGE(Q8:Q22)</f>
        <v>900</v>
      </c>
      <c r="R25" s="3">
        <f t="shared" ref="R25:S25" si="7">AVERAGE(R8:R22)</f>
        <v>658.33333333333337</v>
      </c>
      <c r="S25" s="3">
        <f t="shared" si="7"/>
        <v>683.33333333333337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8EC7-4FB2-4784-AA7E-E6B8D2036B1A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42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1974.94</v>
      </c>
      <c r="E8" s="9">
        <v>0</v>
      </c>
      <c r="F8" s="8">
        <v>162</v>
      </c>
      <c r="G8" s="10">
        <v>1674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7865.9</v>
      </c>
      <c r="N8" s="9">
        <v>1575</v>
      </c>
      <c r="O8" s="9">
        <v>0</v>
      </c>
      <c r="P8" s="9">
        <f>SUM(M8:O8)</f>
        <v>9440.9</v>
      </c>
      <c r="Q8" s="15">
        <v>800</v>
      </c>
      <c r="R8" s="15">
        <v>400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959.7</v>
      </c>
      <c r="F9" s="8">
        <v>167</v>
      </c>
      <c r="G9" s="10">
        <v>1355</v>
      </c>
      <c r="H9" s="9">
        <v>0.75</v>
      </c>
      <c r="I9" s="9">
        <v>0</v>
      </c>
      <c r="J9" s="9">
        <v>0</v>
      </c>
      <c r="K9" s="9">
        <f t="shared" ref="K9:K21" si="0">SUM(H9:J9)</f>
        <v>0.75</v>
      </c>
      <c r="L9" s="16">
        <f t="shared" ref="L9:L22" si="1">K9/E9</f>
        <v>7.8149421694279455E-4</v>
      </c>
      <c r="M9" s="9">
        <v>12168.75</v>
      </c>
      <c r="N9" s="9">
        <v>1100</v>
      </c>
      <c r="O9" s="9">
        <v>0</v>
      </c>
      <c r="P9" s="9">
        <f t="shared" ref="P9:P21" si="2">SUM(M9:O9)</f>
        <v>13268.75</v>
      </c>
      <c r="Q9" s="15">
        <v>1200</v>
      </c>
      <c r="R9" s="15">
        <v>900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0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0"/>
        <v>0</v>
      </c>
      <c r="L10" s="16" t="e">
        <f t="shared" si="1"/>
        <v>#DIV/0!</v>
      </c>
      <c r="M10" s="9">
        <v>39915</v>
      </c>
      <c r="N10" s="9">
        <v>3003</v>
      </c>
      <c r="O10" s="9">
        <v>1365</v>
      </c>
      <c r="P10" s="9">
        <f t="shared" si="2"/>
        <v>44283</v>
      </c>
      <c r="Q10" s="15">
        <v>1100</v>
      </c>
      <c r="R10" s="15">
        <v>950</v>
      </c>
      <c r="S10" s="15">
        <v>800</v>
      </c>
    </row>
    <row r="11" spans="2:19">
      <c r="B11" s="17">
        <v>4</v>
      </c>
      <c r="C11" s="8" t="s">
        <v>17</v>
      </c>
      <c r="D11" s="9">
        <v>204.9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0"/>
        <v>0</v>
      </c>
      <c r="L11" s="16" t="e">
        <f t="shared" si="1"/>
        <v>#DIV/0!</v>
      </c>
      <c r="M11" s="9">
        <v>0</v>
      </c>
      <c r="N11" s="9">
        <v>0</v>
      </c>
      <c r="O11" s="9">
        <v>0</v>
      </c>
      <c r="P11" s="9">
        <f t="shared" si="2"/>
        <v>0</v>
      </c>
      <c r="Q11" s="15">
        <f>(1400+1800)/2</f>
        <v>1600</v>
      </c>
      <c r="R11" s="15"/>
      <c r="S11" s="15"/>
    </row>
    <row r="12" spans="2:19">
      <c r="B12" s="17">
        <v>5</v>
      </c>
      <c r="C12" s="8" t="s">
        <v>18</v>
      </c>
      <c r="D12" s="1">
        <v>269.04000000000002</v>
      </c>
      <c r="E12" s="1">
        <v>269.04000000000002</v>
      </c>
      <c r="F12" s="8">
        <v>37</v>
      </c>
      <c r="G12" s="8">
        <v>344</v>
      </c>
      <c r="H12" s="9">
        <v>3</v>
      </c>
      <c r="I12" s="9">
        <v>0</v>
      </c>
      <c r="J12" s="9">
        <v>0</v>
      </c>
      <c r="K12" s="9">
        <f t="shared" si="0"/>
        <v>3</v>
      </c>
      <c r="L12" s="16">
        <f t="shared" si="1"/>
        <v>1.1150758251561105E-2</v>
      </c>
      <c r="M12" s="9">
        <v>2287.3000000000002</v>
      </c>
      <c r="N12" s="9">
        <v>0</v>
      </c>
      <c r="O12" s="9">
        <v>0</v>
      </c>
      <c r="P12" s="9">
        <f t="shared" si="2"/>
        <v>2287.3000000000002</v>
      </c>
      <c r="Q12" s="15">
        <v>900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3.8</v>
      </c>
      <c r="I13" s="9">
        <v>0</v>
      </c>
      <c r="J13" s="9">
        <v>0</v>
      </c>
      <c r="K13" s="9">
        <f t="shared" si="0"/>
        <v>3.8</v>
      </c>
      <c r="L13" s="16">
        <f t="shared" si="1"/>
        <v>1.7484930750471632E-2</v>
      </c>
      <c r="M13" s="9">
        <v>2465</v>
      </c>
      <c r="N13" s="9">
        <v>420</v>
      </c>
      <c r="O13" s="9">
        <v>0</v>
      </c>
      <c r="P13" s="9">
        <f t="shared" si="2"/>
        <v>2885</v>
      </c>
      <c r="Q13" s="15">
        <v>850</v>
      </c>
      <c r="R13" s="15">
        <v>750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76.5</v>
      </c>
      <c r="F14" s="8">
        <v>6</v>
      </c>
      <c r="G14" s="8">
        <v>46</v>
      </c>
      <c r="H14" s="9">
        <v>10</v>
      </c>
      <c r="I14" s="9">
        <v>0</v>
      </c>
      <c r="J14" s="9">
        <v>0</v>
      </c>
      <c r="K14" s="9">
        <f t="shared" si="0"/>
        <v>10</v>
      </c>
      <c r="L14" s="16">
        <f t="shared" si="1"/>
        <v>0.13071895424836602</v>
      </c>
      <c r="M14" s="9">
        <v>2410</v>
      </c>
      <c r="N14" s="9">
        <v>0</v>
      </c>
      <c r="O14" s="9">
        <v>0</v>
      </c>
      <c r="P14" s="9">
        <f t="shared" si="2"/>
        <v>2410</v>
      </c>
      <c r="Q14" s="15">
        <v>1200</v>
      </c>
      <c r="R14" s="15">
        <v>1100</v>
      </c>
      <c r="S14" s="15">
        <v>1000</v>
      </c>
    </row>
    <row r="15" spans="2:19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0"/>
        <v>0</v>
      </c>
      <c r="L15" s="16" t="e">
        <f t="shared" si="1"/>
        <v>#DIV/0!</v>
      </c>
      <c r="M15" s="9">
        <v>1120</v>
      </c>
      <c r="N15" s="9">
        <v>0</v>
      </c>
      <c r="O15" s="9">
        <v>0</v>
      </c>
      <c r="P15" s="9">
        <f t="shared" si="2"/>
        <v>1120</v>
      </c>
      <c r="Q15" s="15">
        <v>1200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0</v>
      </c>
      <c r="N16" s="9">
        <v>0</v>
      </c>
      <c r="O16" s="9">
        <v>0</v>
      </c>
      <c r="P16" s="9">
        <f t="shared" si="2"/>
        <v>0</v>
      </c>
      <c r="Q16" s="15">
        <v>1100</v>
      </c>
      <c r="R16" s="15"/>
      <c r="S16" s="15"/>
    </row>
    <row r="17" spans="2:19">
      <c r="B17" s="17">
        <v>10</v>
      </c>
      <c r="C17" s="8" t="s">
        <v>27</v>
      </c>
      <c r="D17" s="9">
        <v>250.3</v>
      </c>
      <c r="E17" s="9">
        <v>0</v>
      </c>
      <c r="F17" s="8">
        <v>19</v>
      </c>
      <c r="G17" s="8">
        <v>227</v>
      </c>
      <c r="H17" s="9">
        <v>0</v>
      </c>
      <c r="I17" s="9">
        <v>0</v>
      </c>
      <c r="J17" s="9">
        <v>0</v>
      </c>
      <c r="K17" s="9">
        <f t="shared" si="0"/>
        <v>0</v>
      </c>
      <c r="L17" s="16" t="e">
        <f t="shared" si="1"/>
        <v>#DIV/0!</v>
      </c>
      <c r="M17" s="9">
        <v>510</v>
      </c>
      <c r="N17" s="9">
        <v>0</v>
      </c>
      <c r="O17" s="9">
        <v>0</v>
      </c>
      <c r="P17" s="9">
        <f t="shared" si="2"/>
        <v>510</v>
      </c>
      <c r="Q17" s="15">
        <v>1200</v>
      </c>
      <c r="R17" s="15"/>
      <c r="S17" s="15"/>
    </row>
    <row r="18" spans="2:19">
      <c r="B18" s="17">
        <v>11</v>
      </c>
      <c r="C18" s="8" t="s">
        <v>28</v>
      </c>
      <c r="D18" s="9">
        <v>107.89</v>
      </c>
      <c r="E18" s="9">
        <v>0</v>
      </c>
      <c r="F18" s="8">
        <v>6</v>
      </c>
      <c r="G18" s="8">
        <v>43</v>
      </c>
      <c r="H18" s="9">
        <v>0</v>
      </c>
      <c r="I18" s="9">
        <v>0</v>
      </c>
      <c r="J18" s="9">
        <v>0</v>
      </c>
      <c r="K18" s="9">
        <f t="shared" si="0"/>
        <v>0</v>
      </c>
      <c r="L18" s="16" t="e">
        <f t="shared" si="1"/>
        <v>#DIV/0!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>
        <v>1000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218.44</v>
      </c>
      <c r="F19" s="8">
        <v>43</v>
      </c>
      <c r="G19" s="8">
        <v>342</v>
      </c>
      <c r="H19" s="9">
        <v>14.5</v>
      </c>
      <c r="I19" s="9">
        <v>26.2</v>
      </c>
      <c r="J19" s="9">
        <v>0</v>
      </c>
      <c r="K19" s="9">
        <f t="shared" si="0"/>
        <v>40.700000000000003</v>
      </c>
      <c r="L19" s="16">
        <f t="shared" si="1"/>
        <v>0.18632118659586158</v>
      </c>
      <c r="M19" s="9">
        <v>0</v>
      </c>
      <c r="N19" s="9">
        <v>0</v>
      </c>
      <c r="O19" s="9">
        <v>0</v>
      </c>
      <c r="P19" s="9">
        <f t="shared" si="2"/>
        <v>0</v>
      </c>
      <c r="Q19" s="15">
        <v>1000</v>
      </c>
      <c r="R19" s="15">
        <v>900</v>
      </c>
      <c r="S19" s="15">
        <v>800</v>
      </c>
    </row>
    <row r="20" spans="2:19">
      <c r="B20" s="17">
        <v>13</v>
      </c>
      <c r="C20" s="8" t="s">
        <v>23</v>
      </c>
      <c r="D20" s="9">
        <v>1.5</v>
      </c>
      <c r="E20" s="9">
        <v>0.25</v>
      </c>
      <c r="F20" s="8">
        <v>2</v>
      </c>
      <c r="G20" s="8">
        <v>20</v>
      </c>
      <c r="H20" s="9">
        <v>4</v>
      </c>
      <c r="I20" s="9">
        <v>0</v>
      </c>
      <c r="J20" s="9">
        <v>0</v>
      </c>
      <c r="K20" s="9">
        <f t="shared" si="0"/>
        <v>4</v>
      </c>
      <c r="L20" s="16">
        <f t="shared" si="1"/>
        <v>16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1300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</v>
      </c>
      <c r="F21" s="8"/>
      <c r="G21" s="8">
        <v>4</v>
      </c>
      <c r="H21" s="9">
        <v>0</v>
      </c>
      <c r="I21" s="9">
        <v>0</v>
      </c>
      <c r="J21" s="9">
        <v>0</v>
      </c>
      <c r="K21" s="9">
        <f t="shared" si="0"/>
        <v>0</v>
      </c>
      <c r="L21" s="16" t="e">
        <f t="shared" si="1"/>
        <v>#DIV/0!</v>
      </c>
      <c r="M21" s="9">
        <v>0</v>
      </c>
      <c r="N21" s="9">
        <v>0</v>
      </c>
      <c r="O21" s="9">
        <v>0</v>
      </c>
      <c r="P21" s="9">
        <f t="shared" si="2"/>
        <v>0</v>
      </c>
      <c r="Q21" s="15"/>
      <c r="R21" s="15"/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>SUM(D8:D21)</f>
        <v>8292.75</v>
      </c>
      <c r="E23" s="9">
        <f>SUM(E8:E21)</f>
        <v>1741.26</v>
      </c>
      <c r="F23" s="10">
        <f t="shared" ref="F23" si="5">SUM(F8:F20)</f>
        <v>524</v>
      </c>
      <c r="G23" s="10">
        <f>SUM(G8:G21)</f>
        <v>6853</v>
      </c>
      <c r="H23" s="9">
        <f>SUM(H8:H21)</f>
        <v>36.049999999999997</v>
      </c>
      <c r="I23" s="9">
        <f>SUM(I8:I21)</f>
        <v>26.2</v>
      </c>
      <c r="J23" s="9">
        <f>SUM(J8:J21)</f>
        <v>0</v>
      </c>
      <c r="K23" s="13">
        <f>SUM(K8:K22)</f>
        <v>62.25</v>
      </c>
      <c r="L23" s="16" t="e">
        <f>AVERAGE(L8:L21)</f>
        <v>#DIV/0!</v>
      </c>
      <c r="M23" s="9">
        <f>SUM(M8:M22)</f>
        <v>68861.950000000012</v>
      </c>
      <c r="N23" s="9">
        <f t="shared" ref="N23:O23" si="6">SUM(N8:N22)</f>
        <v>6098</v>
      </c>
      <c r="O23" s="9">
        <f t="shared" si="6"/>
        <v>1365</v>
      </c>
      <c r="P23" s="13">
        <f>SUM(P8:P22)</f>
        <v>76324.95</v>
      </c>
      <c r="Q23" s="34"/>
      <c r="R23" s="35"/>
      <c r="S23" s="36"/>
    </row>
    <row r="25" spans="2:19">
      <c r="Q25" s="3">
        <f>AVERAGE(Q8:Q22)</f>
        <v>1111.5384615384614</v>
      </c>
      <c r="R25" s="3">
        <f t="shared" ref="R25:S25" si="7">AVERAGE(R8:R22)</f>
        <v>833.33333333333337</v>
      </c>
      <c r="S25" s="3">
        <f t="shared" si="7"/>
        <v>866.66666666666663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3830-3AF6-461F-93A1-882F3BA5AD11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43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1960</v>
      </c>
      <c r="E8" s="9">
        <v>0</v>
      </c>
      <c r="F8" s="8">
        <v>160</v>
      </c>
      <c r="G8" s="10">
        <v>1654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7066.3</v>
      </c>
      <c r="N8" s="9">
        <v>1095</v>
      </c>
      <c r="O8" s="9">
        <v>0</v>
      </c>
      <c r="P8" s="9">
        <f>SUM(M8:O8)</f>
        <v>8161.3</v>
      </c>
      <c r="Q8" s="15">
        <f>(800+1400)/2</f>
        <v>1100</v>
      </c>
      <c r="R8" s="15">
        <f>(400+1000)/2</f>
        <v>700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959.7</v>
      </c>
      <c r="F9" s="8">
        <v>167</v>
      </c>
      <c r="G9" s="10">
        <v>1355</v>
      </c>
      <c r="H9" s="9">
        <v>3</v>
      </c>
      <c r="I9" s="9">
        <v>0</v>
      </c>
      <c r="J9" s="9">
        <v>0</v>
      </c>
      <c r="K9" s="9">
        <f t="shared" ref="K9:K21" si="0">SUM(H9:J9)</f>
        <v>3</v>
      </c>
      <c r="L9" s="16">
        <f t="shared" ref="L9:L22" si="1">K9/E9</f>
        <v>3.1259768677711782E-3</v>
      </c>
      <c r="M9" s="9">
        <v>11090.75</v>
      </c>
      <c r="N9" s="9">
        <v>1000</v>
      </c>
      <c r="O9" s="9">
        <v>0</v>
      </c>
      <c r="P9" s="9">
        <f t="shared" ref="P9:P21" si="2">SUM(M9:O9)</f>
        <v>12090.75</v>
      </c>
      <c r="Q9" s="15">
        <v>1600</v>
      </c>
      <c r="R9" s="15">
        <v>1300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3218.24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0"/>
        <v>0</v>
      </c>
      <c r="L10" s="16">
        <f t="shared" si="1"/>
        <v>0</v>
      </c>
      <c r="M10" s="9">
        <v>38048</v>
      </c>
      <c r="N10" s="9">
        <v>2825</v>
      </c>
      <c r="O10" s="9">
        <v>1260</v>
      </c>
      <c r="P10" s="9">
        <f t="shared" si="2"/>
        <v>42133</v>
      </c>
      <c r="Q10" s="15">
        <v>1200</v>
      </c>
      <c r="R10" s="15">
        <v>1000</v>
      </c>
      <c r="S10" s="15">
        <v>800</v>
      </c>
    </row>
    <row r="11" spans="2:19">
      <c r="B11" s="17">
        <v>4</v>
      </c>
      <c r="C11" s="8" t="s">
        <v>17</v>
      </c>
      <c r="D11" s="9">
        <v>204.9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0"/>
        <v>0</v>
      </c>
      <c r="L11" s="16" t="e">
        <f t="shared" si="1"/>
        <v>#DIV/0!</v>
      </c>
      <c r="M11" s="9">
        <v>0</v>
      </c>
      <c r="N11" s="9">
        <v>0</v>
      </c>
      <c r="O11" s="9">
        <v>0</v>
      </c>
      <c r="P11" s="9">
        <f t="shared" si="2"/>
        <v>0</v>
      </c>
      <c r="Q11" s="15">
        <f>(1400+1800)/2</f>
        <v>1600</v>
      </c>
      <c r="R11" s="15"/>
      <c r="S11" s="15"/>
    </row>
    <row r="12" spans="2:19">
      <c r="B12" s="17">
        <v>5</v>
      </c>
      <c r="C12" s="8" t="s">
        <v>18</v>
      </c>
      <c r="D12" s="9">
        <v>269.04000000000002</v>
      </c>
      <c r="E12" s="9">
        <v>269.04000000000002</v>
      </c>
      <c r="F12" s="8">
        <v>37</v>
      </c>
      <c r="G12" s="8">
        <v>344</v>
      </c>
      <c r="H12" s="9">
        <v>3.3</v>
      </c>
      <c r="I12" s="9">
        <v>0</v>
      </c>
      <c r="J12" s="9">
        <v>0</v>
      </c>
      <c r="K12" s="9">
        <f t="shared" si="0"/>
        <v>3.3</v>
      </c>
      <c r="L12" s="16">
        <f t="shared" si="1"/>
        <v>1.2265834076717216E-2</v>
      </c>
      <c r="M12" s="9">
        <v>1608.5</v>
      </c>
      <c r="N12" s="9">
        <v>0</v>
      </c>
      <c r="O12" s="9">
        <v>0</v>
      </c>
      <c r="P12" s="9">
        <f t="shared" si="2"/>
        <v>1608.5</v>
      </c>
      <c r="Q12" s="15">
        <v>1400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5.35</v>
      </c>
      <c r="I13" s="9">
        <v>2.1</v>
      </c>
      <c r="J13" s="9">
        <v>0</v>
      </c>
      <c r="K13" s="9">
        <f t="shared" si="0"/>
        <v>7.4499999999999993</v>
      </c>
      <c r="L13" s="16">
        <f t="shared" si="1"/>
        <v>3.427966686605622E-2</v>
      </c>
      <c r="M13" s="9">
        <v>2075</v>
      </c>
      <c r="N13" s="9">
        <v>305</v>
      </c>
      <c r="O13" s="9">
        <v>0</v>
      </c>
      <c r="P13" s="9">
        <f t="shared" si="2"/>
        <v>2380</v>
      </c>
      <c r="Q13" s="15">
        <v>1700</v>
      </c>
      <c r="R13" s="15">
        <v>1600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76.5</v>
      </c>
      <c r="F14" s="8">
        <v>6</v>
      </c>
      <c r="G14" s="8">
        <v>46</v>
      </c>
      <c r="H14" s="9">
        <v>10</v>
      </c>
      <c r="I14" s="9">
        <v>0</v>
      </c>
      <c r="J14" s="9">
        <v>0</v>
      </c>
      <c r="K14" s="9">
        <f t="shared" si="0"/>
        <v>10</v>
      </c>
      <c r="L14" s="16">
        <f t="shared" si="1"/>
        <v>0.13071895424836602</v>
      </c>
      <c r="M14" s="9">
        <v>2300</v>
      </c>
      <c r="N14" s="9">
        <v>0</v>
      </c>
      <c r="O14" s="9">
        <v>0</v>
      </c>
      <c r="P14" s="9">
        <f t="shared" si="2"/>
        <v>2300</v>
      </c>
      <c r="Q14" s="15">
        <v>1500</v>
      </c>
      <c r="R14" s="15">
        <v>1400</v>
      </c>
      <c r="S14" s="15">
        <v>1300</v>
      </c>
    </row>
    <row r="15" spans="2:19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0"/>
        <v>0</v>
      </c>
      <c r="L15" s="16" t="e">
        <f t="shared" si="1"/>
        <v>#DIV/0!</v>
      </c>
      <c r="M15" s="9">
        <v>800</v>
      </c>
      <c r="N15" s="9">
        <v>0</v>
      </c>
      <c r="O15" s="9">
        <v>0</v>
      </c>
      <c r="P15" s="9">
        <f t="shared" si="2"/>
        <v>800</v>
      </c>
      <c r="Q15" s="15">
        <v>1200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0</v>
      </c>
      <c r="N16" s="9">
        <v>0</v>
      </c>
      <c r="O16" s="9">
        <v>0</v>
      </c>
      <c r="P16" s="9">
        <f t="shared" si="2"/>
        <v>0</v>
      </c>
      <c r="Q16" s="15">
        <v>1100</v>
      </c>
      <c r="R16" s="15"/>
      <c r="S16" s="15"/>
    </row>
    <row r="17" spans="2:19">
      <c r="B17" s="17">
        <v>10</v>
      </c>
      <c r="C17" s="8" t="s">
        <v>27</v>
      </c>
      <c r="D17" s="9">
        <v>250.3</v>
      </c>
      <c r="E17" s="9">
        <v>0</v>
      </c>
      <c r="F17" s="8">
        <v>19</v>
      </c>
      <c r="G17" s="8">
        <v>227</v>
      </c>
      <c r="H17" s="9">
        <v>0</v>
      </c>
      <c r="I17" s="9">
        <v>0</v>
      </c>
      <c r="J17" s="9">
        <v>0</v>
      </c>
      <c r="K17" s="9">
        <f t="shared" si="0"/>
        <v>0</v>
      </c>
      <c r="L17" s="16" t="e">
        <f t="shared" si="1"/>
        <v>#DIV/0!</v>
      </c>
      <c r="M17" s="9">
        <v>300</v>
      </c>
      <c r="N17" s="9">
        <v>0</v>
      </c>
      <c r="O17" s="9">
        <v>0</v>
      </c>
      <c r="P17" s="9">
        <f t="shared" si="2"/>
        <v>300</v>
      </c>
      <c r="Q17" s="15">
        <v>1300</v>
      </c>
      <c r="R17" s="15"/>
      <c r="S17" s="15"/>
    </row>
    <row r="18" spans="2:19">
      <c r="B18" s="17">
        <v>11</v>
      </c>
      <c r="C18" s="8" t="s">
        <v>28</v>
      </c>
      <c r="D18" s="9">
        <v>107.89</v>
      </c>
      <c r="E18" s="9">
        <v>0</v>
      </c>
      <c r="F18" s="8">
        <v>6</v>
      </c>
      <c r="G18" s="8">
        <v>43</v>
      </c>
      <c r="H18" s="9">
        <v>0</v>
      </c>
      <c r="I18" s="9">
        <v>0</v>
      </c>
      <c r="J18" s="9">
        <v>0</v>
      </c>
      <c r="K18" s="9">
        <f t="shared" si="0"/>
        <v>0</v>
      </c>
      <c r="L18" s="16" t="e">
        <f t="shared" si="1"/>
        <v>#DIV/0!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>
        <v>1100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218.44</v>
      </c>
      <c r="F19" s="8">
        <v>43</v>
      </c>
      <c r="G19" s="8">
        <v>342</v>
      </c>
      <c r="H19" s="9">
        <v>3.4</v>
      </c>
      <c r="I19" s="9">
        <v>29.4</v>
      </c>
      <c r="J19" s="9">
        <v>0</v>
      </c>
      <c r="K19" s="9">
        <f t="shared" si="0"/>
        <v>32.799999999999997</v>
      </c>
      <c r="L19" s="16">
        <f t="shared" si="1"/>
        <v>0.1501556491485076</v>
      </c>
      <c r="M19" s="9">
        <v>0</v>
      </c>
      <c r="N19" s="9">
        <v>0</v>
      </c>
      <c r="O19" s="9">
        <v>0</v>
      </c>
      <c r="P19" s="9">
        <f t="shared" si="2"/>
        <v>0</v>
      </c>
      <c r="Q19" s="15">
        <v>1000</v>
      </c>
      <c r="R19" s="15">
        <v>900</v>
      </c>
      <c r="S19" s="15">
        <v>800</v>
      </c>
    </row>
    <row r="20" spans="2:19">
      <c r="B20" s="17">
        <v>13</v>
      </c>
      <c r="C20" s="8" t="s">
        <v>23</v>
      </c>
      <c r="D20" s="9">
        <v>1.5</v>
      </c>
      <c r="E20" s="9">
        <v>0.15</v>
      </c>
      <c r="F20" s="8">
        <v>2</v>
      </c>
      <c r="G20" s="8">
        <v>20</v>
      </c>
      <c r="H20" s="9">
        <v>2</v>
      </c>
      <c r="I20" s="9">
        <v>0</v>
      </c>
      <c r="J20" s="9">
        <v>0</v>
      </c>
      <c r="K20" s="9">
        <f t="shared" si="0"/>
        <v>2</v>
      </c>
      <c r="L20" s="16">
        <f t="shared" si="1"/>
        <v>13.333333333333334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1300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</v>
      </c>
      <c r="F21" s="8"/>
      <c r="G21" s="8">
        <v>4</v>
      </c>
      <c r="H21" s="9">
        <v>0</v>
      </c>
      <c r="I21" s="9">
        <v>0</v>
      </c>
      <c r="J21" s="9">
        <v>0</v>
      </c>
      <c r="K21" s="9">
        <f t="shared" si="0"/>
        <v>0</v>
      </c>
      <c r="L21" s="16" t="e">
        <f t="shared" si="1"/>
        <v>#DIV/0!</v>
      </c>
      <c r="M21" s="9">
        <v>0</v>
      </c>
      <c r="N21" s="9">
        <v>0</v>
      </c>
      <c r="O21" s="9">
        <v>0</v>
      </c>
      <c r="P21" s="9">
        <f t="shared" si="2"/>
        <v>0</v>
      </c>
      <c r="Q21" s="15"/>
      <c r="R21" s="15"/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>SUM(D8:D22)</f>
        <v>8277.81</v>
      </c>
      <c r="E23" s="9">
        <f>SUM(E8:E22)</f>
        <v>4959.3999999999987</v>
      </c>
      <c r="F23" s="10">
        <f>SUM(F8:F22)</f>
        <v>522</v>
      </c>
      <c r="G23" s="10">
        <f>SUM(G8:G22)</f>
        <v>6833</v>
      </c>
      <c r="H23" s="9">
        <f t="shared" ref="H23:J23" si="5">SUM(H8:H22)</f>
        <v>27.049999999999997</v>
      </c>
      <c r="I23" s="9">
        <f t="shared" si="5"/>
        <v>31.5</v>
      </c>
      <c r="J23" s="9">
        <f t="shared" si="5"/>
        <v>0</v>
      </c>
      <c r="K23" s="13">
        <f>SUM(K8:K22)</f>
        <v>58.55</v>
      </c>
      <c r="L23" s="16" t="e">
        <f>AVERAGE(L8:L21)</f>
        <v>#DIV/0!</v>
      </c>
      <c r="M23" s="9">
        <f>SUM(M8:M22)</f>
        <v>63408.55</v>
      </c>
      <c r="N23" s="9">
        <f t="shared" ref="N23:O23" si="6">SUM(N8:N22)</f>
        <v>5225</v>
      </c>
      <c r="O23" s="9">
        <f t="shared" si="6"/>
        <v>1260</v>
      </c>
      <c r="P23" s="13">
        <f>SUM(P8:P22)</f>
        <v>69893.55</v>
      </c>
      <c r="Q23" s="34"/>
      <c r="R23" s="35"/>
      <c r="S23" s="36"/>
    </row>
    <row r="25" spans="2:19">
      <c r="Q25" s="3">
        <f>AVERAGE(Q8:Q22)</f>
        <v>1315.3846153846155</v>
      </c>
      <c r="R25" s="3">
        <f t="shared" ref="R25:S25" si="7">AVERAGE(R8:R22)</f>
        <v>1150</v>
      </c>
      <c r="S25" s="3">
        <f t="shared" si="7"/>
        <v>966.66666666666663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8150-F20A-434B-B837-6DBF03D5C0A9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44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1960</v>
      </c>
      <c r="E8" s="9">
        <v>1293.71</v>
      </c>
      <c r="F8" s="8">
        <v>160</v>
      </c>
      <c r="G8" s="10">
        <v>1654</v>
      </c>
      <c r="H8" s="9">
        <v>632.1</v>
      </c>
      <c r="I8" s="9">
        <v>131</v>
      </c>
      <c r="J8" s="9">
        <v>0</v>
      </c>
      <c r="K8" s="9">
        <f>SUM(H8:J8)</f>
        <v>763.1</v>
      </c>
      <c r="L8" s="16">
        <f>K8/E8</f>
        <v>0.58985398582371629</v>
      </c>
      <c r="M8" s="9">
        <v>6307.3</v>
      </c>
      <c r="N8" s="9">
        <v>1045</v>
      </c>
      <c r="O8" s="9">
        <v>0</v>
      </c>
      <c r="P8" s="9">
        <f>SUM(M8:O8)</f>
        <v>7352.3</v>
      </c>
      <c r="Q8" s="15">
        <f>(1200+1300)/2</f>
        <v>1250</v>
      </c>
      <c r="R8" s="15">
        <f>(600+1250)/2</f>
        <v>925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959.7</v>
      </c>
      <c r="F9" s="8">
        <v>167</v>
      </c>
      <c r="G9" s="10">
        <v>1355</v>
      </c>
      <c r="H9" s="9">
        <v>1183.0999999999999</v>
      </c>
      <c r="I9" s="9">
        <v>6</v>
      </c>
      <c r="J9" s="9">
        <v>0</v>
      </c>
      <c r="K9" s="9">
        <f t="shared" ref="K9:K21" si="0">SUM(H9:J9)</f>
        <v>1189.0999999999999</v>
      </c>
      <c r="L9" s="16">
        <f t="shared" ref="L9:L22" si="1">K9/E9</f>
        <v>1.2390330311555693</v>
      </c>
      <c r="M9" s="9">
        <v>11223</v>
      </c>
      <c r="N9" s="9">
        <v>770</v>
      </c>
      <c r="O9" s="9">
        <v>0</v>
      </c>
      <c r="P9" s="9">
        <f t="shared" ref="P9:P21" si="2">SUM(M9:O9)</f>
        <v>11993</v>
      </c>
      <c r="Q9" s="15">
        <v>1500</v>
      </c>
      <c r="R9" s="15">
        <v>900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3218.24</v>
      </c>
      <c r="F10" s="8">
        <v>29</v>
      </c>
      <c r="G10" s="10">
        <v>2205</v>
      </c>
      <c r="H10" s="9">
        <v>3368</v>
      </c>
      <c r="I10" s="9">
        <v>0</v>
      </c>
      <c r="J10" s="9">
        <v>0</v>
      </c>
      <c r="K10" s="9">
        <f t="shared" si="0"/>
        <v>3368</v>
      </c>
      <c r="L10" s="16">
        <f t="shared" si="1"/>
        <v>1.0465347519140897</v>
      </c>
      <c r="M10" s="9">
        <v>34448</v>
      </c>
      <c r="N10" s="9">
        <v>2045</v>
      </c>
      <c r="O10" s="9">
        <v>730</v>
      </c>
      <c r="P10" s="9">
        <f t="shared" si="2"/>
        <v>37223</v>
      </c>
      <c r="Q10" s="15">
        <v>1200</v>
      </c>
      <c r="R10" s="15">
        <v>1100</v>
      </c>
      <c r="S10" s="15">
        <v>1000</v>
      </c>
    </row>
    <row r="11" spans="2:19">
      <c r="B11" s="17">
        <v>4</v>
      </c>
      <c r="C11" s="8" t="s">
        <v>17</v>
      </c>
      <c r="D11" s="9">
        <v>204.9</v>
      </c>
      <c r="E11" s="9">
        <v>204.9</v>
      </c>
      <c r="F11" s="8">
        <v>13</v>
      </c>
      <c r="G11" s="8">
        <v>138</v>
      </c>
      <c r="H11" s="9">
        <v>9</v>
      </c>
      <c r="I11" s="9">
        <v>0</v>
      </c>
      <c r="J11" s="9">
        <v>0</v>
      </c>
      <c r="K11" s="9">
        <f t="shared" si="0"/>
        <v>9</v>
      </c>
      <c r="L11" s="16">
        <f t="shared" si="1"/>
        <v>4.3923865300146414E-2</v>
      </c>
      <c r="M11" s="9">
        <v>9</v>
      </c>
      <c r="N11" s="9">
        <v>0</v>
      </c>
      <c r="O11" s="9">
        <v>0</v>
      </c>
      <c r="P11" s="9">
        <f t="shared" si="2"/>
        <v>9</v>
      </c>
      <c r="Q11" s="15"/>
      <c r="R11" s="15"/>
      <c r="S11" s="15"/>
    </row>
    <row r="12" spans="2:19">
      <c r="B12" s="17">
        <v>5</v>
      </c>
      <c r="C12" s="8" t="s">
        <v>18</v>
      </c>
      <c r="D12" s="9">
        <v>269.04000000000002</v>
      </c>
      <c r="E12" s="9">
        <v>269.04000000000002</v>
      </c>
      <c r="F12" s="8">
        <v>37</v>
      </c>
      <c r="G12" s="8">
        <v>344</v>
      </c>
      <c r="H12" s="9">
        <v>3.2</v>
      </c>
      <c r="I12" s="9">
        <v>0</v>
      </c>
      <c r="J12" s="9">
        <v>0</v>
      </c>
      <c r="K12" s="9">
        <f t="shared" si="0"/>
        <v>3.2</v>
      </c>
      <c r="L12" s="16">
        <f t="shared" si="1"/>
        <v>1.1894142134998512E-2</v>
      </c>
      <c r="M12" s="9">
        <v>1033</v>
      </c>
      <c r="N12" s="9">
        <v>0</v>
      </c>
      <c r="O12" s="9">
        <v>0</v>
      </c>
      <c r="P12" s="9">
        <f t="shared" si="2"/>
        <v>1033</v>
      </c>
      <c r="Q12" s="15">
        <v>1900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6.34</v>
      </c>
      <c r="I13" s="9">
        <v>4.9000000000000004</v>
      </c>
      <c r="J13" s="9">
        <v>0</v>
      </c>
      <c r="K13" s="9">
        <f t="shared" si="0"/>
        <v>11.24</v>
      </c>
      <c r="L13" s="16">
        <f t="shared" si="1"/>
        <v>5.1718584640868724E-2</v>
      </c>
      <c r="M13" s="9">
        <v>1840</v>
      </c>
      <c r="N13" s="9">
        <v>0</v>
      </c>
      <c r="O13" s="9">
        <v>0</v>
      </c>
      <c r="P13" s="9">
        <f t="shared" si="2"/>
        <v>1840</v>
      </c>
      <c r="Q13" s="15">
        <v>1350</v>
      </c>
      <c r="R13" s="15">
        <v>1250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76.5</v>
      </c>
      <c r="F14" s="8">
        <v>6</v>
      </c>
      <c r="G14" s="8">
        <v>46</v>
      </c>
      <c r="H14" s="9">
        <v>74</v>
      </c>
      <c r="I14" s="9">
        <v>0</v>
      </c>
      <c r="J14" s="9">
        <v>0</v>
      </c>
      <c r="K14" s="9">
        <f t="shared" si="0"/>
        <v>74</v>
      </c>
      <c r="L14" s="16">
        <f t="shared" si="1"/>
        <v>0.9673202614379085</v>
      </c>
      <c r="M14" s="9">
        <v>1410</v>
      </c>
      <c r="N14" s="9">
        <v>0</v>
      </c>
      <c r="O14" s="9">
        <v>0</v>
      </c>
      <c r="P14" s="9">
        <f t="shared" si="2"/>
        <v>1410</v>
      </c>
      <c r="Q14" s="15">
        <v>1500</v>
      </c>
      <c r="R14" s="15">
        <v>1400</v>
      </c>
      <c r="S14" s="15">
        <v>1300</v>
      </c>
    </row>
    <row r="15" spans="2:19">
      <c r="B15" s="17">
        <v>8</v>
      </c>
      <c r="C15" s="8" t="s">
        <v>21</v>
      </c>
      <c r="D15" s="9">
        <v>459.8</v>
      </c>
      <c r="E15" s="9">
        <v>349.57</v>
      </c>
      <c r="F15" s="8">
        <v>10</v>
      </c>
      <c r="G15" s="8">
        <v>102</v>
      </c>
      <c r="H15" s="9">
        <v>4</v>
      </c>
      <c r="I15" s="9">
        <v>0</v>
      </c>
      <c r="J15" s="9">
        <v>0</v>
      </c>
      <c r="K15" s="9">
        <f t="shared" si="0"/>
        <v>4</v>
      </c>
      <c r="L15" s="16">
        <f t="shared" si="1"/>
        <v>1.1442629516262837E-2</v>
      </c>
      <c r="M15" s="9">
        <v>325</v>
      </c>
      <c r="N15" s="9">
        <v>0</v>
      </c>
      <c r="O15" s="9">
        <v>0</v>
      </c>
      <c r="P15" s="9">
        <f t="shared" si="2"/>
        <v>325</v>
      </c>
      <c r="Q15" s="15">
        <v>1200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0</v>
      </c>
      <c r="N16" s="9">
        <v>0</v>
      </c>
      <c r="O16" s="9">
        <v>0</v>
      </c>
      <c r="P16" s="9">
        <f t="shared" si="2"/>
        <v>0</v>
      </c>
      <c r="Q16" s="15">
        <v>1100</v>
      </c>
      <c r="R16" s="15"/>
      <c r="S16" s="15"/>
    </row>
    <row r="17" spans="2:19">
      <c r="B17" s="17">
        <v>10</v>
      </c>
      <c r="C17" s="8" t="s">
        <v>27</v>
      </c>
      <c r="D17" s="9">
        <v>253.3</v>
      </c>
      <c r="E17" s="9">
        <v>145.63</v>
      </c>
      <c r="F17" s="8">
        <v>19</v>
      </c>
      <c r="G17" s="8">
        <v>228</v>
      </c>
      <c r="H17" s="9">
        <v>14.7</v>
      </c>
      <c r="I17" s="9">
        <v>0</v>
      </c>
      <c r="J17" s="9">
        <v>0</v>
      </c>
      <c r="K17" s="9">
        <f t="shared" si="0"/>
        <v>14.7</v>
      </c>
      <c r="L17" s="16">
        <f t="shared" si="1"/>
        <v>0.10094074023209504</v>
      </c>
      <c r="M17" s="9">
        <v>300</v>
      </c>
      <c r="N17" s="9">
        <v>0</v>
      </c>
      <c r="O17" s="9">
        <v>0</v>
      </c>
      <c r="P17" s="9">
        <f t="shared" si="2"/>
        <v>300</v>
      </c>
      <c r="Q17" s="15">
        <v>1325</v>
      </c>
      <c r="R17" s="15"/>
      <c r="S17" s="15"/>
    </row>
    <row r="18" spans="2:19">
      <c r="B18" s="17">
        <v>11</v>
      </c>
      <c r="C18" s="8" t="s">
        <v>28</v>
      </c>
      <c r="D18" s="9">
        <v>107.89</v>
      </c>
      <c r="E18" s="9">
        <v>107.89</v>
      </c>
      <c r="F18" s="8">
        <v>6</v>
      </c>
      <c r="G18" s="8">
        <v>43</v>
      </c>
      <c r="H18" s="9">
        <v>65.75</v>
      </c>
      <c r="I18" s="9">
        <v>0</v>
      </c>
      <c r="J18" s="9">
        <v>0</v>
      </c>
      <c r="K18" s="9">
        <f t="shared" si="0"/>
        <v>65.75</v>
      </c>
      <c r="L18" s="16">
        <f t="shared" si="1"/>
        <v>0.60941699879506905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>
        <v>1200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242.71</v>
      </c>
      <c r="F19" s="8">
        <v>44</v>
      </c>
      <c r="G19" s="8">
        <v>342</v>
      </c>
      <c r="H19" s="9">
        <v>463.7</v>
      </c>
      <c r="I19" s="9">
        <v>313.7</v>
      </c>
      <c r="J19" s="9">
        <v>0</v>
      </c>
      <c r="K19" s="9">
        <f t="shared" si="0"/>
        <v>777.4</v>
      </c>
      <c r="L19" s="16">
        <f t="shared" si="1"/>
        <v>3.2029994643813602</v>
      </c>
      <c r="M19" s="9">
        <v>0</v>
      </c>
      <c r="N19" s="9">
        <v>0</v>
      </c>
      <c r="O19" s="9">
        <v>0</v>
      </c>
      <c r="P19" s="9">
        <f t="shared" si="2"/>
        <v>0</v>
      </c>
      <c r="Q19" s="15">
        <v>1300</v>
      </c>
      <c r="R19" s="15">
        <v>1200</v>
      </c>
      <c r="S19" s="15">
        <v>1000</v>
      </c>
    </row>
    <row r="20" spans="2:19">
      <c r="B20" s="17">
        <v>13</v>
      </c>
      <c r="C20" s="8" t="s">
        <v>23</v>
      </c>
      <c r="D20" s="9">
        <v>1.5</v>
      </c>
      <c r="E20" s="9">
        <v>0.25</v>
      </c>
      <c r="F20" s="8">
        <v>2</v>
      </c>
      <c r="G20" s="8">
        <v>20</v>
      </c>
      <c r="H20" s="9">
        <v>4.0999999999999996</v>
      </c>
      <c r="I20" s="9">
        <v>0</v>
      </c>
      <c r="J20" s="9">
        <v>0</v>
      </c>
      <c r="K20" s="9">
        <f t="shared" si="0"/>
        <v>4.0999999999999996</v>
      </c>
      <c r="L20" s="16">
        <f t="shared" si="1"/>
        <v>16.399999999999999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1200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</v>
      </c>
      <c r="F21" s="8"/>
      <c r="G21" s="8">
        <v>1</v>
      </c>
      <c r="H21" s="9">
        <v>0</v>
      </c>
      <c r="I21" s="9">
        <v>0</v>
      </c>
      <c r="J21" s="9">
        <v>0</v>
      </c>
      <c r="K21" s="9">
        <f t="shared" si="0"/>
        <v>0</v>
      </c>
      <c r="L21" s="16" t="e">
        <f t="shared" si="1"/>
        <v>#DIV/0!</v>
      </c>
      <c r="M21" s="9">
        <v>0</v>
      </c>
      <c r="N21" s="9">
        <v>0</v>
      </c>
      <c r="O21" s="9">
        <v>0</v>
      </c>
      <c r="P21" s="9">
        <f t="shared" si="2"/>
        <v>0</v>
      </c>
      <c r="Q21" s="15"/>
      <c r="R21" s="15"/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>SUM(D8:D21)</f>
        <v>8280.81</v>
      </c>
      <c r="E23" s="9">
        <f>SUM(E8:E21)</f>
        <v>7085.4699999999993</v>
      </c>
      <c r="F23" s="10">
        <f t="shared" ref="F23" si="5">SUM(F8:F20)</f>
        <v>523</v>
      </c>
      <c r="G23" s="10">
        <f>SUM(G8:G21)</f>
        <v>6831</v>
      </c>
      <c r="H23" s="9">
        <f>SUM(H8:H21)</f>
        <v>5827.99</v>
      </c>
      <c r="I23" s="9">
        <f>SUM(I8:I21)</f>
        <v>455.6</v>
      </c>
      <c r="J23" s="9">
        <f>SUM(J8:J21)</f>
        <v>0</v>
      </c>
      <c r="K23" s="13">
        <f>SUM(K8:K22)</f>
        <v>6283.5899999999992</v>
      </c>
      <c r="L23" s="16" t="e">
        <f>AVERAGE(L8:L21)</f>
        <v>#DIV/0!</v>
      </c>
      <c r="M23" s="9">
        <f>SUM(M8:M22)</f>
        <v>57015.3</v>
      </c>
      <c r="N23" s="9">
        <f t="shared" ref="N23:O23" si="6">SUM(N8:N22)</f>
        <v>3860</v>
      </c>
      <c r="O23" s="9">
        <f t="shared" si="6"/>
        <v>730</v>
      </c>
      <c r="P23" s="13">
        <f>SUM(P8:P22)</f>
        <v>61605.3</v>
      </c>
      <c r="Q23" s="34"/>
      <c r="R23" s="35"/>
      <c r="S23" s="36"/>
    </row>
    <row r="25" spans="2:19">
      <c r="Q25" s="3">
        <f>AVERAGE(Q8:Q22)</f>
        <v>1335.4166666666667</v>
      </c>
      <c r="R25" s="3">
        <f t="shared" ref="R25:S25" si="7">AVERAGE(R8:R22)</f>
        <v>1129.1666666666667</v>
      </c>
      <c r="S25" s="3">
        <f t="shared" si="7"/>
        <v>1100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52F0-9DC2-49BF-A8B7-66E67DCF4913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8" width="9.08984375" style="2" bestFit="1" customWidth="1"/>
    <col min="9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45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1961.05</v>
      </c>
      <c r="E8" s="9">
        <v>1532.26</v>
      </c>
      <c r="F8" s="8">
        <v>161</v>
      </c>
      <c r="G8" s="10">
        <v>1664</v>
      </c>
      <c r="H8" s="9">
        <v>7749.29</v>
      </c>
      <c r="I8" s="9">
        <v>1652.64</v>
      </c>
      <c r="J8" s="9">
        <v>0</v>
      </c>
      <c r="K8" s="9">
        <f>SUM(H8:J8)</f>
        <v>9401.93</v>
      </c>
      <c r="L8" s="16">
        <f>K8/E8</f>
        <v>6.135988670330101</v>
      </c>
      <c r="M8" s="9">
        <v>6170.85</v>
      </c>
      <c r="N8" s="9">
        <v>1268</v>
      </c>
      <c r="O8" s="9">
        <v>0</v>
      </c>
      <c r="P8" s="9">
        <f>SUM(M8:O8)</f>
        <v>7438.85</v>
      </c>
      <c r="Q8" s="15">
        <f>(1100+1200)/2</f>
        <v>1150</v>
      </c>
      <c r="R8" s="15">
        <f>(800+1250)/2</f>
        <v>1025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959.7</v>
      </c>
      <c r="F9" s="8">
        <v>167</v>
      </c>
      <c r="G9" s="10">
        <v>1355</v>
      </c>
      <c r="H9" s="9">
        <v>6565</v>
      </c>
      <c r="I9" s="9">
        <v>30</v>
      </c>
      <c r="J9" s="9">
        <v>0</v>
      </c>
      <c r="K9" s="9">
        <f t="shared" ref="K9:K21" si="0">SUM(H9:J9)</f>
        <v>6595</v>
      </c>
      <c r="L9" s="16">
        <f t="shared" ref="L9:L22" si="1">K9/E9</f>
        <v>6.8719391476503073</v>
      </c>
      <c r="M9" s="9">
        <v>13657</v>
      </c>
      <c r="N9" s="9">
        <v>438</v>
      </c>
      <c r="O9" s="9">
        <v>0</v>
      </c>
      <c r="P9" s="9">
        <f t="shared" ref="P9:P21" si="2">SUM(M9:O9)</f>
        <v>14095</v>
      </c>
      <c r="Q9" s="15">
        <v>1200</v>
      </c>
      <c r="R9" s="15">
        <v>800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3218.24</v>
      </c>
      <c r="F10" s="8">
        <v>29</v>
      </c>
      <c r="G10" s="10">
        <v>2205</v>
      </c>
      <c r="H10" s="9">
        <v>4738</v>
      </c>
      <c r="I10" s="9">
        <v>1577</v>
      </c>
      <c r="J10" s="9">
        <v>177</v>
      </c>
      <c r="K10" s="9">
        <f t="shared" si="0"/>
        <v>6492</v>
      </c>
      <c r="L10" s="16">
        <f t="shared" si="1"/>
        <v>2.0172516655066124</v>
      </c>
      <c r="M10" s="9">
        <v>32703</v>
      </c>
      <c r="N10" s="9">
        <v>1947</v>
      </c>
      <c r="O10" s="9">
        <v>650</v>
      </c>
      <c r="P10" s="9">
        <f t="shared" si="2"/>
        <v>35300</v>
      </c>
      <c r="Q10" s="15">
        <v>1350</v>
      </c>
      <c r="R10" s="15">
        <v>1250</v>
      </c>
      <c r="S10" s="15">
        <v>1150</v>
      </c>
    </row>
    <row r="11" spans="2:19">
      <c r="B11" s="17">
        <v>4</v>
      </c>
      <c r="C11" s="8" t="s">
        <v>17</v>
      </c>
      <c r="D11" s="9">
        <v>204.9</v>
      </c>
      <c r="E11" s="9">
        <v>204.9</v>
      </c>
      <c r="F11" s="8">
        <v>13</v>
      </c>
      <c r="G11" s="8">
        <v>138</v>
      </c>
      <c r="H11" s="9">
        <v>335</v>
      </c>
      <c r="I11" s="9">
        <v>0</v>
      </c>
      <c r="J11" s="9">
        <v>0</v>
      </c>
      <c r="K11" s="9">
        <f t="shared" si="0"/>
        <v>335</v>
      </c>
      <c r="L11" s="16">
        <f t="shared" si="1"/>
        <v>1.6349438750610052</v>
      </c>
      <c r="M11" s="9">
        <v>250</v>
      </c>
      <c r="N11" s="9">
        <v>0</v>
      </c>
      <c r="O11" s="9">
        <v>0</v>
      </c>
      <c r="P11" s="9">
        <f t="shared" si="2"/>
        <v>250</v>
      </c>
      <c r="Q11" s="15">
        <v>1600</v>
      </c>
      <c r="R11" s="15"/>
      <c r="S11" s="15"/>
    </row>
    <row r="12" spans="2:19">
      <c r="B12" s="17">
        <v>5</v>
      </c>
      <c r="C12" s="8" t="s">
        <v>18</v>
      </c>
      <c r="D12" s="9">
        <v>269.04000000000002</v>
      </c>
      <c r="E12" s="9">
        <v>269.04000000000002</v>
      </c>
      <c r="F12" s="8">
        <v>37</v>
      </c>
      <c r="G12" s="8">
        <v>344</v>
      </c>
      <c r="H12" s="9">
        <v>19.2</v>
      </c>
      <c r="I12" s="9">
        <v>0</v>
      </c>
      <c r="J12" s="9">
        <v>0</v>
      </c>
      <c r="K12" s="9">
        <f t="shared" si="0"/>
        <v>19.2</v>
      </c>
      <c r="L12" s="16">
        <f t="shared" si="1"/>
        <v>7.1364852809991067E-2</v>
      </c>
      <c r="M12" s="9">
        <v>528.70000000000005</v>
      </c>
      <c r="N12" s="9">
        <v>0</v>
      </c>
      <c r="O12" s="9">
        <v>0</v>
      </c>
      <c r="P12" s="9">
        <f t="shared" si="2"/>
        <v>528.70000000000005</v>
      </c>
      <c r="Q12" s="15">
        <v>1550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34.549999999999997</v>
      </c>
      <c r="I13" s="9">
        <v>12.8</v>
      </c>
      <c r="J13" s="9">
        <v>0</v>
      </c>
      <c r="K13" s="9">
        <f t="shared" si="0"/>
        <v>47.349999999999994</v>
      </c>
      <c r="L13" s="16">
        <f t="shared" si="1"/>
        <v>0.21787143974600834</v>
      </c>
      <c r="M13" s="9">
        <v>1520</v>
      </c>
      <c r="N13" s="9">
        <v>0</v>
      </c>
      <c r="O13" s="9">
        <v>0</v>
      </c>
      <c r="P13" s="9">
        <f t="shared" si="2"/>
        <v>1520</v>
      </c>
      <c r="Q13" s="15">
        <v>1150</v>
      </c>
      <c r="R13" s="15">
        <v>1050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76.5</v>
      </c>
      <c r="F14" s="8">
        <v>6</v>
      </c>
      <c r="G14" s="8">
        <v>46</v>
      </c>
      <c r="H14" s="9">
        <v>565</v>
      </c>
      <c r="I14" s="9">
        <v>0</v>
      </c>
      <c r="J14" s="9">
        <v>0</v>
      </c>
      <c r="K14" s="9">
        <f t="shared" si="0"/>
        <v>565</v>
      </c>
      <c r="L14" s="16">
        <f t="shared" si="1"/>
        <v>7.3856209150326801</v>
      </c>
      <c r="M14" s="9">
        <v>1777</v>
      </c>
      <c r="N14" s="9">
        <v>0</v>
      </c>
      <c r="O14" s="9">
        <v>0</v>
      </c>
      <c r="P14" s="9">
        <f t="shared" si="2"/>
        <v>1777</v>
      </c>
      <c r="Q14" s="15">
        <v>1500</v>
      </c>
      <c r="R14" s="15">
        <v>1400</v>
      </c>
      <c r="S14" s="15">
        <v>1300</v>
      </c>
    </row>
    <row r="15" spans="2:19">
      <c r="B15" s="17">
        <v>8</v>
      </c>
      <c r="C15" s="8" t="s">
        <v>21</v>
      </c>
      <c r="D15" s="9">
        <v>459.8</v>
      </c>
      <c r="E15" s="9">
        <v>349.57</v>
      </c>
      <c r="F15" s="8">
        <v>10</v>
      </c>
      <c r="G15" s="8">
        <v>102</v>
      </c>
      <c r="H15" s="9">
        <v>4034.15</v>
      </c>
      <c r="I15" s="9">
        <v>0</v>
      </c>
      <c r="J15" s="9">
        <v>0</v>
      </c>
      <c r="K15" s="9">
        <f t="shared" si="0"/>
        <v>4034.15</v>
      </c>
      <c r="L15" s="16">
        <f t="shared" si="1"/>
        <v>11.540320965757932</v>
      </c>
      <c r="M15" s="9">
        <v>0</v>
      </c>
      <c r="N15" s="9">
        <v>0</v>
      </c>
      <c r="O15" s="9">
        <v>0</v>
      </c>
      <c r="P15" s="9">
        <f t="shared" si="2"/>
        <v>0</v>
      </c>
      <c r="Q15" s="15">
        <v>1500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203</v>
      </c>
      <c r="F16" s="8">
        <v>7</v>
      </c>
      <c r="G16" s="8">
        <v>60</v>
      </c>
      <c r="H16" s="9">
        <v>1890</v>
      </c>
      <c r="I16" s="9">
        <v>0</v>
      </c>
      <c r="J16" s="9">
        <v>0</v>
      </c>
      <c r="K16" s="9">
        <f t="shared" si="0"/>
        <v>1890</v>
      </c>
      <c r="L16" s="16">
        <f t="shared" si="1"/>
        <v>9.3103448275862064</v>
      </c>
      <c r="M16" s="9">
        <v>756</v>
      </c>
      <c r="N16" s="9">
        <v>0</v>
      </c>
      <c r="O16" s="9">
        <v>0</v>
      </c>
      <c r="P16" s="9">
        <f t="shared" si="2"/>
        <v>756</v>
      </c>
      <c r="Q16" s="15">
        <v>1800</v>
      </c>
      <c r="R16" s="15"/>
      <c r="S16" s="15"/>
    </row>
    <row r="17" spans="2:19">
      <c r="B17" s="17">
        <v>10</v>
      </c>
      <c r="C17" s="8" t="s">
        <v>27</v>
      </c>
      <c r="D17" s="9">
        <v>253.3</v>
      </c>
      <c r="E17" s="9">
        <v>247.8</v>
      </c>
      <c r="F17" s="8">
        <v>19</v>
      </c>
      <c r="G17" s="8">
        <v>228</v>
      </c>
      <c r="H17" s="9">
        <v>571.6</v>
      </c>
      <c r="I17" s="9">
        <v>0</v>
      </c>
      <c r="J17" s="9">
        <v>0</v>
      </c>
      <c r="K17" s="9">
        <f t="shared" si="0"/>
        <v>571.6</v>
      </c>
      <c r="L17" s="16">
        <f t="shared" si="1"/>
        <v>2.3066989507667475</v>
      </c>
      <c r="M17" s="9">
        <v>300</v>
      </c>
      <c r="N17" s="9">
        <v>0</v>
      </c>
      <c r="O17" s="9">
        <v>0</v>
      </c>
      <c r="P17" s="9">
        <f t="shared" si="2"/>
        <v>300</v>
      </c>
      <c r="Q17" s="15">
        <v>1650</v>
      </c>
      <c r="R17" s="15"/>
      <c r="S17" s="15"/>
    </row>
    <row r="18" spans="2:19">
      <c r="B18" s="17">
        <v>11</v>
      </c>
      <c r="C18" s="8" t="s">
        <v>28</v>
      </c>
      <c r="D18" s="9">
        <v>107.89</v>
      </c>
      <c r="E18" s="9">
        <v>107.89</v>
      </c>
      <c r="F18" s="8">
        <v>6</v>
      </c>
      <c r="G18" s="8">
        <v>43</v>
      </c>
      <c r="H18" s="9">
        <v>894.5</v>
      </c>
      <c r="I18" s="9">
        <v>0</v>
      </c>
      <c r="J18" s="9">
        <v>0</v>
      </c>
      <c r="K18" s="9">
        <f t="shared" si="0"/>
        <v>894.5</v>
      </c>
      <c r="L18" s="16">
        <f t="shared" si="1"/>
        <v>8.2908517934933723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>
        <v>1200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145.63</v>
      </c>
      <c r="F19" s="8">
        <v>44</v>
      </c>
      <c r="G19" s="8">
        <v>342</v>
      </c>
      <c r="H19" s="9">
        <v>963.7</v>
      </c>
      <c r="I19" s="9">
        <v>664.4</v>
      </c>
      <c r="J19" s="9">
        <v>0</v>
      </c>
      <c r="K19" s="9">
        <f t="shared" si="0"/>
        <v>1628.1</v>
      </c>
      <c r="L19" s="16">
        <f t="shared" si="1"/>
        <v>11.17970198448122</v>
      </c>
      <c r="M19" s="9">
        <v>0</v>
      </c>
      <c r="N19" s="9">
        <v>0</v>
      </c>
      <c r="O19" s="9">
        <v>0</v>
      </c>
      <c r="P19" s="9">
        <f t="shared" si="2"/>
        <v>0</v>
      </c>
      <c r="Q19" s="15">
        <v>1300</v>
      </c>
      <c r="R19" s="15">
        <v>1200</v>
      </c>
      <c r="S19" s="15">
        <v>1000</v>
      </c>
    </row>
    <row r="20" spans="2:19">
      <c r="B20" s="17">
        <v>13</v>
      </c>
      <c r="C20" s="8" t="s">
        <v>23</v>
      </c>
      <c r="D20" s="9">
        <v>1.5</v>
      </c>
      <c r="E20" s="9">
        <v>0.55000000000000004</v>
      </c>
      <c r="F20" s="8">
        <v>2</v>
      </c>
      <c r="G20" s="8">
        <v>20</v>
      </c>
      <c r="H20" s="9">
        <v>8.3000000000000007</v>
      </c>
      <c r="I20" s="9">
        <v>0</v>
      </c>
      <c r="J20" s="9">
        <v>0</v>
      </c>
      <c r="K20" s="9">
        <f t="shared" si="0"/>
        <v>8.3000000000000007</v>
      </c>
      <c r="L20" s="16">
        <f t="shared" si="1"/>
        <v>15.090909090909092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1200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0.5</v>
      </c>
      <c r="F21" s="8"/>
      <c r="G21" s="8">
        <v>1</v>
      </c>
      <c r="H21" s="9">
        <v>0.5</v>
      </c>
      <c r="I21" s="9">
        <v>0.4</v>
      </c>
      <c r="J21" s="9">
        <v>0.4</v>
      </c>
      <c r="K21" s="9">
        <f t="shared" si="0"/>
        <v>1.3</v>
      </c>
      <c r="L21" s="16">
        <f t="shared" si="1"/>
        <v>2.6</v>
      </c>
      <c r="M21" s="9">
        <v>0.1</v>
      </c>
      <c r="N21" s="9">
        <v>0.4</v>
      </c>
      <c r="O21" s="9">
        <v>0.4</v>
      </c>
      <c r="P21" s="9">
        <f t="shared" si="2"/>
        <v>0.9</v>
      </c>
      <c r="Q21" s="15">
        <v>2000</v>
      </c>
      <c r="R21" s="15">
        <v>1800</v>
      </c>
      <c r="S21" s="15">
        <v>1500</v>
      </c>
    </row>
    <row r="22" spans="2:19">
      <c r="B22" s="20">
        <v>15</v>
      </c>
      <c r="C22" s="18" t="s">
        <v>38</v>
      </c>
      <c r="D22" s="9">
        <v>4091.84</v>
      </c>
      <c r="E22" s="9">
        <v>4091.84</v>
      </c>
      <c r="F22" s="8"/>
      <c r="G22" s="8"/>
      <c r="H22" s="9">
        <v>9757.2199999999993</v>
      </c>
      <c r="I22" s="9">
        <v>4893.3900000000003</v>
      </c>
      <c r="J22" s="9">
        <v>375.1</v>
      </c>
      <c r="K22" s="9">
        <f t="shared" ref="K22" si="3">SUM(H22:J22)</f>
        <v>15025.710000000001</v>
      </c>
      <c r="L22" s="16">
        <f t="shared" si="1"/>
        <v>3.6721157229999219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 t="shared" ref="D23:K23" si="5">SUM(D8:D22)</f>
        <v>12373.699999999999</v>
      </c>
      <c r="E23" s="9">
        <f t="shared" si="5"/>
        <v>11624.75</v>
      </c>
      <c r="F23" s="10">
        <f t="shared" si="5"/>
        <v>524</v>
      </c>
      <c r="G23" s="10">
        <f t="shared" si="5"/>
        <v>6841</v>
      </c>
      <c r="H23" s="9">
        <f>SUM(H8:H22)</f>
        <v>38126.01</v>
      </c>
      <c r="I23" s="9">
        <f t="shared" si="5"/>
        <v>8830.630000000001</v>
      </c>
      <c r="J23" s="9">
        <f t="shared" si="5"/>
        <v>552.5</v>
      </c>
      <c r="K23" s="13">
        <f t="shared" si="5"/>
        <v>47509.14</v>
      </c>
      <c r="L23" s="16">
        <f>AVERAGE(L8:L21)</f>
        <v>6.0467005842236619</v>
      </c>
      <c r="M23" s="9">
        <f>SUM(M8:M22)</f>
        <v>57782.649999999994</v>
      </c>
      <c r="N23" s="9">
        <f t="shared" ref="N23:O23" si="6">SUM(N8:N22)</f>
        <v>3653.4</v>
      </c>
      <c r="O23" s="9">
        <f t="shared" si="6"/>
        <v>650.4</v>
      </c>
      <c r="P23" s="13">
        <f>SUM(P8:P22)</f>
        <v>62086.45</v>
      </c>
      <c r="Q23" s="34"/>
      <c r="R23" s="35"/>
      <c r="S23" s="36"/>
    </row>
    <row r="25" spans="2:19">
      <c r="Q25" s="3">
        <f>AVERAGE(Q8:Q22)</f>
        <v>1439.2857142857142</v>
      </c>
      <c r="R25" s="3">
        <f t="shared" ref="R25:S25" si="7">AVERAGE(R8:R22)</f>
        <v>1217.8571428571429</v>
      </c>
      <c r="S25" s="3">
        <f t="shared" si="7"/>
        <v>1237.5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9251-AF22-459F-B13D-58C4BCC2FD12}">
  <dimension ref="B2:S25"/>
  <sheetViews>
    <sheetView workbookViewId="0">
      <selection activeCell="Q25" sqref="Q25:S25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9" width="9.08984375" style="2" bestFit="1" customWidth="1"/>
    <col min="10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37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1961.05</v>
      </c>
      <c r="E8" s="9">
        <v>1473.85</v>
      </c>
      <c r="F8" s="8">
        <v>161</v>
      </c>
      <c r="G8" s="10">
        <v>1664</v>
      </c>
      <c r="H8" s="9">
        <v>16412.29</v>
      </c>
      <c r="I8" s="9">
        <v>2117.8000000000002</v>
      </c>
      <c r="J8" s="9">
        <v>0</v>
      </c>
      <c r="K8" s="9">
        <f>SUM(H8:J8)</f>
        <v>18530.09</v>
      </c>
      <c r="L8" s="16">
        <f>K8/E8</f>
        <v>12.572575228143977</v>
      </c>
      <c r="M8" s="9">
        <v>6657.15</v>
      </c>
      <c r="N8" s="9">
        <v>1545</v>
      </c>
      <c r="O8" s="9">
        <v>0</v>
      </c>
      <c r="P8" s="9">
        <f>SUM(M8:O8)</f>
        <v>8202.15</v>
      </c>
      <c r="Q8" s="15">
        <f>(1700+2200)/2</f>
        <v>1950</v>
      </c>
      <c r="R8" s="15">
        <f>(1100+1800)/2</f>
        <v>1450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959.7</v>
      </c>
      <c r="F9" s="8">
        <v>167</v>
      </c>
      <c r="G9" s="10">
        <v>1355</v>
      </c>
      <c r="H9" s="9">
        <v>11477.45</v>
      </c>
      <c r="I9" s="9">
        <v>43</v>
      </c>
      <c r="J9" s="9">
        <v>0</v>
      </c>
      <c r="K9" s="9">
        <f t="shared" ref="K9:K21" si="0">SUM(H9:J9)</f>
        <v>11520.45</v>
      </c>
      <c r="L9" s="16">
        <f t="shared" ref="L9:L22" si="1">K9/E9</f>
        <v>12.004220068771492</v>
      </c>
      <c r="M9" s="9">
        <v>17506</v>
      </c>
      <c r="N9" s="9">
        <v>438</v>
      </c>
      <c r="O9" s="9">
        <v>0</v>
      </c>
      <c r="P9" s="9">
        <f t="shared" ref="P9:P21" si="2">SUM(M9:O9)</f>
        <v>17944</v>
      </c>
      <c r="Q9" s="15">
        <v>1700</v>
      </c>
      <c r="R9" s="15">
        <v>1200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3218.24</v>
      </c>
      <c r="F10" s="8">
        <v>29</v>
      </c>
      <c r="G10" s="10">
        <v>2205</v>
      </c>
      <c r="H10" s="9">
        <v>9685.2000000000007</v>
      </c>
      <c r="I10" s="9">
        <v>2444</v>
      </c>
      <c r="J10" s="9">
        <v>172</v>
      </c>
      <c r="K10" s="9">
        <f t="shared" si="0"/>
        <v>12301.2</v>
      </c>
      <c r="L10" s="16">
        <f t="shared" si="1"/>
        <v>3.8223376752510694</v>
      </c>
      <c r="M10" s="9">
        <v>39012.6</v>
      </c>
      <c r="N10" s="9">
        <v>2787</v>
      </c>
      <c r="O10" s="9">
        <v>650</v>
      </c>
      <c r="P10" s="9">
        <f t="shared" si="2"/>
        <v>42449.599999999999</v>
      </c>
      <c r="Q10" s="15">
        <v>2000</v>
      </c>
      <c r="R10" s="15">
        <v>1900</v>
      </c>
      <c r="S10" s="15">
        <v>1800</v>
      </c>
    </row>
    <row r="11" spans="2:19">
      <c r="B11" s="17">
        <v>4</v>
      </c>
      <c r="C11" s="8" t="s">
        <v>17</v>
      </c>
      <c r="D11" s="9">
        <v>204.9</v>
      </c>
      <c r="E11" s="9">
        <v>204.9</v>
      </c>
      <c r="F11" s="8">
        <v>13</v>
      </c>
      <c r="G11" s="8">
        <v>138</v>
      </c>
      <c r="H11" s="9">
        <v>289</v>
      </c>
      <c r="I11" s="9">
        <v>0</v>
      </c>
      <c r="J11" s="9">
        <v>0</v>
      </c>
      <c r="K11" s="9">
        <f t="shared" si="0"/>
        <v>289</v>
      </c>
      <c r="L11" s="16">
        <f t="shared" si="1"/>
        <v>1.4104441190824792</v>
      </c>
      <c r="M11" s="9">
        <v>257</v>
      </c>
      <c r="N11" s="9">
        <v>0</v>
      </c>
      <c r="O11" s="9">
        <v>0</v>
      </c>
      <c r="P11" s="9">
        <f t="shared" si="2"/>
        <v>257</v>
      </c>
      <c r="Q11" s="15">
        <v>2000</v>
      </c>
      <c r="R11" s="15"/>
      <c r="S11" s="15"/>
    </row>
    <row r="12" spans="2:19">
      <c r="B12" s="17">
        <v>5</v>
      </c>
      <c r="C12" s="8" t="s">
        <v>18</v>
      </c>
      <c r="D12" s="9">
        <v>269.04000000000002</v>
      </c>
      <c r="E12" s="9">
        <v>269.04000000000002</v>
      </c>
      <c r="F12" s="8">
        <v>37</v>
      </c>
      <c r="G12" s="8">
        <v>344</v>
      </c>
      <c r="H12" s="9">
        <v>1317</v>
      </c>
      <c r="I12" s="9">
        <v>0</v>
      </c>
      <c r="J12" s="9">
        <v>0</v>
      </c>
      <c r="K12" s="9">
        <f t="shared" si="0"/>
        <v>1317</v>
      </c>
      <c r="L12" s="16">
        <f t="shared" si="1"/>
        <v>4.895182872435325</v>
      </c>
      <c r="M12" s="9">
        <v>1824</v>
      </c>
      <c r="N12" s="9">
        <v>0</v>
      </c>
      <c r="O12" s="9">
        <v>0</v>
      </c>
      <c r="P12" s="9">
        <f t="shared" si="2"/>
        <v>1824</v>
      </c>
      <c r="Q12" s="15">
        <v>1550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1075</v>
      </c>
      <c r="I13" s="9">
        <v>860</v>
      </c>
      <c r="J13" s="9">
        <v>0</v>
      </c>
      <c r="K13" s="9">
        <f t="shared" si="0"/>
        <v>1935</v>
      </c>
      <c r="L13" s="16">
        <f t="shared" si="1"/>
        <v>8.903510790042791</v>
      </c>
      <c r="M13" s="9">
        <v>1350</v>
      </c>
      <c r="N13" s="9">
        <v>120</v>
      </c>
      <c r="O13" s="9">
        <v>0</v>
      </c>
      <c r="P13" s="9">
        <f t="shared" si="2"/>
        <v>1470</v>
      </c>
      <c r="Q13" s="15">
        <v>1500</v>
      </c>
      <c r="R13" s="15">
        <v>1400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76.5</v>
      </c>
      <c r="F14" s="8">
        <v>6</v>
      </c>
      <c r="G14" s="8">
        <v>46</v>
      </c>
      <c r="H14" s="9">
        <v>672.5</v>
      </c>
      <c r="I14" s="9">
        <v>0</v>
      </c>
      <c r="J14" s="9">
        <v>0</v>
      </c>
      <c r="K14" s="9">
        <f t="shared" si="0"/>
        <v>672.5</v>
      </c>
      <c r="L14" s="16">
        <f t="shared" si="1"/>
        <v>8.7908496732026151</v>
      </c>
      <c r="M14" s="9">
        <v>1324.5</v>
      </c>
      <c r="N14" s="9">
        <v>0</v>
      </c>
      <c r="O14" s="9">
        <v>0</v>
      </c>
      <c r="P14" s="9">
        <f t="shared" si="2"/>
        <v>1324.5</v>
      </c>
      <c r="Q14" s="15">
        <v>1800</v>
      </c>
      <c r="R14" s="15">
        <v>1700</v>
      </c>
      <c r="S14" s="15">
        <v>1600</v>
      </c>
    </row>
    <row r="15" spans="2:19">
      <c r="B15" s="17">
        <v>8</v>
      </c>
      <c r="C15" s="8" t="s">
        <v>21</v>
      </c>
      <c r="D15" s="9">
        <v>459.8</v>
      </c>
      <c r="E15" s="9">
        <v>349.57</v>
      </c>
      <c r="F15" s="8">
        <v>10</v>
      </c>
      <c r="G15" s="8">
        <v>102</v>
      </c>
      <c r="H15" s="9">
        <v>9856.9500000000007</v>
      </c>
      <c r="I15" s="9">
        <v>0</v>
      </c>
      <c r="J15" s="9">
        <v>0</v>
      </c>
      <c r="K15" s="9">
        <f t="shared" si="0"/>
        <v>9856.9500000000007</v>
      </c>
      <c r="L15" s="16">
        <f t="shared" si="1"/>
        <v>28.197356752581747</v>
      </c>
      <c r="M15" s="9">
        <v>0</v>
      </c>
      <c r="N15" s="9">
        <v>0</v>
      </c>
      <c r="O15" s="9">
        <v>0</v>
      </c>
      <c r="P15" s="9">
        <f t="shared" si="2"/>
        <v>0</v>
      </c>
      <c r="Q15" s="15">
        <v>1600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203</v>
      </c>
      <c r="F16" s="8">
        <v>7</v>
      </c>
      <c r="G16" s="8">
        <v>60</v>
      </c>
      <c r="H16" s="9">
        <v>5469</v>
      </c>
      <c r="I16" s="9">
        <v>0</v>
      </c>
      <c r="J16" s="9">
        <v>0</v>
      </c>
      <c r="K16" s="9">
        <f t="shared" si="0"/>
        <v>5469</v>
      </c>
      <c r="L16" s="16">
        <f t="shared" si="1"/>
        <v>26.940886699507388</v>
      </c>
      <c r="M16" s="9">
        <v>2461</v>
      </c>
      <c r="N16" s="9">
        <v>0</v>
      </c>
      <c r="O16" s="9">
        <v>0</v>
      </c>
      <c r="P16" s="9">
        <f t="shared" si="2"/>
        <v>2461</v>
      </c>
      <c r="Q16" s="15">
        <v>2000</v>
      </c>
      <c r="R16" s="15"/>
      <c r="S16" s="15"/>
    </row>
    <row r="17" spans="2:19">
      <c r="B17" s="17">
        <v>10</v>
      </c>
      <c r="C17" s="8" t="s">
        <v>27</v>
      </c>
      <c r="D17" s="9">
        <v>253.3</v>
      </c>
      <c r="E17" s="9">
        <v>247.8</v>
      </c>
      <c r="F17" s="8">
        <v>19</v>
      </c>
      <c r="G17" s="8">
        <v>228</v>
      </c>
      <c r="H17" s="9">
        <v>1766</v>
      </c>
      <c r="I17" s="9">
        <v>0</v>
      </c>
      <c r="J17" s="9">
        <v>0</v>
      </c>
      <c r="K17" s="9">
        <f t="shared" si="0"/>
        <v>1766</v>
      </c>
      <c r="L17" s="16">
        <f t="shared" si="1"/>
        <v>7.1267150928167871</v>
      </c>
      <c r="M17" s="9">
        <v>300</v>
      </c>
      <c r="N17" s="9">
        <v>0</v>
      </c>
      <c r="O17" s="9">
        <v>0</v>
      </c>
      <c r="P17" s="9">
        <f t="shared" si="2"/>
        <v>300</v>
      </c>
      <c r="Q17" s="15">
        <v>1487.5</v>
      </c>
      <c r="R17" s="15"/>
      <c r="S17" s="15"/>
    </row>
    <row r="18" spans="2:19">
      <c r="B18" s="17">
        <v>11</v>
      </c>
      <c r="C18" s="8" t="s">
        <v>28</v>
      </c>
      <c r="D18" s="9">
        <v>109.39</v>
      </c>
      <c r="E18" s="9">
        <v>109.39</v>
      </c>
      <c r="F18" s="8">
        <v>6</v>
      </c>
      <c r="G18" s="8">
        <v>43</v>
      </c>
      <c r="H18" s="9">
        <v>1123.5</v>
      </c>
      <c r="I18" s="9">
        <v>0</v>
      </c>
      <c r="J18" s="9">
        <v>0</v>
      </c>
      <c r="K18" s="9">
        <f t="shared" si="0"/>
        <v>1123.5</v>
      </c>
      <c r="L18" s="16">
        <f t="shared" si="1"/>
        <v>10.27059146174239</v>
      </c>
      <c r="M18" s="9">
        <v>120</v>
      </c>
      <c r="N18" s="9">
        <v>0</v>
      </c>
      <c r="O18" s="9">
        <v>0</v>
      </c>
      <c r="P18" s="9">
        <f t="shared" si="2"/>
        <v>120</v>
      </c>
      <c r="Q18" s="15">
        <v>1200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242.71</v>
      </c>
      <c r="F19" s="8">
        <v>44</v>
      </c>
      <c r="G19" s="8">
        <v>342</v>
      </c>
      <c r="H19" s="9">
        <v>834.1</v>
      </c>
      <c r="I19" s="9">
        <v>564.79999999999995</v>
      </c>
      <c r="J19" s="9">
        <v>0</v>
      </c>
      <c r="K19" s="9">
        <f t="shared" si="0"/>
        <v>1398.9</v>
      </c>
      <c r="L19" s="16">
        <f t="shared" si="1"/>
        <v>5.7636685756664336</v>
      </c>
      <c r="M19" s="9">
        <v>0</v>
      </c>
      <c r="N19" s="9">
        <v>0</v>
      </c>
      <c r="O19" s="9">
        <v>0</v>
      </c>
      <c r="P19" s="9">
        <f t="shared" si="2"/>
        <v>0</v>
      </c>
      <c r="Q19" s="15">
        <v>1400</v>
      </c>
      <c r="R19" s="15">
        <v>1300</v>
      </c>
      <c r="S19" s="15">
        <v>1100</v>
      </c>
    </row>
    <row r="20" spans="2:19">
      <c r="B20" s="17">
        <v>13</v>
      </c>
      <c r="C20" s="8" t="s">
        <v>23</v>
      </c>
      <c r="D20" s="9">
        <v>1.5</v>
      </c>
      <c r="E20" s="9">
        <v>1</v>
      </c>
      <c r="F20" s="8">
        <v>2</v>
      </c>
      <c r="G20" s="8">
        <v>20</v>
      </c>
      <c r="H20" s="9">
        <v>27.8</v>
      </c>
      <c r="I20" s="9">
        <v>0</v>
      </c>
      <c r="J20" s="9">
        <v>0</v>
      </c>
      <c r="K20" s="9">
        <f t="shared" si="0"/>
        <v>27.8</v>
      </c>
      <c r="L20" s="16">
        <f t="shared" si="1"/>
        <v>27.8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2000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</v>
      </c>
      <c r="F21" s="8">
        <v>0</v>
      </c>
      <c r="G21" s="8">
        <v>1</v>
      </c>
      <c r="H21" s="9">
        <v>0</v>
      </c>
      <c r="I21" s="9">
        <v>0</v>
      </c>
      <c r="J21" s="9">
        <v>0</v>
      </c>
      <c r="K21" s="9">
        <f t="shared" si="0"/>
        <v>0</v>
      </c>
      <c r="L21" s="16" t="e">
        <f t="shared" si="1"/>
        <v>#DIV/0!</v>
      </c>
      <c r="M21" s="9">
        <v>0</v>
      </c>
      <c r="N21" s="9">
        <v>0</v>
      </c>
      <c r="O21" s="9">
        <v>0.4</v>
      </c>
      <c r="P21" s="9">
        <f t="shared" si="2"/>
        <v>0.4</v>
      </c>
      <c r="Q21" s="15"/>
      <c r="R21" s="15"/>
      <c r="S21" s="15">
        <v>1500</v>
      </c>
    </row>
    <row r="22" spans="2:19">
      <c r="B22" s="20">
        <v>15</v>
      </c>
      <c r="C22" s="18" t="s">
        <v>38</v>
      </c>
      <c r="D22" s="9">
        <v>4091.84</v>
      </c>
      <c r="E22" s="9">
        <v>4091.84</v>
      </c>
      <c r="F22" s="8"/>
      <c r="G22" s="8"/>
      <c r="H22" s="9">
        <v>11630.05</v>
      </c>
      <c r="I22" s="9">
        <v>5980.28</v>
      </c>
      <c r="J22" s="9">
        <v>1572.03</v>
      </c>
      <c r="K22" s="9">
        <f t="shared" ref="K22" si="3">SUM(H22:J22)</f>
        <v>19182.359999999997</v>
      </c>
      <c r="L22" s="16">
        <f t="shared" si="1"/>
        <v>4.6879545632282777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 t="shared" ref="D23:K23" si="5">SUM(D8:D22)</f>
        <v>12375.199999999999</v>
      </c>
      <c r="E23" s="9">
        <f t="shared" si="5"/>
        <v>11664.869999999999</v>
      </c>
      <c r="F23" s="10">
        <f t="shared" si="5"/>
        <v>524</v>
      </c>
      <c r="G23" s="10">
        <f t="shared" si="5"/>
        <v>6841</v>
      </c>
      <c r="H23" s="9">
        <f t="shared" si="5"/>
        <v>71635.839999999997</v>
      </c>
      <c r="I23" s="9">
        <f t="shared" si="5"/>
        <v>12009.880000000001</v>
      </c>
      <c r="J23" s="9">
        <f t="shared" si="5"/>
        <v>1744.03</v>
      </c>
      <c r="K23" s="13">
        <f t="shared" si="5"/>
        <v>85389.75</v>
      </c>
      <c r="L23" s="16" t="e">
        <f>AVERAGE(L8:L22)</f>
        <v>#DIV/0!</v>
      </c>
      <c r="M23" s="9">
        <f>SUM(M8:M22)</f>
        <v>70812.25</v>
      </c>
      <c r="N23" s="9">
        <f t="shared" ref="N23:O23" si="6">SUM(N8:N22)</f>
        <v>4890</v>
      </c>
      <c r="O23" s="9">
        <f t="shared" si="6"/>
        <v>650.4</v>
      </c>
      <c r="P23" s="13">
        <f>SUM(P8:P22)</f>
        <v>76352.649999999994</v>
      </c>
      <c r="Q23" s="34"/>
      <c r="R23" s="35"/>
      <c r="S23" s="36"/>
    </row>
    <row r="25" spans="2:19">
      <c r="Q25" s="3">
        <f>AVERAGE(Q8:Q22)</f>
        <v>1706.7307692307693</v>
      </c>
      <c r="R25" s="3">
        <f t="shared" ref="R25:S25" si="7">AVERAGE(R8:R22)</f>
        <v>1491.6666666666667</v>
      </c>
      <c r="S25" s="3">
        <f t="shared" si="7"/>
        <v>1500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7D6F-7C9A-44EB-8E4C-98DF451F85C7}">
  <dimension ref="B2:S25"/>
  <sheetViews>
    <sheetView workbookViewId="0">
      <selection activeCell="J24" sqref="J24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8" width="10.08984375" style="2" bestFit="1" customWidth="1"/>
    <col min="9" max="9" width="9.08984375" style="2" bestFit="1" customWidth="1"/>
    <col min="10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36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1961.05</v>
      </c>
      <c r="E8" s="9">
        <v>1473.85</v>
      </c>
      <c r="F8" s="8">
        <v>161</v>
      </c>
      <c r="G8" s="10">
        <v>1664</v>
      </c>
      <c r="H8" s="9">
        <v>6432.29</v>
      </c>
      <c r="I8" s="9">
        <v>1524.28</v>
      </c>
      <c r="J8" s="9">
        <v>0</v>
      </c>
      <c r="K8" s="9">
        <f>SUM(H8:J8)</f>
        <v>7956.57</v>
      </c>
      <c r="L8" s="16">
        <f>K8/E8</f>
        <v>5.3984937408827225</v>
      </c>
      <c r="M8" s="9">
        <v>9245.35</v>
      </c>
      <c r="N8" s="9">
        <v>2496.84</v>
      </c>
      <c r="O8" s="9">
        <v>0</v>
      </c>
      <c r="P8" s="9">
        <f>SUM(M8:O8)</f>
        <v>11742.19</v>
      </c>
      <c r="Q8" s="15">
        <f>(1900+2200)/2</f>
        <v>2050</v>
      </c>
      <c r="R8" s="15">
        <f>(1200+2000)/2</f>
        <v>1600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959.7</v>
      </c>
      <c r="F9" s="8">
        <v>167</v>
      </c>
      <c r="G9" s="10">
        <v>1355</v>
      </c>
      <c r="H9" s="9">
        <v>17221.599999999999</v>
      </c>
      <c r="I9" s="9">
        <v>50</v>
      </c>
      <c r="J9" s="9">
        <v>0</v>
      </c>
      <c r="K9" s="9">
        <f t="shared" ref="K9:K21" si="0">SUM(H9:J9)</f>
        <v>17271.599999999999</v>
      </c>
      <c r="L9" s="16">
        <f t="shared" ref="L9:L22" si="1">K9/E9</f>
        <v>17.996874023132225</v>
      </c>
      <c r="M9" s="9">
        <v>23090</v>
      </c>
      <c r="N9" s="9">
        <v>250</v>
      </c>
      <c r="O9" s="9">
        <v>0</v>
      </c>
      <c r="P9" s="9">
        <f t="shared" ref="P9:P21" si="2">SUM(M9:O9)</f>
        <v>23340</v>
      </c>
      <c r="Q9" s="15">
        <v>1800</v>
      </c>
      <c r="R9" s="15">
        <v>1500</v>
      </c>
      <c r="S9" s="15"/>
    </row>
    <row r="10" spans="2:19">
      <c r="B10" s="17">
        <v>3</v>
      </c>
      <c r="C10" s="8" t="s">
        <v>16</v>
      </c>
      <c r="D10" s="9">
        <v>3218.24</v>
      </c>
      <c r="E10" s="9">
        <v>3218.24</v>
      </c>
      <c r="F10" s="8">
        <v>29</v>
      </c>
      <c r="G10" s="10">
        <v>2205</v>
      </c>
      <c r="H10" s="9">
        <v>2034.4</v>
      </c>
      <c r="I10" s="9">
        <v>744.2</v>
      </c>
      <c r="J10" s="9">
        <v>62</v>
      </c>
      <c r="K10" s="9">
        <f t="shared" si="0"/>
        <v>2840.6000000000004</v>
      </c>
      <c r="L10" s="16">
        <f t="shared" si="1"/>
        <v>0.88265635875509607</v>
      </c>
      <c r="M10" s="9">
        <v>38611</v>
      </c>
      <c r="N10" s="9">
        <v>2991</v>
      </c>
      <c r="O10" s="9">
        <v>530</v>
      </c>
      <c r="P10" s="9">
        <f t="shared" si="2"/>
        <v>42132</v>
      </c>
      <c r="Q10" s="15">
        <v>2100</v>
      </c>
      <c r="R10" s="15">
        <v>2000</v>
      </c>
      <c r="S10" s="15">
        <v>1900</v>
      </c>
    </row>
    <row r="11" spans="2:19">
      <c r="B11" s="17">
        <v>4</v>
      </c>
      <c r="C11" s="8" t="s">
        <v>17</v>
      </c>
      <c r="D11" s="9">
        <v>204.9</v>
      </c>
      <c r="E11" s="9">
        <v>204.9</v>
      </c>
      <c r="F11" s="8">
        <v>13</v>
      </c>
      <c r="G11" s="8">
        <v>138</v>
      </c>
      <c r="H11" s="9">
        <v>415</v>
      </c>
      <c r="I11" s="9">
        <v>0</v>
      </c>
      <c r="J11" s="9">
        <v>0</v>
      </c>
      <c r="K11" s="9">
        <f t="shared" si="0"/>
        <v>415</v>
      </c>
      <c r="L11" s="16">
        <f t="shared" si="1"/>
        <v>2.0253782332845289</v>
      </c>
      <c r="M11" s="9">
        <v>810</v>
      </c>
      <c r="N11" s="9">
        <v>0</v>
      </c>
      <c r="O11" s="9">
        <v>0</v>
      </c>
      <c r="P11" s="9">
        <f t="shared" si="2"/>
        <v>810</v>
      </c>
      <c r="Q11" s="15">
        <v>2000</v>
      </c>
      <c r="R11" s="15"/>
      <c r="S11" s="15"/>
    </row>
    <row r="12" spans="2:19">
      <c r="B12" s="17">
        <v>5</v>
      </c>
      <c r="C12" s="8" t="s">
        <v>18</v>
      </c>
      <c r="D12" s="9">
        <v>269.04000000000002</v>
      </c>
      <c r="E12" s="9">
        <v>269.04000000000002</v>
      </c>
      <c r="F12" s="8">
        <v>37</v>
      </c>
      <c r="G12" s="8">
        <v>344</v>
      </c>
      <c r="H12" s="1">
        <v>3436.8</v>
      </c>
      <c r="I12" s="9">
        <v>0</v>
      </c>
      <c r="J12" s="9">
        <v>0</v>
      </c>
      <c r="K12" s="9">
        <f t="shared" si="0"/>
        <v>3436.8</v>
      </c>
      <c r="L12" s="16">
        <f t="shared" si="1"/>
        <v>12.774308652988402</v>
      </c>
      <c r="M12" s="9">
        <v>5170.7</v>
      </c>
      <c r="N12" s="9">
        <v>0</v>
      </c>
      <c r="O12" s="9">
        <v>0</v>
      </c>
      <c r="P12" s="9">
        <f t="shared" si="2"/>
        <v>5170.7</v>
      </c>
      <c r="Q12" s="15">
        <v>1550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464.95</v>
      </c>
      <c r="I13" s="9">
        <v>315.55</v>
      </c>
      <c r="J13" s="9">
        <v>0</v>
      </c>
      <c r="K13" s="9">
        <f t="shared" si="0"/>
        <v>780.5</v>
      </c>
      <c r="L13" s="16">
        <f t="shared" si="1"/>
        <v>3.5913127501955548</v>
      </c>
      <c r="M13" s="9">
        <v>1524</v>
      </c>
      <c r="N13" s="9">
        <v>273</v>
      </c>
      <c r="O13" s="9">
        <v>0</v>
      </c>
      <c r="P13" s="9">
        <f t="shared" si="2"/>
        <v>1797</v>
      </c>
      <c r="Q13" s="15">
        <v>1700</v>
      </c>
      <c r="R13" s="15">
        <v>1600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76.5</v>
      </c>
      <c r="F14" s="8">
        <v>6</v>
      </c>
      <c r="G14" s="8">
        <v>46</v>
      </c>
      <c r="H14" s="9">
        <v>301</v>
      </c>
      <c r="I14" s="9">
        <v>0</v>
      </c>
      <c r="J14" s="9">
        <v>0</v>
      </c>
      <c r="K14" s="9">
        <f t="shared" si="0"/>
        <v>301</v>
      </c>
      <c r="L14" s="16">
        <f t="shared" si="1"/>
        <v>3.9346405228758168</v>
      </c>
      <c r="M14" s="9">
        <v>1441</v>
      </c>
      <c r="N14" s="9">
        <v>0</v>
      </c>
      <c r="O14" s="9">
        <v>0</v>
      </c>
      <c r="P14" s="9">
        <f t="shared" si="2"/>
        <v>1441</v>
      </c>
      <c r="Q14" s="15">
        <v>2400</v>
      </c>
      <c r="R14" s="15">
        <v>2300</v>
      </c>
      <c r="S14" s="15">
        <v>2200</v>
      </c>
    </row>
    <row r="15" spans="2:19">
      <c r="B15" s="17">
        <v>8</v>
      </c>
      <c r="C15" s="8" t="s">
        <v>21</v>
      </c>
      <c r="D15" s="9">
        <v>459.8</v>
      </c>
      <c r="E15" s="9">
        <v>349.57</v>
      </c>
      <c r="F15" s="8">
        <v>10</v>
      </c>
      <c r="G15" s="8">
        <v>102</v>
      </c>
      <c r="H15" s="1">
        <v>6702.84</v>
      </c>
      <c r="I15" s="9">
        <v>0</v>
      </c>
      <c r="J15" s="9">
        <v>0</v>
      </c>
      <c r="K15" s="9">
        <f t="shared" si="0"/>
        <v>6702.84</v>
      </c>
      <c r="L15" s="16">
        <f t="shared" si="1"/>
        <v>19.174528706696801</v>
      </c>
      <c r="M15" s="9">
        <v>0</v>
      </c>
      <c r="N15" s="9">
        <v>0</v>
      </c>
      <c r="O15" s="9">
        <v>0</v>
      </c>
      <c r="P15" s="9">
        <f t="shared" si="2"/>
        <v>0</v>
      </c>
      <c r="Q15" s="15">
        <v>1900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203</v>
      </c>
      <c r="F16" s="8">
        <v>7</v>
      </c>
      <c r="G16" s="8"/>
      <c r="H16" s="9">
        <v>2735</v>
      </c>
      <c r="I16" s="9">
        <v>0</v>
      </c>
      <c r="J16" s="9">
        <v>0</v>
      </c>
      <c r="K16" s="9">
        <f t="shared" si="0"/>
        <v>2735</v>
      </c>
      <c r="L16" s="16">
        <f t="shared" si="1"/>
        <v>13.472906403940886</v>
      </c>
      <c r="M16" s="9">
        <v>1231</v>
      </c>
      <c r="N16" s="9">
        <v>0</v>
      </c>
      <c r="O16" s="9">
        <v>0</v>
      </c>
      <c r="P16" s="9">
        <f t="shared" si="2"/>
        <v>1231</v>
      </c>
      <c r="Q16" s="15">
        <v>2000</v>
      </c>
      <c r="R16" s="15"/>
      <c r="S16" s="15"/>
    </row>
    <row r="17" spans="2:19">
      <c r="B17" s="17">
        <v>10</v>
      </c>
      <c r="C17" s="8" t="s">
        <v>27</v>
      </c>
      <c r="D17" s="9">
        <v>253.3</v>
      </c>
      <c r="E17" s="9">
        <v>247.8</v>
      </c>
      <c r="F17" s="8">
        <v>19</v>
      </c>
      <c r="G17" s="8">
        <v>228</v>
      </c>
      <c r="H17" s="9">
        <v>1866.37</v>
      </c>
      <c r="I17" s="9">
        <v>0</v>
      </c>
      <c r="J17" s="9">
        <v>0</v>
      </c>
      <c r="K17" s="9">
        <f t="shared" si="0"/>
        <v>1866.37</v>
      </c>
      <c r="L17" s="16">
        <f t="shared" si="1"/>
        <v>7.5317594834543975</v>
      </c>
      <c r="M17" s="9">
        <v>431</v>
      </c>
      <c r="N17" s="9">
        <v>0</v>
      </c>
      <c r="O17" s="9">
        <v>0</v>
      </c>
      <c r="P17" s="9">
        <f t="shared" si="2"/>
        <v>431</v>
      </c>
      <c r="Q17" s="15">
        <v>1612.5</v>
      </c>
      <c r="R17" s="15"/>
      <c r="S17" s="15"/>
    </row>
    <row r="18" spans="2:19">
      <c r="B18" s="17">
        <v>11</v>
      </c>
      <c r="C18" s="8" t="s">
        <v>28</v>
      </c>
      <c r="D18" s="9">
        <v>109.39</v>
      </c>
      <c r="E18" s="9">
        <v>109.39</v>
      </c>
      <c r="F18" s="8">
        <v>6</v>
      </c>
      <c r="G18" s="8">
        <v>43</v>
      </c>
      <c r="H18" s="9">
        <v>2621.25</v>
      </c>
      <c r="I18" s="9">
        <v>0</v>
      </c>
      <c r="J18" s="9">
        <v>0</v>
      </c>
      <c r="K18" s="9">
        <f t="shared" si="0"/>
        <v>2621.25</v>
      </c>
      <c r="L18" s="16">
        <f t="shared" si="1"/>
        <v>23.96242800987293</v>
      </c>
      <c r="M18" s="9">
        <v>190</v>
      </c>
      <c r="N18" s="9">
        <v>0</v>
      </c>
      <c r="O18" s="9">
        <v>0</v>
      </c>
      <c r="P18" s="9">
        <f t="shared" si="2"/>
        <v>190</v>
      </c>
      <c r="Q18" s="15">
        <v>1800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145.63</v>
      </c>
      <c r="F19" s="8">
        <v>44</v>
      </c>
      <c r="G19" s="8">
        <v>342</v>
      </c>
      <c r="H19" s="9">
        <v>533</v>
      </c>
      <c r="I19" s="9">
        <v>378.9</v>
      </c>
      <c r="J19" s="9">
        <v>0</v>
      </c>
      <c r="K19" s="9">
        <f t="shared" si="0"/>
        <v>911.9</v>
      </c>
      <c r="L19" s="16">
        <f t="shared" si="1"/>
        <v>6.2617592529011876</v>
      </c>
      <c r="M19" s="9">
        <v>533</v>
      </c>
      <c r="N19" s="9">
        <v>378.9</v>
      </c>
      <c r="O19" s="9">
        <v>0</v>
      </c>
      <c r="P19" s="9">
        <f t="shared" si="2"/>
        <v>911.9</v>
      </c>
      <c r="Q19" s="15">
        <v>1800</v>
      </c>
      <c r="R19" s="15">
        <v>1700</v>
      </c>
      <c r="S19" s="15">
        <v>1600</v>
      </c>
    </row>
    <row r="20" spans="2:19">
      <c r="B20" s="17">
        <v>13</v>
      </c>
      <c r="C20" s="8" t="s">
        <v>23</v>
      </c>
      <c r="D20" s="9">
        <v>2</v>
      </c>
      <c r="E20" s="9">
        <v>1.45</v>
      </c>
      <c r="F20" s="8">
        <v>3</v>
      </c>
      <c r="G20" s="8">
        <v>20</v>
      </c>
      <c r="H20" s="9">
        <v>24</v>
      </c>
      <c r="I20" s="9">
        <v>0</v>
      </c>
      <c r="J20" s="9">
        <v>0</v>
      </c>
      <c r="K20" s="9">
        <f t="shared" si="0"/>
        <v>24</v>
      </c>
      <c r="L20" s="16">
        <f t="shared" si="1"/>
        <v>16.551724137931036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2000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0.5</v>
      </c>
      <c r="F21" s="8">
        <v>0</v>
      </c>
      <c r="G21" s="8">
        <v>1</v>
      </c>
      <c r="H21" s="9">
        <v>0.2</v>
      </c>
      <c r="I21" s="9">
        <v>0.4</v>
      </c>
      <c r="J21" s="9">
        <v>0</v>
      </c>
      <c r="K21" s="9">
        <f t="shared" si="0"/>
        <v>0.60000000000000009</v>
      </c>
      <c r="L21" s="16">
        <f t="shared" si="1"/>
        <v>1.2000000000000002</v>
      </c>
      <c r="M21" s="9">
        <v>0.2</v>
      </c>
      <c r="N21" s="9">
        <v>0.4</v>
      </c>
      <c r="O21" s="9">
        <v>0</v>
      </c>
      <c r="P21" s="9">
        <f t="shared" si="2"/>
        <v>0.60000000000000009</v>
      </c>
      <c r="Q21" s="15">
        <v>2300</v>
      </c>
      <c r="R21" s="15">
        <v>2000</v>
      </c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>
        <f>9819.79+41655.4-Sep!H22-Agu!H22</f>
        <v>30087.919999999998</v>
      </c>
      <c r="I22" s="9">
        <f>24233.83-Sep!I22-Agu!I22</f>
        <v>13360.160000000003</v>
      </c>
      <c r="J22" s="9">
        <f>9337.34-Sep!J22-Agu!J22</f>
        <v>7390.21</v>
      </c>
      <c r="K22" s="9">
        <f>SUM(H22:J22)</f>
        <v>50838.29</v>
      </c>
      <c r="L22" s="16" t="e">
        <f t="shared" si="1"/>
        <v>#DIV/0!</v>
      </c>
      <c r="M22" s="9"/>
      <c r="N22" s="9"/>
      <c r="O22" s="9"/>
      <c r="P22" s="9">
        <f t="shared" ref="P22" si="3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>SUM(D8:D21)</f>
        <v>8283.8599999999988</v>
      </c>
      <c r="E23" s="9">
        <f>SUM(E8:E22)</f>
        <v>7476.9</v>
      </c>
      <c r="F23" s="10">
        <f t="shared" ref="F23:G23" si="4">SUM(F8:F20)</f>
        <v>525</v>
      </c>
      <c r="G23" s="10">
        <f t="shared" si="4"/>
        <v>6780</v>
      </c>
      <c r="H23" s="9" t="e">
        <f>SUM(H8:H22)+'Rekap 2025'!#REF!</f>
        <v>#REF!</v>
      </c>
      <c r="I23" s="9" t="e">
        <f>SUM(I8:I22)+'Rekap 2025'!#REF!</f>
        <v>#REF!</v>
      </c>
      <c r="J23" s="9" t="e">
        <f>SUM(J8:J22)+'Rekap 2025'!#REF!</f>
        <v>#REF!</v>
      </c>
      <c r="K23" s="9" t="e">
        <f>SUM(H23:J23)</f>
        <v>#REF!</v>
      </c>
      <c r="L23" s="16">
        <f>AVERAGE(L8:L21)</f>
        <v>9.6256264483508271</v>
      </c>
      <c r="M23" s="9">
        <f>SUM(M8:M22)</f>
        <v>82277.25</v>
      </c>
      <c r="N23" s="9">
        <f t="shared" ref="N23:O23" si="5">SUM(N8:N22)</f>
        <v>6390.1399999999994</v>
      </c>
      <c r="O23" s="9">
        <f t="shared" si="5"/>
        <v>530</v>
      </c>
      <c r="P23" s="13">
        <f>SUM(P8:P22)</f>
        <v>89197.39</v>
      </c>
      <c r="Q23" s="34"/>
      <c r="R23" s="35"/>
      <c r="S23" s="36"/>
    </row>
    <row r="25" spans="2:19">
      <c r="Q25" s="3">
        <f>AVERAGE(Q8:Q22)</f>
        <v>1929.4642857142858</v>
      </c>
      <c r="R25" s="3">
        <f t="shared" ref="R25:S25" si="6">AVERAGE(R8:R22)</f>
        <v>1814.2857142857142</v>
      </c>
      <c r="S25" s="3">
        <f t="shared" si="6"/>
        <v>1900</v>
      </c>
    </row>
  </sheetData>
  <mergeCells count="13">
    <mergeCell ref="G6:G7"/>
    <mergeCell ref="B6:B7"/>
    <mergeCell ref="C6:C7"/>
    <mergeCell ref="D6:D7"/>
    <mergeCell ref="E6:E7"/>
    <mergeCell ref="F6:F7"/>
    <mergeCell ref="Q23:S23"/>
    <mergeCell ref="H6:J6"/>
    <mergeCell ref="K6:K7"/>
    <mergeCell ref="L6:L7"/>
    <mergeCell ref="M6:O6"/>
    <mergeCell ref="P6:P7"/>
    <mergeCell ref="Q6:S6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1D48-A54D-4781-8113-DBABDF6488A0}">
  <dimension ref="B2:S25"/>
  <sheetViews>
    <sheetView workbookViewId="0">
      <selection activeCell="J23" sqref="J23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9.08984375" style="2" bestFit="1" customWidth="1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35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1961.05</v>
      </c>
      <c r="E8" s="9">
        <v>0</v>
      </c>
      <c r="F8" s="8">
        <v>161</v>
      </c>
      <c r="G8" s="10">
        <v>1644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7913.7</v>
      </c>
      <c r="N8" s="9">
        <v>2117</v>
      </c>
      <c r="O8" s="9">
        <v>0</v>
      </c>
      <c r="P8" s="9">
        <f>SUM(M8:O8)</f>
        <v>10030.700000000001</v>
      </c>
      <c r="Q8" s="15">
        <f>(1900+2200)/2</f>
        <v>2050</v>
      </c>
      <c r="R8" s="15">
        <f>(1400+2000)/2</f>
        <v>1700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959.7</v>
      </c>
      <c r="F9" s="8">
        <v>167</v>
      </c>
      <c r="G9" s="10">
        <v>1355</v>
      </c>
      <c r="H9" s="9">
        <v>6082</v>
      </c>
      <c r="I9" s="9">
        <v>10</v>
      </c>
      <c r="J9" s="9">
        <v>0</v>
      </c>
      <c r="K9" s="9">
        <f t="shared" ref="K9:K21" si="0">SUM(H9:J9)</f>
        <v>6092</v>
      </c>
      <c r="L9" s="16">
        <f t="shared" ref="L9:L22" si="1">K9/E9</f>
        <v>6.3478170261540061</v>
      </c>
      <c r="M9" s="9">
        <v>24790</v>
      </c>
      <c r="N9" s="9">
        <v>0</v>
      </c>
      <c r="O9" s="9">
        <v>0</v>
      </c>
      <c r="P9" s="9">
        <f t="shared" ref="P9:P21" si="2">SUM(M9:O9)</f>
        <v>24790</v>
      </c>
      <c r="Q9" s="15">
        <v>2000</v>
      </c>
      <c r="R9" s="15"/>
      <c r="S9" s="15"/>
    </row>
    <row r="10" spans="2:19">
      <c r="B10" s="17">
        <v>3</v>
      </c>
      <c r="C10" s="8" t="s">
        <v>16</v>
      </c>
      <c r="D10" s="9">
        <v>3218.24</v>
      </c>
      <c r="E10" s="9">
        <v>0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0"/>
        <v>0</v>
      </c>
      <c r="L10" s="16" t="e">
        <f t="shared" si="1"/>
        <v>#DIV/0!</v>
      </c>
      <c r="M10" s="9">
        <v>34947</v>
      </c>
      <c r="N10" s="9">
        <v>2335</v>
      </c>
      <c r="O10" s="9">
        <v>455</v>
      </c>
      <c r="P10" s="9">
        <f t="shared" si="2"/>
        <v>37737</v>
      </c>
      <c r="Q10" s="15">
        <v>2200</v>
      </c>
      <c r="R10" s="15">
        <v>2100</v>
      </c>
      <c r="S10" s="15">
        <v>2000</v>
      </c>
    </row>
    <row r="11" spans="2:19">
      <c r="B11" s="17">
        <v>4</v>
      </c>
      <c r="C11" s="8" t="s">
        <v>17</v>
      </c>
      <c r="D11" s="9">
        <v>294.89999999999998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0"/>
        <v>0</v>
      </c>
      <c r="L11" s="16" t="e">
        <f t="shared" si="1"/>
        <v>#DIV/0!</v>
      </c>
      <c r="M11" s="9">
        <v>910</v>
      </c>
      <c r="N11" s="9">
        <v>0</v>
      </c>
      <c r="O11" s="9">
        <v>0</v>
      </c>
      <c r="P11" s="9">
        <f t="shared" si="2"/>
        <v>910</v>
      </c>
      <c r="Q11" s="15">
        <v>0</v>
      </c>
      <c r="R11" s="15"/>
      <c r="S11" s="15"/>
    </row>
    <row r="12" spans="2:19">
      <c r="B12" s="17">
        <v>5</v>
      </c>
      <c r="C12" s="8" t="s">
        <v>18</v>
      </c>
      <c r="D12" s="9">
        <v>269.04000000000002</v>
      </c>
      <c r="E12" s="9">
        <v>269.04000000000002</v>
      </c>
      <c r="F12" s="8">
        <v>37</v>
      </c>
      <c r="G12" s="8">
        <v>344</v>
      </c>
      <c r="H12" s="9">
        <v>1.5</v>
      </c>
      <c r="I12" s="9">
        <v>0</v>
      </c>
      <c r="J12" s="9">
        <v>0</v>
      </c>
      <c r="K12" s="9">
        <f t="shared" si="0"/>
        <v>1.5</v>
      </c>
      <c r="L12" s="16">
        <f t="shared" si="1"/>
        <v>5.5753791257805527E-3</v>
      </c>
      <c r="M12" s="9">
        <v>5172.2</v>
      </c>
      <c r="N12" s="9">
        <v>0</v>
      </c>
      <c r="O12" s="9">
        <v>0</v>
      </c>
      <c r="P12" s="9">
        <f t="shared" si="2"/>
        <v>5172.2</v>
      </c>
      <c r="Q12" s="15">
        <v>2000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78.45</v>
      </c>
      <c r="I13" s="9">
        <v>24.66</v>
      </c>
      <c r="J13" s="9">
        <v>0</v>
      </c>
      <c r="K13" s="9">
        <f t="shared" si="0"/>
        <v>103.11</v>
      </c>
      <c r="L13" s="16">
        <f t="shared" si="1"/>
        <v>0.47443979202135</v>
      </c>
      <c r="M13" s="9">
        <v>1378</v>
      </c>
      <c r="N13" s="9">
        <v>254</v>
      </c>
      <c r="O13" s="9">
        <v>0</v>
      </c>
      <c r="P13" s="9">
        <f t="shared" si="2"/>
        <v>1632</v>
      </c>
      <c r="Q13" s="15">
        <v>2000</v>
      </c>
      <c r="R13" s="15">
        <v>1900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0</v>
      </c>
      <c r="F14" s="8">
        <v>6</v>
      </c>
      <c r="G14" s="8">
        <v>46</v>
      </c>
      <c r="H14" s="9">
        <v>0</v>
      </c>
      <c r="I14" s="9">
        <v>0</v>
      </c>
      <c r="J14" s="9">
        <v>0</v>
      </c>
      <c r="K14" s="9">
        <f t="shared" si="0"/>
        <v>0</v>
      </c>
      <c r="L14" s="16" t="e">
        <f t="shared" si="1"/>
        <v>#DIV/0!</v>
      </c>
      <c r="M14" s="9">
        <v>1266</v>
      </c>
      <c r="N14" s="9">
        <v>0</v>
      </c>
      <c r="O14" s="9">
        <v>0</v>
      </c>
      <c r="P14" s="9">
        <f t="shared" si="2"/>
        <v>1266</v>
      </c>
      <c r="Q14" s="15">
        <v>2400</v>
      </c>
      <c r="R14" s="15">
        <v>2300</v>
      </c>
      <c r="S14" s="15">
        <v>2200</v>
      </c>
    </row>
    <row r="15" spans="2:19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0"/>
        <v>0</v>
      </c>
      <c r="L15" s="16" t="e">
        <f t="shared" si="1"/>
        <v>#DIV/0!</v>
      </c>
      <c r="M15" s="9">
        <v>5595.25</v>
      </c>
      <c r="N15" s="9">
        <v>0</v>
      </c>
      <c r="O15" s="9">
        <v>0</v>
      </c>
      <c r="P15" s="9">
        <f t="shared" si="2"/>
        <v>5595.25</v>
      </c>
      <c r="Q15" s="15">
        <v>2200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3113</v>
      </c>
      <c r="N16" s="9">
        <v>0</v>
      </c>
      <c r="O16" s="9">
        <v>0</v>
      </c>
      <c r="P16" s="9">
        <f t="shared" si="2"/>
        <v>3113</v>
      </c>
      <c r="Q16" s="15">
        <v>2200</v>
      </c>
      <c r="R16" s="15"/>
      <c r="S16" s="15"/>
    </row>
    <row r="17" spans="2:19">
      <c r="B17" s="17">
        <v>10</v>
      </c>
      <c r="C17" s="8" t="s">
        <v>27</v>
      </c>
      <c r="D17" s="9">
        <v>253.3</v>
      </c>
      <c r="E17" s="9">
        <v>253.3</v>
      </c>
      <c r="F17" s="8">
        <v>19</v>
      </c>
      <c r="G17" s="8">
        <v>228</v>
      </c>
      <c r="H17" s="9">
        <v>541</v>
      </c>
      <c r="I17" s="9">
        <v>0</v>
      </c>
      <c r="J17" s="9">
        <v>0</v>
      </c>
      <c r="K17" s="9">
        <f t="shared" si="0"/>
        <v>541</v>
      </c>
      <c r="L17" s="16">
        <f t="shared" si="1"/>
        <v>2.1358073430714568</v>
      </c>
      <c r="M17" s="9">
        <v>861</v>
      </c>
      <c r="N17" s="9">
        <v>0</v>
      </c>
      <c r="O17" s="9">
        <v>0</v>
      </c>
      <c r="P17" s="9">
        <f t="shared" si="2"/>
        <v>861</v>
      </c>
      <c r="Q17" s="15">
        <v>1675</v>
      </c>
      <c r="R17" s="15"/>
      <c r="S17" s="15"/>
    </row>
    <row r="18" spans="2:19">
      <c r="B18" s="17">
        <v>11</v>
      </c>
      <c r="C18" s="8" t="s">
        <v>28</v>
      </c>
      <c r="D18" s="9">
        <v>109.39</v>
      </c>
      <c r="E18" s="9">
        <v>109.39</v>
      </c>
      <c r="F18" s="8">
        <v>6</v>
      </c>
      <c r="G18" s="8">
        <v>43</v>
      </c>
      <c r="H18" s="9">
        <v>127.5</v>
      </c>
      <c r="I18" s="9">
        <v>0</v>
      </c>
      <c r="J18" s="9">
        <v>0</v>
      </c>
      <c r="K18" s="9">
        <f t="shared" si="0"/>
        <v>127.5</v>
      </c>
      <c r="L18" s="16">
        <f t="shared" si="1"/>
        <v>1.1655544382484688</v>
      </c>
      <c r="M18" s="9">
        <v>190</v>
      </c>
      <c r="N18" s="9">
        <v>0</v>
      </c>
      <c r="O18" s="9">
        <v>0</v>
      </c>
      <c r="P18" s="9">
        <f t="shared" si="2"/>
        <v>190</v>
      </c>
      <c r="Q18" s="15">
        <v>1800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0</v>
      </c>
      <c r="F19" s="8">
        <v>44</v>
      </c>
      <c r="G19" s="8">
        <v>342</v>
      </c>
      <c r="H19" s="9">
        <v>0</v>
      </c>
      <c r="I19" s="9">
        <v>0</v>
      </c>
      <c r="J19" s="9">
        <v>0</v>
      </c>
      <c r="K19" s="9">
        <f t="shared" si="0"/>
        <v>0</v>
      </c>
      <c r="L19" s="16" t="e">
        <f t="shared" si="1"/>
        <v>#DIV/0!</v>
      </c>
      <c r="M19" s="9">
        <v>498.5</v>
      </c>
      <c r="N19" s="9">
        <v>336.6</v>
      </c>
      <c r="O19" s="9">
        <v>0</v>
      </c>
      <c r="P19" s="9">
        <f t="shared" si="2"/>
        <v>835.1</v>
      </c>
      <c r="Q19" s="15">
        <v>2200</v>
      </c>
      <c r="R19" s="15">
        <v>2100</v>
      </c>
      <c r="S19" s="15">
        <v>1900</v>
      </c>
    </row>
    <row r="20" spans="2:19">
      <c r="B20" s="17">
        <v>13</v>
      </c>
      <c r="C20" s="8" t="s">
        <v>23</v>
      </c>
      <c r="D20" s="9">
        <v>2</v>
      </c>
      <c r="E20" s="9">
        <v>0.35</v>
      </c>
      <c r="F20" s="8">
        <v>3</v>
      </c>
      <c r="G20" s="8">
        <v>30</v>
      </c>
      <c r="H20" s="9">
        <v>4</v>
      </c>
      <c r="I20" s="9">
        <v>0</v>
      </c>
      <c r="J20" s="9">
        <v>0</v>
      </c>
      <c r="K20" s="9">
        <f t="shared" si="0"/>
        <v>4</v>
      </c>
      <c r="L20" s="16">
        <f t="shared" si="1"/>
        <v>11.428571428571429</v>
      </c>
      <c r="M20" s="9">
        <v>0</v>
      </c>
      <c r="N20" s="9">
        <v>0</v>
      </c>
      <c r="O20" s="9">
        <v>0</v>
      </c>
      <c r="P20" s="9">
        <f t="shared" si="2"/>
        <v>0</v>
      </c>
      <c r="Q20" s="15">
        <v>2000</v>
      </c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</v>
      </c>
      <c r="F21" s="8">
        <v>0</v>
      </c>
      <c r="G21" s="8">
        <v>1</v>
      </c>
      <c r="H21" s="9">
        <v>0.6</v>
      </c>
      <c r="I21" s="9">
        <v>0.1</v>
      </c>
      <c r="J21" s="9">
        <v>0</v>
      </c>
      <c r="K21" s="9">
        <f t="shared" si="0"/>
        <v>0.7</v>
      </c>
      <c r="L21" s="16" t="e">
        <f t="shared" si="1"/>
        <v>#DIV/0!</v>
      </c>
      <c r="M21" s="9">
        <v>0.6</v>
      </c>
      <c r="N21" s="9">
        <v>0.5</v>
      </c>
      <c r="O21" s="9">
        <v>0</v>
      </c>
      <c r="P21" s="9">
        <f t="shared" si="2"/>
        <v>1.1000000000000001</v>
      </c>
      <c r="Q21" s="15">
        <v>3300</v>
      </c>
      <c r="R21" s="15">
        <v>3000</v>
      </c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 t="shared" ref="D23:K23" si="5">SUM(D8:D22)</f>
        <v>8373.8599999999988</v>
      </c>
      <c r="E23" s="9">
        <f t="shared" si="5"/>
        <v>1809.11</v>
      </c>
      <c r="F23" s="10">
        <f t="shared" si="5"/>
        <v>525</v>
      </c>
      <c r="G23" s="10">
        <f t="shared" si="5"/>
        <v>6831</v>
      </c>
      <c r="H23" s="9">
        <f t="shared" si="5"/>
        <v>6835.05</v>
      </c>
      <c r="I23" s="9">
        <f t="shared" si="5"/>
        <v>34.76</v>
      </c>
      <c r="J23" s="9">
        <f t="shared" si="5"/>
        <v>0</v>
      </c>
      <c r="K23" s="13">
        <f t="shared" si="5"/>
        <v>6869.8099999999995</v>
      </c>
      <c r="L23" s="16" t="e">
        <f>AVERAGE(L8:L21)</f>
        <v>#DIV/0!</v>
      </c>
      <c r="M23" s="9">
        <f>SUM(M8:M22)</f>
        <v>86635.25</v>
      </c>
      <c r="N23" s="9">
        <f t="shared" ref="N23:O23" si="6">SUM(N8:N22)</f>
        <v>5043.1000000000004</v>
      </c>
      <c r="O23" s="9">
        <f t="shared" si="6"/>
        <v>455</v>
      </c>
      <c r="P23" s="13">
        <f>SUM(P8:P22)</f>
        <v>92133.35</v>
      </c>
      <c r="Q23" s="34"/>
      <c r="R23" s="35"/>
      <c r="S23" s="36"/>
    </row>
    <row r="25" spans="2:19">
      <c r="Q25" s="3">
        <f>AVERAGE(Q8:Q22)</f>
        <v>2001.7857142857142</v>
      </c>
      <c r="R25" s="3">
        <f t="shared" ref="R25:S25" si="7">AVERAGE(R8:R22)</f>
        <v>2183.3333333333335</v>
      </c>
      <c r="S25" s="3">
        <f t="shared" si="7"/>
        <v>2033.3333333333333</v>
      </c>
    </row>
  </sheetData>
  <mergeCells count="13">
    <mergeCell ref="Q23:S23"/>
    <mergeCell ref="H6:J6"/>
    <mergeCell ref="K6:K7"/>
    <mergeCell ref="L6:L7"/>
    <mergeCell ref="M6:O6"/>
    <mergeCell ref="P6:P7"/>
    <mergeCell ref="Q6:S6"/>
    <mergeCell ref="G6:G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7C95-1C25-42EC-AF6F-4BF408B3F932}">
  <dimension ref="B2:S25"/>
  <sheetViews>
    <sheetView workbookViewId="0">
      <selection activeCell="U8" sqref="U8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customWidth="1"/>
    <col min="6" max="6" width="7.1796875" style="1" customWidth="1"/>
    <col min="7" max="7" width="10.81640625" style="1" customWidth="1"/>
    <col min="8" max="10" width="8.81640625" style="2"/>
    <col min="11" max="11" width="12.1796875" style="2" customWidth="1"/>
    <col min="12" max="12" width="8.81640625" style="1"/>
    <col min="13" max="13" width="9.90625" style="2" customWidth="1"/>
    <col min="14" max="14" width="9.08984375" style="2" bestFit="1" customWidth="1"/>
    <col min="15" max="15" width="8.81640625" style="2"/>
    <col min="16" max="16" width="10.36328125" style="2" customWidth="1"/>
    <col min="17" max="19" width="9.08984375" style="3" bestFit="1" customWidth="1"/>
    <col min="20" max="16384" width="8.81640625" style="1"/>
  </cols>
  <sheetData>
    <row r="2" spans="2:19" ht="13">
      <c r="B2" s="4" t="s">
        <v>31</v>
      </c>
    </row>
    <row r="4" spans="2:19">
      <c r="B4" s="1" t="s">
        <v>33</v>
      </c>
    </row>
    <row r="6" spans="2:19" ht="13">
      <c r="B6" s="22" t="s">
        <v>0</v>
      </c>
      <c r="C6" s="22" t="s">
        <v>1</v>
      </c>
      <c r="D6" s="24" t="s">
        <v>2</v>
      </c>
      <c r="E6" s="24" t="s">
        <v>3</v>
      </c>
      <c r="F6" s="22" t="s">
        <v>4</v>
      </c>
      <c r="G6" s="22" t="s">
        <v>5</v>
      </c>
      <c r="H6" s="27" t="s">
        <v>6</v>
      </c>
      <c r="I6" s="27"/>
      <c r="J6" s="27"/>
      <c r="K6" s="24" t="s">
        <v>7</v>
      </c>
      <c r="L6" s="22" t="s">
        <v>8</v>
      </c>
      <c r="M6" s="28" t="s">
        <v>9</v>
      </c>
      <c r="N6" s="29"/>
      <c r="O6" s="30"/>
      <c r="P6" s="24" t="s">
        <v>10</v>
      </c>
      <c r="Q6" s="31" t="s">
        <v>29</v>
      </c>
      <c r="R6" s="32"/>
      <c r="S6" s="33"/>
    </row>
    <row r="7" spans="2:19" ht="13">
      <c r="B7" s="23"/>
      <c r="C7" s="23"/>
      <c r="D7" s="25"/>
      <c r="E7" s="25"/>
      <c r="F7" s="23"/>
      <c r="G7" s="23"/>
      <c r="H7" s="6" t="s">
        <v>11</v>
      </c>
      <c r="I7" s="6" t="s">
        <v>12</v>
      </c>
      <c r="J7" s="6" t="s">
        <v>13</v>
      </c>
      <c r="K7" s="25"/>
      <c r="L7" s="23"/>
      <c r="M7" s="6" t="s">
        <v>11</v>
      </c>
      <c r="N7" s="6" t="s">
        <v>12</v>
      </c>
      <c r="O7" s="6" t="s">
        <v>13</v>
      </c>
      <c r="P7" s="25"/>
      <c r="Q7" s="14" t="s">
        <v>11</v>
      </c>
      <c r="R7" s="14" t="s">
        <v>12</v>
      </c>
      <c r="S7" s="14" t="s">
        <v>13</v>
      </c>
    </row>
    <row r="8" spans="2:19">
      <c r="B8" s="17">
        <v>1</v>
      </c>
      <c r="C8" s="8" t="s">
        <v>14</v>
      </c>
      <c r="D8" s="9">
        <v>1961.05</v>
      </c>
      <c r="E8" s="9">
        <v>0</v>
      </c>
      <c r="F8" s="8">
        <v>161</v>
      </c>
      <c r="G8" s="10">
        <v>1644</v>
      </c>
      <c r="H8" s="9">
        <v>0</v>
      </c>
      <c r="I8" s="9">
        <v>0</v>
      </c>
      <c r="J8" s="9">
        <v>0</v>
      </c>
      <c r="K8" s="9">
        <f>SUM(H8:J8)</f>
        <v>0</v>
      </c>
      <c r="L8" s="16" t="e">
        <f>K8/E8</f>
        <v>#DIV/0!</v>
      </c>
      <c r="M8" s="9">
        <v>7913.7</v>
      </c>
      <c r="N8" s="9">
        <v>2117</v>
      </c>
      <c r="O8" s="9">
        <v>0</v>
      </c>
      <c r="P8" s="9">
        <f>SUM(M8:O8)</f>
        <v>10030.700000000001</v>
      </c>
      <c r="Q8" s="15">
        <f>(1900+2500)/2</f>
        <v>2200</v>
      </c>
      <c r="R8" s="15">
        <f>(1400+2000)/2</f>
        <v>1700</v>
      </c>
      <c r="S8" s="15"/>
    </row>
    <row r="9" spans="2:19">
      <c r="B9" s="17">
        <v>2</v>
      </c>
      <c r="C9" s="8" t="s">
        <v>15</v>
      </c>
      <c r="D9" s="9">
        <v>959.7</v>
      </c>
      <c r="E9" s="9">
        <v>0</v>
      </c>
      <c r="F9" s="8">
        <v>167</v>
      </c>
      <c r="G9" s="10">
        <v>1355</v>
      </c>
      <c r="H9" s="9">
        <v>0</v>
      </c>
      <c r="I9" s="9">
        <v>0</v>
      </c>
      <c r="J9" s="9">
        <v>0</v>
      </c>
      <c r="K9" s="9">
        <f t="shared" ref="K9:K21" si="0">SUM(H9:J9)</f>
        <v>0</v>
      </c>
      <c r="L9" s="16" t="e">
        <f t="shared" ref="L9:L22" si="1">K9/E9</f>
        <v>#DIV/0!</v>
      </c>
      <c r="M9" s="9">
        <v>21430</v>
      </c>
      <c r="N9" s="9">
        <v>0</v>
      </c>
      <c r="O9" s="9">
        <v>0</v>
      </c>
      <c r="P9" s="9">
        <f t="shared" ref="P9:P21" si="2">SUM(M9:O9)</f>
        <v>21430</v>
      </c>
      <c r="Q9" s="15">
        <f>(2000+2500)/2</f>
        <v>2250</v>
      </c>
      <c r="R9" s="15"/>
      <c r="S9" s="15"/>
    </row>
    <row r="10" spans="2:19">
      <c r="B10" s="17">
        <v>3</v>
      </c>
      <c r="C10" s="8" t="s">
        <v>16</v>
      </c>
      <c r="D10" s="9">
        <v>3218.24</v>
      </c>
      <c r="E10" s="9">
        <v>0</v>
      </c>
      <c r="F10" s="8">
        <v>29</v>
      </c>
      <c r="G10" s="10">
        <v>2205</v>
      </c>
      <c r="H10" s="9">
        <v>0</v>
      </c>
      <c r="I10" s="9">
        <v>0</v>
      </c>
      <c r="J10" s="9">
        <v>0</v>
      </c>
      <c r="K10" s="9">
        <f t="shared" si="0"/>
        <v>0</v>
      </c>
      <c r="L10" s="16" t="e">
        <f t="shared" si="1"/>
        <v>#DIV/0!</v>
      </c>
      <c r="M10" s="9">
        <v>33533</v>
      </c>
      <c r="N10" s="9">
        <v>2039</v>
      </c>
      <c r="O10" s="9">
        <v>285</v>
      </c>
      <c r="P10" s="9">
        <f t="shared" si="2"/>
        <v>35857</v>
      </c>
      <c r="Q10" s="15">
        <v>2200</v>
      </c>
      <c r="R10" s="15">
        <v>2100</v>
      </c>
      <c r="S10" s="15">
        <v>2000</v>
      </c>
    </row>
    <row r="11" spans="2:19">
      <c r="B11" s="17">
        <v>4</v>
      </c>
      <c r="C11" s="8" t="s">
        <v>17</v>
      </c>
      <c r="D11" s="9">
        <v>204.9</v>
      </c>
      <c r="E11" s="9">
        <v>0</v>
      </c>
      <c r="F11" s="8">
        <v>13</v>
      </c>
      <c r="G11" s="8">
        <v>138</v>
      </c>
      <c r="H11" s="9">
        <v>0</v>
      </c>
      <c r="I11" s="9">
        <v>0</v>
      </c>
      <c r="J11" s="9">
        <v>0</v>
      </c>
      <c r="K11" s="9">
        <f t="shared" si="0"/>
        <v>0</v>
      </c>
      <c r="L11" s="16" t="e">
        <f t="shared" si="1"/>
        <v>#DIV/0!</v>
      </c>
      <c r="M11" s="9">
        <v>910</v>
      </c>
      <c r="N11" s="9">
        <v>0</v>
      </c>
      <c r="O11" s="9">
        <v>0</v>
      </c>
      <c r="P11" s="9">
        <f t="shared" si="2"/>
        <v>910</v>
      </c>
      <c r="Q11" s="15"/>
      <c r="R11" s="15"/>
      <c r="S11" s="15"/>
    </row>
    <row r="12" spans="2:19">
      <c r="B12" s="17">
        <v>5</v>
      </c>
      <c r="C12" s="8" t="s">
        <v>18</v>
      </c>
      <c r="D12" s="9">
        <v>269.04000000000002</v>
      </c>
      <c r="E12" s="9">
        <v>269.04000000000002</v>
      </c>
      <c r="F12" s="8">
        <v>37</v>
      </c>
      <c r="G12" s="8">
        <v>344</v>
      </c>
      <c r="H12" s="9">
        <v>1.8</v>
      </c>
      <c r="I12" s="9">
        <v>0</v>
      </c>
      <c r="J12" s="9">
        <v>0</v>
      </c>
      <c r="K12" s="9">
        <f t="shared" si="0"/>
        <v>1.8</v>
      </c>
      <c r="L12" s="16">
        <f t="shared" si="1"/>
        <v>6.6904549509366629E-3</v>
      </c>
      <c r="M12" s="9">
        <v>5174</v>
      </c>
      <c r="N12" s="9">
        <v>0</v>
      </c>
      <c r="O12" s="9">
        <v>0</v>
      </c>
      <c r="P12" s="9">
        <f t="shared" si="2"/>
        <v>5174</v>
      </c>
      <c r="Q12" s="15">
        <v>2000</v>
      </c>
      <c r="R12" s="15"/>
      <c r="S12" s="15"/>
    </row>
    <row r="13" spans="2:19">
      <c r="B13" s="17">
        <v>6</v>
      </c>
      <c r="C13" s="8" t="s">
        <v>19</v>
      </c>
      <c r="D13" s="9">
        <v>217.33</v>
      </c>
      <c r="E13" s="9">
        <v>217.33</v>
      </c>
      <c r="F13" s="8">
        <v>23</v>
      </c>
      <c r="G13" s="8">
        <v>293</v>
      </c>
      <c r="H13" s="9">
        <v>4</v>
      </c>
      <c r="I13" s="9">
        <v>0</v>
      </c>
      <c r="J13" s="9">
        <v>0</v>
      </c>
      <c r="K13" s="9">
        <f t="shared" si="0"/>
        <v>4</v>
      </c>
      <c r="L13" s="16">
        <f t="shared" si="1"/>
        <v>1.840519026365435E-2</v>
      </c>
      <c r="M13" s="9">
        <v>1185</v>
      </c>
      <c r="N13" s="9">
        <v>82</v>
      </c>
      <c r="O13" s="9">
        <v>0</v>
      </c>
      <c r="P13" s="9">
        <f t="shared" si="2"/>
        <v>1267</v>
      </c>
      <c r="Q13" s="15">
        <v>2200</v>
      </c>
      <c r="R13" s="15">
        <v>2100</v>
      </c>
      <c r="S13" s="15"/>
    </row>
    <row r="14" spans="2:19">
      <c r="B14" s="17">
        <v>7</v>
      </c>
      <c r="C14" s="8" t="s">
        <v>20</v>
      </c>
      <c r="D14" s="9">
        <v>181.4</v>
      </c>
      <c r="E14" s="9">
        <v>0</v>
      </c>
      <c r="F14" s="8">
        <v>6</v>
      </c>
      <c r="G14" s="8">
        <v>46</v>
      </c>
      <c r="H14" s="9">
        <v>0</v>
      </c>
      <c r="I14" s="9">
        <v>0</v>
      </c>
      <c r="J14" s="9">
        <v>0</v>
      </c>
      <c r="K14" s="9">
        <f t="shared" si="0"/>
        <v>0</v>
      </c>
      <c r="L14" s="16" t="e">
        <f t="shared" si="1"/>
        <v>#DIV/0!</v>
      </c>
      <c r="M14" s="9">
        <v>1266</v>
      </c>
      <c r="N14" s="9">
        <v>0</v>
      </c>
      <c r="O14" s="9">
        <v>0</v>
      </c>
      <c r="P14" s="9">
        <f t="shared" si="2"/>
        <v>1266</v>
      </c>
      <c r="Q14" s="15">
        <v>2400</v>
      </c>
      <c r="R14" s="15">
        <v>2300</v>
      </c>
      <c r="S14" s="15">
        <v>2200</v>
      </c>
    </row>
    <row r="15" spans="2:19">
      <c r="B15" s="17">
        <v>8</v>
      </c>
      <c r="C15" s="8" t="s">
        <v>21</v>
      </c>
      <c r="D15" s="9">
        <v>459.8</v>
      </c>
      <c r="E15" s="9">
        <v>0</v>
      </c>
      <c r="F15" s="8">
        <v>10</v>
      </c>
      <c r="G15" s="8">
        <v>102</v>
      </c>
      <c r="H15" s="9">
        <v>0</v>
      </c>
      <c r="I15" s="9">
        <v>0</v>
      </c>
      <c r="J15" s="9">
        <v>0</v>
      </c>
      <c r="K15" s="9">
        <f t="shared" si="0"/>
        <v>0</v>
      </c>
      <c r="L15" s="16" t="e">
        <f t="shared" si="1"/>
        <v>#DIV/0!</v>
      </c>
      <c r="M15" s="9">
        <v>4225.6499999999996</v>
      </c>
      <c r="N15" s="9">
        <v>0</v>
      </c>
      <c r="O15" s="9">
        <v>0</v>
      </c>
      <c r="P15" s="9">
        <f t="shared" si="2"/>
        <v>4225.6499999999996</v>
      </c>
      <c r="Q15" s="15">
        <v>2400</v>
      </c>
      <c r="R15" s="15"/>
      <c r="S15" s="15"/>
    </row>
    <row r="16" spans="2:19">
      <c r="B16" s="17">
        <v>9</v>
      </c>
      <c r="C16" s="8" t="s">
        <v>22</v>
      </c>
      <c r="D16" s="9">
        <v>203</v>
      </c>
      <c r="E16" s="9">
        <v>0</v>
      </c>
      <c r="F16" s="8">
        <v>7</v>
      </c>
      <c r="G16" s="8">
        <v>60</v>
      </c>
      <c r="H16" s="9">
        <v>0</v>
      </c>
      <c r="I16" s="9">
        <v>0</v>
      </c>
      <c r="J16" s="9">
        <v>0</v>
      </c>
      <c r="K16" s="9">
        <f t="shared" si="0"/>
        <v>0</v>
      </c>
      <c r="L16" s="16" t="e">
        <f t="shared" si="1"/>
        <v>#DIV/0!</v>
      </c>
      <c r="M16" s="9">
        <v>2180</v>
      </c>
      <c r="N16" s="9">
        <v>0</v>
      </c>
      <c r="O16" s="9">
        <v>0</v>
      </c>
      <c r="P16" s="9">
        <f t="shared" si="2"/>
        <v>2180</v>
      </c>
      <c r="Q16" s="15">
        <v>2500</v>
      </c>
      <c r="R16" s="15"/>
      <c r="S16" s="15"/>
    </row>
    <row r="17" spans="2:19">
      <c r="B17" s="17">
        <v>10</v>
      </c>
      <c r="C17" s="8" t="s">
        <v>27</v>
      </c>
      <c r="D17" s="9">
        <v>253.3</v>
      </c>
      <c r="E17" s="9">
        <v>0</v>
      </c>
      <c r="F17" s="8">
        <v>19</v>
      </c>
      <c r="G17" s="8">
        <v>228</v>
      </c>
      <c r="H17" s="9">
        <v>0</v>
      </c>
      <c r="I17" s="9">
        <v>0</v>
      </c>
      <c r="J17" s="9">
        <v>0</v>
      </c>
      <c r="K17" s="9">
        <f t="shared" si="0"/>
        <v>0</v>
      </c>
      <c r="L17" s="16" t="e">
        <f t="shared" si="1"/>
        <v>#DIV/0!</v>
      </c>
      <c r="M17" s="9">
        <v>831</v>
      </c>
      <c r="N17" s="9">
        <v>0</v>
      </c>
      <c r="O17" s="9">
        <v>0</v>
      </c>
      <c r="P17" s="9">
        <f t="shared" si="2"/>
        <v>831</v>
      </c>
      <c r="Q17" s="15">
        <v>2300</v>
      </c>
      <c r="R17" s="15"/>
      <c r="S17" s="15"/>
    </row>
    <row r="18" spans="2:19">
      <c r="B18" s="17">
        <v>11</v>
      </c>
      <c r="C18" s="8" t="s">
        <v>28</v>
      </c>
      <c r="D18" s="9">
        <v>109.39</v>
      </c>
      <c r="E18" s="9">
        <v>0</v>
      </c>
      <c r="F18" s="8">
        <v>6</v>
      </c>
      <c r="G18" s="8">
        <v>43</v>
      </c>
      <c r="H18" s="9">
        <v>0</v>
      </c>
      <c r="I18" s="9">
        <v>0</v>
      </c>
      <c r="J18" s="9">
        <v>0</v>
      </c>
      <c r="K18" s="9">
        <f t="shared" si="0"/>
        <v>0</v>
      </c>
      <c r="L18" s="16" t="e">
        <f t="shared" si="1"/>
        <v>#DIV/0!</v>
      </c>
      <c r="M18" s="9">
        <v>190</v>
      </c>
      <c r="N18" s="9">
        <v>0</v>
      </c>
      <c r="O18" s="9">
        <v>0</v>
      </c>
      <c r="P18" s="9">
        <f t="shared" si="2"/>
        <v>190</v>
      </c>
      <c r="Q18" s="15">
        <v>2300</v>
      </c>
      <c r="R18" s="15"/>
      <c r="S18" s="15"/>
    </row>
    <row r="19" spans="2:19">
      <c r="B19" s="17">
        <v>12</v>
      </c>
      <c r="C19" s="8" t="s">
        <v>26</v>
      </c>
      <c r="D19" s="9">
        <v>242.71</v>
      </c>
      <c r="E19" s="9">
        <v>0</v>
      </c>
      <c r="F19" s="8">
        <v>44</v>
      </c>
      <c r="G19" s="8">
        <v>342</v>
      </c>
      <c r="H19" s="9">
        <v>0</v>
      </c>
      <c r="I19" s="9">
        <v>0</v>
      </c>
      <c r="J19" s="9">
        <v>0</v>
      </c>
      <c r="K19" s="9">
        <f t="shared" si="0"/>
        <v>0</v>
      </c>
      <c r="L19" s="16" t="e">
        <f t="shared" si="1"/>
        <v>#DIV/0!</v>
      </c>
      <c r="M19" s="9">
        <v>495</v>
      </c>
      <c r="N19" s="9">
        <v>336.6</v>
      </c>
      <c r="O19" s="9">
        <v>0</v>
      </c>
      <c r="P19" s="9">
        <f t="shared" si="2"/>
        <v>831.6</v>
      </c>
      <c r="Q19" s="15">
        <v>2400</v>
      </c>
      <c r="R19" s="15">
        <v>2300</v>
      </c>
      <c r="S19" s="15">
        <v>2100</v>
      </c>
    </row>
    <row r="20" spans="2:19">
      <c r="B20" s="17">
        <v>13</v>
      </c>
      <c r="C20" s="8" t="s">
        <v>23</v>
      </c>
      <c r="D20" s="9">
        <v>2</v>
      </c>
      <c r="E20" s="9">
        <v>0</v>
      </c>
      <c r="F20" s="8">
        <v>3</v>
      </c>
      <c r="G20" s="8">
        <v>30</v>
      </c>
      <c r="H20" s="9">
        <v>0</v>
      </c>
      <c r="I20" s="9">
        <v>0</v>
      </c>
      <c r="J20" s="9">
        <v>0</v>
      </c>
      <c r="K20" s="9">
        <f t="shared" si="0"/>
        <v>0</v>
      </c>
      <c r="L20" s="16" t="e">
        <f t="shared" si="1"/>
        <v>#DIV/0!</v>
      </c>
      <c r="M20" s="9">
        <v>0</v>
      </c>
      <c r="N20" s="9">
        <v>0</v>
      </c>
      <c r="O20" s="9">
        <v>0</v>
      </c>
      <c r="P20" s="9">
        <f t="shared" si="2"/>
        <v>0</v>
      </c>
      <c r="Q20" s="15"/>
      <c r="R20" s="15"/>
      <c r="S20" s="15"/>
    </row>
    <row r="21" spans="2:19">
      <c r="B21" s="17">
        <v>14</v>
      </c>
      <c r="C21" s="8" t="s">
        <v>32</v>
      </c>
      <c r="D21" s="9">
        <v>2</v>
      </c>
      <c r="E21" s="9">
        <v>0</v>
      </c>
      <c r="F21" s="8">
        <v>0</v>
      </c>
      <c r="G21" s="8">
        <v>1</v>
      </c>
      <c r="H21" s="9">
        <v>0</v>
      </c>
      <c r="I21" s="9">
        <v>0</v>
      </c>
      <c r="J21" s="9">
        <v>0</v>
      </c>
      <c r="K21" s="9">
        <f t="shared" si="0"/>
        <v>0</v>
      </c>
      <c r="L21" s="16" t="e">
        <f t="shared" si="1"/>
        <v>#DIV/0!</v>
      </c>
      <c r="M21" s="9">
        <v>0.6</v>
      </c>
      <c r="N21" s="9">
        <v>0.5</v>
      </c>
      <c r="O21" s="9">
        <v>0</v>
      </c>
      <c r="P21" s="9">
        <f t="shared" si="2"/>
        <v>1.1000000000000001</v>
      </c>
      <c r="Q21" s="15">
        <v>3300</v>
      </c>
      <c r="R21" s="15">
        <v>3000</v>
      </c>
      <c r="S21" s="15"/>
    </row>
    <row r="22" spans="2:19">
      <c r="B22" s="20">
        <v>15</v>
      </c>
      <c r="C22" s="18" t="s">
        <v>38</v>
      </c>
      <c r="D22" s="9"/>
      <c r="E22" s="9"/>
      <c r="F22" s="8"/>
      <c r="G22" s="8"/>
      <c r="H22" s="9"/>
      <c r="I22" s="9"/>
      <c r="J22" s="9"/>
      <c r="K22" s="9">
        <f t="shared" ref="K22" si="3">SUM(H22:J22)</f>
        <v>0</v>
      </c>
      <c r="L22" s="16" t="e">
        <f t="shared" si="1"/>
        <v>#DIV/0!</v>
      </c>
      <c r="M22" s="9"/>
      <c r="N22" s="9"/>
      <c r="O22" s="9"/>
      <c r="P22" s="9">
        <f t="shared" ref="P22" si="4">SUM(M22:O22)</f>
        <v>0</v>
      </c>
      <c r="Q22" s="15"/>
      <c r="R22" s="15"/>
      <c r="S22" s="15"/>
    </row>
    <row r="23" spans="2:19" ht="13">
      <c r="B23" s="11"/>
      <c r="C23" s="12" t="s">
        <v>24</v>
      </c>
      <c r="D23" s="9">
        <f t="shared" ref="D23:K23" si="5">SUM(D8:D22)</f>
        <v>8283.8599999999988</v>
      </c>
      <c r="E23" s="9">
        <f t="shared" si="5"/>
        <v>486.37</v>
      </c>
      <c r="F23" s="10">
        <f t="shared" si="5"/>
        <v>525</v>
      </c>
      <c r="G23" s="10">
        <f t="shared" si="5"/>
        <v>6831</v>
      </c>
      <c r="H23" s="9">
        <f t="shared" si="5"/>
        <v>5.8</v>
      </c>
      <c r="I23" s="9">
        <f t="shared" si="5"/>
        <v>0</v>
      </c>
      <c r="J23" s="9">
        <f t="shared" si="5"/>
        <v>0</v>
      </c>
      <c r="K23" s="13">
        <f t="shared" si="5"/>
        <v>5.8</v>
      </c>
      <c r="L23" s="16" t="e">
        <f>AVERAGE(L8:L21)</f>
        <v>#DIV/0!</v>
      </c>
      <c r="M23" s="9">
        <f>SUM(M8:M22)</f>
        <v>79333.95</v>
      </c>
      <c r="N23" s="9">
        <f t="shared" ref="N23:O23" si="6">SUM(N8:N22)</f>
        <v>4575.1000000000004</v>
      </c>
      <c r="O23" s="9">
        <f t="shared" si="6"/>
        <v>285</v>
      </c>
      <c r="P23" s="13">
        <f>SUM(P8:P22)</f>
        <v>84194.05</v>
      </c>
      <c r="Q23" s="34"/>
      <c r="R23" s="35"/>
      <c r="S23" s="36"/>
    </row>
    <row r="25" spans="2:19">
      <c r="Q25" s="3">
        <f>AVERAGE(Q8:Q22)</f>
        <v>2370.8333333333335</v>
      </c>
      <c r="R25" s="3">
        <f t="shared" ref="R25:S25" si="7">AVERAGE(R8:R22)</f>
        <v>2250</v>
      </c>
      <c r="S25" s="3">
        <f t="shared" si="7"/>
        <v>2100</v>
      </c>
    </row>
  </sheetData>
  <mergeCells count="13">
    <mergeCell ref="Q23:S23"/>
    <mergeCell ref="H6:J6"/>
    <mergeCell ref="K6:K7"/>
    <mergeCell ref="L6:L7"/>
    <mergeCell ref="M6:O6"/>
    <mergeCell ref="P6:P7"/>
    <mergeCell ref="Q6:S6"/>
    <mergeCell ref="G6:G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K24"/>
  <sheetViews>
    <sheetView tabSelected="1" zoomScale="74" workbookViewId="0">
      <selection activeCell="O19" sqref="O19"/>
    </sheetView>
  </sheetViews>
  <sheetFormatPr defaultColWidth="8.81640625" defaultRowHeight="12.5"/>
  <cols>
    <col min="1" max="1" width="5.453125" style="1" customWidth="1"/>
    <col min="2" max="2" width="3.90625" style="1" customWidth="1"/>
    <col min="3" max="3" width="14.6328125" style="1" customWidth="1"/>
    <col min="4" max="4" width="11.6328125" style="2" customWidth="1"/>
    <col min="5" max="5" width="11.81640625" style="2" hidden="1" customWidth="1"/>
    <col min="6" max="6" width="7.1796875" style="1" customWidth="1"/>
    <col min="7" max="7" width="10.81640625" style="1" customWidth="1"/>
    <col min="8" max="8" width="10.36328125" style="2" customWidth="1"/>
    <col min="9" max="9" width="10.90625" style="2"/>
    <col min="10" max="10" width="8.81640625" style="2"/>
    <col min="11" max="11" width="12.1796875" style="2" customWidth="1"/>
    <col min="12" max="16384" width="8.81640625" style="1"/>
  </cols>
  <sheetData>
    <row r="2" spans="2:11" ht="13">
      <c r="B2" s="37" t="s">
        <v>47</v>
      </c>
      <c r="C2" s="37"/>
      <c r="D2" s="37"/>
      <c r="E2" s="37"/>
      <c r="F2" s="37"/>
      <c r="G2" s="37"/>
      <c r="H2" s="37"/>
      <c r="I2" s="37"/>
      <c r="J2" s="37"/>
      <c r="K2" s="37"/>
    </row>
    <row r="4" spans="2:11" ht="13">
      <c r="B4" s="22" t="s">
        <v>0</v>
      </c>
      <c r="C4" s="22" t="s">
        <v>1</v>
      </c>
      <c r="D4" s="24" t="s">
        <v>2</v>
      </c>
      <c r="E4" s="5" t="s">
        <v>3</v>
      </c>
      <c r="F4" s="22" t="s">
        <v>4</v>
      </c>
      <c r="G4" s="22" t="s">
        <v>5</v>
      </c>
      <c r="H4" s="27" t="s">
        <v>6</v>
      </c>
      <c r="I4" s="27"/>
      <c r="J4" s="27"/>
      <c r="K4" s="24" t="s">
        <v>7</v>
      </c>
    </row>
    <row r="5" spans="2:11" ht="13">
      <c r="B5" s="23"/>
      <c r="C5" s="23"/>
      <c r="D5" s="25"/>
      <c r="E5" s="7"/>
      <c r="F5" s="23"/>
      <c r="G5" s="23"/>
      <c r="H5" s="6" t="s">
        <v>11</v>
      </c>
      <c r="I5" s="6" t="s">
        <v>12</v>
      </c>
      <c r="J5" s="6" t="s">
        <v>13</v>
      </c>
      <c r="K5" s="25"/>
    </row>
    <row r="6" spans="2:11">
      <c r="B6" s="8">
        <v>1</v>
      </c>
      <c r="C6" s="8" t="s">
        <v>14</v>
      </c>
      <c r="D6" s="9">
        <f>Des!D8</f>
        <v>1961.05</v>
      </c>
      <c r="E6" s="9">
        <f>Feb!E8</f>
        <v>0</v>
      </c>
      <c r="F6" s="10">
        <f>Des!F8</f>
        <v>161</v>
      </c>
      <c r="G6" s="10">
        <f>Des!G8</f>
        <v>1644</v>
      </c>
      <c r="H6" s="9">
        <v>39139.67</v>
      </c>
      <c r="I6" s="9">
        <v>7542.72</v>
      </c>
      <c r="J6" s="9">
        <v>0</v>
      </c>
      <c r="K6" s="9">
        <f>SUM(H6:J6)</f>
        <v>46682.39</v>
      </c>
    </row>
    <row r="7" spans="2:11">
      <c r="B7" s="8">
        <v>2</v>
      </c>
      <c r="C7" s="8" t="s">
        <v>15</v>
      </c>
      <c r="D7" s="9">
        <f>Des!D9</f>
        <v>959.7</v>
      </c>
      <c r="E7" s="9">
        <f>Feb!E9</f>
        <v>0</v>
      </c>
      <c r="F7" s="10">
        <f>Des!F9</f>
        <v>167</v>
      </c>
      <c r="G7" s="10">
        <f>Des!G9</f>
        <v>1355</v>
      </c>
      <c r="H7" s="9">
        <v>63962.9</v>
      </c>
      <c r="I7" s="9">
        <v>139</v>
      </c>
      <c r="J7" s="9">
        <v>0</v>
      </c>
      <c r="K7" s="9">
        <f t="shared" ref="K7:K18" si="0">SUM(H7:J7)</f>
        <v>64101.9</v>
      </c>
    </row>
    <row r="8" spans="2:11">
      <c r="B8" s="8">
        <v>3</v>
      </c>
      <c r="C8" s="8" t="s">
        <v>16</v>
      </c>
      <c r="D8" s="9">
        <f>Des!D10</f>
        <v>3218.24</v>
      </c>
      <c r="E8" s="9">
        <f>Feb!E10</f>
        <v>0</v>
      </c>
      <c r="F8" s="10">
        <f>Des!F10</f>
        <v>29</v>
      </c>
      <c r="G8" s="10">
        <f>Des!G10</f>
        <v>2205</v>
      </c>
      <c r="H8" s="9">
        <v>53358.600000000006</v>
      </c>
      <c r="I8" s="9">
        <v>6804.2</v>
      </c>
      <c r="J8" s="9">
        <v>696</v>
      </c>
      <c r="K8" s="9">
        <f t="shared" si="0"/>
        <v>60858.8</v>
      </c>
    </row>
    <row r="9" spans="2:11">
      <c r="B9" s="8">
        <v>4</v>
      </c>
      <c r="C9" s="8" t="s">
        <v>17</v>
      </c>
      <c r="D9" s="9">
        <f>Des!D11</f>
        <v>204.9</v>
      </c>
      <c r="E9" s="9">
        <f>Feb!E11</f>
        <v>0</v>
      </c>
      <c r="F9" s="10">
        <f>Des!F11</f>
        <v>13</v>
      </c>
      <c r="G9" s="10">
        <f>Des!G11</f>
        <v>138</v>
      </c>
      <c r="H9" s="9">
        <v>1958</v>
      </c>
      <c r="I9" s="9">
        <v>0</v>
      </c>
      <c r="J9" s="9">
        <v>0</v>
      </c>
      <c r="K9" s="9">
        <f t="shared" si="0"/>
        <v>1958</v>
      </c>
    </row>
    <row r="10" spans="2:11">
      <c r="B10" s="8">
        <v>5</v>
      </c>
      <c r="C10" s="8" t="s">
        <v>18</v>
      </c>
      <c r="D10" s="9">
        <f>Des!D12</f>
        <v>269.04000000000002</v>
      </c>
      <c r="E10" s="9">
        <f>Feb!E12</f>
        <v>245.3</v>
      </c>
      <c r="F10" s="10">
        <f>Des!F12</f>
        <v>37</v>
      </c>
      <c r="G10" s="10">
        <f>Des!G12</f>
        <v>344</v>
      </c>
      <c r="H10" s="9">
        <v>9965</v>
      </c>
      <c r="I10" s="9">
        <v>0</v>
      </c>
      <c r="J10" s="9">
        <v>0</v>
      </c>
      <c r="K10" s="9">
        <f t="shared" si="0"/>
        <v>9965</v>
      </c>
    </row>
    <row r="11" spans="2:11">
      <c r="B11" s="8">
        <v>6</v>
      </c>
      <c r="C11" s="8" t="s">
        <v>19</v>
      </c>
      <c r="D11" s="9">
        <f>Des!D13</f>
        <v>217.33</v>
      </c>
      <c r="E11" s="9">
        <f>Feb!E13</f>
        <v>0</v>
      </c>
      <c r="F11" s="10">
        <f>Des!F13</f>
        <v>23</v>
      </c>
      <c r="G11" s="10">
        <f>Des!G13</f>
        <v>293</v>
      </c>
      <c r="H11" s="9">
        <v>2861.44</v>
      </c>
      <c r="I11" s="9">
        <v>1302.01</v>
      </c>
      <c r="J11" s="9">
        <v>0</v>
      </c>
      <c r="K11" s="9">
        <f t="shared" si="0"/>
        <v>4163.45</v>
      </c>
    </row>
    <row r="12" spans="2:11">
      <c r="B12" s="8">
        <v>7</v>
      </c>
      <c r="C12" s="8" t="s">
        <v>20</v>
      </c>
      <c r="D12" s="9">
        <f>Des!D14</f>
        <v>181.4</v>
      </c>
      <c r="E12" s="9">
        <f>Feb!E14</f>
        <v>0</v>
      </c>
      <c r="F12" s="10">
        <f>Des!F14</f>
        <v>6</v>
      </c>
      <c r="G12" s="10">
        <f>Des!G14</f>
        <v>46</v>
      </c>
      <c r="H12" s="9">
        <v>2898.5</v>
      </c>
      <c r="I12" s="9">
        <v>0</v>
      </c>
      <c r="J12" s="9">
        <v>0</v>
      </c>
      <c r="K12" s="9">
        <f t="shared" si="0"/>
        <v>2898.5</v>
      </c>
    </row>
    <row r="13" spans="2:11">
      <c r="B13" s="8">
        <v>8</v>
      </c>
      <c r="C13" s="8" t="s">
        <v>21</v>
      </c>
      <c r="D13" s="9">
        <f>Des!D15</f>
        <v>459.8</v>
      </c>
      <c r="E13" s="9">
        <f>Feb!E15</f>
        <v>0</v>
      </c>
      <c r="F13" s="10">
        <f>Des!F15</f>
        <v>10</v>
      </c>
      <c r="G13" s="10">
        <f>Des!G15</f>
        <v>102</v>
      </c>
      <c r="H13" s="9">
        <v>24823.590000000004</v>
      </c>
      <c r="I13" s="9">
        <v>0</v>
      </c>
      <c r="J13" s="9">
        <v>0</v>
      </c>
      <c r="K13" s="9">
        <f t="shared" si="0"/>
        <v>24823.590000000004</v>
      </c>
    </row>
    <row r="14" spans="2:11">
      <c r="B14" s="8">
        <v>9</v>
      </c>
      <c r="C14" s="8" t="s">
        <v>22</v>
      </c>
      <c r="D14" s="9">
        <f>Des!D16</f>
        <v>203</v>
      </c>
      <c r="E14" s="9">
        <f>Feb!E16</f>
        <v>0</v>
      </c>
      <c r="F14" s="10">
        <f>Des!F16</f>
        <v>7</v>
      </c>
      <c r="G14" s="10">
        <f>Des!G16</f>
        <v>60</v>
      </c>
      <c r="H14" s="9">
        <v>12274</v>
      </c>
      <c r="I14" s="9">
        <v>0</v>
      </c>
      <c r="J14" s="9">
        <v>0</v>
      </c>
      <c r="K14" s="9">
        <f t="shared" si="0"/>
        <v>12274</v>
      </c>
    </row>
    <row r="15" spans="2:11">
      <c r="B15" s="8">
        <v>10</v>
      </c>
      <c r="C15" s="8" t="s">
        <v>27</v>
      </c>
      <c r="D15" s="9">
        <f>Des!D17</f>
        <v>253.3</v>
      </c>
      <c r="E15" s="9">
        <f>Feb!E17</f>
        <v>0</v>
      </c>
      <c r="F15" s="10">
        <f>Des!F17</f>
        <v>19</v>
      </c>
      <c r="G15" s="10">
        <f>Des!G17</f>
        <v>228</v>
      </c>
      <c r="H15" s="9">
        <v>5590.67</v>
      </c>
      <c r="I15" s="9">
        <v>0</v>
      </c>
      <c r="J15" s="9">
        <v>0</v>
      </c>
      <c r="K15" s="9">
        <f t="shared" si="0"/>
        <v>5590.67</v>
      </c>
    </row>
    <row r="16" spans="2:11">
      <c r="B16" s="8">
        <v>11</v>
      </c>
      <c r="C16" s="8" t="s">
        <v>28</v>
      </c>
      <c r="D16" s="9">
        <f>Des!D18</f>
        <v>109.39</v>
      </c>
      <c r="E16" s="9">
        <f>Feb!E18</f>
        <v>0</v>
      </c>
      <c r="F16" s="10">
        <f>Des!F18</f>
        <v>6</v>
      </c>
      <c r="G16" s="10">
        <f>Des!G18</f>
        <v>43</v>
      </c>
      <c r="H16" s="9">
        <v>5022.5</v>
      </c>
      <c r="I16" s="9">
        <v>0</v>
      </c>
      <c r="J16" s="9">
        <v>0</v>
      </c>
      <c r="K16" s="9">
        <f t="shared" si="0"/>
        <v>5022.5</v>
      </c>
    </row>
    <row r="17" spans="2:11">
      <c r="B17" s="8">
        <v>12</v>
      </c>
      <c r="C17" s="8" t="s">
        <v>26</v>
      </c>
      <c r="D17" s="9">
        <f>Des!D19</f>
        <v>242.71</v>
      </c>
      <c r="E17" s="9">
        <f>Feb!E19</f>
        <v>0</v>
      </c>
      <c r="F17" s="10">
        <f>Des!F19</f>
        <v>44</v>
      </c>
      <c r="G17" s="10">
        <f>Des!G19</f>
        <v>342</v>
      </c>
      <c r="H17" s="9">
        <v>3307.4</v>
      </c>
      <c r="I17" s="9">
        <v>2313.9999999999995</v>
      </c>
      <c r="J17" s="9">
        <v>0</v>
      </c>
      <c r="K17" s="9">
        <f t="shared" si="0"/>
        <v>5621.4</v>
      </c>
    </row>
    <row r="18" spans="2:11">
      <c r="B18" s="8">
        <v>13</v>
      </c>
      <c r="C18" s="8" t="s">
        <v>23</v>
      </c>
      <c r="D18" s="9">
        <f>Des!D20</f>
        <v>2</v>
      </c>
      <c r="E18" s="9">
        <f>Feb!E20</f>
        <v>0</v>
      </c>
      <c r="F18" s="10">
        <f>Des!F20</f>
        <v>3</v>
      </c>
      <c r="G18" s="10">
        <f>Des!G20</f>
        <v>30</v>
      </c>
      <c r="H18" s="9">
        <v>88.3</v>
      </c>
      <c r="I18" s="9">
        <v>0</v>
      </c>
      <c r="J18" s="9">
        <v>0</v>
      </c>
      <c r="K18" s="9">
        <f t="shared" si="0"/>
        <v>88.3</v>
      </c>
    </row>
    <row r="19" spans="2:11">
      <c r="B19" s="11">
        <v>14</v>
      </c>
      <c r="C19" s="18" t="s">
        <v>32</v>
      </c>
      <c r="D19" s="9">
        <f>Des!D21</f>
        <v>2</v>
      </c>
      <c r="E19" s="9">
        <f>Feb!E21</f>
        <v>0.4</v>
      </c>
      <c r="F19" s="10">
        <f>Des!F21</f>
        <v>0</v>
      </c>
      <c r="G19" s="10">
        <f>Des!G21</f>
        <v>1</v>
      </c>
      <c r="H19" s="9">
        <v>4.7799999999999994</v>
      </c>
      <c r="I19" s="9">
        <v>2.1</v>
      </c>
      <c r="J19" s="9">
        <v>0.4</v>
      </c>
      <c r="K19" s="9">
        <f t="shared" ref="K19:K20" si="1">SUM(H19:J19)</f>
        <v>7.2799999999999994</v>
      </c>
    </row>
    <row r="20" spans="2:11">
      <c r="B20" s="11">
        <v>15</v>
      </c>
      <c r="C20" s="18" t="s">
        <v>38</v>
      </c>
      <c r="D20" s="9">
        <f>Des!D22</f>
        <v>0</v>
      </c>
      <c r="E20" s="9"/>
      <c r="F20" s="10">
        <f>Des!F22</f>
        <v>0</v>
      </c>
      <c r="G20" s="10">
        <f>Des!G22</f>
        <v>0</v>
      </c>
      <c r="H20" s="9">
        <v>51475.189999999995</v>
      </c>
      <c r="I20" s="9">
        <v>24233.83</v>
      </c>
      <c r="J20" s="9">
        <v>9337.34</v>
      </c>
      <c r="K20" s="9">
        <f t="shared" si="1"/>
        <v>85046.359999999986</v>
      </c>
    </row>
    <row r="21" spans="2:11" ht="13">
      <c r="B21" s="11"/>
      <c r="C21" s="12" t="s">
        <v>24</v>
      </c>
      <c r="D21" s="13">
        <f>SUM(D6:D20)</f>
        <v>8283.8599999999988</v>
      </c>
      <c r="E21" s="9">
        <f>SUM(E6:E18)</f>
        <v>245.3</v>
      </c>
      <c r="F21" s="19">
        <f t="shared" ref="F21:J21" si="2">SUM(F6:F20)</f>
        <v>525</v>
      </c>
      <c r="G21" s="19">
        <f t="shared" si="2"/>
        <v>6831</v>
      </c>
      <c r="H21" s="9">
        <f t="shared" si="2"/>
        <v>276730.53999999998</v>
      </c>
      <c r="I21" s="9">
        <f t="shared" si="2"/>
        <v>42337.86</v>
      </c>
      <c r="J21" s="9">
        <f t="shared" si="2"/>
        <v>10033.74</v>
      </c>
      <c r="K21" s="13">
        <f>SUM(K6:K20)</f>
        <v>329102.14</v>
      </c>
    </row>
    <row r="23" spans="2:11">
      <c r="C23" s="1" t="s">
        <v>30</v>
      </c>
    </row>
    <row r="24" spans="2:11">
      <c r="C24" s="1" t="s">
        <v>25</v>
      </c>
    </row>
  </sheetData>
  <mergeCells count="8">
    <mergeCell ref="H4:J4"/>
    <mergeCell ref="B2:K2"/>
    <mergeCell ref="B4:B5"/>
    <mergeCell ref="C4:C5"/>
    <mergeCell ref="D4:D5"/>
    <mergeCell ref="F4:F5"/>
    <mergeCell ref="G4:G5"/>
    <mergeCell ref="K4:K5"/>
  </mergeCells>
  <pageMargins left="0.39305555555555599" right="0.39305555555555599" top="0.75138888888888899" bottom="0.75138888888888899" header="0.29861111111111099" footer="0.29861111111111099"/>
  <pageSetup paperSize="5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13</vt:i4>
      </vt:variant>
      <vt:variant>
        <vt:lpstr>Rentang Bernama</vt:lpstr>
      </vt:variant>
      <vt:variant>
        <vt:i4>1</vt:i4>
      </vt:variant>
    </vt:vector>
  </HeadingPairs>
  <TitlesOfParts>
    <vt:vector size="14" baseType="lpstr"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  <vt:lpstr>Rekap 2025</vt:lpstr>
      <vt:lpstr>'Rekap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 KPP DKPJATIM</dc:creator>
  <cp:lastModifiedBy>Dinas Kelautan dan Perikanan Provinsi Jawa Timur KPP</cp:lastModifiedBy>
  <cp:lastPrinted>2025-11-26T02:38:32Z</cp:lastPrinted>
  <dcterms:created xsi:type="dcterms:W3CDTF">2022-12-14T00:58:00Z</dcterms:created>
  <dcterms:modified xsi:type="dcterms:W3CDTF">2026-01-14T02:42:30Z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88EA847058534ACD899BB51B60C0B932</vt:lpwstr>
  </property>
  <property fmtid="{D5CDD505-2E9C-101B-9397-08002B2CF9AE}" pid="3" name="KSOProductBuildVer">
    <vt:lpwstr>1033-12.2.0.13359</vt:lpwstr>
  </property>
</Properties>
</file>